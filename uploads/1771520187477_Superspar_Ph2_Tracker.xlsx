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4" documentId="13_ncr:1_{D81B22CD-1ABD-4A37-8DB0-37744E5D41CF}" xr6:coauthVersionLast="47" xr6:coauthVersionMax="47" xr10:uidLastSave="{D48575DB-4F68-4CC2-A00B-52F88BF07483}"/>
  <bookViews>
    <workbookView minimized="1" xWindow="33090" yWindow="4020" windowWidth="17280" windowHeight="8880" tabRatio="653" firstSheet="3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F14" i="5"/>
  <c r="W99" i="18"/>
  <c r="W98" i="18"/>
  <c r="W97" i="18"/>
  <c r="W96" i="18"/>
  <c r="U140" i="18"/>
  <c r="Q141" i="18"/>
  <c r="W84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V105" i="18"/>
  <c r="J12" i="3"/>
  <c r="J5" i="3"/>
  <c r="H5" i="3"/>
  <c r="J11" i="2"/>
  <c r="U13" i="2"/>
  <c r="V13" i="2"/>
  <c r="K19" i="2"/>
  <c r="K18" i="2"/>
  <c r="I18" i="2"/>
  <c r="N19" i="2"/>
  <c r="N18" i="2" s="1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W112" i="18"/>
  <c r="W64" i="18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W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W121" i="18"/>
  <c r="T121" i="18"/>
  <c r="J9" i="2"/>
  <c r="K2" i="2"/>
  <c r="K3" i="2"/>
  <c r="K4" i="2"/>
  <c r="K45" i="2"/>
  <c r="N45" i="2"/>
  <c r="N44" i="2" s="1"/>
  <c r="I46" i="2"/>
  <c r="W113" i="18"/>
  <c r="W39" i="18"/>
  <c r="W65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AB1" i="6"/>
  <c r="G50" i="2"/>
  <c r="E48" i="2"/>
  <c r="J44" i="2"/>
  <c r="U19" i="2"/>
  <c r="V19" i="2"/>
  <c r="W40" i="18"/>
  <c r="W114" i="18"/>
  <c r="W66" i="18"/>
  <c r="W116" i="18"/>
  <c r="W68" i="18"/>
  <c r="W42" i="18"/>
  <c r="W67" i="18"/>
  <c r="W41" i="18"/>
  <c r="W115" i="18"/>
  <c r="T41" i="18"/>
  <c r="T115" i="18"/>
  <c r="H15" i="5"/>
  <c r="G48" i="2"/>
  <c r="AA11" i="6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Z11" i="6"/>
  <c r="W3" i="5"/>
  <c r="X3" i="5"/>
  <c r="AB17" i="6"/>
  <c r="N50" i="2"/>
  <c r="F12" i="6"/>
  <c r="G12" i="6"/>
  <c r="H12" i="6"/>
  <c r="I12" i="6"/>
  <c r="J12" i="6"/>
  <c r="K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J17" i="6"/>
  <c r="M17" i="6"/>
  <c r="P17" i="6"/>
  <c r="Q17" i="6"/>
  <c r="G17" i="6"/>
  <c r="F17" i="6"/>
  <c r="L17" i="6"/>
  <c r="H17" i="6"/>
  <c r="I17" i="6"/>
  <c r="AE1" i="6"/>
  <c r="AD3" i="6"/>
  <c r="AD5" i="6"/>
  <c r="AD17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F4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G4" i="6"/>
  <c r="AF1" i="6"/>
  <c r="AE5" i="6"/>
  <c r="AE3" i="6"/>
  <c r="AE17" i="6"/>
  <c r="AE11" i="6"/>
  <c r="AE6" i="6"/>
  <c r="AG1" i="6"/>
  <c r="AF3" i="6"/>
  <c r="AF5" i="6"/>
  <c r="AF17" i="6"/>
  <c r="AF11" i="6"/>
  <c r="F7" i="6"/>
  <c r="H4" i="6"/>
  <c r="G7" i="6"/>
  <c r="AH1" i="6"/>
  <c r="AG5" i="6"/>
  <c r="AG3" i="6"/>
  <c r="AG17" i="6"/>
  <c r="AG11" i="6"/>
  <c r="AF6" i="6"/>
  <c r="I4" i="6"/>
  <c r="H7" i="6"/>
  <c r="AG6" i="6"/>
  <c r="AH3" i="6"/>
  <c r="AI1" i="6"/>
  <c r="AH5" i="6"/>
  <c r="AH6" i="6"/>
  <c r="AH17" i="6"/>
  <c r="AH11" i="6"/>
  <c r="I7" i="6"/>
  <c r="J4" i="6"/>
  <c r="K4" i="6"/>
  <c r="J7" i="6"/>
  <c r="AJ1" i="6"/>
  <c r="AK1" i="6"/>
  <c r="AJ3" i="6"/>
  <c r="L4" i="6"/>
  <c r="K7" i="6"/>
  <c r="AI11" i="6"/>
  <c r="AI17" i="6"/>
  <c r="AI5" i="6"/>
  <c r="AI6" i="6"/>
  <c r="AI3" i="6"/>
  <c r="M4" i="6"/>
  <c r="L7" i="6"/>
  <c r="AJ11" i="6"/>
  <c r="AJ17" i="6"/>
  <c r="AJ5" i="6"/>
  <c r="AJ6" i="6"/>
  <c r="AL1" i="6"/>
  <c r="AK5" i="6"/>
  <c r="AK3" i="6"/>
  <c r="AK17" i="6"/>
  <c r="AM1" i="6"/>
  <c r="AL5" i="6"/>
  <c r="AL3" i="6"/>
  <c r="AL17" i="6"/>
  <c r="AL11" i="6"/>
  <c r="AK6" i="6"/>
  <c r="N4" i="6"/>
  <c r="M7" i="6"/>
  <c r="AK11" i="6"/>
  <c r="AL6" i="6"/>
  <c r="N7" i="6"/>
  <c r="O4" i="6"/>
  <c r="AN1" i="6"/>
  <c r="AM5" i="6"/>
  <c r="AM3" i="6"/>
  <c r="AM17" i="6"/>
  <c r="AM11" i="6"/>
  <c r="AO1" i="6"/>
  <c r="AN3" i="6"/>
  <c r="AN17" i="6"/>
  <c r="O7" i="6"/>
  <c r="P4" i="6"/>
  <c r="AM6" i="6"/>
  <c r="AP1" i="6"/>
  <c r="AO5" i="6"/>
  <c r="AO3" i="6"/>
  <c r="P7" i="6"/>
  <c r="Q4" i="6"/>
  <c r="AN11" i="6"/>
  <c r="AN5" i="6"/>
  <c r="AN6" i="6"/>
  <c r="AO6" i="6"/>
  <c r="AQ1" i="6"/>
  <c r="AP3" i="6"/>
  <c r="AP5" i="6"/>
  <c r="AP6" i="6"/>
  <c r="AP17" i="6"/>
  <c r="AP11" i="6"/>
  <c r="R4" i="6"/>
  <c r="Q7" i="6"/>
  <c r="AO11" i="6"/>
  <c r="AO17" i="6"/>
  <c r="S4" i="6"/>
  <c r="R7" i="6"/>
  <c r="AR1" i="6"/>
  <c r="AQ3" i="6"/>
  <c r="AQ5" i="6"/>
  <c r="AQ6" i="6"/>
  <c r="AQ17" i="6"/>
  <c r="AQ11" i="6"/>
  <c r="AS1" i="6"/>
  <c r="AR3" i="6"/>
  <c r="AR5" i="6"/>
  <c r="AR6" i="6"/>
  <c r="AR17" i="6"/>
  <c r="AR11" i="6"/>
  <c r="T4" i="6"/>
  <c r="S7" i="6"/>
  <c r="U4" i="6"/>
  <c r="T7" i="6"/>
  <c r="AT1" i="6"/>
  <c r="AS3" i="6"/>
  <c r="AS5" i="6"/>
  <c r="AS6" i="6"/>
  <c r="AS17" i="6"/>
  <c r="AS11" i="6"/>
  <c r="V4" i="6"/>
  <c r="U7" i="6"/>
  <c r="AU1" i="6"/>
  <c r="AT3" i="6"/>
  <c r="AT5" i="6"/>
  <c r="AT6" i="6"/>
  <c r="AT17" i="6"/>
  <c r="AT11" i="6"/>
  <c r="AV1" i="6"/>
  <c r="AU3" i="6"/>
  <c r="AU5" i="6"/>
  <c r="AU6" i="6"/>
  <c r="AU17" i="6"/>
  <c r="AU11" i="6"/>
  <c r="V7" i="6"/>
  <c r="W4" i="6"/>
  <c r="X4" i="6"/>
  <c r="W7" i="6"/>
  <c r="AW1" i="6"/>
  <c r="AV17" i="6"/>
  <c r="AV11" i="6"/>
  <c r="AX1" i="6"/>
  <c r="AW5" i="6"/>
  <c r="AW3" i="6"/>
  <c r="AW17" i="6"/>
  <c r="AW11" i="6"/>
  <c r="AV5" i="6"/>
  <c r="AV6" i="6"/>
  <c r="AW6" i="6"/>
  <c r="AV3" i="6"/>
  <c r="Y4" i="6"/>
  <c r="X7" i="6"/>
  <c r="Y7" i="6"/>
  <c r="Z4" i="6"/>
  <c r="AY1" i="6"/>
  <c r="AX5" i="6"/>
  <c r="AX6" i="6"/>
  <c r="AX3" i="6"/>
  <c r="AX17" i="6"/>
  <c r="AX11" i="6"/>
  <c r="AZ1" i="6"/>
  <c r="AY5" i="6"/>
  <c r="AY6" i="6"/>
  <c r="AY3" i="6"/>
  <c r="AY17" i="6"/>
  <c r="AY11" i="6"/>
  <c r="Z7" i="6"/>
  <c r="AA4" i="6"/>
  <c r="BA1" i="6"/>
  <c r="AZ3" i="6"/>
  <c r="AZ5" i="6"/>
  <c r="AZ6" i="6"/>
  <c r="AZ17" i="6"/>
  <c r="AZ11" i="6"/>
  <c r="AA7" i="6"/>
  <c r="AB4" i="6"/>
  <c r="BB1" i="6"/>
  <c r="BA3" i="6"/>
  <c r="BA5" i="6"/>
  <c r="BA6" i="6"/>
  <c r="AB7" i="6"/>
  <c r="AC4" i="6"/>
  <c r="AC7" i="6"/>
  <c r="AD4" i="6"/>
  <c r="BC1" i="6"/>
  <c r="BB3" i="6"/>
  <c r="BB5" i="6"/>
  <c r="BB6" i="6"/>
  <c r="BD1" i="6"/>
  <c r="AE4" i="6"/>
  <c r="AD7" i="6"/>
  <c r="BE1" i="6"/>
  <c r="BD5" i="6"/>
  <c r="AF4" i="6"/>
  <c r="AE7" i="6"/>
  <c r="BC11" i="6"/>
  <c r="BC5" i="6"/>
  <c r="BC6" i="6"/>
  <c r="BC3" i="6"/>
  <c r="BD6" i="6"/>
  <c r="AF7" i="6"/>
  <c r="AG4" i="6"/>
  <c r="BD11" i="6"/>
  <c r="BD3" i="6"/>
  <c r="BF1" i="6"/>
  <c r="BE3" i="6"/>
  <c r="BE5" i="6"/>
  <c r="BG1" i="6"/>
  <c r="BF5" i="6"/>
  <c r="BF3" i="6"/>
  <c r="AH4" i="6"/>
  <c r="AG7" i="6"/>
  <c r="BE11" i="6"/>
  <c r="BE6" i="6"/>
  <c r="BF6" i="6"/>
  <c r="BH1" i="6"/>
  <c r="BG5" i="6"/>
  <c r="BG3" i="6"/>
  <c r="AH7" i="6"/>
  <c r="AI4" i="6"/>
  <c r="BF11" i="6"/>
  <c r="BI1" i="6"/>
  <c r="BH5" i="6"/>
  <c r="BH11" i="6"/>
  <c r="BG6" i="6"/>
  <c r="AJ4" i="6"/>
  <c r="AI7" i="6"/>
  <c r="BG11" i="6"/>
  <c r="BJ1" i="6"/>
  <c r="BI3" i="6"/>
  <c r="AK4" i="6"/>
  <c r="AJ7" i="6"/>
  <c r="BH6" i="6"/>
  <c r="BH3" i="6"/>
  <c r="AK7" i="6"/>
  <c r="AL4" i="6"/>
  <c r="BI11" i="6"/>
  <c r="BI5" i="6"/>
  <c r="BI6" i="6"/>
  <c r="BK1" i="6"/>
  <c r="BJ5" i="6"/>
  <c r="BJ6" i="6"/>
  <c r="BL1" i="6"/>
  <c r="BK3" i="6"/>
  <c r="BK5" i="6"/>
  <c r="BJ3" i="6"/>
  <c r="AL7" i="6"/>
  <c r="AM4" i="6"/>
  <c r="BJ11" i="6"/>
  <c r="BM1" i="6"/>
  <c r="BL3" i="6"/>
  <c r="BL5" i="6"/>
  <c r="BL11" i="6"/>
  <c r="BK6" i="6"/>
  <c r="AM7" i="6"/>
  <c r="AN4" i="6"/>
  <c r="BK11" i="6"/>
  <c r="BL6" i="6"/>
  <c r="AN7" i="6"/>
  <c r="AO4" i="6"/>
  <c r="BN1" i="6"/>
  <c r="BM3" i="6"/>
  <c r="BM5" i="6"/>
  <c r="BM6" i="6"/>
  <c r="BM17" i="6"/>
  <c r="BM11" i="6"/>
  <c r="BO1" i="6"/>
  <c r="BN3" i="6"/>
  <c r="BN5" i="6"/>
  <c r="BN6" i="6"/>
  <c r="BN17" i="6"/>
  <c r="BN11" i="6"/>
  <c r="AP4" i="6"/>
  <c r="AO7" i="6"/>
  <c r="AP7" i="6"/>
  <c r="AQ4" i="6"/>
  <c r="BP1" i="6"/>
  <c r="BO5" i="6"/>
  <c r="BO6" i="6"/>
  <c r="BO3" i="6"/>
  <c r="BO17" i="6"/>
  <c r="BO11" i="6"/>
  <c r="BQ1" i="6"/>
  <c r="BP5" i="6"/>
  <c r="BP6" i="6"/>
  <c r="BP17" i="6"/>
  <c r="BP11" i="6"/>
  <c r="AQ7" i="6"/>
  <c r="AR4" i="6"/>
  <c r="AS4" i="6"/>
  <c r="AR7" i="6"/>
  <c r="BR1" i="6"/>
  <c r="BQ11" i="6"/>
  <c r="BQ3" i="6"/>
  <c r="BP3" i="6"/>
  <c r="BS1" i="6"/>
  <c r="BR5" i="6"/>
  <c r="BR3" i="6"/>
  <c r="BR17" i="6"/>
  <c r="BR11" i="6"/>
  <c r="AS7" i="6"/>
  <c r="AT4" i="6"/>
  <c r="BQ17" i="6"/>
  <c r="BQ5" i="6"/>
  <c r="BQ6" i="6"/>
  <c r="BR6" i="6"/>
  <c r="AU4" i="6"/>
  <c r="AT7" i="6"/>
  <c r="BT1" i="6"/>
  <c r="BS3" i="6"/>
  <c r="BS5" i="6"/>
  <c r="BS6" i="6"/>
  <c r="BS17" i="6"/>
  <c r="BS11" i="6"/>
  <c r="BU1" i="6"/>
  <c r="BT5" i="6"/>
  <c r="BT6" i="6"/>
  <c r="BT3" i="6"/>
  <c r="BT17" i="6"/>
  <c r="BT11" i="6"/>
  <c r="AU7" i="6"/>
  <c r="AV4" i="6"/>
  <c r="BV1" i="6"/>
  <c r="BU3" i="6"/>
  <c r="BU5" i="6"/>
  <c r="BU6" i="6"/>
  <c r="BU17" i="6"/>
  <c r="BU11" i="6"/>
  <c r="AW4" i="6"/>
  <c r="AV7" i="6"/>
  <c r="AW7" i="6"/>
  <c r="AX4" i="6"/>
  <c r="BW1" i="6"/>
  <c r="BV3" i="6"/>
  <c r="BV5" i="6"/>
  <c r="BV6" i="6"/>
  <c r="BV17" i="6"/>
  <c r="BV11" i="6"/>
  <c r="BX1" i="6"/>
  <c r="BW3" i="6"/>
  <c r="BW5" i="6"/>
  <c r="BW6" i="6"/>
  <c r="BW17" i="6"/>
  <c r="BW11" i="6"/>
  <c r="AX7" i="6"/>
  <c r="AY4" i="6"/>
  <c r="AY7" i="6"/>
  <c r="AZ4" i="6"/>
  <c r="BY1" i="6"/>
  <c r="BX3" i="6"/>
  <c r="BX5" i="6"/>
  <c r="BX6" i="6"/>
  <c r="BX17" i="6"/>
  <c r="BX11" i="6"/>
  <c r="AZ7" i="6"/>
  <c r="BA4" i="6"/>
  <c r="BZ1" i="6"/>
  <c r="BY5" i="6"/>
  <c r="BY6" i="6"/>
  <c r="BY3" i="6"/>
  <c r="BY17" i="6"/>
  <c r="BY11" i="6"/>
  <c r="CA1" i="6"/>
  <c r="BZ3" i="6"/>
  <c r="BZ5" i="6"/>
  <c r="BZ6" i="6"/>
  <c r="BZ17" i="6"/>
  <c r="BZ11" i="6"/>
  <c r="BA7" i="6"/>
  <c r="BB4" i="6"/>
  <c r="BC4" i="6"/>
  <c r="BB7" i="6"/>
  <c r="CB1" i="6"/>
  <c r="CC1" i="6"/>
  <c r="CB3" i="6"/>
  <c r="CB5" i="6"/>
  <c r="CB17" i="6"/>
  <c r="CB11" i="6"/>
  <c r="BC7" i="6"/>
  <c r="BD4" i="6"/>
  <c r="CA11" i="6"/>
  <c r="CA17" i="6"/>
  <c r="CA3" i="6"/>
  <c r="CA5" i="6"/>
  <c r="CA6" i="6"/>
  <c r="CB6" i="6"/>
  <c r="BD7" i="6"/>
  <c r="BE4" i="6"/>
  <c r="CD1" i="6"/>
  <c r="CC3" i="6"/>
  <c r="CC17" i="6"/>
  <c r="CC11" i="6"/>
  <c r="CE1" i="6"/>
  <c r="CD3" i="6"/>
  <c r="CD17" i="6"/>
  <c r="CD11" i="6"/>
  <c r="CC5" i="6"/>
  <c r="CC6" i="6"/>
  <c r="BE7" i="6"/>
  <c r="BF4" i="6"/>
  <c r="BF7" i="6"/>
  <c r="BG4" i="6"/>
  <c r="CD5" i="6"/>
  <c r="CD6" i="6"/>
  <c r="CF1" i="6"/>
  <c r="CE5" i="6"/>
  <c r="CE3" i="6"/>
  <c r="CE17" i="6"/>
  <c r="CE11" i="6"/>
  <c r="CE6" i="6"/>
  <c r="CG1" i="6"/>
  <c r="CF5" i="6"/>
  <c r="CF6" i="6"/>
  <c r="CF3" i="6"/>
  <c r="BH4" i="6"/>
  <c r="BG7" i="6"/>
  <c r="CH1" i="6"/>
  <c r="CG5" i="6"/>
  <c r="CG6" i="6"/>
  <c r="CG3" i="6"/>
  <c r="BI4" i="6"/>
  <c r="BH7" i="6"/>
  <c r="BJ4" i="6"/>
  <c r="BI7" i="6"/>
  <c r="CI1" i="6"/>
  <c r="CH5" i="6"/>
  <c r="CH6" i="6"/>
  <c r="CH3" i="6"/>
  <c r="CH11" i="6"/>
  <c r="CJ1" i="6"/>
  <c r="CI5" i="6"/>
  <c r="CI6" i="6"/>
  <c r="CI3" i="6"/>
  <c r="BJ7" i="6"/>
  <c r="BK4" i="6"/>
  <c r="CK1" i="6"/>
  <c r="CJ3" i="6"/>
  <c r="CJ5" i="6"/>
  <c r="CJ6" i="6"/>
  <c r="BK7" i="6"/>
  <c r="BL4" i="6"/>
  <c r="CI11" i="6"/>
  <c r="CL1" i="6"/>
  <c r="BL7" i="6"/>
  <c r="BM4" i="6"/>
  <c r="CJ11" i="6"/>
  <c r="CK11" i="6"/>
  <c r="CK5" i="6"/>
  <c r="CK6" i="6"/>
  <c r="CK3" i="6"/>
  <c r="BM7" i="6"/>
  <c r="BN4" i="6"/>
  <c r="CM1" i="6"/>
  <c r="CL3" i="6"/>
  <c r="CL5" i="6"/>
  <c r="CL11" i="6"/>
  <c r="CL6" i="6"/>
  <c r="BO4" i="6"/>
  <c r="BN7" i="6"/>
  <c r="CN1" i="6"/>
  <c r="CM5" i="6"/>
  <c r="CM6" i="6"/>
  <c r="CM3" i="6"/>
  <c r="CM11" i="6"/>
  <c r="CO1" i="6"/>
  <c r="CN5" i="6"/>
  <c r="CN6" i="6"/>
  <c r="CN3" i="6"/>
  <c r="BO7" i="6"/>
  <c r="BP4" i="6"/>
  <c r="CO5" i="6"/>
  <c r="CO6" i="6"/>
  <c r="CP1" i="6"/>
  <c r="CO3" i="6"/>
  <c r="BQ4" i="6"/>
  <c r="BP7" i="6"/>
  <c r="CN11" i="6"/>
  <c r="CQ1" i="6"/>
  <c r="CP3" i="6"/>
  <c r="CP5" i="6"/>
  <c r="CP6" i="6"/>
  <c r="BQ7" i="6"/>
  <c r="BR4" i="6"/>
  <c r="CO11" i="6"/>
  <c r="CR1" i="6"/>
  <c r="CQ3" i="6"/>
  <c r="CQ5" i="6"/>
  <c r="CQ6" i="6"/>
  <c r="BR7" i="6"/>
  <c r="BS4" i="6"/>
  <c r="CP11" i="6"/>
  <c r="CS1" i="6"/>
  <c r="CR3" i="6"/>
  <c r="CR5" i="6"/>
  <c r="CR6" i="6"/>
  <c r="CR17" i="6"/>
  <c r="CR11" i="6"/>
  <c r="BS7" i="6"/>
  <c r="BT4" i="6"/>
  <c r="CQ11" i="6"/>
  <c r="BU4" i="6"/>
  <c r="BT7" i="6"/>
  <c r="CT1" i="6"/>
  <c r="CS3" i="6"/>
  <c r="CS5" i="6"/>
  <c r="CS6" i="6"/>
  <c r="CS17" i="6"/>
  <c r="CS11" i="6"/>
  <c r="CU1" i="6"/>
  <c r="BU7" i="6"/>
  <c r="BV4" i="6"/>
  <c r="CT11" i="6"/>
  <c r="CT17" i="6"/>
  <c r="CT3" i="6"/>
  <c r="CT5" i="6"/>
  <c r="CT6" i="6"/>
  <c r="CV1" i="6"/>
  <c r="CU3" i="6"/>
  <c r="CU5" i="6"/>
  <c r="CU17" i="6"/>
  <c r="CU11" i="6"/>
  <c r="BV7" i="6"/>
  <c r="BW4" i="6"/>
  <c r="CU6" i="6"/>
  <c r="CW1" i="6"/>
  <c r="CV5" i="6"/>
  <c r="CV6" i="6"/>
  <c r="CV3" i="6"/>
  <c r="CV17" i="6"/>
  <c r="CV11" i="6"/>
  <c r="BW7" i="6"/>
  <c r="BX4" i="6"/>
  <c r="BY4" i="6"/>
  <c r="BX7" i="6"/>
  <c r="CX1" i="6"/>
  <c r="CW5" i="6"/>
  <c r="CW6" i="6"/>
  <c r="CW3" i="6"/>
  <c r="CW17" i="6"/>
  <c r="CW11" i="6"/>
  <c r="CY1" i="6"/>
  <c r="CX5" i="6"/>
  <c r="CX6" i="6"/>
  <c r="BY7" i="6"/>
  <c r="BZ4" i="6"/>
  <c r="CZ1" i="6"/>
  <c r="CY17" i="6"/>
  <c r="CY3" i="6"/>
  <c r="CY5" i="6"/>
  <c r="CY6" i="6"/>
  <c r="CA4" i="6"/>
  <c r="BZ7" i="6"/>
  <c r="CX11" i="6"/>
  <c r="CX17" i="6"/>
  <c r="CX3" i="6"/>
  <c r="CB4" i="6"/>
  <c r="CA7" i="6"/>
  <c r="CY11" i="6"/>
  <c r="DA1" i="6"/>
  <c r="CZ5" i="6"/>
  <c r="CZ6" i="6"/>
  <c r="CZ3" i="6"/>
  <c r="CZ17" i="6"/>
  <c r="CZ11" i="6"/>
  <c r="CC4" i="6"/>
  <c r="CB7" i="6"/>
  <c r="DB1" i="6"/>
  <c r="DA5" i="6"/>
  <c r="DA6" i="6"/>
  <c r="DA3" i="6"/>
  <c r="DA17" i="6"/>
  <c r="DA11" i="6"/>
  <c r="CC7" i="6"/>
  <c r="CD4" i="6"/>
  <c r="DC1" i="6"/>
  <c r="DB5" i="6"/>
  <c r="DB6" i="6"/>
  <c r="DB3" i="6"/>
  <c r="DB17" i="6"/>
  <c r="DB11" i="6"/>
  <c r="CD7" i="6"/>
  <c r="CE4" i="6"/>
  <c r="DD1" i="6"/>
  <c r="DC5" i="6"/>
  <c r="DC6" i="6"/>
  <c r="DC3" i="6"/>
  <c r="DC17" i="6"/>
  <c r="DC11" i="6"/>
  <c r="DE1" i="6"/>
  <c r="DD5" i="6"/>
  <c r="DD6" i="6"/>
  <c r="CE7" i="6"/>
  <c r="CF4" i="6"/>
  <c r="DD3" i="6"/>
  <c r="CG4" i="6"/>
  <c r="CF7" i="6"/>
  <c r="DD11" i="6"/>
  <c r="DD17" i="6"/>
  <c r="DF1" i="6"/>
  <c r="DE3" i="6"/>
  <c r="DE5" i="6"/>
  <c r="DE6" i="6"/>
  <c r="DE17" i="6"/>
  <c r="DE11" i="6"/>
  <c r="DG1" i="6"/>
  <c r="DF5" i="6"/>
  <c r="DF6" i="6"/>
  <c r="DF3" i="6"/>
  <c r="DF17" i="6"/>
  <c r="DF11" i="6"/>
  <c r="CG7" i="6"/>
  <c r="CH4" i="6"/>
  <c r="CI4" i="6"/>
  <c r="CH7" i="6"/>
  <c r="DH1" i="6"/>
  <c r="DG5" i="6"/>
  <c r="DG6" i="6"/>
  <c r="DG3" i="6"/>
  <c r="DG17" i="6"/>
  <c r="DG11" i="6"/>
  <c r="DI1" i="6"/>
  <c r="DH3" i="6"/>
  <c r="CI7" i="6"/>
  <c r="CJ4" i="6"/>
  <c r="DH17" i="6"/>
  <c r="DH5" i="6"/>
  <c r="DH6" i="6"/>
  <c r="CJ7" i="6"/>
  <c r="CK4" i="6"/>
  <c r="DH11" i="6"/>
  <c r="DJ1" i="6"/>
  <c r="DI5" i="6"/>
  <c r="DI17" i="6"/>
  <c r="DI11" i="6"/>
  <c r="DK1" i="6"/>
  <c r="DJ5" i="6"/>
  <c r="DJ3" i="6"/>
  <c r="DJ17" i="6"/>
  <c r="DJ11" i="6"/>
  <c r="DI3" i="6"/>
  <c r="CL4" i="6"/>
  <c r="CK7" i="6"/>
  <c r="DI6" i="6"/>
  <c r="DJ6" i="6"/>
  <c r="CM4" i="6"/>
  <c r="CL7" i="6"/>
  <c r="DL1" i="6"/>
  <c r="DK3" i="6"/>
  <c r="DK5" i="6"/>
  <c r="DK6" i="6"/>
  <c r="DM1" i="6"/>
  <c r="CM7" i="6"/>
  <c r="CN4" i="6"/>
  <c r="DN1" i="6"/>
  <c r="DM3" i="6"/>
  <c r="DM5" i="6"/>
  <c r="CO4" i="6"/>
  <c r="CN7" i="6"/>
  <c r="DL5" i="6"/>
  <c r="DL6" i="6"/>
  <c r="DL3" i="6"/>
  <c r="DO1" i="6"/>
  <c r="DN5" i="6"/>
  <c r="DM6" i="6"/>
  <c r="CO7" i="6"/>
  <c r="CP4" i="6"/>
  <c r="DN11" i="6"/>
  <c r="DN3" i="6"/>
  <c r="CP7" i="6"/>
  <c r="CQ4" i="6"/>
  <c r="DN6" i="6"/>
  <c r="DP1" i="6"/>
  <c r="DO5" i="6"/>
  <c r="DO3" i="6"/>
  <c r="DO11" i="6"/>
  <c r="DQ1" i="6"/>
  <c r="DP5" i="6"/>
  <c r="DO6" i="6"/>
  <c r="CQ7" i="6"/>
  <c r="CR4" i="6"/>
  <c r="CS4" i="6"/>
  <c r="CR7" i="6"/>
  <c r="DP6" i="6"/>
  <c r="DP11" i="6"/>
  <c r="DR1" i="6"/>
  <c r="DQ3" i="6"/>
  <c r="DQ5" i="6"/>
  <c r="DP3" i="6"/>
  <c r="DQ6" i="6"/>
  <c r="CS7" i="6"/>
  <c r="CT4" i="6"/>
  <c r="DS1" i="6"/>
  <c r="DR5" i="6"/>
  <c r="DR3" i="6"/>
  <c r="DR11" i="6"/>
  <c r="DQ11" i="6"/>
  <c r="DR6" i="6"/>
  <c r="DT1" i="6"/>
  <c r="DS3" i="6"/>
  <c r="DS5" i="6"/>
  <c r="DS11" i="6"/>
  <c r="CT7" i="6"/>
  <c r="CU4" i="6"/>
  <c r="CU7" i="6"/>
  <c r="CV4" i="6"/>
  <c r="DS6" i="6"/>
  <c r="DU1" i="6"/>
  <c r="DT3" i="6"/>
  <c r="DT5" i="6"/>
  <c r="DT11" i="6"/>
  <c r="DV1" i="6"/>
  <c r="DU11" i="6"/>
  <c r="DT6" i="6"/>
  <c r="CV7" i="6"/>
  <c r="CW4" i="6"/>
  <c r="DU3" i="6"/>
  <c r="DW1" i="6"/>
  <c r="DV11" i="6"/>
  <c r="CW7" i="6"/>
  <c r="CX4" i="6"/>
  <c r="DU5" i="6"/>
  <c r="DU6" i="6"/>
  <c r="CY4" i="6"/>
  <c r="CX7" i="6"/>
  <c r="DX1" i="6"/>
  <c r="DW3" i="6"/>
  <c r="DV3" i="6"/>
  <c r="DV5" i="6"/>
  <c r="DV6" i="6"/>
  <c r="DW11" i="6"/>
  <c r="DY1" i="6"/>
  <c r="DX3" i="6"/>
  <c r="DX5" i="6"/>
  <c r="DX11" i="6"/>
  <c r="CY7" i="6"/>
  <c r="CZ4" i="6"/>
  <c r="DW5" i="6"/>
  <c r="DW6" i="6"/>
  <c r="DX6" i="6"/>
  <c r="DZ1" i="6"/>
  <c r="DY3" i="6"/>
  <c r="DY17" i="6"/>
  <c r="CZ7" i="6"/>
  <c r="DA4" i="6"/>
  <c r="EA1" i="6"/>
  <c r="DZ5" i="6"/>
  <c r="DZ3" i="6"/>
  <c r="DZ17" i="6"/>
  <c r="DZ11" i="6"/>
  <c r="DY11" i="6"/>
  <c r="DY5" i="6"/>
  <c r="DY6" i="6"/>
  <c r="DB4" i="6"/>
  <c r="DA7" i="6"/>
  <c r="DB7" i="6"/>
  <c r="DC4" i="6"/>
  <c r="DZ6" i="6"/>
  <c r="EB1" i="6"/>
  <c r="EA3" i="6"/>
  <c r="EA5" i="6"/>
  <c r="EA17" i="6"/>
  <c r="EA11" i="6"/>
  <c r="EC1" i="6"/>
  <c r="EB5" i="6"/>
  <c r="EB3" i="6"/>
  <c r="EB17" i="6"/>
  <c r="EB11" i="6"/>
  <c r="EA6" i="6"/>
  <c r="DD4" i="6"/>
  <c r="DC7" i="6"/>
  <c r="ED1" i="6"/>
  <c r="EC3" i="6"/>
  <c r="EC5" i="6"/>
  <c r="DE4" i="6"/>
  <c r="DD7" i="6"/>
  <c r="EB6" i="6"/>
  <c r="EE1" i="6"/>
  <c r="ED3" i="6"/>
  <c r="ED5" i="6"/>
  <c r="ED17" i="6"/>
  <c r="ED11" i="6"/>
  <c r="EC6" i="6"/>
  <c r="DF4" i="6"/>
  <c r="DE7" i="6"/>
  <c r="EC11" i="6"/>
  <c r="EC17" i="6"/>
  <c r="DF7" i="6"/>
  <c r="DG4" i="6"/>
  <c r="ED6" i="6"/>
  <c r="EF1" i="6"/>
  <c r="EE3" i="6"/>
  <c r="EE5" i="6"/>
  <c r="EE17" i="6"/>
  <c r="EE11" i="6"/>
  <c r="EG1" i="6"/>
  <c r="EE6" i="6"/>
  <c r="DG7" i="6"/>
  <c r="DH4" i="6"/>
  <c r="DH7" i="6"/>
  <c r="DI4" i="6"/>
  <c r="EF11" i="6"/>
  <c r="EF17" i="6"/>
  <c r="EF3" i="6"/>
  <c r="EF5" i="6"/>
  <c r="EF6" i="6"/>
  <c r="EH1" i="6"/>
  <c r="EG3" i="6"/>
  <c r="DI7" i="6"/>
  <c r="DJ4" i="6"/>
  <c r="EI1" i="6"/>
  <c r="EH17" i="6"/>
  <c r="EH5" i="6"/>
  <c r="EH3" i="6"/>
  <c r="EG11" i="6"/>
  <c r="EG17" i="6"/>
  <c r="EG5" i="6"/>
  <c r="EG6" i="6"/>
  <c r="EH6" i="6"/>
  <c r="EH11" i="6"/>
  <c r="EJ1" i="6"/>
  <c r="EI5" i="6"/>
  <c r="EI6" i="6"/>
  <c r="DK4" i="6"/>
  <c r="DJ7" i="6"/>
  <c r="EK1" i="6"/>
  <c r="EJ5" i="6"/>
  <c r="EJ6" i="6"/>
  <c r="DL4" i="6"/>
  <c r="DK7" i="6"/>
  <c r="EI11" i="6"/>
  <c r="EI17" i="6"/>
  <c r="EI3" i="6"/>
  <c r="EL1" i="6"/>
  <c r="EK3" i="6"/>
  <c r="DM4" i="6"/>
  <c r="DL7" i="6"/>
  <c r="EJ11" i="6"/>
  <c r="EJ17" i="6"/>
  <c r="EJ3" i="6"/>
  <c r="EM1" i="6"/>
  <c r="EL5" i="6"/>
  <c r="DM7" i="6"/>
  <c r="DN4" i="6"/>
  <c r="EK11" i="6"/>
  <c r="EK17" i="6"/>
  <c r="EK5" i="6"/>
  <c r="EK6" i="6"/>
  <c r="EN1" i="6"/>
  <c r="EM3" i="6"/>
  <c r="EM5" i="6"/>
  <c r="EM17" i="6"/>
  <c r="EM11" i="6"/>
  <c r="EL6" i="6"/>
  <c r="DO4" i="6"/>
  <c r="DN7" i="6"/>
  <c r="EL11" i="6"/>
  <c r="EL17" i="6"/>
  <c r="EL3" i="6"/>
  <c r="DO7" i="6"/>
  <c r="DP4" i="6"/>
  <c r="EM6" i="6"/>
  <c r="EO1" i="6"/>
  <c r="EN3" i="6"/>
  <c r="DQ4" i="6"/>
  <c r="DP7" i="6"/>
  <c r="EN11" i="6"/>
  <c r="EN17" i="6"/>
  <c r="EP1" i="6"/>
  <c r="EO5" i="6"/>
  <c r="EO3" i="6"/>
  <c r="EN5" i="6"/>
  <c r="EN6" i="6"/>
  <c r="EO6" i="6"/>
  <c r="EQ1" i="6"/>
  <c r="EP3" i="6"/>
  <c r="EP5" i="6"/>
  <c r="EP6" i="6"/>
  <c r="EO11" i="6"/>
  <c r="DQ7" i="6"/>
  <c r="DR4" i="6"/>
  <c r="ER1" i="6"/>
  <c r="EQ3" i="6"/>
  <c r="EQ5" i="6"/>
  <c r="EQ6" i="6"/>
  <c r="DS4" i="6"/>
  <c r="DR7" i="6"/>
  <c r="DT4" i="6"/>
  <c r="DS7" i="6"/>
  <c r="ES1" i="6"/>
  <c r="ET1" i="6"/>
  <c r="ES3" i="6"/>
  <c r="ES5" i="6"/>
  <c r="DT7" i="6"/>
  <c r="DU4" i="6"/>
  <c r="ER3" i="6"/>
  <c r="ER5" i="6"/>
  <c r="ER6" i="6"/>
  <c r="DU7" i="6"/>
  <c r="DV4" i="6"/>
  <c r="ES6" i="6"/>
  <c r="EU1" i="6"/>
  <c r="ET3" i="6"/>
  <c r="ET5" i="6"/>
  <c r="EV1" i="6"/>
  <c r="EU5" i="6"/>
  <c r="EU3" i="6"/>
  <c r="EU11" i="6"/>
  <c r="ET6" i="6"/>
  <c r="DW4" i="6"/>
  <c r="DV7" i="6"/>
  <c r="DX4" i="6"/>
  <c r="DW7" i="6"/>
  <c r="EU6" i="6"/>
  <c r="EW1" i="6"/>
  <c r="EV3" i="6"/>
  <c r="EV5" i="6"/>
  <c r="EV17" i="6"/>
  <c r="EV11" i="6"/>
  <c r="EV6" i="6"/>
  <c r="EX1" i="6"/>
  <c r="EW3" i="6"/>
  <c r="EW5" i="6"/>
  <c r="EW17" i="6"/>
  <c r="DY4" i="6"/>
  <c r="DX7" i="6"/>
  <c r="EY1" i="6"/>
  <c r="EW6" i="6"/>
  <c r="DY7" i="6"/>
  <c r="DZ4" i="6"/>
  <c r="EW11" i="6"/>
  <c r="EZ1" i="6"/>
  <c r="EY5" i="6"/>
  <c r="EY3" i="6"/>
  <c r="EY17" i="6"/>
  <c r="EY11" i="6"/>
  <c r="EA4" i="6"/>
  <c r="DZ7" i="6"/>
  <c r="EX11" i="6"/>
  <c r="EX17" i="6"/>
  <c r="EX5" i="6"/>
  <c r="EX6" i="6"/>
  <c r="EX3" i="6"/>
  <c r="EY6" i="6"/>
  <c r="EA7" i="6"/>
  <c r="EB4" i="6"/>
  <c r="FA1" i="6"/>
  <c r="EZ3" i="6"/>
  <c r="EZ5" i="6"/>
  <c r="EZ6" i="6"/>
  <c r="EZ17" i="6"/>
  <c r="EZ11" i="6"/>
  <c r="FB1" i="6"/>
  <c r="FA17" i="6"/>
  <c r="FA11" i="6"/>
  <c r="EC4" i="6"/>
  <c r="EB7" i="6"/>
  <c r="EC7" i="6"/>
  <c r="ED4" i="6"/>
  <c r="FC1" i="6"/>
  <c r="FB3" i="6"/>
  <c r="FA3" i="6"/>
  <c r="FA5" i="6"/>
  <c r="FA6" i="6"/>
  <c r="FD1" i="6"/>
  <c r="FC5" i="6"/>
  <c r="FC3" i="6"/>
  <c r="FC17" i="6"/>
  <c r="FC11" i="6"/>
  <c r="FB17" i="6"/>
  <c r="FB11" i="6"/>
  <c r="FB5" i="6"/>
  <c r="FB6" i="6"/>
  <c r="FC6" i="6"/>
  <c r="ED7" i="6"/>
  <c r="EE4" i="6"/>
  <c r="EF4" i="6"/>
  <c r="EE7" i="6"/>
  <c r="FE1" i="6"/>
  <c r="FF1" i="6"/>
  <c r="FE3" i="6"/>
  <c r="FE5" i="6"/>
  <c r="FE17" i="6"/>
  <c r="FE11" i="6"/>
  <c r="EF7" i="6"/>
  <c r="EG4" i="6"/>
  <c r="FD11" i="6"/>
  <c r="FD17" i="6"/>
  <c r="FD5" i="6"/>
  <c r="FD6" i="6"/>
  <c r="FD3" i="6"/>
  <c r="FE6" i="6"/>
  <c r="FG1" i="6"/>
  <c r="FF3" i="6"/>
  <c r="FF5" i="6"/>
  <c r="FF17" i="6"/>
  <c r="EH4" i="6"/>
  <c r="EG7" i="6"/>
  <c r="FH1" i="6"/>
  <c r="FG5" i="6"/>
  <c r="FG17" i="6"/>
  <c r="FG11" i="6"/>
  <c r="FF6" i="6"/>
  <c r="EI4" i="6"/>
  <c r="EH7" i="6"/>
  <c r="FF11" i="6"/>
  <c r="FG6" i="6"/>
  <c r="FI1" i="6"/>
  <c r="FH5" i="6"/>
  <c r="FH3" i="6"/>
  <c r="EJ4" i="6"/>
  <c r="EI7" i="6"/>
  <c r="FG3" i="6"/>
  <c r="FH6" i="6"/>
  <c r="FH17" i="6"/>
  <c r="EJ7" i="6"/>
  <c r="EK4" i="6"/>
  <c r="FH11" i="6"/>
  <c r="FJ1" i="6"/>
  <c r="FI3" i="6"/>
  <c r="FI11" i="6"/>
  <c r="FI17" i="6"/>
  <c r="FI5" i="6"/>
  <c r="FI6" i="6"/>
  <c r="EK7" i="6"/>
  <c r="EL4" i="6"/>
  <c r="FK1" i="6"/>
  <c r="FJ5" i="6"/>
  <c r="FJ3" i="6"/>
  <c r="FJ17" i="6"/>
  <c r="FJ11" i="6"/>
  <c r="FJ6" i="6"/>
  <c r="FL1" i="6"/>
  <c r="EL7" i="6"/>
  <c r="EM4" i="6"/>
  <c r="EM7" i="6"/>
  <c r="EN4" i="6"/>
  <c r="FK17" i="6"/>
  <c r="FK11" i="6"/>
  <c r="FK5" i="6"/>
  <c r="FK6" i="6"/>
  <c r="FK3" i="6"/>
  <c r="FM1" i="6"/>
  <c r="FL3" i="6"/>
  <c r="FL5" i="6"/>
  <c r="FL6" i="6"/>
  <c r="FN1" i="6"/>
  <c r="FM5" i="6"/>
  <c r="FM6" i="6"/>
  <c r="FM3" i="6"/>
  <c r="FM17" i="6"/>
  <c r="FM11" i="6"/>
  <c r="FL11" i="6"/>
  <c r="EO4" i="6"/>
  <c r="EN7" i="6"/>
  <c r="FL17" i="6"/>
  <c r="EO7" i="6"/>
  <c r="EP4" i="6"/>
  <c r="FO1" i="6"/>
  <c r="FN3" i="6"/>
  <c r="FN5" i="6"/>
  <c r="FN6" i="6"/>
  <c r="FN17" i="6"/>
  <c r="FN11" i="6"/>
  <c r="EQ4" i="6"/>
  <c r="EP7" i="6"/>
  <c r="FP1" i="6"/>
  <c r="FO3" i="6"/>
  <c r="FO5" i="6"/>
  <c r="FO6" i="6"/>
  <c r="FO17" i="6"/>
  <c r="FO11" i="6"/>
  <c r="FQ1" i="6"/>
  <c r="EQ7" i="6"/>
  <c r="ER4" i="6"/>
  <c r="FR1" i="6"/>
  <c r="FQ5" i="6"/>
  <c r="FQ17" i="6"/>
  <c r="FQ11" i="6"/>
  <c r="ER7" i="6"/>
  <c r="ES4" i="6"/>
  <c r="FP11" i="6"/>
  <c r="FP17" i="6"/>
  <c r="FP3" i="6"/>
  <c r="FP5" i="6"/>
  <c r="FP6" i="6"/>
  <c r="ES7" i="6"/>
  <c r="ET4" i="6"/>
  <c r="FQ3" i="6"/>
  <c r="FQ6" i="6"/>
  <c r="FS1" i="6"/>
  <c r="FR3" i="6"/>
  <c r="FR5" i="6"/>
  <c r="FR17" i="6"/>
  <c r="FR11" i="6"/>
  <c r="FR6" i="6"/>
  <c r="EU4" i="6"/>
  <c r="ET7" i="6"/>
  <c r="FT1" i="6"/>
  <c r="FU1" i="6"/>
  <c r="FT3" i="6"/>
  <c r="FT5" i="6"/>
  <c r="FT17" i="6"/>
  <c r="FT11" i="6"/>
  <c r="FS3" i="6"/>
  <c r="FS11" i="6"/>
  <c r="FS17" i="6"/>
  <c r="FS5" i="6"/>
  <c r="FS6" i="6"/>
  <c r="EU7" i="6"/>
  <c r="EV4" i="6"/>
  <c r="EV7" i="6"/>
  <c r="EW4" i="6"/>
  <c r="FT6" i="6"/>
  <c r="FV1" i="6"/>
  <c r="FU3" i="6"/>
  <c r="FU5" i="6"/>
  <c r="FW1" i="6"/>
  <c r="FV3" i="6"/>
  <c r="FV5" i="6"/>
  <c r="FU6" i="6"/>
  <c r="EX4" i="6"/>
  <c r="EW7" i="6"/>
  <c r="EX7" i="6"/>
  <c r="EY4" i="6"/>
  <c r="FV6" i="6"/>
  <c r="FX1" i="6"/>
  <c r="FW5" i="6"/>
  <c r="FW3" i="6"/>
  <c r="FW6" i="6"/>
  <c r="EY7" i="6"/>
  <c r="EZ4" i="6"/>
  <c r="FY1" i="6"/>
  <c r="FX5" i="6"/>
  <c r="FX3" i="6"/>
  <c r="FW11" i="6"/>
  <c r="FZ1" i="6"/>
  <c r="FY5" i="6"/>
  <c r="FY3" i="6"/>
  <c r="FY11" i="6"/>
  <c r="FA4" i="6"/>
  <c r="EZ7" i="6"/>
  <c r="FX6" i="6"/>
  <c r="FY6" i="6"/>
  <c r="FB4" i="6"/>
  <c r="FA7" i="6"/>
  <c r="GA1" i="6"/>
  <c r="FZ3" i="6"/>
  <c r="GB1" i="6"/>
  <c r="FB7" i="6"/>
  <c r="FC4" i="6"/>
  <c r="FZ11" i="6"/>
  <c r="FZ5" i="6"/>
  <c r="FZ6" i="6"/>
  <c r="FC7" i="6"/>
  <c r="FD4" i="6"/>
  <c r="GA11" i="6"/>
  <c r="GA5" i="6"/>
  <c r="GA6" i="6"/>
  <c r="GA3" i="6"/>
  <c r="GC1" i="6"/>
  <c r="GB3" i="6"/>
  <c r="GB5" i="6"/>
  <c r="GB11" i="6"/>
  <c r="GB6" i="6"/>
  <c r="GD1" i="6"/>
  <c r="GC3" i="6"/>
  <c r="GC5" i="6"/>
  <c r="GC6" i="6"/>
  <c r="FE4" i="6"/>
  <c r="FD7" i="6"/>
  <c r="GE1" i="6"/>
  <c r="GD3" i="6"/>
  <c r="GD5" i="6"/>
  <c r="GD6" i="6"/>
  <c r="GD11" i="6"/>
  <c r="FE7" i="6"/>
  <c r="FF4" i="6"/>
  <c r="GC11" i="6"/>
  <c r="GC17" i="6"/>
  <c r="FG4" i="6"/>
  <c r="FF7" i="6"/>
  <c r="GF1" i="6"/>
  <c r="GE11" i="6"/>
  <c r="FG7" i="6"/>
  <c r="FH4" i="6"/>
  <c r="GG1" i="6"/>
  <c r="GE17" i="6"/>
  <c r="GE5" i="6"/>
  <c r="GE6" i="6"/>
  <c r="GE3" i="6"/>
  <c r="GH1" i="6"/>
  <c r="GG3" i="6"/>
  <c r="GG5" i="6"/>
  <c r="GG17" i="6"/>
  <c r="GG11" i="6"/>
  <c r="GF11" i="6"/>
  <c r="GF17" i="6"/>
  <c r="GF3" i="6"/>
  <c r="GF5" i="6"/>
  <c r="GF6" i="6"/>
  <c r="GG6" i="6"/>
  <c r="FI4" i="6"/>
  <c r="FH7" i="6"/>
  <c r="FJ4" i="6"/>
  <c r="FI7" i="6"/>
  <c r="GI1" i="6"/>
  <c r="GH3" i="6"/>
  <c r="GH5" i="6"/>
  <c r="GH6" i="6"/>
  <c r="GH17" i="6"/>
  <c r="GH11" i="6"/>
  <c r="GJ1" i="6"/>
  <c r="FJ7" i="6"/>
  <c r="FK4" i="6"/>
  <c r="GK1" i="6"/>
  <c r="GJ3" i="6"/>
  <c r="FL4" i="6"/>
  <c r="FK7" i="6"/>
  <c r="GI11" i="6"/>
  <c r="GI17" i="6"/>
  <c r="GI5" i="6"/>
  <c r="GI6" i="6"/>
  <c r="GI3" i="6"/>
  <c r="FM4" i="6"/>
  <c r="FL7" i="6"/>
  <c r="GJ11" i="6"/>
  <c r="GJ17" i="6"/>
  <c r="GJ5" i="6"/>
  <c r="GJ6" i="6"/>
  <c r="GL1" i="6"/>
  <c r="GK5" i="6"/>
  <c r="GK6" i="6"/>
  <c r="GM1" i="6"/>
  <c r="GL3" i="6"/>
  <c r="GL17" i="6"/>
  <c r="GL11" i="6"/>
  <c r="GK11" i="6"/>
  <c r="FN4" i="6"/>
  <c r="FM7" i="6"/>
  <c r="GK3" i="6"/>
  <c r="GK17" i="6"/>
  <c r="GN1" i="6"/>
  <c r="GM3" i="6"/>
  <c r="GM5" i="6"/>
  <c r="GM17" i="6"/>
  <c r="GM11" i="6"/>
  <c r="GL5" i="6"/>
  <c r="GL6" i="6"/>
  <c r="FN7" i="6"/>
  <c r="FO4" i="6"/>
  <c r="GM6" i="6"/>
  <c r="FO7" i="6"/>
  <c r="FP4" i="6"/>
  <c r="GO1" i="6"/>
  <c r="GN3" i="6"/>
  <c r="GN5" i="6"/>
  <c r="GN6" i="6"/>
  <c r="GN17" i="6"/>
  <c r="GN11" i="6"/>
  <c r="GO3" i="6"/>
  <c r="GP1" i="6"/>
  <c r="GO5" i="6"/>
  <c r="GO6" i="6"/>
  <c r="GO17" i="6"/>
  <c r="GO11" i="6"/>
  <c r="FP7" i="6"/>
  <c r="FQ4" i="6"/>
  <c r="FQ7" i="6"/>
  <c r="FR4" i="6"/>
  <c r="GQ1" i="6"/>
  <c r="GP3" i="6"/>
  <c r="GP5" i="6"/>
  <c r="GP6" i="6"/>
  <c r="GP17" i="6"/>
  <c r="GP11" i="6"/>
  <c r="GR1" i="6"/>
  <c r="GQ3" i="6"/>
  <c r="FS4" i="6"/>
  <c r="FR7" i="6"/>
  <c r="GS1" i="6"/>
  <c r="GR11" i="6"/>
  <c r="GR3" i="6"/>
  <c r="GR5" i="6"/>
  <c r="GR17" i="6"/>
  <c r="FS7" i="6"/>
  <c r="FT4" i="6"/>
  <c r="GQ11" i="6"/>
  <c r="GQ17" i="6"/>
  <c r="GQ5" i="6"/>
  <c r="GQ6" i="6"/>
  <c r="GR6" i="6"/>
  <c r="FT7" i="6"/>
  <c r="FU4" i="6"/>
  <c r="GT1" i="6"/>
  <c r="GS3" i="6"/>
  <c r="GS5" i="6"/>
  <c r="GS17" i="6"/>
  <c r="GS11" i="6"/>
  <c r="GU1" i="6"/>
  <c r="FV4" i="6"/>
  <c r="FU7" i="6"/>
  <c r="GS6" i="6"/>
  <c r="GV1" i="6"/>
  <c r="GU3" i="6"/>
  <c r="GU5" i="6"/>
  <c r="GU17" i="6"/>
  <c r="GU11" i="6"/>
  <c r="FV7" i="6"/>
  <c r="FW4" i="6"/>
  <c r="GT11" i="6"/>
  <c r="GT17" i="6"/>
  <c r="GT5" i="6"/>
  <c r="GT6" i="6"/>
  <c r="GT3" i="6"/>
  <c r="FW7" i="6"/>
  <c r="FX4" i="6"/>
  <c r="GU6" i="6"/>
  <c r="GW1" i="6"/>
  <c r="GV5" i="6"/>
  <c r="GV3" i="6"/>
  <c r="GV17" i="6"/>
  <c r="GV11" i="6"/>
  <c r="GV6" i="6"/>
  <c r="GX1" i="6"/>
  <c r="GW3" i="6"/>
  <c r="FY4" i="6"/>
  <c r="FX7" i="6"/>
  <c r="GY1" i="6"/>
  <c r="GX5" i="6"/>
  <c r="GX17" i="6"/>
  <c r="GX11" i="6"/>
  <c r="GW5" i="6"/>
  <c r="GW6" i="6"/>
  <c r="FZ4" i="6"/>
  <c r="FY7" i="6"/>
  <c r="GW11" i="6"/>
  <c r="GW17" i="6"/>
  <c r="GA4" i="6"/>
  <c r="FZ7" i="6"/>
  <c r="GX6" i="6"/>
  <c r="GZ1" i="6"/>
  <c r="GX3" i="6"/>
  <c r="HA1" i="6"/>
  <c r="GZ3" i="6"/>
  <c r="GZ5" i="6"/>
  <c r="GZ11" i="6"/>
  <c r="GA7" i="6"/>
  <c r="GB4" i="6"/>
  <c r="GY5" i="6"/>
  <c r="GY6" i="6"/>
  <c r="GZ6" i="6"/>
  <c r="GY3" i="6"/>
  <c r="GC4" i="6"/>
  <c r="GB7" i="6"/>
  <c r="HB1" i="6"/>
  <c r="HA3" i="6"/>
  <c r="HC1" i="6"/>
  <c r="HB5" i="6"/>
  <c r="HB3" i="6"/>
  <c r="HA5" i="6"/>
  <c r="HA6" i="6"/>
  <c r="HB6" i="6"/>
  <c r="GD4" i="6"/>
  <c r="GC7" i="6"/>
  <c r="GE4" i="6"/>
  <c r="GD7" i="6"/>
  <c r="HD1" i="6"/>
  <c r="HC3" i="6"/>
  <c r="HC5" i="6"/>
  <c r="HC6" i="6"/>
  <c r="HC11" i="6"/>
  <c r="HE1" i="6"/>
  <c r="HD5" i="6"/>
  <c r="HD6" i="6"/>
  <c r="HD3" i="6"/>
  <c r="HD11" i="6"/>
  <c r="GE7" i="6"/>
  <c r="GF4" i="6"/>
  <c r="GF7" i="6"/>
  <c r="GG4" i="6"/>
  <c r="HF1" i="6"/>
  <c r="HE5" i="6"/>
  <c r="HE6" i="6"/>
  <c r="HE3" i="6"/>
  <c r="HE11" i="6"/>
  <c r="HG1" i="6"/>
  <c r="HF3" i="6"/>
  <c r="HF5" i="6"/>
  <c r="HF6" i="6"/>
  <c r="HF11" i="6"/>
  <c r="GG7" i="6"/>
  <c r="GH4" i="6"/>
  <c r="HH1" i="6"/>
  <c r="HG5" i="6"/>
  <c r="HG6" i="6"/>
  <c r="HG3" i="6"/>
  <c r="HG11" i="6"/>
  <c r="GH7" i="6"/>
  <c r="GI4" i="6"/>
  <c r="HI1" i="6"/>
  <c r="GI7" i="6"/>
  <c r="GJ4" i="6"/>
  <c r="HJ1" i="6"/>
  <c r="HI5" i="6"/>
  <c r="HI3" i="6"/>
  <c r="HI11" i="6"/>
  <c r="GK4" i="6"/>
  <c r="GJ7" i="6"/>
  <c r="HH11" i="6"/>
  <c r="HH5" i="6"/>
  <c r="HH6" i="6"/>
  <c r="HI6" i="6"/>
  <c r="HH3" i="6"/>
  <c r="GK7" i="6"/>
  <c r="GL4" i="6"/>
  <c r="HK1" i="6"/>
  <c r="HJ3" i="6"/>
  <c r="HJ5" i="6"/>
  <c r="HJ6" i="6"/>
  <c r="HJ11" i="6"/>
  <c r="HL1" i="6"/>
  <c r="HK11" i="6"/>
  <c r="GM4" i="6"/>
  <c r="GL7" i="6"/>
  <c r="GN4" i="6"/>
  <c r="GM7" i="6"/>
  <c r="HM1" i="6"/>
  <c r="HL5" i="6"/>
  <c r="HL3" i="6"/>
  <c r="HL17" i="6"/>
  <c r="HL11" i="6"/>
  <c r="HK17" i="6"/>
  <c r="HK5" i="6"/>
  <c r="HK6" i="6"/>
  <c r="HL6" i="6"/>
  <c r="HK3" i="6"/>
  <c r="HN1" i="6"/>
  <c r="HM5" i="6"/>
  <c r="HM6" i="6"/>
  <c r="HM3" i="6"/>
  <c r="HM17" i="6"/>
  <c r="HM11" i="6"/>
  <c r="GN7" i="6"/>
  <c r="GO4" i="6"/>
  <c r="GP4" i="6"/>
  <c r="GO7" i="6"/>
  <c r="HO1" i="6"/>
  <c r="HN3" i="6"/>
  <c r="HN5" i="6"/>
  <c r="HN6" i="6"/>
  <c r="HN17" i="6"/>
  <c r="HN11" i="6"/>
  <c r="HP1" i="6"/>
  <c r="HO5" i="6"/>
  <c r="HO6" i="6"/>
  <c r="HO3" i="6"/>
  <c r="HO17" i="6"/>
  <c r="HO11" i="6"/>
  <c r="GQ4" i="6"/>
  <c r="GP7" i="6"/>
  <c r="GR4" i="6"/>
  <c r="GQ7" i="6"/>
  <c r="HQ1" i="6"/>
  <c r="HP3" i="6"/>
  <c r="HP17" i="6"/>
  <c r="HP11" i="6"/>
  <c r="HR1" i="6"/>
  <c r="HQ3" i="6"/>
  <c r="HQ17" i="6"/>
  <c r="HQ11" i="6"/>
  <c r="GR7" i="6"/>
  <c r="GS4" i="6"/>
  <c r="HP5" i="6"/>
  <c r="HP6" i="6"/>
  <c r="HS1" i="6"/>
  <c r="HR3" i="6"/>
  <c r="HR5" i="6"/>
  <c r="HR17" i="6"/>
  <c r="HR11" i="6"/>
  <c r="HQ5" i="6"/>
  <c r="HQ6" i="6"/>
  <c r="HR6" i="6"/>
  <c r="GS7" i="6"/>
  <c r="GT4" i="6"/>
  <c r="HT1" i="6"/>
  <c r="HS3" i="6"/>
  <c r="HS5" i="6"/>
  <c r="HS6" i="6"/>
  <c r="HS17" i="6"/>
  <c r="HS11" i="6"/>
  <c r="GT7" i="6"/>
  <c r="GU4" i="6"/>
  <c r="GU7" i="6"/>
  <c r="GV4" i="6"/>
  <c r="HU1" i="6"/>
  <c r="HT5" i="6"/>
  <c r="HT6" i="6"/>
  <c r="HT11" i="6"/>
  <c r="HT3" i="6"/>
  <c r="HV1" i="6"/>
  <c r="HU5" i="6"/>
  <c r="HU6" i="6"/>
  <c r="GW4" i="6"/>
  <c r="GV7" i="6"/>
  <c r="HT17" i="6"/>
  <c r="GX4" i="6"/>
  <c r="GW7" i="6"/>
  <c r="HU11" i="6"/>
  <c r="HU17" i="6"/>
  <c r="HU3" i="6"/>
  <c r="HW1" i="6"/>
  <c r="GX7" i="6"/>
  <c r="GY4" i="6"/>
  <c r="HV11" i="6"/>
  <c r="HV17" i="6"/>
  <c r="HV5" i="6"/>
  <c r="HV6" i="6"/>
  <c r="HV3" i="6"/>
  <c r="HX1" i="6"/>
  <c r="GZ4" i="6"/>
  <c r="GY7" i="6"/>
  <c r="HW11" i="6"/>
  <c r="HW17" i="6"/>
  <c r="HW5" i="6"/>
  <c r="HW6" i="6"/>
  <c r="HW3" i="6"/>
  <c r="HY1" i="6"/>
  <c r="HX5" i="6"/>
  <c r="HX17" i="6"/>
  <c r="HX11" i="6"/>
  <c r="HX6" i="6"/>
  <c r="HX3" i="6"/>
  <c r="HZ1" i="6"/>
  <c r="HY5" i="6"/>
  <c r="HY17" i="6"/>
  <c r="HY11" i="6"/>
  <c r="HA4" i="6"/>
  <c r="GZ7" i="6"/>
  <c r="HY3" i="6"/>
  <c r="HA7" i="6"/>
  <c r="HB4" i="6"/>
  <c r="IA1" i="6"/>
  <c r="HY6" i="6"/>
  <c r="IB1" i="6"/>
  <c r="IA3" i="6"/>
  <c r="IA5" i="6"/>
  <c r="IA17" i="6"/>
  <c r="IA11" i="6"/>
  <c r="HC4" i="6"/>
  <c r="HB7" i="6"/>
  <c r="HZ11" i="6"/>
  <c r="HZ17" i="6"/>
  <c r="HZ5" i="6"/>
  <c r="HZ6" i="6"/>
  <c r="IA6" i="6"/>
  <c r="HZ3" i="6"/>
  <c r="HC7" i="6"/>
  <c r="HD4" i="6"/>
  <c r="IC1" i="6"/>
  <c r="IB17" i="6"/>
  <c r="IB11" i="6"/>
  <c r="ID1" i="6"/>
  <c r="IC5" i="6"/>
  <c r="IC17" i="6"/>
  <c r="IB3" i="6"/>
  <c r="IB5" i="6"/>
  <c r="IB6" i="6"/>
  <c r="HD7" i="6"/>
  <c r="HE4" i="6"/>
  <c r="IE1" i="6"/>
  <c r="ID3" i="6"/>
  <c r="ID5" i="6"/>
  <c r="ID17" i="6"/>
  <c r="ID11" i="6"/>
  <c r="IC6" i="6"/>
  <c r="HE7" i="6"/>
  <c r="HF4" i="6"/>
  <c r="IC11" i="6"/>
  <c r="IC3" i="6"/>
  <c r="IF1" i="6"/>
  <c r="IE3" i="6"/>
  <c r="IE5" i="6"/>
  <c r="IE11" i="6"/>
  <c r="HF7" i="6"/>
  <c r="HG4" i="6"/>
  <c r="ID6" i="6"/>
  <c r="IE6" i="6"/>
  <c r="HG7" i="6"/>
  <c r="HH4" i="6"/>
  <c r="IG1" i="6"/>
  <c r="IF3" i="6"/>
  <c r="IF5" i="6"/>
  <c r="IF11" i="6"/>
  <c r="IF6" i="6"/>
  <c r="IH1" i="6"/>
  <c r="IG3" i="6"/>
  <c r="IG5" i="6"/>
  <c r="IG6" i="6"/>
  <c r="IG11" i="6"/>
  <c r="HI4" i="6"/>
  <c r="HH7" i="6"/>
  <c r="HJ4" i="6"/>
  <c r="HI7" i="6"/>
  <c r="II1" i="6"/>
  <c r="IH3" i="6"/>
  <c r="IJ1" i="6"/>
  <c r="II3" i="6"/>
  <c r="II5" i="6"/>
  <c r="II17" i="6"/>
  <c r="II11" i="6"/>
  <c r="HJ7" i="6"/>
  <c r="HK4" i="6"/>
  <c r="IH11" i="6"/>
  <c r="IH17" i="6"/>
  <c r="IH5" i="6"/>
  <c r="IH6" i="6"/>
  <c r="II6" i="6"/>
  <c r="HK7" i="6"/>
  <c r="HL4" i="6"/>
  <c r="IK1" i="6"/>
  <c r="IL1" i="6"/>
  <c r="IK5" i="6"/>
  <c r="IK3" i="6"/>
  <c r="IK17" i="6"/>
  <c r="IK11" i="6"/>
  <c r="HM4" i="6"/>
  <c r="HL7" i="6"/>
  <c r="IJ11" i="6"/>
  <c r="IJ17" i="6"/>
  <c r="IJ5" i="6"/>
  <c r="IJ6" i="6"/>
  <c r="IJ3" i="6"/>
  <c r="IK6" i="6"/>
  <c r="HN4" i="6"/>
  <c r="HM7" i="6"/>
  <c r="IM1" i="6"/>
  <c r="IN1" i="6"/>
  <c r="IM5" i="6"/>
  <c r="IM3" i="6"/>
  <c r="IM17" i="6"/>
  <c r="HO4" i="6"/>
  <c r="HN7" i="6"/>
  <c r="IL11" i="6"/>
  <c r="IL17" i="6"/>
  <c r="IL5" i="6"/>
  <c r="IL6" i="6"/>
  <c r="IL3" i="6"/>
  <c r="IO1" i="6"/>
  <c r="IN5" i="6"/>
  <c r="IN3" i="6"/>
  <c r="IN17" i="6"/>
  <c r="IN11" i="6"/>
  <c r="IM6" i="6"/>
  <c r="HO7" i="6"/>
  <c r="HP4" i="6"/>
  <c r="IM11" i="6"/>
  <c r="HP7" i="6"/>
  <c r="HQ4" i="6"/>
  <c r="IN6" i="6"/>
  <c r="IP1" i="6"/>
  <c r="IQ1" i="6"/>
  <c r="IP17" i="6"/>
  <c r="IP5" i="6"/>
  <c r="HR4" i="6"/>
  <c r="HQ7" i="6"/>
  <c r="IO11" i="6"/>
  <c r="IO17" i="6"/>
  <c r="IO3" i="6"/>
  <c r="IO5" i="6"/>
  <c r="IO6" i="6"/>
  <c r="IP6" i="6"/>
  <c r="HR7" i="6"/>
  <c r="HS4" i="6"/>
  <c r="IP11" i="6"/>
  <c r="IR1" i="6"/>
  <c r="IQ3" i="6"/>
  <c r="IQ17" i="6"/>
  <c r="IQ11" i="6"/>
  <c r="IP3" i="6"/>
  <c r="IS1" i="6"/>
  <c r="IR5" i="6"/>
  <c r="IR3" i="6"/>
  <c r="IR11" i="6"/>
  <c r="IQ5" i="6"/>
  <c r="IQ6" i="6"/>
  <c r="HS7" i="6"/>
  <c r="HT4" i="6"/>
  <c r="HU4" i="6"/>
  <c r="HT7" i="6"/>
  <c r="IR6" i="6"/>
  <c r="IR17" i="6"/>
  <c r="IT1" i="6"/>
  <c r="IS5" i="6"/>
  <c r="IS17" i="6"/>
  <c r="IS11" i="6"/>
  <c r="IS6" i="6"/>
  <c r="IU1" i="6"/>
  <c r="IT3" i="6"/>
  <c r="IT5" i="6"/>
  <c r="IT6" i="6"/>
  <c r="IT17" i="6"/>
  <c r="IS3" i="6"/>
  <c r="HV4" i="6"/>
  <c r="HU7" i="6"/>
  <c r="IV1" i="6"/>
  <c r="HV7" i="6"/>
  <c r="HW4" i="6"/>
  <c r="IT11" i="6"/>
  <c r="IW1" i="6"/>
  <c r="HX4" i="6"/>
  <c r="HW7" i="6"/>
  <c r="IU11" i="6"/>
  <c r="IU17" i="6"/>
  <c r="IU5" i="6"/>
  <c r="IU6" i="6"/>
  <c r="IU3" i="6"/>
  <c r="HX7" i="6"/>
  <c r="HY4" i="6"/>
  <c r="IV17" i="6"/>
  <c r="IV3" i="6"/>
  <c r="IV11" i="6"/>
  <c r="IV5" i="6"/>
  <c r="IV6" i="6"/>
  <c r="IX1" i="6"/>
  <c r="IW3" i="6"/>
  <c r="IW11" i="6"/>
  <c r="HZ4" i="6"/>
  <c r="HY7" i="6"/>
  <c r="IW17" i="6"/>
  <c r="IW5" i="6"/>
  <c r="IW6" i="6"/>
  <c r="IY1" i="6"/>
  <c r="IX5" i="6"/>
  <c r="IX3" i="6"/>
  <c r="IX17" i="6"/>
  <c r="IX11" i="6"/>
  <c r="IX6" i="6"/>
  <c r="IZ1" i="6"/>
  <c r="IY3" i="6"/>
  <c r="IY5" i="6"/>
  <c r="IY6" i="6"/>
  <c r="IY17" i="6"/>
  <c r="IA4" i="6"/>
  <c r="HZ7" i="6"/>
  <c r="JA1" i="6"/>
  <c r="IZ5" i="6"/>
  <c r="IZ6" i="6"/>
  <c r="IZ3" i="6"/>
  <c r="IZ17" i="6"/>
  <c r="IZ11" i="6"/>
  <c r="IA7" i="6"/>
  <c r="IB4" i="6"/>
  <c r="IY11" i="6"/>
  <c r="IB7" i="6"/>
  <c r="IC4" i="6"/>
  <c r="JB1" i="6"/>
  <c r="JA3" i="6"/>
  <c r="JA5" i="6"/>
  <c r="JA6" i="6"/>
  <c r="JC1" i="6"/>
  <c r="JB3" i="6"/>
  <c r="JB5" i="6"/>
  <c r="JB6" i="6"/>
  <c r="JB17" i="6"/>
  <c r="JB11" i="6"/>
  <c r="IC7" i="6"/>
  <c r="ID4" i="6"/>
  <c r="JA11" i="6"/>
  <c r="JA17" i="6"/>
  <c r="JD1" i="6"/>
  <c r="JC3" i="6"/>
  <c r="ID7" i="6"/>
  <c r="IE4" i="6"/>
  <c r="JC11" i="6"/>
  <c r="JC5" i="6"/>
  <c r="JC6" i="6"/>
  <c r="JE1" i="6"/>
  <c r="JD5" i="6"/>
  <c r="JD3" i="6"/>
  <c r="IE7" i="6"/>
  <c r="IF4" i="6"/>
  <c r="JC17" i="6"/>
  <c r="JD6" i="6"/>
  <c r="JF1" i="6"/>
  <c r="JE3" i="6"/>
  <c r="JE5" i="6"/>
  <c r="JE6" i="6"/>
  <c r="JE17" i="6"/>
  <c r="JE11" i="6"/>
  <c r="IG4" i="6"/>
  <c r="IF7" i="6"/>
  <c r="JD11" i="6"/>
  <c r="JD17" i="6"/>
  <c r="IH4" i="6"/>
  <c r="IG7" i="6"/>
  <c r="JG1" i="6"/>
  <c r="JH1" i="6"/>
  <c r="JG5" i="6"/>
  <c r="JG3" i="6"/>
  <c r="JG17" i="6"/>
  <c r="JG11" i="6"/>
  <c r="JF17" i="6"/>
  <c r="JF11" i="6"/>
  <c r="JF3" i="6"/>
  <c r="JF5" i="6"/>
  <c r="JF6" i="6"/>
  <c r="IH7" i="6"/>
  <c r="II4" i="6"/>
  <c r="JG6" i="6"/>
  <c r="JI1" i="6"/>
  <c r="JH3" i="6"/>
  <c r="JH5" i="6"/>
  <c r="II7" i="6"/>
  <c r="IJ4" i="6"/>
  <c r="JJ1" i="6"/>
  <c r="JI3" i="6"/>
  <c r="JI11" i="6"/>
  <c r="JH6" i="6"/>
  <c r="IK4" i="6"/>
  <c r="IJ7" i="6"/>
  <c r="JH11" i="6"/>
  <c r="IK7" i="6"/>
  <c r="IL4" i="6"/>
  <c r="JK1" i="6"/>
  <c r="JI5" i="6"/>
  <c r="JI6" i="6"/>
  <c r="IM4" i="6"/>
  <c r="IL7" i="6"/>
  <c r="JL1" i="6"/>
  <c r="JK17" i="6"/>
  <c r="JJ11" i="6"/>
  <c r="JJ17" i="6"/>
  <c r="JJ5" i="6"/>
  <c r="JJ6" i="6"/>
  <c r="JJ3" i="6"/>
  <c r="JK3" i="6"/>
  <c r="JK5" i="6"/>
  <c r="JK6" i="6"/>
  <c r="JK11" i="6"/>
  <c r="JM1" i="6"/>
  <c r="IM7" i="6"/>
  <c r="IN4" i="6"/>
  <c r="JN1" i="6"/>
  <c r="JM5" i="6"/>
  <c r="JM3" i="6"/>
  <c r="JM17" i="6"/>
  <c r="JM11" i="6"/>
  <c r="JL11" i="6"/>
  <c r="JL17" i="6"/>
  <c r="IN7" i="6"/>
  <c r="IO4" i="6"/>
  <c r="JL3" i="6"/>
  <c r="JL5" i="6"/>
  <c r="JL6" i="6"/>
  <c r="JM6" i="6"/>
  <c r="IP4" i="6"/>
  <c r="IO7" i="6"/>
  <c r="JO1" i="6"/>
  <c r="JN5" i="6"/>
  <c r="JN6" i="6"/>
  <c r="JP1" i="6"/>
  <c r="JO3" i="6"/>
  <c r="JO5" i="6"/>
  <c r="JO6" i="6"/>
  <c r="JO17" i="6"/>
  <c r="JO11" i="6"/>
  <c r="IP7" i="6"/>
  <c r="IQ4" i="6"/>
  <c r="JN11" i="6"/>
  <c r="JN17" i="6"/>
  <c r="JN3" i="6"/>
  <c r="IQ7" i="6"/>
  <c r="IR4" i="6"/>
  <c r="JQ1" i="6"/>
  <c r="JR1" i="6"/>
  <c r="JQ3" i="6"/>
  <c r="JQ5" i="6"/>
  <c r="JQ17" i="6"/>
  <c r="JQ11" i="6"/>
  <c r="IS4" i="6"/>
  <c r="IR7" i="6"/>
  <c r="JP11" i="6"/>
  <c r="JP17" i="6"/>
  <c r="JP3" i="6"/>
  <c r="JP5" i="6"/>
  <c r="JP6" i="6"/>
  <c r="JQ6" i="6"/>
  <c r="IT4" i="6"/>
  <c r="IS7" i="6"/>
  <c r="JS1" i="6"/>
  <c r="JR5" i="6"/>
  <c r="JR6" i="6"/>
  <c r="JR3" i="6"/>
  <c r="JR17" i="6"/>
  <c r="JR11" i="6"/>
  <c r="JT1" i="6"/>
  <c r="JS3" i="6"/>
  <c r="JS5" i="6"/>
  <c r="JS6" i="6"/>
  <c r="IU4" i="6"/>
  <c r="IT7" i="6"/>
  <c r="JU1" i="6"/>
  <c r="JT3" i="6"/>
  <c r="JT5" i="6"/>
  <c r="JT6" i="6"/>
  <c r="JT17" i="6"/>
  <c r="JT11" i="6"/>
  <c r="IU7" i="6"/>
  <c r="IV4" i="6"/>
  <c r="JS11" i="6"/>
  <c r="JS17" i="6"/>
  <c r="IW4" i="6"/>
  <c r="IV7" i="6"/>
  <c r="JV1" i="6"/>
  <c r="JU3" i="6"/>
  <c r="JU5" i="6"/>
  <c r="JU6" i="6"/>
  <c r="JU17" i="6"/>
  <c r="JU11" i="6"/>
  <c r="JW1" i="6"/>
  <c r="JV5" i="6"/>
  <c r="JV6" i="6"/>
  <c r="JV3" i="6"/>
  <c r="JV17" i="6"/>
  <c r="JV11" i="6"/>
  <c r="IX4" i="6"/>
  <c r="IW7" i="6"/>
  <c r="IY4" i="6"/>
  <c r="IX7" i="6"/>
  <c r="JX1" i="6"/>
  <c r="JW11" i="6"/>
  <c r="JW17" i="6"/>
  <c r="JW5" i="6"/>
  <c r="JW6" i="6"/>
  <c r="JW3" i="6"/>
  <c r="JY1" i="6"/>
  <c r="JX5" i="6"/>
  <c r="JX11" i="6"/>
  <c r="IZ4" i="6"/>
  <c r="IY7" i="6"/>
  <c r="JX6" i="6"/>
  <c r="JX17" i="6"/>
  <c r="IZ7" i="6"/>
  <c r="JA4" i="6"/>
  <c r="JZ1" i="6"/>
  <c r="JY5" i="6"/>
  <c r="JY3" i="6"/>
  <c r="JY17" i="6"/>
  <c r="JY11" i="6"/>
  <c r="JX3" i="6"/>
  <c r="JA7" i="6"/>
  <c r="JB4" i="6"/>
  <c r="JY6" i="6"/>
  <c r="KA1" i="6"/>
  <c r="JZ5" i="6"/>
  <c r="JZ3" i="6"/>
  <c r="JZ17" i="6"/>
  <c r="JZ11" i="6"/>
  <c r="KB1" i="6"/>
  <c r="JZ6" i="6"/>
  <c r="JC4" i="6"/>
  <c r="JB7" i="6"/>
  <c r="KC1" i="6"/>
  <c r="KB3" i="6"/>
  <c r="KB17" i="6"/>
  <c r="KB11" i="6"/>
  <c r="JC7" i="6"/>
  <c r="JD4" i="6"/>
  <c r="KA11" i="6"/>
  <c r="KA17" i="6"/>
  <c r="KA5" i="6"/>
  <c r="KA6" i="6"/>
  <c r="KA3" i="6"/>
  <c r="KD1" i="6"/>
  <c r="KC5" i="6"/>
  <c r="KC3" i="6"/>
  <c r="KC17" i="6"/>
  <c r="KC11" i="6"/>
  <c r="JE4" i="6"/>
  <c r="JD7" i="6"/>
  <c r="KB5" i="6"/>
  <c r="KB6" i="6"/>
  <c r="KC6" i="6"/>
  <c r="JE7" i="6"/>
  <c r="JF4" i="6"/>
  <c r="KE1" i="6"/>
  <c r="KD3" i="6"/>
  <c r="KD5" i="6"/>
  <c r="KD6" i="6"/>
  <c r="KD17" i="6"/>
  <c r="KD11" i="6"/>
  <c r="JG4" i="6"/>
  <c r="JF7" i="6"/>
  <c r="KF1" i="6"/>
  <c r="KE5" i="6"/>
  <c r="KE6" i="6"/>
  <c r="KE3" i="6"/>
  <c r="KE17" i="6"/>
  <c r="KE11" i="6"/>
  <c r="KF5" i="6"/>
  <c r="D5" i="6"/>
  <c r="KF3" i="6"/>
  <c r="D3" i="6"/>
  <c r="KF17" i="6"/>
  <c r="KF11" i="6"/>
  <c r="JH4" i="6"/>
  <c r="JG7" i="6"/>
  <c r="JI4" i="6"/>
  <c r="JH7" i="6"/>
  <c r="KF6" i="6"/>
  <c r="JI7" i="6"/>
  <c r="JJ4" i="6"/>
  <c r="JK4" i="6"/>
  <c r="JJ7" i="6"/>
  <c r="JK7" i="6"/>
  <c r="JL4" i="6"/>
  <c r="JM4" i="6"/>
  <c r="JL7" i="6"/>
  <c r="JM7" i="6"/>
  <c r="JN4" i="6"/>
  <c r="JN7" i="6"/>
  <c r="JO4" i="6"/>
  <c r="JO7" i="6"/>
  <c r="JP4" i="6"/>
  <c r="JQ4" i="6"/>
  <c r="JP7" i="6"/>
  <c r="JQ7" i="6"/>
  <c r="JR4" i="6"/>
  <c r="JR7" i="6"/>
  <c r="JS4" i="6"/>
  <c r="JS7" i="6"/>
  <c r="JT4" i="6"/>
  <c r="JU4" i="6"/>
  <c r="JT7" i="6"/>
  <c r="JU7" i="6"/>
  <c r="JV4" i="6"/>
  <c r="JW4" i="6"/>
  <c r="JV7" i="6"/>
  <c r="JX4" i="6"/>
  <c r="JW7" i="6"/>
  <c r="JX7" i="6"/>
  <c r="JY4" i="6"/>
  <c r="JY7" i="6"/>
  <c r="JZ4" i="6"/>
  <c r="JZ7" i="6"/>
  <c r="KA4" i="6"/>
  <c r="KA7" i="6"/>
  <c r="KB4" i="6"/>
  <c r="KC4" i="6"/>
  <c r="KB7" i="6"/>
  <c r="KC7" i="6"/>
  <c r="KD4" i="6"/>
  <c r="KE4" i="6"/>
  <c r="KD7" i="6"/>
  <c r="KE7" i="6"/>
  <c r="KF4" i="6"/>
  <c r="KF7" i="6"/>
  <c r="AD11" i="6" l="1"/>
  <c r="AC11" i="6"/>
  <c r="BA11" i="6"/>
  <c r="BB11" i="6"/>
  <c r="CF11" i="6"/>
  <c r="CG11" i="6"/>
  <c r="DK11" i="6"/>
  <c r="DL11" i="6"/>
  <c r="DM11" i="6"/>
  <c r="EQ11" i="6"/>
  <c r="EP11" i="6"/>
  <c r="ES11" i="6"/>
  <c r="ER11" i="6"/>
  <c r="ET11" i="6"/>
  <c r="FU11" i="6"/>
  <c r="FV11" i="6"/>
  <c r="FX11" i="6"/>
  <c r="GY11" i="6"/>
  <c r="HA11" i="6"/>
  <c r="HB11" i="6"/>
  <c r="U17" i="6"/>
  <c r="BK17" i="6"/>
  <c r="CP17" i="6"/>
  <c r="CQ17" i="6"/>
  <c r="DU17" i="6"/>
  <c r="DV17" i="6"/>
  <c r="DW17" i="6"/>
  <c r="DX17" i="6"/>
  <c r="EU17" i="6"/>
  <c r="GD17" i="6"/>
  <c r="HG17" i="6"/>
  <c r="HI17" i="6"/>
  <c r="HH17" i="6"/>
  <c r="HJ17" i="6"/>
  <c r="T17" i="6"/>
  <c r="BL17" i="6"/>
  <c r="CO17" i="6"/>
  <c r="DT17" i="6"/>
  <c r="ET17" i="6"/>
  <c r="GB17" i="6"/>
  <c r="HF17" i="6"/>
  <c r="IG17" i="6"/>
  <c r="JH17" i="6"/>
  <c r="N17" i="6"/>
  <c r="BJ17" i="6"/>
  <c r="CN17" i="6"/>
  <c r="DS17" i="6"/>
  <c r="ER17" i="6"/>
  <c r="GA17" i="6"/>
  <c r="HE17" i="6"/>
  <c r="IF17" i="6"/>
  <c r="G18" i="6"/>
  <c r="H18" i="6" s="1"/>
  <c r="I18" i="6" s="1"/>
  <c r="J18" i="6" s="1"/>
  <c r="AA17" i="6"/>
  <c r="V17" i="6"/>
  <c r="BA17" i="6"/>
  <c r="CF17" i="6"/>
  <c r="DR17" i="6"/>
  <c r="ES17" i="6"/>
  <c r="FZ17" i="6"/>
  <c r="HD17" i="6"/>
  <c r="IE17" i="6"/>
  <c r="JI17" i="6"/>
  <c r="O17" i="6"/>
  <c r="K17" i="6"/>
  <c r="Z17" i="6"/>
  <c r="HC17" i="6"/>
  <c r="BC17" i="6"/>
  <c r="BD17" i="6"/>
  <c r="BE17" i="6"/>
  <c r="BG17" i="6"/>
  <c r="BF17" i="6"/>
  <c r="BH17" i="6"/>
  <c r="BI17" i="6"/>
  <c r="CH17" i="6"/>
  <c r="CI17" i="6"/>
  <c r="CJ17" i="6"/>
  <c r="CK17" i="6"/>
  <c r="CL17" i="6"/>
  <c r="CM17" i="6"/>
  <c r="DL17" i="6"/>
  <c r="DM17" i="6"/>
  <c r="DN17" i="6"/>
  <c r="DO17" i="6"/>
  <c r="DP17" i="6"/>
  <c r="DQ17" i="6"/>
  <c r="EO17" i="6"/>
  <c r="EQ17" i="6"/>
  <c r="FU17" i="6"/>
  <c r="FV17" i="6"/>
  <c r="FW17" i="6"/>
  <c r="FX17" i="6"/>
  <c r="FY17" i="6"/>
  <c r="GZ17" i="6"/>
  <c r="GY17" i="6"/>
  <c r="HA17" i="6"/>
  <c r="HB17" i="6"/>
  <c r="W17" i="6"/>
  <c r="BB17" i="6"/>
  <c r="CG17" i="6"/>
  <c r="DK17" i="6"/>
  <c r="EP17" i="6"/>
  <c r="K48" i="2"/>
  <c r="N39" i="2"/>
  <c r="J48" i="2"/>
  <c r="U20" i="2" s="1"/>
  <c r="V20" i="2"/>
  <c r="P15" i="5"/>
  <c r="N48" i="2"/>
  <c r="N28" i="2"/>
  <c r="N11" i="2"/>
  <c r="N35" i="2"/>
  <c r="N21" i="2"/>
  <c r="AC12" i="6" l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D11" i="6"/>
  <c r="D17" i="6"/>
  <c r="C17" i="6" s="1"/>
  <c r="K18" i="6"/>
  <c r="L18" i="6" s="1"/>
  <c r="M18" i="6" s="1"/>
  <c r="N9" i="2"/>
  <c r="AC9" i="6"/>
  <c r="G9" i="6"/>
  <c r="AA9" i="6"/>
  <c r="AM9" i="6"/>
  <c r="AP9" i="6"/>
  <c r="AX9" i="6"/>
  <c r="BK9" i="6"/>
  <c r="BM9" i="6"/>
  <c r="BS9" i="6"/>
  <c r="CZ9" i="6"/>
  <c r="DH9" i="6"/>
  <c r="DO9" i="6"/>
  <c r="DX9" i="6"/>
  <c r="EE9" i="6"/>
  <c r="L9" i="6"/>
  <c r="N9" i="6"/>
  <c r="O9" i="6"/>
  <c r="P9" i="6"/>
  <c r="Q9" i="6"/>
  <c r="R9" i="6"/>
  <c r="S9" i="6"/>
  <c r="T9" i="6"/>
  <c r="AD9" i="6"/>
  <c r="H9" i="6"/>
  <c r="V9" i="6"/>
  <c r="AG9" i="6"/>
  <c r="BC9" i="6"/>
  <c r="BH9" i="6"/>
  <c r="BU9" i="6"/>
  <c r="CI9" i="6"/>
  <c r="CT9" i="6"/>
  <c r="CV9" i="6"/>
  <c r="EI9" i="6"/>
  <c r="ES9" i="6"/>
  <c r="FF9" i="6"/>
  <c r="FR9" i="6"/>
  <c r="FW9" i="6"/>
  <c r="GF9" i="6"/>
  <c r="HL9" i="6"/>
  <c r="IV9" i="6"/>
  <c r="IW9" i="6"/>
  <c r="JZ9" i="6"/>
  <c r="KC9" i="6"/>
  <c r="KE9" i="6"/>
  <c r="W9" i="6"/>
  <c r="CD9" i="6"/>
  <c r="CO9" i="6"/>
  <c r="CU9" i="6"/>
  <c r="DP9" i="6"/>
  <c r="ED9" i="6"/>
  <c r="EO9" i="6"/>
  <c r="GC9" i="6"/>
  <c r="GZ9" i="6"/>
  <c r="HN9" i="6"/>
  <c r="HX9" i="6"/>
  <c r="IB9" i="6"/>
  <c r="IK9" i="6"/>
  <c r="IM9" i="6"/>
  <c r="IR9" i="6"/>
  <c r="I9" i="6"/>
  <c r="F9" i="6"/>
  <c r="K9" i="6"/>
  <c r="J9" i="6"/>
  <c r="Z9" i="6"/>
  <c r="BF9" i="6"/>
  <c r="DT9" i="6"/>
  <c r="EM9" i="6"/>
  <c r="FI9" i="6"/>
  <c r="FQ9" i="6"/>
  <c r="FV9" i="6"/>
  <c r="GD9" i="6"/>
  <c r="HI9" i="6"/>
  <c r="HH9" i="6"/>
  <c r="IS9" i="6"/>
  <c r="IX9" i="6"/>
  <c r="JN9" i="6"/>
  <c r="AL9" i="6"/>
  <c r="AV9" i="6"/>
  <c r="AZ9" i="6"/>
  <c r="BE9" i="6"/>
  <c r="BL9" i="6"/>
  <c r="BV9" i="6"/>
  <c r="DS9" i="6"/>
  <c r="EQ9" i="6"/>
  <c r="ER9" i="6"/>
  <c r="EW9" i="6"/>
  <c r="FA9" i="6"/>
  <c r="FB9" i="6"/>
  <c r="FX9" i="6"/>
  <c r="GP9" i="6"/>
  <c r="HU9" i="6"/>
  <c r="IA9" i="6"/>
  <c r="IF9" i="6"/>
  <c r="II9" i="6"/>
  <c r="IN9" i="6"/>
  <c r="JL9" i="6"/>
  <c r="JO9" i="6"/>
  <c r="AJ9" i="6"/>
  <c r="CE9" i="6"/>
  <c r="DE9" i="6"/>
  <c r="DL9" i="6"/>
  <c r="DQ9" i="6"/>
  <c r="DY9" i="6"/>
  <c r="EZ9" i="6"/>
  <c r="FG9" i="6"/>
  <c r="FH9" i="6"/>
  <c r="FN9" i="6"/>
  <c r="GL9" i="6"/>
  <c r="HA9" i="6"/>
  <c r="HF9" i="6"/>
  <c r="ID9" i="6"/>
  <c r="IH9" i="6"/>
  <c r="JD9" i="6"/>
  <c r="JG9" i="6"/>
  <c r="JQ9" i="6"/>
  <c r="JS9" i="6"/>
  <c r="KF9" i="6"/>
  <c r="AW9" i="6"/>
  <c r="BI9" i="6"/>
  <c r="CQ9" i="6"/>
  <c r="EC9" i="6"/>
  <c r="EU9" i="6"/>
  <c r="GG9" i="6"/>
  <c r="GQ9" i="6"/>
  <c r="GR9" i="6"/>
  <c r="HK9" i="6"/>
  <c r="IU9" i="6"/>
  <c r="IY9" i="6"/>
  <c r="AB9" i="6"/>
  <c r="CY9" i="6"/>
  <c r="DN9" i="6"/>
  <c r="DV9" i="6"/>
  <c r="FY9" i="6"/>
  <c r="GO9" i="6"/>
  <c r="HB9" i="6"/>
  <c r="HJ9" i="6"/>
  <c r="HW9" i="6"/>
  <c r="IZ9" i="6"/>
  <c r="GK9" i="6"/>
  <c r="AQ9" i="6"/>
  <c r="BP9" i="6"/>
  <c r="DU9" i="6"/>
  <c r="GJ9" i="6"/>
  <c r="HY9" i="6"/>
  <c r="JC9" i="6"/>
  <c r="DR9" i="6"/>
  <c r="GE9" i="6"/>
  <c r="IJ9" i="6"/>
  <c r="AK9" i="6"/>
  <c r="AY9" i="6"/>
  <c r="CC9" i="6"/>
  <c r="CF9" i="6"/>
  <c r="CJ9" i="6"/>
  <c r="CN9" i="6"/>
  <c r="CS9" i="6"/>
  <c r="EJ9" i="6"/>
  <c r="EY9" i="6"/>
  <c r="GT9" i="6"/>
  <c r="GW9" i="6"/>
  <c r="HQ9" i="6"/>
  <c r="HT9" i="6"/>
  <c r="HV9" i="6"/>
  <c r="IG9" i="6"/>
  <c r="JR9" i="6"/>
  <c r="JT9" i="6"/>
  <c r="JU9" i="6"/>
  <c r="JY9" i="6"/>
  <c r="AR9" i="6"/>
  <c r="FE9" i="6"/>
  <c r="GA9" i="6"/>
  <c r="GU9" i="6"/>
  <c r="JA9" i="6"/>
  <c r="JH9" i="6"/>
  <c r="AU9" i="6"/>
  <c r="EA9" i="6"/>
  <c r="FC9" i="6"/>
  <c r="FP9" i="6"/>
  <c r="HM9" i="6"/>
  <c r="JP9" i="6"/>
  <c r="JX9" i="6"/>
  <c r="BY9" i="6"/>
  <c r="EG9" i="6"/>
  <c r="FS9" i="6"/>
  <c r="GS9" i="6"/>
  <c r="AI9" i="6"/>
  <c r="CR9" i="6"/>
  <c r="DJ9" i="6"/>
  <c r="FU9" i="6"/>
  <c r="IE9" i="6"/>
  <c r="AH9" i="6"/>
  <c r="BB9" i="6"/>
  <c r="BD9" i="6"/>
  <c r="EF9" i="6"/>
  <c r="FL9" i="6"/>
  <c r="HE9" i="6"/>
  <c r="IQ9" i="6"/>
  <c r="JB9" i="6"/>
  <c r="AE9" i="6"/>
  <c r="AO9" i="6"/>
  <c r="BT9" i="6"/>
  <c r="CB9" i="6"/>
  <c r="CX9" i="6"/>
  <c r="EX9" i="6"/>
  <c r="JF9" i="6"/>
  <c r="BN9" i="6"/>
  <c r="BZ9" i="6"/>
  <c r="DB9" i="6"/>
  <c r="EK9" i="6"/>
  <c r="EP9" i="6"/>
  <c r="GM9" i="6"/>
  <c r="HD9" i="6"/>
  <c r="IC9" i="6"/>
  <c r="IT9" i="6"/>
  <c r="CK9" i="6"/>
  <c r="DG9" i="6"/>
  <c r="DI9" i="6"/>
  <c r="GB9" i="6"/>
  <c r="HO9" i="6"/>
  <c r="HS9" i="6"/>
  <c r="CL9" i="6"/>
  <c r="DD9" i="6"/>
  <c r="FK9" i="6"/>
  <c r="DF9" i="6"/>
  <c r="FO9" i="6"/>
  <c r="FT9" i="6"/>
  <c r="GY9" i="6"/>
  <c r="KB9" i="6"/>
  <c r="DC9" i="6"/>
  <c r="EV9" i="6"/>
  <c r="FM9" i="6"/>
  <c r="GH9" i="6"/>
  <c r="GN9" i="6"/>
  <c r="AT9" i="6"/>
  <c r="BJ9" i="6"/>
  <c r="CA9" i="6"/>
  <c r="DW9" i="6"/>
  <c r="DZ9" i="6"/>
  <c r="BX9" i="6"/>
  <c r="CG9" i="6"/>
  <c r="KA9" i="6"/>
  <c r="JI9" i="6"/>
  <c r="AS9" i="6"/>
  <c r="BQ9" i="6"/>
  <c r="FD9" i="6"/>
  <c r="FJ9" i="6"/>
  <c r="FZ9" i="6"/>
  <c r="HZ9" i="6"/>
  <c r="JK9" i="6"/>
  <c r="KD9" i="6"/>
  <c r="JW9" i="6"/>
  <c r="M9" i="6"/>
  <c r="DA9" i="6"/>
  <c r="ET9" i="6"/>
  <c r="HG9" i="6"/>
  <c r="X9" i="6"/>
  <c r="EB9" i="6"/>
  <c r="JV9" i="6"/>
  <c r="AN9" i="6"/>
  <c r="DK9" i="6"/>
  <c r="IO9" i="6"/>
  <c r="CW9" i="6"/>
  <c r="HR9" i="6"/>
  <c r="BO9" i="6"/>
  <c r="JJ9" i="6"/>
  <c r="BW9" i="6"/>
  <c r="JM9" i="6"/>
  <c r="EL9" i="6"/>
  <c r="BG9" i="6"/>
  <c r="EN9" i="6"/>
  <c r="CP9" i="6"/>
  <c r="DM9" i="6"/>
  <c r="U9" i="6"/>
  <c r="AF9" i="6"/>
  <c r="CM9" i="6"/>
  <c r="EH9" i="6"/>
  <c r="GI9" i="6"/>
  <c r="GX9" i="6"/>
  <c r="IP9" i="6"/>
  <c r="BR9" i="6"/>
  <c r="IL9" i="6"/>
  <c r="Y9" i="6"/>
  <c r="CH9" i="6"/>
  <c r="GV9" i="6"/>
  <c r="JE9" i="6"/>
  <c r="BA9" i="6"/>
  <c r="HC9" i="6"/>
  <c r="HP9" i="6"/>
  <c r="N18" i="6" l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F10" i="6"/>
  <c r="D9" i="6"/>
  <c r="AJ18" i="6" l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G10" i="6"/>
  <c r="F14" i="6"/>
  <c r="BN18" i="6" l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G14" i="6"/>
  <c r="H10" i="6"/>
  <c r="FK18" i="6" l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I10" i="6"/>
  <c r="H14" i="6"/>
  <c r="HO18" i="6" l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I14" i="6"/>
  <c r="J10" i="6"/>
  <c r="JC18" i="6" l="1"/>
  <c r="K10" i="6"/>
  <c r="J14" i="6"/>
  <c r="JD18" i="6" l="1"/>
  <c r="L10" i="6"/>
  <c r="K14" i="6"/>
  <c r="JE18" i="6" l="1"/>
  <c r="JF18" i="6" s="1"/>
  <c r="JG18" i="6" s="1"/>
  <c r="JH18" i="6" s="1"/>
  <c r="JI18" i="6" s="1"/>
  <c r="JJ18" i="6" s="1"/>
  <c r="JK18" i="6" s="1"/>
  <c r="JL18" i="6" s="1"/>
  <c r="JM18" i="6" s="1"/>
  <c r="JN18" i="6" s="1"/>
  <c r="M10" i="6"/>
  <c r="L14" i="6"/>
  <c r="JO18" i="6" l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D18" i="6"/>
  <c r="C18" i="6" s="1"/>
  <c r="N10" i="6"/>
  <c r="M14" i="6"/>
  <c r="N14" i="6" l="1"/>
  <c r="O10" i="6"/>
  <c r="O14" i="6" l="1"/>
  <c r="P10" i="6"/>
  <c r="Q10" i="6" l="1"/>
  <c r="P14" i="6"/>
  <c r="R10" i="6" l="1"/>
  <c r="Q14" i="6"/>
  <c r="R14" i="6" l="1"/>
  <c r="S10" i="6"/>
  <c r="S14" i="6" l="1"/>
  <c r="T10" i="6"/>
  <c r="U10" i="6" l="1"/>
  <c r="T14" i="6"/>
  <c r="V10" i="6" l="1"/>
  <c r="U14" i="6"/>
  <c r="W10" i="6" l="1"/>
  <c r="V14" i="6"/>
  <c r="W14" i="6" l="1"/>
  <c r="X10" i="6"/>
  <c r="X14" i="6" l="1"/>
  <c r="Y10" i="6"/>
  <c r="Z10" i="6" l="1"/>
  <c r="Y14" i="6"/>
  <c r="AA10" i="6" l="1"/>
  <c r="Z14" i="6"/>
  <c r="AB10" i="6" l="1"/>
  <c r="AA14" i="6"/>
  <c r="AB14" i="6" l="1"/>
  <c r="AC10" i="6"/>
  <c r="AD10" i="6" l="1"/>
  <c r="AC14" i="6"/>
  <c r="AE10" i="6" l="1"/>
  <c r="AD14" i="6"/>
  <c r="AF10" i="6" l="1"/>
  <c r="AE14" i="6"/>
  <c r="AF14" i="6" l="1"/>
  <c r="AG10" i="6"/>
  <c r="AG14" i="6" l="1"/>
  <c r="AH10" i="6"/>
  <c r="AH14" i="6" l="1"/>
  <c r="AI10" i="6"/>
  <c r="AJ10" i="6" l="1"/>
  <c r="AI14" i="6"/>
  <c r="AK10" i="6" l="1"/>
  <c r="AJ14" i="6"/>
  <c r="AL10" i="6" l="1"/>
  <c r="AK14" i="6"/>
  <c r="AM10" i="6" l="1"/>
  <c r="AL14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W14" i="6" l="1"/>
  <c r="AX10" i="6"/>
  <c r="AX14" i="6" l="1"/>
  <c r="AY10" i="6"/>
  <c r="AY14" i="6" l="1"/>
  <c r="AZ10" i="6"/>
  <c r="AZ14" i="6" l="1"/>
  <c r="BA10" i="6"/>
  <c r="BB10" i="6" l="1"/>
  <c r="BA14" i="6"/>
  <c r="BB14" i="6" l="1"/>
  <c r="BC10" i="6"/>
  <c r="BC14" i="6" l="1"/>
  <c r="BD10" i="6"/>
  <c r="BD14" i="6" l="1"/>
  <c r="BE10" i="6"/>
  <c r="BE14" i="6" l="1"/>
  <c r="BF10" i="6"/>
  <c r="BF14" i="6" l="1"/>
  <c r="BG10" i="6"/>
  <c r="BG14" i="6" l="1"/>
  <c r="BH10" i="6"/>
  <c r="BI10" i="6" l="1"/>
  <c r="BH14" i="6"/>
  <c r="BI14" i="6" l="1"/>
  <c r="BJ10" i="6"/>
  <c r="BK10" i="6" l="1"/>
  <c r="BJ14" i="6"/>
  <c r="BL10" i="6" l="1"/>
  <c r="BK14" i="6"/>
  <c r="BM10" i="6" l="1"/>
  <c r="BL14" i="6"/>
  <c r="BM14" i="6" l="1"/>
  <c r="BN10" i="6"/>
  <c r="BO10" i="6" l="1"/>
  <c r="BN14" i="6"/>
  <c r="BO14" i="6" l="1"/>
  <c r="BP10" i="6"/>
  <c r="BP14" i="6" l="1"/>
  <c r="BQ10" i="6"/>
  <c r="BR10" i="6" l="1"/>
  <c r="BQ14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BZ14" i="6" l="1"/>
  <c r="CA10" i="6"/>
  <c r="CA14" i="6" l="1"/>
  <c r="CB10" i="6"/>
  <c r="CB14" i="6" l="1"/>
  <c r="CC10" i="6"/>
  <c r="CC14" i="6" l="1"/>
  <c r="CD10" i="6"/>
  <c r="CE10" i="6" l="1"/>
  <c r="CD14" i="6"/>
  <c r="CF10" i="6" l="1"/>
  <c r="CE14" i="6"/>
  <c r="CF14" i="6" l="1"/>
  <c r="CG10" i="6"/>
  <c r="CG14" i="6" l="1"/>
  <c r="CH10" i="6"/>
  <c r="CI10" i="6" l="1"/>
  <c r="CH14" i="6"/>
  <c r="CJ10" i="6" l="1"/>
  <c r="CI14" i="6"/>
  <c r="CK10" i="6" l="1"/>
  <c r="CJ14" i="6"/>
  <c r="CL10" i="6" l="1"/>
  <c r="CK14" i="6"/>
  <c r="CL14" i="6" l="1"/>
  <c r="CM10" i="6"/>
  <c r="CN10" i="6" l="1"/>
  <c r="CM14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U10" i="6" l="1"/>
  <c r="CT14" i="6"/>
  <c r="CV10" i="6" l="1"/>
  <c r="CU14" i="6"/>
  <c r="CV14" i="6" l="1"/>
  <c r="CW10" i="6"/>
  <c r="CW14" i="6" l="1"/>
  <c r="CX10" i="6"/>
  <c r="CY10" i="6" l="1"/>
  <c r="CX14" i="6"/>
  <c r="CZ10" i="6" l="1"/>
  <c r="CY14" i="6"/>
  <c r="CZ14" i="6" l="1"/>
  <c r="DA10" i="6"/>
  <c r="DB10" i="6" l="1"/>
  <c r="DA14" i="6"/>
  <c r="DB14" i="6" l="1"/>
  <c r="DC10" i="6"/>
  <c r="DD10" i="6" l="1"/>
  <c r="DC14" i="6"/>
  <c r="DE10" i="6" l="1"/>
  <c r="DD14" i="6"/>
  <c r="DE14" i="6" l="1"/>
  <c r="DF10" i="6"/>
  <c r="DG10" i="6" l="1"/>
  <c r="DF14" i="6"/>
  <c r="DG14" i="6" l="1"/>
  <c r="DH10" i="6"/>
  <c r="DH14" i="6" l="1"/>
  <c r="DI10" i="6"/>
  <c r="DJ10" i="6" l="1"/>
  <c r="DI14" i="6"/>
  <c r="DK10" i="6" l="1"/>
  <c r="DJ14" i="6"/>
  <c r="DL10" i="6" l="1"/>
  <c r="DK14" i="6"/>
  <c r="DL14" i="6" l="1"/>
  <c r="DM10" i="6"/>
  <c r="DN10" i="6" l="1"/>
  <c r="DM14" i="6"/>
  <c r="DN14" i="6" l="1"/>
  <c r="DO10" i="6"/>
  <c r="DO14" i="6" l="1"/>
  <c r="DP10" i="6"/>
  <c r="DQ10" i="6" l="1"/>
  <c r="DP14" i="6"/>
  <c r="DR10" i="6" l="1"/>
  <c r="DQ14" i="6"/>
  <c r="DR14" i="6" l="1"/>
  <c r="DS10" i="6"/>
  <c r="DS14" i="6" l="1"/>
  <c r="DT10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B10" i="6" l="1"/>
  <c r="EA14" i="6"/>
  <c r="EC10" i="6" l="1"/>
  <c r="EB14" i="6"/>
  <c r="EC14" i="6" l="1"/>
  <c r="ED10" i="6"/>
  <c r="ED14" i="6" l="1"/>
  <c r="EE10" i="6"/>
  <c r="EE14" i="6" l="1"/>
  <c r="EF10" i="6"/>
  <c r="EF14" i="6" l="1"/>
  <c r="EG10" i="6"/>
  <c r="EG14" i="6" l="1"/>
  <c r="EH10" i="6"/>
  <c r="EI10" i="6" l="1"/>
  <c r="EH14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T10" i="6" l="1"/>
  <c r="ES14" i="6"/>
  <c r="EU10" i="6" l="1"/>
  <c r="ET14" i="6"/>
  <c r="EV10" i="6" l="1"/>
  <c r="EU14" i="6"/>
  <c r="EW10" i="6" l="1"/>
  <c r="EV14" i="6"/>
  <c r="EW14" i="6" l="1"/>
  <c r="EX10" i="6"/>
  <c r="EY10" i="6" l="1"/>
  <c r="EX14" i="6"/>
  <c r="EZ10" i="6" l="1"/>
  <c r="EY14" i="6"/>
  <c r="FA10" i="6" l="1"/>
  <c r="EZ14" i="6"/>
  <c r="FA14" i="6" l="1"/>
  <c r="FB10" i="6"/>
  <c r="FC10" i="6" l="1"/>
  <c r="FB14" i="6"/>
  <c r="FC14" i="6" l="1"/>
  <c r="FD10" i="6"/>
  <c r="FE10" i="6" l="1"/>
  <c r="FD14" i="6"/>
  <c r="FF10" i="6" l="1"/>
  <c r="FE14" i="6"/>
  <c r="FG10" i="6" l="1"/>
  <c r="FF14" i="6"/>
  <c r="FH10" i="6" l="1"/>
  <c r="FG14" i="6"/>
  <c r="FI10" i="6" l="1"/>
  <c r="FH14" i="6"/>
  <c r="FJ10" i="6" l="1"/>
  <c r="FI14" i="6"/>
  <c r="FK10" i="6" l="1"/>
  <c r="FJ14" i="6"/>
  <c r="FK14" i="6" l="1"/>
  <c r="FL10" i="6"/>
  <c r="FM10" i="6" l="1"/>
  <c r="FL14" i="6"/>
  <c r="FN10" i="6" l="1"/>
  <c r="FM14" i="6"/>
  <c r="FO10" i="6" l="1"/>
  <c r="FN14" i="6"/>
  <c r="FO14" i="6" l="1"/>
  <c r="FP10" i="6"/>
  <c r="FP14" i="6" l="1"/>
  <c r="FQ10" i="6"/>
  <c r="FR10" i="6" l="1"/>
  <c r="FQ14" i="6"/>
  <c r="FR14" i="6" l="1"/>
  <c r="FS10" i="6"/>
  <c r="FT10" i="6" l="1"/>
  <c r="FS14" i="6"/>
  <c r="FU10" i="6" l="1"/>
  <c r="FT14" i="6"/>
  <c r="FV10" i="6" l="1"/>
  <c r="FU14" i="6"/>
  <c r="FW10" i="6" l="1"/>
  <c r="FV14" i="6"/>
  <c r="FW14" i="6" l="1"/>
  <c r="FX10" i="6"/>
  <c r="FY10" i="6" l="1"/>
  <c r="FX14" i="6"/>
  <c r="FY14" i="6" l="1"/>
  <c r="FZ10" i="6"/>
  <c r="FZ14" i="6" l="1"/>
  <c r="GA10" i="6"/>
  <c r="GB10" i="6" l="1"/>
  <c r="GA14" i="6"/>
  <c r="GC10" i="6" l="1"/>
  <c r="GB14" i="6"/>
  <c r="GD10" i="6" l="1"/>
  <c r="GC14" i="6"/>
  <c r="GE10" i="6" l="1"/>
  <c r="GD14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O14" i="6" l="1"/>
  <c r="GP10" i="6"/>
  <c r="GQ10" i="6" l="1"/>
  <c r="GP14" i="6"/>
  <c r="GR10" i="6" l="1"/>
  <c r="GQ14" i="6"/>
  <c r="GS10" i="6" l="1"/>
  <c r="GR14" i="6"/>
  <c r="GT10" i="6" l="1"/>
  <c r="GS14" i="6"/>
  <c r="GT14" i="6" l="1"/>
  <c r="GU10" i="6"/>
  <c r="GU14" i="6" l="1"/>
  <c r="GV10" i="6"/>
  <c r="GW10" i="6" l="1"/>
  <c r="GV14" i="6"/>
  <c r="GX10" i="6" l="1"/>
  <c r="GW14" i="6"/>
  <c r="GY10" i="6" l="1"/>
  <c r="GX14" i="6"/>
  <c r="GY14" i="6" l="1"/>
  <c r="GZ10" i="6"/>
  <c r="HA10" i="6" l="1"/>
  <c r="GZ14" i="6"/>
  <c r="HB10" i="6" l="1"/>
  <c r="HA14" i="6"/>
  <c r="HC10" i="6" l="1"/>
  <c r="HB14" i="6"/>
  <c r="HD10" i="6" l="1"/>
  <c r="HC14" i="6"/>
  <c r="HE10" i="6" l="1"/>
  <c r="HD14" i="6"/>
  <c r="HE14" i="6" l="1"/>
  <c r="HF10" i="6"/>
  <c r="HG10" i="6" l="1"/>
  <c r="HF14" i="6"/>
  <c r="HH10" i="6" l="1"/>
  <c r="HG14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V10" i="6" l="1"/>
  <c r="HU14" i="6"/>
  <c r="HW10" i="6" l="1"/>
  <c r="HV14" i="6"/>
  <c r="HX10" i="6" l="1"/>
  <c r="HW14" i="6"/>
  <c r="HY10" i="6" l="1"/>
  <c r="HX14" i="6"/>
  <c r="HY14" i="6" l="1"/>
  <c r="HZ10" i="6"/>
  <c r="IA10" i="6" l="1"/>
  <c r="HZ14" i="6"/>
  <c r="IB10" i="6" l="1"/>
  <c r="IA14" i="6"/>
  <c r="IC10" i="6" l="1"/>
  <c r="IB14" i="6"/>
  <c r="IC14" i="6" l="1"/>
  <c r="ID10" i="6"/>
  <c r="IE10" i="6" l="1"/>
  <c r="ID14" i="6"/>
  <c r="IF10" i="6" l="1"/>
  <c r="IE14" i="6"/>
  <c r="IG10" i="6" l="1"/>
  <c r="IF14" i="6"/>
  <c r="IG14" i="6" l="1"/>
  <c r="IH10" i="6"/>
  <c r="IH14" i="6" l="1"/>
  <c r="II10" i="6"/>
  <c r="IJ10" i="6" l="1"/>
  <c r="II14" i="6"/>
  <c r="IK10" i="6" l="1"/>
  <c r="IJ14" i="6"/>
  <c r="IK14" i="6" l="1"/>
  <c r="IL10" i="6"/>
  <c r="IM10" i="6" l="1"/>
  <c r="IL14" i="6"/>
  <c r="IN10" i="6" l="1"/>
  <c r="IM14" i="6"/>
  <c r="IO10" i="6" l="1"/>
  <c r="IN14" i="6"/>
  <c r="IO14" i="6" l="1"/>
  <c r="IP10" i="6"/>
  <c r="IP14" i="6" l="1"/>
  <c r="IQ10" i="6"/>
  <c r="IR10" i="6" l="1"/>
  <c r="IQ14" i="6"/>
  <c r="IS10" i="6" l="1"/>
  <c r="IR14" i="6"/>
  <c r="IS14" i="6" l="1"/>
  <c r="IT10" i="6"/>
  <c r="IT14" i="6" l="1"/>
  <c r="IU10" i="6"/>
  <c r="IV10" i="6" l="1"/>
  <c r="IU14" i="6"/>
  <c r="IW10" i="6" l="1"/>
  <c r="IV14" i="6"/>
  <c r="IX10" i="6" l="1"/>
  <c r="IW14" i="6"/>
  <c r="IY10" i="6" l="1"/>
  <c r="IX14" i="6"/>
  <c r="IY14" i="6" l="1"/>
  <c r="IZ10" i="6"/>
  <c r="JA10" i="6" l="1"/>
  <c r="IZ14" i="6"/>
  <c r="JB10" i="6" l="1"/>
  <c r="JA14" i="6"/>
  <c r="JC10" i="6" l="1"/>
  <c r="JB14" i="6"/>
  <c r="JD10" i="6" l="1"/>
  <c r="JC14" i="6"/>
  <c r="JE10" i="6" l="1"/>
  <c r="JD14" i="6"/>
  <c r="JF10" i="6" l="1"/>
  <c r="JE14" i="6"/>
  <c r="JF14" i="6" l="1"/>
  <c r="JG10" i="6"/>
  <c r="JH10" i="6" l="1"/>
  <c r="JG14" i="6"/>
  <c r="JI10" i="6" l="1"/>
  <c r="JH14" i="6"/>
  <c r="JI14" i="6" l="1"/>
  <c r="JJ10" i="6"/>
  <c r="JK10" i="6" l="1"/>
  <c r="JJ14" i="6"/>
  <c r="JK14" i="6" l="1"/>
  <c r="JL10" i="6"/>
  <c r="JM10" i="6" l="1"/>
  <c r="JL14" i="6"/>
  <c r="JN10" i="6" l="1"/>
  <c r="JM14" i="6"/>
  <c r="JO10" i="6" l="1"/>
  <c r="JN14" i="6"/>
  <c r="JO14" i="6" l="1"/>
  <c r="JP10" i="6"/>
  <c r="JQ10" i="6" l="1"/>
  <c r="JP14" i="6"/>
  <c r="JQ14" i="6" l="1"/>
  <c r="JR10" i="6"/>
  <c r="JS10" i="6" l="1"/>
  <c r="JR14" i="6"/>
  <c r="JS14" i="6" l="1"/>
  <c r="JT10" i="6"/>
  <c r="JT14" i="6" l="1"/>
  <c r="JU10" i="6"/>
  <c r="JV10" i="6" l="1"/>
  <c r="JU14" i="6"/>
  <c r="JW10" i="6" l="1"/>
  <c r="JV14" i="6"/>
  <c r="JW14" i="6" l="1"/>
  <c r="JX10" i="6"/>
  <c r="JY10" i="6" l="1"/>
  <c r="JX14" i="6"/>
  <c r="JZ10" i="6" l="1"/>
  <c r="JY14" i="6"/>
  <c r="JZ14" i="6" l="1"/>
  <c r="KA10" i="6"/>
  <c r="KA14" i="6" l="1"/>
  <c r="KB10" i="6"/>
  <c r="KC10" i="6" l="1"/>
  <c r="KB14" i="6"/>
  <c r="KD10" i="6" l="1"/>
  <c r="KC14" i="6"/>
  <c r="KE10" i="6" l="1"/>
  <c r="KD14" i="6"/>
  <c r="KE14" i="6" l="1"/>
  <c r="KF10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<sst xmlns="http://schemas.openxmlformats.org/spreadsheetml/2006/main" count="803" uniqueCount="451">
  <si>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</si>
  <si>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</si>
  <si>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</si>
  <si>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</si>
  <si>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</si>
  <si>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</si>
  <si>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</si>
  <si>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</si>
  <si>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</si>
  <si>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</si>
  <si>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</si>
  <si>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</si>
  <si>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</si>
  <si>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</si>
  <si>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</si>
  <si>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</si>
  <si>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</si>
  <si>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</si>
  <si>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</si>
  <si>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</si>
  <si>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</si>
  <si>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</si>
  <si>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</si>
  <si>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</si>
  <si>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</si>
  <si>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</si>
  <si>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</si>
  <si>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</si>
  <si>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</si>
  <si>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</si>
  <si>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</si>
  <si>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</si>
  <si>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</si>
  <si>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</si>
  <si>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</si>
  <si>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</si>
  <si>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</si>
  <si>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</si>
  <si>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</si>
  <si>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</si>
  <si>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</si>
  <si>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</si>
  <si>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</si>
  <si>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</si>
  <si>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</si>
  <si>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</si>
  <si>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</si>
  <si>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</si>
  <si>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</si>
  <si>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</si>
  <si>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</si>
  <si>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</si>
  <si>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</si>
  <si>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</si>
  <si>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</si>
  <si>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</si>
  <si>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</si>
  <si>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</si>
  <si>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</si>
  <si>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</si>
  <si>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</si>
  <si>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</si>
  <si>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</si>
  <si>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</si>
  <si>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</si>
  <si>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</si>
  <si>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</si>
  <si>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</si>
  <si>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</si>
  <si>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</si>
  <si>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</si>
  <si>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</si>
  <si>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</si>
  <si>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</si>
  <si>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</si>
  <si>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</si>
  <si>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</si>
  <si>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</si>
  <si>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</si>
  <si>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</si>
  <si>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</si>
  <si>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</si>
  <si>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</si>
  <si>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</si>
  <si>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</si>
  <si>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</si>
  <si>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</si>
  <si>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</si>
  <si>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</si>
  <si>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</si>
  <si>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</si>
  <si>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</si>
  <si>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</si>
  <si>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</si>
  <si>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</si>
  <si>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</si>
  <si>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</si>
  <si>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</si>
  <si>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</si>
  <si>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</si>
  <si>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</si>
  <si>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</si>
  <si>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</si>
  <si>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</si>
  <si>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</si>
  <si>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</si>
  <si>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</si>
  <si>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</si>
  <si>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</si>
  <si>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</si>
  <si>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</si>
  <si>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</si>
  <si>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</si>
  <si>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</si>
  <si>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</si>
  <si>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</si>
  <si>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</si>
  <si>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</si>
  <si>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</si>
  <si>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</si>
  <si>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</si>
  <si>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</si>
  <si>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</si>
  <si>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</si>
  <si>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</si>
  <si>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</si>
  <si>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</si>
  <si>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</si>
  <si>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</si>
  <si>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</si>
  <si>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</si>
  <si>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</si>
  <si>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</si>
  <si>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</si>
  <si>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</si>
  <si>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</si>
  <si>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</si>
  <si>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</si>
  <si>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</si>
  <si>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</si>
  <si>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</si>
  <si>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</si>
  <si>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</si>
  <si>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</si>
  <si>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</si>
  <si>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</si>
  <si>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</si>
  <si>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</si>
  <si>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</si>
  <si>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</si>
  <si>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</si>
  <si>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</si>
  <si>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</si>
  <si>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</si>
  <si>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</si>
  <si>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</si>
  <si>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</si>
  <si>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</si>
  <si>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</si>
  <si>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</si>
  <si>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</si>
  <si>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</si>
  <si>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</si>
  <si>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</si>
  <si>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</si>
  <si>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</si>
  <si>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</si>
  <si>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</si>
  <si>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</si>
  <si>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</si>
  <si>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</si>
  <si>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</si>
  <si>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</si>
  <si>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</si>
  <si>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</si>
  <si>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</si>
  <si>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</si>
  <si>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</si>
  <si>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</si>
  <si>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</si>
  <si>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</si>
  <si>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</si>
  <si>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</si>
  <si>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</si>
  <si>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</si>
  <si>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</si>
  <si>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</si>
  <si>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</si>
  <si>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</si>
  <si>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</si>
  <si>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</si>
  <si>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</si>
  <si>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</si>
  <si>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</si>
  <si>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</si>
  <si>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</si>
  <si>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</si>
  <si>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Delayed due to Standard Bank paperwork issues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</si>
  <si>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</si>
  <si>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</si>
  <si>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</si>
  <si>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</si>
  <si>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</si>
  <si>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</si>
  <si>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</si>
  <si>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</si>
  <si>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</si>
  <si>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</si>
  <si>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</si>
  <si>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</si>
  <si>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</si>
  <si>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</si>
  <si>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</si>
  <si>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</si>
  <si>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</si>
  <si>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</si>
  <si>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</si>
  <si>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</si>
  <si>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</si>
  <si>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</si>
  <si>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</si>
  <si>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</si>
  <si>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</si>
  <si>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</si>
  <si>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</si>
  <si>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</si>
  <si>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</si>
  <si>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</si>
  <si>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</si>
  <si>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</si>
  <si>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</si>
  <si>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</si>
  <si>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</si>
  <si>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</si>
  <si>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</si>
  <si>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</si>
  <si>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</si>
  <si>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</si>
  <si>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</si>
  <si>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</si>
  <si>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</si>
  <si>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</si>
  <si>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</si>
  <si>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</si>
  <si>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</si>
  <si>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</si>
  <si>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</si>
  <si>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</si>
  <si>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</si>
  <si>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</si>
  <si>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</si>
  <si>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</si>
  <si>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</si>
  <si>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</si>
  <si>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</si>
  <si>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</si>
  <si>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</si>
  <si>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</si>
  <si>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</si>
  <si>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</si>
  <si>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</si>
  <si>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</si>
  <si>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</si>
  <si>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</si>
  <si>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</si>
  <si>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</si>
  <si>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</si>
  <si>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</si>
  <si>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</si>
  <si>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</si>
  <si>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</si>
  <si>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</si>
  <si>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</si>
  <si>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</si>
  <si>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</si>
  <si>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</si>
  <si>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</si>
  <si>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</si>
  <si>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</si>
  <si>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</si>
  <si>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</si>
  <si>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</si>
  <si>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</si>
  <si>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</si>
  <si>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</si>
  <si>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</si>
  <si>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</si>
  <si>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</si>
  <si>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</si>
  <si>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</si>
  <si>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</si>
  <si>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</si>
  <si>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</si>
  <si>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</si>
  <si>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</si>
  <si>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</si>
  <si>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</si>
  <si>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</si>
  <si>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</si>
  <si>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</si>
  <si>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</si>
  <si>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</si>
  <si>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</si>
  <si>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</si>
  <si>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</si>
  <si>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</si>
  <si>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</si>
  <si>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</si>
  <si>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</si>
  <si>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</si>
  <si>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</si>
  <si>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</si>
  <si>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</si>
  <si>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</si>
  <si>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</si>
  <si>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</si>
  <si>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</si>
  <si>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</si>
  <si>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</si>
  <si>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</si>
  <si>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</si>
  <si>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</si>
  <si>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</si>
  <si>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</si>
  <si>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</si>
  <si>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</si>
  <si>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</si>
  <si>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</si>
  <si>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</si>
  <si>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</si>
  <si>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</si>
  <si>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</si>
  <si>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</si>
  <si>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</si>
  <si>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</si>
  <si>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</si>
  <si>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</si>
  <si>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</si>
  <si>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</si>
  <si>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</si>
  <si>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</si>
  <si>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</si>
  <si>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</si>
  <si>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</si>
  <si>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</si>
  <si>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</si>
  <si>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</si>
  <si>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</si>
  <si>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</si>
  <si>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</si>
  <si>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</si>
  <si>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</si>
  <si>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</si>
  <si>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</si>
  <si>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</si>
  <si>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</si>
  <si>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</si>
  <si>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</si>
  <si>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</si>
  <si>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</si>
  <si>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</si>
  <si>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</si>
  <si>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</si>
  <si>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</si>
  <si>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</si>
  <si>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</si>
  <si>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</si>
  <si>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</si>
  <si>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</si>
  <si>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</si>
  <si>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</si>
  <si>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</si>
  <si>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</si>
  <si>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</si>
  <si>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</si>
  <si>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</si>
  <si>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</si>
  <si>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</si>
  <si>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</si>
  <si>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</si>
  <si>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</si>
  <si>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</si>
  <si>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</si>
  <si>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</si>
  <si>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</si>
  <si>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</si>
  <si>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</si>
  <si>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</si>
  <si>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</si>
  <si>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</si>
  <si>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</si>
  <si>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</si>
  <si>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</si>
  <si>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</si>
  <si>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</si>
  <si>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</si>
  <si>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</si>
  <si>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</si>
  <si>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</si>
  <si>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</si>
  <si>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</si>
  <si>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</si>
  <si>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</si>
  <si>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</si>
  <si>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</si>
  <si>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</si>
  <si>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</si>
  <si>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</si>
  <si>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</si>
  <si>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</si>
  <si>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</si>
  <si>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</si>
  <si>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</si>
  <si>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</si>
  <si>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</si>
  <si>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</si>
  <si>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</si>
  <si>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</si>
  <si>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</si>
  <si>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</si>
  <si>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</si>
  <si>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</si>
  <si>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</si>
  <si>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</si>
  <si>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</si>
  <si>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</si>
  <si>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</si>
  <si>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</si>
  <si>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</si>
  <si>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</si>
  <si>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</si>
  <si>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</si>
  <si>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</si>
  <si>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</si>
  <si>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</si>
  <si>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</si>
  <si>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</si>
  <si>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</si>
  <si>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</si>
  <si>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</si>
  <si>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</si>
  <si>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</si>
  <si>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</si>
  <si>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</si>
  <si>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Docs in Review
Delay with revenue payments</t>
  </si>
  <si>
    <t>BDL Solar - IN000765</t>
  </si>
  <si>
    <t>BDL Solar - IN000766</t>
  </si>
  <si>
    <t>BDL Solar - IN000767</t>
  </si>
  <si>
    <t>BDL Solar - IN000768</t>
  </si>
  <si>
    <t>BDL Solar - IN000769</t>
  </si>
  <si>
    <t>BDL Solar - IN000770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</si>
</sst>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48" fillId="9" borderId="51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545952.95273360435</c:v>
                </c:pt>
                <c:pt idx="15">
                  <c:v>1091905.9054672087</c:v>
                </c:pt>
                <c:pt idx="16">
                  <c:v>1091905.9054672087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569882.88</c:v>
                </c:pt>
                <c:pt idx="14">
                  <c:v>616357.38</c:v>
                </c:pt>
                <c:pt idx="15">
                  <c:v>934511.15000000014</c:v>
                </c:pt>
                <c:pt idx="16">
                  <c:v>934511.15000000014</c:v>
                </c:pt>
                <c:pt idx="17">
                  <c:v>934511.15000000014</c:v>
                </c:pt>
                <c:pt idx="18">
                  <c:v>934511.15000000014</c:v>
                </c:pt>
                <c:pt idx="19">
                  <c:v>945680.15000000014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-23929.927266395651</c:v>
                </c:pt>
                <c:pt idx="14">
                  <c:v>-70404.427266395651</c:v>
                </c:pt>
                <c:pt idx="15">
                  <c:v>157394.75546720857</c:v>
                </c:pt>
                <c:pt idx="16">
                  <c:v>157394.75546720857</c:v>
                </c:pt>
                <c:pt idx="17">
                  <c:v>430371.23183401069</c:v>
                </c:pt>
                <c:pt idx="18">
                  <c:v>430371.23183401069</c:v>
                </c:pt>
                <c:pt idx="19">
                  <c:v>419202.23183401069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1364267.2748015746</c:v>
                </c:pt>
                <c:pt idx="16">
                  <c:v>1364267.2748015746</c:v>
                </c:pt>
                <c:pt idx="17">
                  <c:v>1364267.2748015746</c:v>
                </c:pt>
                <c:pt idx="18">
                  <c:v>1364267.2748015746</c:v>
                </c:pt>
                <c:pt idx="19">
                  <c:v>1364267.2748015746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  <Event time="2026-02-17T11:44:45.90" id="{C1DF9AA6-6689-4002-989E-7E122B5E6371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 done="1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109375" customWidth="1"/>
    <col min="3" max="3" width="28.77734375" customWidth="1"/>
    <col min="4" max="4" width="15.33203125" customWidth="1"/>
    <col min="5" max="5" width="16.5546875" customWidth="1"/>
    <col min="6" max="6" width="6" customWidth="1"/>
  </cols>
  <sheetData>
    <row r="1" spans="2:15" ht="15" thickBot="1"/>
    <row r="2" spans="2:15" ht="18">
      <c r="B2" s="711" t="s">
        <v>0</v>
      </c>
      <c r="C2" s="711"/>
      <c r="D2" s="711"/>
      <c r="E2" s="711"/>
      <c r="H2" s="712" t="s">
        <v>1</v>
      </c>
      <c r="I2" s="713"/>
      <c r="J2" s="713"/>
      <c r="K2" s="713"/>
      <c r="L2" s="713"/>
      <c r="M2" s="713"/>
      <c r="N2" s="713"/>
      <c r="O2" s="714"/>
    </row>
    <row r="3" spans="2:15">
      <c r="B3" s="613"/>
      <c r="H3" s="715"/>
      <c r="I3" s="716"/>
      <c r="J3" s="716"/>
      <c r="K3" s="716"/>
      <c r="L3" s="716"/>
      <c r="M3" s="716"/>
      <c r="N3" s="716"/>
      <c r="O3" s="717"/>
    </row>
    <row r="4" spans="2:15">
      <c r="B4" s="614" t="s">
        <v>2</v>
      </c>
      <c r="C4" s="615" t="str">
        <f>'Project Plan'!E2</f>
        <v>SuperSpar Despatch Ph2</v>
      </c>
      <c r="H4" s="715"/>
      <c r="I4" s="716"/>
      <c r="J4" s="716"/>
      <c r="K4" s="716"/>
      <c r="L4" s="716"/>
      <c r="M4" s="716"/>
      <c r="N4" s="716"/>
      <c r="O4" s="717"/>
    </row>
    <row r="5" spans="2:15">
      <c r="B5" s="614" t="s">
        <v>3</v>
      </c>
      <c r="C5" s="615" t="s">
        <v>4</v>
      </c>
      <c r="H5" s="715"/>
      <c r="I5" s="716"/>
      <c r="J5" s="716"/>
      <c r="K5" s="716"/>
      <c r="L5" s="716"/>
      <c r="M5" s="716"/>
      <c r="N5" s="716"/>
      <c r="O5" s="717"/>
    </row>
    <row r="6" spans="2:15">
      <c r="B6" s="614" t="s">
        <v>5</v>
      </c>
      <c r="C6" s="615" t="s">
        <v>6</v>
      </c>
      <c r="H6" s="715"/>
      <c r="I6" s="716"/>
      <c r="J6" s="716"/>
      <c r="K6" s="716"/>
      <c r="L6" s="716"/>
      <c r="M6" s="716"/>
      <c r="N6" s="716"/>
      <c r="O6" s="717"/>
    </row>
    <row r="7" spans="2:15">
      <c r="B7" s="614" t="s">
        <v>7</v>
      </c>
      <c r="C7" s="615" t="s">
        <v>8</v>
      </c>
      <c r="H7" s="715"/>
      <c r="I7" s="716"/>
      <c r="J7" s="716"/>
      <c r="K7" s="716"/>
      <c r="L7" s="716"/>
      <c r="M7" s="716"/>
      <c r="N7" s="716"/>
      <c r="O7" s="717"/>
    </row>
    <row r="8" spans="2:15">
      <c r="B8" s="613"/>
      <c r="H8" s="715"/>
      <c r="I8" s="716"/>
      <c r="J8" s="716"/>
      <c r="K8" s="716"/>
      <c r="L8" s="716"/>
      <c r="M8" s="716"/>
      <c r="N8" s="716"/>
      <c r="O8" s="717"/>
    </row>
    <row r="9" spans="2:15">
      <c r="B9" s="721" t="s">
        <v>9</v>
      </c>
      <c r="C9" s="721"/>
      <c r="D9" s="721"/>
      <c r="E9" s="721"/>
      <c r="H9" s="715"/>
      <c r="I9" s="716"/>
      <c r="J9" s="716"/>
      <c r="K9" s="716"/>
      <c r="L9" s="716"/>
      <c r="M9" s="716"/>
      <c r="N9" s="716"/>
      <c r="O9" s="717"/>
    </row>
    <row r="10" spans="2:15" ht="15" thickBot="1">
      <c r="B10" s="721" t="s">
        <v>10</v>
      </c>
      <c r="C10" s="721"/>
      <c r="D10" s="721"/>
      <c r="E10" s="721"/>
      <c r="H10" s="718"/>
      <c r="I10" s="719"/>
      <c r="J10" s="719"/>
      <c r="K10" s="719"/>
      <c r="L10" s="719"/>
      <c r="M10" s="719"/>
      <c r="N10" s="719"/>
      <c r="O10" s="720"/>
    </row>
    <row r="11" spans="2:15">
      <c r="B11" s="616" t="s">
        <v>11</v>
      </c>
      <c r="C11" s="710"/>
      <c r="D11" s="710"/>
      <c r="E11" s="710"/>
    </row>
    <row r="12" spans="2:15">
      <c r="B12" s="616" t="s">
        <v>12</v>
      </c>
      <c r="C12" s="710"/>
      <c r="D12" s="710"/>
      <c r="E12" s="710"/>
    </row>
    <row r="13" spans="2:15">
      <c r="B13" s="616" t="s">
        <v>13</v>
      </c>
      <c r="C13" s="710"/>
      <c r="D13" s="710"/>
      <c r="E13" s="710"/>
    </row>
    <row r="14" spans="2:15">
      <c r="B14" s="616" t="s">
        <v>14</v>
      </c>
      <c r="C14" s="710"/>
      <c r="D14" s="710"/>
      <c r="E14" s="710"/>
    </row>
    <row r="15" spans="2:15">
      <c r="B15" s="616" t="s">
        <v>15</v>
      </c>
      <c r="C15" s="710"/>
      <c r="D15" s="710"/>
      <c r="E15" s="710"/>
    </row>
    <row r="16" spans="2:15" ht="15" customHeight="1">
      <c r="B16" s="616" t="s">
        <v>16</v>
      </c>
      <c r="C16" s="710"/>
      <c r="D16" s="710"/>
      <c r="E16" s="710"/>
    </row>
    <row r="17" spans="2:5">
      <c r="B17" s="613"/>
    </row>
    <row r="18" spans="2:5">
      <c r="B18" s="722" t="s">
        <v>17</v>
      </c>
      <c r="C18" s="722"/>
      <c r="D18" s="722"/>
      <c r="E18" s="722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109375" customWidth="1"/>
    <col min="3" max="3" width="28.77734375" customWidth="1"/>
    <col min="4" max="4" width="15.33203125" customWidth="1"/>
    <col min="5" max="5" width="16.5546875" customWidth="1"/>
    <col min="6" max="6" width="6" customWidth="1"/>
  </cols>
  <sheetData>
    <row r="1" spans="2:15" ht="15" thickBot="1"/>
    <row r="2" spans="2:15" ht="18">
      <c r="B2" s="711" t="s">
        <v>22</v>
      </c>
      <c r="C2" s="711"/>
      <c r="D2" s="711"/>
      <c r="E2" s="711"/>
      <c r="H2" s="712" t="s">
        <v>23</v>
      </c>
      <c r="I2" s="713"/>
      <c r="J2" s="713"/>
      <c r="K2" s="713"/>
      <c r="L2" s="713"/>
      <c r="M2" s="713"/>
      <c r="N2" s="713"/>
      <c r="O2" s="714"/>
    </row>
    <row r="3" spans="2:15">
      <c r="B3" s="613"/>
      <c r="H3" s="715"/>
      <c r="I3" s="716"/>
      <c r="J3" s="716"/>
      <c r="K3" s="716"/>
      <c r="L3" s="716"/>
      <c r="M3" s="716"/>
      <c r="N3" s="716"/>
      <c r="O3" s="717"/>
    </row>
    <row r="4" spans="2:15">
      <c r="B4" s="614" t="s">
        <v>2</v>
      </c>
      <c r="C4" s="615" t="str">
        <f>'Project Plan'!E2</f>
        <v>SuperSpar Despatch Ph2</v>
      </c>
      <c r="H4" s="715"/>
      <c r="I4" s="716"/>
      <c r="J4" s="716"/>
      <c r="K4" s="716"/>
      <c r="L4" s="716"/>
      <c r="M4" s="716"/>
      <c r="N4" s="716"/>
      <c r="O4" s="717"/>
    </row>
    <row r="5" spans="2:15">
      <c r="B5" s="614" t="s">
        <v>24</v>
      </c>
      <c r="C5" s="615"/>
      <c r="H5" s="715"/>
      <c r="I5" s="716"/>
      <c r="J5" s="716"/>
      <c r="K5" s="716"/>
      <c r="L5" s="716"/>
      <c r="M5" s="716"/>
      <c r="N5" s="716"/>
      <c r="O5" s="717"/>
    </row>
    <row r="6" spans="2:15">
      <c r="B6" s="614" t="s">
        <v>5</v>
      </c>
      <c r="C6" s="615" t="s">
        <v>6</v>
      </c>
      <c r="H6" s="715"/>
      <c r="I6" s="716"/>
      <c r="J6" s="716"/>
      <c r="K6" s="716"/>
      <c r="L6" s="716"/>
      <c r="M6" s="716"/>
      <c r="N6" s="716"/>
      <c r="O6" s="717"/>
    </row>
    <row r="7" spans="2:15">
      <c r="B7" s="614" t="s">
        <v>25</v>
      </c>
      <c r="C7" s="615" t="str">
        <f>'Project Plan'!E5</f>
        <v>Lloyd Brown</v>
      </c>
      <c r="H7" s="715"/>
      <c r="I7" s="716"/>
      <c r="J7" s="716"/>
      <c r="K7" s="716"/>
      <c r="L7" s="716"/>
      <c r="M7" s="716"/>
      <c r="N7" s="716"/>
      <c r="O7" s="717"/>
    </row>
    <row r="8" spans="2:15">
      <c r="B8" s="614" t="s">
        <v>26</v>
      </c>
      <c r="C8" s="615"/>
      <c r="H8" s="715"/>
      <c r="I8" s="716"/>
      <c r="J8" s="716"/>
      <c r="K8" s="716"/>
      <c r="L8" s="716"/>
      <c r="M8" s="716"/>
      <c r="N8" s="716"/>
      <c r="O8" s="717"/>
    </row>
    <row r="9" spans="2:15">
      <c r="B9" s="613"/>
      <c r="H9" s="715"/>
      <c r="I9" s="716"/>
      <c r="J9" s="716"/>
      <c r="K9" s="716"/>
      <c r="L9" s="716"/>
      <c r="M9" s="716"/>
      <c r="N9" s="716"/>
      <c r="O9" s="717"/>
    </row>
    <row r="10" spans="2:15">
      <c r="B10" s="721" t="s">
        <v>9</v>
      </c>
      <c r="C10" s="721"/>
      <c r="D10" s="721"/>
      <c r="E10" s="721"/>
      <c r="H10" s="715"/>
      <c r="I10" s="716"/>
      <c r="J10" s="716"/>
      <c r="K10" s="716"/>
      <c r="L10" s="716"/>
      <c r="M10" s="716"/>
      <c r="N10" s="716"/>
      <c r="O10" s="717"/>
    </row>
    <row r="11" spans="2:15" ht="15" thickBot="1">
      <c r="B11" s="721" t="s">
        <v>10</v>
      </c>
      <c r="C11" s="721"/>
      <c r="D11" s="721"/>
      <c r="E11" s="721"/>
      <c r="H11" s="718"/>
      <c r="I11" s="719"/>
      <c r="J11" s="719"/>
      <c r="K11" s="719"/>
      <c r="L11" s="719"/>
      <c r="M11" s="719"/>
      <c r="N11" s="719"/>
      <c r="O11" s="720"/>
    </row>
    <row r="12" spans="2:15" ht="26.4">
      <c r="B12" s="616" t="s">
        <v>27</v>
      </c>
      <c r="C12" s="710"/>
      <c r="D12" s="710"/>
      <c r="E12" s="710"/>
    </row>
    <row r="13" spans="2:15">
      <c r="B13" s="616" t="s">
        <v>28</v>
      </c>
      <c r="C13" s="710"/>
      <c r="D13" s="710"/>
      <c r="E13" s="710"/>
    </row>
    <row r="14" spans="2:15">
      <c r="B14" s="616" t="s">
        <v>29</v>
      </c>
      <c r="C14" s="710"/>
      <c r="D14" s="710"/>
      <c r="E14" s="710"/>
    </row>
    <row r="15" spans="2:15">
      <c r="B15" s="616" t="s">
        <v>30</v>
      </c>
      <c r="C15" s="710"/>
      <c r="D15" s="710"/>
      <c r="E15" s="710"/>
    </row>
    <row r="16" spans="2:15" ht="26.4">
      <c r="B16" s="616" t="s">
        <v>31</v>
      </c>
      <c r="C16" s="710"/>
      <c r="D16" s="710"/>
      <c r="E16" s="710"/>
    </row>
    <row r="17" spans="2:5">
      <c r="B17" s="616" t="s">
        <v>32</v>
      </c>
      <c r="C17" s="710"/>
      <c r="D17" s="710"/>
      <c r="E17" s="710"/>
    </row>
    <row r="18" spans="2:5">
      <c r="B18" s="616" t="s">
        <v>33</v>
      </c>
      <c r="C18" s="710"/>
      <c r="D18" s="710"/>
      <c r="E18" s="710"/>
    </row>
    <row r="19" spans="2:5">
      <c r="B19" s="616" t="s">
        <v>34</v>
      </c>
      <c r="C19" s="710"/>
      <c r="D19" s="710"/>
      <c r="E19" s="710"/>
    </row>
    <row r="20" spans="2:5">
      <c r="B20" s="616" t="s">
        <v>35</v>
      </c>
      <c r="C20" s="710"/>
      <c r="D20" s="710"/>
      <c r="E20" s="710"/>
    </row>
    <row r="21" spans="2:5">
      <c r="B21" s="616" t="s">
        <v>36</v>
      </c>
      <c r="C21" s="710"/>
      <c r="D21" s="710"/>
      <c r="E21" s="710"/>
    </row>
    <row r="22" spans="2:5" ht="15" customHeight="1">
      <c r="B22" s="616" t="s">
        <v>16</v>
      </c>
      <c r="C22" s="710"/>
      <c r="D22" s="710"/>
      <c r="E22" s="710"/>
    </row>
    <row r="23" spans="2:5">
      <c r="B23" s="613"/>
    </row>
    <row r="24" spans="2:5">
      <c r="B24" s="722" t="s">
        <v>17</v>
      </c>
      <c r="C24" s="722"/>
      <c r="D24" s="722"/>
      <c r="E24" s="722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3203125" defaultRowHeight="14.4"/>
  <cols>
    <col min="1" max="1" width="0.77734375" customWidth="1"/>
    <col min="2" max="2" width="8.33203125" bestFit="1" customWidth="1"/>
    <col min="3" max="3" width="45.10937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109375" bestFit="1" customWidth="1"/>
    <col min="10" max="10" width="14.109375" customWidth="1"/>
    <col min="11" max="11" width="77.77734375" customWidth="1"/>
  </cols>
  <sheetData>
    <row r="1" spans="2:15">
      <c r="B1" s="725"/>
      <c r="C1" s="726"/>
      <c r="D1" s="726"/>
      <c r="E1" s="726"/>
      <c r="F1" s="723" t="s">
        <v>37</v>
      </c>
      <c r="G1" s="723"/>
      <c r="H1" s="723"/>
      <c r="I1" s="723"/>
      <c r="J1" s="723"/>
      <c r="K1" s="724"/>
      <c r="L1" s="13"/>
      <c r="M1" s="13"/>
      <c r="N1" s="13"/>
      <c r="O1" s="13"/>
    </row>
    <row r="2" spans="2:15" ht="6.75" customHeight="1"/>
    <row r="3" spans="2:15" s="620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33203125" defaultRowHeight="13.8"/>
  <cols>
    <col min="1" max="1" width="1.33203125" style="4" customWidth="1"/>
    <col min="2" max="2" width="30.5546875" style="4" bestFit="1" customWidth="1"/>
    <col min="3" max="3" width="19.5546875" style="4" customWidth="1"/>
    <col min="4" max="4" width="32.77734375" style="4" customWidth="1"/>
    <col min="5" max="5" width="9.5546875" style="4" customWidth="1"/>
    <col min="6" max="6" width="53.33203125" style="4" customWidth="1"/>
    <col min="7" max="16384" width="8.3320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1" t="s">
        <v>82</v>
      </c>
      <c r="C3" s="601" t="s">
        <v>83</v>
      </c>
      <c r="D3" s="601" t="s">
        <v>84</v>
      </c>
      <c r="E3" s="604">
        <v>257</v>
      </c>
      <c r="F3" s="601"/>
      <c r="G3" s="1"/>
    </row>
    <row r="4" spans="1:7">
      <c r="A4" s="126"/>
      <c r="B4" s="601" t="s">
        <v>85</v>
      </c>
      <c r="C4" s="601" t="s">
        <v>83</v>
      </c>
      <c r="D4" s="601" t="s">
        <v>86</v>
      </c>
      <c r="E4" s="604">
        <v>6000</v>
      </c>
      <c r="F4" s="601"/>
      <c r="G4" s="1"/>
    </row>
    <row r="5" spans="1:7">
      <c r="A5" s="126"/>
      <c r="B5" s="601" t="s">
        <v>87</v>
      </c>
      <c r="C5" s="601" t="s">
        <v>83</v>
      </c>
      <c r="D5" s="601" t="s">
        <v>88</v>
      </c>
      <c r="E5" s="604">
        <v>2</v>
      </c>
      <c r="F5" s="601"/>
      <c r="G5" s="1"/>
    </row>
    <row r="6" spans="1:7">
      <c r="A6" s="126"/>
      <c r="B6" s="601" t="s">
        <v>89</v>
      </c>
      <c r="C6" s="601"/>
      <c r="D6" s="601"/>
      <c r="E6" s="604"/>
      <c r="F6" s="601"/>
      <c r="G6" s="1"/>
    </row>
    <row r="7" spans="1:7">
      <c r="A7" s="126"/>
      <c r="B7" s="601" t="s">
        <v>90</v>
      </c>
      <c r="C7" s="601"/>
      <c r="D7" s="601"/>
      <c r="E7" s="604"/>
      <c r="F7" s="601"/>
      <c r="G7" s="1"/>
    </row>
    <row r="8" spans="1:7">
      <c r="A8" s="126"/>
      <c r="B8" s="601" t="s">
        <v>91</v>
      </c>
      <c r="C8" s="601"/>
      <c r="D8" s="601"/>
      <c r="E8" s="604"/>
      <c r="F8" s="601"/>
      <c r="G8" s="1"/>
    </row>
    <row r="9" spans="1:7">
      <c r="A9" s="126"/>
      <c r="B9" s="601" t="s">
        <v>92</v>
      </c>
      <c r="C9" s="601"/>
      <c r="D9" s="601"/>
      <c r="E9" s="604"/>
      <c r="F9" s="601"/>
      <c r="G9" s="1"/>
    </row>
    <row r="10" spans="1:7">
      <c r="A10" s="126"/>
      <c r="B10" s="601" t="s">
        <v>93</v>
      </c>
      <c r="C10" s="601"/>
      <c r="D10" s="601"/>
      <c r="E10" s="604"/>
      <c r="F10" s="601"/>
      <c r="G10" s="1"/>
    </row>
    <row r="11" spans="1:7">
      <c r="A11" s="126"/>
      <c r="B11" s="601" t="s">
        <v>94</v>
      </c>
      <c r="C11" s="601"/>
      <c r="D11" s="601"/>
      <c r="E11" s="604"/>
      <c r="F11" s="601"/>
      <c r="G11" s="1"/>
    </row>
    <row r="12" spans="1:7">
      <c r="A12" s="126"/>
      <c r="B12" s="601" t="s">
        <v>95</v>
      </c>
      <c r="C12" s="601"/>
      <c r="D12" s="601"/>
      <c r="E12" s="604"/>
      <c r="F12" s="601"/>
      <c r="G12" s="1"/>
    </row>
    <row r="13" spans="1:7">
      <c r="A13" s="126"/>
      <c r="B13" s="601" t="s">
        <v>96</v>
      </c>
      <c r="C13" s="601"/>
      <c r="D13" s="601"/>
      <c r="E13" s="604"/>
      <c r="F13" s="601"/>
      <c r="G13" s="1"/>
    </row>
    <row r="14" spans="1:7">
      <c r="A14" s="126"/>
      <c r="B14" s="601" t="s">
        <v>97</v>
      </c>
      <c r="C14" s="601"/>
      <c r="D14" s="601"/>
      <c r="E14" s="604"/>
      <c r="F14" s="601"/>
      <c r="G14" s="1"/>
    </row>
    <row r="15" spans="1:7">
      <c r="A15" s="126"/>
      <c r="B15" s="601"/>
      <c r="C15" s="601"/>
      <c r="D15" s="601"/>
      <c r="E15" s="604"/>
      <c r="F15" s="601"/>
      <c r="G15" s="1"/>
    </row>
    <row r="16" spans="1:7">
      <c r="A16" s="126"/>
      <c r="B16" s="601"/>
      <c r="C16" s="601"/>
      <c r="D16" s="601"/>
      <c r="E16" s="604"/>
      <c r="F16" s="601"/>
      <c r="G16" s="1"/>
    </row>
    <row r="17" spans="1:7">
      <c r="A17" s="126"/>
      <c r="B17" s="601"/>
      <c r="C17" s="601"/>
      <c r="D17" s="601"/>
      <c r="E17" s="604"/>
      <c r="F17" s="601"/>
      <c r="G17" s="1"/>
    </row>
    <row r="18" spans="1:7">
      <c r="A18" s="126"/>
      <c r="B18" s="601"/>
      <c r="C18" s="601"/>
      <c r="D18" s="601"/>
      <c r="E18" s="604"/>
      <c r="F18" s="601"/>
      <c r="G18" s="1"/>
    </row>
    <row r="19" spans="1:7">
      <c r="A19" s="126"/>
      <c r="B19" s="601"/>
      <c r="C19" s="601"/>
      <c r="D19" s="601"/>
      <c r="E19" s="604"/>
      <c r="F19" s="601"/>
      <c r="G19" s="1"/>
    </row>
    <row r="20" spans="1:7">
      <c r="A20" s="126"/>
      <c r="B20" s="601"/>
      <c r="C20" s="601"/>
      <c r="D20" s="601"/>
      <c r="E20" s="604"/>
      <c r="F20" s="601"/>
      <c r="G20" s="1"/>
    </row>
    <row r="21" spans="1:7">
      <c r="A21" s="126"/>
      <c r="B21" s="601"/>
      <c r="C21" s="601"/>
      <c r="D21" s="601"/>
      <c r="E21" s="604"/>
      <c r="F21" s="601"/>
      <c r="G21" s="1"/>
    </row>
    <row r="22" spans="1:7" s="1" customFormat="1"/>
    <row r="23" spans="1:7">
      <c r="A23" s="26"/>
      <c r="B23" s="603" t="s">
        <v>98</v>
      </c>
      <c r="C23" s="26"/>
      <c r="D23" s="26"/>
      <c r="E23" s="26"/>
      <c r="F23" s="26"/>
      <c r="G23" s="26"/>
    </row>
    <row r="24" spans="1:7">
      <c r="A24" s="26"/>
      <c r="B24" s="602" t="s">
        <v>99</v>
      </c>
      <c r="C24" s="26"/>
      <c r="D24" s="26"/>
      <c r="E24" s="26"/>
      <c r="F24" s="26"/>
    </row>
    <row r="25" spans="1:7">
      <c r="A25" s="26"/>
      <c r="B25" s="602" t="s">
        <v>100</v>
      </c>
      <c r="C25" s="26"/>
      <c r="D25" s="26"/>
      <c r="E25" s="26"/>
      <c r="F25" s="26"/>
    </row>
    <row r="26" spans="1:7">
      <c r="A26" s="26"/>
      <c r="B26" s="602" t="s">
        <v>83</v>
      </c>
      <c r="C26" s="26"/>
      <c r="D26" s="26"/>
      <c r="E26" s="26"/>
      <c r="F26" s="26"/>
    </row>
    <row r="27" spans="1:7">
      <c r="A27" s="26"/>
      <c r="B27" s="602" t="s">
        <v>101</v>
      </c>
      <c r="C27" s="26"/>
      <c r="D27" s="26"/>
      <c r="E27" s="26"/>
      <c r="F27" s="26"/>
    </row>
    <row r="28" spans="1:7">
      <c r="A28" s="26"/>
      <c r="B28" s="602" t="s">
        <v>102</v>
      </c>
      <c r="C28" s="26"/>
      <c r="D28" s="26"/>
      <c r="E28" s="26"/>
      <c r="F28" s="26"/>
    </row>
    <row r="29" spans="1:7">
      <c r="A29" s="26"/>
      <c r="B29" s="602" t="s">
        <v>103</v>
      </c>
      <c r="C29" s="26"/>
      <c r="D29" s="26"/>
      <c r="E29" s="26"/>
      <c r="F29" s="26"/>
    </row>
    <row r="30" spans="1:7">
      <c r="A30" s="26"/>
      <c r="B30" s="602" t="s">
        <v>104</v>
      </c>
      <c r="C30" s="26"/>
      <c r="D30" s="26"/>
      <c r="E30" s="26"/>
      <c r="F30" s="26"/>
    </row>
    <row r="31" spans="1:7">
      <c r="A31" s="26"/>
      <c r="B31" s="602"/>
      <c r="C31" s="26"/>
      <c r="D31" s="26"/>
      <c r="E31" s="26"/>
      <c r="F31" s="26"/>
    </row>
    <row r="32" spans="1:7">
      <c r="A32" s="26"/>
      <c r="B32" s="602"/>
      <c r="C32" s="26"/>
      <c r="D32" s="26"/>
      <c r="E32" s="26"/>
      <c r="F32" s="26"/>
    </row>
    <row r="33" spans="1:6">
      <c r="A33" s="26"/>
      <c r="B33" s="602"/>
      <c r="C33" s="26"/>
      <c r="D33" s="26"/>
      <c r="E33" s="26"/>
      <c r="F33" s="26"/>
    </row>
    <row r="34" spans="1:6">
      <c r="A34" s="26"/>
      <c r="B34" s="602"/>
      <c r="C34" s="26"/>
      <c r="D34" s="26"/>
      <c r="E34" s="26"/>
      <c r="F34" s="26"/>
    </row>
    <row r="35" spans="1:6" s="26" customFormat="1">
      <c r="B35" s="602"/>
    </row>
    <row r="36" spans="1:6" s="26" customFormat="1">
      <c r="B36" s="602"/>
    </row>
    <row r="37" spans="1:6" s="26" customFormat="1">
      <c r="B37" s="602"/>
    </row>
    <row r="38" spans="1:6" s="26" customFormat="1">
      <c r="B38" s="602"/>
    </row>
    <row r="39" spans="1:6" s="26" customFormat="1">
      <c r="B39" s="602"/>
    </row>
    <row r="40" spans="1:6" s="26" customFormat="1">
      <c r="B40" s="602"/>
    </row>
    <row r="41" spans="1:6" s="26" customFormat="1">
      <c r="B41" s="602"/>
    </row>
    <row r="42" spans="1:6" s="26" customFormat="1">
      <c r="B42" s="602"/>
    </row>
    <row r="43" spans="1:6" s="26" customFormat="1">
      <c r="B43" s="602"/>
    </row>
    <row r="44" spans="1:6" s="26" customFormat="1">
      <c r="B44" s="602"/>
    </row>
    <row r="45" spans="1:6" s="26" customFormat="1">
      <c r="B45" s="602"/>
    </row>
    <row r="46" spans="1:6" s="26" customFormat="1">
      <c r="B46" s="602"/>
    </row>
    <row r="47" spans="1:6" s="26" customFormat="1">
      <c r="B47" s="602"/>
    </row>
    <row r="48" spans="1:6" s="26" customFormat="1">
      <c r="B48" s="602"/>
    </row>
    <row r="49" spans="2:2" s="26" customFormat="1">
      <c r="B49" s="602"/>
    </row>
    <row r="50" spans="2:2" s="26" customFormat="1">
      <c r="B50" s="602"/>
    </row>
    <row r="51" spans="2:2" s="26" customFormat="1">
      <c r="B51" s="602"/>
    </row>
    <row r="52" spans="2:2" s="26" customFormat="1">
      <c r="B52" s="602"/>
    </row>
    <row r="53" spans="2:2" s="26" customFormat="1">
      <c r="B53" s="602"/>
    </row>
    <row r="54" spans="2:2" s="26" customFormat="1">
      <c r="B54" s="602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3203125" defaultRowHeight="14.4"/>
  <cols>
    <col min="1" max="1" width="7.33203125" customWidth="1"/>
    <col min="2" max="2" width="37.77734375" customWidth="1"/>
    <col min="3" max="3" width="9.33203125" bestFit="1" customWidth="1"/>
    <col min="4" max="4" width="12.109375" bestFit="1" customWidth="1"/>
    <col min="5" max="5" width="10.21875" customWidth="1"/>
    <col min="6" max="6" width="33.77734375" customWidth="1"/>
  </cols>
  <sheetData>
    <row r="1" spans="2:10" ht="15" thickBot="1"/>
    <row r="2" spans="2:10" ht="15.6" thickTop="1" thickBot="1">
      <c r="B2" s="727" t="s">
        <v>105</v>
      </c>
      <c r="C2" s="728"/>
      <c r="D2" s="728"/>
      <c r="E2" s="728"/>
      <c r="F2" s="72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27" t="s">
        <v>114</v>
      </c>
      <c r="C16" s="728"/>
      <c r="D16" s="728"/>
      <c r="E16" s="728"/>
      <c r="F16" s="72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90" zoomScaleNormal="90" workbookViewId="0">
      <selection activeCell="P2" sqref="P2"/>
    </sheetView>
  </sheetViews>
  <sheetFormatPr defaultColWidth="8.33203125" defaultRowHeight="13.8"/>
  <cols>
    <col min="1" max="1" width="1.33203125" style="26" customWidth="1"/>
    <col min="2" max="2" width="6.33203125" style="83" bestFit="1" customWidth="1"/>
    <col min="3" max="3" width="44.77734375" style="4" customWidth="1"/>
    <col min="4" max="4" width="3.21875" style="26" customWidth="1"/>
    <col min="5" max="5" width="14.5546875" style="4" customWidth="1"/>
    <col min="6" max="6" width="10.21875" style="80" customWidth="1"/>
    <col min="7" max="7" width="13.5546875" style="5" customWidth="1"/>
    <col min="8" max="8" width="5" style="26" customWidth="1"/>
    <col min="9" max="9" width="13.33203125" style="26" customWidth="1"/>
    <col min="10" max="10" width="11.33203125" style="27" customWidth="1"/>
    <col min="11" max="11" width="14.5546875" style="26" customWidth="1"/>
    <col min="12" max="12" width="2.33203125" style="26" customWidth="1"/>
    <col min="13" max="13" width="12.109375" style="26" customWidth="1"/>
    <col min="14" max="14" width="11.109375" style="26" bestFit="1" customWidth="1"/>
    <col min="15" max="15" width="39.33203125" style="26" bestFit="1" customWidth="1"/>
    <col min="16" max="16" width="1.33203125" style="26" customWidth="1"/>
    <col min="17" max="17" width="5.109375" style="1" customWidth="1"/>
    <col min="18" max="18" width="8.33203125" style="26"/>
    <col min="19" max="19" width="21.5546875" style="26" customWidth="1"/>
    <col min="20" max="22" width="12.109375" style="26" customWidth="1"/>
    <col min="23" max="23" width="8.33203125" style="26"/>
    <col min="24" max="25" width="10.77734375" style="26" bestFit="1" customWidth="1"/>
    <col min="26" max="16384" width="8.3320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117</v>
      </c>
      <c r="D2" s="90"/>
      <c r="E2" s="565" t="s">
        <v>118</v>
      </c>
      <c r="F2" s="566"/>
      <c r="G2" s="566"/>
      <c r="H2" s="567"/>
      <c r="I2" s="730" t="s">
        <v>119</v>
      </c>
      <c r="J2" s="731"/>
      <c r="K2" s="586">
        <f>NETWORKDAYS(I18,K39,Data!C3:C60)</f>
        <v>10</v>
      </c>
      <c r="N2" s="737" t="s">
        <v>444</v>
      </c>
      <c r="O2" s="738"/>
    </row>
    <row r="3" spans="2:28" s="26" customFormat="1" ht="14.4" thickBot="1">
      <c r="B3" s="91"/>
      <c r="C3" s="92" t="s">
        <v>120</v>
      </c>
      <c r="D3" s="90"/>
      <c r="E3" s="311">
        <v>157</v>
      </c>
      <c r="F3" s="93"/>
      <c r="G3" s="94"/>
      <c r="H3" s="94"/>
      <c r="I3" s="730" t="s">
        <v>121</v>
      </c>
      <c r="J3" s="731"/>
      <c r="K3" s="586">
        <f>K2/5</f>
        <v>2</v>
      </c>
      <c r="N3" s="738"/>
      <c r="O3" s="738"/>
      <c r="Q3" s="1"/>
    </row>
    <row r="4" spans="2:28" s="26" customFormat="1" ht="14.4" thickBot="1">
      <c r="B4" s="91"/>
      <c r="C4" s="92" t="s">
        <v>122</v>
      </c>
      <c r="D4" s="90"/>
      <c r="E4" s="564" t="s">
        <v>123</v>
      </c>
      <c r="F4" s="94"/>
      <c r="G4" s="94"/>
      <c r="H4" s="94"/>
      <c r="I4" s="730" t="s">
        <v>124</v>
      </c>
      <c r="J4" s="731"/>
      <c r="K4" s="587">
        <f>E3/K3</f>
        <v>78.5</v>
      </c>
      <c r="N4" s="738"/>
      <c r="O4" s="738"/>
      <c r="Q4" s="1"/>
    </row>
    <row r="5" spans="2:28" s="26" customFormat="1">
      <c r="B5" s="91"/>
      <c r="C5" s="92" t="s">
        <v>125</v>
      </c>
      <c r="D5" s="90"/>
      <c r="E5" s="564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3">
        <v>1364882.3818340108</v>
      </c>
      <c r="F6" s="568"/>
      <c r="G6" s="568"/>
      <c r="H6" s="569"/>
    </row>
    <row r="7" spans="2:28" s="26" customFormat="1">
      <c r="B7" s="633"/>
      <c r="C7" s="632" t="s">
        <v>128</v>
      </c>
      <c r="E7" s="631" t="s">
        <v>129</v>
      </c>
      <c r="F7" s="80"/>
      <c r="G7" s="97"/>
      <c r="J7" s="27"/>
      <c r="Q7" s="1"/>
    </row>
    <row r="8" spans="2:28" ht="30" customHeight="1">
      <c r="B8" s="734" t="s">
        <v>130</v>
      </c>
      <c r="C8" s="735" t="s">
        <v>131</v>
      </c>
      <c r="D8" s="126"/>
      <c r="E8" s="736" t="s">
        <v>132</v>
      </c>
      <c r="F8" s="148" t="s">
        <v>133</v>
      </c>
      <c r="G8" s="736" t="s">
        <v>134</v>
      </c>
      <c r="H8" s="149"/>
      <c r="I8" s="736" t="s">
        <v>135</v>
      </c>
      <c r="J8" s="148" t="s">
        <v>133</v>
      </c>
      <c r="K8" s="736" t="s">
        <v>136</v>
      </c>
      <c r="M8" s="583" t="s">
        <v>44</v>
      </c>
      <c r="N8" s="584" t="s">
        <v>137</v>
      </c>
      <c r="O8" s="732" t="s">
        <v>138</v>
      </c>
      <c r="Z8" s="26"/>
      <c r="AA8" s="26"/>
      <c r="AB8" s="26"/>
    </row>
    <row r="9" spans="2:28">
      <c r="B9" s="734"/>
      <c r="C9" s="735"/>
      <c r="D9" s="126"/>
      <c r="E9" s="736"/>
      <c r="F9" s="40">
        <f>G39-E19</f>
        <v>23</v>
      </c>
      <c r="G9" s="736"/>
      <c r="H9" s="149"/>
      <c r="I9" s="736"/>
      <c r="J9" s="41">
        <f>K39-I19</f>
        <v>11</v>
      </c>
      <c r="K9" s="736"/>
      <c r="M9" s="265">
        <f>AVERAGE(M11,M18,M21,M28,M35,M39,M48,M44)</f>
        <v>0.93557692307692308</v>
      </c>
      <c r="N9" s="265">
        <f ca="1">AVERAGE(N11,N18,N21,N28,N35,N39,N48,N44)</f>
        <v>0.94720438967598053</v>
      </c>
      <c r="O9" s="733"/>
      <c r="S9" s="585">
        <f ca="1">TODAY()</f>
        <v>46071</v>
      </c>
      <c r="T9" s="585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0">
        <f>MIN(E12:E17)</f>
        <v>45986</v>
      </c>
      <c r="F11" s="571">
        <f>G11-E11</f>
        <v>64</v>
      </c>
      <c r="G11" s="570">
        <f>MAX(G12:G17)</f>
        <v>46050</v>
      </c>
      <c r="H11" s="572"/>
      <c r="I11" s="570">
        <f>MIN(I12:I17)</f>
        <v>45986</v>
      </c>
      <c r="J11" s="571">
        <f>K11-I11</f>
        <v>64</v>
      </c>
      <c r="K11" s="570">
        <f>MAX(K12:K17)</f>
        <v>46050</v>
      </c>
      <c r="L11" s="573"/>
      <c r="M11" s="574">
        <f>(J12*M12+J13*M13+J14*M14+J15*M15+J16*M16)/SUM(J12:J16)</f>
        <v>1</v>
      </c>
      <c r="N11" s="574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5">
        <v>45986</v>
      </c>
      <c r="F12" s="576">
        <v>1</v>
      </c>
      <c r="G12" s="575">
        <f>WORKDAY.INTL(E12,F12,1,Data!$C$3:$C$60)</f>
        <v>45987</v>
      </c>
      <c r="H12" s="577"/>
      <c r="I12" s="575">
        <v>45986</v>
      </c>
      <c r="J12" s="576">
        <v>1</v>
      </c>
      <c r="K12" s="575">
        <f>WORKDAY.INTL(I12,J12,1,Data!$C$3:$C$60)</f>
        <v>45987</v>
      </c>
      <c r="L12" s="77"/>
      <c r="M12" s="578">
        <v>1</v>
      </c>
      <c r="N12" s="578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6" t="s">
        <v>142</v>
      </c>
      <c r="T12" s="536" t="s">
        <v>143</v>
      </c>
      <c r="U12" s="536" t="s">
        <v>133</v>
      </c>
      <c r="V12" s="536" t="s">
        <v>144</v>
      </c>
    </row>
    <row r="13" spans="2:28" s="26" customFormat="1">
      <c r="B13" s="157" t="s">
        <v>145</v>
      </c>
      <c r="C13" s="158" t="s">
        <v>146</v>
      </c>
      <c r="D13" s="126"/>
      <c r="E13" s="575">
        <f>WORKDAY.INTL(G12,0,1,Data!$C$3:$C$60)+7</f>
        <v>45994</v>
      </c>
      <c r="F13" s="576">
        <v>15</v>
      </c>
      <c r="G13" s="575">
        <f>WORKDAY.INTL(E13,F13,1,Data!$C$3:$C$60)</f>
        <v>46050</v>
      </c>
      <c r="H13" s="577"/>
      <c r="I13" s="575">
        <f>WORKDAY.INTL(K12,0,1,Data!$C$3:$C$60)+7</f>
        <v>45994</v>
      </c>
      <c r="J13" s="576">
        <v>15</v>
      </c>
      <c r="K13" s="575">
        <f>WORKDAY.INTL(I13,J13,1,Data!$C$3:$C$60)</f>
        <v>46050</v>
      </c>
      <c r="L13" s="77"/>
      <c r="M13" s="578">
        <v>1</v>
      </c>
      <c r="N13" s="578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45986</v>
      </c>
      <c r="U13" s="538">
        <f>J11</f>
        <v>64</v>
      </c>
      <c r="V13" s="537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5">
        <f>WORKDAY.INTL(G12,0,1,Data!$C$3:$C$60)+21</f>
        <v>46008</v>
      </c>
      <c r="F14" s="576">
        <v>1</v>
      </c>
      <c r="G14" s="575">
        <f>WORKDAY.INTL(E14,F14,1,Data!$C$3:$C$60)</f>
        <v>46041</v>
      </c>
      <c r="H14" s="577"/>
      <c r="I14" s="575">
        <f>WORKDAY.INTL(K12,0,1,Data!$C$3:$C$60)+21</f>
        <v>46008</v>
      </c>
      <c r="J14" s="576">
        <v>1</v>
      </c>
      <c r="K14" s="575">
        <f>WORKDAY.INTL(I14,J14,1,Data!$C$3:$C$60)</f>
        <v>46041</v>
      </c>
      <c r="L14" s="77"/>
      <c r="M14" s="578">
        <v>1</v>
      </c>
      <c r="N14" s="578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46048</v>
      </c>
      <c r="U14" s="538">
        <f>J18</f>
        <v>1</v>
      </c>
      <c r="V14" s="537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5">
        <f>WORKDAY.INTL(E13,0,1,Data!$C$3:$C$60)+14</f>
        <v>46008</v>
      </c>
      <c r="F15" s="576">
        <v>1</v>
      </c>
      <c r="G15" s="575">
        <f>WORKDAY.INTL(E15,F15,1,Data!$C$3:$C$60)</f>
        <v>46041</v>
      </c>
      <c r="H15" s="577"/>
      <c r="I15" s="575">
        <f>WORKDAY.INTL(I13,0,1,Data!$C$3:$C$60)+14</f>
        <v>46008</v>
      </c>
      <c r="J15" s="576">
        <v>1</v>
      </c>
      <c r="K15" s="575">
        <f>WORKDAY.INTL(I15,J15,1,Data!$C$3:$C$60)</f>
        <v>46041</v>
      </c>
      <c r="L15" s="77"/>
      <c r="M15" s="578">
        <v>1</v>
      </c>
      <c r="N15" s="578">
        <f t="shared" ca="1" si="0"/>
        <v>1</v>
      </c>
      <c r="O15" s="36"/>
      <c r="Q15" s="1"/>
      <c r="S15" s="535" t="str">
        <f>C21</f>
        <v>AC Installation</v>
      </c>
      <c r="T15" s="537">
        <f>I21</f>
        <v>45994</v>
      </c>
      <c r="U15" s="538">
        <f>J21</f>
        <v>58</v>
      </c>
      <c r="V15" s="537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5">
        <f>WORKDAY.INTL(E15,0,1,Data!$C$3:$C$60)-4</f>
        <v>46004</v>
      </c>
      <c r="F16" s="576">
        <v>1</v>
      </c>
      <c r="G16" s="575">
        <f>WORKDAY.INTL(E16,F16,1,Data!$C$3:$C$60)</f>
        <v>46041</v>
      </c>
      <c r="H16" s="577"/>
      <c r="I16" s="575">
        <f>WORKDAY.INTL(I15,0,1,Data!$C$3:$C$60)-4</f>
        <v>46004</v>
      </c>
      <c r="J16" s="576">
        <v>1</v>
      </c>
      <c r="K16" s="575">
        <f>WORKDAY.INTL(I16,J16,1,Data!$C$3:$C$60)</f>
        <v>46041</v>
      </c>
      <c r="L16" s="77"/>
      <c r="M16" s="578">
        <v>1</v>
      </c>
      <c r="N16" s="578">
        <f t="shared" ca="1" si="0"/>
        <v>1</v>
      </c>
      <c r="O16" s="36"/>
      <c r="Q16" s="1"/>
      <c r="S16" s="535" t="str">
        <f>C28</f>
        <v>DC Works</v>
      </c>
      <c r="T16" s="537">
        <f>I28</f>
        <v>46001</v>
      </c>
      <c r="U16" s="538">
        <f>J28</f>
        <v>47</v>
      </c>
      <c r="V16" s="537">
        <f>K28</f>
        <v>46048</v>
      </c>
    </row>
    <row r="17" spans="2:28" s="26" customFormat="1">
      <c r="B17" s="150"/>
      <c r="C17" s="126"/>
      <c r="D17" s="126"/>
      <c r="E17" s="579"/>
      <c r="F17" s="579"/>
      <c r="G17" s="579"/>
      <c r="H17" s="577"/>
      <c r="I17" s="579"/>
      <c r="J17" s="579"/>
      <c r="K17" s="579"/>
      <c r="L17" s="77"/>
      <c r="M17" s="77"/>
      <c r="N17" s="77"/>
      <c r="Q17" s="1"/>
      <c r="S17" s="535" t="str">
        <f>C35</f>
        <v>Module installation</v>
      </c>
      <c r="T17" s="537">
        <f>I35</f>
        <v>46001</v>
      </c>
      <c r="U17" s="538">
        <f>J35</f>
        <v>50</v>
      </c>
      <c r="V17" s="537">
        <f>K35</f>
        <v>46051</v>
      </c>
    </row>
    <row r="18" spans="2:28" s="28" customFormat="1">
      <c r="B18" s="155">
        <v>2</v>
      </c>
      <c r="C18" s="156" t="s">
        <v>153</v>
      </c>
      <c r="D18" s="130"/>
      <c r="E18" s="570">
        <f>MIN(E19:E20)</f>
        <v>46048</v>
      </c>
      <c r="F18" s="571">
        <f>G18-E18</f>
        <v>1</v>
      </c>
      <c r="G18" s="570">
        <f>MAX(G19:G20)</f>
        <v>46049</v>
      </c>
      <c r="H18" s="572"/>
      <c r="I18" s="570">
        <f>MIN(I19:I20)</f>
        <v>46048</v>
      </c>
      <c r="J18" s="571">
        <f>K18-I18</f>
        <v>1</v>
      </c>
      <c r="K18" s="570">
        <f>MAX(K19:K20)</f>
        <v>46049</v>
      </c>
      <c r="L18" s="573"/>
      <c r="M18" s="574">
        <f>(J19*M19)/J18</f>
        <v>1</v>
      </c>
      <c r="N18" s="574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46051</v>
      </c>
      <c r="U18" s="538">
        <f>J39</f>
        <v>8</v>
      </c>
      <c r="V18" s="537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5">
        <f>WORKDAY.INTL(G16,0,1,Data!$C$3:$C$60)+7</f>
        <v>46048</v>
      </c>
      <c r="F19" s="576">
        <v>1</v>
      </c>
      <c r="G19" s="575">
        <f>E19+F19</f>
        <v>46049</v>
      </c>
      <c r="H19" s="577"/>
      <c r="I19" s="575">
        <f>WORKDAY.INTL(K16,0,1,Data!$C$3:$C$60)+7</f>
        <v>46048</v>
      </c>
      <c r="J19" s="576">
        <v>1</v>
      </c>
      <c r="K19" s="575">
        <f>I19+J19</f>
        <v>46049</v>
      </c>
      <c r="L19" s="77"/>
      <c r="M19" s="578">
        <v>1</v>
      </c>
      <c r="N19" s="578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C44</f>
        <v>QA Inspections</v>
      </c>
      <c r="T19" s="537">
        <f>I44</f>
        <v>46058</v>
      </c>
      <c r="U19" s="538">
        <f>J44</f>
        <v>8</v>
      </c>
      <c r="V19" s="537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79"/>
      <c r="F20" s="579"/>
      <c r="G20" s="579"/>
      <c r="H20" s="577"/>
      <c r="I20" s="579"/>
      <c r="J20" s="579"/>
      <c r="K20" s="579"/>
      <c r="L20" s="77"/>
      <c r="M20" s="77"/>
      <c r="N20" s="77"/>
      <c r="Q20" s="1"/>
      <c r="S20" s="535" t="str">
        <f>C48</f>
        <v>Project Closure</v>
      </c>
      <c r="T20" s="537">
        <f>I48</f>
        <v>46063</v>
      </c>
      <c r="U20" s="538">
        <f>J48</f>
        <v>20</v>
      </c>
      <c r="V20" s="537">
        <f>K48</f>
        <v>46083</v>
      </c>
    </row>
    <row r="21" spans="2:28" s="28" customFormat="1">
      <c r="B21" s="155">
        <v>3</v>
      </c>
      <c r="C21" s="156" t="s">
        <v>156</v>
      </c>
      <c r="D21" s="130"/>
      <c r="E21" s="570">
        <f>MIN(E22:E27)</f>
        <v>45994</v>
      </c>
      <c r="F21" s="571">
        <f>G21-E21</f>
        <v>68</v>
      </c>
      <c r="G21" s="570">
        <f>MAX(G22:G27)</f>
        <v>46062</v>
      </c>
      <c r="H21" s="580"/>
      <c r="I21" s="570">
        <f>MIN(I22:I27)</f>
        <v>45994</v>
      </c>
      <c r="J21" s="571">
        <f>K21-I21</f>
        <v>58</v>
      </c>
      <c r="K21" s="570">
        <f>MAX(K22:K27)</f>
        <v>46052</v>
      </c>
      <c r="L21" s="573"/>
      <c r="M21" s="574">
        <f>(J22*M22+J23*M23+J24*M24+J25*M25+J26*M26)/SUM(J22:J26)</f>
        <v>1</v>
      </c>
      <c r="N21" s="574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5">
        <v>46001</v>
      </c>
      <c r="F22" s="576">
        <v>1</v>
      </c>
      <c r="G22" s="575">
        <f>WORKDAY.INTL(E22,F22,1,Data!$C$3:$C$60)</f>
        <v>46002</v>
      </c>
      <c r="H22" s="577"/>
      <c r="I22" s="575">
        <v>46001</v>
      </c>
      <c r="J22" s="576">
        <v>1</v>
      </c>
      <c r="K22" s="575">
        <f>WORKDAY.INTL(I22,J22,1,Data!$C$3:$C$60)</f>
        <v>46002</v>
      </c>
      <c r="L22" s="77"/>
      <c r="M22" s="578">
        <v>1</v>
      </c>
      <c r="N22" s="578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5">
        <v>46050</v>
      </c>
      <c r="F23" s="576">
        <v>1</v>
      </c>
      <c r="G23" s="575">
        <f>WORKDAY.INTL(E23,F23,1,Data!$C$3:$C$60)</f>
        <v>46051</v>
      </c>
      <c r="H23" s="577"/>
      <c r="I23" s="575">
        <v>46050</v>
      </c>
      <c r="J23" s="576">
        <v>1</v>
      </c>
      <c r="K23" s="575">
        <f>WORKDAY.INTL(I23,J23,1,Data!$C$3:$C$60)</f>
        <v>46051</v>
      </c>
      <c r="L23" s="77"/>
      <c r="M23" s="578">
        <v>1</v>
      </c>
      <c r="N23" s="578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5">
        <f>WORKDAY.INTL(E14,0,1,Data!$C$3:$C$60)-14</f>
        <v>45994</v>
      </c>
      <c r="F24" s="576">
        <v>20</v>
      </c>
      <c r="G24" s="575">
        <f>WORKDAY.INTL(E24,F24,1,Data!$C$3:$C$60)</f>
        <v>46057</v>
      </c>
      <c r="H24" s="577"/>
      <c r="I24" s="575">
        <f>WORKDAY.INTL(I14,0,1,Data!$C$3:$C$60)-14</f>
        <v>45994</v>
      </c>
      <c r="J24" s="576">
        <v>15</v>
      </c>
      <c r="K24" s="575">
        <f>WORKDAY.INTL(I24,J24,1,Data!$C$3:$C$60)</f>
        <v>46050</v>
      </c>
      <c r="L24" s="77"/>
      <c r="M24" s="578">
        <v>1</v>
      </c>
      <c r="N24" s="578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5">
        <f>WORKDAY.INTL(G24,0,1,Data!$C$3:$C$60)</f>
        <v>46057</v>
      </c>
      <c r="F25" s="576">
        <v>3</v>
      </c>
      <c r="G25" s="575">
        <f>WORKDAY.INTL(E25,F25,1,Data!$C$3:$C$60)</f>
        <v>46062</v>
      </c>
      <c r="H25" s="577"/>
      <c r="I25" s="575">
        <v>46041</v>
      </c>
      <c r="J25" s="576">
        <v>4</v>
      </c>
      <c r="K25" s="575">
        <f>WORKDAY.INTL(I25,J25,1,Data!$C$3:$C$60)</f>
        <v>46045</v>
      </c>
      <c r="L25" s="77"/>
      <c r="M25" s="578">
        <v>1</v>
      </c>
      <c r="N25" s="578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5">
        <f>WORKDAY.INTL(E25,0,1,Data!$C$3:$C$60)</f>
        <v>46057</v>
      </c>
      <c r="F26" s="576">
        <v>1</v>
      </c>
      <c r="G26" s="575">
        <f>WORKDAY.INTL(E26,F26,1,Data!$C$3:$C$60)</f>
        <v>46058</v>
      </c>
      <c r="H26" s="577"/>
      <c r="I26" s="575">
        <v>46051</v>
      </c>
      <c r="J26" s="576">
        <v>1</v>
      </c>
      <c r="K26" s="575">
        <f>WORKDAY.INTL(I26,J26,1,Data!$C$3:$C$60)</f>
        <v>46052</v>
      </c>
      <c r="L26" s="77"/>
      <c r="M26" s="578">
        <v>1</v>
      </c>
      <c r="N26" s="578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9"/>
      <c r="F27" s="579"/>
      <c r="G27" s="579"/>
      <c r="H27" s="577"/>
      <c r="I27" s="579"/>
      <c r="J27" s="579"/>
      <c r="K27" s="579"/>
      <c r="L27" s="77"/>
      <c r="M27" s="77"/>
      <c r="N27" s="77"/>
      <c r="Q27" s="1"/>
    </row>
    <row r="28" spans="2:28" s="26" customFormat="1">
      <c r="B28" s="155">
        <v>4</v>
      </c>
      <c r="C28" s="156" t="s">
        <v>167</v>
      </c>
      <c r="D28" s="130"/>
      <c r="E28" s="570">
        <f>MIN(E30:E34)</f>
        <v>46001</v>
      </c>
      <c r="F28" s="571">
        <f>G28-E28</f>
        <v>51</v>
      </c>
      <c r="G28" s="570">
        <f>MAX(G30:G34)</f>
        <v>46052</v>
      </c>
      <c r="H28" s="580"/>
      <c r="I28" s="570">
        <f>MIN(I30:I34)</f>
        <v>46001</v>
      </c>
      <c r="J28" s="571">
        <f>K28-I28</f>
        <v>47</v>
      </c>
      <c r="K28" s="570">
        <f>MAX(K30:K34)</f>
        <v>46048</v>
      </c>
      <c r="L28" s="573"/>
      <c r="M28" s="574">
        <f>(J30*M30+J31*M31+J33*M33)/SUM(J30,J31,J33)</f>
        <v>1</v>
      </c>
      <c r="N28" s="574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5"/>
      <c r="F29" s="576"/>
      <c r="G29" s="575"/>
      <c r="H29" s="577"/>
      <c r="I29" s="575"/>
      <c r="J29" s="576"/>
      <c r="K29" s="575"/>
      <c r="L29" s="77"/>
      <c r="M29" s="578"/>
      <c r="N29" s="578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5">
        <v>46001</v>
      </c>
      <c r="F30" s="576">
        <v>1</v>
      </c>
      <c r="G30" s="575">
        <f>WORKDAY.INTL(E30,F30,1,Data!$C$3:$C$60)</f>
        <v>46002</v>
      </c>
      <c r="H30" s="577"/>
      <c r="I30" s="575">
        <v>46001</v>
      </c>
      <c r="J30" s="576">
        <v>1</v>
      </c>
      <c r="K30" s="575">
        <f>WORKDAY.INTL(I30,J30,1,Data!$C$3:$C$60)</f>
        <v>46002</v>
      </c>
      <c r="L30" s="77"/>
      <c r="M30" s="578">
        <v>1</v>
      </c>
      <c r="N30" s="578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5">
        <f>WORKDAY.INTL(G30,0,1,Data!$C$3:$C$60)</f>
        <v>46002</v>
      </c>
      <c r="F31" s="576">
        <v>2</v>
      </c>
      <c r="G31" s="575">
        <f>E31+F31</f>
        <v>46004</v>
      </c>
      <c r="H31" s="577"/>
      <c r="I31" s="575">
        <f>WORKDAY.INTL(K30,0,1,Data!$C$3:$C$60)</f>
        <v>46002</v>
      </c>
      <c r="J31" s="576">
        <v>2</v>
      </c>
      <c r="K31" s="575">
        <f>I31+J31</f>
        <v>46004</v>
      </c>
      <c r="L31" s="77"/>
      <c r="M31" s="578">
        <v>1</v>
      </c>
      <c r="N31" s="578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5">
        <f>E30</f>
        <v>46001</v>
      </c>
      <c r="F32" s="576">
        <v>1</v>
      </c>
      <c r="G32" s="575">
        <f>WORKDAY.INTL(E32,F32,1,Data!$C$3:$C$60)</f>
        <v>46002</v>
      </c>
      <c r="H32" s="577"/>
      <c r="I32" s="575">
        <f>I30</f>
        <v>46001</v>
      </c>
      <c r="J32" s="576">
        <v>1</v>
      </c>
      <c r="K32" s="575">
        <f>WORKDAY.INTL(I32,J32,1,Data!$C$3:$C$60)</f>
        <v>46002</v>
      </c>
      <c r="L32" s="77"/>
      <c r="M32" s="578">
        <v>1</v>
      </c>
      <c r="N32" s="578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174</v>
      </c>
      <c r="C33" s="154" t="s">
        <v>175</v>
      </c>
      <c r="D33" s="126"/>
      <c r="E33" s="581">
        <f>WORKDAY.INTL(G37,0,1,Data!$C$3:$C$60)-3</f>
        <v>46048</v>
      </c>
      <c r="F33" s="576">
        <v>4</v>
      </c>
      <c r="G33" s="581">
        <f>WORKDAY.INTL(E33,F33,1,Data!$C$3:$C$60)</f>
        <v>46052</v>
      </c>
      <c r="H33" s="577"/>
      <c r="I33" s="581">
        <v>46042</v>
      </c>
      <c r="J33" s="576">
        <v>4</v>
      </c>
      <c r="K33" s="581">
        <f>WORKDAY.INTL(I33,J33,1,Data!$C$3:$C$60)</f>
        <v>46048</v>
      </c>
      <c r="L33" s="77"/>
      <c r="M33" s="578">
        <v>1</v>
      </c>
      <c r="N33" s="578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9"/>
      <c r="F34" s="579"/>
      <c r="G34" s="579"/>
      <c r="H34" s="577"/>
      <c r="I34" s="579"/>
      <c r="J34" s="579"/>
      <c r="K34" s="579"/>
      <c r="L34" s="77"/>
      <c r="M34" s="77"/>
      <c r="N34" s="77"/>
      <c r="Q34" s="1"/>
    </row>
    <row r="35" spans="2:28" s="26" customFormat="1">
      <c r="B35" s="155">
        <v>5</v>
      </c>
      <c r="C35" s="156" t="s">
        <v>176</v>
      </c>
      <c r="D35" s="130"/>
      <c r="E35" s="570">
        <f>MIN(E36:E38)</f>
        <v>46001</v>
      </c>
      <c r="F35" s="571">
        <f>G35-E35</f>
        <v>50</v>
      </c>
      <c r="G35" s="570">
        <f>MAX(G36:G38)</f>
        <v>46051</v>
      </c>
      <c r="H35" s="572"/>
      <c r="I35" s="570">
        <f>MIN(I36:I38)</f>
        <v>46001</v>
      </c>
      <c r="J35" s="571">
        <f>K35-I35</f>
        <v>50</v>
      </c>
      <c r="K35" s="570">
        <f>MAX(K36:K38)</f>
        <v>46051</v>
      </c>
      <c r="L35" s="573"/>
      <c r="M35" s="574">
        <f>(J36*M36+J37*M37)/SUM(J36:J37)</f>
        <v>1</v>
      </c>
      <c r="N35" s="574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1">
        <v>46001</v>
      </c>
      <c r="F36" s="576">
        <v>1</v>
      </c>
      <c r="G36" s="575">
        <f>WORKDAY.INTL(E36,F36,1,Data!$C$3:$C$60)</f>
        <v>46002</v>
      </c>
      <c r="H36" s="577"/>
      <c r="I36" s="581">
        <v>46001</v>
      </c>
      <c r="J36" s="576">
        <v>1</v>
      </c>
      <c r="K36" s="575">
        <f>WORKDAY.INTL(I36,J36,1,Data!$C$3:$C$60)</f>
        <v>46002</v>
      </c>
      <c r="L36" s="77"/>
      <c r="M36" s="578">
        <v>1</v>
      </c>
      <c r="N36" s="578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1">
        <f>G31</f>
        <v>46004</v>
      </c>
      <c r="F37" s="576">
        <v>9</v>
      </c>
      <c r="G37" s="575">
        <f>WORKDAY.INTL(E37,F37,1,Data!$C$3:$C$60)</f>
        <v>46051</v>
      </c>
      <c r="H37" s="577"/>
      <c r="I37" s="581">
        <f>K31</f>
        <v>46004</v>
      </c>
      <c r="J37" s="576">
        <v>9</v>
      </c>
      <c r="K37" s="575">
        <f>WORKDAY.INTL(I37,J37,1,Data!$C$3:$C$60)</f>
        <v>46051</v>
      </c>
      <c r="L37" s="77"/>
      <c r="M37" s="578">
        <v>1</v>
      </c>
      <c r="N37" s="578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9"/>
      <c r="F38" s="579"/>
      <c r="G38" s="579"/>
      <c r="H38" s="577"/>
      <c r="I38" s="579"/>
      <c r="J38" s="579"/>
      <c r="K38" s="579"/>
      <c r="L38" s="77"/>
      <c r="M38" s="77"/>
      <c r="N38" s="77"/>
      <c r="Q38" s="1"/>
    </row>
    <row r="39" spans="2:28" s="26" customFormat="1">
      <c r="B39" s="155">
        <v>6</v>
      </c>
      <c r="C39" s="156" t="s">
        <v>181</v>
      </c>
      <c r="D39" s="130"/>
      <c r="E39" s="570">
        <f>MIN(E40:E43)</f>
        <v>46062</v>
      </c>
      <c r="F39" s="571">
        <f>G39-E39</f>
        <v>9</v>
      </c>
      <c r="G39" s="570">
        <f>MAX(G40:G43)</f>
        <v>46071</v>
      </c>
      <c r="H39" s="572"/>
      <c r="I39" s="570">
        <f>MIN(I40:I43)</f>
        <v>46051</v>
      </c>
      <c r="J39" s="571">
        <f>K39-I39</f>
        <v>8</v>
      </c>
      <c r="K39" s="570">
        <f>MAX(K40:K43)</f>
        <v>46059</v>
      </c>
      <c r="L39" s="573"/>
      <c r="M39" s="574">
        <f>(J40*M40+J41*M41+J42*M42)/SUM(J40:J42)</f>
        <v>1</v>
      </c>
      <c r="N39" s="574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1">
        <f>WORKDAY.INTL(MAX(G21,G28,G35),0,1,Data!$C$3:$C$60)</f>
        <v>46062</v>
      </c>
      <c r="F40" s="576">
        <v>1</v>
      </c>
      <c r="G40" s="581">
        <f>WORKDAY.INTL(E40,F40,1,Data!$C$3:$C$60)</f>
        <v>46063</v>
      </c>
      <c r="H40" s="577"/>
      <c r="I40" s="581">
        <v>46051</v>
      </c>
      <c r="J40" s="576">
        <v>1</v>
      </c>
      <c r="K40" s="581">
        <f>WORKDAY.INTL(I40,J40,1,Data!$C$3:$C$60)</f>
        <v>46052</v>
      </c>
      <c r="L40" s="77"/>
      <c r="M40" s="578">
        <v>1</v>
      </c>
      <c r="N40" s="578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1">
        <f>WORKDAY.INTL(G40,0,1,Data!$C$3:$C$60)</f>
        <v>46063</v>
      </c>
      <c r="F41" s="576">
        <v>1</v>
      </c>
      <c r="G41" s="581">
        <f>WORKDAY.INTL(E41,F41,1,Data!$C$3:$C$60)</f>
        <v>46064</v>
      </c>
      <c r="H41" s="577"/>
      <c r="I41" s="581">
        <v>46051</v>
      </c>
      <c r="J41" s="576">
        <v>1</v>
      </c>
      <c r="K41" s="581">
        <f>WORKDAY.INTL(I41,J41,1,Data!$C$3:$C$60)</f>
        <v>46052</v>
      </c>
      <c r="L41" s="77"/>
      <c r="M41" s="578">
        <v>1</v>
      </c>
      <c r="N41" s="578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1">
        <f>WORKDAY.INTL(G41,0,1,Data!$C$3:$C$60)</f>
        <v>46064</v>
      </c>
      <c r="F42" s="576">
        <v>5</v>
      </c>
      <c r="G42" s="581">
        <f>WORKDAY.INTL(E42,F42,1,Data!$C$3:$C$60)</f>
        <v>46071</v>
      </c>
      <c r="H42" s="577"/>
      <c r="I42" s="581">
        <f>WORKDAY.INTL(K41,0,1,Data!$C$3:$C$60)</f>
        <v>46052</v>
      </c>
      <c r="J42" s="576">
        <v>5</v>
      </c>
      <c r="K42" s="581">
        <f>WORKDAY.INTL(I42,J42,1,Data!$C$3:$C$60)</f>
        <v>46059</v>
      </c>
      <c r="L42" s="77"/>
      <c r="M42" s="578">
        <v>1</v>
      </c>
      <c r="N42" s="578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79"/>
      <c r="F43" s="579"/>
      <c r="G43" s="579"/>
      <c r="H43" s="577"/>
      <c r="I43" s="579"/>
      <c r="J43" s="579"/>
      <c r="K43" s="579"/>
      <c r="L43" s="77"/>
      <c r="M43" s="77"/>
      <c r="N43" s="77"/>
      <c r="Q43" s="1"/>
    </row>
    <row r="44" spans="2:28" s="26" customFormat="1">
      <c r="B44" s="155">
        <v>7</v>
      </c>
      <c r="C44" s="156" t="s">
        <v>187</v>
      </c>
      <c r="D44" s="130"/>
      <c r="E44" s="570">
        <f>MIN(E45:E47)</f>
        <v>46064</v>
      </c>
      <c r="F44" s="571">
        <f>G44-E44</f>
        <v>8</v>
      </c>
      <c r="G44" s="570">
        <f>MAX(G45:G47)</f>
        <v>46072</v>
      </c>
      <c r="H44" s="572"/>
      <c r="I44" s="570">
        <f>MIN(I45:I47)</f>
        <v>46058</v>
      </c>
      <c r="J44" s="571">
        <f>K44-I44</f>
        <v>8</v>
      </c>
      <c r="K44" s="570">
        <f>MAX(K45:K47)</f>
        <v>46066</v>
      </c>
      <c r="L44" s="573"/>
      <c r="M44" s="574">
        <f>(J45*M45+J46*M46)/SUM(J45:J46)</f>
        <v>1</v>
      </c>
      <c r="N44" s="574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1">
        <f>WORKDAY.INTL(E42,0,1,Data!$C$3:$C$60)</f>
        <v>46064</v>
      </c>
      <c r="F45" s="576">
        <v>3</v>
      </c>
      <c r="G45" s="581">
        <f>WORKDAY.INTL(E45,F45,1,Data!$C$3:$C$60)</f>
        <v>46069</v>
      </c>
      <c r="H45" s="577"/>
      <c r="I45" s="581">
        <v>46058</v>
      </c>
      <c r="J45" s="576">
        <v>3</v>
      </c>
      <c r="K45" s="581">
        <f>WORKDAY.INTL(I45,J45,1,Data!$C$3:$C$60)</f>
        <v>46063</v>
      </c>
      <c r="L45" s="77"/>
      <c r="M45" s="578">
        <v>1</v>
      </c>
      <c r="N45" s="578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1">
        <f>G45</f>
        <v>46069</v>
      </c>
      <c r="F46" s="576">
        <v>3</v>
      </c>
      <c r="G46" s="581">
        <f>WORKDAY.INTL(E46,F46,1,Data!$C$3:$C$60)</f>
        <v>46072</v>
      </c>
      <c r="H46" s="577"/>
      <c r="I46" s="581">
        <f>K45</f>
        <v>46063</v>
      </c>
      <c r="J46" s="576">
        <v>3</v>
      </c>
      <c r="K46" s="581">
        <f>WORKDAY.INTL(I46,J46,1,Data!$C$3:$C$60)</f>
        <v>46066</v>
      </c>
      <c r="L46" s="77"/>
      <c r="M46" s="578">
        <v>1</v>
      </c>
      <c r="N46" s="578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79"/>
      <c r="F47" s="579"/>
      <c r="G47" s="579"/>
      <c r="H47" s="577"/>
      <c r="I47" s="579"/>
      <c r="J47" s="579"/>
      <c r="K47" s="579"/>
      <c r="L47" s="77"/>
      <c r="M47" s="77"/>
      <c r="N47" s="77"/>
      <c r="Q47" s="1"/>
    </row>
    <row r="48" spans="2:28" s="26" customFormat="1">
      <c r="B48" s="155">
        <v>8</v>
      </c>
      <c r="C48" s="156" t="s">
        <v>192</v>
      </c>
      <c r="D48" s="130"/>
      <c r="E48" s="570">
        <f>MIN(E49:E51)</f>
        <v>46069</v>
      </c>
      <c r="F48" s="571">
        <f>G48-E48</f>
        <v>16</v>
      </c>
      <c r="G48" s="570">
        <f>MAX(G49:G51)</f>
        <v>46085</v>
      </c>
      <c r="H48" s="572"/>
      <c r="I48" s="570">
        <f>MIN(I49:I51)</f>
        <v>46063</v>
      </c>
      <c r="J48" s="571">
        <f>K48-I48</f>
        <v>20</v>
      </c>
      <c r="K48" s="570">
        <f>MAX(K49:K51)</f>
        <v>46083</v>
      </c>
      <c r="L48" s="573"/>
      <c r="M48" s="574">
        <f>(J49*M49+J50*M50+J51*M51)/SUM(J49:J51)</f>
        <v>0.48461538461538461</v>
      </c>
      <c r="N48" s="574">
        <f ca="1">(K46*N46+K42*N42+K49*N49+K50*N50+K51*N51)/SUM(K46:K51)</f>
        <v>0.57763511740784468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1">
        <f>WORKDAY.INTL(E46,0,1,Data!$C$3:$C$60)</f>
        <v>46069</v>
      </c>
      <c r="F49" s="576">
        <v>7</v>
      </c>
      <c r="G49" s="581">
        <f>WORKDAY.INTL(E49,F49,1,Data!$C$3:$C$60)</f>
        <v>46078</v>
      </c>
      <c r="H49" s="577"/>
      <c r="I49" s="581">
        <f>WORKDAY.INTL(I46,0,1,Data!$C$3:$C$60)</f>
        <v>46063</v>
      </c>
      <c r="J49" s="576">
        <v>7</v>
      </c>
      <c r="K49" s="581">
        <f>WORKDAY.INTL(I49,J49,1,Data!$C$3:$C$60)</f>
        <v>46072</v>
      </c>
      <c r="L49" s="77"/>
      <c r="M49" s="578">
        <v>0.9</v>
      </c>
      <c r="N49" s="578">
        <f t="shared" ref="N49:N51" ca="1" si="6">_xlfn.LET(
  _xlpm.s,VALUE($I49),
  _xlpm.e,VALUE($K49),
  IF(OR(_xlpm.s="",_xlpm.e=""),"", IF(_xlpm.e&lt;=_xlpm.s, IF(TODAY()&gt;=_xlpm.e,1,0), MAX(0,MIN(1,(TODAY()-_xlpm.s)/(_xlpm.e-_xlpm.s)))))
)</f>
        <v>0.88888888888888884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1">
        <f>WORKDAY.INTL(G49,0,1,Data!$C$3:$C$60)</f>
        <v>46078</v>
      </c>
      <c r="F50" s="576">
        <v>1</v>
      </c>
      <c r="G50" s="581">
        <f>WORKDAY.INTL(E50,F50,1,Data!$C$3:$C$60)</f>
        <v>46079</v>
      </c>
      <c r="H50" s="577"/>
      <c r="I50" s="581">
        <v>46080</v>
      </c>
      <c r="J50" s="576">
        <v>1</v>
      </c>
      <c r="K50" s="581">
        <f>WORKDAY.INTL(I50,J50,1,Data!$C$3:$C$60)</f>
        <v>46083</v>
      </c>
      <c r="L50" s="77"/>
      <c r="M50" s="578">
        <v>0</v>
      </c>
      <c r="N50" s="578">
        <f t="shared" ca="1" si="6"/>
        <v>0</v>
      </c>
      <c r="O50" s="36" t="s">
        <v>197</v>
      </c>
      <c r="Y50" s="4"/>
    </row>
    <row r="51" spans="2:28">
      <c r="B51" s="157" t="s">
        <v>198</v>
      </c>
      <c r="C51" s="154" t="s">
        <v>199</v>
      </c>
      <c r="D51" s="126"/>
      <c r="E51" s="581">
        <f>WORKDAY.INTL(G49,0,1,Data!$C$3:$C$60)</f>
        <v>46078</v>
      </c>
      <c r="F51" s="576">
        <v>5</v>
      </c>
      <c r="G51" s="581">
        <f>WORKDAY.INTL(E51,F51,1,Data!$C$3:$C$60)</f>
        <v>46085</v>
      </c>
      <c r="H51" s="577"/>
      <c r="I51" s="581">
        <v>46073</v>
      </c>
      <c r="J51" s="576">
        <v>5</v>
      </c>
      <c r="K51" s="581">
        <f>WORKDAY.INTL(I51,J51,1,Data!$C$3:$C$60)</f>
        <v>46080</v>
      </c>
      <c r="L51" s="77"/>
      <c r="M51" s="578">
        <v>0</v>
      </c>
      <c r="N51" s="578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2"/>
      <c r="F52" s="582"/>
      <c r="G52" s="582"/>
      <c r="H52" s="582"/>
      <c r="I52" s="582"/>
      <c r="J52" s="582"/>
      <c r="K52" s="582"/>
      <c r="L52" s="582"/>
      <c r="M52" s="582"/>
      <c r="N52" s="582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N2:O4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5" zoomScaleNormal="85" workbookViewId="0">
      <selection activeCell="F14" sqref="F14:F15"/>
    </sheetView>
  </sheetViews>
  <sheetFormatPr defaultColWidth="8.33203125" defaultRowHeight="14.4"/>
  <cols>
    <col min="1" max="1" width="5.109375" style="24" customWidth="1"/>
    <col min="2" max="2" width="5.109375" style="45" customWidth="1"/>
    <col min="3" max="3" width="36.33203125" style="43" customWidth="1"/>
    <col min="4" max="4" width="23.33203125" style="43" customWidth="1"/>
    <col min="5" max="5" width="6.5546875" style="43" customWidth="1"/>
    <col min="6" max="6" width="16.33203125" style="43" customWidth="1"/>
    <col min="7" max="7" width="11.77734375" style="43" bestFit="1" customWidth="1"/>
    <col min="8" max="8" width="18.109375" style="43" bestFit="1" customWidth="1"/>
    <col min="9" max="9" width="1.77734375" style="43" customWidth="1"/>
    <col min="10" max="10" width="3.21875" style="24" customWidth="1"/>
    <col min="11" max="11" width="1.77734375" style="87" customWidth="1"/>
    <col min="12" max="12" width="23" style="24" customWidth="1"/>
    <col min="13" max="13" width="1.77734375" style="43" customWidth="1"/>
    <col min="14" max="14" width="20.33203125" style="43" customWidth="1"/>
    <col min="15" max="15" width="1.77734375" style="43" customWidth="1"/>
    <col min="16" max="16" width="16.77734375" style="43" customWidth="1"/>
    <col min="17" max="17" width="5.109375" style="43" customWidth="1"/>
    <col min="18" max="18" width="70.88671875" style="43" customWidth="1"/>
    <col min="19" max="19" width="21.21875" style="43" customWidth="1"/>
    <col min="20" max="20" width="4.33203125" style="43" customWidth="1"/>
    <col min="21" max="21" width="14.33203125" style="43" customWidth="1"/>
    <col min="22" max="22" width="14.109375" style="24" bestFit="1" customWidth="1"/>
    <col min="23" max="24" width="12.33203125" style="24" bestFit="1" customWidth="1"/>
    <col min="25" max="25" width="5.109375" style="24" bestFit="1" customWidth="1"/>
    <col min="26" max="26" width="14.33203125" style="24" bestFit="1" customWidth="1"/>
    <col min="27" max="27" width="8.33203125" style="24"/>
    <col min="28" max="28" width="14.33203125" style="24" bestFit="1" customWidth="1"/>
    <col min="29" max="29" width="8.33203125" style="43"/>
    <col min="30" max="30" width="12.109375" style="43" bestFit="1" customWidth="1"/>
    <col min="31" max="41" width="8.33203125" style="43"/>
    <col min="42" max="42" width="9.33203125" style="43" bestFit="1" customWidth="1"/>
    <col min="43" max="16384" width="8.3320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200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201</v>
      </c>
      <c r="V2" s="24" t="s">
        <v>202</v>
      </c>
      <c r="W2" s="24" t="s">
        <v>203</v>
      </c>
      <c r="X2" s="24" t="s">
        <v>204</v>
      </c>
    </row>
    <row r="3" spans="1:42" s="24" customFormat="1" ht="13.2">
      <c r="B3" s="31"/>
      <c r="D3" s="39" t="s">
        <v>205</v>
      </c>
      <c r="F3" s="39" t="s">
        <v>206</v>
      </c>
      <c r="J3" s="53"/>
      <c r="L3" s="309" t="s">
        <v>207</v>
      </c>
      <c r="N3" s="309" t="s">
        <v>208</v>
      </c>
      <c r="T3" s="53"/>
      <c r="U3" s="30">
        <f>D4</f>
        <v>1364882.3818340108</v>
      </c>
      <c r="V3" s="30">
        <f>D5</f>
        <v>1114901.5750239133</v>
      </c>
      <c r="W3" s="643">
        <f>SUMIFS('Expenditure Breakdown'!$U:$U,
        'Expenditure Breakdown'!$T:$T, "&gt;"&amp;DATE(2025,8,31),
        'Expenditure Breakdown'!$T:$T, "&lt;="&amp;DATE(2026,8,31),
        'Expenditure Breakdown'!$S:$S, "&lt;&gt;")</f>
        <v>1290891.234789714</v>
      </c>
      <c r="X3" s="643">
        <f>SUMIFS('Expenditure Breakdown'!$Q:$Q,
        'Expenditure Breakdown'!$T:$T, "&gt;"&amp;DATE(2025,8,31),
        'Expenditure Breakdown'!$T:$T, "&lt;="&amp;DATE(2026,8,31),
        'Expenditure Breakdown'!$S:$S, "&lt;&gt;")</f>
        <v>879522.39999999991</v>
      </c>
    </row>
    <row r="4" spans="1:42" s="24" customFormat="1" ht="13.2">
      <c r="B4" s="256">
        <v>1</v>
      </c>
      <c r="C4" s="257" t="s">
        <v>209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210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4" t="s">
        <v>211</v>
      </c>
      <c r="H5" s="644" t="s">
        <v>212</v>
      </c>
      <c r="J5" s="53"/>
      <c r="L5" s="276">
        <v>979941.97977292514</v>
      </c>
      <c r="N5" s="310">
        <v>46001</v>
      </c>
      <c r="T5" s="53"/>
    </row>
    <row r="6" spans="1:42" s="24" customFormat="1" ht="15" customHeight="1">
      <c r="B6" s="256">
        <v>3</v>
      </c>
      <c r="C6" s="257" t="s">
        <v>213</v>
      </c>
      <c r="D6" s="258">
        <f>+D4-D5</f>
        <v>249980.80681009754</v>
      </c>
      <c r="E6" s="259"/>
      <c r="F6" s="258">
        <f>+F4-F5</f>
        <v>415975.98183401069</v>
      </c>
      <c r="G6" s="542">
        <f>D6*0.05</f>
        <v>12499.040340504878</v>
      </c>
      <c r="H6" s="643">
        <f>SUMIF('Expenditure Breakdown'!N:N,"*VO*",'Expenditure Breakdown'!Q:Q)</f>
        <v>33897</v>
      </c>
      <c r="J6" s="53"/>
      <c r="L6" s="276">
        <v>384940.40206108568</v>
      </c>
      <c r="N6" s="276" t="s">
        <v>214</v>
      </c>
      <c r="T6" s="53"/>
    </row>
    <row r="7" spans="1:42" s="24" customFormat="1" ht="15" customHeight="1" thickBot="1">
      <c r="B7" s="256">
        <v>4</v>
      </c>
      <c r="C7" s="257" t="s">
        <v>215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3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2">
      <c r="B10" s="42" t="s">
        <v>216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39.6">
      <c r="B12" s="46" t="s">
        <v>130</v>
      </c>
      <c r="C12" s="47" t="s">
        <v>217</v>
      </c>
      <c r="D12" s="48"/>
      <c r="E12" s="46" t="s">
        <v>218</v>
      </c>
      <c r="F12" s="46" t="s">
        <v>219</v>
      </c>
      <c r="H12" s="261" t="s">
        <v>220</v>
      </c>
      <c r="J12" s="53"/>
      <c r="L12" s="78" t="s">
        <v>221</v>
      </c>
      <c r="M12" s="49"/>
      <c r="N12" s="78" t="s">
        <v>222</v>
      </c>
      <c r="O12" s="49"/>
      <c r="P12" s="78" t="s">
        <v>223</v>
      </c>
      <c r="R12" s="279" t="s">
        <v>224</v>
      </c>
      <c r="S12" s="655" t="s">
        <v>225</v>
      </c>
      <c r="T12" s="53"/>
    </row>
    <row r="13" spans="1:42" s="24" customFormat="1" ht="13.2">
      <c r="B13" s="588">
        <v>1</v>
      </c>
      <c r="C13" s="741" t="s">
        <v>226</v>
      </c>
      <c r="D13" s="742"/>
      <c r="E13" s="589">
        <v>0.4</v>
      </c>
      <c r="F13" s="590">
        <f>$D$4*E13</f>
        <v>545952.95273360435</v>
      </c>
      <c r="G13" s="591"/>
      <c r="H13" s="592">
        <v>45975</v>
      </c>
      <c r="I13" s="593"/>
      <c r="J13" s="594"/>
      <c r="K13" s="593"/>
      <c r="L13" s="595" t="s">
        <v>227</v>
      </c>
      <c r="M13" s="596"/>
      <c r="N13" s="592">
        <v>45880</v>
      </c>
      <c r="O13" s="596"/>
      <c r="P13" s="622">
        <v>45974</v>
      </c>
      <c r="R13" s="86"/>
      <c r="S13" s="641" t="b">
        <v>1</v>
      </c>
      <c r="T13" s="53"/>
      <c r="AP13" s="524">
        <f>'Change Register'!$Q$14+ 7</f>
        <v>7</v>
      </c>
    </row>
    <row r="14" spans="1:42" s="24" customFormat="1" ht="13.2">
      <c r="B14" s="598">
        <v>2</v>
      </c>
      <c r="C14" s="741" t="s">
        <v>228</v>
      </c>
      <c r="D14" s="742"/>
      <c r="E14" s="589">
        <v>0.4</v>
      </c>
      <c r="F14" s="590">
        <f>$D$4*E14</f>
        <v>545952.95273360435</v>
      </c>
      <c r="G14" s="599"/>
      <c r="H14" s="592">
        <f>'Project Plan'!G22+7</f>
        <v>46009</v>
      </c>
      <c r="I14" s="593"/>
      <c r="J14" s="594"/>
      <c r="K14" s="593"/>
      <c r="L14" s="595" t="s">
        <v>229</v>
      </c>
      <c r="M14" s="593"/>
      <c r="N14" s="592">
        <v>46006</v>
      </c>
      <c r="O14" s="593"/>
      <c r="P14" s="597">
        <v>46079</v>
      </c>
      <c r="R14" s="280" t="s">
        <v>230</v>
      </c>
      <c r="S14" s="641" t="b">
        <v>0</v>
      </c>
      <c r="T14" s="53"/>
    </row>
    <row r="15" spans="1:42" s="24" customFormat="1" ht="13.2">
      <c r="B15" s="588">
        <v>3</v>
      </c>
      <c r="C15" s="741" t="s">
        <v>231</v>
      </c>
      <c r="D15" s="742"/>
      <c r="E15" s="589">
        <v>0.2</v>
      </c>
      <c r="F15" s="590">
        <f t="shared" ref="F15:F18" si="0">$D$4*E15</f>
        <v>272976.47636680218</v>
      </c>
      <c r="G15" s="599"/>
      <c r="H15" s="592">
        <f>'Project Plan'!G50+7</f>
        <v>46086</v>
      </c>
      <c r="I15" s="593"/>
      <c r="J15" s="594"/>
      <c r="K15" s="593"/>
      <c r="L15" s="595"/>
      <c r="M15" s="593"/>
      <c r="N15" s="592"/>
      <c r="O15" s="593"/>
      <c r="P15" s="597">
        <f>'Project Plan'!K50+7</f>
        <v>46090</v>
      </c>
      <c r="R15" s="280"/>
      <c r="S15" s="641" t="b">
        <v>0</v>
      </c>
      <c r="T15" s="53"/>
    </row>
    <row r="16" spans="1:42" s="24" customFormat="1" ht="13.2">
      <c r="B16" s="588">
        <v>4</v>
      </c>
      <c r="C16" s="739" t="s">
        <v>232</v>
      </c>
      <c r="D16" s="740"/>
      <c r="E16" s="589">
        <v>0</v>
      </c>
      <c r="F16" s="590">
        <f t="shared" si="0"/>
        <v>0</v>
      </c>
      <c r="G16" s="599"/>
      <c r="H16" s="592"/>
      <c r="I16" s="593"/>
      <c r="J16" s="594"/>
      <c r="K16" s="593"/>
      <c r="L16" s="595"/>
      <c r="M16" s="600"/>
      <c r="N16" s="592"/>
      <c r="O16" s="600"/>
      <c r="P16" s="597"/>
      <c r="R16" s="280"/>
      <c r="S16" s="641" t="b">
        <v>0</v>
      </c>
      <c r="T16" s="53"/>
    </row>
    <row r="17" spans="2:20" s="24" customFormat="1" ht="13.2">
      <c r="B17" s="588">
        <v>5</v>
      </c>
      <c r="C17" s="739" t="s">
        <v>232</v>
      </c>
      <c r="D17" s="740"/>
      <c r="E17" s="589">
        <v>0</v>
      </c>
      <c r="F17" s="590">
        <f t="shared" si="0"/>
        <v>0</v>
      </c>
      <c r="G17" s="599"/>
      <c r="H17" s="592"/>
      <c r="I17" s="593"/>
      <c r="J17" s="594"/>
      <c r="K17" s="593"/>
      <c r="L17" s="595"/>
      <c r="M17" s="593"/>
      <c r="N17" s="592"/>
      <c r="O17" s="593"/>
      <c r="P17" s="597"/>
      <c r="R17" s="280"/>
      <c r="S17" s="641" t="b">
        <v>0</v>
      </c>
      <c r="T17" s="53"/>
    </row>
    <row r="18" spans="2:20" s="24" customFormat="1" ht="13.2">
      <c r="B18" s="588">
        <v>6</v>
      </c>
      <c r="C18" s="739" t="s">
        <v>232</v>
      </c>
      <c r="D18" s="740"/>
      <c r="E18" s="589">
        <v>0</v>
      </c>
      <c r="F18" s="590">
        <f t="shared" si="0"/>
        <v>0</v>
      </c>
      <c r="G18" s="599"/>
      <c r="H18" s="592"/>
      <c r="I18" s="593"/>
      <c r="J18" s="594"/>
      <c r="K18" s="593"/>
      <c r="L18" s="595"/>
      <c r="M18" s="591"/>
      <c r="N18" s="592"/>
      <c r="O18" s="591"/>
      <c r="P18" s="597"/>
      <c r="R18" s="280"/>
      <c r="S18" s="642" t="b">
        <v>0</v>
      </c>
      <c r="T18" s="53"/>
    </row>
    <row r="19" spans="2:20" s="24" customFormat="1" ht="13.2">
      <c r="B19" s="588">
        <v>7</v>
      </c>
      <c r="C19" s="741" t="s">
        <v>232</v>
      </c>
      <c r="D19" s="742"/>
      <c r="E19" s="589">
        <v>0</v>
      </c>
      <c r="F19" s="590">
        <f t="shared" ref="F19" si="1">$D$4*E19</f>
        <v>0</v>
      </c>
      <c r="G19" s="599"/>
      <c r="H19" s="592"/>
      <c r="I19" s="593"/>
      <c r="J19" s="594"/>
      <c r="K19" s="593"/>
      <c r="L19" s="597"/>
      <c r="M19" s="593"/>
      <c r="N19" s="597"/>
      <c r="O19" s="593"/>
      <c r="P19" s="597"/>
      <c r="R19" s="280"/>
      <c r="S19" s="641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2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233</v>
      </c>
      <c r="C23" s="57" t="s">
        <v>234</v>
      </c>
      <c r="D23" s="57"/>
      <c r="F23" s="58"/>
      <c r="H23" s="30"/>
    </row>
    <row r="24" spans="2:20" s="24" customFormat="1" ht="13.2">
      <c r="C24" s="59" t="s">
        <v>235</v>
      </c>
      <c r="D24" s="60"/>
      <c r="F24" s="61"/>
    </row>
    <row r="25" spans="2:20" s="24" customFormat="1" ht="13.2">
      <c r="C25" s="59" t="s">
        <v>236</v>
      </c>
      <c r="D25" s="60"/>
    </row>
    <row r="26" spans="2:20" s="24" customFormat="1" ht="13.2">
      <c r="C26" s="62" t="s">
        <v>237</v>
      </c>
      <c r="D26" s="63"/>
    </row>
    <row r="27" spans="2:20" s="24" customFormat="1" ht="13.2">
      <c r="C27" s="64" t="s">
        <v>238</v>
      </c>
      <c r="D27" s="60"/>
    </row>
    <row r="28" spans="2:20" s="24" customFormat="1" ht="13.2">
      <c r="B28" s="31"/>
      <c r="C28" s="64" t="s">
        <v>239</v>
      </c>
      <c r="D28" s="60"/>
    </row>
    <row r="29" spans="2:20" s="24" customFormat="1" ht="13.2">
      <c r="B29" s="31"/>
      <c r="C29" s="24" t="s">
        <v>240</v>
      </c>
    </row>
    <row r="30" spans="2:20" s="24" customFormat="1" ht="27.75" customHeight="1">
      <c r="B30" s="31"/>
      <c r="C30" s="65" t="s">
        <v>241</v>
      </c>
      <c r="D30" s="65"/>
      <c r="F30" s="61"/>
    </row>
    <row r="31" spans="2:20" s="24" customFormat="1" ht="13.2">
      <c r="B31" s="31"/>
      <c r="F31" s="58"/>
      <c r="N31" s="542"/>
    </row>
    <row r="32" spans="2:20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217</v>
      </c>
      <c r="D40" s="48"/>
      <c r="E40" s="46" t="s">
        <v>218</v>
      </c>
      <c r="F40" s="46" t="s">
        <v>219</v>
      </c>
    </row>
    <row r="41" spans="2:6" s="24" customFormat="1" ht="12.75" hidden="1" customHeight="1">
      <c r="B41" s="66">
        <v>1</v>
      </c>
      <c r="C41" s="67" t="s">
        <v>242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243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245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246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247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4" customWidth="1"/>
    <col min="2" max="2" width="8.33203125" style="5"/>
    <col min="3" max="3" width="2.33203125" style="5" customWidth="1"/>
    <col min="4" max="4" width="21.109375" style="4" customWidth="1"/>
    <col min="5" max="5" width="1.33203125" style="4" customWidth="1"/>
    <col min="6" max="6" width="19.5546875" style="4" customWidth="1"/>
    <col min="7" max="7" width="1.33203125" style="4" customWidth="1"/>
    <col min="8" max="8" width="18.33203125" style="4" customWidth="1"/>
    <col min="9" max="9" width="3.21875" style="4" customWidth="1"/>
    <col min="10" max="10" width="24.33203125" style="4" customWidth="1"/>
    <col min="11" max="11" width="2" style="4" customWidth="1"/>
    <col min="12" max="12" width="53.33203125" style="4" customWidth="1"/>
    <col min="13" max="16384" width="8.3320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43"/>
      <c r="C4" s="743"/>
      <c r="D4" s="743"/>
      <c r="E4" s="312"/>
      <c r="F4" s="131" t="s">
        <v>205</v>
      </c>
      <c r="G4" s="126"/>
      <c r="H4" s="131" t="s">
        <v>206</v>
      </c>
      <c r="I4" s="126"/>
      <c r="J4" s="132" t="s">
        <v>249</v>
      </c>
      <c r="K4" s="26"/>
      <c r="L4" s="26"/>
    </row>
    <row r="5" spans="1:12" ht="14.4" thickBot="1">
      <c r="A5" s="126"/>
      <c r="B5" s="744" t="s">
        <v>250</v>
      </c>
      <c r="C5" s="744"/>
      <c r="D5" s="744"/>
      <c r="E5" s="312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251</v>
      </c>
      <c r="G7" s="139"/>
      <c r="H7" s="138" t="s">
        <v>252</v>
      </c>
      <c r="I7" s="139"/>
      <c r="J7" s="138" t="s">
        <v>253</v>
      </c>
      <c r="K7" s="84"/>
      <c r="L7" s="29" t="s">
        <v>254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L1" zoomScale="81" zoomScaleNormal="70" workbookViewId="0">
      <pane ySplit="4" topLeftCell="A96" activePane="bottomLeft" state="frozen"/>
      <selection activeCell="X33" sqref="X33"/>
      <selection pane="bottomLeft" activeCell="S123" sqref="S123"/>
    </sheetView>
  </sheetViews>
  <sheetFormatPr defaultColWidth="9.33203125" defaultRowHeight="13.8"/>
  <cols>
    <col min="1" max="1" width="2.33203125" style="26" hidden="1" customWidth="1"/>
    <col min="2" max="2" width="6.33203125" style="4" hidden="1" customWidth="1"/>
    <col min="3" max="3" width="20.33203125" style="4" hidden="1" customWidth="1"/>
    <col min="4" max="4" width="51.5546875" style="4" hidden="1" customWidth="1"/>
    <col min="5" max="5" width="13" style="6" hidden="1" customWidth="1"/>
    <col min="6" max="6" width="16.5546875" style="371" hidden="1" customWidth="1"/>
    <col min="7" max="8" width="17.33203125" style="4" hidden="1" customWidth="1"/>
    <col min="9" max="9" width="22.33203125" style="254" hidden="1" customWidth="1"/>
    <col min="10" max="10" width="22.33203125" style="254" customWidth="1"/>
    <col min="11" max="12" width="5.109375" style="26" customWidth="1"/>
    <col min="13" max="13" width="25.5546875" style="26" customWidth="1"/>
    <col min="14" max="14" width="58.109375" style="26" bestFit="1" customWidth="1"/>
    <col min="15" max="15" width="15.5546875" style="26" customWidth="1"/>
    <col min="16" max="17" width="17.33203125" style="26" customWidth="1"/>
    <col min="18" max="18" width="43.77734375" style="26" customWidth="1"/>
    <col min="19" max="19" width="29.77734375" style="26" customWidth="1"/>
    <col min="20" max="21" width="17.33203125" style="430" customWidth="1"/>
    <col min="22" max="22" width="17.33203125" style="26" customWidth="1"/>
    <col min="23" max="23" width="17.33203125" style="430" customWidth="1"/>
    <col min="24" max="24" width="21.109375" style="26" customWidth="1"/>
    <col min="25" max="25" width="29.33203125" style="26" bestFit="1" customWidth="1"/>
    <col min="26" max="26" width="24.77734375" style="26" bestFit="1" customWidth="1"/>
    <col min="27" max="76" width="17.33203125" style="26" customWidth="1"/>
    <col min="77" max="16384" width="9.33203125" style="4"/>
  </cols>
  <sheetData>
    <row r="1" spans="1:76" s="26" customFormat="1" ht="4.5" customHeight="1" thickBot="1">
      <c r="E1" s="77"/>
      <c r="F1" s="361"/>
      <c r="I1" s="160"/>
      <c r="J1" s="160"/>
      <c r="O1" s="77"/>
      <c r="P1" s="361"/>
      <c r="Q1" s="266"/>
      <c r="R1" s="266"/>
      <c r="S1" s="266"/>
      <c r="T1" s="161"/>
      <c r="U1" s="161"/>
      <c r="V1" s="266"/>
      <c r="W1" s="161"/>
      <c r="Y1" s="375"/>
    </row>
    <row r="2" spans="1:76" ht="21.75" customHeight="1" thickBot="1">
      <c r="B2" s="703" t="s">
        <v>256</v>
      </c>
      <c r="C2" s="704"/>
      <c r="D2" s="704"/>
      <c r="E2" s="704"/>
      <c r="F2" s="704"/>
      <c r="G2" s="704"/>
      <c r="H2" s="394"/>
      <c r="I2" s="162">
        <f>SUM(I6:I162)</f>
        <v>1114901.5750239133</v>
      </c>
      <c r="J2" s="162">
        <f>SUM(J6:J162)</f>
        <v>1364882.3818340106</v>
      </c>
      <c r="L2" s="705" t="s">
        <v>257</v>
      </c>
      <c r="M2" s="706"/>
      <c r="N2" s="706"/>
      <c r="O2" s="706"/>
      <c r="P2" s="706"/>
      <c r="Q2" s="706"/>
      <c r="R2" s="707" t="s">
        <v>258</v>
      </c>
      <c r="S2" s="708"/>
      <c r="T2" s="708"/>
      <c r="U2" s="708"/>
      <c r="V2" s="708"/>
      <c r="W2" s="709"/>
      <c r="X2" s="162">
        <f>SUM(X6:X162)</f>
        <v>948906.40000000014</v>
      </c>
    </row>
    <row r="3" spans="1:76" s="26" customFormat="1" ht="13.5" customHeight="1" thickBot="1">
      <c r="E3" s="77"/>
      <c r="F3" s="361"/>
      <c r="I3" s="160"/>
      <c r="J3" s="271"/>
      <c r="O3" s="77"/>
      <c r="P3" s="361"/>
      <c r="Q3" s="161"/>
      <c r="T3" s="430"/>
      <c r="U3" s="430"/>
      <c r="W3" s="430"/>
      <c r="X3" s="611"/>
    </row>
    <row r="4" spans="1:76" s="6" customFormat="1" ht="42" thickBot="1">
      <c r="A4" s="77"/>
      <c r="B4" s="163" t="s">
        <v>259</v>
      </c>
      <c r="C4" s="164" t="s">
        <v>260</v>
      </c>
      <c r="D4" s="164" t="s">
        <v>261</v>
      </c>
      <c r="E4" s="164" t="s">
        <v>262</v>
      </c>
      <c r="F4" s="362" t="s">
        <v>263</v>
      </c>
      <c r="G4" s="165" t="s">
        <v>264</v>
      </c>
      <c r="H4" s="273" t="s">
        <v>265</v>
      </c>
      <c r="I4" s="166" t="s">
        <v>266</v>
      </c>
      <c r="J4" s="166" t="str">
        <f>IF(J2-'Revenue Tracking'!D4&gt;=0, "Total Revenue", "ERROR on REV" )</f>
        <v>ERROR on REV</v>
      </c>
      <c r="K4" s="77"/>
      <c r="L4" s="163" t="s">
        <v>259</v>
      </c>
      <c r="M4" s="164" t="s">
        <v>267</v>
      </c>
      <c r="N4" s="164" t="s">
        <v>261</v>
      </c>
      <c r="O4" s="164" t="s">
        <v>262</v>
      </c>
      <c r="P4" s="362" t="s">
        <v>263</v>
      </c>
      <c r="Q4" s="274" t="s">
        <v>268</v>
      </c>
      <c r="R4" s="495" t="s">
        <v>269</v>
      </c>
      <c r="S4" s="496" t="s">
        <v>221</v>
      </c>
      <c r="T4" s="520" t="s">
        <v>222</v>
      </c>
      <c r="U4" s="521" t="s">
        <v>270</v>
      </c>
      <c r="V4" s="274" t="s">
        <v>271</v>
      </c>
      <c r="W4" s="520" t="s">
        <v>272</v>
      </c>
      <c r="X4" s="166" t="s">
        <v>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3"/>
      <c r="G5" s="170"/>
      <c r="H5" s="545"/>
      <c r="I5" s="171"/>
      <c r="J5" s="171"/>
      <c r="K5" s="172"/>
      <c r="L5" s="167"/>
      <c r="M5" s="168"/>
      <c r="N5" s="168"/>
      <c r="O5" s="169"/>
      <c r="P5" s="363"/>
      <c r="Q5" s="373"/>
      <c r="R5" s="389"/>
      <c r="S5" s="497"/>
      <c r="T5" s="390"/>
      <c r="U5" s="390"/>
      <c r="V5" s="390"/>
      <c r="W5" s="390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273</v>
      </c>
      <c r="D6" s="186" t="s">
        <v>274</v>
      </c>
      <c r="E6" s="187"/>
      <c r="F6" s="335"/>
      <c r="G6" s="292">
        <f>D163</f>
        <v>388678.38800000004</v>
      </c>
      <c r="H6" s="549">
        <f>'Project Plan'!E36+60</f>
        <v>46061</v>
      </c>
      <c r="I6" s="656">
        <f>SUM(G6:G11)</f>
        <v>388678.38800000004</v>
      </c>
      <c r="J6" s="659">
        <f>F163</f>
        <v>485847.98500000004</v>
      </c>
      <c r="K6" s="289"/>
      <c r="L6" s="185">
        <v>1</v>
      </c>
      <c r="M6" s="315" t="s">
        <v>275</v>
      </c>
      <c r="N6" s="186" t="s">
        <v>276</v>
      </c>
      <c r="O6" s="519">
        <v>258</v>
      </c>
      <c r="P6" s="335">
        <v>1189.5</v>
      </c>
      <c r="Q6" s="292">
        <f>O6*P6</f>
        <v>306891</v>
      </c>
      <c r="R6" s="467"/>
      <c r="S6" s="498" t="s">
        <v>277</v>
      </c>
      <c r="T6" s="540">
        <v>46022</v>
      </c>
      <c r="U6" s="636">
        <v>485847.98500000004</v>
      </c>
      <c r="V6" s="668">
        <f>J6-SUM(U6:U11)</f>
        <v>0</v>
      </c>
      <c r="W6" s="652">
        <v>46057</v>
      </c>
      <c r="X6" s="656">
        <f>SUM(Q6:Q11)</f>
        <v>306891</v>
      </c>
    </row>
    <row r="7" spans="1:76" ht="15" customHeight="1">
      <c r="B7" s="215">
        <v>1</v>
      </c>
      <c r="C7" s="316"/>
      <c r="D7" s="290" t="s">
        <v>278</v>
      </c>
      <c r="E7" s="291"/>
      <c r="F7" s="356"/>
      <c r="G7" s="219"/>
      <c r="H7" s="540"/>
      <c r="I7" s="657"/>
      <c r="J7" s="660"/>
      <c r="K7" s="192"/>
      <c r="L7" s="215">
        <v>1</v>
      </c>
      <c r="M7" s="217" t="s">
        <v>275</v>
      </c>
      <c r="N7" s="290"/>
      <c r="O7" s="432"/>
      <c r="P7" s="342"/>
      <c r="Q7" s="219"/>
      <c r="R7" s="468"/>
      <c r="S7" s="499"/>
      <c r="T7" s="410" t="str">
        <f t="shared" ref="T7:T72" si="0">IF(W7&gt;1,EOMONTH(W7,0),"")</f>
        <v/>
      </c>
      <c r="U7" s="636">
        <v>0</v>
      </c>
      <c r="V7" s="669"/>
      <c r="W7" s="452"/>
      <c r="X7" s="657"/>
    </row>
    <row r="8" spans="1:76" ht="15" customHeight="1">
      <c r="B8" s="284">
        <v>1</v>
      </c>
      <c r="C8" s="377"/>
      <c r="D8" s="378"/>
      <c r="E8" s="379"/>
      <c r="F8" s="342"/>
      <c r="G8" s="287"/>
      <c r="H8" s="540"/>
      <c r="I8" s="657"/>
      <c r="J8" s="660"/>
      <c r="K8" s="192"/>
      <c r="L8" s="215">
        <v>1</v>
      </c>
      <c r="M8" s="217" t="s">
        <v>275</v>
      </c>
      <c r="N8" s="378"/>
      <c r="O8" s="433"/>
      <c r="P8" s="342"/>
      <c r="Q8" s="219"/>
      <c r="R8" s="468"/>
      <c r="S8" s="499"/>
      <c r="T8" s="410" t="str">
        <f t="shared" si="0"/>
        <v/>
      </c>
      <c r="U8" s="636">
        <v>0</v>
      </c>
      <c r="V8" s="669"/>
      <c r="W8" s="452"/>
      <c r="X8" s="657"/>
    </row>
    <row r="9" spans="1:76" ht="15" customHeight="1">
      <c r="B9" s="284">
        <v>1</v>
      </c>
      <c r="C9" s="377"/>
      <c r="D9" s="378"/>
      <c r="E9" s="379"/>
      <c r="F9" s="342"/>
      <c r="G9" s="287"/>
      <c r="H9" s="540"/>
      <c r="I9" s="657"/>
      <c r="J9" s="660"/>
      <c r="K9" s="192"/>
      <c r="L9" s="215">
        <v>1</v>
      </c>
      <c r="M9" s="217" t="s">
        <v>275</v>
      </c>
      <c r="N9" s="378"/>
      <c r="O9" s="433"/>
      <c r="P9" s="342"/>
      <c r="Q9" s="287"/>
      <c r="R9" s="469"/>
      <c r="S9" s="500"/>
      <c r="T9" s="411" t="str">
        <f t="shared" si="0"/>
        <v/>
      </c>
      <c r="U9" s="636">
        <v>0</v>
      </c>
      <c r="V9" s="669"/>
      <c r="W9" s="453"/>
      <c r="X9" s="657"/>
    </row>
    <row r="10" spans="1:76" ht="15" customHeight="1">
      <c r="B10" s="284">
        <v>1</v>
      </c>
      <c r="C10" s="377"/>
      <c r="D10" s="378"/>
      <c r="E10" s="379"/>
      <c r="F10" s="342"/>
      <c r="G10" s="287"/>
      <c r="H10" s="550"/>
      <c r="I10" s="657"/>
      <c r="J10" s="660"/>
      <c r="K10" s="192"/>
      <c r="L10" s="215">
        <v>1</v>
      </c>
      <c r="M10" s="217" t="s">
        <v>275</v>
      </c>
      <c r="N10" s="378"/>
      <c r="O10" s="433"/>
      <c r="P10" s="342"/>
      <c r="Q10" s="287"/>
      <c r="R10" s="469"/>
      <c r="S10" s="500"/>
      <c r="T10" s="411" t="str">
        <f t="shared" si="0"/>
        <v/>
      </c>
      <c r="U10" s="636">
        <v>0</v>
      </c>
      <c r="V10" s="669"/>
      <c r="W10" s="453"/>
      <c r="X10" s="657"/>
    </row>
    <row r="11" spans="1:76" ht="15" customHeight="1" thickBot="1">
      <c r="B11" s="220">
        <v>1</v>
      </c>
      <c r="C11" s="317"/>
      <c r="D11" s="293"/>
      <c r="E11" s="294"/>
      <c r="F11" s="357"/>
      <c r="G11" s="234"/>
      <c r="H11" s="551"/>
      <c r="I11" s="658"/>
      <c r="J11" s="661"/>
      <c r="K11" s="193"/>
      <c r="L11" s="220">
        <v>1</v>
      </c>
      <c r="M11" s="317" t="s">
        <v>275</v>
      </c>
      <c r="N11" s="293"/>
      <c r="O11" s="434"/>
      <c r="P11" s="357"/>
      <c r="Q11" s="234"/>
      <c r="R11" s="470"/>
      <c r="S11" s="501"/>
      <c r="T11" s="412" t="str">
        <f t="shared" si="0"/>
        <v/>
      </c>
      <c r="U11" s="636">
        <v>0</v>
      </c>
      <c r="V11" s="670"/>
      <c r="W11" s="454"/>
      <c r="X11" s="658"/>
      <c r="Y11" s="605" t="s">
        <v>279</v>
      </c>
      <c r="Z11" s="485" t="s">
        <v>280</v>
      </c>
    </row>
    <row r="12" spans="1:76" ht="14.4" thickBot="1">
      <c r="A12" s="4"/>
      <c r="B12" s="180"/>
      <c r="C12" s="181"/>
      <c r="D12" s="182"/>
      <c r="E12" s="195"/>
      <c r="F12" s="353"/>
      <c r="G12" s="183"/>
      <c r="H12" s="552"/>
      <c r="I12" s="546"/>
      <c r="J12" s="184"/>
      <c r="K12" s="4"/>
      <c r="L12" s="180"/>
      <c r="M12" s="304"/>
      <c r="N12" s="182"/>
      <c r="O12" s="435"/>
      <c r="P12" s="353"/>
      <c r="Q12" s="183"/>
      <c r="R12" s="471"/>
      <c r="S12" s="502"/>
      <c r="T12" s="413" t="str">
        <f t="shared" si="0"/>
        <v/>
      </c>
      <c r="U12" s="398"/>
      <c r="V12" s="388"/>
      <c r="W12" s="455"/>
      <c r="X12" s="546"/>
      <c r="Y12" s="606" t="s">
        <v>281</v>
      </c>
      <c r="Z12" s="486">
        <f>G55</f>
        <v>139985.94782608695</v>
      </c>
      <c r="AA12" s="525"/>
    </row>
    <row r="13" spans="1:76" ht="14.25" customHeight="1">
      <c r="B13" s="197">
        <v>2</v>
      </c>
      <c r="C13" s="223" t="s">
        <v>87</v>
      </c>
      <c r="D13" s="223" t="s">
        <v>282</v>
      </c>
      <c r="E13" s="268"/>
      <c r="F13" s="354"/>
      <c r="G13" s="200">
        <f>D164</f>
        <v>120000</v>
      </c>
      <c r="H13" s="553">
        <f>'Project Plan'!E22+60</f>
        <v>46061</v>
      </c>
      <c r="I13" s="685">
        <f>SUM(G13:G19)</f>
        <v>120000</v>
      </c>
      <c r="J13" s="688">
        <f>F164</f>
        <v>150000</v>
      </c>
      <c r="K13" s="201"/>
      <c r="L13" s="197">
        <v>2</v>
      </c>
      <c r="M13" s="318" t="s">
        <v>283</v>
      </c>
      <c r="N13" s="223" t="s">
        <v>284</v>
      </c>
      <c r="O13" s="436">
        <v>1</v>
      </c>
      <c r="P13" s="354">
        <v>68870.350000000006</v>
      </c>
      <c r="Q13" s="200">
        <f>O13*P13</f>
        <v>68870.350000000006</v>
      </c>
      <c r="R13" s="472"/>
      <c r="S13" s="503" t="str">
        <f>S6</f>
        <v>MSA Energy - INV0003484</v>
      </c>
      <c r="T13" s="553">
        <f>T6</f>
        <v>46022</v>
      </c>
      <c r="U13" s="637">
        <v>91846.376169656171</v>
      </c>
      <c r="V13" s="700">
        <f>J13-SUM(U13:U19)</f>
        <v>0</v>
      </c>
      <c r="W13" s="653">
        <f>W6</f>
        <v>46057</v>
      </c>
      <c r="X13" s="685">
        <f>SUM(Q13:Q19)</f>
        <v>112476.43000000001</v>
      </c>
      <c r="Y13" s="606" t="s">
        <v>285</v>
      </c>
      <c r="Z13" s="487">
        <f>G32</f>
        <v>100395.79999999999</v>
      </c>
      <c r="AA13" s="525"/>
    </row>
    <row r="14" spans="1:76" ht="14.25" customHeight="1">
      <c r="B14" s="202">
        <v>2</v>
      </c>
      <c r="C14" s="324"/>
      <c r="D14" s="308"/>
      <c r="E14" s="380"/>
      <c r="F14" s="350"/>
      <c r="G14" s="374"/>
      <c r="H14" s="544"/>
      <c r="I14" s="686"/>
      <c r="J14" s="689"/>
      <c r="K14" s="205"/>
      <c r="L14" s="202">
        <v>2</v>
      </c>
      <c r="M14" s="324" t="s">
        <v>283</v>
      </c>
      <c r="N14" s="308" t="s">
        <v>286</v>
      </c>
      <c r="O14" s="437">
        <v>1</v>
      </c>
      <c r="P14" s="350">
        <v>43606.080000000002</v>
      </c>
      <c r="Q14" s="374">
        <f>O14*P14</f>
        <v>43606.080000000002</v>
      </c>
      <c r="R14" s="473"/>
      <c r="S14" s="504" t="str">
        <f>S6</f>
        <v>MSA Energy - INV0003484</v>
      </c>
      <c r="T14" s="544">
        <f>T6</f>
        <v>46022</v>
      </c>
      <c r="U14" s="637">
        <v>58153.623830343837</v>
      </c>
      <c r="V14" s="701"/>
      <c r="W14" s="630">
        <f>W13</f>
        <v>46057</v>
      </c>
      <c r="X14" s="686"/>
      <c r="Y14" s="606" t="s">
        <v>287</v>
      </c>
      <c r="Z14" s="486">
        <f>G92</f>
        <v>39345</v>
      </c>
      <c r="AA14" s="525"/>
    </row>
    <row r="15" spans="1:76" ht="14.25" customHeight="1">
      <c r="B15" s="202">
        <v>2</v>
      </c>
      <c r="C15" s="324"/>
      <c r="D15" s="308"/>
      <c r="E15" s="380"/>
      <c r="F15" s="350"/>
      <c r="G15" s="374"/>
      <c r="H15" s="544"/>
      <c r="I15" s="686"/>
      <c r="J15" s="689"/>
      <c r="K15" s="205"/>
      <c r="L15" s="202">
        <v>2</v>
      </c>
      <c r="M15" s="324" t="s">
        <v>283</v>
      </c>
      <c r="N15" s="308"/>
      <c r="O15" s="437"/>
      <c r="P15" s="350"/>
      <c r="Q15" s="374"/>
      <c r="R15" s="473"/>
      <c r="S15" s="504"/>
      <c r="T15" s="415" t="str">
        <f t="shared" si="0"/>
        <v/>
      </c>
      <c r="U15" s="637">
        <v>0</v>
      </c>
      <c r="V15" s="701"/>
      <c r="W15" s="457"/>
      <c r="X15" s="686"/>
      <c r="Y15" s="606" t="s">
        <v>288</v>
      </c>
      <c r="Z15" s="486">
        <f>G93</f>
        <v>85785</v>
      </c>
      <c r="AA15" s="525"/>
    </row>
    <row r="16" spans="1:76" ht="14.25" customHeight="1">
      <c r="B16" s="202">
        <v>2</v>
      </c>
      <c r="C16" s="324"/>
      <c r="D16" s="308"/>
      <c r="E16" s="380"/>
      <c r="F16" s="350"/>
      <c r="G16" s="374"/>
      <c r="H16" s="544"/>
      <c r="I16" s="686"/>
      <c r="J16" s="689"/>
      <c r="K16" s="205"/>
      <c r="L16" s="202">
        <v>2</v>
      </c>
      <c r="M16" s="324" t="s">
        <v>283</v>
      </c>
      <c r="N16" s="308"/>
      <c r="O16" s="437"/>
      <c r="P16" s="350"/>
      <c r="Q16" s="374"/>
      <c r="R16" s="473"/>
      <c r="S16" s="504"/>
      <c r="T16" s="415" t="str">
        <f t="shared" si="0"/>
        <v/>
      </c>
      <c r="U16" s="637">
        <v>0</v>
      </c>
      <c r="V16" s="701"/>
      <c r="W16" s="457"/>
      <c r="X16" s="686"/>
      <c r="Y16" s="606" t="s">
        <v>289</v>
      </c>
      <c r="Z16" s="486">
        <f>G105</f>
        <v>8500</v>
      </c>
      <c r="AA16" s="525"/>
    </row>
    <row r="17" spans="1:27" ht="14.25" customHeight="1">
      <c r="B17" s="202">
        <v>2</v>
      </c>
      <c r="C17" s="324"/>
      <c r="D17" s="308"/>
      <c r="E17" s="380"/>
      <c r="F17" s="350"/>
      <c r="G17" s="374"/>
      <c r="H17" s="544"/>
      <c r="I17" s="686"/>
      <c r="J17" s="689"/>
      <c r="K17" s="205"/>
      <c r="L17" s="202">
        <v>2</v>
      </c>
      <c r="M17" s="324" t="s">
        <v>283</v>
      </c>
      <c r="N17" s="308"/>
      <c r="O17" s="437"/>
      <c r="P17" s="350"/>
      <c r="Q17" s="374"/>
      <c r="R17" s="473"/>
      <c r="S17" s="504"/>
      <c r="T17" s="415" t="str">
        <f t="shared" si="0"/>
        <v/>
      </c>
      <c r="U17" s="637">
        <v>0</v>
      </c>
      <c r="V17" s="701"/>
      <c r="W17" s="457"/>
      <c r="X17" s="686"/>
      <c r="Y17" s="606" t="s">
        <v>290</v>
      </c>
      <c r="Z17" s="486">
        <f>G106</f>
        <v>12818.666666666666</v>
      </c>
      <c r="AA17" s="525"/>
    </row>
    <row r="18" spans="1:27" ht="14.25" customHeight="1">
      <c r="B18" s="202">
        <v>2</v>
      </c>
      <c r="C18" s="324"/>
      <c r="D18" s="308"/>
      <c r="E18" s="380"/>
      <c r="F18" s="350"/>
      <c r="G18" s="374"/>
      <c r="H18" s="544"/>
      <c r="I18" s="686"/>
      <c r="J18" s="689"/>
      <c r="K18" s="205"/>
      <c r="L18" s="202">
        <v>2</v>
      </c>
      <c r="M18" s="324" t="s">
        <v>283</v>
      </c>
      <c r="N18" s="308"/>
      <c r="O18" s="437"/>
      <c r="P18" s="350"/>
      <c r="Q18" s="374"/>
      <c r="R18" s="473"/>
      <c r="S18" s="504"/>
      <c r="T18" s="415" t="str">
        <f t="shared" si="0"/>
        <v/>
      </c>
      <c r="U18" s="637">
        <v>0</v>
      </c>
      <c r="V18" s="701"/>
      <c r="W18" s="457"/>
      <c r="X18" s="686"/>
      <c r="Y18" s="606" t="s">
        <v>291</v>
      </c>
      <c r="Z18" s="486">
        <f>G108</f>
        <v>0</v>
      </c>
      <c r="AA18" s="525"/>
    </row>
    <row r="19" spans="1:27" ht="15" customHeight="1" thickBot="1">
      <c r="B19" s="296">
        <v>2</v>
      </c>
      <c r="C19" s="297"/>
      <c r="D19" s="297"/>
      <c r="E19" s="298"/>
      <c r="F19" s="364"/>
      <c r="G19" s="299"/>
      <c r="H19" s="554"/>
      <c r="I19" s="687"/>
      <c r="J19" s="690"/>
      <c r="K19" s="210"/>
      <c r="L19" s="296">
        <v>2</v>
      </c>
      <c r="M19" s="319" t="s">
        <v>283</v>
      </c>
      <c r="N19" s="297"/>
      <c r="O19" s="438"/>
      <c r="P19" s="364"/>
      <c r="Q19" s="299"/>
      <c r="R19" s="474"/>
      <c r="S19" s="505"/>
      <c r="T19" s="416" t="str">
        <f t="shared" si="0"/>
        <v/>
      </c>
      <c r="U19" s="638">
        <v>0</v>
      </c>
      <c r="V19" s="702"/>
      <c r="W19" s="458"/>
      <c r="X19" s="687"/>
      <c r="Y19" s="606" t="s">
        <v>292</v>
      </c>
      <c r="Z19" s="486">
        <v>0</v>
      </c>
      <c r="AA19" s="525"/>
    </row>
    <row r="20" spans="1:27" ht="14.4" thickBot="1">
      <c r="A20" s="4"/>
      <c r="B20" s="194"/>
      <c r="C20" s="181"/>
      <c r="D20" s="181"/>
      <c r="E20" s="195"/>
      <c r="F20" s="353"/>
      <c r="G20" s="196"/>
      <c r="H20" s="552"/>
      <c r="I20" s="546"/>
      <c r="J20" s="184"/>
      <c r="K20" s="4"/>
      <c r="L20" s="194"/>
      <c r="M20" s="181"/>
      <c r="N20" s="181"/>
      <c r="O20" s="435"/>
      <c r="P20" s="353"/>
      <c r="Q20" s="196"/>
      <c r="R20" s="471"/>
      <c r="S20" s="502"/>
      <c r="T20" s="413" t="str">
        <f t="shared" si="0"/>
        <v/>
      </c>
      <c r="U20" s="402"/>
      <c r="V20" s="384"/>
      <c r="W20" s="455"/>
      <c r="X20" s="546"/>
      <c r="Y20" s="606"/>
      <c r="Z20" s="486"/>
      <c r="AA20" s="525"/>
    </row>
    <row r="21" spans="1:27" ht="14.25" customHeight="1">
      <c r="B21" s="185">
        <v>3</v>
      </c>
      <c r="C21" s="213" t="s">
        <v>293</v>
      </c>
      <c r="D21" s="231" t="s">
        <v>294</v>
      </c>
      <c r="E21" s="187"/>
      <c r="F21" s="335"/>
      <c r="G21" s="188">
        <f>D165</f>
        <v>70821</v>
      </c>
      <c r="H21" s="541">
        <f>'Project Plan'!E30+30</f>
        <v>46031</v>
      </c>
      <c r="I21" s="656">
        <f>SUM(G21:G29)</f>
        <v>70821</v>
      </c>
      <c r="J21" s="659">
        <f>F165</f>
        <v>88526.25</v>
      </c>
      <c r="K21" s="189"/>
      <c r="L21" s="185">
        <v>3</v>
      </c>
      <c r="M21" s="320" t="s">
        <v>295</v>
      </c>
      <c r="N21" s="231" t="s">
        <v>296</v>
      </c>
      <c r="O21" s="431">
        <v>600</v>
      </c>
      <c r="P21" s="335">
        <v>26.47</v>
      </c>
      <c r="Q21" s="188">
        <f>O21*P21</f>
        <v>15882</v>
      </c>
      <c r="R21" s="475"/>
      <c r="S21" s="506" t="s">
        <v>297</v>
      </c>
      <c r="T21" s="625">
        <v>46053</v>
      </c>
      <c r="U21" s="636">
        <v>61736.990487599389</v>
      </c>
      <c r="V21" s="668">
        <f>J21-SUM(U21:U29)</f>
        <v>-4.1899532079696655E-3</v>
      </c>
      <c r="W21" s="626">
        <v>46053</v>
      </c>
      <c r="X21" s="656">
        <f>SUM(Q21:Q29)</f>
        <v>27727.27</v>
      </c>
      <c r="Y21" s="606" t="s">
        <v>298</v>
      </c>
      <c r="Z21" s="488">
        <v>0</v>
      </c>
      <c r="AA21" s="525"/>
    </row>
    <row r="22" spans="1:27" ht="14.25" customHeight="1">
      <c r="B22" s="215">
        <v>3</v>
      </c>
      <c r="C22" s="216"/>
      <c r="D22" s="232"/>
      <c r="E22" s="218"/>
      <c r="F22" s="356"/>
      <c r="G22" s="219"/>
      <c r="H22" s="540"/>
      <c r="I22" s="657"/>
      <c r="J22" s="660"/>
      <c r="K22" s="192"/>
      <c r="L22" s="215">
        <v>3</v>
      </c>
      <c r="M22" s="321" t="s">
        <v>295</v>
      </c>
      <c r="N22" s="232" t="s">
        <v>299</v>
      </c>
      <c r="O22" s="432">
        <v>201</v>
      </c>
      <c r="P22" s="356">
        <v>12.31</v>
      </c>
      <c r="Q22" s="219">
        <f t="shared" ref="Q22:Q24" si="1">O22*P22</f>
        <v>2474.31</v>
      </c>
      <c r="R22" s="468"/>
      <c r="S22" s="499" t="s">
        <v>297</v>
      </c>
      <c r="T22" s="650">
        <v>46053</v>
      </c>
      <c r="U22" s="636">
        <v>7899.8540295348221</v>
      </c>
      <c r="V22" s="669"/>
      <c r="W22" s="651">
        <v>46053</v>
      </c>
      <c r="X22" s="657"/>
      <c r="Y22" s="606" t="s">
        <v>247</v>
      </c>
      <c r="Z22" s="486">
        <f>SUM(Z12:Z21)</f>
        <v>386830.41449275363</v>
      </c>
    </row>
    <row r="23" spans="1:27" ht="14.25" customHeight="1">
      <c r="B23" s="215"/>
      <c r="C23" s="216"/>
      <c r="D23" s="232"/>
      <c r="E23" s="218"/>
      <c r="F23" s="356"/>
      <c r="G23" s="219"/>
      <c r="H23" s="540"/>
      <c r="I23" s="657"/>
      <c r="J23" s="660"/>
      <c r="K23" s="192"/>
      <c r="L23" s="215">
        <v>3</v>
      </c>
      <c r="M23" s="321" t="s">
        <v>295</v>
      </c>
      <c r="N23" s="232" t="s">
        <v>299</v>
      </c>
      <c r="O23" s="432">
        <v>184</v>
      </c>
      <c r="P23" s="356">
        <v>14.19</v>
      </c>
      <c r="Q23" s="219">
        <f t="shared" si="1"/>
        <v>2610.96</v>
      </c>
      <c r="R23" s="468"/>
      <c r="S23" s="499" t="s">
        <v>300</v>
      </c>
      <c r="T23" s="650">
        <v>46053</v>
      </c>
      <c r="U23" s="636">
        <v>8336.1433599485263</v>
      </c>
      <c r="V23" s="669"/>
      <c r="W23" s="651">
        <v>46053</v>
      </c>
      <c r="X23" s="657"/>
      <c r="Y23" s="606"/>
      <c r="Z23" s="486"/>
    </row>
    <row r="24" spans="1:27" ht="14.25" customHeight="1">
      <c r="B24" s="215"/>
      <c r="C24" s="216"/>
      <c r="D24" s="232"/>
      <c r="E24" s="218"/>
      <c r="F24" s="356"/>
      <c r="G24" s="219"/>
      <c r="H24" s="540"/>
      <c r="I24" s="657"/>
      <c r="J24" s="660"/>
      <c r="K24" s="192"/>
      <c r="L24" s="215">
        <v>3</v>
      </c>
      <c r="M24" s="321" t="s">
        <v>295</v>
      </c>
      <c r="N24" s="232" t="s">
        <v>301</v>
      </c>
      <c r="O24" s="432">
        <v>100</v>
      </c>
      <c r="P24" s="356">
        <v>12.68</v>
      </c>
      <c r="Q24" s="219">
        <f t="shared" si="1"/>
        <v>1268</v>
      </c>
      <c r="R24" s="468"/>
      <c r="S24" s="499" t="s">
        <v>297</v>
      </c>
      <c r="T24" s="650">
        <v>46053</v>
      </c>
      <c r="U24" s="636">
        <v>4048.4073982040063</v>
      </c>
      <c r="V24" s="669"/>
      <c r="W24" s="651">
        <v>46053</v>
      </c>
      <c r="X24" s="657"/>
      <c r="Y24" s="606"/>
      <c r="Z24" s="486"/>
    </row>
    <row r="25" spans="1:27" ht="14.25" customHeight="1">
      <c r="B25" s="215"/>
      <c r="C25" s="216"/>
      <c r="D25" s="232"/>
      <c r="E25" s="218"/>
      <c r="F25" s="356"/>
      <c r="G25" s="219"/>
      <c r="H25" s="540"/>
      <c r="I25" s="657"/>
      <c r="J25" s="660"/>
      <c r="K25" s="192"/>
      <c r="L25" s="215">
        <v>3</v>
      </c>
      <c r="M25" s="321" t="s">
        <v>295</v>
      </c>
      <c r="N25" s="232"/>
      <c r="O25" s="432"/>
      <c r="P25" s="356"/>
      <c r="Q25" s="219"/>
      <c r="R25" s="468"/>
      <c r="S25" s="499"/>
      <c r="T25" s="410"/>
      <c r="U25" s="396"/>
      <c r="V25" s="669"/>
      <c r="W25" s="452"/>
      <c r="X25" s="657"/>
      <c r="Y25" s="606"/>
      <c r="Z25" s="486"/>
    </row>
    <row r="26" spans="1:27" ht="14.25" customHeight="1">
      <c r="B26" s="215">
        <v>3</v>
      </c>
      <c r="C26" s="216"/>
      <c r="D26" s="232"/>
      <c r="E26" s="218"/>
      <c r="F26" s="356"/>
      <c r="G26" s="219"/>
      <c r="H26" s="540"/>
      <c r="I26" s="657"/>
      <c r="J26" s="660"/>
      <c r="K26" s="192"/>
      <c r="L26" s="215">
        <v>3</v>
      </c>
      <c r="M26" s="321" t="s">
        <v>295</v>
      </c>
      <c r="N26" s="232" t="s">
        <v>302</v>
      </c>
      <c r="O26" s="432"/>
      <c r="P26" s="356"/>
      <c r="Q26" s="219">
        <v>5492</v>
      </c>
      <c r="R26" s="468" t="s">
        <v>303</v>
      </c>
      <c r="S26" s="499" t="s">
        <v>304</v>
      </c>
      <c r="T26" s="540">
        <v>46022</v>
      </c>
      <c r="U26" s="636">
        <v>6504.8589146664526</v>
      </c>
      <c r="V26" s="669"/>
      <c r="W26" s="651">
        <v>46021</v>
      </c>
      <c r="X26" s="657"/>
      <c r="Y26" s="606" t="s">
        <v>305</v>
      </c>
      <c r="Z26" s="489">
        <f>+Z22*0.85</f>
        <v>328805.85231884057</v>
      </c>
    </row>
    <row r="27" spans="1:27" ht="14.25" customHeight="1">
      <c r="B27" s="215">
        <v>3</v>
      </c>
      <c r="C27" s="285"/>
      <c r="D27" s="286"/>
      <c r="E27" s="306"/>
      <c r="F27" s="342"/>
      <c r="G27" s="287"/>
      <c r="H27" s="550"/>
      <c r="I27" s="657"/>
      <c r="J27" s="660"/>
      <c r="K27" s="192"/>
      <c r="L27" s="215">
        <v>3</v>
      </c>
      <c r="M27" s="321" t="s">
        <v>295</v>
      </c>
      <c r="N27" s="286"/>
      <c r="O27" s="433"/>
      <c r="P27" s="342"/>
      <c r="Q27" s="287"/>
      <c r="R27" s="469"/>
      <c r="S27" s="500"/>
      <c r="T27" s="411" t="str">
        <f t="shared" si="0"/>
        <v/>
      </c>
      <c r="U27" s="396">
        <f t="shared" ref="U27:U29" si="2">(Q27/$X$21*$J$21)</f>
        <v>0</v>
      </c>
      <c r="V27" s="669"/>
      <c r="W27" s="453"/>
      <c r="X27" s="657"/>
      <c r="Y27" s="607" t="s">
        <v>306</v>
      </c>
      <c r="Z27" s="488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6"/>
      <c r="F28" s="342"/>
      <c r="G28" s="287"/>
      <c r="H28" s="550"/>
      <c r="I28" s="657"/>
      <c r="J28" s="660"/>
      <c r="K28" s="192"/>
      <c r="L28" s="215">
        <v>3</v>
      </c>
      <c r="M28" s="321" t="s">
        <v>295</v>
      </c>
      <c r="N28" s="286"/>
      <c r="O28" s="433"/>
      <c r="P28" s="342"/>
      <c r="Q28" s="287"/>
      <c r="R28" s="469"/>
      <c r="S28" s="500"/>
      <c r="T28" s="411" t="str">
        <f t="shared" si="0"/>
        <v/>
      </c>
      <c r="U28" s="396">
        <f t="shared" si="2"/>
        <v>0</v>
      </c>
      <c r="V28" s="669"/>
      <c r="W28" s="453"/>
      <c r="X28" s="657"/>
    </row>
    <row r="29" spans="1:27" ht="15" customHeight="1" thickBot="1">
      <c r="B29" s="220">
        <v>3</v>
      </c>
      <c r="C29" s="241"/>
      <c r="D29" s="233"/>
      <c r="E29" s="222"/>
      <c r="F29" s="357"/>
      <c r="G29" s="234"/>
      <c r="H29" s="551"/>
      <c r="I29" s="658"/>
      <c r="J29" s="661"/>
      <c r="K29" s="193"/>
      <c r="L29" s="220">
        <v>3</v>
      </c>
      <c r="M29" s="322" t="s">
        <v>295</v>
      </c>
      <c r="N29" s="233"/>
      <c r="O29" s="434"/>
      <c r="P29" s="357"/>
      <c r="Q29" s="234"/>
      <c r="R29" s="470"/>
      <c r="S29" s="501"/>
      <c r="T29" s="412" t="str">
        <f t="shared" si="0"/>
        <v/>
      </c>
      <c r="U29" s="397">
        <f t="shared" si="2"/>
        <v>0</v>
      </c>
      <c r="V29" s="670"/>
      <c r="W29" s="454"/>
      <c r="X29" s="658"/>
      <c r="Y29" s="608" t="s">
        <v>206</v>
      </c>
      <c r="Z29" s="490" t="s">
        <v>307</v>
      </c>
    </row>
    <row r="30" spans="1:27" ht="14.4" thickBot="1">
      <c r="A30" s="4"/>
      <c r="B30" s="194"/>
      <c r="C30" s="211"/>
      <c r="D30" s="212"/>
      <c r="E30" s="195"/>
      <c r="F30" s="353"/>
      <c r="G30" s="196"/>
      <c r="H30" s="552"/>
      <c r="I30" s="546"/>
      <c r="J30" s="184"/>
      <c r="K30" s="4"/>
      <c r="L30" s="194"/>
      <c r="M30" s="211"/>
      <c r="N30" s="212"/>
      <c r="O30" s="435"/>
      <c r="P30" s="353"/>
      <c r="Q30" s="196"/>
      <c r="R30" s="471"/>
      <c r="S30" s="502"/>
      <c r="T30" s="413" t="str">
        <f t="shared" si="0"/>
        <v/>
      </c>
      <c r="U30" s="402"/>
      <c r="V30" s="384"/>
      <c r="W30" s="455"/>
      <c r="X30" s="546"/>
      <c r="Y30" s="609" t="str">
        <f>Y12</f>
        <v>AC Equipment</v>
      </c>
      <c r="Z30" s="491">
        <v>62952</v>
      </c>
    </row>
    <row r="31" spans="1:27" ht="14.25" customHeight="1">
      <c r="B31" s="197">
        <v>4</v>
      </c>
      <c r="C31" s="198" t="s">
        <v>285</v>
      </c>
      <c r="D31" s="198" t="s">
        <v>308</v>
      </c>
      <c r="E31" s="268">
        <v>3658</v>
      </c>
      <c r="F31" s="354"/>
      <c r="G31" s="200">
        <v>51212</v>
      </c>
      <c r="H31" s="553">
        <f>'Project Plan'!E32+60</f>
        <v>46061</v>
      </c>
      <c r="I31" s="685">
        <f>SUM(G31:G45)</f>
        <v>151607.79999999999</v>
      </c>
      <c r="J31" s="688">
        <f>F166</f>
        <v>189509.75</v>
      </c>
      <c r="K31" s="201"/>
      <c r="L31" s="197">
        <v>4</v>
      </c>
      <c r="M31" s="323" t="s">
        <v>309</v>
      </c>
      <c r="N31" s="198" t="s">
        <v>310</v>
      </c>
      <c r="O31" s="428">
        <v>2000</v>
      </c>
      <c r="P31" s="645">
        <v>14</v>
      </c>
      <c r="Q31" s="200">
        <f>O31*P31</f>
        <v>28000</v>
      </c>
      <c r="R31" s="472"/>
      <c r="S31" s="503" t="s">
        <v>311</v>
      </c>
      <c r="T31" s="646">
        <v>46053</v>
      </c>
      <c r="U31" s="637">
        <v>55267.937277763966</v>
      </c>
      <c r="V31" s="700">
        <f>J31-SUM(U31:U45)</f>
        <v>4.5400531671475619E-3</v>
      </c>
      <c r="W31" s="648">
        <v>46053</v>
      </c>
      <c r="X31" s="685">
        <f>SUM(Q31:Q45)</f>
        <v>96009.97</v>
      </c>
      <c r="Y31" s="609" t="str">
        <f>Y13</f>
        <v>DC Equipment</v>
      </c>
      <c r="Z31" s="491">
        <v>39345</v>
      </c>
    </row>
    <row r="32" spans="1:27" ht="14.25" customHeight="1">
      <c r="B32" s="224">
        <v>4</v>
      </c>
      <c r="C32" s="308"/>
      <c r="D32" s="308" t="s">
        <v>312</v>
      </c>
      <c r="E32" s="295"/>
      <c r="F32" s="350"/>
      <c r="G32" s="515">
        <f>D166-G31</f>
        <v>100395.79999999999</v>
      </c>
      <c r="H32" s="544">
        <f>'Project Plan'!G28</f>
        <v>46052</v>
      </c>
      <c r="I32" s="686"/>
      <c r="J32" s="689"/>
      <c r="K32" s="205"/>
      <c r="L32" s="202">
        <v>4</v>
      </c>
      <c r="M32" s="324" t="s">
        <v>309</v>
      </c>
      <c r="N32" s="308"/>
      <c r="O32" s="429">
        <v>2000</v>
      </c>
      <c r="P32" s="350">
        <v>14</v>
      </c>
      <c r="Q32" s="204">
        <f>O32*P32</f>
        <v>28000</v>
      </c>
      <c r="R32" s="473"/>
      <c r="S32" s="504" t="s">
        <v>311</v>
      </c>
      <c r="T32" s="647">
        <v>46053</v>
      </c>
      <c r="U32" s="637">
        <v>55267.937277763966</v>
      </c>
      <c r="V32" s="701"/>
      <c r="W32" s="649">
        <v>46053</v>
      </c>
      <c r="X32" s="686"/>
      <c r="Y32" s="609" t="str">
        <f>Y14</f>
        <v>AC Labour</v>
      </c>
      <c r="Z32" s="491">
        <v>40918.800000000003</v>
      </c>
      <c r="AA32" s="525"/>
    </row>
    <row r="33" spans="1:27" ht="14.25" customHeight="1">
      <c r="B33" s="224">
        <v>4</v>
      </c>
      <c r="C33" s="308"/>
      <c r="D33" s="308"/>
      <c r="E33" s="295"/>
      <c r="F33" s="350"/>
      <c r="G33" s="204"/>
      <c r="H33" s="544"/>
      <c r="I33" s="686"/>
      <c r="J33" s="689"/>
      <c r="K33" s="205"/>
      <c r="L33" s="202">
        <v>4</v>
      </c>
      <c r="M33" s="324" t="s">
        <v>309</v>
      </c>
      <c r="N33" s="308" t="s">
        <v>313</v>
      </c>
      <c r="O33" s="429"/>
      <c r="P33" s="350"/>
      <c r="Q33" s="204">
        <v>664.97</v>
      </c>
      <c r="R33" s="473"/>
      <c r="S33" s="504" t="s">
        <v>314</v>
      </c>
      <c r="T33" s="647">
        <v>46053</v>
      </c>
      <c r="U33" s="637">
        <v>969.91429469981074</v>
      </c>
      <c r="V33" s="701"/>
      <c r="W33" s="457">
        <v>46079</v>
      </c>
      <c r="X33" s="686"/>
      <c r="Y33" s="609" t="str">
        <f>Y15</f>
        <v>DC Labour</v>
      </c>
      <c r="Z33" s="491">
        <v>94428</v>
      </c>
      <c r="AA33" s="525"/>
    </row>
    <row r="34" spans="1:27" ht="14.25" customHeight="1">
      <c r="B34" s="224">
        <v>4</v>
      </c>
      <c r="C34" s="308"/>
      <c r="D34" s="308"/>
      <c r="E34" s="295"/>
      <c r="F34" s="350"/>
      <c r="G34" s="204"/>
      <c r="H34" s="544"/>
      <c r="I34" s="686"/>
      <c r="J34" s="689"/>
      <c r="K34" s="205"/>
      <c r="L34" s="202">
        <v>4</v>
      </c>
      <c r="M34" s="324" t="s">
        <v>309</v>
      </c>
      <c r="N34" s="308"/>
      <c r="O34" s="437"/>
      <c r="P34" s="350"/>
      <c r="Q34" s="204"/>
      <c r="R34" s="473"/>
      <c r="S34" s="504"/>
      <c r="T34" s="415" t="str">
        <f t="shared" si="0"/>
        <v/>
      </c>
      <c r="U34" s="400">
        <f t="shared" ref="U34:U45" si="3">(Q34/$X$31*$J$31)</f>
        <v>0</v>
      </c>
      <c r="V34" s="701"/>
      <c r="W34" s="457"/>
      <c r="X34" s="686"/>
      <c r="Y34" s="609" t="s">
        <v>315</v>
      </c>
      <c r="Z34" s="491">
        <v>17311.8</v>
      </c>
    </row>
    <row r="35" spans="1:27" ht="14.25" customHeight="1">
      <c r="B35" s="224">
        <v>4</v>
      </c>
      <c r="C35" s="308"/>
      <c r="D35" s="308"/>
      <c r="E35" s="295"/>
      <c r="F35" s="350"/>
      <c r="G35" s="204"/>
      <c r="H35" s="544"/>
      <c r="I35" s="686"/>
      <c r="J35" s="689"/>
      <c r="K35" s="205"/>
      <c r="L35" s="202">
        <v>4</v>
      </c>
      <c r="M35" s="324" t="s">
        <v>309</v>
      </c>
      <c r="N35" s="308" t="s">
        <v>316</v>
      </c>
      <c r="O35" s="446">
        <f>Z31</f>
        <v>39345</v>
      </c>
      <c r="P35" s="447">
        <v>0.1</v>
      </c>
      <c r="Q35" s="204">
        <f>$O$35*P35</f>
        <v>3934.5</v>
      </c>
      <c r="R35" s="682" t="s">
        <v>317</v>
      </c>
      <c r="S35" s="504" t="str">
        <f>S93</f>
        <v>BDL Solar- IN000763</v>
      </c>
      <c r="T35" s="544">
        <f>T93</f>
        <v>46022</v>
      </c>
      <c r="U35" s="637">
        <v>7903.1862989559595</v>
      </c>
      <c r="V35" s="701"/>
      <c r="W35" s="630">
        <f>W93</f>
        <v>46003</v>
      </c>
      <c r="X35" s="686"/>
      <c r="Y35" s="609" t="s">
        <v>105</v>
      </c>
      <c r="Z35" s="491">
        <v>5000</v>
      </c>
    </row>
    <row r="36" spans="1:27" ht="14.25" customHeight="1">
      <c r="B36" s="224">
        <v>4</v>
      </c>
      <c r="C36" s="308"/>
      <c r="D36" s="308"/>
      <c r="E36" s="295"/>
      <c r="F36" s="350"/>
      <c r="G36" s="204"/>
      <c r="H36" s="544"/>
      <c r="I36" s="686"/>
      <c r="J36" s="689"/>
      <c r="K36" s="205"/>
      <c r="L36" s="202">
        <v>4</v>
      </c>
      <c r="M36" s="324" t="s">
        <v>309</v>
      </c>
      <c r="N36" s="308" t="s">
        <v>153</v>
      </c>
      <c r="O36" s="437"/>
      <c r="P36" s="447">
        <v>0.15</v>
      </c>
      <c r="Q36" s="204">
        <f t="shared" ref="Q36:Q42" si="4">$O$35*P36</f>
        <v>5901.75</v>
      </c>
      <c r="R36" s="683"/>
      <c r="S36" s="504" t="str">
        <f>S62</f>
        <v>BDL Solar- IN000764</v>
      </c>
      <c r="T36" s="544">
        <f t="shared" ref="T36:T42" si="5">T94</f>
        <v>46022</v>
      </c>
      <c r="U36" s="637">
        <v>11854.779448433939</v>
      </c>
      <c r="V36" s="701"/>
      <c r="W36" s="630">
        <f t="shared" ref="W36:W42" si="6">W94</f>
        <v>46003</v>
      </c>
      <c r="X36" s="686"/>
      <c r="Y36" s="609" t="s">
        <v>318</v>
      </c>
      <c r="Z36" s="491">
        <v>0</v>
      </c>
    </row>
    <row r="37" spans="1:27" ht="14.25" customHeight="1">
      <c r="B37" s="224">
        <v>4</v>
      </c>
      <c r="C37" s="308"/>
      <c r="D37" s="308"/>
      <c r="E37" s="295"/>
      <c r="F37" s="350"/>
      <c r="G37" s="204"/>
      <c r="H37" s="544"/>
      <c r="I37" s="686"/>
      <c r="J37" s="689"/>
      <c r="K37" s="205"/>
      <c r="L37" s="202">
        <v>4</v>
      </c>
      <c r="M37" s="324" t="s">
        <v>309</v>
      </c>
      <c r="N37" s="308" t="s">
        <v>319</v>
      </c>
      <c r="O37" s="437"/>
      <c r="P37" s="447">
        <v>0.2</v>
      </c>
      <c r="Q37" s="204">
        <f t="shared" si="4"/>
        <v>7869</v>
      </c>
      <c r="R37" s="683"/>
      <c r="S37" s="504" t="s">
        <v>445</v>
      </c>
      <c r="T37" s="544">
        <f t="shared" si="5"/>
        <v>46081</v>
      </c>
      <c r="U37" s="400">
        <f t="shared" si="3"/>
        <v>15532.26422995445</v>
      </c>
      <c r="V37" s="701"/>
      <c r="W37" s="457">
        <f t="shared" si="6"/>
        <v>46081</v>
      </c>
      <c r="X37" s="686"/>
      <c r="Y37" s="609" t="s">
        <v>320</v>
      </c>
      <c r="Z37" s="491">
        <v>0</v>
      </c>
    </row>
    <row r="38" spans="1:27" ht="14.25" customHeight="1">
      <c r="B38" s="224">
        <v>4</v>
      </c>
      <c r="C38" s="308"/>
      <c r="D38" s="308"/>
      <c r="E38" s="295"/>
      <c r="F38" s="350"/>
      <c r="G38" s="204"/>
      <c r="H38" s="544"/>
      <c r="I38" s="686"/>
      <c r="J38" s="689"/>
      <c r="K38" s="205"/>
      <c r="L38" s="202">
        <v>4</v>
      </c>
      <c r="M38" s="324" t="s">
        <v>309</v>
      </c>
      <c r="N38" s="308" t="s">
        <v>321</v>
      </c>
      <c r="O38" s="437"/>
      <c r="P38" s="447">
        <v>0.25</v>
      </c>
      <c r="Q38" s="204">
        <f t="shared" si="4"/>
        <v>9836.25</v>
      </c>
      <c r="R38" s="683"/>
      <c r="S38" s="504" t="s">
        <v>446</v>
      </c>
      <c r="T38" s="544">
        <f t="shared" si="5"/>
        <v>46081</v>
      </c>
      <c r="U38" s="400">
        <f t="shared" si="3"/>
        <v>19415.330287443066</v>
      </c>
      <c r="V38" s="701"/>
      <c r="W38" s="457">
        <f t="shared" si="6"/>
        <v>46081</v>
      </c>
      <c r="X38" s="686"/>
      <c r="Y38" s="609" t="s">
        <v>105</v>
      </c>
      <c r="Z38" s="491">
        <v>0</v>
      </c>
    </row>
    <row r="39" spans="1:27" ht="14.25" customHeight="1">
      <c r="B39" s="224">
        <v>4</v>
      </c>
      <c r="C39" s="308"/>
      <c r="D39" s="308"/>
      <c r="E39" s="295"/>
      <c r="F39" s="350"/>
      <c r="G39" s="204"/>
      <c r="H39" s="544"/>
      <c r="I39" s="686"/>
      <c r="J39" s="689"/>
      <c r="K39" s="205"/>
      <c r="L39" s="202">
        <v>4</v>
      </c>
      <c r="M39" s="324" t="s">
        <v>309</v>
      </c>
      <c r="N39" s="308" t="s">
        <v>322</v>
      </c>
      <c r="O39" s="437"/>
      <c r="P39" s="447">
        <v>0.1</v>
      </c>
      <c r="Q39" s="204">
        <f t="shared" si="4"/>
        <v>3934.5</v>
      </c>
      <c r="R39" s="683"/>
      <c r="S39" s="504" t="s">
        <v>447</v>
      </c>
      <c r="T39" s="544">
        <f t="shared" si="5"/>
        <v>46081</v>
      </c>
      <c r="U39" s="400">
        <f t="shared" si="3"/>
        <v>7766.1321149772248</v>
      </c>
      <c r="V39" s="701"/>
      <c r="W39" s="457">
        <f t="shared" si="6"/>
        <v>46081</v>
      </c>
      <c r="X39" s="686"/>
      <c r="Y39" s="609" t="s">
        <v>298</v>
      </c>
      <c r="Z39" s="491">
        <v>0</v>
      </c>
    </row>
    <row r="40" spans="1:27" ht="14.25" customHeight="1">
      <c r="B40" s="224">
        <v>4</v>
      </c>
      <c r="C40" s="308"/>
      <c r="D40" s="308"/>
      <c r="E40" s="295"/>
      <c r="F40" s="350"/>
      <c r="G40" s="204"/>
      <c r="H40" s="544"/>
      <c r="I40" s="686"/>
      <c r="J40" s="689"/>
      <c r="K40" s="205"/>
      <c r="L40" s="202">
        <v>4</v>
      </c>
      <c r="M40" s="324" t="s">
        <v>309</v>
      </c>
      <c r="N40" s="308" t="s">
        <v>323</v>
      </c>
      <c r="O40" s="437"/>
      <c r="P40" s="447">
        <v>0.1</v>
      </c>
      <c r="Q40" s="204">
        <f t="shared" si="4"/>
        <v>3934.5</v>
      </c>
      <c r="R40" s="683"/>
      <c r="S40" s="504" t="s">
        <v>448</v>
      </c>
      <c r="T40" s="544">
        <f t="shared" si="5"/>
        <v>46081</v>
      </c>
      <c r="U40" s="400">
        <f t="shared" si="3"/>
        <v>7766.1321149772248</v>
      </c>
      <c r="V40" s="701"/>
      <c r="W40" s="457">
        <f t="shared" si="6"/>
        <v>46081</v>
      </c>
      <c r="X40" s="686"/>
      <c r="Y40" s="609" t="s">
        <v>298</v>
      </c>
      <c r="Z40" s="492">
        <v>0</v>
      </c>
    </row>
    <row r="41" spans="1:27" ht="14.25" customHeight="1">
      <c r="B41" s="224">
        <v>4</v>
      </c>
      <c r="C41" s="308"/>
      <c r="D41" s="308"/>
      <c r="E41" s="295"/>
      <c r="F41" s="350"/>
      <c r="G41" s="204"/>
      <c r="H41" s="544"/>
      <c r="I41" s="686"/>
      <c r="J41" s="689"/>
      <c r="K41" s="205"/>
      <c r="L41" s="202">
        <v>4</v>
      </c>
      <c r="M41" s="324" t="s">
        <v>309</v>
      </c>
      <c r="N41" s="308" t="s">
        <v>324</v>
      </c>
      <c r="O41" s="437"/>
      <c r="P41" s="447">
        <v>0.05</v>
      </c>
      <c r="Q41" s="204">
        <f t="shared" si="4"/>
        <v>1967.25</v>
      </c>
      <c r="R41" s="683"/>
      <c r="S41" s="504" t="s">
        <v>449</v>
      </c>
      <c r="T41" s="544">
        <f t="shared" si="5"/>
        <v>46081</v>
      </c>
      <c r="U41" s="400">
        <f t="shared" si="3"/>
        <v>3883.0660574886124</v>
      </c>
      <c r="V41" s="701"/>
      <c r="W41" s="457">
        <f t="shared" si="6"/>
        <v>46081</v>
      </c>
      <c r="X41" s="686"/>
      <c r="Y41" s="609" t="s">
        <v>247</v>
      </c>
      <c r="Z41" s="491">
        <f>SUM(Z30:Z40)</f>
        <v>259955.59999999998</v>
      </c>
    </row>
    <row r="42" spans="1:27" ht="14.25" customHeight="1">
      <c r="B42" s="224">
        <v>4</v>
      </c>
      <c r="C42" s="308"/>
      <c r="D42" s="308"/>
      <c r="E42" s="295"/>
      <c r="F42" s="350"/>
      <c r="G42" s="204"/>
      <c r="H42" s="544"/>
      <c r="I42" s="686"/>
      <c r="J42" s="689"/>
      <c r="K42" s="205"/>
      <c r="L42" s="202">
        <v>4</v>
      </c>
      <c r="M42" s="324" t="s">
        <v>309</v>
      </c>
      <c r="N42" s="308" t="s">
        <v>325</v>
      </c>
      <c r="O42" s="437"/>
      <c r="P42" s="447">
        <v>0.05</v>
      </c>
      <c r="Q42" s="204">
        <f t="shared" si="4"/>
        <v>1967.25</v>
      </c>
      <c r="R42" s="684"/>
      <c r="S42" s="504" t="s">
        <v>450</v>
      </c>
      <c r="T42" s="544">
        <v>46081</v>
      </c>
      <c r="U42" s="400">
        <f t="shared" si="3"/>
        <v>3883.0660574886124</v>
      </c>
      <c r="V42" s="701"/>
      <c r="W42" s="457">
        <f t="shared" si="6"/>
        <v>46081</v>
      </c>
      <c r="X42" s="686"/>
      <c r="Y42" s="610" t="s">
        <v>306</v>
      </c>
      <c r="Z42" s="492">
        <f>Z41/'Project Plan'!$E$3/1000</f>
        <v>1.655768152866242</v>
      </c>
    </row>
    <row r="43" spans="1:27" ht="14.25" customHeight="1">
      <c r="B43" s="224">
        <v>4</v>
      </c>
      <c r="C43" s="308"/>
      <c r="D43" s="308"/>
      <c r="E43" s="295"/>
      <c r="F43" s="350"/>
      <c r="G43" s="204"/>
      <c r="H43" s="544"/>
      <c r="I43" s="686"/>
      <c r="J43" s="689"/>
      <c r="K43" s="205"/>
      <c r="L43" s="202">
        <v>4</v>
      </c>
      <c r="M43" s="324" t="s">
        <v>309</v>
      </c>
      <c r="N43" s="308"/>
      <c r="O43" s="437"/>
      <c r="P43" s="350"/>
      <c r="Q43" s="204"/>
      <c r="R43" s="473"/>
      <c r="S43" s="504"/>
      <c r="T43" s="415" t="str">
        <f t="shared" si="0"/>
        <v/>
      </c>
      <c r="U43" s="400">
        <f t="shared" si="3"/>
        <v>0</v>
      </c>
      <c r="V43" s="701"/>
      <c r="W43" s="457"/>
      <c r="X43" s="686"/>
    </row>
    <row r="44" spans="1:27" ht="14.25" customHeight="1">
      <c r="B44" s="224">
        <v>4</v>
      </c>
      <c r="C44" s="308"/>
      <c r="D44" s="308"/>
      <c r="E44" s="295"/>
      <c r="F44" s="350"/>
      <c r="G44" s="204"/>
      <c r="H44" s="544"/>
      <c r="I44" s="686"/>
      <c r="J44" s="689"/>
      <c r="K44" s="205"/>
      <c r="L44" s="202">
        <v>4</v>
      </c>
      <c r="M44" s="324" t="s">
        <v>309</v>
      </c>
      <c r="N44" s="308"/>
      <c r="O44" s="437"/>
      <c r="P44" s="350"/>
      <c r="Q44" s="204"/>
      <c r="R44" s="473"/>
      <c r="S44" s="504"/>
      <c r="T44" s="415" t="str">
        <f t="shared" si="0"/>
        <v/>
      </c>
      <c r="U44" s="400">
        <f t="shared" si="3"/>
        <v>0</v>
      </c>
      <c r="V44" s="701"/>
      <c r="W44" s="457"/>
      <c r="X44" s="686"/>
    </row>
    <row r="45" spans="1:27" ht="15" customHeight="1" thickBot="1">
      <c r="B45" s="206">
        <v>4</v>
      </c>
      <c r="C45" s="229"/>
      <c r="D45" s="229"/>
      <c r="E45" s="298"/>
      <c r="F45" s="352"/>
      <c r="G45" s="209"/>
      <c r="H45" s="554"/>
      <c r="I45" s="687"/>
      <c r="J45" s="690"/>
      <c r="K45" s="210"/>
      <c r="L45" s="206">
        <v>4</v>
      </c>
      <c r="M45" s="325" t="s">
        <v>309</v>
      </c>
      <c r="N45" s="229"/>
      <c r="O45" s="438"/>
      <c r="P45" s="352"/>
      <c r="Q45" s="209"/>
      <c r="R45" s="474"/>
      <c r="S45" s="505"/>
      <c r="T45" s="416" t="str">
        <f t="shared" si="0"/>
        <v/>
      </c>
      <c r="U45" s="401">
        <f t="shared" si="3"/>
        <v>0</v>
      </c>
      <c r="V45" s="702"/>
      <c r="W45" s="458"/>
      <c r="X45" s="687"/>
    </row>
    <row r="46" spans="1:27" ht="14.4" thickBot="1">
      <c r="A46" s="4"/>
      <c r="B46" s="180"/>
      <c r="C46" s="181"/>
      <c r="D46" s="212"/>
      <c r="E46" s="195"/>
      <c r="F46" s="353"/>
      <c r="G46" s="196"/>
      <c r="H46" s="555"/>
      <c r="I46" s="546"/>
      <c r="J46" s="184"/>
      <c r="K46" s="4"/>
      <c r="L46" s="180"/>
      <c r="M46" s="181"/>
      <c r="N46" s="212"/>
      <c r="O46" s="435"/>
      <c r="P46" s="353"/>
      <c r="Q46" s="196"/>
      <c r="R46" s="476"/>
      <c r="S46" s="507"/>
      <c r="T46" s="413" t="str">
        <f t="shared" si="0"/>
        <v/>
      </c>
      <c r="U46" s="404"/>
      <c r="V46" s="387"/>
      <c r="W46" s="455"/>
      <c r="X46" s="546"/>
    </row>
    <row r="47" spans="1:27" ht="14.25" customHeight="1">
      <c r="B47" s="185">
        <v>5</v>
      </c>
      <c r="C47" s="213" t="s">
        <v>326</v>
      </c>
      <c r="D47" s="231"/>
      <c r="E47" s="187"/>
      <c r="F47" s="335"/>
      <c r="G47" s="188"/>
      <c r="H47" s="541"/>
      <c r="I47" s="656">
        <f>SUM(G47:G53)</f>
        <v>0</v>
      </c>
      <c r="J47" s="659">
        <f>F168</f>
        <v>0</v>
      </c>
      <c r="K47" s="189"/>
      <c r="L47" s="185">
        <v>5</v>
      </c>
      <c r="M47" s="320" t="s">
        <v>327</v>
      </c>
      <c r="N47" s="231" t="s">
        <v>328</v>
      </c>
      <c r="O47" s="431"/>
      <c r="P47" s="335"/>
      <c r="Q47" s="188">
        <v>11169</v>
      </c>
      <c r="R47" s="475"/>
      <c r="S47" s="506"/>
      <c r="T47" s="417">
        <v>46081</v>
      </c>
      <c r="U47" s="395"/>
      <c r="V47" s="668">
        <f>J47-SUM(U47:U53)</f>
        <v>0</v>
      </c>
      <c r="W47" s="459">
        <v>46107</v>
      </c>
      <c r="X47" s="656">
        <f>SUM(Q47:Q53)</f>
        <v>11530.85</v>
      </c>
    </row>
    <row r="48" spans="1:27" ht="14.25" customHeight="1">
      <c r="B48" s="190">
        <v>5</v>
      </c>
      <c r="C48" s="214"/>
      <c r="D48" s="217"/>
      <c r="E48" s="348"/>
      <c r="F48" s="349"/>
      <c r="G48" s="219"/>
      <c r="H48" s="540"/>
      <c r="I48" s="657"/>
      <c r="J48" s="660"/>
      <c r="K48" s="192"/>
      <c r="L48" s="190">
        <v>5</v>
      </c>
      <c r="M48" s="326" t="s">
        <v>327</v>
      </c>
      <c r="N48" s="191" t="s">
        <v>329</v>
      </c>
      <c r="O48" s="439"/>
      <c r="P48" s="349"/>
      <c r="Q48" s="219">
        <v>361.85</v>
      </c>
      <c r="R48" s="516"/>
      <c r="S48" s="499" t="s">
        <v>330</v>
      </c>
      <c r="T48" s="650">
        <v>46053</v>
      </c>
      <c r="U48" s="395"/>
      <c r="V48" s="669"/>
      <c r="W48" s="452">
        <v>46079</v>
      </c>
      <c r="X48" s="657"/>
    </row>
    <row r="49" spans="1:24" ht="14.25" customHeight="1">
      <c r="B49" s="190">
        <v>5</v>
      </c>
      <c r="C49" s="214"/>
      <c r="D49" s="217"/>
      <c r="E49" s="218"/>
      <c r="F49" s="356"/>
      <c r="G49" s="219"/>
      <c r="H49" s="540"/>
      <c r="I49" s="657"/>
      <c r="J49" s="660"/>
      <c r="K49" s="192"/>
      <c r="L49" s="190">
        <v>5</v>
      </c>
      <c r="M49" s="326" t="s">
        <v>327</v>
      </c>
      <c r="N49" s="217"/>
      <c r="O49" s="432"/>
      <c r="P49" s="356"/>
      <c r="Q49" s="219"/>
      <c r="R49" s="468"/>
      <c r="S49" s="499"/>
      <c r="T49" s="410"/>
      <c r="U49" s="395"/>
      <c r="V49" s="669"/>
      <c r="W49" s="452"/>
      <c r="X49" s="657"/>
    </row>
    <row r="50" spans="1:24" ht="14.25" customHeight="1">
      <c r="B50" s="215">
        <v>5</v>
      </c>
      <c r="C50" s="216"/>
      <c r="D50" s="217"/>
      <c r="E50" s="218"/>
      <c r="F50" s="356"/>
      <c r="G50" s="219"/>
      <c r="H50" s="540"/>
      <c r="I50" s="657"/>
      <c r="J50" s="660"/>
      <c r="K50" s="192"/>
      <c r="L50" s="215">
        <v>5</v>
      </c>
      <c r="M50" s="326" t="s">
        <v>327</v>
      </c>
      <c r="N50" s="217"/>
      <c r="O50" s="432"/>
      <c r="P50" s="356"/>
      <c r="Q50" s="219"/>
      <c r="R50" s="468"/>
      <c r="S50" s="499"/>
      <c r="T50" s="540" t="str">
        <f t="shared" si="0"/>
        <v/>
      </c>
      <c r="U50" s="395"/>
      <c r="V50" s="669"/>
      <c r="W50" s="452"/>
      <c r="X50" s="657"/>
    </row>
    <row r="51" spans="1:24" ht="14.25" customHeight="1">
      <c r="B51" s="284">
        <v>5</v>
      </c>
      <c r="C51" s="285"/>
      <c r="D51" s="288"/>
      <c r="E51" s="306"/>
      <c r="F51" s="342"/>
      <c r="G51" s="287"/>
      <c r="H51" s="550"/>
      <c r="I51" s="657"/>
      <c r="J51" s="660"/>
      <c r="K51" s="192"/>
      <c r="L51" s="215">
        <v>5</v>
      </c>
      <c r="M51" s="326" t="s">
        <v>327</v>
      </c>
      <c r="N51" s="288"/>
      <c r="O51" s="433"/>
      <c r="P51" s="342"/>
      <c r="Q51" s="287"/>
      <c r="R51" s="469"/>
      <c r="S51" s="500"/>
      <c r="T51" s="411" t="str">
        <f t="shared" si="0"/>
        <v/>
      </c>
      <c r="U51" s="395"/>
      <c r="V51" s="669"/>
      <c r="W51" s="453"/>
      <c r="X51" s="657"/>
    </row>
    <row r="52" spans="1:24" ht="14.25" customHeight="1">
      <c r="B52" s="284">
        <v>5</v>
      </c>
      <c r="C52" s="285"/>
      <c r="D52" s="288"/>
      <c r="E52" s="306"/>
      <c r="F52" s="342"/>
      <c r="G52" s="287"/>
      <c r="H52" s="550"/>
      <c r="I52" s="657"/>
      <c r="J52" s="660"/>
      <c r="K52" s="192"/>
      <c r="L52" s="215">
        <v>5</v>
      </c>
      <c r="M52" s="326" t="s">
        <v>327</v>
      </c>
      <c r="N52" s="288"/>
      <c r="O52" s="433"/>
      <c r="P52" s="342"/>
      <c r="Q52" s="287"/>
      <c r="R52" s="469"/>
      <c r="S52" s="500"/>
      <c r="T52" s="411" t="str">
        <f t="shared" si="0"/>
        <v/>
      </c>
      <c r="U52" s="396"/>
      <c r="V52" s="669"/>
      <c r="W52" s="453"/>
      <c r="X52" s="657"/>
    </row>
    <row r="53" spans="1:24" ht="15" customHeight="1" thickBot="1">
      <c r="B53" s="220">
        <v>5</v>
      </c>
      <c r="C53" s="241"/>
      <c r="D53" s="221"/>
      <c r="E53" s="222"/>
      <c r="F53" s="357"/>
      <c r="G53" s="234"/>
      <c r="H53" s="551"/>
      <c r="I53" s="658"/>
      <c r="J53" s="661"/>
      <c r="K53" s="193"/>
      <c r="L53" s="220">
        <v>5</v>
      </c>
      <c r="M53" s="322" t="s">
        <v>327</v>
      </c>
      <c r="N53" s="221"/>
      <c r="O53" s="434"/>
      <c r="P53" s="357"/>
      <c r="Q53" s="234"/>
      <c r="R53" s="470"/>
      <c r="S53" s="501"/>
      <c r="T53" s="412" t="str">
        <f t="shared" si="0"/>
        <v/>
      </c>
      <c r="U53" s="397"/>
      <c r="V53" s="670"/>
      <c r="W53" s="454"/>
      <c r="X53" s="658"/>
    </row>
    <row r="54" spans="1:24" ht="14.4" thickBot="1">
      <c r="A54" s="4"/>
      <c r="B54" s="194"/>
      <c r="C54" s="211"/>
      <c r="D54" s="182"/>
      <c r="E54" s="195"/>
      <c r="F54" s="353"/>
      <c r="G54" s="196"/>
      <c r="H54" s="552"/>
      <c r="I54" s="547"/>
      <c r="J54" s="230"/>
      <c r="K54" s="4"/>
      <c r="L54" s="194"/>
      <c r="M54" s="211"/>
      <c r="N54" s="182"/>
      <c r="O54" s="435"/>
      <c r="P54" s="353"/>
      <c r="Q54" s="196"/>
      <c r="R54" s="471"/>
      <c r="S54" s="502"/>
      <c r="T54" s="413" t="str">
        <f t="shared" si="0"/>
        <v/>
      </c>
      <c r="U54" s="402"/>
      <c r="V54" s="384"/>
      <c r="W54" s="455"/>
      <c r="X54" s="547"/>
    </row>
    <row r="55" spans="1:24" ht="14.25" customHeight="1">
      <c r="B55" s="197">
        <v>6</v>
      </c>
      <c r="C55" s="198" t="s">
        <v>281</v>
      </c>
      <c r="D55" s="199" t="s">
        <v>331</v>
      </c>
      <c r="E55" s="372"/>
      <c r="F55" s="354"/>
      <c r="G55" s="200">
        <f>D167</f>
        <v>139985.94782608695</v>
      </c>
      <c r="H55" s="553">
        <f>'Project Plan'!G24+30</f>
        <v>46087</v>
      </c>
      <c r="I55" s="685">
        <f>SUM(G55:G71)</f>
        <v>139985.94782608695</v>
      </c>
      <c r="J55" s="688">
        <f>F167</f>
        <v>174982.4347826087</v>
      </c>
      <c r="K55" s="201"/>
      <c r="L55" s="197">
        <v>6</v>
      </c>
      <c r="M55" s="329" t="s">
        <v>332</v>
      </c>
      <c r="N55" s="199"/>
      <c r="O55" s="427"/>
      <c r="P55" s="354"/>
      <c r="Q55" s="200"/>
      <c r="R55" s="472"/>
      <c r="S55" s="503"/>
      <c r="T55" s="414" t="str">
        <f t="shared" si="0"/>
        <v/>
      </c>
      <c r="U55" s="399">
        <f t="shared" ref="U55:U70" si="7">(Q55/$X$55*$J$55)</f>
        <v>0</v>
      </c>
      <c r="V55" s="700">
        <f>J55-SUM(U55:U71)</f>
        <v>0</v>
      </c>
      <c r="W55" s="456"/>
      <c r="X55" s="685">
        <f>SUM(Q55:Q71)</f>
        <v>144028.00000000003</v>
      </c>
    </row>
    <row r="56" spans="1:24" ht="14.25" customHeight="1">
      <c r="B56" s="202">
        <v>6</v>
      </c>
      <c r="C56" s="308"/>
      <c r="D56" s="341"/>
      <c r="E56" s="295"/>
      <c r="F56" s="350"/>
      <c r="G56" s="225"/>
      <c r="H56" s="544"/>
      <c r="I56" s="686"/>
      <c r="J56" s="689"/>
      <c r="K56" s="205"/>
      <c r="L56" s="202">
        <v>6</v>
      </c>
      <c r="M56" s="327" t="s">
        <v>332</v>
      </c>
      <c r="N56" s="341" t="s">
        <v>97</v>
      </c>
      <c r="O56" s="437"/>
      <c r="P56" s="350"/>
      <c r="Q56" s="225">
        <f>66958+14118</f>
        <v>81076</v>
      </c>
      <c r="R56" s="473" t="s">
        <v>333</v>
      </c>
      <c r="S56" s="504" t="s">
        <v>334</v>
      </c>
      <c r="T56" s="544">
        <v>46053</v>
      </c>
      <c r="U56" s="637">
        <v>98500.818468872589</v>
      </c>
      <c r="V56" s="701"/>
      <c r="W56" s="457">
        <v>46081</v>
      </c>
      <c r="X56" s="686"/>
    </row>
    <row r="57" spans="1:24" ht="14.25" customHeight="1">
      <c r="B57" s="202">
        <v>6</v>
      </c>
      <c r="C57" s="308"/>
      <c r="D57" s="341"/>
      <c r="E57" s="295"/>
      <c r="F57" s="350"/>
      <c r="G57" s="225"/>
      <c r="H57" s="544"/>
      <c r="I57" s="686"/>
      <c r="J57" s="689"/>
      <c r="K57" s="205"/>
      <c r="L57" s="202">
        <v>6</v>
      </c>
      <c r="M57" s="327" t="s">
        <v>332</v>
      </c>
      <c r="N57" s="341"/>
      <c r="O57" s="437"/>
      <c r="P57" s="350"/>
      <c r="Q57" s="225"/>
      <c r="R57" s="473"/>
      <c r="S57" s="504"/>
      <c r="T57" s="415" t="str">
        <f t="shared" si="0"/>
        <v/>
      </c>
      <c r="U57" s="400">
        <f t="shared" si="7"/>
        <v>0</v>
      </c>
      <c r="V57" s="701"/>
      <c r="W57" s="457"/>
      <c r="X57" s="686"/>
    </row>
    <row r="58" spans="1:24" ht="14.25" customHeight="1">
      <c r="B58" s="202">
        <v>6</v>
      </c>
      <c r="C58" s="308"/>
      <c r="D58" s="341"/>
      <c r="E58" s="295"/>
      <c r="F58" s="350"/>
      <c r="G58" s="225"/>
      <c r="H58" s="544"/>
      <c r="I58" s="686"/>
      <c r="J58" s="689"/>
      <c r="K58" s="205"/>
      <c r="L58" s="202">
        <v>6</v>
      </c>
      <c r="M58" s="327" t="s">
        <v>332</v>
      </c>
      <c r="N58" s="341"/>
      <c r="O58" s="437"/>
      <c r="P58" s="350"/>
      <c r="Q58" s="225"/>
      <c r="R58" s="473"/>
      <c r="S58" s="504"/>
      <c r="T58" s="415" t="str">
        <f t="shared" si="0"/>
        <v/>
      </c>
      <c r="U58" s="400">
        <f t="shared" si="7"/>
        <v>0</v>
      </c>
      <c r="V58" s="701"/>
      <c r="W58" s="457"/>
      <c r="X58" s="686"/>
    </row>
    <row r="59" spans="1:24" ht="14.25" customHeight="1">
      <c r="B59" s="202">
        <v>6</v>
      </c>
      <c r="C59" s="308"/>
      <c r="D59" s="341"/>
      <c r="E59" s="295"/>
      <c r="F59" s="350"/>
      <c r="G59" s="225"/>
      <c r="H59" s="544"/>
      <c r="I59" s="686"/>
      <c r="J59" s="689"/>
      <c r="K59" s="205"/>
      <c r="L59" s="202">
        <v>6</v>
      </c>
      <c r="M59" s="327" t="s">
        <v>332</v>
      </c>
      <c r="N59" s="341"/>
      <c r="O59" s="437"/>
      <c r="P59" s="350"/>
      <c r="Q59" s="225"/>
      <c r="R59" s="473"/>
      <c r="S59" s="504"/>
      <c r="T59" s="415" t="str">
        <f t="shared" si="0"/>
        <v/>
      </c>
      <c r="U59" s="400">
        <f t="shared" si="7"/>
        <v>0</v>
      </c>
      <c r="V59" s="701"/>
      <c r="W59" s="457"/>
      <c r="X59" s="686"/>
    </row>
    <row r="60" spans="1:24" ht="14.25" customHeight="1">
      <c r="B60" s="202">
        <v>6</v>
      </c>
      <c r="C60" s="308"/>
      <c r="D60" s="341"/>
      <c r="E60" s="295"/>
      <c r="F60" s="350"/>
      <c r="G60" s="225"/>
      <c r="H60" s="544"/>
      <c r="I60" s="686"/>
      <c r="J60" s="689"/>
      <c r="K60" s="205"/>
      <c r="L60" s="202">
        <v>6</v>
      </c>
      <c r="M60" s="327" t="s">
        <v>332</v>
      </c>
      <c r="N60" s="341"/>
      <c r="O60" s="437"/>
      <c r="P60" s="350"/>
      <c r="Q60" s="225"/>
      <c r="R60" s="473"/>
      <c r="S60" s="504"/>
      <c r="T60" s="415" t="str">
        <f t="shared" si="0"/>
        <v/>
      </c>
      <c r="U60" s="400">
        <f t="shared" si="7"/>
        <v>0</v>
      </c>
      <c r="V60" s="701"/>
      <c r="W60" s="457"/>
      <c r="X60" s="686"/>
    </row>
    <row r="61" spans="1:24" ht="14.25" customHeight="1">
      <c r="B61" s="202">
        <v>6</v>
      </c>
      <c r="C61" s="347"/>
      <c r="D61" s="203"/>
      <c r="E61" s="300"/>
      <c r="F61" s="351"/>
      <c r="G61" s="225"/>
      <c r="H61" s="544"/>
      <c r="I61" s="686"/>
      <c r="J61" s="689"/>
      <c r="K61" s="205"/>
      <c r="L61" s="202">
        <v>6</v>
      </c>
      <c r="M61" s="327" t="s">
        <v>332</v>
      </c>
      <c r="N61" s="308" t="s">
        <v>316</v>
      </c>
      <c r="O61" s="446">
        <f>Z30</f>
        <v>62952</v>
      </c>
      <c r="P61" s="447">
        <v>0.1</v>
      </c>
      <c r="Q61" s="204">
        <f>$O$61*P61</f>
        <v>6295.2000000000007</v>
      </c>
      <c r="R61" s="682" t="s">
        <v>317</v>
      </c>
      <c r="S61" s="504" t="str">
        <f>S93</f>
        <v>BDL Solar- IN000763</v>
      </c>
      <c r="T61" s="559">
        <f>T93</f>
        <v>46022</v>
      </c>
      <c r="U61" s="637">
        <v>7648.1616313736085</v>
      </c>
      <c r="V61" s="701"/>
      <c r="W61" s="630">
        <f>W93</f>
        <v>46003</v>
      </c>
      <c r="X61" s="686"/>
    </row>
    <row r="62" spans="1:24" ht="14.25" customHeight="1">
      <c r="B62" s="202">
        <v>6</v>
      </c>
      <c r="C62" s="301"/>
      <c r="D62" s="203"/>
      <c r="E62" s="300"/>
      <c r="F62" s="351"/>
      <c r="G62" s="225"/>
      <c r="H62" s="544"/>
      <c r="I62" s="686"/>
      <c r="J62" s="689"/>
      <c r="K62" s="205"/>
      <c r="L62" s="202">
        <v>6</v>
      </c>
      <c r="M62" s="328" t="s">
        <v>332</v>
      </c>
      <c r="N62" s="308" t="s">
        <v>153</v>
      </c>
      <c r="O62" s="437"/>
      <c r="P62" s="447">
        <v>0.15</v>
      </c>
      <c r="Q62" s="204">
        <f t="shared" ref="Q62:Q68" si="8">$O$61*P62</f>
        <v>9442.7999999999993</v>
      </c>
      <c r="R62" s="683"/>
      <c r="S62" s="504" t="str">
        <f>S94</f>
        <v>BDL Solar- IN000764</v>
      </c>
      <c r="T62" s="559">
        <f t="shared" si="0"/>
        <v>46022</v>
      </c>
      <c r="U62" s="637">
        <v>11472.242447060413</v>
      </c>
      <c r="V62" s="701"/>
      <c r="W62" s="630">
        <f t="shared" ref="W62:W68" si="9">W94</f>
        <v>46003</v>
      </c>
      <c r="X62" s="686"/>
    </row>
    <row r="63" spans="1:24" ht="14.25" customHeight="1">
      <c r="B63" s="202">
        <v>6</v>
      </c>
      <c r="C63" s="301"/>
      <c r="D63" s="203"/>
      <c r="E63" s="300"/>
      <c r="F63" s="351"/>
      <c r="G63" s="225"/>
      <c r="H63" s="544"/>
      <c r="I63" s="686"/>
      <c r="J63" s="689"/>
      <c r="K63" s="205"/>
      <c r="L63" s="202">
        <v>6</v>
      </c>
      <c r="M63" s="328" t="s">
        <v>332</v>
      </c>
      <c r="N63" s="308" t="s">
        <v>319</v>
      </c>
      <c r="O63" s="437"/>
      <c r="P63" s="447">
        <v>0.2</v>
      </c>
      <c r="Q63" s="204">
        <f t="shared" si="8"/>
        <v>12590.400000000001</v>
      </c>
      <c r="R63" s="683"/>
      <c r="S63" s="504" t="s">
        <v>445</v>
      </c>
      <c r="T63" s="559">
        <v>46081</v>
      </c>
      <c r="U63" s="400">
        <f t="shared" si="7"/>
        <v>15296.323262747217</v>
      </c>
      <c r="V63" s="701"/>
      <c r="W63" s="457">
        <f t="shared" si="9"/>
        <v>46081</v>
      </c>
      <c r="X63" s="686"/>
    </row>
    <row r="64" spans="1:24" ht="14.25" customHeight="1">
      <c r="B64" s="202">
        <v>6</v>
      </c>
      <c r="C64" s="301"/>
      <c r="D64" s="203"/>
      <c r="E64" s="300"/>
      <c r="F64" s="351"/>
      <c r="G64" s="225"/>
      <c r="H64" s="544"/>
      <c r="I64" s="686"/>
      <c r="J64" s="689"/>
      <c r="K64" s="205"/>
      <c r="L64" s="202">
        <v>6</v>
      </c>
      <c r="M64" s="328" t="s">
        <v>332</v>
      </c>
      <c r="N64" s="308" t="s">
        <v>321</v>
      </c>
      <c r="O64" s="437"/>
      <c r="P64" s="447">
        <v>0.25</v>
      </c>
      <c r="Q64" s="204">
        <f t="shared" si="8"/>
        <v>15738</v>
      </c>
      <c r="R64" s="683"/>
      <c r="S64" s="504" t="s">
        <v>446</v>
      </c>
      <c r="T64" s="559">
        <v>46081</v>
      </c>
      <c r="U64" s="400">
        <f t="shared" si="7"/>
        <v>19120.404078434021</v>
      </c>
      <c r="V64" s="701"/>
      <c r="W64" s="457">
        <f t="shared" si="9"/>
        <v>46081</v>
      </c>
      <c r="X64" s="686"/>
    </row>
    <row r="65" spans="1:24" ht="14.25" customHeight="1">
      <c r="B65" s="202">
        <v>6</v>
      </c>
      <c r="C65" s="301"/>
      <c r="D65" s="203"/>
      <c r="E65" s="300"/>
      <c r="F65" s="351"/>
      <c r="G65" s="225"/>
      <c r="H65" s="544"/>
      <c r="I65" s="686"/>
      <c r="J65" s="689"/>
      <c r="K65" s="205"/>
      <c r="L65" s="202">
        <v>6</v>
      </c>
      <c r="M65" s="328" t="s">
        <v>332</v>
      </c>
      <c r="N65" s="308" t="s">
        <v>322</v>
      </c>
      <c r="O65" s="437"/>
      <c r="P65" s="447">
        <v>0.1</v>
      </c>
      <c r="Q65" s="204">
        <f t="shared" si="8"/>
        <v>6295.2000000000007</v>
      </c>
      <c r="R65" s="683"/>
      <c r="S65" s="504" t="s">
        <v>447</v>
      </c>
      <c r="T65" s="559">
        <v>46081</v>
      </c>
      <c r="U65" s="400">
        <f t="shared" si="7"/>
        <v>7648.1616313736085</v>
      </c>
      <c r="V65" s="701"/>
      <c r="W65" s="457">
        <f t="shared" si="9"/>
        <v>46081</v>
      </c>
      <c r="X65" s="686"/>
    </row>
    <row r="66" spans="1:24" ht="14.25" customHeight="1">
      <c r="B66" s="202">
        <v>6</v>
      </c>
      <c r="C66" s="391"/>
      <c r="D66" s="239"/>
      <c r="E66" s="313"/>
      <c r="F66" s="358"/>
      <c r="G66" s="225"/>
      <c r="H66" s="544"/>
      <c r="I66" s="686"/>
      <c r="J66" s="689"/>
      <c r="K66" s="205"/>
      <c r="L66" s="202">
        <v>6</v>
      </c>
      <c r="M66" s="328" t="s">
        <v>332</v>
      </c>
      <c r="N66" s="308" t="s">
        <v>323</v>
      </c>
      <c r="O66" s="437"/>
      <c r="P66" s="447">
        <v>0.1</v>
      </c>
      <c r="Q66" s="204">
        <f t="shared" si="8"/>
        <v>6295.2000000000007</v>
      </c>
      <c r="R66" s="683"/>
      <c r="S66" s="504" t="s">
        <v>448</v>
      </c>
      <c r="T66" s="559">
        <v>46081</v>
      </c>
      <c r="U66" s="405">
        <f t="shared" si="7"/>
        <v>7648.1616313736085</v>
      </c>
      <c r="V66" s="701"/>
      <c r="W66" s="457">
        <f t="shared" si="9"/>
        <v>46081</v>
      </c>
      <c r="X66" s="686"/>
    </row>
    <row r="67" spans="1:24" ht="14.25" customHeight="1">
      <c r="B67" s="202">
        <v>6</v>
      </c>
      <c r="C67" s="391"/>
      <c r="D67" s="239"/>
      <c r="E67" s="313"/>
      <c r="F67" s="358"/>
      <c r="G67" s="225"/>
      <c r="H67" s="544"/>
      <c r="I67" s="686"/>
      <c r="J67" s="689"/>
      <c r="K67" s="205"/>
      <c r="L67" s="202">
        <v>6</v>
      </c>
      <c r="M67" s="328" t="s">
        <v>332</v>
      </c>
      <c r="N67" s="308" t="s">
        <v>324</v>
      </c>
      <c r="O67" s="437"/>
      <c r="P67" s="447">
        <v>0.05</v>
      </c>
      <c r="Q67" s="204">
        <f t="shared" si="8"/>
        <v>3147.6000000000004</v>
      </c>
      <c r="R67" s="683"/>
      <c r="S67" s="504" t="s">
        <v>449</v>
      </c>
      <c r="T67" s="559">
        <v>46081</v>
      </c>
      <c r="U67" s="405">
        <f t="shared" si="7"/>
        <v>3824.0808156868043</v>
      </c>
      <c r="V67" s="701"/>
      <c r="W67" s="457">
        <f t="shared" si="9"/>
        <v>46081</v>
      </c>
      <c r="X67" s="686"/>
    </row>
    <row r="68" spans="1:24" ht="14.25" customHeight="1">
      <c r="B68" s="202">
        <v>6</v>
      </c>
      <c r="C68" s="391"/>
      <c r="D68" s="239"/>
      <c r="E68" s="313"/>
      <c r="F68" s="358"/>
      <c r="G68" s="225"/>
      <c r="H68" s="544"/>
      <c r="I68" s="686"/>
      <c r="J68" s="689"/>
      <c r="K68" s="205"/>
      <c r="L68" s="202">
        <v>6</v>
      </c>
      <c r="M68" s="328" t="s">
        <v>332</v>
      </c>
      <c r="N68" s="308" t="s">
        <v>325</v>
      </c>
      <c r="O68" s="437"/>
      <c r="P68" s="447">
        <v>0.05</v>
      </c>
      <c r="Q68" s="204">
        <f t="shared" si="8"/>
        <v>3147.6000000000004</v>
      </c>
      <c r="R68" s="684"/>
      <c r="S68" s="504" t="s">
        <v>450</v>
      </c>
      <c r="T68" s="559">
        <v>46081</v>
      </c>
      <c r="U68" s="405">
        <f t="shared" si="7"/>
        <v>3824.0808156868043</v>
      </c>
      <c r="V68" s="701"/>
      <c r="W68" s="457">
        <f t="shared" si="9"/>
        <v>46081</v>
      </c>
      <c r="X68" s="686"/>
    </row>
    <row r="69" spans="1:24" ht="14.25" customHeight="1">
      <c r="B69" s="202">
        <v>6</v>
      </c>
      <c r="C69" s="391"/>
      <c r="D69" s="239"/>
      <c r="E69" s="313"/>
      <c r="F69" s="358"/>
      <c r="G69" s="225"/>
      <c r="H69" s="544"/>
      <c r="I69" s="686"/>
      <c r="J69" s="689"/>
      <c r="K69" s="205"/>
      <c r="L69" s="202">
        <v>6</v>
      </c>
      <c r="M69" s="328" t="s">
        <v>332</v>
      </c>
      <c r="N69" s="308"/>
      <c r="O69" s="437"/>
      <c r="P69" s="447"/>
      <c r="Q69" s="204"/>
      <c r="R69" s="477"/>
      <c r="S69" s="508"/>
      <c r="T69" s="418" t="str">
        <f t="shared" si="0"/>
        <v/>
      </c>
      <c r="U69" s="405">
        <f t="shared" si="7"/>
        <v>0</v>
      </c>
      <c r="V69" s="701"/>
      <c r="W69" s="460"/>
      <c r="X69" s="686"/>
    </row>
    <row r="70" spans="1:24" ht="14.25" customHeight="1">
      <c r="B70" s="202">
        <v>6</v>
      </c>
      <c r="C70" s="391"/>
      <c r="D70" s="239"/>
      <c r="E70" s="313"/>
      <c r="F70" s="358"/>
      <c r="G70" s="225"/>
      <c r="H70" s="544"/>
      <c r="I70" s="686"/>
      <c r="J70" s="689"/>
      <c r="K70" s="205"/>
      <c r="L70" s="202">
        <v>6</v>
      </c>
      <c r="M70" s="328" t="s">
        <v>332</v>
      </c>
      <c r="N70" s="308"/>
      <c r="O70" s="437"/>
      <c r="P70" s="447"/>
      <c r="Q70" s="204"/>
      <c r="R70" s="477"/>
      <c r="S70" s="508"/>
      <c r="T70" s="418" t="str">
        <f t="shared" si="0"/>
        <v/>
      </c>
      <c r="U70" s="405">
        <f t="shared" si="7"/>
        <v>0</v>
      </c>
      <c r="V70" s="701"/>
      <c r="W70" s="460"/>
      <c r="X70" s="686"/>
    </row>
    <row r="71" spans="1:24" ht="15" customHeight="1" thickBot="1">
      <c r="B71" s="206">
        <v>6</v>
      </c>
      <c r="C71" s="302"/>
      <c r="D71" s="208"/>
      <c r="E71" s="355"/>
      <c r="F71" s="352"/>
      <c r="G71" s="209"/>
      <c r="H71" s="554"/>
      <c r="I71" s="687"/>
      <c r="J71" s="690"/>
      <c r="K71" s="210"/>
      <c r="L71" s="206">
        <v>6</v>
      </c>
      <c r="M71" s="330" t="s">
        <v>332</v>
      </c>
      <c r="N71" s="208"/>
      <c r="O71" s="441"/>
      <c r="P71" s="352"/>
      <c r="Q71" s="209"/>
      <c r="R71" s="474"/>
      <c r="S71" s="505"/>
      <c r="T71" s="416" t="str">
        <f t="shared" si="0"/>
        <v/>
      </c>
      <c r="U71" s="401">
        <f>(Q71/$X$55*$J$55)</f>
        <v>0</v>
      </c>
      <c r="V71" s="702"/>
      <c r="W71" s="458"/>
      <c r="X71" s="687"/>
    </row>
    <row r="72" spans="1:24" ht="14.4" thickBot="1">
      <c r="A72" s="4"/>
      <c r="B72" s="194"/>
      <c r="C72" s="235"/>
      <c r="D72" s="212"/>
      <c r="E72" s="195"/>
      <c r="F72" s="353"/>
      <c r="G72" s="196"/>
      <c r="H72" s="556"/>
      <c r="I72" s="546"/>
      <c r="J72" s="184"/>
      <c r="K72" s="4"/>
      <c r="L72" s="194"/>
      <c r="M72" s="235"/>
      <c r="N72" s="212"/>
      <c r="O72" s="435"/>
      <c r="P72" s="353"/>
      <c r="Q72" s="196"/>
      <c r="R72" s="478"/>
      <c r="S72" s="509"/>
      <c r="T72" s="419" t="str">
        <f t="shared" si="0"/>
        <v/>
      </c>
      <c r="U72" s="406"/>
      <c r="V72" s="381"/>
      <c r="W72" s="461"/>
      <c r="X72" s="546"/>
    </row>
    <row r="73" spans="1:24" ht="14.25" customHeight="1">
      <c r="B73" s="281">
        <v>7</v>
      </c>
      <c r="C73" s="213" t="s">
        <v>335</v>
      </c>
      <c r="D73" s="282"/>
      <c r="E73" s="359"/>
      <c r="F73" s="365"/>
      <c r="G73" s="283"/>
      <c r="H73" s="557"/>
      <c r="I73" s="656">
        <f>SUM(G73:G80)</f>
        <v>0</v>
      </c>
      <c r="J73" s="659">
        <f>F172</f>
        <v>0</v>
      </c>
      <c r="K73" s="189"/>
      <c r="L73" s="281">
        <v>7</v>
      </c>
      <c r="M73" s="213" t="s">
        <v>336</v>
      </c>
      <c r="N73" s="282"/>
      <c r="O73" s="359"/>
      <c r="P73" s="365"/>
      <c r="Q73" s="283"/>
      <c r="R73" s="479"/>
      <c r="S73" s="510"/>
      <c r="T73" s="420" t="str">
        <f t="shared" ref="T73:T136" si="10">IF(W73&gt;1,EOMONTH(W73,0),"")</f>
        <v/>
      </c>
      <c r="U73" s="523"/>
      <c r="V73" s="697">
        <f>J73-SUM(U73:U80)</f>
        <v>0</v>
      </c>
      <c r="W73" s="462"/>
      <c r="X73" s="656">
        <f>SUM(Q73:Q80)</f>
        <v>0</v>
      </c>
    </row>
    <row r="74" spans="1:24" ht="14.25" customHeight="1">
      <c r="B74" s="284">
        <v>7</v>
      </c>
      <c r="C74" s="285"/>
      <c r="D74" s="286"/>
      <c r="E74" s="306"/>
      <c r="F74" s="342"/>
      <c r="G74" s="287"/>
      <c r="H74" s="540"/>
      <c r="I74" s="657"/>
      <c r="J74" s="660"/>
      <c r="K74" s="192"/>
      <c r="L74" s="284">
        <v>7</v>
      </c>
      <c r="M74" s="285" t="s">
        <v>336</v>
      </c>
      <c r="N74" s="286"/>
      <c r="O74" s="306"/>
      <c r="P74" s="342"/>
      <c r="Q74" s="287"/>
      <c r="R74" s="469"/>
      <c r="S74" s="500"/>
      <c r="T74" s="411" t="str">
        <f t="shared" si="10"/>
        <v/>
      </c>
      <c r="U74" s="396"/>
      <c r="V74" s="698"/>
      <c r="W74" s="453"/>
      <c r="X74" s="657"/>
    </row>
    <row r="75" spans="1:24" ht="14.25" customHeight="1">
      <c r="B75" s="284">
        <v>7</v>
      </c>
      <c r="C75" s="285"/>
      <c r="D75" s="286"/>
      <c r="E75" s="306"/>
      <c r="F75" s="342"/>
      <c r="G75" s="287"/>
      <c r="H75" s="540"/>
      <c r="I75" s="657"/>
      <c r="J75" s="660"/>
      <c r="K75" s="192"/>
      <c r="L75" s="284">
        <v>7</v>
      </c>
      <c r="M75" s="285" t="s">
        <v>336</v>
      </c>
      <c r="N75" s="286"/>
      <c r="O75" s="306"/>
      <c r="P75" s="342"/>
      <c r="Q75" s="287"/>
      <c r="R75" s="469"/>
      <c r="S75" s="500"/>
      <c r="T75" s="411" t="str">
        <f t="shared" si="10"/>
        <v/>
      </c>
      <c r="U75" s="396"/>
      <c r="V75" s="698"/>
      <c r="W75" s="453"/>
      <c r="X75" s="657"/>
    </row>
    <row r="76" spans="1:24" ht="14.25" customHeight="1">
      <c r="B76" s="284">
        <v>7</v>
      </c>
      <c r="C76" s="285"/>
      <c r="D76" s="286"/>
      <c r="E76" s="306"/>
      <c r="F76" s="342"/>
      <c r="G76" s="287"/>
      <c r="H76" s="540"/>
      <c r="I76" s="657"/>
      <c r="J76" s="660"/>
      <c r="K76" s="192"/>
      <c r="L76" s="284">
        <v>7</v>
      </c>
      <c r="M76" s="285" t="s">
        <v>336</v>
      </c>
      <c r="N76" s="286"/>
      <c r="O76" s="306"/>
      <c r="P76" s="342"/>
      <c r="Q76" s="287"/>
      <c r="R76" s="469"/>
      <c r="S76" s="500"/>
      <c r="T76" s="411" t="str">
        <f t="shared" si="10"/>
        <v/>
      </c>
      <c r="U76" s="396"/>
      <c r="V76" s="698"/>
      <c r="W76" s="453"/>
      <c r="X76" s="657"/>
    </row>
    <row r="77" spans="1:24" ht="14.25" customHeight="1">
      <c r="B77" s="284">
        <v>7</v>
      </c>
      <c r="C77" s="285"/>
      <c r="D77" s="286"/>
      <c r="E77" s="306"/>
      <c r="F77" s="342"/>
      <c r="G77" s="287"/>
      <c r="H77" s="540"/>
      <c r="I77" s="657"/>
      <c r="J77" s="660"/>
      <c r="K77" s="192"/>
      <c r="L77" s="284">
        <v>7</v>
      </c>
      <c r="M77" s="285" t="s">
        <v>336</v>
      </c>
      <c r="N77" s="286"/>
      <c r="O77" s="306"/>
      <c r="P77" s="342"/>
      <c r="Q77" s="287"/>
      <c r="R77" s="469"/>
      <c r="S77" s="500"/>
      <c r="T77" s="411" t="str">
        <f t="shared" si="10"/>
        <v/>
      </c>
      <c r="U77" s="396"/>
      <c r="V77" s="698"/>
      <c r="W77" s="453"/>
      <c r="X77" s="657"/>
    </row>
    <row r="78" spans="1:24" ht="14.25" customHeight="1">
      <c r="B78" s="284">
        <v>7</v>
      </c>
      <c r="C78" s="285"/>
      <c r="D78" s="286"/>
      <c r="E78" s="306"/>
      <c r="F78" s="342"/>
      <c r="G78" s="287"/>
      <c r="H78" s="540"/>
      <c r="I78" s="657"/>
      <c r="J78" s="660"/>
      <c r="K78" s="192"/>
      <c r="L78" s="284">
        <v>7</v>
      </c>
      <c r="M78" s="285" t="s">
        <v>336</v>
      </c>
      <c r="N78" s="286"/>
      <c r="O78" s="433"/>
      <c r="P78" s="342"/>
      <c r="Q78" s="287"/>
      <c r="R78" s="469"/>
      <c r="S78" s="500"/>
      <c r="T78" s="411" t="str">
        <f t="shared" si="10"/>
        <v/>
      </c>
      <c r="U78" s="396"/>
      <c r="V78" s="698"/>
      <c r="W78" s="453"/>
      <c r="X78" s="657"/>
    </row>
    <row r="79" spans="1:24" ht="14.25" customHeight="1">
      <c r="B79" s="284">
        <v>7</v>
      </c>
      <c r="C79" s="285"/>
      <c r="D79" s="286"/>
      <c r="E79" s="306"/>
      <c r="F79" s="342"/>
      <c r="G79" s="287"/>
      <c r="H79" s="540"/>
      <c r="I79" s="657"/>
      <c r="J79" s="660"/>
      <c r="K79" s="192"/>
      <c r="L79" s="284">
        <v>7</v>
      </c>
      <c r="M79" s="285" t="s">
        <v>336</v>
      </c>
      <c r="N79" s="286"/>
      <c r="O79" s="433"/>
      <c r="P79" s="342"/>
      <c r="Q79" s="287"/>
      <c r="R79" s="469"/>
      <c r="S79" s="500"/>
      <c r="T79" s="411" t="str">
        <f t="shared" si="10"/>
        <v/>
      </c>
      <c r="U79" s="396"/>
      <c r="V79" s="698"/>
      <c r="W79" s="453"/>
      <c r="X79" s="657"/>
    </row>
    <row r="80" spans="1:24" ht="15" customHeight="1" thickBot="1">
      <c r="B80" s="220">
        <v>7</v>
      </c>
      <c r="C80" s="241"/>
      <c r="D80" s="233"/>
      <c r="E80" s="222"/>
      <c r="F80" s="357"/>
      <c r="G80" s="234"/>
      <c r="H80" s="558"/>
      <c r="I80" s="658"/>
      <c r="J80" s="661"/>
      <c r="K80" s="193"/>
      <c r="L80" s="220">
        <v>7</v>
      </c>
      <c r="M80" s="241" t="s">
        <v>336</v>
      </c>
      <c r="N80" s="233"/>
      <c r="O80" s="434"/>
      <c r="P80" s="357"/>
      <c r="Q80" s="234"/>
      <c r="R80" s="470"/>
      <c r="S80" s="501"/>
      <c r="T80" s="412" t="str">
        <f t="shared" si="10"/>
        <v/>
      </c>
      <c r="U80" s="397"/>
      <c r="V80" s="699"/>
      <c r="W80" s="454"/>
      <c r="X80" s="658"/>
    </row>
    <row r="81" spans="1:24" ht="14.4" thickBot="1">
      <c r="A81" s="4"/>
      <c r="B81" s="194"/>
      <c r="C81" s="235"/>
      <c r="D81" s="212"/>
      <c r="E81" s="195"/>
      <c r="F81" s="353"/>
      <c r="G81" s="196"/>
      <c r="H81" s="552"/>
      <c r="I81" s="546"/>
      <c r="J81" s="184"/>
      <c r="K81" s="4"/>
      <c r="L81" s="194"/>
      <c r="M81" s="235"/>
      <c r="N81" s="212"/>
      <c r="O81" s="435"/>
      <c r="P81" s="353"/>
      <c r="Q81" s="196"/>
      <c r="R81" s="471"/>
      <c r="S81" s="502"/>
      <c r="T81" s="413" t="str">
        <f t="shared" si="10"/>
        <v/>
      </c>
      <c r="U81" s="402"/>
      <c r="V81" s="384"/>
      <c r="W81" s="455"/>
      <c r="X81" s="546"/>
    </row>
    <row r="82" spans="1:24" ht="14.25" customHeight="1">
      <c r="B82" s="236">
        <v>8</v>
      </c>
      <c r="C82" s="198" t="s">
        <v>337</v>
      </c>
      <c r="D82" s="237" t="s">
        <v>338</v>
      </c>
      <c r="E82" s="360"/>
      <c r="F82" s="314"/>
      <c r="G82" s="238">
        <f>D171</f>
        <v>34428</v>
      </c>
      <c r="H82" s="553">
        <f>H92</f>
        <v>46069</v>
      </c>
      <c r="I82" s="685">
        <f>SUM(G82:G90)</f>
        <v>34428</v>
      </c>
      <c r="J82" s="688">
        <f>F171</f>
        <v>43035</v>
      </c>
      <c r="K82" s="201"/>
      <c r="L82" s="236">
        <v>8</v>
      </c>
      <c r="M82" s="323" t="s">
        <v>339</v>
      </c>
      <c r="N82" s="237" t="s">
        <v>338</v>
      </c>
      <c r="O82" s="360"/>
      <c r="P82" s="314"/>
      <c r="Q82" s="238">
        <v>34428</v>
      </c>
      <c r="R82" s="472"/>
      <c r="S82" s="503"/>
      <c r="T82" s="414">
        <v>46081</v>
      </c>
      <c r="U82" s="399">
        <f>(Q82/$X$82*$J$82)</f>
        <v>40538.715661595706</v>
      </c>
      <c r="V82" s="694">
        <f>J82-SUM(U82:U90)</f>
        <v>0</v>
      </c>
      <c r="W82" s="456">
        <v>46081</v>
      </c>
      <c r="X82" s="685">
        <f>SUM(Q82:Q90)</f>
        <v>36548</v>
      </c>
    </row>
    <row r="83" spans="1:24" ht="14.25" customHeight="1">
      <c r="B83" s="226">
        <v>8</v>
      </c>
      <c r="C83" s="227"/>
      <c r="D83" s="239"/>
      <c r="E83" s="313"/>
      <c r="F83" s="358"/>
      <c r="G83" s="228"/>
      <c r="H83" s="544"/>
      <c r="I83" s="686"/>
      <c r="J83" s="689"/>
      <c r="K83" s="205"/>
      <c r="L83" s="226">
        <v>8</v>
      </c>
      <c r="M83" s="331" t="s">
        <v>339</v>
      </c>
      <c r="N83" s="239"/>
      <c r="O83" s="313"/>
      <c r="P83" s="358"/>
      <c r="Q83" s="228"/>
      <c r="R83" s="473"/>
      <c r="S83" s="504"/>
      <c r="T83" s="415"/>
      <c r="U83" s="400">
        <f t="shared" ref="U83:U90" si="11">(Q83/$X$82*$J$82)</f>
        <v>0</v>
      </c>
      <c r="V83" s="695"/>
      <c r="W83" s="457"/>
      <c r="X83" s="686"/>
    </row>
    <row r="84" spans="1:24" ht="14.25" customHeight="1">
      <c r="B84" s="226">
        <v>8</v>
      </c>
      <c r="C84" s="227"/>
      <c r="D84" s="239"/>
      <c r="E84" s="313"/>
      <c r="F84" s="358"/>
      <c r="G84" s="228"/>
      <c r="H84" s="544"/>
      <c r="I84" s="686"/>
      <c r="J84" s="689"/>
      <c r="K84" s="205"/>
      <c r="L84" s="226">
        <v>8</v>
      </c>
      <c r="M84" s="331" t="s">
        <v>339</v>
      </c>
      <c r="N84" s="239" t="s">
        <v>340</v>
      </c>
      <c r="O84" s="313"/>
      <c r="P84" s="358"/>
      <c r="Q84" s="228">
        <v>2120</v>
      </c>
      <c r="R84" s="473" t="s">
        <v>341</v>
      </c>
      <c r="S84" s="504" t="s">
        <v>342</v>
      </c>
      <c r="T84" s="544">
        <v>46081</v>
      </c>
      <c r="U84" s="400">
        <f t="shared" si="11"/>
        <v>2496.2843384042903</v>
      </c>
      <c r="V84" s="695"/>
      <c r="W84" s="457">
        <f>T84+30</f>
        <v>46111</v>
      </c>
      <c r="X84" s="686"/>
    </row>
    <row r="85" spans="1:24" ht="14.25" customHeight="1">
      <c r="B85" s="226">
        <v>8</v>
      </c>
      <c r="C85" s="227"/>
      <c r="D85" s="239"/>
      <c r="E85" s="313"/>
      <c r="F85" s="358"/>
      <c r="G85" s="228"/>
      <c r="H85" s="544"/>
      <c r="I85" s="686"/>
      <c r="J85" s="689"/>
      <c r="K85" s="205"/>
      <c r="L85" s="226">
        <v>8</v>
      </c>
      <c r="M85" s="331" t="s">
        <v>339</v>
      </c>
      <c r="N85" s="239"/>
      <c r="O85" s="313"/>
      <c r="P85" s="358"/>
      <c r="Q85" s="228"/>
      <c r="R85" s="473"/>
      <c r="S85" s="504"/>
      <c r="T85" s="415" t="str">
        <f t="shared" si="10"/>
        <v/>
      </c>
      <c r="U85" s="400">
        <f t="shared" si="11"/>
        <v>0</v>
      </c>
      <c r="V85" s="695"/>
      <c r="W85" s="457"/>
      <c r="X85" s="686"/>
    </row>
    <row r="86" spans="1:24" ht="14.25" customHeight="1">
      <c r="B86" s="226">
        <v>8</v>
      </c>
      <c r="C86" s="227"/>
      <c r="D86" s="239"/>
      <c r="E86" s="313"/>
      <c r="F86" s="358"/>
      <c r="G86" s="228"/>
      <c r="H86" s="544"/>
      <c r="I86" s="686"/>
      <c r="J86" s="689"/>
      <c r="K86" s="205"/>
      <c r="L86" s="226">
        <v>8</v>
      </c>
      <c r="M86" s="331" t="s">
        <v>339</v>
      </c>
      <c r="N86" s="239"/>
      <c r="O86" s="313"/>
      <c r="P86" s="358"/>
      <c r="Q86" s="228"/>
      <c r="R86" s="473"/>
      <c r="S86" s="504"/>
      <c r="T86" s="415" t="str">
        <f t="shared" si="10"/>
        <v/>
      </c>
      <c r="U86" s="400">
        <f t="shared" si="11"/>
        <v>0</v>
      </c>
      <c r="V86" s="695"/>
      <c r="W86" s="457"/>
      <c r="X86" s="686"/>
    </row>
    <row r="87" spans="1:24" ht="14.25" customHeight="1">
      <c r="B87" s="226">
        <v>8</v>
      </c>
      <c r="C87" s="227"/>
      <c r="D87" s="239"/>
      <c r="E87" s="313"/>
      <c r="F87" s="358"/>
      <c r="G87" s="228"/>
      <c r="H87" s="544"/>
      <c r="I87" s="686"/>
      <c r="J87" s="689"/>
      <c r="K87" s="205"/>
      <c r="L87" s="226">
        <v>8</v>
      </c>
      <c r="M87" s="331" t="s">
        <v>339</v>
      </c>
      <c r="N87" s="239"/>
      <c r="O87" s="440"/>
      <c r="P87" s="532"/>
      <c r="Q87" s="228"/>
      <c r="R87" s="473"/>
      <c r="S87" s="504"/>
      <c r="T87" s="415"/>
      <c r="U87" s="400">
        <f t="shared" si="11"/>
        <v>0</v>
      </c>
      <c r="V87" s="695"/>
      <c r="W87" s="457"/>
      <c r="X87" s="686"/>
    </row>
    <row r="88" spans="1:24" ht="14.25" customHeight="1">
      <c r="B88" s="226">
        <v>8</v>
      </c>
      <c r="C88" s="227"/>
      <c r="D88" s="239"/>
      <c r="E88" s="313"/>
      <c r="F88" s="358"/>
      <c r="G88" s="228"/>
      <c r="H88" s="544"/>
      <c r="I88" s="686"/>
      <c r="J88" s="689"/>
      <c r="K88" s="205"/>
      <c r="L88" s="226">
        <v>8</v>
      </c>
      <c r="M88" s="331" t="s">
        <v>339</v>
      </c>
      <c r="N88" s="239"/>
      <c r="O88" s="440"/>
      <c r="P88" s="358"/>
      <c r="Q88" s="228"/>
      <c r="R88" s="473"/>
      <c r="S88" s="504"/>
      <c r="T88" s="544" t="str">
        <f t="shared" si="10"/>
        <v/>
      </c>
      <c r="U88" s="400">
        <f t="shared" si="11"/>
        <v>0</v>
      </c>
      <c r="V88" s="695"/>
      <c r="W88" s="457"/>
      <c r="X88" s="686"/>
    </row>
    <row r="89" spans="1:24" ht="14.25" customHeight="1">
      <c r="B89" s="226">
        <v>8</v>
      </c>
      <c r="C89" s="227"/>
      <c r="D89" s="239"/>
      <c r="E89" s="313"/>
      <c r="F89" s="358"/>
      <c r="G89" s="228"/>
      <c r="H89" s="559"/>
      <c r="I89" s="686"/>
      <c r="J89" s="689"/>
      <c r="K89" s="205"/>
      <c r="L89" s="226">
        <v>8</v>
      </c>
      <c r="M89" s="331" t="s">
        <v>339</v>
      </c>
      <c r="N89" s="239"/>
      <c r="O89" s="440"/>
      <c r="P89" s="358"/>
      <c r="Q89" s="228"/>
      <c r="R89" s="477"/>
      <c r="S89" s="508"/>
      <c r="T89" s="418" t="str">
        <f t="shared" si="10"/>
        <v/>
      </c>
      <c r="U89" s="405">
        <f t="shared" si="11"/>
        <v>0</v>
      </c>
      <c r="V89" s="695"/>
      <c r="W89" s="460"/>
      <c r="X89" s="686"/>
    </row>
    <row r="90" spans="1:24" ht="15" customHeight="1" thickBot="1">
      <c r="B90" s="226">
        <v>8</v>
      </c>
      <c r="C90" s="207"/>
      <c r="D90" s="208"/>
      <c r="E90" s="355"/>
      <c r="F90" s="352"/>
      <c r="G90" s="209"/>
      <c r="H90" s="554"/>
      <c r="I90" s="687"/>
      <c r="J90" s="690"/>
      <c r="K90" s="210"/>
      <c r="L90" s="206">
        <v>8</v>
      </c>
      <c r="M90" s="330" t="s">
        <v>339</v>
      </c>
      <c r="N90" s="208"/>
      <c r="O90" s="441"/>
      <c r="P90" s="352"/>
      <c r="Q90" s="209"/>
      <c r="R90" s="474"/>
      <c r="S90" s="505"/>
      <c r="T90" s="416" t="str">
        <f t="shared" si="10"/>
        <v/>
      </c>
      <c r="U90" s="401">
        <f t="shared" si="11"/>
        <v>0</v>
      </c>
      <c r="V90" s="696"/>
      <c r="W90" s="458"/>
      <c r="X90" s="687"/>
    </row>
    <row r="91" spans="1:24" ht="22.5" customHeight="1" thickBot="1">
      <c r="A91" s="4"/>
      <c r="B91" s="240"/>
      <c r="C91" s="76"/>
      <c r="D91" s="76"/>
      <c r="E91" s="76"/>
      <c r="F91" s="366"/>
      <c r="G91" s="76"/>
      <c r="H91" s="421"/>
      <c r="I91" s="337"/>
      <c r="J91" s="338"/>
      <c r="K91" s="76" t="s">
        <v>343</v>
      </c>
      <c r="L91" s="240"/>
      <c r="M91" s="76"/>
      <c r="N91" s="76"/>
      <c r="O91" s="442"/>
      <c r="P91" s="366"/>
      <c r="Q91" s="76"/>
      <c r="R91" s="480"/>
      <c r="S91" s="240"/>
      <c r="T91" s="421" t="str">
        <f t="shared" si="10"/>
        <v/>
      </c>
      <c r="U91" s="386"/>
      <c r="V91" s="386"/>
      <c r="W91" s="426"/>
      <c r="X91" s="612"/>
    </row>
    <row r="92" spans="1:24" ht="15" customHeight="1">
      <c r="B92" s="215">
        <v>9</v>
      </c>
      <c r="C92" s="340" t="s">
        <v>344</v>
      </c>
      <c r="D92" s="231" t="s">
        <v>345</v>
      </c>
      <c r="E92" s="218"/>
      <c r="F92" s="335"/>
      <c r="G92" s="494">
        <f>D176</f>
        <v>39345</v>
      </c>
      <c r="H92" s="541">
        <f>'Project Plan'!G21+7</f>
        <v>46069</v>
      </c>
      <c r="I92" s="691">
        <f>SUM(G92:G103)</f>
        <v>125130</v>
      </c>
      <c r="J92" s="659">
        <f>F176+F177</f>
        <v>139033.33333333334</v>
      </c>
      <c r="K92" s="192"/>
      <c r="L92" s="215">
        <v>9</v>
      </c>
      <c r="M92" s="321" t="s">
        <v>346</v>
      </c>
      <c r="N92" s="231"/>
      <c r="O92" s="432"/>
      <c r="P92" s="335"/>
      <c r="Q92" s="219"/>
      <c r="R92" s="475"/>
      <c r="S92" s="506"/>
      <c r="T92" s="417" t="str">
        <f t="shared" si="10"/>
        <v/>
      </c>
      <c r="U92" s="403">
        <f t="shared" ref="U92:U103" si="12">(Q92/$X$92*$J$92)</f>
        <v>0</v>
      </c>
      <c r="V92" s="668">
        <f>J92-SUM(U92:U103)</f>
        <v>0</v>
      </c>
      <c r="W92" s="459"/>
      <c r="X92" s="656">
        <f>SUM(Q92:Q103)</f>
        <v>135346.79999999999</v>
      </c>
    </row>
    <row r="93" spans="1:24" ht="15" customHeight="1">
      <c r="B93" s="215">
        <v>9</v>
      </c>
      <c r="C93" s="340"/>
      <c r="D93" s="232" t="s">
        <v>347</v>
      </c>
      <c r="E93" s="218"/>
      <c r="F93" s="356"/>
      <c r="G93" s="494">
        <f>D177</f>
        <v>85785</v>
      </c>
      <c r="H93" s="540">
        <f>'Project Plan'!G28+7</f>
        <v>46059</v>
      </c>
      <c r="I93" s="692"/>
      <c r="J93" s="660"/>
      <c r="K93" s="192"/>
      <c r="L93" s="215">
        <v>9</v>
      </c>
      <c r="M93" s="321" t="s">
        <v>346</v>
      </c>
      <c r="N93" s="232" t="s">
        <v>316</v>
      </c>
      <c r="O93" s="449">
        <f>Z33+Z32</f>
        <v>135346.79999999999</v>
      </c>
      <c r="P93" s="450">
        <v>0.1</v>
      </c>
      <c r="Q93" s="219">
        <f>$O$93*P93</f>
        <v>13534.68</v>
      </c>
      <c r="R93" s="677" t="s">
        <v>317</v>
      </c>
      <c r="S93" s="499" t="s">
        <v>348</v>
      </c>
      <c r="T93" s="550">
        <v>46022</v>
      </c>
      <c r="U93" s="636">
        <v>13903.333333333336</v>
      </c>
      <c r="V93" s="669"/>
      <c r="W93" s="628">
        <v>46003</v>
      </c>
      <c r="X93" s="657"/>
    </row>
    <row r="94" spans="1:24" ht="15" customHeight="1">
      <c r="B94" s="284">
        <v>9</v>
      </c>
      <c r="C94" s="392"/>
      <c r="D94" s="286"/>
      <c r="E94" s="306"/>
      <c r="F94" s="342"/>
      <c r="G94" s="287"/>
      <c r="H94" s="550"/>
      <c r="I94" s="692"/>
      <c r="J94" s="660"/>
      <c r="K94" s="192"/>
      <c r="L94" s="284">
        <v>9</v>
      </c>
      <c r="M94" s="393" t="s">
        <v>346</v>
      </c>
      <c r="N94" s="286" t="s">
        <v>153</v>
      </c>
      <c r="O94" s="433"/>
      <c r="P94" s="448">
        <v>0.15</v>
      </c>
      <c r="Q94" s="219">
        <f t="shared" ref="Q94:Q100" si="13">$O$93*P94</f>
        <v>20302.019999999997</v>
      </c>
      <c r="R94" s="678"/>
      <c r="S94" s="500" t="s">
        <v>349</v>
      </c>
      <c r="T94" s="550">
        <v>46022</v>
      </c>
      <c r="U94" s="636">
        <v>20855</v>
      </c>
      <c r="V94" s="669"/>
      <c r="W94" s="629">
        <v>46003</v>
      </c>
      <c r="X94" s="657"/>
    </row>
    <row r="95" spans="1:24" ht="15" customHeight="1">
      <c r="B95" s="284">
        <v>9</v>
      </c>
      <c r="C95" s="392"/>
      <c r="D95" s="286"/>
      <c r="E95" s="306"/>
      <c r="F95" s="342"/>
      <c r="G95" s="287"/>
      <c r="H95" s="550"/>
      <c r="I95" s="692"/>
      <c r="J95" s="660"/>
      <c r="K95" s="192"/>
      <c r="L95" s="284">
        <v>9</v>
      </c>
      <c r="M95" s="393" t="s">
        <v>346</v>
      </c>
      <c r="N95" s="286" t="s">
        <v>319</v>
      </c>
      <c r="O95" s="433"/>
      <c r="P95" s="448">
        <v>0.2</v>
      </c>
      <c r="Q95" s="219">
        <f t="shared" si="13"/>
        <v>27069.360000000001</v>
      </c>
      <c r="R95" s="678"/>
      <c r="S95" s="500" t="s">
        <v>445</v>
      </c>
      <c r="T95" s="550">
        <v>46081</v>
      </c>
      <c r="U95" s="396">
        <f t="shared" si="12"/>
        <v>27806.666666666672</v>
      </c>
      <c r="V95" s="669"/>
      <c r="W95" s="453">
        <v>46081</v>
      </c>
      <c r="X95" s="657"/>
    </row>
    <row r="96" spans="1:24" ht="15" customHeight="1">
      <c r="B96" s="284">
        <v>9</v>
      </c>
      <c r="C96" s="392"/>
      <c r="D96" s="286"/>
      <c r="E96" s="306"/>
      <c r="F96" s="342"/>
      <c r="G96" s="287"/>
      <c r="H96" s="550"/>
      <c r="I96" s="692"/>
      <c r="J96" s="660"/>
      <c r="K96" s="192"/>
      <c r="L96" s="284">
        <v>9</v>
      </c>
      <c r="M96" s="393" t="s">
        <v>346</v>
      </c>
      <c r="N96" s="286" t="s">
        <v>321</v>
      </c>
      <c r="O96" s="433"/>
      <c r="P96" s="448">
        <v>0.25</v>
      </c>
      <c r="Q96" s="219">
        <f t="shared" si="13"/>
        <v>33836.699999999997</v>
      </c>
      <c r="R96" s="678"/>
      <c r="S96" s="500" t="s">
        <v>446</v>
      </c>
      <c r="T96" s="550">
        <v>46081</v>
      </c>
      <c r="U96" s="396">
        <f t="shared" si="12"/>
        <v>34758.333333333336</v>
      </c>
      <c r="V96" s="669"/>
      <c r="W96" s="453">
        <f>W95</f>
        <v>46081</v>
      </c>
      <c r="X96" s="657"/>
    </row>
    <row r="97" spans="1:24" ht="15" customHeight="1">
      <c r="B97" s="284">
        <v>9</v>
      </c>
      <c r="C97" s="392"/>
      <c r="D97" s="286"/>
      <c r="E97" s="306"/>
      <c r="F97" s="342"/>
      <c r="G97" s="287"/>
      <c r="H97" s="550"/>
      <c r="I97" s="692"/>
      <c r="J97" s="660"/>
      <c r="K97" s="192"/>
      <c r="L97" s="284">
        <v>9</v>
      </c>
      <c r="M97" s="393" t="s">
        <v>346</v>
      </c>
      <c r="N97" s="286" t="s">
        <v>322</v>
      </c>
      <c r="O97" s="433"/>
      <c r="P97" s="448">
        <v>0.1</v>
      </c>
      <c r="Q97" s="219">
        <f t="shared" si="13"/>
        <v>13534.68</v>
      </c>
      <c r="R97" s="678"/>
      <c r="S97" s="500" t="s">
        <v>447</v>
      </c>
      <c r="T97" s="550">
        <v>46081</v>
      </c>
      <c r="U97" s="396">
        <f t="shared" si="12"/>
        <v>13903.333333333336</v>
      </c>
      <c r="V97" s="669"/>
      <c r="W97" s="453">
        <f>W96</f>
        <v>46081</v>
      </c>
      <c r="X97" s="657"/>
    </row>
    <row r="98" spans="1:24" ht="15" customHeight="1">
      <c r="B98" s="284">
        <v>9</v>
      </c>
      <c r="C98" s="392"/>
      <c r="D98" s="286"/>
      <c r="E98" s="306"/>
      <c r="F98" s="342"/>
      <c r="G98" s="287"/>
      <c r="H98" s="550"/>
      <c r="I98" s="692"/>
      <c r="J98" s="660"/>
      <c r="K98" s="192"/>
      <c r="L98" s="284">
        <v>9</v>
      </c>
      <c r="M98" s="393" t="s">
        <v>346</v>
      </c>
      <c r="N98" s="286" t="s">
        <v>323</v>
      </c>
      <c r="O98" s="433"/>
      <c r="P98" s="448">
        <v>0.1</v>
      </c>
      <c r="Q98" s="219">
        <f t="shared" si="13"/>
        <v>13534.68</v>
      </c>
      <c r="R98" s="678"/>
      <c r="S98" s="500" t="s">
        <v>448</v>
      </c>
      <c r="T98" s="550">
        <v>46081</v>
      </c>
      <c r="U98" s="396">
        <f t="shared" si="12"/>
        <v>13903.333333333336</v>
      </c>
      <c r="V98" s="669"/>
      <c r="W98" s="453">
        <f>W97</f>
        <v>46081</v>
      </c>
      <c r="X98" s="657"/>
    </row>
    <row r="99" spans="1:24" ht="15" customHeight="1">
      <c r="B99" s="284">
        <v>9</v>
      </c>
      <c r="C99" s="392"/>
      <c r="D99" s="286"/>
      <c r="E99" s="306"/>
      <c r="F99" s="342"/>
      <c r="G99" s="287"/>
      <c r="H99" s="550"/>
      <c r="I99" s="692"/>
      <c r="J99" s="660"/>
      <c r="K99" s="192"/>
      <c r="L99" s="284">
        <v>9</v>
      </c>
      <c r="M99" s="393" t="s">
        <v>346</v>
      </c>
      <c r="N99" s="286" t="s">
        <v>324</v>
      </c>
      <c r="O99" s="433"/>
      <c r="P99" s="448">
        <v>0.05</v>
      </c>
      <c r="Q99" s="219">
        <f t="shared" si="13"/>
        <v>6767.34</v>
      </c>
      <c r="R99" s="678"/>
      <c r="S99" s="500" t="s">
        <v>449</v>
      </c>
      <c r="T99" s="550">
        <v>46081</v>
      </c>
      <c r="U99" s="396">
        <f t="shared" si="12"/>
        <v>6951.6666666666679</v>
      </c>
      <c r="V99" s="669"/>
      <c r="W99" s="453">
        <f>W98</f>
        <v>46081</v>
      </c>
      <c r="X99" s="657"/>
    </row>
    <row r="100" spans="1:24" ht="15" customHeight="1">
      <c r="B100" s="284">
        <v>9</v>
      </c>
      <c r="C100" s="392"/>
      <c r="D100" s="286"/>
      <c r="E100" s="306"/>
      <c r="F100" s="342"/>
      <c r="G100" s="287"/>
      <c r="H100" s="550"/>
      <c r="I100" s="692"/>
      <c r="J100" s="660"/>
      <c r="K100" s="192"/>
      <c r="L100" s="284">
        <v>9</v>
      </c>
      <c r="M100" s="393" t="s">
        <v>346</v>
      </c>
      <c r="N100" s="286" t="s">
        <v>325</v>
      </c>
      <c r="O100" s="433"/>
      <c r="P100" s="448">
        <v>0.05</v>
      </c>
      <c r="Q100" s="219">
        <f t="shared" si="13"/>
        <v>6767.34</v>
      </c>
      <c r="R100" s="679"/>
      <c r="S100" s="500" t="s">
        <v>450</v>
      </c>
      <c r="T100" s="550">
        <v>46081</v>
      </c>
      <c r="U100" s="396">
        <f t="shared" si="12"/>
        <v>6951.6666666666679</v>
      </c>
      <c r="V100" s="669"/>
      <c r="W100" s="453">
        <f>W99</f>
        <v>46081</v>
      </c>
      <c r="X100" s="657"/>
    </row>
    <row r="101" spans="1:24" ht="15" customHeight="1">
      <c r="B101" s="284">
        <v>9</v>
      </c>
      <c r="C101" s="392"/>
      <c r="D101" s="286"/>
      <c r="E101" s="306"/>
      <c r="F101" s="342"/>
      <c r="G101" s="287"/>
      <c r="H101" s="550"/>
      <c r="I101" s="692"/>
      <c r="J101" s="660"/>
      <c r="K101" s="192"/>
      <c r="L101" s="284">
        <v>9</v>
      </c>
      <c r="M101" s="393" t="s">
        <v>346</v>
      </c>
      <c r="N101" s="286"/>
      <c r="O101" s="433"/>
      <c r="P101" s="342"/>
      <c r="Q101" s="287"/>
      <c r="R101" s="469"/>
      <c r="S101" s="500"/>
      <c r="T101" s="411" t="str">
        <f t="shared" si="10"/>
        <v/>
      </c>
      <c r="U101" s="396">
        <f t="shared" si="12"/>
        <v>0</v>
      </c>
      <c r="V101" s="669"/>
      <c r="W101" s="453"/>
      <c r="X101" s="657"/>
    </row>
    <row r="102" spans="1:24" ht="15" customHeight="1">
      <c r="B102" s="284">
        <v>9</v>
      </c>
      <c r="C102" s="392"/>
      <c r="D102" s="286"/>
      <c r="E102" s="306"/>
      <c r="F102" s="342"/>
      <c r="G102" s="287"/>
      <c r="H102" s="550"/>
      <c r="I102" s="692"/>
      <c r="J102" s="660"/>
      <c r="K102" s="192"/>
      <c r="L102" s="284">
        <v>9</v>
      </c>
      <c r="M102" s="393" t="s">
        <v>346</v>
      </c>
      <c r="N102" s="286"/>
      <c r="O102" s="433"/>
      <c r="P102" s="342"/>
      <c r="Q102" s="287"/>
      <c r="R102" s="469"/>
      <c r="S102" s="500"/>
      <c r="T102" s="411" t="str">
        <f t="shared" si="10"/>
        <v/>
      </c>
      <c r="U102" s="396">
        <f t="shared" si="12"/>
        <v>0</v>
      </c>
      <c r="V102" s="669"/>
      <c r="W102" s="453"/>
      <c r="X102" s="657"/>
    </row>
    <row r="103" spans="1:24" ht="15" customHeight="1" thickBot="1">
      <c r="B103" s="220">
        <v>9</v>
      </c>
      <c r="C103" s="336"/>
      <c r="D103" s="233"/>
      <c r="E103" s="222"/>
      <c r="F103" s="357"/>
      <c r="G103" s="234"/>
      <c r="H103" s="551"/>
      <c r="I103" s="693"/>
      <c r="J103" s="661"/>
      <c r="K103" s="267"/>
      <c r="L103" s="220">
        <v>9</v>
      </c>
      <c r="M103" s="339" t="s">
        <v>346</v>
      </c>
      <c r="N103" s="233"/>
      <c r="O103" s="434"/>
      <c r="P103" s="357"/>
      <c r="Q103" s="234"/>
      <c r="R103" s="470"/>
      <c r="S103" s="501"/>
      <c r="T103" s="412" t="str">
        <f t="shared" si="10"/>
        <v/>
      </c>
      <c r="U103" s="397">
        <f t="shared" si="12"/>
        <v>0</v>
      </c>
      <c r="V103" s="670"/>
      <c r="W103" s="454"/>
      <c r="X103" s="658"/>
    </row>
    <row r="104" spans="1:24" ht="14.4" thickBot="1">
      <c r="A104" s="4"/>
      <c r="B104" s="194"/>
      <c r="C104" s="211"/>
      <c r="D104" s="212"/>
      <c r="E104" s="195"/>
      <c r="F104" s="353"/>
      <c r="G104" s="196"/>
      <c r="H104" s="552"/>
      <c r="I104" s="546"/>
      <c r="J104" s="303"/>
      <c r="K104" s="4"/>
      <c r="L104" s="194"/>
      <c r="M104" s="211"/>
      <c r="N104" s="212"/>
      <c r="O104" s="435"/>
      <c r="P104" s="353"/>
      <c r="Q104" s="196"/>
      <c r="R104" s="471"/>
      <c r="S104" s="502"/>
      <c r="T104" s="413" t="str">
        <f t="shared" si="10"/>
        <v/>
      </c>
      <c r="U104" s="402"/>
      <c r="V104" s="384"/>
      <c r="W104" s="455"/>
      <c r="X104" s="546"/>
    </row>
    <row r="105" spans="1:24" ht="14.25" customHeight="1">
      <c r="B105" s="173">
        <v>10</v>
      </c>
      <c r="C105" s="174" t="s">
        <v>350</v>
      </c>
      <c r="D105" s="174" t="s">
        <v>289</v>
      </c>
      <c r="E105" s="175"/>
      <c r="F105" s="367"/>
      <c r="G105" s="242">
        <f>D180</f>
        <v>8500</v>
      </c>
      <c r="H105" s="560">
        <f>H92</f>
        <v>46069</v>
      </c>
      <c r="I105" s="662">
        <f>SUM(G105:G119)</f>
        <v>39318.666666666664</v>
      </c>
      <c r="J105" s="665">
        <f>F180+F183+F184+F182+F181</f>
        <v>43687.407407407409</v>
      </c>
      <c r="K105" s="243"/>
      <c r="L105" s="173">
        <v>10</v>
      </c>
      <c r="M105" s="332" t="s">
        <v>351</v>
      </c>
      <c r="N105" s="174"/>
      <c r="O105" s="443"/>
      <c r="P105" s="367"/>
      <c r="Q105" s="242"/>
      <c r="R105" s="481"/>
      <c r="S105" s="511"/>
      <c r="T105" s="422" t="str">
        <f t="shared" si="10"/>
        <v/>
      </c>
      <c r="U105" s="407">
        <f t="shared" ref="U105:U118" si="14">(Q105/$X$105*$J$105)</f>
        <v>0</v>
      </c>
      <c r="V105" s="671">
        <f>J105-SUM(U105:U119)</f>
        <v>0</v>
      </c>
      <c r="W105" s="463"/>
      <c r="X105" s="662">
        <f>SUM(Q105:Q119)</f>
        <v>22311.8</v>
      </c>
    </row>
    <row r="106" spans="1:24" ht="14.25" customHeight="1">
      <c r="B106" s="244">
        <v>10</v>
      </c>
      <c r="C106" s="245"/>
      <c r="D106" s="245" t="s">
        <v>290</v>
      </c>
      <c r="E106" s="246"/>
      <c r="F106" s="368"/>
      <c r="G106" s="247">
        <f>D184</f>
        <v>12818.666666666666</v>
      </c>
      <c r="H106" s="561">
        <f>H92</f>
        <v>46069</v>
      </c>
      <c r="I106" s="663"/>
      <c r="J106" s="666"/>
      <c r="K106" s="176"/>
      <c r="L106" s="244">
        <v>10</v>
      </c>
      <c r="M106" s="333" t="s">
        <v>351</v>
      </c>
      <c r="N106" s="245"/>
      <c r="O106" s="444"/>
      <c r="P106" s="368"/>
      <c r="Q106" s="247"/>
      <c r="R106" s="482"/>
      <c r="S106" s="512"/>
      <c r="T106" s="423" t="str">
        <f t="shared" si="10"/>
        <v/>
      </c>
      <c r="U106" s="522">
        <f t="shared" si="14"/>
        <v>0</v>
      </c>
      <c r="V106" s="672"/>
      <c r="W106" s="464"/>
      <c r="X106" s="663"/>
    </row>
    <row r="107" spans="1:24" ht="14.25" customHeight="1">
      <c r="B107" s="244">
        <v>10</v>
      </c>
      <c r="C107" s="245"/>
      <c r="D107" s="245" t="s">
        <v>352</v>
      </c>
      <c r="E107" s="246"/>
      <c r="F107" s="368"/>
      <c r="G107" s="247">
        <f>D183</f>
        <v>18000</v>
      </c>
      <c r="H107" s="561">
        <f>H92</f>
        <v>46069</v>
      </c>
      <c r="I107" s="663"/>
      <c r="J107" s="666"/>
      <c r="K107" s="176"/>
      <c r="L107" s="244">
        <v>10</v>
      </c>
      <c r="M107" s="333" t="s">
        <v>351</v>
      </c>
      <c r="N107" s="245"/>
      <c r="O107" s="444"/>
      <c r="P107" s="368"/>
      <c r="Q107" s="247"/>
      <c r="R107" s="482"/>
      <c r="S107" s="512"/>
      <c r="T107" s="423" t="str">
        <f t="shared" si="10"/>
        <v/>
      </c>
      <c r="U107" s="408">
        <f t="shared" si="14"/>
        <v>0</v>
      </c>
      <c r="V107" s="672"/>
      <c r="W107" s="464"/>
      <c r="X107" s="663"/>
    </row>
    <row r="108" spans="1:24" ht="14.25" customHeight="1">
      <c r="B108" s="244">
        <v>10</v>
      </c>
      <c r="C108" s="245"/>
      <c r="D108" s="245" t="s">
        <v>291</v>
      </c>
      <c r="E108" s="246"/>
      <c r="F108" s="368"/>
      <c r="G108" s="247">
        <f>D182</f>
        <v>0</v>
      </c>
      <c r="H108" s="561">
        <f>H92</f>
        <v>46069</v>
      </c>
      <c r="I108" s="663"/>
      <c r="J108" s="666"/>
      <c r="K108" s="176"/>
      <c r="L108" s="244">
        <v>10</v>
      </c>
      <c r="M108" s="333" t="s">
        <v>351</v>
      </c>
      <c r="N108" s="245"/>
      <c r="O108" s="444"/>
      <c r="P108" s="368"/>
      <c r="Q108" s="247"/>
      <c r="R108" s="482"/>
      <c r="S108" s="512"/>
      <c r="T108" s="423" t="str">
        <f t="shared" si="10"/>
        <v/>
      </c>
      <c r="U108" s="408">
        <f t="shared" si="14"/>
        <v>0</v>
      </c>
      <c r="V108" s="672"/>
      <c r="W108" s="464"/>
      <c r="X108" s="663"/>
    </row>
    <row r="109" spans="1:24" ht="14.25" customHeight="1">
      <c r="B109" s="244">
        <v>10</v>
      </c>
      <c r="C109" s="245"/>
      <c r="D109" s="245"/>
      <c r="E109" s="246"/>
      <c r="F109" s="368"/>
      <c r="G109" s="247"/>
      <c r="H109" s="562"/>
      <c r="I109" s="663"/>
      <c r="J109" s="666"/>
      <c r="K109" s="176"/>
      <c r="L109" s="244">
        <v>10</v>
      </c>
      <c r="M109" s="333" t="s">
        <v>351</v>
      </c>
      <c r="N109" s="245" t="s">
        <v>316</v>
      </c>
      <c r="O109" s="493">
        <f>SUM(Z34:Z38)</f>
        <v>22311.8</v>
      </c>
      <c r="P109" s="451">
        <v>0.1</v>
      </c>
      <c r="Q109" s="247">
        <f>$O$109*P109</f>
        <v>2231.1799999999998</v>
      </c>
      <c r="R109" s="674" t="s">
        <v>317</v>
      </c>
      <c r="S109" s="513" t="str">
        <f>S93</f>
        <v>BDL Solar- IN000763</v>
      </c>
      <c r="T109" s="562">
        <f>T93</f>
        <v>46022</v>
      </c>
      <c r="U109" s="639">
        <v>4368.7407407407409</v>
      </c>
      <c r="V109" s="672"/>
      <c r="W109" s="627">
        <f>W93</f>
        <v>46003</v>
      </c>
      <c r="X109" s="663"/>
    </row>
    <row r="110" spans="1:24" ht="14.25" customHeight="1">
      <c r="B110" s="244">
        <v>10</v>
      </c>
      <c r="C110" s="245"/>
      <c r="D110" s="245"/>
      <c r="E110" s="246"/>
      <c r="F110" s="368"/>
      <c r="G110" s="247"/>
      <c r="H110" s="562"/>
      <c r="I110" s="663"/>
      <c r="J110" s="666"/>
      <c r="K110" s="176"/>
      <c r="L110" s="244">
        <v>10</v>
      </c>
      <c r="M110" s="333" t="s">
        <v>351</v>
      </c>
      <c r="N110" s="245" t="s">
        <v>153</v>
      </c>
      <c r="O110" s="444"/>
      <c r="P110" s="451">
        <v>0.15</v>
      </c>
      <c r="Q110" s="247">
        <f t="shared" ref="Q110:Q116" si="15">$O$109*P110</f>
        <v>3346.77</v>
      </c>
      <c r="R110" s="675"/>
      <c r="S110" s="518" t="str">
        <f>S94</f>
        <v>BDL Solar- IN000764</v>
      </c>
      <c r="T110" s="562">
        <f t="shared" ref="T110:T116" si="16">T94</f>
        <v>46022</v>
      </c>
      <c r="U110" s="639">
        <v>6553.1111111111113</v>
      </c>
      <c r="V110" s="672"/>
      <c r="W110" s="627">
        <f t="shared" ref="W110:W116" si="17">W94</f>
        <v>46003</v>
      </c>
      <c r="X110" s="663"/>
    </row>
    <row r="111" spans="1:24" ht="14.25" customHeight="1">
      <c r="B111" s="244">
        <v>10</v>
      </c>
      <c r="C111" s="245"/>
      <c r="D111" s="245"/>
      <c r="E111" s="246"/>
      <c r="F111" s="368"/>
      <c r="G111" s="247"/>
      <c r="H111" s="562"/>
      <c r="I111" s="663"/>
      <c r="J111" s="666"/>
      <c r="K111" s="176"/>
      <c r="L111" s="244">
        <v>10</v>
      </c>
      <c r="M111" s="333" t="s">
        <v>351</v>
      </c>
      <c r="N111" s="245" t="s">
        <v>319</v>
      </c>
      <c r="O111" s="444"/>
      <c r="P111" s="451">
        <v>0.2</v>
      </c>
      <c r="Q111" s="247">
        <f t="shared" si="15"/>
        <v>4462.3599999999997</v>
      </c>
      <c r="R111" s="675"/>
      <c r="S111" s="518" t="s">
        <v>445</v>
      </c>
      <c r="T111" s="562">
        <f t="shared" si="16"/>
        <v>46081</v>
      </c>
      <c r="U111" s="408">
        <f t="shared" si="14"/>
        <v>8737.4814814814818</v>
      </c>
      <c r="V111" s="672"/>
      <c r="W111" s="465">
        <f t="shared" si="17"/>
        <v>46081</v>
      </c>
      <c r="X111" s="663"/>
    </row>
    <row r="112" spans="1:24" ht="14.25" customHeight="1">
      <c r="B112" s="244">
        <v>10</v>
      </c>
      <c r="C112" s="245"/>
      <c r="D112" s="245"/>
      <c r="E112" s="246"/>
      <c r="F112" s="368"/>
      <c r="G112" s="247"/>
      <c r="H112" s="562"/>
      <c r="I112" s="663"/>
      <c r="J112" s="666"/>
      <c r="K112" s="176"/>
      <c r="L112" s="244">
        <v>10</v>
      </c>
      <c r="M112" s="333" t="s">
        <v>351</v>
      </c>
      <c r="N112" s="245" t="s">
        <v>321</v>
      </c>
      <c r="O112" s="444"/>
      <c r="P112" s="451">
        <v>0.25</v>
      </c>
      <c r="Q112" s="247">
        <f t="shared" si="15"/>
        <v>5577.95</v>
      </c>
      <c r="R112" s="675"/>
      <c r="S112" s="518" t="s">
        <v>446</v>
      </c>
      <c r="T112" s="562">
        <f t="shared" si="16"/>
        <v>46081</v>
      </c>
      <c r="U112" s="408">
        <f t="shared" si="14"/>
        <v>10921.851851851852</v>
      </c>
      <c r="V112" s="672"/>
      <c r="W112" s="465">
        <f t="shared" si="17"/>
        <v>46081</v>
      </c>
      <c r="X112" s="663"/>
    </row>
    <row r="113" spans="1:24" ht="14.25" customHeight="1">
      <c r="B113" s="244">
        <v>10</v>
      </c>
      <c r="C113" s="245"/>
      <c r="D113" s="245"/>
      <c r="E113" s="246"/>
      <c r="F113" s="368"/>
      <c r="G113" s="247"/>
      <c r="H113" s="562"/>
      <c r="I113" s="663"/>
      <c r="J113" s="666"/>
      <c r="K113" s="176"/>
      <c r="L113" s="244">
        <v>10</v>
      </c>
      <c r="M113" s="333" t="s">
        <v>351</v>
      </c>
      <c r="N113" s="245" t="s">
        <v>322</v>
      </c>
      <c r="O113" s="444"/>
      <c r="P113" s="451">
        <v>0.1</v>
      </c>
      <c r="Q113" s="247">
        <f t="shared" si="15"/>
        <v>2231.1799999999998</v>
      </c>
      <c r="R113" s="675"/>
      <c r="S113" s="518" t="s">
        <v>447</v>
      </c>
      <c r="T113" s="562">
        <f t="shared" si="16"/>
        <v>46081</v>
      </c>
      <c r="U113" s="408">
        <f t="shared" si="14"/>
        <v>4368.7407407407409</v>
      </c>
      <c r="V113" s="672"/>
      <c r="W113" s="465">
        <f t="shared" si="17"/>
        <v>46081</v>
      </c>
      <c r="X113" s="663"/>
    </row>
    <row r="114" spans="1:24" ht="14.25" customHeight="1">
      <c r="B114" s="244">
        <v>10</v>
      </c>
      <c r="C114" s="245"/>
      <c r="D114" s="245"/>
      <c r="E114" s="246"/>
      <c r="F114" s="368"/>
      <c r="G114" s="247"/>
      <c r="H114" s="562"/>
      <c r="I114" s="663"/>
      <c r="J114" s="666"/>
      <c r="K114" s="176"/>
      <c r="L114" s="244">
        <v>10</v>
      </c>
      <c r="M114" s="333" t="s">
        <v>351</v>
      </c>
      <c r="N114" s="245" t="s">
        <v>323</v>
      </c>
      <c r="O114" s="444"/>
      <c r="P114" s="451">
        <v>0.1</v>
      </c>
      <c r="Q114" s="247">
        <f t="shared" si="15"/>
        <v>2231.1799999999998</v>
      </c>
      <c r="R114" s="675"/>
      <c r="S114" s="518" t="s">
        <v>448</v>
      </c>
      <c r="T114" s="562">
        <f t="shared" si="16"/>
        <v>46081</v>
      </c>
      <c r="U114" s="408">
        <f t="shared" si="14"/>
        <v>4368.7407407407409</v>
      </c>
      <c r="V114" s="672"/>
      <c r="W114" s="465">
        <f t="shared" si="17"/>
        <v>46081</v>
      </c>
      <c r="X114" s="663"/>
    </row>
    <row r="115" spans="1:24" ht="14.25" customHeight="1">
      <c r="B115" s="244">
        <v>10</v>
      </c>
      <c r="C115" s="245"/>
      <c r="D115" s="245"/>
      <c r="E115" s="246"/>
      <c r="F115" s="368"/>
      <c r="G115" s="247"/>
      <c r="H115" s="562"/>
      <c r="I115" s="663"/>
      <c r="J115" s="666"/>
      <c r="K115" s="176"/>
      <c r="L115" s="244">
        <v>10</v>
      </c>
      <c r="M115" s="333" t="s">
        <v>351</v>
      </c>
      <c r="N115" s="245" t="s">
        <v>324</v>
      </c>
      <c r="O115" s="444"/>
      <c r="P115" s="451">
        <v>0.05</v>
      </c>
      <c r="Q115" s="247">
        <f t="shared" si="15"/>
        <v>1115.5899999999999</v>
      </c>
      <c r="R115" s="675"/>
      <c r="S115" s="518" t="s">
        <v>449</v>
      </c>
      <c r="T115" s="562">
        <f t="shared" si="16"/>
        <v>46081</v>
      </c>
      <c r="U115" s="408">
        <f t="shared" si="14"/>
        <v>2184.3703703703704</v>
      </c>
      <c r="V115" s="672"/>
      <c r="W115" s="465">
        <f t="shared" si="17"/>
        <v>46081</v>
      </c>
      <c r="X115" s="663"/>
    </row>
    <row r="116" spans="1:24" ht="14.25" customHeight="1">
      <c r="B116" s="244">
        <v>10</v>
      </c>
      <c r="C116" s="245"/>
      <c r="D116" s="245"/>
      <c r="E116" s="246"/>
      <c r="F116" s="368"/>
      <c r="G116" s="247"/>
      <c r="H116" s="562"/>
      <c r="I116" s="663"/>
      <c r="J116" s="666"/>
      <c r="K116" s="176"/>
      <c r="L116" s="244">
        <v>10</v>
      </c>
      <c r="M116" s="333" t="s">
        <v>351</v>
      </c>
      <c r="N116" s="245" t="s">
        <v>325</v>
      </c>
      <c r="O116" s="444"/>
      <c r="P116" s="451">
        <v>0.05</v>
      </c>
      <c r="Q116" s="247">
        <f t="shared" si="15"/>
        <v>1115.5899999999999</v>
      </c>
      <c r="R116" s="676"/>
      <c r="S116" s="518" t="s">
        <v>450</v>
      </c>
      <c r="T116" s="562">
        <f t="shared" si="16"/>
        <v>46081</v>
      </c>
      <c r="U116" s="408">
        <f t="shared" si="14"/>
        <v>2184.3703703703704</v>
      </c>
      <c r="V116" s="672"/>
      <c r="W116" s="465">
        <f t="shared" si="17"/>
        <v>46081</v>
      </c>
      <c r="X116" s="663"/>
    </row>
    <row r="117" spans="1:24" ht="14.25" customHeight="1">
      <c r="B117" s="244">
        <v>10</v>
      </c>
      <c r="C117" s="245"/>
      <c r="D117" s="245"/>
      <c r="E117" s="246"/>
      <c r="F117" s="368"/>
      <c r="G117" s="247"/>
      <c r="H117" s="562"/>
      <c r="I117" s="663"/>
      <c r="J117" s="666"/>
      <c r="K117" s="176"/>
      <c r="L117" s="244">
        <v>10</v>
      </c>
      <c r="M117" s="333" t="s">
        <v>351</v>
      </c>
      <c r="N117" s="245"/>
      <c r="O117" s="444"/>
      <c r="P117" s="368"/>
      <c r="Q117" s="247"/>
      <c r="R117" s="483"/>
      <c r="S117" s="513"/>
      <c r="T117" s="424" t="str">
        <f t="shared" si="10"/>
        <v/>
      </c>
      <c r="U117" s="408">
        <f t="shared" si="14"/>
        <v>0</v>
      </c>
      <c r="V117" s="672"/>
      <c r="W117" s="465"/>
      <c r="X117" s="663"/>
    </row>
    <row r="118" spans="1:24" ht="14.25" customHeight="1">
      <c r="B118" s="244">
        <v>10</v>
      </c>
      <c r="C118" s="245"/>
      <c r="D118" s="245"/>
      <c r="E118" s="246"/>
      <c r="F118" s="368"/>
      <c r="G118" s="247"/>
      <c r="H118" s="562"/>
      <c r="I118" s="663"/>
      <c r="J118" s="666"/>
      <c r="K118" s="176"/>
      <c r="L118" s="244">
        <v>10</v>
      </c>
      <c r="M118" s="333" t="s">
        <v>351</v>
      </c>
      <c r="N118" s="245"/>
      <c r="O118" s="444"/>
      <c r="P118" s="368"/>
      <c r="Q118" s="247"/>
      <c r="R118" s="483"/>
      <c r="S118" s="513"/>
      <c r="T118" s="424" t="str">
        <f t="shared" si="10"/>
        <v/>
      </c>
      <c r="U118" s="408">
        <f t="shared" si="14"/>
        <v>0</v>
      </c>
      <c r="V118" s="672"/>
      <c r="W118" s="465"/>
      <c r="X118" s="663"/>
    </row>
    <row r="119" spans="1:24" ht="15" customHeight="1" thickBot="1">
      <c r="B119" s="177">
        <v>10</v>
      </c>
      <c r="C119" s="248"/>
      <c r="D119" s="248"/>
      <c r="E119" s="249"/>
      <c r="F119" s="369"/>
      <c r="G119" s="178"/>
      <c r="H119" s="563"/>
      <c r="I119" s="664"/>
      <c r="J119" s="667"/>
      <c r="K119" s="179"/>
      <c r="L119" s="177">
        <v>10</v>
      </c>
      <c r="M119" s="334" t="s">
        <v>351</v>
      </c>
      <c r="N119" s="248"/>
      <c r="O119" s="445"/>
      <c r="P119" s="369"/>
      <c r="Q119" s="178"/>
      <c r="R119" s="484"/>
      <c r="S119" s="514"/>
      <c r="T119" s="425" t="str">
        <f t="shared" si="10"/>
        <v/>
      </c>
      <c r="U119" s="409"/>
      <c r="V119" s="673"/>
      <c r="W119" s="466"/>
      <c r="X119" s="664"/>
    </row>
    <row r="120" spans="1:24" ht="14.4" thickBot="1">
      <c r="A120" s="4"/>
      <c r="B120" s="180"/>
      <c r="C120" s="181"/>
      <c r="D120" s="181"/>
      <c r="E120" s="195"/>
      <c r="F120" s="353"/>
      <c r="G120" s="183"/>
      <c r="H120" s="555"/>
      <c r="I120" s="546"/>
      <c r="J120" s="303"/>
      <c r="K120" s="4"/>
      <c r="L120" s="180"/>
      <c r="M120" s="181"/>
      <c r="N120" s="181"/>
      <c r="O120" s="435"/>
      <c r="P120" s="353"/>
      <c r="Q120" s="533"/>
      <c r="R120" s="476"/>
      <c r="S120" s="507"/>
      <c r="T120" s="413" t="str">
        <f t="shared" si="10"/>
        <v/>
      </c>
      <c r="U120" s="398"/>
      <c r="V120" s="385"/>
      <c r="W120" s="455"/>
      <c r="X120" s="546"/>
    </row>
    <row r="121" spans="1:24" ht="14.25" customHeight="1">
      <c r="B121" s="185">
        <v>11</v>
      </c>
      <c r="C121" s="186" t="s">
        <v>353</v>
      </c>
      <c r="D121" s="255" t="s">
        <v>354</v>
      </c>
      <c r="E121" s="187"/>
      <c r="F121" s="335"/>
      <c r="G121" s="188">
        <v>11000</v>
      </c>
      <c r="H121" s="541">
        <f>'Project Plan'!G39</f>
        <v>46071</v>
      </c>
      <c r="I121" s="656">
        <f>SUM(G121:G125)</f>
        <v>29000</v>
      </c>
      <c r="J121" s="659">
        <f>F179</f>
        <v>32222.222222222223</v>
      </c>
      <c r="K121" s="189"/>
      <c r="L121" s="185">
        <v>11</v>
      </c>
      <c r="M121" s="255" t="s">
        <v>355</v>
      </c>
      <c r="N121" s="255" t="s">
        <v>354</v>
      </c>
      <c r="O121" s="187"/>
      <c r="P121" s="335"/>
      <c r="Q121" s="188">
        <v>12577.5</v>
      </c>
      <c r="R121" s="534"/>
      <c r="S121" s="506"/>
      <c r="T121" s="417">
        <f t="shared" si="10"/>
        <v>46081</v>
      </c>
      <c r="U121" s="396">
        <f>(Q121/$X$121*$J$121)</f>
        <v>21815.368052751983</v>
      </c>
      <c r="V121" s="668">
        <f>J121-SUM(U121:U125)</f>
        <v>0</v>
      </c>
      <c r="W121" s="459">
        <f>'Project Plan'!K39+14</f>
        <v>46073</v>
      </c>
      <c r="X121" s="656">
        <f>SUM(Q121:Q125)</f>
        <v>18577.5</v>
      </c>
    </row>
    <row r="122" spans="1:24" ht="15" customHeight="1">
      <c r="B122" s="215">
        <v>11</v>
      </c>
      <c r="C122" s="217"/>
      <c r="D122" s="217" t="s">
        <v>356</v>
      </c>
      <c r="E122" s="218"/>
      <c r="F122" s="356"/>
      <c r="G122" s="219">
        <v>18000</v>
      </c>
      <c r="H122" s="541">
        <f>H121</f>
        <v>46071</v>
      </c>
      <c r="I122" s="657"/>
      <c r="J122" s="660"/>
      <c r="K122" s="192"/>
      <c r="L122" s="215">
        <v>11</v>
      </c>
      <c r="M122" s="290" t="s">
        <v>355</v>
      </c>
      <c r="N122" s="217" t="s">
        <v>357</v>
      </c>
      <c r="O122" s="218"/>
      <c r="P122" s="356"/>
      <c r="Q122" s="219">
        <v>0</v>
      </c>
      <c r="R122" s="516"/>
      <c r="S122" s="499"/>
      <c r="T122" s="410"/>
      <c r="U122" s="396">
        <f>(Q122/$X$121*$J$121)</f>
        <v>0</v>
      </c>
      <c r="V122" s="669"/>
      <c r="W122" s="452"/>
      <c r="X122" s="657"/>
    </row>
    <row r="123" spans="1:24" ht="15" customHeight="1">
      <c r="B123" s="215">
        <v>11</v>
      </c>
      <c r="C123" s="217"/>
      <c r="D123" s="217" t="s">
        <v>358</v>
      </c>
      <c r="E123" s="218"/>
      <c r="F123" s="356"/>
      <c r="G123" s="219">
        <v>0</v>
      </c>
      <c r="H123" s="541"/>
      <c r="I123" s="657"/>
      <c r="J123" s="660"/>
      <c r="K123" s="192"/>
      <c r="L123" s="215">
        <v>11</v>
      </c>
      <c r="M123" s="290" t="s">
        <v>355</v>
      </c>
      <c r="N123" s="217"/>
      <c r="O123" s="218"/>
      <c r="P123" s="356"/>
      <c r="Q123" s="219"/>
      <c r="R123" s="468"/>
      <c r="S123" s="499"/>
      <c r="T123" s="410"/>
      <c r="U123" s="396">
        <f>(Q123/$X$121*$J$121)</f>
        <v>0</v>
      </c>
      <c r="V123" s="669"/>
      <c r="W123" s="452"/>
      <c r="X123" s="657"/>
    </row>
    <row r="124" spans="1:24" ht="15" customHeight="1">
      <c r="B124" s="215">
        <v>11</v>
      </c>
      <c r="C124" s="288"/>
      <c r="D124" s="288"/>
      <c r="E124" s="306"/>
      <c r="F124" s="342"/>
      <c r="G124" s="287"/>
      <c r="H124" s="550"/>
      <c r="I124" s="657"/>
      <c r="J124" s="660"/>
      <c r="K124" s="192"/>
      <c r="L124" s="215">
        <v>11</v>
      </c>
      <c r="M124" s="290" t="s">
        <v>355</v>
      </c>
      <c r="N124" s="288" t="s">
        <v>359</v>
      </c>
      <c r="O124" s="433"/>
      <c r="P124" s="342"/>
      <c r="Q124" s="287">
        <v>6000</v>
      </c>
      <c r="R124" s="469"/>
      <c r="S124" s="500"/>
      <c r="T124" s="410">
        <f t="shared" si="10"/>
        <v>46081</v>
      </c>
      <c r="U124" s="396">
        <f>(Q124/$X$121*$J$121)</f>
        <v>10406.854169470236</v>
      </c>
      <c r="V124" s="669"/>
      <c r="W124" s="453">
        <v>46081</v>
      </c>
      <c r="X124" s="657"/>
    </row>
    <row r="125" spans="1:24" ht="15" customHeight="1" thickBot="1">
      <c r="B125" s="220">
        <v>11</v>
      </c>
      <c r="C125" s="221"/>
      <c r="D125" s="221"/>
      <c r="E125" s="222"/>
      <c r="F125" s="357"/>
      <c r="G125" s="234"/>
      <c r="H125" s="551"/>
      <c r="I125" s="658"/>
      <c r="J125" s="661"/>
      <c r="K125" s="193"/>
      <c r="L125" s="220">
        <v>11</v>
      </c>
      <c r="M125" s="317" t="s">
        <v>355</v>
      </c>
      <c r="N125" s="221"/>
      <c r="O125" s="222"/>
      <c r="P125" s="357"/>
      <c r="Q125" s="234"/>
      <c r="R125" s="470"/>
      <c r="S125" s="501"/>
      <c r="T125" s="412" t="str">
        <f t="shared" si="10"/>
        <v/>
      </c>
      <c r="U125" s="397">
        <f>(Q125/$X$121*$J$121)</f>
        <v>0</v>
      </c>
      <c r="V125" s="670"/>
      <c r="W125" s="454"/>
      <c r="X125" s="658"/>
    </row>
    <row r="126" spans="1:24" ht="15" customHeight="1" thickBot="1">
      <c r="A126" s="4"/>
      <c r="B126" s="194"/>
      <c r="C126" s="181"/>
      <c r="D126" s="181"/>
      <c r="E126" s="195"/>
      <c r="F126" s="353"/>
      <c r="G126" s="196"/>
      <c r="H126" s="552"/>
      <c r="I126" s="546"/>
      <c r="J126" s="184"/>
      <c r="K126" s="4"/>
      <c r="L126" s="194"/>
      <c r="M126" s="181"/>
      <c r="N126" s="181"/>
      <c r="O126" s="435"/>
      <c r="P126" s="353"/>
      <c r="Q126" s="196"/>
      <c r="R126" s="471"/>
      <c r="S126" s="502"/>
      <c r="T126" s="413" t="str">
        <f t="shared" si="10"/>
        <v/>
      </c>
      <c r="U126" s="402"/>
      <c r="V126" s="384"/>
      <c r="W126" s="455"/>
      <c r="X126" s="546"/>
    </row>
    <row r="127" spans="1:24">
      <c r="B127" s="173">
        <v>12</v>
      </c>
      <c r="C127" s="174" t="s">
        <v>360</v>
      </c>
      <c r="D127" s="174" t="s">
        <v>361</v>
      </c>
      <c r="E127" s="175"/>
      <c r="F127" s="367"/>
      <c r="G127" s="242">
        <v>0</v>
      </c>
      <c r="H127" s="560"/>
      <c r="I127" s="662">
        <f>SUM(G127:G128)</f>
        <v>0</v>
      </c>
      <c r="J127" s="665">
        <v>0</v>
      </c>
      <c r="K127" s="680"/>
      <c r="L127" s="173">
        <v>12</v>
      </c>
      <c r="M127" s="174" t="s">
        <v>362</v>
      </c>
      <c r="N127" s="174" t="s">
        <v>361</v>
      </c>
      <c r="O127" s="443"/>
      <c r="P127" s="367"/>
      <c r="Q127" s="242">
        <f>G127</f>
        <v>0</v>
      </c>
      <c r="R127" s="481"/>
      <c r="S127" s="511"/>
      <c r="T127" s="422" t="str">
        <f t="shared" si="10"/>
        <v/>
      </c>
      <c r="U127" s="407"/>
      <c r="V127" s="383"/>
      <c r="W127" s="463"/>
      <c r="X127" s="662">
        <f>SUM(Q127:Q128)</f>
        <v>0</v>
      </c>
    </row>
    <row r="128" spans="1:24" ht="15" customHeight="1" thickBot="1">
      <c r="B128" s="177">
        <v>12</v>
      </c>
      <c r="C128" s="248" t="s">
        <v>360</v>
      </c>
      <c r="D128" s="248"/>
      <c r="E128" s="249"/>
      <c r="F128" s="369"/>
      <c r="G128" s="178"/>
      <c r="H128" s="563"/>
      <c r="I128" s="664"/>
      <c r="J128" s="667"/>
      <c r="K128" s="681"/>
      <c r="L128" s="177">
        <v>12</v>
      </c>
      <c r="M128" s="248" t="s">
        <v>362</v>
      </c>
      <c r="N128" s="248"/>
      <c r="O128" s="445"/>
      <c r="P128" s="369"/>
      <c r="Q128" s="178"/>
      <c r="R128" s="484"/>
      <c r="S128" s="514"/>
      <c r="T128" s="425" t="str">
        <f t="shared" si="10"/>
        <v/>
      </c>
      <c r="U128" s="409"/>
      <c r="V128" s="382"/>
      <c r="W128" s="466"/>
      <c r="X128" s="664"/>
    </row>
    <row r="129" spans="1:24" ht="14.4" thickBot="1">
      <c r="A129" s="4"/>
      <c r="B129" s="194"/>
      <c r="C129" s="181"/>
      <c r="D129" s="181"/>
      <c r="E129" s="195"/>
      <c r="F129" s="353"/>
      <c r="G129" s="196"/>
      <c r="H129" s="552"/>
      <c r="I129" s="547"/>
      <c r="J129" s="230"/>
      <c r="K129" s="4"/>
      <c r="L129" s="194"/>
      <c r="M129" s="181"/>
      <c r="N129" s="181"/>
      <c r="O129" s="435"/>
      <c r="P129" s="353"/>
      <c r="Q129" s="196"/>
      <c r="R129" s="471"/>
      <c r="S129" s="502"/>
      <c r="T129" s="413" t="str">
        <f t="shared" si="10"/>
        <v/>
      </c>
      <c r="U129" s="402"/>
      <c r="V129" s="384"/>
      <c r="W129" s="455"/>
      <c r="X129" s="547"/>
    </row>
    <row r="130" spans="1:24" ht="15.75" customHeight="1">
      <c r="B130" s="185">
        <v>13</v>
      </c>
      <c r="C130" s="186" t="s">
        <v>363</v>
      </c>
      <c r="D130" s="255" t="s">
        <v>364</v>
      </c>
      <c r="E130" s="187"/>
      <c r="F130" s="335"/>
      <c r="G130" s="188">
        <f>D178</f>
        <v>13306.77253115942</v>
      </c>
      <c r="H130" s="541">
        <f>'Project Plan'!G48</f>
        <v>46085</v>
      </c>
      <c r="I130" s="656">
        <f>SUM(G130:G134)</f>
        <v>13306.77253115942</v>
      </c>
      <c r="J130" s="659">
        <f>F178</f>
        <v>15121.332421772069</v>
      </c>
      <c r="K130" s="189"/>
      <c r="L130" s="185">
        <v>13</v>
      </c>
      <c r="M130" s="255" t="s">
        <v>365</v>
      </c>
      <c r="N130" s="255" t="s">
        <v>366</v>
      </c>
      <c r="O130" s="431"/>
      <c r="P130" s="335"/>
      <c r="Q130" s="188">
        <v>0</v>
      </c>
      <c r="R130" s="475"/>
      <c r="S130" s="506" t="s">
        <v>367</v>
      </c>
      <c r="T130" s="625">
        <v>46053</v>
      </c>
      <c r="U130" s="654">
        <v>15121.332421772069</v>
      </c>
      <c r="V130" s="668">
        <f>J130-SUM(U130:U135)</f>
        <v>0</v>
      </c>
      <c r="W130" s="626">
        <v>46081</v>
      </c>
      <c r="X130" s="656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6"/>
      <c r="G131" s="219"/>
      <c r="H131" s="540"/>
      <c r="I131" s="657"/>
      <c r="J131" s="660"/>
      <c r="K131" s="192"/>
      <c r="L131" s="215">
        <v>13</v>
      </c>
      <c r="M131" s="290" t="s">
        <v>365</v>
      </c>
      <c r="N131" s="217"/>
      <c r="O131" s="432"/>
      <c r="P131" s="356"/>
      <c r="Q131" s="219"/>
      <c r="R131" s="468"/>
      <c r="S131" s="499"/>
      <c r="T131" s="410" t="str">
        <f t="shared" si="10"/>
        <v/>
      </c>
      <c r="U131" s="395">
        <v>0</v>
      </c>
      <c r="V131" s="669"/>
      <c r="W131" s="452"/>
      <c r="X131" s="657"/>
    </row>
    <row r="132" spans="1:24" ht="15.75" customHeight="1">
      <c r="B132" s="215">
        <v>13</v>
      </c>
      <c r="C132" s="217"/>
      <c r="D132" s="217"/>
      <c r="E132" s="218"/>
      <c r="F132" s="356"/>
      <c r="G132" s="219"/>
      <c r="H132" s="540"/>
      <c r="I132" s="657"/>
      <c r="J132" s="660"/>
      <c r="K132" s="192"/>
      <c r="L132" s="215">
        <v>13</v>
      </c>
      <c r="M132" s="290" t="s">
        <v>365</v>
      </c>
      <c r="N132" s="217"/>
      <c r="O132" s="432"/>
      <c r="P132" s="356"/>
      <c r="Q132" s="219"/>
      <c r="R132" s="468"/>
      <c r="S132" s="499"/>
      <c r="T132" s="410" t="str">
        <f t="shared" si="10"/>
        <v/>
      </c>
      <c r="U132" s="395">
        <v>0</v>
      </c>
      <c r="V132" s="669"/>
      <c r="W132" s="452"/>
      <c r="X132" s="657"/>
    </row>
    <row r="133" spans="1:24" ht="15.75" customHeight="1">
      <c r="B133" s="215">
        <v>13</v>
      </c>
      <c r="C133" s="217"/>
      <c r="D133" s="217"/>
      <c r="E133" s="218"/>
      <c r="F133" s="356"/>
      <c r="G133" s="219"/>
      <c r="H133" s="540"/>
      <c r="I133" s="657"/>
      <c r="J133" s="660"/>
      <c r="K133" s="192"/>
      <c r="L133" s="215">
        <v>13</v>
      </c>
      <c r="M133" s="290" t="s">
        <v>365</v>
      </c>
      <c r="N133" s="217"/>
      <c r="O133" s="432"/>
      <c r="P133" s="356"/>
      <c r="Q133" s="219"/>
      <c r="R133" s="468"/>
      <c r="S133" s="499"/>
      <c r="T133" s="410" t="str">
        <f t="shared" si="10"/>
        <v/>
      </c>
      <c r="U133" s="395">
        <v>0</v>
      </c>
      <c r="V133" s="669"/>
      <c r="W133" s="452"/>
      <c r="X133" s="657"/>
    </row>
    <row r="134" spans="1:24" ht="15.75" customHeight="1">
      <c r="B134" s="215">
        <v>13</v>
      </c>
      <c r="C134" s="217"/>
      <c r="D134" s="217"/>
      <c r="E134" s="218"/>
      <c r="F134" s="356"/>
      <c r="G134" s="219"/>
      <c r="H134" s="540"/>
      <c r="I134" s="657"/>
      <c r="J134" s="660"/>
      <c r="K134" s="192"/>
      <c r="L134" s="215">
        <v>13</v>
      </c>
      <c r="M134" s="290" t="s">
        <v>365</v>
      </c>
      <c r="N134" s="217"/>
      <c r="O134" s="432"/>
      <c r="P134" s="356"/>
      <c r="Q134" s="219"/>
      <c r="R134" s="468"/>
      <c r="S134" s="499"/>
      <c r="T134" s="410" t="str">
        <f t="shared" si="10"/>
        <v/>
      </c>
      <c r="U134" s="395">
        <v>0</v>
      </c>
      <c r="V134" s="669"/>
      <c r="W134" s="452"/>
      <c r="X134" s="657"/>
    </row>
    <row r="135" spans="1:24" ht="15.75" customHeight="1" thickBot="1">
      <c r="B135" s="220">
        <v>13</v>
      </c>
      <c r="C135" s="221"/>
      <c r="D135" s="221"/>
      <c r="E135" s="222"/>
      <c r="F135" s="357"/>
      <c r="G135" s="234"/>
      <c r="H135" s="551"/>
      <c r="I135" s="658"/>
      <c r="J135" s="661"/>
      <c r="K135" s="267"/>
      <c r="L135" s="220">
        <v>13</v>
      </c>
      <c r="M135" s="317" t="s">
        <v>365</v>
      </c>
      <c r="N135" s="221"/>
      <c r="O135" s="434"/>
      <c r="P135" s="357"/>
      <c r="Q135" s="234"/>
      <c r="R135" s="470"/>
      <c r="S135" s="501"/>
      <c r="T135" s="412" t="str">
        <f t="shared" si="10"/>
        <v/>
      </c>
      <c r="U135" s="397">
        <v>0</v>
      </c>
      <c r="V135" s="670"/>
      <c r="W135" s="454"/>
      <c r="X135" s="658"/>
    </row>
    <row r="136" spans="1:24" ht="14.4" thickBot="1">
      <c r="A136" s="4"/>
      <c r="B136" s="194"/>
      <c r="C136" s="181"/>
      <c r="D136" s="181"/>
      <c r="E136" s="195"/>
      <c r="F136" s="353"/>
      <c r="G136" s="196"/>
      <c r="H136" s="552"/>
      <c r="I136" s="546"/>
      <c r="J136" s="184"/>
      <c r="K136" s="4"/>
      <c r="L136" s="194"/>
      <c r="M136" s="181"/>
      <c r="N136" s="181"/>
      <c r="O136" s="435"/>
      <c r="P136" s="353"/>
      <c r="Q136" s="196"/>
      <c r="R136" s="471"/>
      <c r="S136" s="502"/>
      <c r="T136" s="413" t="str">
        <f t="shared" si="10"/>
        <v/>
      </c>
      <c r="U136" s="402"/>
      <c r="V136" s="384"/>
      <c r="W136" s="455"/>
      <c r="X136" s="547"/>
    </row>
    <row r="137" spans="1:24" ht="14.25" customHeight="1">
      <c r="B137" s="173">
        <v>14</v>
      </c>
      <c r="C137" s="174" t="s">
        <v>368</v>
      </c>
      <c r="D137" s="174" t="s">
        <v>369</v>
      </c>
      <c r="E137" s="175"/>
      <c r="F137" s="367"/>
      <c r="G137" s="242">
        <f>D189</f>
        <v>2625</v>
      </c>
      <c r="H137" s="560">
        <f>'Project Plan'!G48</f>
        <v>46085</v>
      </c>
      <c r="I137" s="662">
        <f>SUM(G137:G148)</f>
        <v>2625</v>
      </c>
      <c r="J137" s="665">
        <f>F189</f>
        <v>2916.6666666666665</v>
      </c>
      <c r="K137" s="243"/>
      <c r="L137" s="173">
        <v>14</v>
      </c>
      <c r="M137" s="332" t="s">
        <v>370</v>
      </c>
      <c r="N137" s="174" t="s">
        <v>371</v>
      </c>
      <c r="O137" s="443"/>
      <c r="P137" s="526"/>
      <c r="Q137" s="531">
        <v>428.4</v>
      </c>
      <c r="R137" s="528"/>
      <c r="S137" s="517" t="s">
        <v>372</v>
      </c>
      <c r="T137" s="623">
        <v>45991</v>
      </c>
      <c r="U137" s="635">
        <v>521.24397722295214</v>
      </c>
      <c r="V137" s="671">
        <f>J137-SUM(U137:U148)</f>
        <v>4.5542934590230288E-3</v>
      </c>
      <c r="W137" s="624">
        <v>45996</v>
      </c>
      <c r="X137" s="662">
        <f>SUM(Q137:Q148)</f>
        <v>3111.7799999999997</v>
      </c>
    </row>
    <row r="138" spans="1:24" ht="14.25" customHeight="1">
      <c r="B138" s="244">
        <v>14</v>
      </c>
      <c r="C138" s="245"/>
      <c r="D138" s="245"/>
      <c r="E138" s="246"/>
      <c r="F138" s="368"/>
      <c r="G138" s="247"/>
      <c r="H138" s="562"/>
      <c r="I138" s="663"/>
      <c r="J138" s="666"/>
      <c r="K138" s="176"/>
      <c r="L138" s="244">
        <v>14</v>
      </c>
      <c r="M138" s="333" t="s">
        <v>370</v>
      </c>
      <c r="N138" s="245" t="s">
        <v>371</v>
      </c>
      <c r="O138" s="444"/>
      <c r="P138" s="527"/>
      <c r="Q138" s="530">
        <v>456.96</v>
      </c>
      <c r="R138" s="529"/>
      <c r="S138" s="517" t="s">
        <v>372</v>
      </c>
      <c r="T138" s="634">
        <v>46022</v>
      </c>
      <c r="U138" s="639">
        <v>606.40805146824641</v>
      </c>
      <c r="V138" s="672"/>
      <c r="W138" s="624">
        <v>46030</v>
      </c>
      <c r="X138" s="663"/>
    </row>
    <row r="139" spans="1:24" ht="14.25" customHeight="1">
      <c r="B139" s="244">
        <v>14</v>
      </c>
      <c r="C139" s="245"/>
      <c r="D139" s="245"/>
      <c r="E139" s="246"/>
      <c r="F139" s="368"/>
      <c r="G139" s="247"/>
      <c r="H139" s="562"/>
      <c r="I139" s="663"/>
      <c r="J139" s="666"/>
      <c r="K139" s="176"/>
      <c r="L139" s="244">
        <v>14</v>
      </c>
      <c r="M139" s="333" t="s">
        <v>370</v>
      </c>
      <c r="N139" s="245" t="s">
        <v>371</v>
      </c>
      <c r="O139" s="444"/>
      <c r="P139" s="368"/>
      <c r="Q139" s="247">
        <v>913.92</v>
      </c>
      <c r="R139" s="483"/>
      <c r="S139" s="517" t="s">
        <v>372</v>
      </c>
      <c r="T139" s="634">
        <v>46053</v>
      </c>
      <c r="U139" s="639">
        <v>558.8058275970667</v>
      </c>
      <c r="V139" s="672"/>
      <c r="W139" s="624">
        <v>46058</v>
      </c>
      <c r="X139" s="663"/>
    </row>
    <row r="140" spans="1:24" ht="14.25" customHeight="1">
      <c r="B140" s="244">
        <v>14</v>
      </c>
      <c r="C140" s="245"/>
      <c r="D140" s="245"/>
      <c r="E140" s="246"/>
      <c r="F140" s="368"/>
      <c r="G140" s="247"/>
      <c r="H140" s="562"/>
      <c r="I140" s="663"/>
      <c r="J140" s="666"/>
      <c r="K140" s="176"/>
      <c r="L140" s="244">
        <v>14</v>
      </c>
      <c r="M140" s="333" t="s">
        <v>370</v>
      </c>
      <c r="N140" s="245" t="s">
        <v>371</v>
      </c>
      <c r="O140" s="444"/>
      <c r="P140" s="368"/>
      <c r="Q140" s="247">
        <f>$G$137/4</f>
        <v>656.25</v>
      </c>
      <c r="R140" s="483"/>
      <c r="S140" s="511"/>
      <c r="T140" s="424">
        <f t="shared" ref="T140:T161" si="18">IF(W140&gt;1,EOMONTH(W140,0),"")</f>
        <v>46081</v>
      </c>
      <c r="U140" s="408">
        <f>(Q140/$X$137*$J$137)</f>
        <v>615.10212804247089</v>
      </c>
      <c r="V140" s="672"/>
      <c r="W140" s="465">
        <v>46081</v>
      </c>
      <c r="X140" s="663"/>
    </row>
    <row r="141" spans="1:24" ht="14.25" customHeight="1">
      <c r="B141" s="244">
        <v>14</v>
      </c>
      <c r="C141" s="245"/>
      <c r="D141" s="245"/>
      <c r="E141" s="246"/>
      <c r="F141" s="368"/>
      <c r="G141" s="247"/>
      <c r="H141" s="562"/>
      <c r="I141" s="663"/>
      <c r="J141" s="666"/>
      <c r="K141" s="176"/>
      <c r="L141" s="244">
        <v>14</v>
      </c>
      <c r="M141" s="333" t="s">
        <v>370</v>
      </c>
      <c r="N141" s="245" t="s">
        <v>371</v>
      </c>
      <c r="O141" s="444"/>
      <c r="P141" s="368"/>
      <c r="Q141" s="247">
        <f>$G$137/4</f>
        <v>656.25</v>
      </c>
      <c r="R141" s="483"/>
      <c r="S141" s="511"/>
      <c r="T141" s="424">
        <v>46112</v>
      </c>
      <c r="U141" s="408">
        <f t="shared" ref="U141:U148" si="19">(Q141/$X$137*$J$137)</f>
        <v>615.10212804247089</v>
      </c>
      <c r="V141" s="672"/>
      <c r="W141" s="465">
        <v>46121</v>
      </c>
      <c r="X141" s="663"/>
    </row>
    <row r="142" spans="1:24" ht="14.25" customHeight="1">
      <c r="B142" s="244">
        <v>14</v>
      </c>
      <c r="C142" s="245"/>
      <c r="D142" s="245"/>
      <c r="E142" s="246"/>
      <c r="F142" s="368"/>
      <c r="G142" s="247"/>
      <c r="H142" s="562"/>
      <c r="I142" s="663"/>
      <c r="J142" s="666"/>
      <c r="K142" s="176"/>
      <c r="L142" s="244">
        <v>14</v>
      </c>
      <c r="M142" s="333" t="s">
        <v>370</v>
      </c>
      <c r="N142" s="245" t="s">
        <v>371</v>
      </c>
      <c r="O142" s="444"/>
      <c r="P142" s="368"/>
      <c r="Q142" s="247"/>
      <c r="R142" s="483"/>
      <c r="S142" s="511"/>
      <c r="T142" s="640"/>
      <c r="U142" s="408">
        <f t="shared" si="19"/>
        <v>0</v>
      </c>
      <c r="V142" s="672"/>
      <c r="W142" s="465"/>
      <c r="X142" s="663"/>
    </row>
    <row r="143" spans="1:24" ht="14.25" customHeight="1">
      <c r="B143" s="244">
        <v>14</v>
      </c>
      <c r="C143" s="245"/>
      <c r="D143" s="245"/>
      <c r="E143" s="246"/>
      <c r="F143" s="368"/>
      <c r="G143" s="247"/>
      <c r="H143" s="562"/>
      <c r="I143" s="663"/>
      <c r="J143" s="666"/>
      <c r="K143" s="176"/>
      <c r="L143" s="244">
        <v>14</v>
      </c>
      <c r="M143" s="333" t="s">
        <v>370</v>
      </c>
      <c r="N143" s="245" t="s">
        <v>371</v>
      </c>
      <c r="O143" s="444"/>
      <c r="P143" s="368"/>
      <c r="Q143" s="247"/>
      <c r="R143" s="483"/>
      <c r="S143" s="511"/>
      <c r="T143" s="424" t="str">
        <f t="shared" si="18"/>
        <v/>
      </c>
      <c r="U143" s="408">
        <f t="shared" si="19"/>
        <v>0</v>
      </c>
      <c r="V143" s="672"/>
      <c r="W143" s="465"/>
      <c r="X143" s="663"/>
    </row>
    <row r="144" spans="1:24" ht="14.25" customHeight="1">
      <c r="B144" s="244">
        <v>14</v>
      </c>
      <c r="C144" s="245"/>
      <c r="D144" s="245"/>
      <c r="E144" s="246"/>
      <c r="F144" s="368"/>
      <c r="G144" s="247"/>
      <c r="H144" s="562"/>
      <c r="I144" s="663"/>
      <c r="J144" s="666"/>
      <c r="K144" s="176"/>
      <c r="L144" s="244">
        <v>14</v>
      </c>
      <c r="M144" s="333" t="s">
        <v>370</v>
      </c>
      <c r="N144" s="245" t="s">
        <v>371</v>
      </c>
      <c r="O144" s="444"/>
      <c r="P144" s="368"/>
      <c r="Q144" s="247"/>
      <c r="R144" s="483"/>
      <c r="S144" s="511"/>
      <c r="T144" s="424" t="str">
        <f t="shared" si="18"/>
        <v/>
      </c>
      <c r="U144" s="408">
        <f t="shared" si="19"/>
        <v>0</v>
      </c>
      <c r="V144" s="672"/>
      <c r="W144" s="465"/>
      <c r="X144" s="663"/>
    </row>
    <row r="145" spans="1:24" ht="14.25" customHeight="1">
      <c r="B145" s="244">
        <v>14</v>
      </c>
      <c r="C145" s="245"/>
      <c r="D145" s="245"/>
      <c r="E145" s="246"/>
      <c r="F145" s="368"/>
      <c r="G145" s="247"/>
      <c r="H145" s="562"/>
      <c r="I145" s="663"/>
      <c r="J145" s="666"/>
      <c r="K145" s="176"/>
      <c r="L145" s="244">
        <v>14</v>
      </c>
      <c r="M145" s="333" t="s">
        <v>370</v>
      </c>
      <c r="N145" s="245" t="s">
        <v>371</v>
      </c>
      <c r="O145" s="444"/>
      <c r="P145" s="368"/>
      <c r="Q145" s="247"/>
      <c r="R145" s="483"/>
      <c r="S145" s="511"/>
      <c r="T145" s="424" t="str">
        <f t="shared" si="18"/>
        <v/>
      </c>
      <c r="U145" s="408">
        <f t="shared" si="19"/>
        <v>0</v>
      </c>
      <c r="V145" s="672"/>
      <c r="W145" s="465"/>
      <c r="X145" s="663"/>
    </row>
    <row r="146" spans="1:24" ht="14.25" customHeight="1">
      <c r="B146" s="244">
        <v>14</v>
      </c>
      <c r="C146" s="245"/>
      <c r="D146" s="245"/>
      <c r="E146" s="246"/>
      <c r="F146" s="368"/>
      <c r="G146" s="247"/>
      <c r="H146" s="562"/>
      <c r="I146" s="663"/>
      <c r="J146" s="666"/>
      <c r="K146" s="176"/>
      <c r="L146" s="244">
        <v>14</v>
      </c>
      <c r="M146" s="333" t="s">
        <v>370</v>
      </c>
      <c r="N146" s="245" t="s">
        <v>371</v>
      </c>
      <c r="O146" s="444"/>
      <c r="P146" s="368"/>
      <c r="Q146" s="247"/>
      <c r="R146" s="483"/>
      <c r="S146" s="511"/>
      <c r="T146" s="424" t="str">
        <f t="shared" si="18"/>
        <v/>
      </c>
      <c r="U146" s="408">
        <f t="shared" si="19"/>
        <v>0</v>
      </c>
      <c r="V146" s="672"/>
      <c r="W146" s="465"/>
      <c r="X146" s="663"/>
    </row>
    <row r="147" spans="1:24" ht="14.25" customHeight="1">
      <c r="B147" s="244">
        <v>14</v>
      </c>
      <c r="C147" s="245"/>
      <c r="D147" s="245"/>
      <c r="E147" s="246"/>
      <c r="F147" s="368"/>
      <c r="G147" s="247"/>
      <c r="H147" s="562"/>
      <c r="I147" s="663"/>
      <c r="J147" s="666"/>
      <c r="K147" s="176"/>
      <c r="L147" s="244">
        <v>14</v>
      </c>
      <c r="M147" s="333" t="s">
        <v>370</v>
      </c>
      <c r="N147" s="245"/>
      <c r="O147" s="444"/>
      <c r="P147" s="368"/>
      <c r="Q147" s="247"/>
      <c r="R147" s="483"/>
      <c r="S147" s="513"/>
      <c r="T147" s="424" t="str">
        <f t="shared" si="18"/>
        <v/>
      </c>
      <c r="U147" s="408">
        <f t="shared" si="19"/>
        <v>0</v>
      </c>
      <c r="V147" s="672"/>
      <c r="W147" s="465"/>
      <c r="X147" s="663"/>
    </row>
    <row r="148" spans="1:24" ht="15" customHeight="1" thickBot="1">
      <c r="B148" s="177">
        <v>14</v>
      </c>
      <c r="C148" s="248"/>
      <c r="D148" s="248"/>
      <c r="E148" s="249"/>
      <c r="F148" s="369"/>
      <c r="G148" s="178"/>
      <c r="H148" s="563"/>
      <c r="I148" s="664"/>
      <c r="J148" s="667"/>
      <c r="K148" s="179"/>
      <c r="L148" s="177">
        <v>14</v>
      </c>
      <c r="M148" s="334" t="s">
        <v>370</v>
      </c>
      <c r="N148" s="248"/>
      <c r="O148" s="445"/>
      <c r="P148" s="369"/>
      <c r="Q148" s="178"/>
      <c r="R148" s="484"/>
      <c r="S148" s="514"/>
      <c r="T148" s="425" t="str">
        <f t="shared" si="18"/>
        <v/>
      </c>
      <c r="U148" s="409">
        <f t="shared" si="19"/>
        <v>0</v>
      </c>
      <c r="V148" s="673"/>
      <c r="W148" s="466"/>
      <c r="X148" s="664"/>
    </row>
    <row r="149" spans="1:24" ht="14.4" thickBot="1">
      <c r="A149" s="4"/>
      <c r="B149" s="194"/>
      <c r="C149" s="181"/>
      <c r="D149" s="181"/>
      <c r="E149" s="195"/>
      <c r="F149" s="353"/>
      <c r="G149" s="196"/>
      <c r="H149" s="552"/>
      <c r="I149" s="548"/>
      <c r="J149" s="250"/>
      <c r="K149" s="4"/>
      <c r="L149" s="194"/>
      <c r="M149" s="181"/>
      <c r="N149" s="181"/>
      <c r="O149" s="435"/>
      <c r="P149" s="353"/>
      <c r="Q149" s="196"/>
      <c r="R149" s="471"/>
      <c r="S149" s="502"/>
      <c r="T149" s="413" t="str">
        <f t="shared" si="18"/>
        <v/>
      </c>
      <c r="U149" s="402"/>
      <c r="V149" s="384"/>
      <c r="W149" s="455"/>
      <c r="X149" s="548"/>
    </row>
    <row r="150" spans="1:24">
      <c r="B150" s="185">
        <v>15</v>
      </c>
      <c r="C150" s="186" t="s">
        <v>373</v>
      </c>
      <c r="D150" s="186"/>
      <c r="E150" s="187"/>
      <c r="F150" s="335"/>
      <c r="G150" s="188"/>
      <c r="H150" s="541"/>
      <c r="I150" s="656">
        <f>SUM(G150:G161)</f>
        <v>0</v>
      </c>
      <c r="J150" s="659">
        <f>F186</f>
        <v>0</v>
      </c>
      <c r="K150" s="189"/>
      <c r="L150" s="185">
        <v>15</v>
      </c>
      <c r="M150" s="255" t="s">
        <v>374</v>
      </c>
      <c r="N150" s="186" t="s">
        <v>375</v>
      </c>
      <c r="O150" s="187"/>
      <c r="P150" s="335"/>
      <c r="Q150" s="188">
        <v>450</v>
      </c>
      <c r="R150" s="475"/>
      <c r="S150" s="506" t="s">
        <v>376</v>
      </c>
      <c r="T150" s="625">
        <v>45991</v>
      </c>
      <c r="U150" s="403"/>
      <c r="V150" s="668">
        <v>0</v>
      </c>
      <c r="W150" s="626">
        <v>45932</v>
      </c>
      <c r="X150" s="656">
        <f>SUM(Q150:Q161)</f>
        <v>34347</v>
      </c>
    </row>
    <row r="151" spans="1:24">
      <c r="B151" s="215">
        <v>15</v>
      </c>
      <c r="C151" s="217"/>
      <c r="D151" s="217"/>
      <c r="E151" s="218"/>
      <c r="F151" s="356"/>
      <c r="G151" s="219"/>
      <c r="H151" s="540"/>
      <c r="I151" s="657"/>
      <c r="J151" s="660"/>
      <c r="K151" s="192"/>
      <c r="L151" s="215">
        <v>15</v>
      </c>
      <c r="M151" s="290" t="s">
        <v>374</v>
      </c>
      <c r="N151" s="217" t="s">
        <v>377</v>
      </c>
      <c r="O151" s="432"/>
      <c r="P151" s="356"/>
      <c r="Q151" s="219">
        <v>30000</v>
      </c>
      <c r="R151" s="468" t="s">
        <v>378</v>
      </c>
      <c r="S151" s="499" t="s">
        <v>379</v>
      </c>
      <c r="T151" s="650">
        <v>46081</v>
      </c>
      <c r="U151" s="395"/>
      <c r="V151" s="669"/>
      <c r="W151" s="452">
        <v>46072</v>
      </c>
      <c r="X151" s="657"/>
    </row>
    <row r="152" spans="1:24">
      <c r="B152" s="215">
        <v>15</v>
      </c>
      <c r="C152" s="217"/>
      <c r="D152" s="217"/>
      <c r="E152" s="218"/>
      <c r="F152" s="356"/>
      <c r="G152" s="219"/>
      <c r="H152" s="540"/>
      <c r="I152" s="657"/>
      <c r="J152" s="660"/>
      <c r="K152" s="192"/>
      <c r="L152" s="215">
        <v>15</v>
      </c>
      <c r="M152" s="290" t="s">
        <v>374</v>
      </c>
      <c r="N152" s="217" t="s">
        <v>380</v>
      </c>
      <c r="O152" s="432"/>
      <c r="P152" s="356"/>
      <c r="Q152" s="219">
        <v>3897</v>
      </c>
      <c r="R152" s="468" t="s">
        <v>381</v>
      </c>
      <c r="S152" s="499"/>
      <c r="T152" s="410">
        <v>46081</v>
      </c>
      <c r="U152" s="395"/>
      <c r="V152" s="669"/>
      <c r="W152" s="452">
        <v>46072</v>
      </c>
      <c r="X152" s="657"/>
    </row>
    <row r="153" spans="1:24">
      <c r="B153" s="215">
        <v>15</v>
      </c>
      <c r="C153" s="217"/>
      <c r="D153" s="217"/>
      <c r="E153" s="218"/>
      <c r="F153" s="356"/>
      <c r="G153" s="219"/>
      <c r="H153" s="540"/>
      <c r="I153" s="657"/>
      <c r="J153" s="660"/>
      <c r="K153" s="192"/>
      <c r="L153" s="215">
        <v>15</v>
      </c>
      <c r="M153" s="290" t="s">
        <v>374</v>
      </c>
      <c r="N153" s="217"/>
      <c r="O153" s="432"/>
      <c r="P153" s="356"/>
      <c r="Q153" s="219"/>
      <c r="R153" s="468"/>
      <c r="S153" s="499"/>
      <c r="T153" s="410" t="str">
        <f t="shared" si="18"/>
        <v/>
      </c>
      <c r="U153" s="395"/>
      <c r="V153" s="669"/>
      <c r="W153" s="452"/>
      <c r="X153" s="657"/>
    </row>
    <row r="154" spans="1:24">
      <c r="B154" s="215">
        <v>15</v>
      </c>
      <c r="C154" s="217"/>
      <c r="D154" s="217"/>
      <c r="E154" s="218"/>
      <c r="F154" s="356"/>
      <c r="G154" s="219"/>
      <c r="H154" s="540"/>
      <c r="I154" s="657"/>
      <c r="J154" s="660"/>
      <c r="K154" s="192"/>
      <c r="L154" s="215">
        <v>15</v>
      </c>
      <c r="M154" s="290" t="s">
        <v>374</v>
      </c>
      <c r="N154" s="217"/>
      <c r="O154" s="432"/>
      <c r="P154" s="356"/>
      <c r="Q154" s="219"/>
      <c r="R154" s="468"/>
      <c r="S154" s="499"/>
      <c r="T154" s="410" t="str">
        <f t="shared" si="18"/>
        <v/>
      </c>
      <c r="U154" s="395"/>
      <c r="V154" s="669"/>
      <c r="W154" s="452"/>
      <c r="X154" s="657"/>
    </row>
    <row r="155" spans="1:24">
      <c r="B155" s="215">
        <v>15</v>
      </c>
      <c r="C155" s="217"/>
      <c r="D155" s="217"/>
      <c r="E155" s="218"/>
      <c r="F155" s="356"/>
      <c r="G155" s="219"/>
      <c r="H155" s="540"/>
      <c r="I155" s="657"/>
      <c r="J155" s="660"/>
      <c r="K155" s="192"/>
      <c r="L155" s="215">
        <v>15</v>
      </c>
      <c r="M155" s="290" t="s">
        <v>374</v>
      </c>
      <c r="N155" s="217"/>
      <c r="O155" s="432"/>
      <c r="P155" s="356"/>
      <c r="Q155" s="219"/>
      <c r="R155" s="468"/>
      <c r="S155" s="499"/>
      <c r="T155" s="410" t="str">
        <f t="shared" si="18"/>
        <v/>
      </c>
      <c r="U155" s="395"/>
      <c r="V155" s="669"/>
      <c r="W155" s="452"/>
      <c r="X155" s="657"/>
    </row>
    <row r="156" spans="1:24">
      <c r="B156" s="215">
        <v>15</v>
      </c>
      <c r="C156" s="217"/>
      <c r="D156" s="217"/>
      <c r="E156" s="218"/>
      <c r="F156" s="356"/>
      <c r="G156" s="219"/>
      <c r="H156" s="540"/>
      <c r="I156" s="657"/>
      <c r="J156" s="660"/>
      <c r="K156" s="192"/>
      <c r="L156" s="215">
        <v>15</v>
      </c>
      <c r="M156" s="290" t="s">
        <v>374</v>
      </c>
      <c r="N156" s="217"/>
      <c r="O156" s="432"/>
      <c r="P156" s="356"/>
      <c r="Q156" s="219"/>
      <c r="R156" s="468"/>
      <c r="S156" s="499"/>
      <c r="T156" s="410" t="str">
        <f t="shared" si="18"/>
        <v/>
      </c>
      <c r="U156" s="395"/>
      <c r="V156" s="669"/>
      <c r="W156" s="452"/>
      <c r="X156" s="657"/>
    </row>
    <row r="157" spans="1:24">
      <c r="B157" s="215">
        <v>15</v>
      </c>
      <c r="C157" s="217"/>
      <c r="D157" s="217"/>
      <c r="E157" s="218"/>
      <c r="F157" s="356"/>
      <c r="G157" s="219"/>
      <c r="H157" s="540"/>
      <c r="I157" s="657"/>
      <c r="J157" s="660"/>
      <c r="K157" s="192"/>
      <c r="L157" s="215">
        <v>15</v>
      </c>
      <c r="M157" s="290" t="s">
        <v>374</v>
      </c>
      <c r="N157" s="217"/>
      <c r="O157" s="432"/>
      <c r="P157" s="356"/>
      <c r="Q157" s="219"/>
      <c r="R157" s="468"/>
      <c r="S157" s="499"/>
      <c r="T157" s="410" t="str">
        <f t="shared" si="18"/>
        <v/>
      </c>
      <c r="U157" s="395"/>
      <c r="V157" s="669"/>
      <c r="W157" s="452"/>
      <c r="X157" s="657"/>
    </row>
    <row r="158" spans="1:24">
      <c r="B158" s="215">
        <v>15</v>
      </c>
      <c r="C158" s="217"/>
      <c r="D158" s="217"/>
      <c r="E158" s="218"/>
      <c r="F158" s="356"/>
      <c r="G158" s="219"/>
      <c r="H158" s="540"/>
      <c r="I158" s="657"/>
      <c r="J158" s="660"/>
      <c r="K158" s="192"/>
      <c r="L158" s="215">
        <v>15</v>
      </c>
      <c r="M158" s="290" t="s">
        <v>374</v>
      </c>
      <c r="N158" s="217"/>
      <c r="O158" s="432"/>
      <c r="P158" s="356"/>
      <c r="Q158" s="219"/>
      <c r="R158" s="468"/>
      <c r="S158" s="499"/>
      <c r="T158" s="410" t="str">
        <f t="shared" si="18"/>
        <v/>
      </c>
      <c r="U158" s="395"/>
      <c r="V158" s="669"/>
      <c r="W158" s="452"/>
      <c r="X158" s="657"/>
    </row>
    <row r="159" spans="1:24">
      <c r="B159" s="215">
        <v>15</v>
      </c>
      <c r="C159" s="217"/>
      <c r="D159" s="217"/>
      <c r="E159" s="218"/>
      <c r="F159" s="356"/>
      <c r="G159" s="219"/>
      <c r="H159" s="540"/>
      <c r="I159" s="657"/>
      <c r="J159" s="660"/>
      <c r="K159" s="192"/>
      <c r="L159" s="215">
        <v>15</v>
      </c>
      <c r="M159" s="290" t="s">
        <v>374</v>
      </c>
      <c r="N159" s="217"/>
      <c r="O159" s="432"/>
      <c r="P159" s="356"/>
      <c r="Q159" s="219"/>
      <c r="R159" s="468"/>
      <c r="S159" s="499"/>
      <c r="T159" s="410" t="str">
        <f t="shared" si="18"/>
        <v/>
      </c>
      <c r="U159" s="395"/>
      <c r="V159" s="669"/>
      <c r="W159" s="452"/>
      <c r="X159" s="657"/>
    </row>
    <row r="160" spans="1:24">
      <c r="B160" s="215">
        <v>15</v>
      </c>
      <c r="C160" s="217"/>
      <c r="D160" s="217"/>
      <c r="E160" s="218"/>
      <c r="F160" s="356"/>
      <c r="G160" s="219"/>
      <c r="H160" s="540"/>
      <c r="I160" s="657"/>
      <c r="J160" s="660"/>
      <c r="K160" s="192"/>
      <c r="L160" s="215">
        <v>15</v>
      </c>
      <c r="M160" s="290" t="s">
        <v>374</v>
      </c>
      <c r="N160" s="217"/>
      <c r="O160" s="432"/>
      <c r="P160" s="356"/>
      <c r="Q160" s="219"/>
      <c r="R160" s="468"/>
      <c r="S160" s="499"/>
      <c r="T160" s="410" t="str">
        <f t="shared" si="18"/>
        <v/>
      </c>
      <c r="U160" s="395"/>
      <c r="V160" s="669"/>
      <c r="W160" s="452"/>
      <c r="X160" s="657"/>
    </row>
    <row r="161" spans="2:24" ht="15" customHeight="1" thickBot="1">
      <c r="B161" s="220">
        <v>15</v>
      </c>
      <c r="C161" s="221"/>
      <c r="D161" s="221"/>
      <c r="E161" s="222"/>
      <c r="F161" s="357"/>
      <c r="G161" s="234"/>
      <c r="H161" s="551"/>
      <c r="I161" s="658"/>
      <c r="J161" s="661"/>
      <c r="K161" s="193"/>
      <c r="L161" s="220">
        <v>15</v>
      </c>
      <c r="M161" s="317" t="s">
        <v>374</v>
      </c>
      <c r="N161" s="221"/>
      <c r="O161" s="434"/>
      <c r="P161" s="357"/>
      <c r="Q161" s="234"/>
      <c r="R161" s="470"/>
      <c r="S161" s="501"/>
      <c r="T161" s="412" t="str">
        <f t="shared" si="18"/>
        <v/>
      </c>
      <c r="U161" s="397"/>
      <c r="V161" s="670"/>
      <c r="W161" s="454"/>
      <c r="X161" s="658"/>
    </row>
    <row r="162" spans="2:24" s="1" customFormat="1">
      <c r="B162" s="25"/>
      <c r="E162" s="2"/>
      <c r="F162" s="370"/>
      <c r="G162" s="3"/>
      <c r="H162" s="3"/>
      <c r="I162" s="251"/>
      <c r="J162" s="251"/>
      <c r="L162" s="25"/>
      <c r="O162" s="2"/>
      <c r="P162" s="370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0" t="s">
        <v>382</v>
      </c>
      <c r="D163" s="4">
        <v>388678.38800000004</v>
      </c>
      <c r="E163" s="77"/>
      <c r="F163" s="430">
        <v>485847.98500000004</v>
      </c>
      <c r="G163" s="26"/>
      <c r="H163" s="26"/>
      <c r="I163" s="160"/>
      <c r="J163" s="160"/>
    </row>
    <row r="164" spans="2:24">
      <c r="B164" s="26"/>
      <c r="C164" s="430" t="s">
        <v>383</v>
      </c>
      <c r="D164" s="4">
        <v>120000</v>
      </c>
      <c r="E164" s="77"/>
      <c r="F164" s="430">
        <v>150000</v>
      </c>
      <c r="G164" s="26"/>
      <c r="H164" s="26"/>
      <c r="I164" s="160"/>
      <c r="J164" s="160"/>
    </row>
    <row r="165" spans="2:24">
      <c r="B165" s="26"/>
      <c r="C165" s="430" t="s">
        <v>384</v>
      </c>
      <c r="D165" s="4">
        <v>70821</v>
      </c>
      <c r="E165" s="77"/>
      <c r="F165" s="430">
        <v>88526.25</v>
      </c>
      <c r="G165" s="26"/>
      <c r="H165" s="26"/>
      <c r="I165" s="253"/>
      <c r="J165" s="253"/>
    </row>
    <row r="166" spans="2:24">
      <c r="B166" s="26"/>
      <c r="C166" s="430" t="s">
        <v>312</v>
      </c>
      <c r="D166" s="4">
        <v>151607.79999999999</v>
      </c>
      <c r="E166" s="77"/>
      <c r="F166" s="430">
        <v>189509.75</v>
      </c>
      <c r="G166" s="26"/>
      <c r="H166" s="26"/>
      <c r="I166" s="160"/>
      <c r="J166" s="160"/>
    </row>
    <row r="167" spans="2:24">
      <c r="B167" s="26"/>
      <c r="C167" s="430" t="s">
        <v>331</v>
      </c>
      <c r="D167" s="4">
        <v>139985.94782608695</v>
      </c>
      <c r="E167" s="77"/>
      <c r="F167" s="430">
        <v>174982.4347826087</v>
      </c>
      <c r="G167" s="26"/>
      <c r="H167" s="26"/>
      <c r="I167" s="253"/>
      <c r="J167" s="253"/>
    </row>
    <row r="168" spans="2:24">
      <c r="B168" s="26"/>
      <c r="C168" s="430" t="s">
        <v>385</v>
      </c>
      <c r="D168" s="4">
        <v>0</v>
      </c>
      <c r="E168" s="77"/>
      <c r="F168" s="430">
        <v>0</v>
      </c>
      <c r="G168" s="26"/>
      <c r="H168" s="26"/>
      <c r="I168" s="160"/>
      <c r="J168" s="160"/>
    </row>
    <row r="169" spans="2:24">
      <c r="B169" s="26"/>
      <c r="C169" s="430" t="s">
        <v>386</v>
      </c>
      <c r="D169" s="4">
        <v>0</v>
      </c>
      <c r="E169" s="77"/>
      <c r="F169" s="430">
        <v>0</v>
      </c>
      <c r="G169" s="26"/>
      <c r="H169" s="26"/>
      <c r="I169" s="160"/>
      <c r="J169" s="160"/>
    </row>
    <row r="170" spans="2:24">
      <c r="B170" s="26"/>
      <c r="C170" s="430" t="s">
        <v>387</v>
      </c>
      <c r="D170" s="4">
        <v>0</v>
      </c>
      <c r="E170" s="77"/>
      <c r="F170" s="430">
        <v>0</v>
      </c>
      <c r="G170" s="26"/>
      <c r="H170" s="26"/>
      <c r="I170" s="160"/>
      <c r="J170" s="160"/>
    </row>
    <row r="171" spans="2:24">
      <c r="B171" s="26"/>
      <c r="C171" s="430" t="s">
        <v>388</v>
      </c>
      <c r="D171" s="4">
        <v>34428</v>
      </c>
      <c r="E171" s="77"/>
      <c r="F171" s="430">
        <v>43035</v>
      </c>
      <c r="G171" s="26"/>
      <c r="H171" s="26"/>
      <c r="I171" s="160"/>
      <c r="J171" s="160"/>
    </row>
    <row r="172" spans="2:24">
      <c r="B172" s="26"/>
      <c r="C172" s="430" t="s">
        <v>389</v>
      </c>
      <c r="D172" s="4">
        <v>0</v>
      </c>
      <c r="E172" s="77"/>
      <c r="F172" s="430">
        <v>0</v>
      </c>
      <c r="G172" s="26"/>
      <c r="H172" s="26"/>
      <c r="I172" s="160"/>
      <c r="J172" s="160"/>
    </row>
    <row r="173" spans="2:24">
      <c r="B173" s="26"/>
      <c r="C173" s="430" t="s">
        <v>390</v>
      </c>
      <c r="D173" s="4">
        <v>0</v>
      </c>
      <c r="E173" s="77"/>
      <c r="F173" s="430">
        <v>0</v>
      </c>
      <c r="G173" s="26"/>
      <c r="H173" s="26"/>
      <c r="I173" s="160"/>
      <c r="J173" s="160"/>
    </row>
    <row r="174" spans="2:24">
      <c r="B174" s="26"/>
      <c r="C174" s="430" t="s">
        <v>391</v>
      </c>
      <c r="E174" s="77"/>
      <c r="F174" s="430"/>
      <c r="G174" s="26"/>
      <c r="H174" s="26"/>
      <c r="I174" s="160"/>
      <c r="J174" s="160"/>
    </row>
    <row r="175" spans="2:24">
      <c r="B175" s="26"/>
      <c r="C175" s="430"/>
      <c r="E175" s="77"/>
      <c r="F175" s="430"/>
      <c r="G175" s="26"/>
      <c r="H175" s="26"/>
      <c r="I175" s="160"/>
      <c r="J175" s="160"/>
    </row>
    <row r="176" spans="2:24" s="26" customFormat="1">
      <c r="C176" s="430" t="s">
        <v>392</v>
      </c>
      <c r="D176" s="26">
        <v>39345</v>
      </c>
      <c r="E176" s="77"/>
      <c r="F176" s="430">
        <v>43716.666666666664</v>
      </c>
      <c r="I176" s="160"/>
      <c r="J176" s="160"/>
      <c r="T176" s="430"/>
      <c r="U176" s="430"/>
      <c r="W176" s="430"/>
    </row>
    <row r="177" spans="3:23" s="26" customFormat="1">
      <c r="C177" s="430" t="s">
        <v>393</v>
      </c>
      <c r="D177" s="26">
        <v>85785</v>
      </c>
      <c r="E177" s="77"/>
      <c r="F177" s="430">
        <v>95316.666666666672</v>
      </c>
      <c r="I177" s="160"/>
      <c r="J177" s="160"/>
      <c r="T177" s="430"/>
      <c r="U177" s="430"/>
      <c r="W177" s="430"/>
    </row>
    <row r="178" spans="3:23" s="26" customFormat="1">
      <c r="C178" s="430" t="s">
        <v>394</v>
      </c>
      <c r="D178" s="26">
        <v>13306.77253115942</v>
      </c>
      <c r="E178" s="77"/>
      <c r="F178" s="430">
        <v>15121.332421772069</v>
      </c>
      <c r="I178" s="160"/>
      <c r="J178" s="160"/>
      <c r="T178" s="430"/>
      <c r="U178" s="430"/>
      <c r="W178" s="430"/>
    </row>
    <row r="179" spans="3:23" s="26" customFormat="1">
      <c r="C179" s="430" t="s">
        <v>395</v>
      </c>
      <c r="D179" s="26">
        <v>29000</v>
      </c>
      <c r="E179" s="77"/>
      <c r="F179" s="430">
        <v>32222.222222222223</v>
      </c>
      <c r="I179" s="160"/>
      <c r="J179" s="160"/>
      <c r="T179" s="430"/>
      <c r="U179" s="430"/>
      <c r="W179" s="430"/>
    </row>
    <row r="180" spans="3:23" s="26" customFormat="1">
      <c r="C180" s="430" t="s">
        <v>396</v>
      </c>
      <c r="D180" s="26">
        <v>8500</v>
      </c>
      <c r="E180" s="77"/>
      <c r="F180" s="430">
        <v>9444.4444444444453</v>
      </c>
      <c r="I180" s="160"/>
      <c r="J180" s="160"/>
      <c r="T180" s="430"/>
      <c r="U180" s="430"/>
      <c r="W180" s="430"/>
    </row>
    <row r="181" spans="3:23" s="26" customFormat="1">
      <c r="C181" s="430" t="s">
        <v>397</v>
      </c>
      <c r="D181" s="26">
        <v>0</v>
      </c>
      <c r="E181" s="77"/>
      <c r="F181" s="430">
        <v>0</v>
      </c>
      <c r="I181" s="160"/>
      <c r="J181" s="160"/>
      <c r="T181" s="430"/>
      <c r="U181" s="430"/>
      <c r="W181" s="430"/>
    </row>
    <row r="182" spans="3:23" s="26" customFormat="1">
      <c r="C182" s="430" t="s">
        <v>398</v>
      </c>
      <c r="D182" s="26">
        <v>0</v>
      </c>
      <c r="E182" s="77"/>
      <c r="F182" s="430">
        <v>0</v>
      </c>
      <c r="I182" s="160"/>
      <c r="J182" s="160"/>
      <c r="T182" s="430"/>
      <c r="U182" s="430"/>
      <c r="W182" s="430"/>
    </row>
    <row r="183" spans="3:23" s="26" customFormat="1">
      <c r="C183" s="430" t="s">
        <v>399</v>
      </c>
      <c r="D183" s="26">
        <v>18000</v>
      </c>
      <c r="E183" s="77"/>
      <c r="F183" s="430">
        <v>20000</v>
      </c>
      <c r="I183" s="160"/>
      <c r="J183" s="160"/>
      <c r="T183" s="430"/>
      <c r="U183" s="430"/>
      <c r="W183" s="430"/>
    </row>
    <row r="184" spans="3:23" s="26" customFormat="1">
      <c r="C184" s="430" t="s">
        <v>400</v>
      </c>
      <c r="D184" s="26">
        <v>12818.666666666666</v>
      </c>
      <c r="E184" s="77"/>
      <c r="F184" s="430">
        <v>14242.962962962962</v>
      </c>
      <c r="I184" s="160"/>
      <c r="J184" s="160"/>
      <c r="T184" s="430"/>
      <c r="U184" s="430"/>
      <c r="W184" s="430"/>
    </row>
    <row r="185" spans="3:23" s="26" customFormat="1">
      <c r="C185" s="430" t="s">
        <v>401</v>
      </c>
      <c r="D185" s="26">
        <v>0</v>
      </c>
      <c r="E185" s="77"/>
      <c r="F185" s="430">
        <v>0</v>
      </c>
      <c r="I185" s="160"/>
      <c r="J185" s="160"/>
      <c r="T185" s="430"/>
      <c r="U185" s="430"/>
      <c r="W185" s="430"/>
    </row>
    <row r="186" spans="3:23" s="26" customFormat="1">
      <c r="C186" s="430" t="s">
        <v>388</v>
      </c>
      <c r="D186" s="26">
        <v>0</v>
      </c>
      <c r="E186" s="77"/>
      <c r="F186" s="430">
        <v>0</v>
      </c>
      <c r="I186" s="160"/>
      <c r="J186" s="160"/>
      <c r="T186" s="430"/>
      <c r="U186" s="430"/>
      <c r="W186" s="430"/>
    </row>
    <row r="187" spans="3:23" s="26" customFormat="1">
      <c r="C187" s="430"/>
      <c r="E187" s="77"/>
      <c r="F187" s="430"/>
      <c r="I187" s="160"/>
      <c r="J187" s="160"/>
      <c r="T187" s="430"/>
      <c r="U187" s="430"/>
      <c r="W187" s="430"/>
    </row>
    <row r="188" spans="3:23" s="26" customFormat="1">
      <c r="C188" s="430" t="s">
        <v>402</v>
      </c>
      <c r="E188" s="77"/>
      <c r="F188" s="430"/>
      <c r="I188" s="160"/>
      <c r="J188" s="160"/>
      <c r="T188" s="430"/>
      <c r="U188" s="430"/>
      <c r="W188" s="430"/>
    </row>
    <row r="189" spans="3:23" s="26" customFormat="1">
      <c r="C189" s="430" t="s">
        <v>403</v>
      </c>
      <c r="D189" s="26">
        <v>2625</v>
      </c>
      <c r="E189" s="77"/>
      <c r="F189" s="430">
        <v>2916.6666666666665</v>
      </c>
      <c r="I189" s="160"/>
      <c r="J189" s="160"/>
      <c r="T189" s="430"/>
      <c r="U189" s="430"/>
      <c r="W189" s="430"/>
    </row>
    <row r="190" spans="3:23" s="26" customFormat="1">
      <c r="C190" s="430"/>
      <c r="D190" s="430"/>
      <c r="E190" s="77"/>
      <c r="F190" s="361"/>
      <c r="I190" s="160"/>
      <c r="J190" s="160"/>
      <c r="T190" s="430"/>
      <c r="U190" s="430"/>
      <c r="W190" s="430"/>
    </row>
    <row r="191" spans="3:23" s="26" customFormat="1">
      <c r="C191" s="430"/>
      <c r="D191" s="430"/>
      <c r="E191" s="77"/>
      <c r="F191" s="361"/>
      <c r="I191" s="160"/>
      <c r="J191" s="160"/>
      <c r="T191" s="430"/>
      <c r="U191" s="430"/>
      <c r="W191" s="430"/>
    </row>
    <row r="192" spans="3:23" s="26" customFormat="1">
      <c r="C192" s="430"/>
      <c r="D192" s="430"/>
      <c r="E192" s="77"/>
      <c r="F192" s="361"/>
      <c r="I192" s="160"/>
      <c r="J192" s="160"/>
      <c r="T192" s="430"/>
      <c r="U192" s="430"/>
      <c r="W192" s="430"/>
    </row>
    <row r="193" spans="3:23" s="26" customFormat="1">
      <c r="C193" s="430"/>
      <c r="D193" s="430"/>
      <c r="E193" s="77"/>
      <c r="F193" s="361"/>
      <c r="I193" s="160"/>
      <c r="J193" s="160"/>
      <c r="T193" s="430"/>
      <c r="U193" s="430"/>
      <c r="W193" s="430"/>
    </row>
    <row r="194" spans="3:23" s="26" customFormat="1">
      <c r="C194" s="430"/>
      <c r="D194" s="430"/>
      <c r="E194" s="77"/>
      <c r="F194" s="361"/>
      <c r="I194" s="160"/>
      <c r="J194" s="160"/>
      <c r="T194" s="430"/>
      <c r="U194" s="430"/>
      <c r="W194" s="430"/>
    </row>
    <row r="195" spans="3:23" s="26" customFormat="1">
      <c r="C195" s="430"/>
      <c r="D195" s="430"/>
      <c r="E195" s="77"/>
      <c r="F195" s="361"/>
      <c r="I195" s="160"/>
      <c r="J195" s="160"/>
      <c r="T195" s="430"/>
      <c r="U195" s="430"/>
      <c r="W195" s="430"/>
    </row>
    <row r="196" spans="3:23" s="26" customFormat="1">
      <c r="C196" s="430"/>
      <c r="D196" s="430"/>
      <c r="E196" s="77"/>
      <c r="F196" s="361"/>
      <c r="I196" s="160"/>
      <c r="J196" s="160"/>
      <c r="T196" s="430"/>
      <c r="U196" s="430"/>
      <c r="W196" s="430"/>
    </row>
    <row r="197" spans="3:23" s="26" customFormat="1">
      <c r="C197" s="430"/>
      <c r="D197" s="430"/>
      <c r="E197" s="77"/>
      <c r="F197" s="361"/>
      <c r="I197" s="160"/>
      <c r="J197" s="160"/>
      <c r="T197" s="430"/>
      <c r="U197" s="430"/>
      <c r="W197" s="430"/>
    </row>
    <row r="198" spans="3:23" s="26" customFormat="1">
      <c r="C198" s="430"/>
      <c r="D198" s="430"/>
      <c r="E198" s="77"/>
      <c r="F198" s="361"/>
      <c r="I198" s="160"/>
      <c r="J198" s="160"/>
      <c r="T198" s="430"/>
      <c r="U198" s="430"/>
      <c r="W198" s="430"/>
    </row>
    <row r="199" spans="3:23" s="26" customFormat="1">
      <c r="C199" s="430"/>
      <c r="D199" s="430"/>
      <c r="E199" s="77"/>
      <c r="F199" s="361"/>
      <c r="I199" s="160"/>
      <c r="J199" s="160"/>
      <c r="T199" s="430"/>
      <c r="U199" s="430"/>
      <c r="W199" s="430"/>
    </row>
    <row r="200" spans="3:23" s="26" customFormat="1">
      <c r="C200" s="430"/>
      <c r="D200" s="430"/>
      <c r="E200" s="77"/>
      <c r="F200" s="361"/>
      <c r="I200" s="160"/>
      <c r="J200" s="160"/>
      <c r="T200" s="430"/>
      <c r="U200" s="430"/>
      <c r="W200" s="430"/>
    </row>
    <row r="201" spans="3:23" s="26" customFormat="1">
      <c r="C201" s="430"/>
      <c r="D201" s="430"/>
      <c r="E201" s="77"/>
      <c r="F201" s="361"/>
      <c r="I201" s="160"/>
      <c r="J201" s="160"/>
      <c r="T201" s="430"/>
      <c r="U201" s="430"/>
      <c r="W201" s="430"/>
    </row>
    <row r="202" spans="3:23" s="26" customFormat="1">
      <c r="C202" s="430"/>
      <c r="D202" s="430"/>
      <c r="E202" s="77"/>
      <c r="F202" s="361"/>
      <c r="I202" s="160"/>
      <c r="J202" s="160"/>
      <c r="T202" s="430"/>
      <c r="U202" s="430"/>
      <c r="W202" s="430"/>
    </row>
    <row r="203" spans="3:23" s="26" customFormat="1">
      <c r="C203" s="430"/>
      <c r="D203" s="430"/>
      <c r="E203" s="77"/>
      <c r="F203" s="361"/>
      <c r="I203" s="160"/>
      <c r="J203" s="160"/>
      <c r="T203" s="430"/>
      <c r="U203" s="430"/>
      <c r="W203" s="430"/>
    </row>
    <row r="204" spans="3:23" s="26" customFormat="1">
      <c r="C204" s="430"/>
      <c r="D204" s="430"/>
      <c r="E204" s="77"/>
      <c r="F204" s="361"/>
      <c r="I204" s="160"/>
      <c r="J204" s="160"/>
      <c r="T204" s="430"/>
      <c r="U204" s="430"/>
      <c r="W204" s="430"/>
    </row>
    <row r="205" spans="3:23" s="26" customFormat="1">
      <c r="C205" s="430"/>
      <c r="D205" s="430"/>
      <c r="E205" s="77"/>
      <c r="F205" s="361"/>
      <c r="I205" s="160"/>
      <c r="J205" s="160"/>
      <c r="T205" s="430"/>
      <c r="U205" s="430"/>
      <c r="W205" s="430"/>
    </row>
    <row r="206" spans="3:23" s="26" customFormat="1">
      <c r="C206" s="430"/>
      <c r="D206" s="430"/>
      <c r="E206" s="77"/>
      <c r="F206" s="361"/>
      <c r="I206" s="160"/>
      <c r="J206" s="160"/>
      <c r="T206" s="430"/>
      <c r="U206" s="430"/>
      <c r="W206" s="430"/>
    </row>
    <row r="207" spans="3:23" s="26" customFormat="1">
      <c r="C207" s="430"/>
      <c r="D207" s="430"/>
      <c r="E207" s="77"/>
      <c r="F207" s="361"/>
      <c r="I207" s="160"/>
      <c r="J207" s="160"/>
      <c r="T207" s="430"/>
      <c r="U207" s="430"/>
      <c r="W207" s="430"/>
    </row>
    <row r="208" spans="3:23" s="26" customFormat="1">
      <c r="C208" s="430"/>
      <c r="D208" s="430"/>
      <c r="E208" s="77"/>
      <c r="F208" s="361"/>
      <c r="I208" s="160"/>
      <c r="J208" s="160"/>
      <c r="T208" s="430"/>
      <c r="U208" s="430"/>
      <c r="W208" s="430"/>
    </row>
    <row r="209" spans="3:23" s="26" customFormat="1">
      <c r="C209" s="430"/>
      <c r="D209" s="430"/>
      <c r="E209" s="77"/>
      <c r="F209" s="361"/>
      <c r="I209" s="160"/>
      <c r="J209" s="160"/>
      <c r="T209" s="430"/>
      <c r="U209" s="430"/>
      <c r="W209" s="430"/>
    </row>
    <row r="210" spans="3:23" s="26" customFormat="1">
      <c r="E210" s="77"/>
      <c r="F210" s="361"/>
      <c r="I210" s="160"/>
      <c r="J210" s="160"/>
      <c r="T210" s="430"/>
      <c r="U210" s="430"/>
      <c r="W210" s="430"/>
    </row>
    <row r="211" spans="3:23" s="26" customFormat="1">
      <c r="E211" s="77"/>
      <c r="F211" s="361"/>
      <c r="I211" s="160"/>
      <c r="J211" s="160"/>
      <c r="T211" s="430"/>
      <c r="U211" s="430"/>
      <c r="W211" s="430"/>
    </row>
    <row r="212" spans="3:23" s="26" customFormat="1">
      <c r="E212" s="77"/>
      <c r="F212" s="361"/>
      <c r="I212" s="160"/>
      <c r="J212" s="160"/>
      <c r="T212" s="430"/>
      <c r="U212" s="430"/>
      <c r="W212" s="430"/>
    </row>
    <row r="213" spans="3:23" s="26" customFormat="1">
      <c r="E213" s="77"/>
      <c r="F213" s="361"/>
      <c r="I213" s="160"/>
      <c r="J213" s="160"/>
      <c r="T213" s="430"/>
      <c r="U213" s="430"/>
      <c r="W213" s="430"/>
    </row>
    <row r="214" spans="3:23" s="26" customFormat="1">
      <c r="E214" s="77"/>
      <c r="F214" s="361"/>
      <c r="I214" s="160"/>
      <c r="J214" s="160"/>
      <c r="T214" s="430"/>
      <c r="U214" s="430"/>
      <c r="W214" s="430"/>
    </row>
    <row r="215" spans="3:23" s="26" customFormat="1">
      <c r="E215" s="77"/>
      <c r="F215" s="361"/>
      <c r="I215" s="160"/>
      <c r="J215" s="160"/>
      <c r="T215" s="430"/>
      <c r="U215" s="430"/>
      <c r="W215" s="430"/>
    </row>
    <row r="216" spans="3:23" s="26" customFormat="1">
      <c r="E216" s="77"/>
      <c r="F216" s="361"/>
      <c r="I216" s="160"/>
      <c r="J216" s="160"/>
      <c r="T216" s="430"/>
      <c r="U216" s="430"/>
      <c r="W216" s="430"/>
    </row>
    <row r="217" spans="3:23" s="26" customFormat="1">
      <c r="E217" s="77"/>
      <c r="F217" s="361"/>
      <c r="I217" s="160"/>
      <c r="J217" s="160"/>
      <c r="T217" s="430"/>
      <c r="U217" s="430"/>
      <c r="W217" s="430"/>
    </row>
    <row r="218" spans="3:23" s="26" customFormat="1">
      <c r="E218" s="77"/>
      <c r="F218" s="361"/>
      <c r="I218" s="160"/>
      <c r="J218" s="160"/>
      <c r="T218" s="430"/>
      <c r="U218" s="430"/>
      <c r="W218" s="430"/>
    </row>
    <row r="219" spans="3:23" s="26" customFormat="1">
      <c r="E219" s="77"/>
      <c r="F219" s="361"/>
      <c r="I219" s="160"/>
      <c r="J219" s="160"/>
      <c r="T219" s="430"/>
      <c r="U219" s="430"/>
      <c r="W219" s="430"/>
    </row>
    <row r="220" spans="3:23" s="26" customFormat="1">
      <c r="E220" s="77"/>
      <c r="F220" s="361"/>
      <c r="I220" s="160"/>
      <c r="J220" s="160"/>
      <c r="T220" s="430"/>
      <c r="U220" s="430"/>
      <c r="W220" s="430"/>
    </row>
    <row r="221" spans="3:23" s="26" customFormat="1">
      <c r="E221" s="77"/>
      <c r="F221" s="361"/>
      <c r="I221" s="160"/>
      <c r="J221" s="160"/>
      <c r="T221" s="430"/>
      <c r="U221" s="430"/>
      <c r="W221" s="430"/>
    </row>
    <row r="222" spans="3:23" s="26" customFormat="1">
      <c r="E222" s="77"/>
      <c r="F222" s="361"/>
      <c r="I222" s="160"/>
      <c r="J222" s="160"/>
      <c r="T222" s="430"/>
      <c r="U222" s="430"/>
      <c r="W222" s="430"/>
    </row>
    <row r="223" spans="3:23" s="26" customFormat="1">
      <c r="E223" s="77"/>
      <c r="F223" s="361"/>
      <c r="I223" s="160"/>
      <c r="J223" s="160"/>
      <c r="T223" s="430"/>
      <c r="U223" s="430"/>
      <c r="W223" s="430"/>
    </row>
    <row r="224" spans="3:23" s="26" customFormat="1">
      <c r="E224" s="77"/>
      <c r="F224" s="361"/>
      <c r="I224" s="160"/>
      <c r="J224" s="160"/>
      <c r="T224" s="430"/>
      <c r="U224" s="430"/>
      <c r="W224" s="430"/>
    </row>
    <row r="225" spans="5:23" s="26" customFormat="1">
      <c r="E225" s="77"/>
      <c r="F225" s="361"/>
      <c r="I225" s="160"/>
      <c r="J225" s="160"/>
      <c r="T225" s="430"/>
      <c r="U225" s="430"/>
      <c r="W225" s="430"/>
    </row>
    <row r="226" spans="5:23" s="26" customFormat="1">
      <c r="E226" s="77"/>
      <c r="F226" s="361"/>
      <c r="I226" s="160"/>
      <c r="J226" s="160"/>
      <c r="T226" s="430"/>
      <c r="U226" s="430"/>
      <c r="W226" s="430"/>
    </row>
    <row r="227" spans="5:23" s="26" customFormat="1">
      <c r="E227" s="77"/>
      <c r="F227" s="361"/>
      <c r="I227" s="160"/>
      <c r="J227" s="160"/>
      <c r="T227" s="430"/>
      <c r="U227" s="430"/>
      <c r="W227" s="430"/>
    </row>
    <row r="228" spans="5:23" s="26" customFormat="1">
      <c r="E228" s="77"/>
      <c r="F228" s="361"/>
      <c r="I228" s="160"/>
      <c r="J228" s="160"/>
      <c r="T228" s="430"/>
      <c r="U228" s="430"/>
      <c r="W228" s="430"/>
    </row>
    <row r="229" spans="5:23" s="26" customFormat="1">
      <c r="E229" s="77"/>
      <c r="F229" s="361"/>
      <c r="I229" s="160"/>
      <c r="J229" s="160"/>
      <c r="T229" s="430"/>
      <c r="U229" s="430"/>
      <c r="W229" s="430"/>
    </row>
    <row r="230" spans="5:23" s="26" customFormat="1">
      <c r="E230" s="77"/>
      <c r="F230" s="361"/>
      <c r="I230" s="160"/>
      <c r="J230" s="160"/>
      <c r="T230" s="430"/>
      <c r="U230" s="430"/>
      <c r="W230" s="430"/>
    </row>
    <row r="231" spans="5:23" s="26" customFormat="1">
      <c r="E231" s="77"/>
      <c r="F231" s="361"/>
      <c r="I231" s="160"/>
      <c r="J231" s="160"/>
      <c r="T231" s="430"/>
      <c r="U231" s="430"/>
      <c r="W231" s="430"/>
    </row>
    <row r="232" spans="5:23" s="26" customFormat="1">
      <c r="E232" s="77"/>
      <c r="F232" s="361"/>
      <c r="I232" s="160"/>
      <c r="J232" s="160"/>
      <c r="T232" s="430"/>
      <c r="U232" s="430"/>
      <c r="W232" s="430"/>
    </row>
    <row r="233" spans="5:23" s="26" customFormat="1">
      <c r="E233" s="77"/>
      <c r="F233" s="361"/>
      <c r="I233" s="160"/>
      <c r="J233" s="160"/>
      <c r="T233" s="430"/>
      <c r="U233" s="430"/>
      <c r="W233" s="430"/>
    </row>
    <row r="234" spans="5:23" s="26" customFormat="1">
      <c r="E234" s="77"/>
      <c r="F234" s="361"/>
      <c r="I234" s="160"/>
      <c r="J234" s="160"/>
      <c r="T234" s="430"/>
      <c r="U234" s="430"/>
      <c r="W234" s="430"/>
    </row>
    <row r="235" spans="5:23" s="26" customFormat="1">
      <c r="E235" s="77"/>
      <c r="F235" s="361"/>
      <c r="I235" s="160"/>
      <c r="J235" s="160"/>
      <c r="T235" s="430"/>
      <c r="U235" s="430"/>
      <c r="W235" s="430"/>
    </row>
    <row r="236" spans="5:23" s="26" customFormat="1">
      <c r="E236" s="77"/>
      <c r="F236" s="361"/>
      <c r="I236" s="160"/>
      <c r="J236" s="160"/>
      <c r="T236" s="430"/>
      <c r="U236" s="430"/>
      <c r="W236" s="430"/>
    </row>
    <row r="237" spans="5:23" s="26" customFormat="1">
      <c r="E237" s="77"/>
      <c r="F237" s="361"/>
      <c r="I237" s="160"/>
      <c r="J237" s="160"/>
      <c r="T237" s="430"/>
      <c r="U237" s="430"/>
      <c r="W237" s="430"/>
    </row>
    <row r="238" spans="5:23" s="26" customFormat="1">
      <c r="E238" s="77"/>
      <c r="F238" s="361"/>
      <c r="I238" s="160"/>
      <c r="J238" s="160"/>
      <c r="T238" s="430"/>
      <c r="U238" s="430"/>
      <c r="W238" s="430"/>
    </row>
    <row r="239" spans="5:23" s="26" customFormat="1">
      <c r="E239" s="77"/>
      <c r="F239" s="361"/>
      <c r="I239" s="160"/>
      <c r="J239" s="160"/>
      <c r="T239" s="430"/>
      <c r="U239" s="430"/>
      <c r="W239" s="430"/>
    </row>
    <row r="240" spans="5:23" s="26" customFormat="1">
      <c r="E240" s="77"/>
      <c r="F240" s="361"/>
      <c r="I240" s="160"/>
      <c r="J240" s="160"/>
      <c r="T240" s="430"/>
      <c r="U240" s="430"/>
      <c r="W240" s="430"/>
    </row>
    <row r="241" spans="5:23" s="26" customFormat="1">
      <c r="E241" s="77"/>
      <c r="F241" s="361"/>
      <c r="I241" s="160"/>
      <c r="J241" s="160"/>
      <c r="T241" s="430"/>
      <c r="U241" s="430"/>
      <c r="W241" s="430"/>
    </row>
    <row r="242" spans="5:23" s="26" customFormat="1">
      <c r="E242" s="77"/>
      <c r="F242" s="361"/>
      <c r="I242" s="160"/>
      <c r="J242" s="160"/>
      <c r="T242" s="430"/>
      <c r="U242" s="430"/>
      <c r="W242" s="430"/>
    </row>
    <row r="243" spans="5:23" s="26" customFormat="1">
      <c r="E243" s="77"/>
      <c r="F243" s="361"/>
      <c r="I243" s="160"/>
      <c r="J243" s="160"/>
      <c r="T243" s="430"/>
      <c r="U243" s="430"/>
      <c r="W243" s="430"/>
    </row>
    <row r="244" spans="5:23" s="26" customFormat="1">
      <c r="E244" s="77"/>
      <c r="F244" s="361"/>
      <c r="I244" s="160"/>
      <c r="J244" s="160"/>
      <c r="T244" s="430"/>
      <c r="U244" s="430"/>
      <c r="W244" s="430"/>
    </row>
    <row r="245" spans="5:23" s="26" customFormat="1">
      <c r="E245" s="77"/>
      <c r="F245" s="361"/>
      <c r="I245" s="160"/>
      <c r="J245" s="160"/>
      <c r="T245" s="430"/>
      <c r="U245" s="430"/>
      <c r="W245" s="430"/>
    </row>
    <row r="246" spans="5:23" s="26" customFormat="1">
      <c r="E246" s="77"/>
      <c r="F246" s="361"/>
      <c r="I246" s="160"/>
      <c r="J246" s="160"/>
      <c r="T246" s="430"/>
      <c r="U246" s="430"/>
      <c r="W246" s="430"/>
    </row>
    <row r="247" spans="5:23" s="26" customFormat="1">
      <c r="E247" s="77"/>
      <c r="F247" s="361"/>
      <c r="I247" s="160"/>
      <c r="J247" s="160"/>
      <c r="T247" s="430"/>
      <c r="U247" s="430"/>
      <c r="W247" s="430"/>
    </row>
    <row r="248" spans="5:23" s="26" customFormat="1">
      <c r="E248" s="77"/>
      <c r="F248" s="361"/>
      <c r="I248" s="160"/>
      <c r="J248" s="160"/>
      <c r="T248" s="430"/>
      <c r="U248" s="430"/>
      <c r="W248" s="430"/>
    </row>
    <row r="249" spans="5:23" s="26" customFormat="1">
      <c r="E249" s="77"/>
      <c r="F249" s="361"/>
      <c r="I249" s="160"/>
      <c r="J249" s="160"/>
      <c r="T249" s="430"/>
      <c r="U249" s="430"/>
      <c r="W249" s="430"/>
    </row>
    <row r="250" spans="5:23" s="26" customFormat="1">
      <c r="E250" s="77"/>
      <c r="F250" s="361"/>
      <c r="I250" s="160"/>
      <c r="J250" s="160"/>
      <c r="T250" s="430"/>
      <c r="U250" s="430"/>
      <c r="W250" s="430"/>
    </row>
    <row r="251" spans="5:23" s="26" customFormat="1">
      <c r="E251" s="77"/>
      <c r="F251" s="361"/>
      <c r="I251" s="160"/>
      <c r="J251" s="160"/>
      <c r="T251" s="430"/>
      <c r="U251" s="430"/>
      <c r="W251" s="430"/>
    </row>
    <row r="252" spans="5:23" s="26" customFormat="1">
      <c r="E252" s="77"/>
      <c r="F252" s="361"/>
      <c r="I252" s="160"/>
      <c r="J252" s="160"/>
      <c r="T252" s="430"/>
      <c r="U252" s="430"/>
      <c r="W252" s="430"/>
    </row>
    <row r="253" spans="5:23" s="26" customFormat="1">
      <c r="E253" s="77"/>
      <c r="F253" s="361"/>
      <c r="I253" s="160"/>
      <c r="J253" s="160"/>
      <c r="T253" s="430"/>
      <c r="U253" s="430"/>
      <c r="W253" s="430"/>
    </row>
    <row r="254" spans="5:23" s="26" customFormat="1">
      <c r="E254" s="77"/>
      <c r="F254" s="361"/>
      <c r="I254" s="160"/>
      <c r="J254" s="160"/>
      <c r="T254" s="430"/>
      <c r="U254" s="430"/>
      <c r="W254" s="430"/>
    </row>
    <row r="255" spans="5:23" s="26" customFormat="1">
      <c r="E255" s="77"/>
      <c r="F255" s="361"/>
      <c r="I255" s="160"/>
      <c r="J255" s="160"/>
      <c r="T255" s="430"/>
      <c r="U255" s="430"/>
      <c r="W255" s="430"/>
    </row>
    <row r="256" spans="5:23" s="26" customFormat="1">
      <c r="E256" s="77"/>
      <c r="F256" s="361"/>
      <c r="I256" s="160"/>
      <c r="J256" s="160"/>
      <c r="T256" s="430"/>
      <c r="U256" s="430"/>
      <c r="W256" s="430"/>
    </row>
    <row r="257" spans="5:23" s="26" customFormat="1">
      <c r="E257" s="77"/>
      <c r="F257" s="361"/>
      <c r="I257" s="160"/>
      <c r="J257" s="160"/>
      <c r="T257" s="430"/>
      <c r="U257" s="430"/>
      <c r="W257" s="430"/>
    </row>
    <row r="258" spans="5:23" s="26" customFormat="1">
      <c r="E258" s="77"/>
      <c r="F258" s="361"/>
      <c r="I258" s="160"/>
      <c r="J258" s="160"/>
      <c r="T258" s="430"/>
      <c r="U258" s="430"/>
      <c r="W258" s="430"/>
    </row>
    <row r="259" spans="5:23" s="26" customFormat="1">
      <c r="E259" s="77"/>
      <c r="F259" s="361"/>
      <c r="I259" s="160"/>
      <c r="J259" s="160"/>
      <c r="T259" s="430"/>
      <c r="U259" s="430"/>
      <c r="W259" s="430"/>
    </row>
    <row r="260" spans="5:23" s="26" customFormat="1">
      <c r="E260" s="77"/>
      <c r="F260" s="361"/>
      <c r="I260" s="160"/>
      <c r="J260" s="160"/>
      <c r="T260" s="430"/>
      <c r="U260" s="430"/>
      <c r="W260" s="430"/>
    </row>
    <row r="261" spans="5:23" s="26" customFormat="1">
      <c r="E261" s="77"/>
      <c r="F261" s="361"/>
      <c r="I261" s="160"/>
      <c r="J261" s="160"/>
      <c r="T261" s="430"/>
      <c r="U261" s="430"/>
      <c r="W261" s="430"/>
    </row>
    <row r="262" spans="5:23" s="26" customFormat="1">
      <c r="E262" s="77"/>
      <c r="F262" s="361"/>
      <c r="I262" s="160"/>
      <c r="J262" s="160"/>
      <c r="T262" s="430"/>
      <c r="U262" s="430"/>
      <c r="W262" s="430"/>
    </row>
    <row r="263" spans="5:23" s="26" customFormat="1">
      <c r="E263" s="77"/>
      <c r="F263" s="361"/>
      <c r="I263" s="160"/>
      <c r="J263" s="160"/>
      <c r="T263" s="430"/>
      <c r="U263" s="430"/>
      <c r="W263" s="430"/>
    </row>
    <row r="264" spans="5:23" s="26" customFormat="1">
      <c r="E264" s="77"/>
      <c r="F264" s="361"/>
      <c r="I264" s="160"/>
      <c r="J264" s="160"/>
      <c r="T264" s="430"/>
      <c r="U264" s="430"/>
      <c r="W264" s="430"/>
    </row>
    <row r="265" spans="5:23" s="26" customFormat="1">
      <c r="E265" s="77"/>
      <c r="F265" s="361"/>
      <c r="I265" s="160"/>
      <c r="J265" s="160"/>
      <c r="T265" s="430"/>
      <c r="U265" s="430"/>
      <c r="W265" s="430"/>
    </row>
    <row r="266" spans="5:23" s="26" customFormat="1">
      <c r="E266" s="77"/>
      <c r="F266" s="361"/>
      <c r="I266" s="160"/>
      <c r="J266" s="160"/>
      <c r="T266" s="430"/>
      <c r="U266" s="430"/>
      <c r="W266" s="430"/>
    </row>
    <row r="267" spans="5:23" s="26" customFormat="1">
      <c r="E267" s="77"/>
      <c r="F267" s="361"/>
      <c r="I267" s="160"/>
      <c r="J267" s="160"/>
      <c r="T267" s="430"/>
      <c r="U267" s="430"/>
      <c r="W267" s="430"/>
    </row>
    <row r="268" spans="5:23" s="26" customFormat="1">
      <c r="E268" s="77"/>
      <c r="F268" s="361"/>
      <c r="I268" s="160"/>
      <c r="J268" s="160"/>
      <c r="T268" s="430"/>
      <c r="U268" s="430"/>
      <c r="W268" s="430"/>
    </row>
    <row r="269" spans="5:23" s="26" customFormat="1">
      <c r="E269" s="77"/>
      <c r="F269" s="361"/>
      <c r="I269" s="160"/>
      <c r="J269" s="160"/>
      <c r="T269" s="430"/>
      <c r="U269" s="430"/>
      <c r="W269" s="430"/>
    </row>
    <row r="270" spans="5:23" s="26" customFormat="1">
      <c r="E270" s="77"/>
      <c r="F270" s="361"/>
      <c r="I270" s="160"/>
      <c r="J270" s="160"/>
      <c r="T270" s="430"/>
      <c r="U270" s="430"/>
      <c r="W270" s="430"/>
    </row>
    <row r="271" spans="5:23" s="26" customFormat="1">
      <c r="E271" s="77"/>
      <c r="F271" s="361"/>
      <c r="I271" s="160"/>
      <c r="J271" s="160"/>
      <c r="T271" s="430"/>
      <c r="U271" s="430"/>
      <c r="W271" s="430"/>
    </row>
    <row r="272" spans="5:23" s="26" customFormat="1">
      <c r="E272" s="77"/>
      <c r="F272" s="361"/>
      <c r="I272" s="160"/>
      <c r="J272" s="160"/>
      <c r="T272" s="430"/>
      <c r="U272" s="430"/>
      <c r="W272" s="430"/>
    </row>
    <row r="273" spans="5:23" s="26" customFormat="1">
      <c r="E273" s="77"/>
      <c r="F273" s="361"/>
      <c r="I273" s="160"/>
      <c r="J273" s="160"/>
      <c r="T273" s="430"/>
      <c r="U273" s="430"/>
      <c r="W273" s="430"/>
    </row>
    <row r="274" spans="5:23" s="26" customFormat="1">
      <c r="E274" s="77"/>
      <c r="F274" s="361"/>
      <c r="I274" s="160"/>
      <c r="J274" s="160"/>
      <c r="T274" s="430"/>
      <c r="U274" s="430"/>
      <c r="W274" s="430"/>
    </row>
    <row r="275" spans="5:23" s="26" customFormat="1">
      <c r="E275" s="77"/>
      <c r="F275" s="361"/>
      <c r="I275" s="160"/>
      <c r="J275" s="160"/>
      <c r="T275" s="430"/>
      <c r="U275" s="430"/>
      <c r="W275" s="430"/>
    </row>
    <row r="276" spans="5:23" s="26" customFormat="1">
      <c r="E276" s="77"/>
      <c r="F276" s="361"/>
      <c r="I276" s="160"/>
      <c r="J276" s="160"/>
      <c r="T276" s="430"/>
      <c r="U276" s="430"/>
      <c r="W276" s="430"/>
    </row>
    <row r="277" spans="5:23" s="26" customFormat="1">
      <c r="E277" s="77"/>
      <c r="F277" s="361"/>
      <c r="I277" s="160"/>
      <c r="J277" s="160"/>
      <c r="T277" s="430"/>
      <c r="U277" s="430"/>
      <c r="W277" s="430"/>
    </row>
    <row r="278" spans="5:23" s="26" customFormat="1">
      <c r="E278" s="77"/>
      <c r="F278" s="361"/>
      <c r="I278" s="160"/>
      <c r="J278" s="160"/>
      <c r="T278" s="430"/>
      <c r="U278" s="430"/>
      <c r="W278" s="430"/>
    </row>
    <row r="279" spans="5:23" s="26" customFormat="1">
      <c r="E279" s="77"/>
      <c r="F279" s="361"/>
      <c r="I279" s="160"/>
      <c r="J279" s="160"/>
      <c r="T279" s="430"/>
      <c r="U279" s="430"/>
      <c r="W279" s="430"/>
    </row>
    <row r="280" spans="5:23" s="26" customFormat="1">
      <c r="E280" s="77"/>
      <c r="F280" s="361"/>
      <c r="I280" s="160"/>
      <c r="J280" s="160"/>
      <c r="T280" s="430"/>
      <c r="U280" s="430"/>
      <c r="W280" s="430"/>
    </row>
    <row r="281" spans="5:23" s="26" customFormat="1">
      <c r="E281" s="77"/>
      <c r="F281" s="361"/>
      <c r="I281" s="160"/>
      <c r="J281" s="160"/>
      <c r="T281" s="430"/>
      <c r="U281" s="430"/>
      <c r="W281" s="430"/>
    </row>
    <row r="282" spans="5:23" s="26" customFormat="1">
      <c r="E282" s="77"/>
      <c r="F282" s="361"/>
      <c r="I282" s="160"/>
      <c r="J282" s="160"/>
      <c r="T282" s="430"/>
      <c r="U282" s="430"/>
      <c r="W282" s="430"/>
    </row>
    <row r="283" spans="5:23" s="26" customFormat="1">
      <c r="E283" s="77"/>
      <c r="F283" s="361"/>
      <c r="I283" s="160"/>
      <c r="J283" s="160"/>
      <c r="T283" s="430"/>
      <c r="U283" s="430"/>
      <c r="W283" s="430"/>
    </row>
    <row r="284" spans="5:23" s="26" customFormat="1">
      <c r="E284" s="77"/>
      <c r="F284" s="361"/>
      <c r="I284" s="160"/>
      <c r="J284" s="160"/>
      <c r="T284" s="430"/>
      <c r="U284" s="430"/>
      <c r="W284" s="430"/>
    </row>
    <row r="285" spans="5:23" s="26" customFormat="1">
      <c r="E285" s="77"/>
      <c r="F285" s="361"/>
      <c r="I285" s="160"/>
      <c r="J285" s="160"/>
      <c r="T285" s="430"/>
      <c r="U285" s="430"/>
      <c r="W285" s="430"/>
    </row>
    <row r="286" spans="5:23" s="26" customFormat="1">
      <c r="E286" s="77"/>
      <c r="F286" s="361"/>
      <c r="I286" s="160"/>
      <c r="J286" s="160"/>
      <c r="T286" s="430"/>
      <c r="U286" s="430"/>
      <c r="W286" s="430"/>
    </row>
    <row r="287" spans="5:23" s="26" customFormat="1">
      <c r="E287" s="77"/>
      <c r="F287" s="361"/>
      <c r="I287" s="160"/>
      <c r="J287" s="160"/>
      <c r="T287" s="430"/>
      <c r="U287" s="430"/>
      <c r="W287" s="430"/>
    </row>
    <row r="288" spans="5:23" s="26" customFormat="1">
      <c r="E288" s="77"/>
      <c r="F288" s="361"/>
      <c r="I288" s="160"/>
      <c r="J288" s="160"/>
      <c r="T288" s="430"/>
      <c r="U288" s="430"/>
      <c r="W288" s="430"/>
    </row>
    <row r="289" spans="5:23" s="26" customFormat="1">
      <c r="E289" s="77"/>
      <c r="F289" s="361"/>
      <c r="I289" s="160"/>
      <c r="J289" s="160"/>
      <c r="T289" s="430"/>
      <c r="U289" s="430"/>
      <c r="W289" s="430"/>
    </row>
    <row r="290" spans="5:23" s="26" customFormat="1">
      <c r="E290" s="77"/>
      <c r="F290" s="361"/>
      <c r="I290" s="160"/>
      <c r="J290" s="160"/>
      <c r="T290" s="430"/>
      <c r="U290" s="430"/>
      <c r="W290" s="430"/>
    </row>
    <row r="291" spans="5:23" s="26" customFormat="1">
      <c r="E291" s="77"/>
      <c r="F291" s="361"/>
      <c r="I291" s="160"/>
      <c r="J291" s="160"/>
      <c r="T291" s="430"/>
      <c r="U291" s="430"/>
      <c r="W291" s="430"/>
    </row>
    <row r="292" spans="5:23" s="26" customFormat="1">
      <c r="E292" s="77"/>
      <c r="F292" s="361"/>
      <c r="I292" s="160"/>
      <c r="J292" s="160"/>
      <c r="T292" s="430"/>
      <c r="U292" s="430"/>
      <c r="W292" s="430"/>
    </row>
    <row r="293" spans="5:23" s="26" customFormat="1">
      <c r="E293" s="77"/>
      <c r="F293" s="361"/>
      <c r="I293" s="160"/>
      <c r="J293" s="160"/>
      <c r="T293" s="430"/>
      <c r="U293" s="430"/>
      <c r="W293" s="430"/>
    </row>
    <row r="294" spans="5:23" s="26" customFormat="1">
      <c r="E294" s="77"/>
      <c r="F294" s="361"/>
      <c r="I294" s="160"/>
      <c r="J294" s="160"/>
      <c r="T294" s="430"/>
      <c r="U294" s="430"/>
      <c r="W294" s="430"/>
    </row>
    <row r="295" spans="5:23" s="26" customFormat="1">
      <c r="E295" s="77"/>
      <c r="F295" s="361"/>
      <c r="I295" s="160"/>
      <c r="J295" s="160"/>
      <c r="T295" s="430"/>
      <c r="U295" s="430"/>
      <c r="W295" s="430"/>
    </row>
    <row r="296" spans="5:23" s="26" customFormat="1">
      <c r="E296" s="77"/>
      <c r="F296" s="361"/>
      <c r="I296" s="160"/>
      <c r="J296" s="160"/>
      <c r="T296" s="430"/>
      <c r="U296" s="430"/>
      <c r="W296" s="430"/>
    </row>
    <row r="297" spans="5:23" s="26" customFormat="1">
      <c r="E297" s="77"/>
      <c r="F297" s="361"/>
      <c r="I297" s="160"/>
      <c r="J297" s="160"/>
      <c r="T297" s="430"/>
      <c r="U297" s="430"/>
      <c r="W297" s="430"/>
    </row>
    <row r="298" spans="5:23" s="26" customFormat="1">
      <c r="E298" s="77"/>
      <c r="F298" s="361"/>
      <c r="I298" s="160"/>
      <c r="J298" s="160"/>
      <c r="T298" s="430"/>
      <c r="U298" s="430"/>
      <c r="W298" s="430"/>
    </row>
    <row r="299" spans="5:23" s="26" customFormat="1">
      <c r="E299" s="77"/>
      <c r="F299" s="361"/>
      <c r="I299" s="160"/>
      <c r="J299" s="160"/>
      <c r="T299" s="430"/>
      <c r="U299" s="430"/>
      <c r="W299" s="430"/>
    </row>
    <row r="300" spans="5:23" s="26" customFormat="1">
      <c r="E300" s="77"/>
      <c r="F300" s="361"/>
      <c r="I300" s="160"/>
      <c r="J300" s="160"/>
      <c r="T300" s="430"/>
      <c r="U300" s="430"/>
      <c r="W300" s="430"/>
    </row>
    <row r="301" spans="5:23" s="26" customFormat="1">
      <c r="E301" s="77"/>
      <c r="F301" s="361"/>
      <c r="I301" s="160"/>
      <c r="J301" s="160"/>
      <c r="T301" s="430"/>
      <c r="U301" s="430"/>
      <c r="W301" s="430"/>
    </row>
    <row r="302" spans="5:23" s="26" customFormat="1">
      <c r="E302" s="77"/>
      <c r="F302" s="361"/>
      <c r="I302" s="160"/>
      <c r="J302" s="160"/>
      <c r="T302" s="430"/>
      <c r="U302" s="430"/>
      <c r="W302" s="430"/>
    </row>
    <row r="303" spans="5:23" s="26" customFormat="1">
      <c r="E303" s="77"/>
      <c r="F303" s="361"/>
      <c r="I303" s="160"/>
      <c r="J303" s="160"/>
      <c r="T303" s="430"/>
      <c r="U303" s="430"/>
      <c r="W303" s="430"/>
    </row>
    <row r="304" spans="5:23" s="26" customFormat="1">
      <c r="E304" s="77"/>
      <c r="F304" s="361"/>
      <c r="I304" s="160"/>
      <c r="J304" s="160"/>
      <c r="T304" s="430"/>
      <c r="U304" s="430"/>
      <c r="W304" s="430"/>
    </row>
    <row r="305" spans="5:23" s="26" customFormat="1">
      <c r="E305" s="77"/>
      <c r="F305" s="361"/>
      <c r="I305" s="160"/>
      <c r="J305" s="160"/>
      <c r="T305" s="430"/>
      <c r="U305" s="430"/>
      <c r="W305" s="430"/>
    </row>
    <row r="306" spans="5:23" s="26" customFormat="1">
      <c r="E306" s="77"/>
      <c r="F306" s="361"/>
      <c r="I306" s="160"/>
      <c r="J306" s="160"/>
      <c r="T306" s="430"/>
      <c r="U306" s="430"/>
      <c r="W306" s="430"/>
    </row>
    <row r="307" spans="5:23" s="26" customFormat="1">
      <c r="E307" s="77"/>
      <c r="F307" s="361"/>
      <c r="I307" s="160"/>
      <c r="J307" s="160"/>
      <c r="T307" s="430"/>
      <c r="U307" s="430"/>
      <c r="W307" s="430"/>
    </row>
    <row r="308" spans="5:23" s="26" customFormat="1">
      <c r="E308" s="77"/>
      <c r="F308" s="361"/>
      <c r="I308" s="160"/>
      <c r="J308" s="160"/>
      <c r="T308" s="430"/>
      <c r="U308" s="430"/>
      <c r="W308" s="430"/>
    </row>
    <row r="309" spans="5:23" s="26" customFormat="1">
      <c r="E309" s="77"/>
      <c r="F309" s="361"/>
      <c r="I309" s="160"/>
      <c r="J309" s="160"/>
      <c r="T309" s="430"/>
      <c r="U309" s="430"/>
      <c r="W309" s="430"/>
    </row>
    <row r="310" spans="5:23" s="26" customFormat="1">
      <c r="E310" s="77"/>
      <c r="F310" s="361"/>
      <c r="I310" s="160"/>
      <c r="J310" s="160"/>
      <c r="T310" s="430"/>
      <c r="U310" s="430"/>
      <c r="W310" s="430"/>
    </row>
    <row r="311" spans="5:23" s="26" customFormat="1">
      <c r="E311" s="77"/>
      <c r="F311" s="361"/>
      <c r="I311" s="160"/>
      <c r="J311" s="160"/>
      <c r="T311" s="430"/>
      <c r="U311" s="430"/>
      <c r="W311" s="430"/>
    </row>
    <row r="312" spans="5:23" s="26" customFormat="1">
      <c r="E312" s="77"/>
      <c r="F312" s="361"/>
      <c r="I312" s="160"/>
      <c r="J312" s="160"/>
      <c r="T312" s="430"/>
      <c r="U312" s="430"/>
      <c r="W312" s="430"/>
    </row>
    <row r="313" spans="5:23" s="26" customFormat="1">
      <c r="E313" s="77"/>
      <c r="F313" s="361"/>
      <c r="I313" s="160"/>
      <c r="J313" s="160"/>
      <c r="T313" s="430"/>
      <c r="U313" s="430"/>
      <c r="W313" s="430"/>
    </row>
    <row r="314" spans="5:23" s="26" customFormat="1">
      <c r="E314" s="77"/>
      <c r="F314" s="361"/>
      <c r="I314" s="160"/>
      <c r="J314" s="160"/>
      <c r="T314" s="430"/>
      <c r="U314" s="430"/>
      <c r="W314" s="430"/>
    </row>
    <row r="315" spans="5:23" s="26" customFormat="1">
      <c r="E315" s="77"/>
      <c r="F315" s="361"/>
      <c r="I315" s="160"/>
      <c r="J315" s="160"/>
      <c r="T315" s="430"/>
      <c r="U315" s="430"/>
      <c r="W315" s="430"/>
    </row>
    <row r="316" spans="5:23" s="26" customFormat="1">
      <c r="E316" s="77"/>
      <c r="F316" s="361"/>
      <c r="I316" s="160"/>
      <c r="J316" s="160"/>
      <c r="T316" s="430"/>
      <c r="U316" s="430"/>
      <c r="W316" s="430"/>
    </row>
    <row r="317" spans="5:23" s="26" customFormat="1">
      <c r="E317" s="77"/>
      <c r="F317" s="361"/>
      <c r="I317" s="160"/>
      <c r="J317" s="160"/>
      <c r="T317" s="430"/>
      <c r="U317" s="430"/>
      <c r="W317" s="430"/>
    </row>
    <row r="318" spans="5:23" s="26" customFormat="1">
      <c r="E318" s="77"/>
      <c r="F318" s="361"/>
      <c r="I318" s="160"/>
      <c r="J318" s="160"/>
      <c r="T318" s="430"/>
      <c r="U318" s="430"/>
      <c r="W318" s="430"/>
    </row>
    <row r="319" spans="5:23" s="26" customFormat="1">
      <c r="E319" s="77"/>
      <c r="F319" s="361"/>
      <c r="I319" s="160"/>
      <c r="J319" s="160"/>
      <c r="T319" s="430"/>
      <c r="U319" s="430"/>
      <c r="W319" s="430"/>
    </row>
    <row r="320" spans="5:23" s="26" customFormat="1">
      <c r="E320" s="77"/>
      <c r="F320" s="361"/>
      <c r="I320" s="160"/>
      <c r="J320" s="160"/>
      <c r="T320" s="430"/>
      <c r="U320" s="430"/>
      <c r="W320" s="430"/>
    </row>
    <row r="321" spans="5:23" s="26" customFormat="1">
      <c r="E321" s="77"/>
      <c r="F321" s="361"/>
      <c r="I321" s="160"/>
      <c r="J321" s="160"/>
      <c r="T321" s="430"/>
      <c r="U321" s="430"/>
      <c r="W321" s="430"/>
    </row>
    <row r="322" spans="5:23" s="26" customFormat="1">
      <c r="E322" s="77"/>
      <c r="F322" s="361"/>
      <c r="I322" s="160"/>
      <c r="J322" s="160"/>
      <c r="T322" s="430"/>
      <c r="U322" s="430"/>
      <c r="W322" s="430"/>
    </row>
    <row r="323" spans="5:23" s="26" customFormat="1">
      <c r="E323" s="77"/>
      <c r="F323" s="361"/>
      <c r="I323" s="160"/>
      <c r="J323" s="160"/>
      <c r="T323" s="430"/>
      <c r="U323" s="430"/>
      <c r="W323" s="430"/>
    </row>
    <row r="324" spans="5:23" s="26" customFormat="1">
      <c r="E324" s="77"/>
      <c r="F324" s="361"/>
      <c r="I324" s="160"/>
      <c r="J324" s="160"/>
      <c r="T324" s="430"/>
      <c r="U324" s="430"/>
      <c r="W324" s="430"/>
    </row>
    <row r="325" spans="5:23" s="26" customFormat="1">
      <c r="E325" s="77"/>
      <c r="F325" s="361"/>
      <c r="I325" s="160"/>
      <c r="J325" s="160"/>
      <c r="T325" s="430"/>
      <c r="U325" s="430"/>
      <c r="W325" s="430"/>
    </row>
    <row r="326" spans="5:23" s="26" customFormat="1">
      <c r="E326" s="77"/>
      <c r="F326" s="361"/>
      <c r="I326" s="160"/>
      <c r="J326" s="160"/>
      <c r="T326" s="430"/>
      <c r="U326" s="430"/>
      <c r="W326" s="430"/>
    </row>
    <row r="327" spans="5:23" s="26" customFormat="1">
      <c r="E327" s="77"/>
      <c r="F327" s="361"/>
      <c r="I327" s="160"/>
      <c r="J327" s="160"/>
      <c r="T327" s="430"/>
      <c r="U327" s="430"/>
      <c r="W327" s="430"/>
    </row>
    <row r="328" spans="5:23" s="26" customFormat="1">
      <c r="E328" s="77"/>
      <c r="F328" s="361"/>
      <c r="I328" s="160"/>
      <c r="J328" s="160"/>
      <c r="T328" s="430"/>
      <c r="U328" s="430"/>
      <c r="W328" s="430"/>
    </row>
    <row r="329" spans="5:23" s="26" customFormat="1">
      <c r="E329" s="77"/>
      <c r="F329" s="361"/>
      <c r="I329" s="160"/>
      <c r="J329" s="160"/>
      <c r="T329" s="430"/>
      <c r="U329" s="430"/>
      <c r="W329" s="430"/>
    </row>
    <row r="330" spans="5:23" s="26" customFormat="1">
      <c r="E330" s="77"/>
      <c r="F330" s="361"/>
      <c r="I330" s="160"/>
      <c r="J330" s="160"/>
      <c r="T330" s="430"/>
      <c r="U330" s="430"/>
      <c r="W330" s="430"/>
    </row>
    <row r="331" spans="5:23" s="26" customFormat="1">
      <c r="E331" s="77"/>
      <c r="F331" s="361"/>
      <c r="I331" s="160"/>
      <c r="J331" s="160"/>
      <c r="T331" s="430"/>
      <c r="U331" s="430"/>
      <c r="W331" s="430"/>
    </row>
    <row r="332" spans="5:23" s="26" customFormat="1">
      <c r="E332" s="77"/>
      <c r="F332" s="361"/>
      <c r="I332" s="160"/>
      <c r="J332" s="160"/>
      <c r="T332" s="430"/>
      <c r="U332" s="430"/>
      <c r="W332" s="430"/>
    </row>
    <row r="333" spans="5:23" s="26" customFormat="1">
      <c r="E333" s="77"/>
      <c r="F333" s="361"/>
      <c r="I333" s="160"/>
      <c r="J333" s="160"/>
      <c r="T333" s="430"/>
      <c r="U333" s="430"/>
      <c r="W333" s="430"/>
    </row>
    <row r="334" spans="5:23" s="26" customFormat="1">
      <c r="E334" s="77"/>
      <c r="F334" s="361"/>
      <c r="I334" s="160"/>
      <c r="J334" s="160"/>
      <c r="T334" s="430"/>
      <c r="U334" s="430"/>
      <c r="W334" s="430"/>
    </row>
    <row r="335" spans="5:23" s="26" customFormat="1">
      <c r="E335" s="77"/>
      <c r="F335" s="361"/>
      <c r="I335" s="160"/>
      <c r="J335" s="160"/>
      <c r="T335" s="430"/>
      <c r="U335" s="430"/>
      <c r="W335" s="430"/>
    </row>
    <row r="336" spans="5:23" s="26" customFormat="1">
      <c r="E336" s="77"/>
      <c r="F336" s="361"/>
      <c r="I336" s="160"/>
      <c r="J336" s="160"/>
      <c r="T336" s="430"/>
      <c r="U336" s="430"/>
      <c r="W336" s="430"/>
    </row>
    <row r="337" spans="5:23" s="26" customFormat="1">
      <c r="E337" s="77"/>
      <c r="F337" s="361"/>
      <c r="I337" s="160"/>
      <c r="J337" s="160"/>
      <c r="T337" s="430"/>
      <c r="U337" s="430"/>
      <c r="W337" s="430"/>
    </row>
    <row r="338" spans="5:23" s="26" customFormat="1">
      <c r="E338" s="77"/>
      <c r="F338" s="361"/>
      <c r="I338" s="160"/>
      <c r="J338" s="160"/>
      <c r="T338" s="430"/>
      <c r="U338" s="430"/>
      <c r="W338" s="430"/>
    </row>
    <row r="339" spans="5:23" s="26" customFormat="1">
      <c r="E339" s="77"/>
      <c r="F339" s="361"/>
      <c r="I339" s="160"/>
      <c r="J339" s="160"/>
      <c r="T339" s="430"/>
      <c r="U339" s="430"/>
      <c r="W339" s="430"/>
    </row>
    <row r="340" spans="5:23" s="26" customFormat="1">
      <c r="E340" s="77"/>
      <c r="F340" s="361"/>
      <c r="I340" s="160"/>
      <c r="J340" s="160"/>
      <c r="T340" s="430"/>
      <c r="U340" s="430"/>
      <c r="W340" s="430"/>
    </row>
    <row r="341" spans="5:23" s="26" customFormat="1">
      <c r="E341" s="77"/>
      <c r="F341" s="361"/>
      <c r="I341" s="160"/>
      <c r="J341" s="160"/>
      <c r="T341" s="430"/>
      <c r="U341" s="430"/>
      <c r="W341" s="430"/>
    </row>
    <row r="342" spans="5:23" s="26" customFormat="1">
      <c r="E342" s="77"/>
      <c r="F342" s="361"/>
      <c r="I342" s="160"/>
      <c r="J342" s="160"/>
      <c r="T342" s="430"/>
      <c r="U342" s="430"/>
      <c r="W342" s="430"/>
    </row>
    <row r="343" spans="5:23" s="26" customFormat="1">
      <c r="E343" s="77"/>
      <c r="F343" s="361"/>
      <c r="I343" s="160"/>
      <c r="J343" s="160"/>
      <c r="T343" s="430"/>
      <c r="U343" s="430"/>
      <c r="W343" s="430"/>
    </row>
    <row r="344" spans="5:23" s="26" customFormat="1">
      <c r="E344" s="77"/>
      <c r="F344" s="361"/>
      <c r="I344" s="160"/>
      <c r="J344" s="160"/>
      <c r="T344" s="430"/>
      <c r="U344" s="430"/>
      <c r="W344" s="430"/>
    </row>
    <row r="345" spans="5:23" s="26" customFormat="1">
      <c r="E345" s="77"/>
      <c r="F345" s="361"/>
      <c r="I345" s="160"/>
      <c r="J345" s="160"/>
      <c r="T345" s="430"/>
      <c r="U345" s="430"/>
      <c r="W345" s="430"/>
    </row>
    <row r="346" spans="5:23" s="26" customFormat="1">
      <c r="E346" s="77"/>
      <c r="F346" s="361"/>
      <c r="I346" s="160"/>
      <c r="J346" s="160"/>
      <c r="T346" s="430"/>
      <c r="U346" s="430"/>
      <c r="W346" s="430"/>
    </row>
    <row r="347" spans="5:23" s="26" customFormat="1">
      <c r="E347" s="77"/>
      <c r="F347" s="361"/>
      <c r="I347" s="160"/>
      <c r="J347" s="160"/>
      <c r="T347" s="430"/>
      <c r="U347" s="430"/>
      <c r="W347" s="430"/>
    </row>
    <row r="348" spans="5:23" s="26" customFormat="1">
      <c r="E348" s="77"/>
      <c r="F348" s="361"/>
      <c r="I348" s="160"/>
      <c r="J348" s="160"/>
      <c r="T348" s="430"/>
      <c r="U348" s="430"/>
      <c r="W348" s="430"/>
    </row>
    <row r="349" spans="5:23" s="26" customFormat="1">
      <c r="E349" s="77"/>
      <c r="F349" s="361"/>
      <c r="I349" s="160"/>
      <c r="J349" s="160"/>
      <c r="T349" s="430"/>
      <c r="U349" s="430"/>
      <c r="W349" s="430"/>
    </row>
    <row r="350" spans="5:23" s="26" customFormat="1">
      <c r="E350" s="77"/>
      <c r="F350" s="361"/>
      <c r="I350" s="160"/>
      <c r="J350" s="160"/>
      <c r="T350" s="430"/>
      <c r="U350" s="430"/>
      <c r="W350" s="430"/>
    </row>
    <row r="351" spans="5:23" s="26" customFormat="1">
      <c r="E351" s="77"/>
      <c r="F351" s="361"/>
      <c r="I351" s="160"/>
      <c r="J351" s="160"/>
      <c r="T351" s="430"/>
      <c r="U351" s="430"/>
      <c r="W351" s="430"/>
    </row>
    <row r="352" spans="5:23" s="26" customFormat="1">
      <c r="E352" s="77"/>
      <c r="F352" s="361"/>
      <c r="I352" s="160"/>
      <c r="J352" s="160"/>
      <c r="T352" s="430"/>
      <c r="U352" s="430"/>
      <c r="W352" s="430"/>
    </row>
    <row r="353" spans="5:23" s="26" customFormat="1">
      <c r="E353" s="77"/>
      <c r="F353" s="361"/>
      <c r="I353" s="160"/>
      <c r="J353" s="160"/>
      <c r="T353" s="430"/>
      <c r="U353" s="430"/>
      <c r="W353" s="430"/>
    </row>
    <row r="354" spans="5:23" s="26" customFormat="1">
      <c r="E354" s="77"/>
      <c r="F354" s="361"/>
      <c r="I354" s="160"/>
      <c r="J354" s="160"/>
      <c r="T354" s="430"/>
      <c r="U354" s="430"/>
      <c r="W354" s="430"/>
    </row>
    <row r="355" spans="5:23" s="26" customFormat="1">
      <c r="E355" s="77"/>
      <c r="F355" s="361"/>
      <c r="I355" s="160"/>
      <c r="J355" s="160"/>
      <c r="T355" s="430"/>
      <c r="U355" s="430"/>
      <c r="W355" s="430"/>
    </row>
    <row r="356" spans="5:23" s="26" customFormat="1">
      <c r="E356" s="77"/>
      <c r="F356" s="361"/>
      <c r="I356" s="160"/>
      <c r="J356" s="160"/>
      <c r="T356" s="430"/>
      <c r="U356" s="430"/>
      <c r="W356" s="430"/>
    </row>
    <row r="357" spans="5:23" s="26" customFormat="1">
      <c r="E357" s="77"/>
      <c r="F357" s="361"/>
      <c r="I357" s="160"/>
      <c r="J357" s="160"/>
      <c r="T357" s="430"/>
      <c r="U357" s="430"/>
      <c r="W357" s="430"/>
    </row>
    <row r="358" spans="5:23" s="26" customFormat="1">
      <c r="E358" s="77"/>
      <c r="F358" s="361"/>
      <c r="I358" s="160"/>
      <c r="J358" s="160"/>
      <c r="T358" s="430"/>
      <c r="U358" s="430"/>
      <c r="W358" s="430"/>
    </row>
    <row r="359" spans="5:23" s="26" customFormat="1">
      <c r="E359" s="77"/>
      <c r="F359" s="361"/>
      <c r="I359" s="160"/>
      <c r="J359" s="160"/>
      <c r="T359" s="430"/>
      <c r="U359" s="430"/>
      <c r="W359" s="430"/>
    </row>
    <row r="360" spans="5:23" s="26" customFormat="1">
      <c r="E360" s="77"/>
      <c r="F360" s="361"/>
      <c r="I360" s="160"/>
      <c r="J360" s="160"/>
      <c r="T360" s="430"/>
      <c r="U360" s="430"/>
      <c r="W360" s="430"/>
    </row>
    <row r="361" spans="5:23" s="26" customFormat="1">
      <c r="E361" s="77"/>
      <c r="F361" s="361"/>
      <c r="I361" s="160"/>
      <c r="J361" s="160"/>
      <c r="T361" s="430"/>
      <c r="U361" s="430"/>
      <c r="W361" s="430"/>
    </row>
    <row r="362" spans="5:23" s="26" customFormat="1">
      <c r="E362" s="77"/>
      <c r="F362" s="361"/>
      <c r="I362" s="160"/>
      <c r="J362" s="160"/>
      <c r="T362" s="430"/>
      <c r="U362" s="430"/>
      <c r="W362" s="430"/>
    </row>
    <row r="363" spans="5:23" s="26" customFormat="1">
      <c r="E363" s="77"/>
      <c r="F363" s="361"/>
      <c r="I363" s="160"/>
      <c r="J363" s="160"/>
      <c r="T363" s="430"/>
      <c r="U363" s="430"/>
      <c r="W363" s="430"/>
    </row>
    <row r="364" spans="5:23" s="26" customFormat="1">
      <c r="E364" s="77"/>
      <c r="F364" s="361"/>
      <c r="I364" s="160"/>
      <c r="J364" s="160"/>
      <c r="T364" s="430"/>
      <c r="U364" s="430"/>
      <c r="W364" s="430"/>
    </row>
    <row r="365" spans="5:23" s="26" customFormat="1">
      <c r="E365" s="77"/>
      <c r="F365" s="361"/>
      <c r="I365" s="160"/>
      <c r="J365" s="160"/>
      <c r="T365" s="430"/>
      <c r="U365" s="430"/>
      <c r="W365" s="430"/>
    </row>
    <row r="366" spans="5:23" s="26" customFormat="1">
      <c r="E366" s="77"/>
      <c r="F366" s="361"/>
      <c r="I366" s="160"/>
      <c r="J366" s="160"/>
      <c r="T366" s="430"/>
      <c r="U366" s="430"/>
      <c r="W366" s="430"/>
    </row>
    <row r="367" spans="5:23" s="26" customFormat="1">
      <c r="E367" s="77"/>
      <c r="F367" s="361"/>
      <c r="I367" s="160"/>
      <c r="J367" s="160"/>
      <c r="T367" s="430"/>
      <c r="U367" s="430"/>
      <c r="W367" s="430"/>
    </row>
    <row r="368" spans="5:23" s="26" customFormat="1">
      <c r="E368" s="77"/>
      <c r="F368" s="361"/>
      <c r="I368" s="160"/>
      <c r="J368" s="160"/>
      <c r="T368" s="430"/>
      <c r="U368" s="430"/>
      <c r="W368" s="430"/>
    </row>
    <row r="369" spans="5:23" s="26" customFormat="1">
      <c r="E369" s="77"/>
      <c r="F369" s="361"/>
      <c r="I369" s="160"/>
      <c r="J369" s="160"/>
      <c r="T369" s="430"/>
      <c r="U369" s="430"/>
      <c r="W369" s="430"/>
    </row>
    <row r="370" spans="5:23" s="26" customFormat="1">
      <c r="E370" s="77"/>
      <c r="F370" s="361"/>
      <c r="I370" s="160"/>
      <c r="J370" s="160"/>
      <c r="T370" s="430"/>
      <c r="U370" s="430"/>
      <c r="W370" s="430"/>
    </row>
    <row r="371" spans="5:23" s="26" customFormat="1">
      <c r="E371" s="77"/>
      <c r="F371" s="361"/>
      <c r="I371" s="160"/>
      <c r="J371" s="160"/>
      <c r="T371" s="430"/>
      <c r="U371" s="430"/>
      <c r="W371" s="430"/>
    </row>
    <row r="372" spans="5:23" s="26" customFormat="1">
      <c r="E372" s="77"/>
      <c r="F372" s="361"/>
      <c r="I372" s="160"/>
      <c r="J372" s="160"/>
      <c r="T372" s="430"/>
      <c r="U372" s="430"/>
      <c r="W372" s="430"/>
    </row>
    <row r="373" spans="5:23" s="26" customFormat="1">
      <c r="E373" s="77"/>
      <c r="F373" s="361"/>
      <c r="I373" s="160"/>
      <c r="J373" s="160"/>
      <c r="T373" s="430"/>
      <c r="U373" s="430"/>
      <c r="W373" s="430"/>
    </row>
    <row r="374" spans="5:23" s="26" customFormat="1">
      <c r="E374" s="77"/>
      <c r="F374" s="361"/>
      <c r="I374" s="160"/>
      <c r="J374" s="160"/>
      <c r="T374" s="430"/>
      <c r="U374" s="430"/>
      <c r="W374" s="430"/>
    </row>
    <row r="375" spans="5:23" s="26" customFormat="1">
      <c r="E375" s="77"/>
      <c r="F375" s="361"/>
      <c r="I375" s="160"/>
      <c r="J375" s="160"/>
      <c r="T375" s="430"/>
      <c r="U375" s="430"/>
      <c r="W375" s="430"/>
    </row>
    <row r="376" spans="5:23" s="26" customFormat="1">
      <c r="E376" s="77"/>
      <c r="F376" s="361"/>
      <c r="I376" s="160"/>
      <c r="J376" s="160"/>
      <c r="T376" s="430"/>
      <c r="U376" s="430"/>
      <c r="W376" s="430"/>
    </row>
    <row r="377" spans="5:23" s="26" customFormat="1">
      <c r="E377" s="77"/>
      <c r="F377" s="361"/>
      <c r="I377" s="160"/>
      <c r="J377" s="160"/>
      <c r="T377" s="430"/>
      <c r="U377" s="430"/>
      <c r="W377" s="430"/>
    </row>
    <row r="378" spans="5:23" s="26" customFormat="1">
      <c r="E378" s="77"/>
      <c r="F378" s="361"/>
      <c r="I378" s="160"/>
      <c r="J378" s="160"/>
      <c r="T378" s="430"/>
      <c r="U378" s="430"/>
      <c r="W378" s="430"/>
    </row>
    <row r="379" spans="5:23" s="26" customFormat="1">
      <c r="E379" s="77"/>
      <c r="F379" s="361"/>
      <c r="I379" s="160"/>
      <c r="J379" s="160"/>
      <c r="T379" s="430"/>
      <c r="U379" s="430"/>
      <c r="W379" s="430"/>
    </row>
    <row r="380" spans="5:23" s="26" customFormat="1">
      <c r="E380" s="77"/>
      <c r="F380" s="361"/>
      <c r="I380" s="160"/>
      <c r="J380" s="160"/>
      <c r="T380" s="430"/>
      <c r="U380" s="430"/>
      <c r="W380" s="430"/>
    </row>
    <row r="381" spans="5:23" s="26" customFormat="1">
      <c r="E381" s="77"/>
      <c r="F381" s="361"/>
      <c r="I381" s="160"/>
      <c r="J381" s="160"/>
      <c r="T381" s="430"/>
      <c r="U381" s="430"/>
      <c r="W381" s="430"/>
    </row>
    <row r="382" spans="5:23" s="26" customFormat="1">
      <c r="E382" s="77"/>
      <c r="F382" s="361"/>
      <c r="I382" s="160"/>
      <c r="J382" s="160"/>
      <c r="T382" s="430"/>
      <c r="U382" s="430"/>
      <c r="W382" s="430"/>
    </row>
    <row r="383" spans="5:23" s="26" customFormat="1">
      <c r="E383" s="77"/>
      <c r="F383" s="361"/>
      <c r="I383" s="160"/>
      <c r="J383" s="160"/>
      <c r="T383" s="430"/>
      <c r="U383" s="430"/>
      <c r="W383" s="430"/>
    </row>
    <row r="384" spans="5:23" s="26" customFormat="1">
      <c r="E384" s="77"/>
      <c r="F384" s="361"/>
      <c r="I384" s="160"/>
      <c r="J384" s="160"/>
      <c r="T384" s="430"/>
      <c r="U384" s="430"/>
      <c r="W384" s="430"/>
    </row>
    <row r="385" spans="5:23" s="26" customFormat="1">
      <c r="E385" s="77"/>
      <c r="F385" s="361"/>
      <c r="I385" s="160"/>
      <c r="J385" s="160"/>
      <c r="T385" s="430"/>
      <c r="U385" s="430"/>
      <c r="W385" s="430"/>
    </row>
    <row r="386" spans="5:23" s="26" customFormat="1">
      <c r="E386" s="77"/>
      <c r="F386" s="361"/>
      <c r="I386" s="160"/>
      <c r="J386" s="160"/>
      <c r="T386" s="430"/>
      <c r="U386" s="430"/>
      <c r="W386" s="430"/>
    </row>
    <row r="387" spans="5:23" s="26" customFormat="1">
      <c r="E387" s="77"/>
      <c r="F387" s="361"/>
      <c r="I387" s="160"/>
      <c r="J387" s="160"/>
      <c r="T387" s="430"/>
      <c r="U387" s="430"/>
      <c r="W387" s="430"/>
    </row>
    <row r="388" spans="5:23" s="26" customFormat="1">
      <c r="E388" s="77"/>
      <c r="F388" s="361"/>
      <c r="I388" s="160"/>
      <c r="J388" s="160"/>
      <c r="T388" s="430"/>
      <c r="U388" s="430"/>
      <c r="W388" s="430"/>
    </row>
    <row r="389" spans="5:23" s="26" customFormat="1">
      <c r="E389" s="77"/>
      <c r="F389" s="361"/>
      <c r="I389" s="160"/>
      <c r="J389" s="160"/>
      <c r="T389" s="430"/>
      <c r="U389" s="430"/>
      <c r="W389" s="430"/>
    </row>
    <row r="390" spans="5:23" s="26" customFormat="1">
      <c r="E390" s="77"/>
      <c r="F390" s="361"/>
      <c r="I390" s="160"/>
      <c r="J390" s="160"/>
      <c r="T390" s="430"/>
      <c r="U390" s="430"/>
      <c r="W390" s="430"/>
    </row>
    <row r="391" spans="5:23" s="26" customFormat="1">
      <c r="E391" s="77"/>
      <c r="F391" s="361"/>
      <c r="I391" s="160"/>
      <c r="J391" s="160"/>
      <c r="T391" s="430"/>
      <c r="U391" s="430"/>
      <c r="W391" s="430"/>
    </row>
    <row r="392" spans="5:23" s="26" customFormat="1">
      <c r="E392" s="77"/>
      <c r="F392" s="361"/>
      <c r="I392" s="160"/>
      <c r="J392" s="160"/>
      <c r="T392" s="430"/>
      <c r="U392" s="430"/>
      <c r="W392" s="430"/>
    </row>
    <row r="393" spans="5:23" s="26" customFormat="1">
      <c r="E393" s="77"/>
      <c r="F393" s="361"/>
      <c r="I393" s="160"/>
      <c r="J393" s="160"/>
      <c r="T393" s="430"/>
      <c r="U393" s="430"/>
      <c r="W393" s="430"/>
    </row>
    <row r="394" spans="5:23" s="26" customFormat="1">
      <c r="E394" s="77"/>
      <c r="F394" s="361"/>
      <c r="I394" s="160"/>
      <c r="J394" s="160"/>
      <c r="T394" s="430"/>
      <c r="U394" s="430"/>
      <c r="W394" s="430"/>
    </row>
    <row r="395" spans="5:23" s="26" customFormat="1">
      <c r="E395" s="77"/>
      <c r="F395" s="361"/>
      <c r="I395" s="160"/>
      <c r="J395" s="160"/>
      <c r="T395" s="430"/>
      <c r="U395" s="430"/>
      <c r="W395" s="430"/>
    </row>
    <row r="396" spans="5:23" s="26" customFormat="1">
      <c r="E396" s="77"/>
      <c r="F396" s="361"/>
      <c r="I396" s="160"/>
      <c r="J396" s="160"/>
      <c r="T396" s="430"/>
      <c r="U396" s="430"/>
      <c r="W396" s="430"/>
    </row>
    <row r="397" spans="5:23" s="26" customFormat="1">
      <c r="E397" s="77"/>
      <c r="F397" s="361"/>
      <c r="I397" s="160"/>
      <c r="J397" s="160"/>
      <c r="T397" s="430"/>
      <c r="U397" s="430"/>
      <c r="W397" s="430"/>
    </row>
    <row r="398" spans="5:23" s="26" customFormat="1">
      <c r="E398" s="77"/>
      <c r="F398" s="361"/>
      <c r="I398" s="160"/>
      <c r="J398" s="160"/>
      <c r="T398" s="430"/>
      <c r="U398" s="430"/>
      <c r="W398" s="430"/>
    </row>
    <row r="399" spans="5:23" s="26" customFormat="1">
      <c r="E399" s="77"/>
      <c r="F399" s="361"/>
      <c r="I399" s="160"/>
      <c r="J399" s="160"/>
      <c r="T399" s="430"/>
      <c r="U399" s="430"/>
      <c r="W399" s="430"/>
    </row>
    <row r="400" spans="5:23" s="26" customFormat="1">
      <c r="E400" s="77"/>
      <c r="F400" s="361"/>
      <c r="I400" s="160"/>
      <c r="J400" s="160"/>
      <c r="T400" s="430"/>
      <c r="U400" s="430"/>
      <c r="W400" s="430"/>
    </row>
    <row r="401" spans="5:23" s="26" customFormat="1">
      <c r="E401" s="77"/>
      <c r="F401" s="361"/>
      <c r="I401" s="160"/>
      <c r="J401" s="160"/>
      <c r="T401" s="430"/>
      <c r="U401" s="430"/>
      <c r="W401" s="430"/>
    </row>
    <row r="402" spans="5:23" s="26" customFormat="1">
      <c r="E402" s="77"/>
      <c r="F402" s="361"/>
      <c r="I402" s="160"/>
      <c r="J402" s="160"/>
      <c r="T402" s="430"/>
      <c r="U402" s="430"/>
      <c r="W402" s="430"/>
    </row>
    <row r="403" spans="5:23" s="26" customFormat="1">
      <c r="E403" s="77"/>
      <c r="F403" s="361"/>
      <c r="I403" s="160"/>
      <c r="J403" s="160"/>
      <c r="T403" s="430"/>
      <c r="U403" s="430"/>
      <c r="W403" s="430"/>
    </row>
    <row r="404" spans="5:23" s="26" customFormat="1">
      <c r="E404" s="77"/>
      <c r="F404" s="361"/>
      <c r="I404" s="160"/>
      <c r="J404" s="160"/>
      <c r="T404" s="430"/>
      <c r="U404" s="430"/>
      <c r="W404" s="430"/>
    </row>
    <row r="405" spans="5:23" s="26" customFormat="1">
      <c r="E405" s="77"/>
      <c r="F405" s="361"/>
      <c r="I405" s="160"/>
      <c r="J405" s="160"/>
      <c r="T405" s="430"/>
      <c r="U405" s="430"/>
      <c r="W405" s="430"/>
    </row>
    <row r="406" spans="5:23" s="26" customFormat="1">
      <c r="E406" s="77"/>
      <c r="F406" s="361"/>
      <c r="I406" s="160"/>
      <c r="J406" s="160"/>
      <c r="T406" s="430"/>
      <c r="U406" s="430"/>
      <c r="W406" s="430"/>
    </row>
    <row r="407" spans="5:23" s="26" customFormat="1">
      <c r="E407" s="77"/>
      <c r="F407" s="361"/>
      <c r="I407" s="160"/>
      <c r="J407" s="160"/>
      <c r="T407" s="430"/>
      <c r="U407" s="430"/>
      <c r="W407" s="430"/>
    </row>
    <row r="408" spans="5:23" s="26" customFormat="1">
      <c r="E408" s="77"/>
      <c r="F408" s="361"/>
      <c r="I408" s="160"/>
      <c r="J408" s="160"/>
      <c r="T408" s="430"/>
      <c r="U408" s="430"/>
      <c r="W408" s="430"/>
    </row>
    <row r="409" spans="5:23" s="26" customFormat="1">
      <c r="E409" s="77"/>
      <c r="F409" s="361"/>
      <c r="I409" s="160"/>
      <c r="J409" s="160"/>
      <c r="T409" s="430"/>
      <c r="U409" s="430"/>
      <c r="W409" s="430"/>
    </row>
    <row r="410" spans="5:23" s="26" customFormat="1">
      <c r="E410" s="77"/>
      <c r="F410" s="361"/>
      <c r="I410" s="160"/>
      <c r="J410" s="160"/>
      <c r="T410" s="430"/>
      <c r="U410" s="430"/>
      <c r="W410" s="430"/>
    </row>
    <row r="411" spans="5:23" s="26" customFormat="1">
      <c r="E411" s="77"/>
      <c r="F411" s="361"/>
      <c r="I411" s="160"/>
      <c r="J411" s="160"/>
      <c r="T411" s="430"/>
      <c r="U411" s="430"/>
      <c r="W411" s="430"/>
    </row>
    <row r="412" spans="5:23" s="26" customFormat="1">
      <c r="E412" s="77"/>
      <c r="F412" s="361"/>
      <c r="I412" s="160"/>
      <c r="J412" s="160"/>
      <c r="T412" s="430"/>
      <c r="U412" s="430"/>
      <c r="W412" s="430"/>
    </row>
    <row r="413" spans="5:23" s="26" customFormat="1">
      <c r="E413" s="77"/>
      <c r="F413" s="361"/>
      <c r="I413" s="160"/>
      <c r="J413" s="160"/>
      <c r="T413" s="430"/>
      <c r="U413" s="430"/>
      <c r="W413" s="430"/>
    </row>
    <row r="414" spans="5:23" s="26" customFormat="1">
      <c r="E414" s="77"/>
      <c r="F414" s="361"/>
      <c r="I414" s="160"/>
      <c r="J414" s="160"/>
      <c r="T414" s="430"/>
      <c r="U414" s="430"/>
      <c r="W414" s="430"/>
    </row>
    <row r="415" spans="5:23" s="26" customFormat="1">
      <c r="E415" s="77"/>
      <c r="F415" s="361"/>
      <c r="I415" s="160"/>
      <c r="J415" s="160"/>
      <c r="T415" s="430"/>
      <c r="U415" s="430"/>
      <c r="W415" s="430"/>
    </row>
    <row r="416" spans="5:23" s="26" customFormat="1">
      <c r="E416" s="77"/>
      <c r="F416" s="361"/>
      <c r="I416" s="160"/>
      <c r="J416" s="160"/>
      <c r="T416" s="430"/>
      <c r="U416" s="430"/>
      <c r="W416" s="430"/>
    </row>
    <row r="417" spans="5:23" s="26" customFormat="1">
      <c r="E417" s="77"/>
      <c r="F417" s="361"/>
      <c r="I417" s="160"/>
      <c r="J417" s="160"/>
      <c r="T417" s="430"/>
      <c r="U417" s="430"/>
      <c r="W417" s="430"/>
    </row>
    <row r="418" spans="5:23" s="26" customFormat="1">
      <c r="E418" s="77"/>
      <c r="F418" s="361"/>
      <c r="I418" s="160"/>
      <c r="J418" s="160"/>
      <c r="T418" s="430"/>
      <c r="U418" s="430"/>
      <c r="W418" s="430"/>
    </row>
    <row r="419" spans="5:23" s="26" customFormat="1">
      <c r="E419" s="77"/>
      <c r="F419" s="361"/>
      <c r="I419" s="160"/>
      <c r="J419" s="160"/>
      <c r="T419" s="430"/>
      <c r="U419" s="430"/>
      <c r="W419" s="430"/>
    </row>
    <row r="420" spans="5:23" s="26" customFormat="1">
      <c r="E420" s="77"/>
      <c r="F420" s="361"/>
      <c r="I420" s="160"/>
      <c r="J420" s="160"/>
      <c r="T420" s="430"/>
      <c r="U420" s="430"/>
      <c r="W420" s="430"/>
    </row>
    <row r="421" spans="5:23" s="26" customFormat="1">
      <c r="E421" s="77"/>
      <c r="F421" s="361"/>
      <c r="I421" s="160"/>
      <c r="J421" s="160"/>
      <c r="T421" s="430"/>
      <c r="U421" s="430"/>
      <c r="W421" s="430"/>
    </row>
    <row r="422" spans="5:23" s="26" customFormat="1">
      <c r="E422" s="77"/>
      <c r="F422" s="361"/>
      <c r="I422" s="160"/>
      <c r="J422" s="160"/>
      <c r="T422" s="430"/>
      <c r="U422" s="430"/>
      <c r="W422" s="430"/>
    </row>
    <row r="423" spans="5:23" s="26" customFormat="1">
      <c r="E423" s="77"/>
      <c r="F423" s="361"/>
      <c r="I423" s="160"/>
      <c r="J423" s="160"/>
      <c r="T423" s="430"/>
      <c r="U423" s="430"/>
      <c r="W423" s="430"/>
    </row>
    <row r="424" spans="5:23" s="26" customFormat="1">
      <c r="E424" s="77"/>
      <c r="F424" s="361"/>
      <c r="I424" s="160"/>
      <c r="J424" s="160"/>
      <c r="T424" s="430"/>
      <c r="U424" s="430"/>
      <c r="W424" s="430"/>
    </row>
    <row r="425" spans="5:23" s="26" customFormat="1">
      <c r="E425" s="77"/>
      <c r="F425" s="361"/>
      <c r="I425" s="160"/>
      <c r="J425" s="160"/>
      <c r="T425" s="430"/>
      <c r="U425" s="430"/>
      <c r="W425" s="430"/>
    </row>
    <row r="426" spans="5:23" s="26" customFormat="1">
      <c r="E426" s="77"/>
      <c r="F426" s="361"/>
      <c r="I426" s="160"/>
      <c r="J426" s="160"/>
      <c r="T426" s="430"/>
      <c r="U426" s="430"/>
      <c r="W426" s="430"/>
    </row>
    <row r="427" spans="5:23" s="26" customFormat="1">
      <c r="E427" s="77"/>
      <c r="F427" s="361"/>
      <c r="I427" s="160"/>
      <c r="J427" s="160"/>
      <c r="T427" s="430"/>
      <c r="U427" s="430"/>
      <c r="W427" s="430"/>
    </row>
    <row r="428" spans="5:23" s="26" customFormat="1">
      <c r="E428" s="77"/>
      <c r="F428" s="361"/>
      <c r="I428" s="160"/>
      <c r="J428" s="160"/>
      <c r="T428" s="430"/>
      <c r="U428" s="430"/>
      <c r="W428" s="430"/>
    </row>
    <row r="429" spans="5:23" s="26" customFormat="1">
      <c r="E429" s="77"/>
      <c r="F429" s="361"/>
      <c r="I429" s="160"/>
      <c r="J429" s="160"/>
      <c r="T429" s="430"/>
      <c r="U429" s="430"/>
      <c r="W429" s="430"/>
    </row>
    <row r="430" spans="5:23" s="26" customFormat="1">
      <c r="E430" s="77"/>
      <c r="F430" s="361"/>
      <c r="I430" s="160"/>
      <c r="J430" s="160"/>
      <c r="T430" s="430"/>
      <c r="U430" s="430"/>
      <c r="W430" s="430"/>
    </row>
    <row r="431" spans="5:23" s="26" customFormat="1">
      <c r="E431" s="77"/>
      <c r="F431" s="361"/>
      <c r="I431" s="160"/>
      <c r="J431" s="160"/>
      <c r="T431" s="430"/>
      <c r="U431" s="430"/>
      <c r="W431" s="430"/>
    </row>
    <row r="432" spans="5:23" s="26" customFormat="1">
      <c r="E432" s="77"/>
      <c r="F432" s="361"/>
      <c r="I432" s="160"/>
      <c r="J432" s="160"/>
      <c r="T432" s="430"/>
      <c r="U432" s="430"/>
      <c r="W432" s="430"/>
    </row>
    <row r="433" spans="5:23" s="26" customFormat="1">
      <c r="E433" s="77"/>
      <c r="F433" s="361"/>
      <c r="I433" s="160"/>
      <c r="J433" s="160"/>
      <c r="T433" s="430"/>
      <c r="U433" s="430"/>
      <c r="W433" s="430"/>
    </row>
    <row r="434" spans="5:23" s="26" customFormat="1">
      <c r="E434" s="77"/>
      <c r="F434" s="361"/>
      <c r="I434" s="160"/>
      <c r="J434" s="160"/>
      <c r="T434" s="430"/>
      <c r="U434" s="430"/>
      <c r="W434" s="430"/>
    </row>
    <row r="435" spans="5:23" s="26" customFormat="1">
      <c r="E435" s="77"/>
      <c r="F435" s="361"/>
      <c r="I435" s="160"/>
      <c r="J435" s="160"/>
      <c r="T435" s="430"/>
      <c r="U435" s="430"/>
      <c r="W435" s="430"/>
    </row>
    <row r="436" spans="5:23" s="26" customFormat="1">
      <c r="E436" s="77"/>
      <c r="F436" s="361"/>
      <c r="I436" s="160"/>
      <c r="J436" s="160"/>
      <c r="T436" s="430"/>
      <c r="U436" s="430"/>
      <c r="W436" s="430"/>
    </row>
    <row r="437" spans="5:23" s="26" customFormat="1">
      <c r="E437" s="77"/>
      <c r="F437" s="361"/>
      <c r="I437" s="160"/>
      <c r="J437" s="160"/>
      <c r="T437" s="430"/>
      <c r="U437" s="430"/>
      <c r="W437" s="430"/>
    </row>
    <row r="438" spans="5:23" s="26" customFormat="1">
      <c r="E438" s="77"/>
      <c r="F438" s="361"/>
      <c r="I438" s="160"/>
      <c r="J438" s="160"/>
      <c r="T438" s="430"/>
      <c r="U438" s="430"/>
      <c r="W438" s="430"/>
    </row>
    <row r="439" spans="5:23" s="26" customFormat="1">
      <c r="E439" s="77"/>
      <c r="F439" s="361"/>
      <c r="I439" s="160"/>
      <c r="J439" s="160"/>
      <c r="T439" s="430"/>
      <c r="U439" s="430"/>
      <c r="W439" s="430"/>
    </row>
    <row r="440" spans="5:23" s="26" customFormat="1">
      <c r="E440" s="77"/>
      <c r="F440" s="361"/>
      <c r="I440" s="160"/>
      <c r="J440" s="160"/>
      <c r="T440" s="430"/>
      <c r="U440" s="430"/>
      <c r="W440" s="430"/>
    </row>
    <row r="441" spans="5:23" s="26" customFormat="1">
      <c r="E441" s="77"/>
      <c r="F441" s="361"/>
      <c r="I441" s="160"/>
      <c r="J441" s="160"/>
      <c r="T441" s="430"/>
      <c r="U441" s="430"/>
      <c r="W441" s="430"/>
    </row>
    <row r="442" spans="5:23" s="26" customFormat="1">
      <c r="E442" s="77"/>
      <c r="F442" s="361"/>
      <c r="I442" s="160"/>
      <c r="J442" s="160"/>
      <c r="T442" s="430"/>
      <c r="U442" s="430"/>
      <c r="W442" s="430"/>
    </row>
    <row r="443" spans="5:23" s="26" customFormat="1">
      <c r="E443" s="77"/>
      <c r="F443" s="361"/>
      <c r="I443" s="160"/>
      <c r="J443" s="160"/>
      <c r="T443" s="430"/>
      <c r="U443" s="430"/>
      <c r="W443" s="430"/>
    </row>
    <row r="444" spans="5:23" s="26" customFormat="1">
      <c r="E444" s="77"/>
      <c r="F444" s="361"/>
      <c r="I444" s="160"/>
      <c r="J444" s="160"/>
      <c r="T444" s="430"/>
      <c r="U444" s="430"/>
      <c r="W444" s="430"/>
    </row>
    <row r="445" spans="5:23" s="26" customFormat="1">
      <c r="E445" s="77"/>
      <c r="F445" s="361"/>
      <c r="I445" s="160"/>
      <c r="J445" s="160"/>
      <c r="T445" s="430"/>
      <c r="U445" s="430"/>
      <c r="W445" s="430"/>
    </row>
    <row r="446" spans="5:23" s="26" customFormat="1">
      <c r="E446" s="77"/>
      <c r="F446" s="361"/>
      <c r="I446" s="160"/>
      <c r="J446" s="160"/>
      <c r="T446" s="430"/>
      <c r="U446" s="430"/>
      <c r="W446" s="430"/>
    </row>
    <row r="447" spans="5:23" s="26" customFormat="1">
      <c r="E447" s="77"/>
      <c r="F447" s="361"/>
      <c r="I447" s="160"/>
      <c r="J447" s="160"/>
      <c r="T447" s="430"/>
      <c r="U447" s="430"/>
      <c r="W447" s="430"/>
    </row>
    <row r="448" spans="5:23" s="26" customFormat="1">
      <c r="E448" s="77"/>
      <c r="F448" s="361"/>
      <c r="I448" s="160"/>
      <c r="J448" s="160"/>
      <c r="T448" s="430"/>
      <c r="U448" s="430"/>
      <c r="W448" s="430"/>
    </row>
    <row r="449" spans="5:23" s="26" customFormat="1">
      <c r="E449" s="77"/>
      <c r="F449" s="361"/>
      <c r="I449" s="160"/>
      <c r="J449" s="160"/>
      <c r="T449" s="430"/>
      <c r="U449" s="430"/>
      <c r="W449" s="430"/>
    </row>
    <row r="450" spans="5:23" s="26" customFormat="1">
      <c r="E450" s="77"/>
      <c r="F450" s="361"/>
      <c r="I450" s="160"/>
      <c r="J450" s="160"/>
      <c r="T450" s="430"/>
      <c r="U450" s="430"/>
      <c r="W450" s="430"/>
    </row>
    <row r="451" spans="5:23" s="26" customFormat="1">
      <c r="E451" s="77"/>
      <c r="F451" s="361"/>
      <c r="I451" s="160"/>
      <c r="J451" s="160"/>
      <c r="T451" s="430"/>
      <c r="U451" s="430"/>
      <c r="W451" s="430"/>
    </row>
    <row r="452" spans="5:23" s="26" customFormat="1">
      <c r="E452" s="77"/>
      <c r="F452" s="361"/>
      <c r="I452" s="160"/>
      <c r="J452" s="160"/>
      <c r="T452" s="430"/>
      <c r="U452" s="430"/>
      <c r="W452" s="430"/>
    </row>
    <row r="453" spans="5:23" s="26" customFormat="1">
      <c r="E453" s="77"/>
      <c r="F453" s="361"/>
      <c r="I453" s="160"/>
      <c r="J453" s="160"/>
      <c r="T453" s="430"/>
      <c r="U453" s="430"/>
      <c r="W453" s="430"/>
    </row>
    <row r="454" spans="5:23" s="26" customFormat="1">
      <c r="E454" s="77"/>
      <c r="F454" s="361"/>
      <c r="I454" s="160"/>
      <c r="J454" s="160"/>
      <c r="T454" s="430"/>
      <c r="U454" s="430"/>
      <c r="W454" s="430"/>
    </row>
    <row r="455" spans="5:23" s="26" customFormat="1">
      <c r="E455" s="77"/>
      <c r="F455" s="361"/>
      <c r="I455" s="160"/>
      <c r="J455" s="160"/>
      <c r="T455" s="430"/>
      <c r="U455" s="430"/>
      <c r="W455" s="430"/>
    </row>
    <row r="456" spans="5:23" s="26" customFormat="1">
      <c r="E456" s="77"/>
      <c r="F456" s="361"/>
      <c r="I456" s="160"/>
      <c r="J456" s="160"/>
      <c r="T456" s="430"/>
      <c r="U456" s="430"/>
      <c r="W456" s="430"/>
    </row>
    <row r="457" spans="5:23" s="26" customFormat="1">
      <c r="E457" s="77"/>
      <c r="F457" s="361"/>
      <c r="I457" s="160"/>
      <c r="J457" s="160"/>
      <c r="T457" s="430"/>
      <c r="U457" s="430"/>
      <c r="W457" s="430"/>
    </row>
    <row r="458" spans="5:23" s="26" customFormat="1">
      <c r="E458" s="77"/>
      <c r="F458" s="361"/>
      <c r="I458" s="160"/>
      <c r="J458" s="160"/>
      <c r="T458" s="430"/>
      <c r="U458" s="430"/>
      <c r="W458" s="430"/>
    </row>
    <row r="459" spans="5:23" s="26" customFormat="1">
      <c r="E459" s="77"/>
      <c r="F459" s="361"/>
      <c r="I459" s="160"/>
      <c r="J459" s="160"/>
      <c r="T459" s="430"/>
      <c r="U459" s="430"/>
      <c r="W459" s="430"/>
    </row>
    <row r="460" spans="5:23" s="26" customFormat="1">
      <c r="E460" s="77"/>
      <c r="F460" s="361"/>
      <c r="I460" s="160"/>
      <c r="J460" s="160"/>
      <c r="T460" s="430"/>
      <c r="U460" s="430"/>
      <c r="W460" s="430"/>
    </row>
    <row r="461" spans="5:23" s="26" customFormat="1">
      <c r="E461" s="77"/>
      <c r="F461" s="361"/>
      <c r="I461" s="160"/>
      <c r="J461" s="160"/>
      <c r="T461" s="430"/>
      <c r="U461" s="430"/>
      <c r="W461" s="430"/>
    </row>
    <row r="462" spans="5:23" s="26" customFormat="1">
      <c r="E462" s="77"/>
      <c r="F462" s="361"/>
      <c r="I462" s="160"/>
      <c r="J462" s="160"/>
      <c r="T462" s="430"/>
      <c r="U462" s="430"/>
      <c r="W462" s="430"/>
    </row>
    <row r="463" spans="5:23" s="26" customFormat="1">
      <c r="E463" s="77"/>
      <c r="F463" s="361"/>
      <c r="I463" s="160"/>
      <c r="J463" s="160"/>
      <c r="T463" s="430"/>
      <c r="U463" s="430"/>
      <c r="W463" s="430"/>
    </row>
    <row r="464" spans="5:23" s="26" customFormat="1">
      <c r="E464" s="77"/>
      <c r="F464" s="361"/>
      <c r="I464" s="160"/>
      <c r="J464" s="160"/>
      <c r="T464" s="430"/>
      <c r="U464" s="430"/>
      <c r="W464" s="430"/>
    </row>
    <row r="465" spans="5:23" s="26" customFormat="1">
      <c r="E465" s="77"/>
      <c r="F465" s="361"/>
      <c r="I465" s="160"/>
      <c r="J465" s="160"/>
      <c r="T465" s="430"/>
      <c r="U465" s="430"/>
      <c r="W465" s="430"/>
    </row>
    <row r="466" spans="5:23" s="26" customFormat="1">
      <c r="E466" s="77"/>
      <c r="F466" s="361"/>
      <c r="I466" s="160"/>
      <c r="J466" s="160"/>
      <c r="T466" s="430"/>
      <c r="U466" s="430"/>
      <c r="W466" s="430"/>
    </row>
    <row r="467" spans="5:23" s="26" customFormat="1">
      <c r="E467" s="77"/>
      <c r="F467" s="361"/>
      <c r="I467" s="160"/>
      <c r="J467" s="160"/>
      <c r="T467" s="430"/>
      <c r="U467" s="430"/>
      <c r="W467" s="430"/>
    </row>
    <row r="468" spans="5:23" s="26" customFormat="1">
      <c r="E468" s="77"/>
      <c r="F468" s="361"/>
      <c r="I468" s="160"/>
      <c r="J468" s="160"/>
      <c r="T468" s="430"/>
      <c r="U468" s="430"/>
      <c r="W468" s="430"/>
    </row>
    <row r="469" spans="5:23" s="26" customFormat="1">
      <c r="E469" s="77"/>
      <c r="F469" s="361"/>
      <c r="I469" s="160"/>
      <c r="J469" s="160"/>
      <c r="T469" s="430"/>
      <c r="U469" s="430"/>
      <c r="W469" s="430"/>
    </row>
    <row r="470" spans="5:23" s="26" customFormat="1">
      <c r="E470" s="77"/>
      <c r="F470" s="361"/>
      <c r="I470" s="160"/>
      <c r="J470" s="160"/>
      <c r="T470" s="430"/>
      <c r="U470" s="430"/>
      <c r="W470" s="430"/>
    </row>
    <row r="471" spans="5:23" s="26" customFormat="1">
      <c r="E471" s="77"/>
      <c r="F471" s="361"/>
      <c r="I471" s="160"/>
      <c r="J471" s="160"/>
      <c r="T471" s="430"/>
      <c r="U471" s="430"/>
      <c r="W471" s="430"/>
    </row>
    <row r="472" spans="5:23" s="26" customFormat="1">
      <c r="E472" s="77"/>
      <c r="F472" s="361"/>
      <c r="I472" s="160"/>
      <c r="J472" s="160"/>
      <c r="T472" s="430"/>
      <c r="U472" s="430"/>
      <c r="W472" s="430"/>
    </row>
    <row r="473" spans="5:23" s="26" customFormat="1">
      <c r="E473" s="77"/>
      <c r="F473" s="361"/>
      <c r="I473" s="160"/>
      <c r="J473" s="160"/>
      <c r="T473" s="430"/>
      <c r="U473" s="430"/>
      <c r="W473" s="430"/>
    </row>
    <row r="474" spans="5:23" s="26" customFormat="1">
      <c r="E474" s="77"/>
      <c r="F474" s="361"/>
      <c r="I474" s="160"/>
      <c r="J474" s="160"/>
      <c r="T474" s="430"/>
      <c r="U474" s="430"/>
      <c r="W474" s="430"/>
    </row>
    <row r="475" spans="5:23" s="26" customFormat="1">
      <c r="E475" s="77"/>
      <c r="F475" s="361"/>
      <c r="I475" s="160"/>
      <c r="J475" s="160"/>
      <c r="T475" s="430"/>
      <c r="U475" s="430"/>
      <c r="W475" s="430"/>
    </row>
    <row r="476" spans="5:23" s="26" customFormat="1">
      <c r="E476" s="77"/>
      <c r="F476" s="361"/>
      <c r="I476" s="160"/>
      <c r="J476" s="160"/>
      <c r="T476" s="430"/>
      <c r="U476" s="430"/>
      <c r="W476" s="430"/>
    </row>
    <row r="477" spans="5:23" s="26" customFormat="1">
      <c r="E477" s="77"/>
      <c r="F477" s="361"/>
      <c r="I477" s="160"/>
      <c r="J477" s="160"/>
      <c r="T477" s="430"/>
      <c r="U477" s="430"/>
      <c r="W477" s="430"/>
    </row>
    <row r="478" spans="5:23" s="26" customFormat="1">
      <c r="E478" s="77"/>
      <c r="F478" s="361"/>
      <c r="I478" s="160"/>
      <c r="J478" s="160"/>
      <c r="T478" s="430"/>
      <c r="U478" s="430"/>
      <c r="W478" s="430"/>
    </row>
    <row r="479" spans="5:23" s="26" customFormat="1">
      <c r="E479" s="77"/>
      <c r="F479" s="361"/>
      <c r="I479" s="160"/>
      <c r="J479" s="160"/>
      <c r="T479" s="430"/>
      <c r="U479" s="430"/>
      <c r="W479" s="430"/>
    </row>
    <row r="480" spans="5:23" s="26" customFormat="1">
      <c r="E480" s="77"/>
      <c r="F480" s="361"/>
      <c r="I480" s="160"/>
      <c r="J480" s="160"/>
      <c r="T480" s="430"/>
      <c r="U480" s="430"/>
      <c r="W480" s="430"/>
    </row>
    <row r="481" spans="5:23" s="26" customFormat="1">
      <c r="E481" s="77"/>
      <c r="F481" s="361"/>
      <c r="I481" s="160"/>
      <c r="J481" s="160"/>
      <c r="T481" s="430"/>
      <c r="U481" s="430"/>
      <c r="W481" s="430"/>
    </row>
    <row r="482" spans="5:23" s="26" customFormat="1">
      <c r="E482" s="77"/>
      <c r="F482" s="361"/>
      <c r="I482" s="160"/>
      <c r="J482" s="160"/>
      <c r="T482" s="430"/>
      <c r="U482" s="430"/>
      <c r="W482" s="430"/>
    </row>
    <row r="483" spans="5:23" s="26" customFormat="1">
      <c r="E483" s="77"/>
      <c r="F483" s="361"/>
      <c r="I483" s="160"/>
      <c r="J483" s="160"/>
      <c r="T483" s="430"/>
      <c r="U483" s="430"/>
      <c r="W483" s="430"/>
    </row>
    <row r="484" spans="5:23" s="26" customFormat="1">
      <c r="E484" s="77"/>
      <c r="F484" s="361"/>
      <c r="I484" s="160"/>
      <c r="J484" s="160"/>
      <c r="T484" s="430"/>
      <c r="U484" s="430"/>
      <c r="W484" s="430"/>
    </row>
    <row r="485" spans="5:23" s="26" customFormat="1">
      <c r="E485" s="77"/>
      <c r="F485" s="361"/>
      <c r="I485" s="160"/>
      <c r="J485" s="160"/>
      <c r="T485" s="430"/>
      <c r="U485" s="430"/>
      <c r="W485" s="430"/>
    </row>
    <row r="486" spans="5:23" s="26" customFormat="1">
      <c r="E486" s="77"/>
      <c r="F486" s="361"/>
      <c r="I486" s="160"/>
      <c r="J486" s="160"/>
      <c r="T486" s="430"/>
      <c r="U486" s="430"/>
      <c r="W486" s="430"/>
    </row>
    <row r="487" spans="5:23" s="26" customFormat="1">
      <c r="E487" s="77"/>
      <c r="F487" s="361"/>
      <c r="I487" s="160"/>
      <c r="J487" s="160"/>
      <c r="T487" s="430"/>
      <c r="U487" s="430"/>
      <c r="W487" s="430"/>
    </row>
    <row r="488" spans="5:23" s="26" customFormat="1">
      <c r="E488" s="77"/>
      <c r="F488" s="361"/>
      <c r="I488" s="160"/>
      <c r="J488" s="160"/>
      <c r="T488" s="430"/>
      <c r="U488" s="430"/>
      <c r="W488" s="430"/>
    </row>
    <row r="489" spans="5:23" s="26" customFormat="1">
      <c r="E489" s="77"/>
      <c r="F489" s="361"/>
      <c r="I489" s="160"/>
      <c r="J489" s="160"/>
      <c r="T489" s="430"/>
      <c r="U489" s="430"/>
      <c r="W489" s="430"/>
    </row>
    <row r="490" spans="5:23" s="26" customFormat="1">
      <c r="E490" s="77"/>
      <c r="F490" s="361"/>
      <c r="I490" s="160"/>
      <c r="J490" s="160"/>
      <c r="T490" s="430"/>
      <c r="U490" s="430"/>
      <c r="W490" s="430"/>
    </row>
    <row r="491" spans="5:23" s="26" customFormat="1">
      <c r="E491" s="77"/>
      <c r="F491" s="361"/>
      <c r="I491" s="160"/>
      <c r="J491" s="160"/>
      <c r="T491" s="430"/>
      <c r="U491" s="430"/>
      <c r="W491" s="430"/>
    </row>
    <row r="492" spans="5:23" s="26" customFormat="1">
      <c r="E492" s="77"/>
      <c r="F492" s="361"/>
      <c r="I492" s="160"/>
      <c r="J492" s="160"/>
      <c r="T492" s="430"/>
      <c r="U492" s="430"/>
      <c r="W492" s="430"/>
    </row>
    <row r="493" spans="5:23" s="26" customFormat="1">
      <c r="E493" s="77"/>
      <c r="F493" s="361"/>
      <c r="I493" s="160"/>
      <c r="J493" s="160"/>
      <c r="T493" s="430"/>
      <c r="U493" s="430"/>
      <c r="W493" s="430"/>
    </row>
    <row r="494" spans="5:23" s="26" customFormat="1">
      <c r="E494" s="77"/>
      <c r="F494" s="361"/>
      <c r="I494" s="160"/>
      <c r="J494" s="160"/>
      <c r="T494" s="430"/>
      <c r="U494" s="430"/>
      <c r="W494" s="430"/>
    </row>
    <row r="495" spans="5:23" s="26" customFormat="1">
      <c r="E495" s="77"/>
      <c r="F495" s="361"/>
      <c r="I495" s="160"/>
      <c r="J495" s="160"/>
      <c r="T495" s="430"/>
      <c r="U495" s="430"/>
      <c r="W495" s="430"/>
    </row>
    <row r="496" spans="5:23" s="26" customFormat="1">
      <c r="E496" s="77"/>
      <c r="F496" s="361"/>
      <c r="I496" s="160"/>
      <c r="J496" s="160"/>
      <c r="T496" s="430"/>
      <c r="U496" s="430"/>
      <c r="W496" s="430"/>
    </row>
    <row r="497" spans="5:23" s="26" customFormat="1">
      <c r="E497" s="77"/>
      <c r="F497" s="361"/>
      <c r="I497" s="160"/>
      <c r="J497" s="160"/>
      <c r="T497" s="430"/>
      <c r="U497" s="430"/>
      <c r="W497" s="430"/>
    </row>
    <row r="498" spans="5:23" s="26" customFormat="1">
      <c r="E498" s="77"/>
      <c r="F498" s="361"/>
      <c r="I498" s="160"/>
      <c r="J498" s="160"/>
      <c r="T498" s="430"/>
      <c r="U498" s="430"/>
      <c r="W498" s="430"/>
    </row>
    <row r="499" spans="5:23" s="26" customFormat="1">
      <c r="E499" s="77"/>
      <c r="F499" s="361"/>
      <c r="I499" s="160"/>
      <c r="J499" s="160"/>
      <c r="T499" s="430"/>
      <c r="U499" s="430"/>
      <c r="W499" s="430"/>
    </row>
    <row r="500" spans="5:23" s="26" customFormat="1">
      <c r="E500" s="77"/>
      <c r="F500" s="361"/>
      <c r="I500" s="160"/>
      <c r="J500" s="160"/>
      <c r="T500" s="430"/>
      <c r="U500" s="430"/>
      <c r="W500" s="430"/>
    </row>
    <row r="501" spans="5:23" s="26" customFormat="1">
      <c r="E501" s="77"/>
      <c r="F501" s="361"/>
      <c r="I501" s="160"/>
      <c r="J501" s="160"/>
      <c r="T501" s="430"/>
      <c r="U501" s="430"/>
      <c r="W501" s="430"/>
    </row>
    <row r="502" spans="5:23" s="26" customFormat="1">
      <c r="E502" s="77"/>
      <c r="F502" s="361"/>
      <c r="I502" s="160"/>
      <c r="J502" s="160"/>
      <c r="T502" s="430"/>
      <c r="U502" s="430"/>
      <c r="W502" s="430"/>
    </row>
    <row r="503" spans="5:23" s="26" customFormat="1">
      <c r="E503" s="77"/>
      <c r="F503" s="361"/>
      <c r="I503" s="160"/>
      <c r="J503" s="160"/>
      <c r="T503" s="430"/>
      <c r="U503" s="430"/>
      <c r="W503" s="430"/>
    </row>
    <row r="504" spans="5:23" s="26" customFormat="1">
      <c r="E504" s="77"/>
      <c r="F504" s="361"/>
      <c r="I504" s="160"/>
      <c r="J504" s="160"/>
      <c r="T504" s="430"/>
      <c r="U504" s="430"/>
      <c r="W504" s="430"/>
    </row>
    <row r="505" spans="5:23" s="26" customFormat="1">
      <c r="E505" s="77"/>
      <c r="F505" s="361"/>
      <c r="I505" s="160"/>
      <c r="J505" s="160"/>
      <c r="T505" s="430"/>
      <c r="U505" s="430"/>
      <c r="W505" s="430"/>
    </row>
    <row r="506" spans="5:23" s="26" customFormat="1">
      <c r="E506" s="77"/>
      <c r="F506" s="361"/>
      <c r="I506" s="160"/>
      <c r="J506" s="160"/>
      <c r="T506" s="430"/>
      <c r="U506" s="430"/>
      <c r="W506" s="430"/>
    </row>
    <row r="507" spans="5:23" s="26" customFormat="1">
      <c r="E507" s="77"/>
      <c r="F507" s="361"/>
      <c r="I507" s="160"/>
      <c r="J507" s="160"/>
      <c r="T507" s="430"/>
      <c r="U507" s="430"/>
      <c r="W507" s="430"/>
    </row>
    <row r="508" spans="5:23" s="26" customFormat="1">
      <c r="E508" s="77"/>
      <c r="F508" s="361"/>
      <c r="I508" s="160"/>
      <c r="J508" s="160"/>
      <c r="T508" s="430"/>
      <c r="U508" s="430"/>
      <c r="W508" s="430"/>
    </row>
    <row r="509" spans="5:23" s="26" customFormat="1">
      <c r="E509" s="77"/>
      <c r="F509" s="361"/>
      <c r="I509" s="160"/>
      <c r="J509" s="160"/>
      <c r="T509" s="430"/>
      <c r="U509" s="430"/>
      <c r="W509" s="430"/>
    </row>
    <row r="510" spans="5:23" s="26" customFormat="1">
      <c r="E510" s="77"/>
      <c r="F510" s="361"/>
      <c r="I510" s="160"/>
      <c r="J510" s="160"/>
      <c r="T510" s="430"/>
      <c r="U510" s="430"/>
      <c r="W510" s="430"/>
    </row>
    <row r="511" spans="5:23" s="26" customFormat="1">
      <c r="E511" s="77"/>
      <c r="F511" s="361"/>
      <c r="I511" s="160"/>
      <c r="J511" s="160"/>
      <c r="T511" s="430"/>
      <c r="U511" s="430"/>
      <c r="W511" s="430"/>
    </row>
    <row r="512" spans="5:23" s="26" customFormat="1">
      <c r="E512" s="77"/>
      <c r="F512" s="361"/>
      <c r="I512" s="160"/>
      <c r="J512" s="160"/>
      <c r="T512" s="430"/>
      <c r="U512" s="430"/>
      <c r="W512" s="430"/>
    </row>
    <row r="513" spans="5:23" s="26" customFormat="1">
      <c r="E513" s="77"/>
      <c r="F513" s="361"/>
      <c r="I513" s="160"/>
      <c r="J513" s="160"/>
      <c r="T513" s="430"/>
      <c r="U513" s="430"/>
      <c r="W513" s="430"/>
    </row>
    <row r="514" spans="5:23" s="26" customFormat="1">
      <c r="E514" s="77"/>
      <c r="F514" s="361"/>
      <c r="I514" s="160"/>
      <c r="J514" s="160"/>
      <c r="T514" s="430"/>
      <c r="U514" s="430"/>
      <c r="W514" s="430"/>
    </row>
    <row r="515" spans="5:23" s="26" customFormat="1">
      <c r="E515" s="77"/>
      <c r="F515" s="361"/>
      <c r="I515" s="160"/>
      <c r="J515" s="160"/>
      <c r="T515" s="430"/>
      <c r="U515" s="430"/>
      <c r="W515" s="430"/>
    </row>
    <row r="516" spans="5:23" s="26" customFormat="1">
      <c r="E516" s="77"/>
      <c r="F516" s="361"/>
      <c r="I516" s="160"/>
      <c r="J516" s="160"/>
      <c r="T516" s="430"/>
      <c r="U516" s="430"/>
      <c r="W516" s="430"/>
    </row>
    <row r="517" spans="5:23" s="26" customFormat="1">
      <c r="E517" s="77"/>
      <c r="F517" s="361"/>
      <c r="I517" s="160"/>
      <c r="J517" s="160"/>
      <c r="T517" s="430"/>
      <c r="U517" s="430"/>
      <c r="W517" s="430"/>
    </row>
    <row r="518" spans="5:23" s="26" customFormat="1">
      <c r="E518" s="77"/>
      <c r="F518" s="361"/>
      <c r="I518" s="160"/>
      <c r="J518" s="160"/>
      <c r="T518" s="430"/>
      <c r="U518" s="430"/>
      <c r="W518" s="430"/>
    </row>
    <row r="519" spans="5:23" s="26" customFormat="1">
      <c r="E519" s="77"/>
      <c r="F519" s="361"/>
      <c r="I519" s="160"/>
      <c r="J519" s="160"/>
      <c r="T519" s="430"/>
      <c r="U519" s="430"/>
      <c r="W519" s="430"/>
    </row>
    <row r="520" spans="5:23" s="26" customFormat="1">
      <c r="E520" s="77"/>
      <c r="F520" s="361"/>
      <c r="I520" s="160"/>
      <c r="J520" s="160"/>
      <c r="T520" s="430"/>
      <c r="U520" s="430"/>
      <c r="W520" s="430"/>
    </row>
    <row r="521" spans="5:23" s="26" customFormat="1">
      <c r="E521" s="77"/>
      <c r="F521" s="361"/>
      <c r="I521" s="160"/>
      <c r="J521" s="160"/>
      <c r="T521" s="430"/>
      <c r="U521" s="430"/>
      <c r="W521" s="430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4"/>
  <cols>
    <col min="1" max="1" width="9.33203125" customWidth="1"/>
    <col min="2" max="2" width="34.5546875" customWidth="1"/>
    <col min="3" max="3" width="18.5546875" bestFit="1" customWidth="1"/>
    <col min="4" max="4" width="21.109375" customWidth="1"/>
    <col min="5" max="5" width="4.33203125" customWidth="1"/>
    <col min="6" max="6" width="16.33203125" bestFit="1" customWidth="1"/>
    <col min="7" max="7" width="20.33203125" customWidth="1"/>
    <col min="8" max="292" width="15.33203125" bestFit="1" customWidth="1"/>
    <col min="293" max="293" width="9.3320312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5" t="s">
        <v>405</v>
      </c>
      <c r="B2" s="103"/>
      <c r="C2" s="104" t="s">
        <v>271</v>
      </c>
      <c r="D2" s="104" t="s">
        <v>271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6"/>
      <c r="B3" s="106" t="s">
        <v>209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6"/>
      <c r="B4" s="106" t="s">
        <v>406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6"/>
      <c r="B5" s="110" t="s">
        <v>210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6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6"/>
      <c r="B7" s="115" t="s">
        <v>408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5" t="s">
        <v>206</v>
      </c>
      <c r="B8" s="103"/>
      <c r="C8" s="104" t="s">
        <v>271</v>
      </c>
      <c r="D8" s="104" t="s">
        <v>271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6"/>
      <c r="B9" s="120" t="s">
        <v>409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545952.95273360435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272976.47636680218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6"/>
      <c r="B10" s="120" t="s">
        <v>410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545952.95273360435</v>
      </c>
      <c r="U10" s="122">
        <f t="shared" si="21"/>
        <v>1091905.9054672087</v>
      </c>
      <c r="V10" s="122">
        <f t="shared" si="21"/>
        <v>1091905.9054672087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6"/>
      <c r="B11" s="123" t="s">
        <v>411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0</v>
      </c>
      <c r="T11" s="125">
        <f>SUMIFS('Expenditure Breakdown'!$Q$6:$Q$169, 'Expenditure Breakdown'!$W$6:$W$169, "&gt;="&amp;T1,'Expenditure Breakdown'!$W$6:$W$169, "&lt;"&amp;U1)</f>
        <v>46474.5</v>
      </c>
      <c r="U11" s="125">
        <f>SUMIFS('Expenditure Breakdown'!$Q$6:$Q$169, 'Expenditure Breakdown'!$W$6:$W$169, "&gt;="&amp;U1,'Expenditure Breakdown'!$W$6:$W$169, "&lt;"&amp;V1)</f>
        <v>318153.77000000014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2120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6"/>
      <c r="B12" s="123" t="s">
        <v>412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569882.88</v>
      </c>
      <c r="T12" s="125">
        <f t="shared" si="26"/>
        <v>616357.38</v>
      </c>
      <c r="U12" s="125">
        <f t="shared" si="26"/>
        <v>934511.15000000014</v>
      </c>
      <c r="V12" s="125">
        <f t="shared" si="26"/>
        <v>934511.15000000014</v>
      </c>
      <c r="W12" s="125">
        <f t="shared" si="26"/>
        <v>934511.15000000014</v>
      </c>
      <c r="X12" s="125">
        <f t="shared" si="26"/>
        <v>934511.15000000014</v>
      </c>
      <c r="Y12" s="125">
        <f t="shared" si="26"/>
        <v>945680.15000000014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>
      <c r="A13" s="746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6"/>
      <c r="B14" s="115" t="s">
        <v>413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-23929.927266395651</v>
      </c>
      <c r="T14" s="118">
        <f t="shared" si="32"/>
        <v>-70404.427266395651</v>
      </c>
      <c r="U14" s="118">
        <f t="shared" si="32"/>
        <v>157394.75546720857</v>
      </c>
      <c r="V14" s="118">
        <f t="shared" si="32"/>
        <v>157394.75546720857</v>
      </c>
      <c r="W14" s="118">
        <f t="shared" si="32"/>
        <v>430371.23183401069</v>
      </c>
      <c r="X14" s="118">
        <f t="shared" si="32"/>
        <v>430371.23183401069</v>
      </c>
      <c r="Y14" s="118">
        <f t="shared" si="32"/>
        <v>419202.23183401069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/>
    <row r="16" spans="1:770" s="102" customFormat="1">
      <c r="C16" s="104" t="s">
        <v>271</v>
      </c>
      <c r="D16" s="104" t="s">
        <v>271</v>
      </c>
    </row>
    <row r="17" spans="1:292">
      <c r="A17" s="747"/>
      <c r="B17" s="106" t="s">
        <v>414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328520.08300345158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615.10212804247089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7"/>
      <c r="B18" s="106" t="s">
        <v>415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1364267.2748015746</v>
      </c>
      <c r="V18" s="125">
        <f t="shared" si="37"/>
        <v>1364267.2748015746</v>
      </c>
      <c r="W18" s="125">
        <f t="shared" si="37"/>
        <v>1364267.2748015746</v>
      </c>
      <c r="X18" s="125">
        <f t="shared" si="37"/>
        <v>1364267.2748015746</v>
      </c>
      <c r="Y18" s="125">
        <f t="shared" si="37"/>
        <v>1364267.2748015746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09375" defaultRowHeight="14.4"/>
  <cols>
    <col min="1" max="1" width="39.33203125" style="269" bestFit="1" customWidth="1"/>
    <col min="2" max="2" width="17.109375" style="270" bestFit="1" customWidth="1"/>
    <col min="3" max="3" width="11.77734375" style="269" bestFit="1" customWidth="1"/>
    <col min="4" max="4" width="13.21875" style="269" bestFit="1" customWidth="1"/>
    <col min="5" max="5" width="4.77734375" style="269" bestFit="1" customWidth="1"/>
    <col min="6" max="7" width="13.21875" style="269" bestFit="1" customWidth="1"/>
    <col min="8" max="9" width="12" style="269" bestFit="1" customWidth="1"/>
    <col min="10" max="10" width="14.77734375" style="269" bestFit="1" customWidth="1"/>
    <col min="11" max="11" width="11.109375" style="269" bestFit="1" customWidth="1"/>
    <col min="12" max="12" width="6.109375" style="269" bestFit="1" customWidth="1"/>
    <col min="13" max="13" width="14.33203125" style="269" bestFit="1" customWidth="1"/>
    <col min="14" max="14" width="13.5546875" style="269" bestFit="1" customWidth="1"/>
    <col min="15" max="18" width="11.33203125" style="269" bestFit="1" customWidth="1"/>
    <col min="19" max="19" width="13.5546875" style="269" bestFit="1" customWidth="1"/>
    <col min="20" max="16384" width="12.109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416</v>
      </c>
      <c r="B3" s="539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418</v>
      </c>
      <c r="B4" t="s">
        <v>419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420</v>
      </c>
      <c r="K4"/>
      <c r="L4"/>
      <c r="M4"/>
      <c r="N4"/>
      <c r="O4"/>
      <c r="P4"/>
      <c r="Q4"/>
      <c r="R4"/>
      <c r="S4"/>
      <c r="T4"/>
    </row>
    <row r="5" spans="1:20">
      <c r="A5" s="344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4" t="s">
        <v>275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>
      <c r="A7" s="344" t="s">
        <v>283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>
      <c r="A8" s="344" t="s">
        <v>295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>
      <c r="A9" s="344" t="s">
        <v>309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>
      <c r="A10" s="344" t="s">
        <v>327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>
      <c r="A11" s="344" t="s">
        <v>332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>
      <c r="A12" s="344" t="s">
        <v>339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>
      <c r="A13" s="344" t="s">
        <v>346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4" t="s">
        <v>351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>
      <c r="A15" s="344" t="s">
        <v>355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>
      <c r="A16" s="344" t="s">
        <v>365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>
      <c r="A17" s="344" t="s">
        <v>370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>
      <c r="A18" s="344" t="s">
        <v>374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4" t="s">
        <v>362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4" t="s">
        <v>336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4" t="s">
        <v>420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33203125" defaultRowHeight="14.4"/>
  <cols>
    <col min="1" max="1" width="21.77734375" bestFit="1" customWidth="1"/>
    <col min="2" max="2" width="17.109375" style="307" bestFit="1" customWidth="1"/>
    <col min="3" max="3" width="11.77734375" style="307" bestFit="1" customWidth="1"/>
    <col min="4" max="4" width="13.21875" style="307" bestFit="1" customWidth="1"/>
    <col min="5" max="5" width="4.77734375" style="307" bestFit="1" customWidth="1"/>
    <col min="6" max="7" width="13.21875" style="307" bestFit="1" customWidth="1"/>
    <col min="8" max="9" width="12" style="307" bestFit="1" customWidth="1"/>
    <col min="10" max="10" width="13.21875" bestFit="1" customWidth="1"/>
    <col min="11" max="11" width="10.77734375" bestFit="1" customWidth="1"/>
    <col min="12" max="12" width="10.2187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21875" bestFit="1" customWidth="1"/>
    <col min="17" max="18" width="11.5546875" bestFit="1" customWidth="1"/>
    <col min="19" max="19" width="13.33203125" bestFit="1" customWidth="1"/>
  </cols>
  <sheetData>
    <row r="3" spans="1:10">
      <c r="A3" s="539" t="s">
        <v>421</v>
      </c>
      <c r="B3" s="539" t="s">
        <v>417</v>
      </c>
      <c r="C3"/>
      <c r="D3"/>
      <c r="E3"/>
      <c r="F3"/>
      <c r="G3"/>
      <c r="H3"/>
      <c r="I3"/>
    </row>
    <row r="4" spans="1:10">
      <c r="A4" s="539" t="s">
        <v>418</v>
      </c>
      <c r="B4" t="s">
        <v>419</v>
      </c>
      <c r="C4" s="345">
        <v>45991</v>
      </c>
      <c r="D4" s="345">
        <v>46022</v>
      </c>
      <c r="E4"/>
      <c r="F4" s="345">
        <v>46053</v>
      </c>
      <c r="G4" s="345">
        <v>46081</v>
      </c>
      <c r="H4" s="345">
        <v>46112</v>
      </c>
      <c r="I4" s="345">
        <v>46142</v>
      </c>
      <c r="J4" t="s">
        <v>420</v>
      </c>
    </row>
    <row r="5" spans="1:10">
      <c r="A5" s="344" t="s">
        <v>419</v>
      </c>
      <c r="B5" s="346"/>
      <c r="C5" s="346"/>
      <c r="D5" s="346"/>
      <c r="E5" s="346"/>
      <c r="F5" s="346"/>
      <c r="G5" s="346"/>
      <c r="H5" s="346"/>
      <c r="I5" s="346"/>
      <c r="J5" s="346"/>
    </row>
    <row r="6" spans="1:10">
      <c r="A6" s="344" t="s">
        <v>275</v>
      </c>
      <c r="B6" s="346"/>
      <c r="C6" s="346"/>
      <c r="D6" s="346">
        <v>306891</v>
      </c>
      <c r="E6" s="346"/>
      <c r="F6" s="346"/>
      <c r="G6" s="346"/>
      <c r="H6" s="346"/>
      <c r="I6" s="346"/>
      <c r="J6" s="346">
        <v>306891</v>
      </c>
    </row>
    <row r="7" spans="1:10">
      <c r="A7" s="344" t="s">
        <v>283</v>
      </c>
      <c r="B7" s="346"/>
      <c r="C7" s="346"/>
      <c r="D7" s="346">
        <v>112476.43000000001</v>
      </c>
      <c r="E7" s="346"/>
      <c r="F7" s="346"/>
      <c r="G7" s="346"/>
      <c r="H7" s="346"/>
      <c r="I7" s="346"/>
      <c r="J7" s="346">
        <v>112476.43000000001</v>
      </c>
    </row>
    <row r="8" spans="1:10">
      <c r="A8" s="344" t="s">
        <v>295</v>
      </c>
      <c r="B8" s="346"/>
      <c r="C8" s="346"/>
      <c r="D8" s="346">
        <v>5492</v>
      </c>
      <c r="E8" s="346"/>
      <c r="F8" s="346">
        <v>22235.27</v>
      </c>
      <c r="G8" s="346"/>
      <c r="H8" s="346"/>
      <c r="I8" s="346"/>
      <c r="J8" s="346">
        <v>27727.27</v>
      </c>
    </row>
    <row r="9" spans="1:10">
      <c r="A9" s="344" t="s">
        <v>309</v>
      </c>
      <c r="B9" s="346"/>
      <c r="C9" s="346"/>
      <c r="D9" s="346">
        <v>9836.25</v>
      </c>
      <c r="E9" s="346"/>
      <c r="F9" s="346">
        <v>56664.97</v>
      </c>
      <c r="G9" s="346">
        <v>25574.25</v>
      </c>
      <c r="H9" s="346">
        <v>1967.25</v>
      </c>
      <c r="I9" s="346">
        <v>1967.25</v>
      </c>
      <c r="J9" s="346">
        <v>96009.97</v>
      </c>
    </row>
    <row r="10" spans="1:10">
      <c r="A10" s="344" t="s">
        <v>327</v>
      </c>
      <c r="B10" s="346"/>
      <c r="C10" s="346"/>
      <c r="D10" s="346"/>
      <c r="E10" s="346"/>
      <c r="F10" s="346">
        <v>361.85</v>
      </c>
      <c r="G10" s="346">
        <v>11169</v>
      </c>
      <c r="H10" s="346"/>
      <c r="I10" s="346"/>
      <c r="J10" s="346">
        <v>11530.85</v>
      </c>
    </row>
    <row r="11" spans="1:10">
      <c r="A11" s="344" t="s">
        <v>332</v>
      </c>
      <c r="B11" s="346"/>
      <c r="C11" s="346"/>
      <c r="D11" s="346">
        <v>15738</v>
      </c>
      <c r="E11" s="346"/>
      <c r="F11" s="346">
        <v>81076</v>
      </c>
      <c r="G11" s="346">
        <v>40918.800000000003</v>
      </c>
      <c r="H11" s="346">
        <v>3147.6000000000004</v>
      </c>
      <c r="I11" s="346">
        <v>3147.6000000000004</v>
      </c>
      <c r="J11" s="346">
        <v>144028</v>
      </c>
    </row>
    <row r="12" spans="1:10">
      <c r="A12" s="344" t="s">
        <v>339</v>
      </c>
      <c r="B12" s="346"/>
      <c r="C12" s="346"/>
      <c r="D12" s="346"/>
      <c r="E12" s="346"/>
      <c r="F12" s="346"/>
      <c r="G12" s="346">
        <v>36548</v>
      </c>
      <c r="H12" s="346"/>
      <c r="I12" s="346"/>
      <c r="J12" s="346">
        <v>36548</v>
      </c>
    </row>
    <row r="13" spans="1:10">
      <c r="A13" s="344" t="s">
        <v>346</v>
      </c>
      <c r="B13" s="346"/>
      <c r="C13" s="346"/>
      <c r="D13" s="346">
        <v>33836.699999999997</v>
      </c>
      <c r="E13" s="346"/>
      <c r="F13" s="346"/>
      <c r="G13" s="346">
        <v>87975.419999999984</v>
      </c>
      <c r="H13" s="346">
        <v>6767.34</v>
      </c>
      <c r="I13" s="346">
        <v>6767.34</v>
      </c>
      <c r="J13" s="346">
        <v>135346.79999999999</v>
      </c>
    </row>
    <row r="14" spans="1:10">
      <c r="A14" s="344" t="s">
        <v>351</v>
      </c>
      <c r="B14" s="346"/>
      <c r="C14" s="346"/>
      <c r="D14" s="346">
        <v>5577.95</v>
      </c>
      <c r="E14" s="346"/>
      <c r="F14" s="346"/>
      <c r="G14" s="346">
        <v>14502.67</v>
      </c>
      <c r="H14" s="346">
        <v>1115.5899999999999</v>
      </c>
      <c r="I14" s="346">
        <v>1115.5899999999999</v>
      </c>
      <c r="J14" s="346">
        <v>22311.8</v>
      </c>
    </row>
    <row r="15" spans="1:10">
      <c r="A15" s="344" t="s">
        <v>355</v>
      </c>
      <c r="B15" s="346">
        <v>0</v>
      </c>
      <c r="C15" s="346"/>
      <c r="D15" s="346"/>
      <c r="E15" s="346"/>
      <c r="F15" s="346"/>
      <c r="G15" s="346">
        <v>18577.5</v>
      </c>
      <c r="H15" s="346"/>
      <c r="I15" s="346"/>
      <c r="J15" s="346">
        <v>18577.5</v>
      </c>
    </row>
    <row r="16" spans="1:10">
      <c r="A16" s="344" t="s">
        <v>365</v>
      </c>
      <c r="B16" s="346"/>
      <c r="C16" s="346"/>
      <c r="D16" s="346"/>
      <c r="E16" s="346"/>
      <c r="F16" s="346">
        <v>0</v>
      </c>
      <c r="G16" s="346"/>
      <c r="H16" s="346"/>
      <c r="I16" s="346"/>
      <c r="J16" s="346">
        <v>0</v>
      </c>
    </row>
    <row r="17" spans="1:10">
      <c r="A17" s="344" t="s">
        <v>370</v>
      </c>
      <c r="B17" s="346"/>
      <c r="C17" s="346">
        <v>428.4</v>
      </c>
      <c r="D17" s="346">
        <v>456.96</v>
      </c>
      <c r="E17" s="346"/>
      <c r="F17" s="346">
        <v>913.92</v>
      </c>
      <c r="G17" s="346">
        <v>656.25</v>
      </c>
      <c r="H17" s="346">
        <v>656.25</v>
      </c>
      <c r="I17" s="346"/>
      <c r="J17" s="346">
        <v>3111.7799999999997</v>
      </c>
    </row>
    <row r="18" spans="1:10">
      <c r="A18" s="344" t="s">
        <v>374</v>
      </c>
      <c r="B18" s="346"/>
      <c r="C18" s="346">
        <v>450</v>
      </c>
      <c r="D18" s="346"/>
      <c r="E18" s="346"/>
      <c r="F18" s="346"/>
      <c r="G18" s="346">
        <v>33897</v>
      </c>
      <c r="H18" s="346"/>
      <c r="I18" s="346"/>
      <c r="J18" s="346">
        <v>34347</v>
      </c>
    </row>
    <row r="19" spans="1:10">
      <c r="A19" s="344" t="s">
        <v>362</v>
      </c>
      <c r="B19" s="346"/>
      <c r="C19" s="346"/>
      <c r="D19" s="346"/>
      <c r="E19" s="346">
        <v>0</v>
      </c>
      <c r="F19" s="346"/>
      <c r="G19" s="346"/>
      <c r="H19" s="346"/>
      <c r="I19" s="346"/>
      <c r="J19" s="346">
        <v>0</v>
      </c>
    </row>
    <row r="20" spans="1:10">
      <c r="A20" s="344" t="s">
        <v>336</v>
      </c>
      <c r="B20" s="346"/>
      <c r="C20" s="346"/>
      <c r="D20" s="346"/>
      <c r="E20" s="346"/>
      <c r="F20" s="346"/>
      <c r="G20" s="346"/>
      <c r="H20" s="346"/>
      <c r="I20" s="346"/>
      <c r="J20" s="346"/>
    </row>
    <row r="21" spans="1:10">
      <c r="A21" s="344" t="s">
        <v>420</v>
      </c>
      <c r="B21" s="346">
        <v>0</v>
      </c>
      <c r="C21" s="346">
        <v>878.4</v>
      </c>
      <c r="D21" s="346">
        <v>490305.29000000004</v>
      </c>
      <c r="E21" s="346">
        <v>0</v>
      </c>
      <c r="F21" s="346">
        <v>161252.01000000004</v>
      </c>
      <c r="G21" s="346">
        <v>269818.89</v>
      </c>
      <c r="H21" s="346">
        <v>13654.03</v>
      </c>
      <c r="I21" s="346">
        <v>12997.78</v>
      </c>
      <c r="J21" s="346">
        <v>948906.40000000014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33203125" defaultRowHeight="13.2"/>
  <cols>
    <col min="1" max="2" width="9.33203125" style="9"/>
    <col min="3" max="3" width="13.33203125" style="9" bestFit="1" customWidth="1"/>
    <col min="4" max="5" width="9.33203125" style="9"/>
    <col min="6" max="6" width="12.109375" style="9" bestFit="1" customWidth="1"/>
    <col min="7" max="7" width="1.33203125" style="9" customWidth="1"/>
    <col min="8" max="8" width="11.33203125" style="9" bestFit="1" customWidth="1"/>
    <col min="9" max="16384" width="9.33203125" style="9"/>
  </cols>
  <sheetData>
    <row r="1" spans="3:8" ht="13.8" thickBot="1"/>
    <row r="2" spans="3:8" ht="13.8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427</v>
      </c>
    </row>
    <row r="5" spans="3:8">
      <c r="C5" s="15">
        <v>45765</v>
      </c>
      <c r="D5" s="9" t="s">
        <v>428</v>
      </c>
      <c r="F5" s="17" t="s">
        <v>429</v>
      </c>
    </row>
    <row r="6" spans="3:8" ht="13.8" thickBot="1">
      <c r="C6" s="15">
        <v>45768</v>
      </c>
      <c r="D6" s="9" t="s">
        <v>430</v>
      </c>
      <c r="F6" s="18" t="s">
        <v>431</v>
      </c>
    </row>
    <row r="7" spans="3:8">
      <c r="C7" s="15">
        <v>45774</v>
      </c>
      <c r="D7" s="9" t="s">
        <v>432</v>
      </c>
    </row>
    <row r="8" spans="3:8">
      <c r="C8" s="15">
        <v>45765</v>
      </c>
      <c r="D8" s="9" t="s">
        <v>433</v>
      </c>
    </row>
    <row r="9" spans="3:8">
      <c r="C9" s="15">
        <v>45778</v>
      </c>
      <c r="D9" s="9" t="s">
        <v>434</v>
      </c>
    </row>
    <row r="10" spans="3:8">
      <c r="C10" s="15">
        <v>45824</v>
      </c>
      <c r="D10" s="9" t="s">
        <v>435</v>
      </c>
    </row>
    <row r="11" spans="3:8">
      <c r="C11" s="15">
        <v>45878</v>
      </c>
      <c r="D11" s="9" t="s">
        <v>436</v>
      </c>
    </row>
    <row r="12" spans="3:8">
      <c r="C12" s="15">
        <v>45924</v>
      </c>
      <c r="D12" s="9" t="s">
        <v>437</v>
      </c>
    </row>
    <row r="13" spans="3:8">
      <c r="C13" s="15">
        <v>46007</v>
      </c>
      <c r="D13" s="9" t="s">
        <v>438</v>
      </c>
      <c r="F13" s="20"/>
      <c r="H13" s="9" t="s">
        <v>439</v>
      </c>
    </row>
    <row r="14" spans="3:8">
      <c r="C14" s="15">
        <v>46016</v>
      </c>
      <c r="D14" s="9" t="s">
        <v>440</v>
      </c>
    </row>
    <row r="15" spans="3:8">
      <c r="C15" s="15">
        <v>46017</v>
      </c>
      <c r="D15" s="9" t="s">
        <v>441</v>
      </c>
    </row>
    <row r="16" spans="3:8">
      <c r="C16" s="15">
        <v>46006</v>
      </c>
      <c r="D16" s="9" t="s">
        <v>442</v>
      </c>
    </row>
    <row r="17" spans="3:4">
      <c r="C17" s="15">
        <v>46007</v>
      </c>
      <c r="D17" s="9" t="s">
        <v>442</v>
      </c>
    </row>
    <row r="18" spans="3:4">
      <c r="C18" s="15">
        <v>46008</v>
      </c>
      <c r="D18" s="9" t="s">
        <v>442</v>
      </c>
    </row>
    <row r="19" spans="3:4">
      <c r="C19" s="15">
        <v>46009</v>
      </c>
      <c r="D19" s="9" t="s">
        <v>442</v>
      </c>
    </row>
    <row r="20" spans="3:4">
      <c r="C20" s="15">
        <v>46010</v>
      </c>
      <c r="D20" s="9" t="s">
        <v>442</v>
      </c>
    </row>
    <row r="21" spans="3:4">
      <c r="C21" s="15">
        <v>46011</v>
      </c>
      <c r="D21" s="9" t="s">
        <v>442</v>
      </c>
    </row>
    <row r="22" spans="3:4">
      <c r="C22" s="15">
        <v>46012</v>
      </c>
      <c r="D22" s="9" t="s">
        <v>442</v>
      </c>
    </row>
    <row r="23" spans="3:4">
      <c r="C23" s="15">
        <v>46013</v>
      </c>
      <c r="D23" s="9" t="s">
        <v>442</v>
      </c>
    </row>
    <row r="24" spans="3:4">
      <c r="C24" s="15">
        <v>46014</v>
      </c>
      <c r="D24" s="9" t="s">
        <v>442</v>
      </c>
    </row>
    <row r="25" spans="3:4">
      <c r="C25" s="15">
        <v>46015</v>
      </c>
      <c r="D25" s="9" t="s">
        <v>442</v>
      </c>
    </row>
    <row r="26" spans="3:4">
      <c r="C26" s="15">
        <v>46016</v>
      </c>
      <c r="D26" s="9" t="s">
        <v>442</v>
      </c>
    </row>
    <row r="27" spans="3:4">
      <c r="C27" s="15">
        <v>46017</v>
      </c>
      <c r="D27" s="9" t="s">
        <v>442</v>
      </c>
    </row>
    <row r="28" spans="3:4">
      <c r="C28" s="15">
        <v>46018</v>
      </c>
      <c r="D28" s="9" t="s">
        <v>442</v>
      </c>
    </row>
    <row r="29" spans="3:4">
      <c r="C29" s="15">
        <v>46019</v>
      </c>
      <c r="D29" s="9" t="s">
        <v>442</v>
      </c>
    </row>
    <row r="30" spans="3:4">
      <c r="C30" s="15">
        <v>46020</v>
      </c>
      <c r="D30" s="9" t="s">
        <v>442</v>
      </c>
    </row>
    <row r="31" spans="3:4">
      <c r="C31" s="15">
        <v>46021</v>
      </c>
      <c r="D31" s="9" t="s">
        <v>442</v>
      </c>
    </row>
    <row r="32" spans="3:4">
      <c r="C32" s="15">
        <v>46022</v>
      </c>
      <c r="D32" s="9" t="s">
        <v>442</v>
      </c>
    </row>
    <row r="33" spans="3:4">
      <c r="C33" s="15">
        <v>46023</v>
      </c>
      <c r="D33" s="9" t="s">
        <v>442</v>
      </c>
    </row>
    <row r="34" spans="3:4">
      <c r="C34" s="15">
        <v>46024</v>
      </c>
      <c r="D34" s="9" t="s">
        <v>442</v>
      </c>
    </row>
    <row r="35" spans="3:4">
      <c r="C35" s="15">
        <v>46025</v>
      </c>
      <c r="D35" s="9" t="s">
        <v>442</v>
      </c>
    </row>
    <row r="36" spans="3:4">
      <c r="C36" s="15">
        <v>46026</v>
      </c>
      <c r="D36" s="9" t="s">
        <v>442</v>
      </c>
    </row>
    <row r="37" spans="3:4">
      <c r="C37" s="15">
        <v>46027</v>
      </c>
      <c r="D37" s="9" t="s">
        <v>442</v>
      </c>
    </row>
    <row r="38" spans="3:4">
      <c r="C38" s="15">
        <v>46028</v>
      </c>
      <c r="D38" s="9" t="s">
        <v>442</v>
      </c>
    </row>
    <row r="39" spans="3:4">
      <c r="C39" s="15">
        <v>46029</v>
      </c>
      <c r="D39" s="9" t="s">
        <v>442</v>
      </c>
    </row>
    <row r="40" spans="3:4">
      <c r="C40" s="15">
        <v>46030</v>
      </c>
      <c r="D40" s="9" t="s">
        <v>442</v>
      </c>
    </row>
    <row r="41" spans="3:4">
      <c r="C41" s="15">
        <v>46031</v>
      </c>
      <c r="D41" s="9" t="s">
        <v>442</v>
      </c>
    </row>
    <row r="42" spans="3:4">
      <c r="C42" s="15">
        <v>46032</v>
      </c>
      <c r="D42" s="9" t="s">
        <v>442</v>
      </c>
    </row>
    <row r="43" spans="3:4">
      <c r="C43" s="15">
        <v>46033</v>
      </c>
      <c r="D43" s="9" t="s">
        <v>442</v>
      </c>
    </row>
    <row r="44" spans="3:4">
      <c r="C44" s="15">
        <v>46034</v>
      </c>
      <c r="D44" s="9" t="s">
        <v>442</v>
      </c>
    </row>
    <row r="45" spans="3:4">
      <c r="C45" s="15">
        <v>46035</v>
      </c>
      <c r="D45" s="9" t="s">
        <v>442</v>
      </c>
    </row>
    <row r="46" spans="3:4">
      <c r="C46" s="15">
        <v>46036</v>
      </c>
      <c r="D46" s="9" t="s">
        <v>442</v>
      </c>
    </row>
    <row r="47" spans="3:4">
      <c r="C47" s="15">
        <v>46037</v>
      </c>
      <c r="D47" s="9" t="s">
        <v>442</v>
      </c>
    </row>
    <row r="48" spans="3:4">
      <c r="C48" s="15">
        <v>46038</v>
      </c>
      <c r="D48" s="9" t="s">
        <v>442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428</v>
      </c>
    </row>
    <row r="51" spans="3:4">
      <c r="C51" s="15">
        <v>46118</v>
      </c>
      <c r="D51" s="9" t="s">
        <v>430</v>
      </c>
    </row>
    <row r="52" spans="3:4">
      <c r="C52" s="15">
        <v>46139</v>
      </c>
      <c r="D52" s="9" t="s">
        <v>432</v>
      </c>
    </row>
    <row r="53" spans="3:4">
      <c r="C53" s="15">
        <v>46143</v>
      </c>
      <c r="D53" s="9" t="s">
        <v>434</v>
      </c>
    </row>
    <row r="54" spans="3:4">
      <c r="C54" s="15">
        <v>46189</v>
      </c>
      <c r="D54" s="9" t="s">
        <v>435</v>
      </c>
    </row>
    <row r="55" spans="3:4">
      <c r="C55" s="15">
        <v>46243</v>
      </c>
      <c r="D55" s="9" t="s">
        <v>436</v>
      </c>
    </row>
    <row r="56" spans="3:4">
      <c r="C56" s="15">
        <v>46244</v>
      </c>
      <c r="D56" s="9" t="s">
        <v>443</v>
      </c>
    </row>
    <row r="57" spans="3:4">
      <c r="C57" s="15">
        <v>46289</v>
      </c>
      <c r="D57" s="9" t="s">
        <v>437</v>
      </c>
    </row>
    <row r="58" spans="3:4">
      <c r="C58" s="15">
        <v>46372</v>
      </c>
      <c r="D58" s="9" t="s">
        <v>438</v>
      </c>
    </row>
    <row r="59" spans="3:4">
      <c r="C59" s="15">
        <v>46381</v>
      </c>
      <c r="D59" s="9" t="s">
        <v>440</v>
      </c>
    </row>
    <row r="60" spans="3:4" ht="13.8" thickBot="1">
      <c r="C60" s="16">
        <v>46382</v>
      </c>
      <c r="D60" s="9" t="s">
        <v>441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2026-02-18T13:29:07Z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