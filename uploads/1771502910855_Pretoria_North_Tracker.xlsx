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82" documentId="13_ncr:1_{9CDC6338-D517-4B8F-B28F-B956AA8DF724}" xr6:coauthVersionLast="47" xr6:coauthVersionMax="47" xr10:uidLastSave="{DCC931CA-2205-4374-8D20-404105B54ACC}"/>
  <bookViews>
    <workbookView xWindow="-110" yWindow="-110" windowWidth="19420" windowHeight="11500" tabRatio="683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124" i="18" l="1"/>
  <c r="W103" i="18"/>
  <c r="W86" i="18"/>
  <c r="Q100" i="18"/>
  <c r="Q99" i="18"/>
  <c r="Q38" i="18"/>
  <c r="P7" i="18"/>
  <c r="I40" i="2"/>
  <c r="W32" i="18"/>
  <c r="Q7" i="18"/>
  <c r="W131" i="18"/>
  <c r="EQ11" i="6" s="1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8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CV11" i="6" l="1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8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<sst xmlns="http://schemas.openxmlformats.org/spreadsheetml/2006/main" count="919" uniqueCount="541">
  <si>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</si>
  <si>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</si>
  <si>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</si>
  <si>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</si>
  <si>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</si>
  <si>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</si>
  <si>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</si>
  <si>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</si>
  <si>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</si>
  <si>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</si>
  <si>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</si>
  <si>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</si>
  <si>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</si>
  <si>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</si>
  <si>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</si>
  <si>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</si>
  <si>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</si>
  <si>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</si>
  <si>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</si>
  <si>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</si>
  <si>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</si>
  <si>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</si>
  <si>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</si>
  <si>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</si>
  <si>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</si>
  <si>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</si>
  <si>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</si>
  <si>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</si>
  <si>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</si>
  <si>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</si>
  <si>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</si>
  <si>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</si>
  <si>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</si>
  <si>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</si>
  <si>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</si>
  <si>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</si>
  <si>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</si>
  <si>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</si>
  <si>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</si>
  <si>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</si>
  <si>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</si>
  <si>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</si>
  <si>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</si>
  <si>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</si>
  <si>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</si>
  <si>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</si>
  <si>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</si>
  <si>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</si>
  <si>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</si>
  <si>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</si>
  <si>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</si>
  <si>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</si>
  <si>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</si>
  <si>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</si>
  <si>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</si>
  <si>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</si>
  <si>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</si>
  <si>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</si>
  <si>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</si>
  <si>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</si>
  <si>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</si>
  <si>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</si>
  <si>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</si>
  <si>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</si>
  <si>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</si>
  <si>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</si>
  <si>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</si>
  <si>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</si>
  <si>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</si>
  <si>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</si>
  <si>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</si>
  <si>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</si>
  <si>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</si>
  <si>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</si>
  <si>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</si>
  <si>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</si>
  <si>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</si>
  <si>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</si>
  <si>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</si>
  <si>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</si>
  <si>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</si>
  <si>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</si>
  <si>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</si>
  <si>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</si>
  <si>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</si>
  <si>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</si>
  <si>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</si>
  <si>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</si>
  <si>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</si>
  <si>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</si>
  <si>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</si>
  <si>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</si>
  <si>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</si>
  <si>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</si>
  <si>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</si>
  <si>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</si>
  <si>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</si>
  <si>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</si>
  <si>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</si>
  <si>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</si>
  <si>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</si>
  <si>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</si>
  <si>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</si>
  <si>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</si>
  <si>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</si>
  <si>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</si>
  <si>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</si>
  <si>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</si>
  <si>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</si>
  <si>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</si>
  <si>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</si>
  <si>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</si>
  <si>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</si>
  <si>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</si>
  <si>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</si>
  <si>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</si>
  <si>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</si>
  <si>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</si>
  <si>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</si>
  <si>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</si>
  <si>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</si>
  <si>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</si>
  <si>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</si>
  <si>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</si>
  <si>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</si>
  <si>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</si>
  <si>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</si>
  <si>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</si>
  <si>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</si>
  <si>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</si>
  <si>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</si>
  <si>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</si>
  <si>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</si>
  <si>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</si>
  <si>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</si>
  <si>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</si>
  <si>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</si>
  <si>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</si>
  <si>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</si>
  <si>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</si>
  <si>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</si>
  <si>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</si>
  <si>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</si>
  <si>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</si>
  <si>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</si>
  <si>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</si>
  <si>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</si>
  <si>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</si>
  <si>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</si>
  <si>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</si>
  <si>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</si>
  <si>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</si>
  <si>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</si>
  <si>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</si>
  <si>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</si>
  <si>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</si>
  <si>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</si>
  <si>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</si>
  <si>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</si>
  <si>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</si>
  <si>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</si>
  <si>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</si>
  <si>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</si>
  <si>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</si>
  <si>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</si>
  <si>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</si>
  <si>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</si>
  <si>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</si>
  <si>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</si>
  <si>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</si>
  <si>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</si>
  <si>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</si>
  <si>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</si>
  <si>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</si>
  <si>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</si>
  <si>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</si>
  <si>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</si>
  <si>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</si>
  <si>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</si>
  <si>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</si>
  <si>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</si>
  <si>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</si>
  <si>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</si>
  <si>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</si>
  <si>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</si>
  <si>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</si>
  <si>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</si>
  <si>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</si>
  <si>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</si>
  <si>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</si>
  <si>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</si>
  <si>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</si>
  <si>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</si>
  <si>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</si>
  <si>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</si>
  <si>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</si>
  <si>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</si>
  <si>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</si>
  <si>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</si>
  <si>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</si>
  <si>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</si>
  <si>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</si>
  <si>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</si>
  <si>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</si>
  <si>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</si>
  <si>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</si>
  <si>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</si>
  <si>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</si>
  <si>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</si>
  <si>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</si>
  <si>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</si>
  <si>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</si>
  <si>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</si>
  <si>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</si>
  <si>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</si>
  <si>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</si>
  <si>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</si>
  <si>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</si>
  <si>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</si>
  <si>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</si>
  <si>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</si>
  <si>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</si>
  <si>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</si>
  <si>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</si>
  <si>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</si>
  <si>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</si>
  <si>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</si>
  <si>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</si>
  <si>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</si>
  <si>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</si>
  <si>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</si>
  <si>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</si>
  <si>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</si>
  <si>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</si>
  <si>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</si>
  <si>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</si>
  <si>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</si>
  <si>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</si>
  <si>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</si>
  <si>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</si>
  <si>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</si>
  <si>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</si>
  <si>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</si>
  <si>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</si>
  <si>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Jinko 620W - Replacement of broken modules - VO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</si>
  <si>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</si>
  <si>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</si>
  <si>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</si>
  <si>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</si>
  <si>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</si>
  <si>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</si>
  <si>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</si>
  <si>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</si>
  <si>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</si>
  <si>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</si>
  <si>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</si>
  <si>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</si>
  <si>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</si>
  <si>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</si>
  <si>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</si>
  <si>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</si>
  <si>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</si>
  <si>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</si>
  <si>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</si>
  <si>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</si>
  <si>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</si>
  <si>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</si>
  <si>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</si>
  <si>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</si>
  <si>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Less 15%</t>
  </si>
  <si>
    <t>Return Scheltter Stock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</si>
  <si>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</si>
  <si>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</si>
  <si>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</si>
  <si>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</si>
  <si>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</si>
  <si>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</si>
  <si>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</si>
  <si>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</si>
  <si>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</si>
  <si>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</si>
  <si>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</si>
  <si>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</si>
  <si>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</si>
  <si>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</si>
  <si>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</si>
  <si>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</si>
  <si>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DC Cable - Rubicon - VO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</si>
  <si>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</si>
  <si>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</si>
  <si>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</si>
  <si>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</si>
  <si>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</si>
  <si>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</si>
  <si>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</si>
  <si>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</si>
  <si>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</si>
  <si>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</si>
  <si>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</si>
  <si>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</si>
  <si>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</si>
  <si>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</si>
  <si>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</si>
  <si>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</si>
  <si>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</si>
  <si>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</si>
  <si>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</si>
  <si>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</si>
  <si>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</si>
  <si>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</si>
  <si>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</si>
  <si>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</si>
  <si>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</si>
  <si>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</si>
  <si>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</si>
  <si>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</si>
  <si>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</si>
  <si>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</si>
  <si>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</si>
  <si>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</si>
  <si>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</si>
  <si>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</si>
  <si>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</si>
  <si>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</si>
  <si>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</si>
  <si>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</si>
  <si>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</si>
  <si>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</si>
  <si>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</si>
  <si>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</si>
  <si>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</si>
  <si>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</si>
  <si>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</si>
  <si>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</si>
  <si>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</si>
  <si>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</si>
  <si>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</si>
  <si>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</si>
  <si>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</si>
  <si>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</si>
  <si>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</si>
  <si>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</si>
  <si>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</si>
  <si>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</si>
  <si>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</si>
  <si>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Inverter cage modification</t>
  </si>
  <si>
    <t>PO4580-DIP-Ph2-SPN-20260127 - RV Approved</t>
  </si>
  <si>
    <t>The Engineering Hub INV/2026/01/0249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</si>
  <si>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</si>
  <si>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</si>
  <si>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</si>
  <si>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</si>
  <si>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</si>
  <si>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</si>
  <si>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</si>
  <si>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</si>
  <si>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</si>
  <si>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</si>
  <si>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</si>
  <si>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</si>
  <si>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</si>
  <si>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</si>
  <si>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</si>
  <si>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</si>
  <si>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</si>
  <si>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</si>
  <si>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</si>
  <si>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</si>
  <si>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</si>
  <si>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</si>
  <si>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</si>
  <si>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</si>
  <si>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</si>
  <si>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</si>
  <si>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</si>
  <si>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</si>
  <si>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</si>
  <si>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</si>
  <si>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</si>
  <si>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</si>
  <si>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</si>
  <si>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</si>
  <si>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</si>
  <si>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</si>
  <si>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</si>
  <si>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</si>
  <si>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</si>
  <si>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</si>
  <si>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</si>
  <si>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</si>
  <si>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</si>
  <si>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</si>
  <si>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</si>
  <si>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</si>
  <si>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</si>
  <si>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</si>
  <si>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</si>
  <si>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</si>
  <si>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</si>
  <si>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</si>
  <si>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</si>
  <si>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</si>
  <si>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</si>
  <si>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</si>
  <si>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</si>
  <si>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</si>
  <si>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</si>
  <si>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</si>
  <si>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</si>
  <si>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</si>
  <si>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</si>
  <si>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</si>
  <si>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</si>
  <si>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</si>
  <si>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</si>
  <si>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Scaffolding - Cosmic Sun - VO</t>
  </si>
  <si>
    <t>PO4352-DIP-Ph2-Shoprite-20251006 - RV Approved</t>
  </si>
  <si>
    <t>Cosmic Sun - CS_PTN_010</t>
  </si>
  <si>
    <t>Client Electrician Labour - VO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</si>
  <si>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</si>
  <si>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</si>
  <si>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</si>
  <si>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</si>
  <si>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</si>
  <si>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</si>
  <si>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</si>
  <si>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</si>
  <si>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</si>
  <si>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</si>
  <si>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</si>
  <si>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</si>
  <si>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</si>
  <si>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</si>
  <si>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</si>
  <si>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</si>
  <si>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</si>
  <si>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</si>
  <si>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</si>
  <si>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</si>
  <si>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</si>
  <si>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</si>
  <si>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</si>
  <si>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</si>
  <si>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</si>
  <si>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</si>
  <si>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</si>
  <si>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</si>
  <si>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</si>
  <si>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</si>
  <si>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</si>
  <si>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</si>
  <si>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</si>
  <si>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</si>
  <si>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</si>
  <si>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</si>
  <si>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</si>
  <si>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</si>
  <si>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</si>
  <si>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</si>
  <si>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</si>
  <si>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</si>
  <si>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</si>
  <si>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</si>
  <si>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</si>
  <si>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</si>
  <si>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</si>
  <si>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</si>
  <si>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</si>
  <si>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</si>
  <si>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</si>
  <si>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</si>
  <si>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</si>
  <si>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</si>
  <si>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</si>
  <si>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</si>
  <si>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</si>
  <si>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</si>
  <si>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</si>
  <si>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</si>
  <si>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</si>
  <si>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</si>
  <si>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</si>
  <si>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</si>
  <si>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</si>
  <si>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</si>
  <si>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</si>
  <si>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</si>
  <si>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</si>
  <si>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</si>
  <si>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</si>
  <si>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</si>
  <si>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</si>
  <si>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</si>
  <si>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</si>
  <si>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</si>
  <si>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</si>
  <si>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</si>
  <si>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</si>
  <si>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</si>
  <si>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</si>
  <si>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</si>
  <si>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</si>
  <si>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</si>
  <si>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</si>
  <si>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</si>
  <si>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</si>
  <si>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</si>
  <si>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</si>
  <si>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</si>
  <si>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</si>
  <si>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</si>
  <si>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</si>
  <si>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</si>
  <si>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</si>
  <si>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</si>
  <si>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</si>
  <si>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</si>
  <si>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</si>
  <si>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</si>
  <si>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</si>
  <si>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</si>
  <si>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</si>
  <si>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</si>
  <si>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</si>
  <si>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</si>
  <si>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</si>
  <si>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</si>
  <si>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</si>
  <si>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</si>
  <si>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</si>
  <si>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</si>
  <si>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</si>
  <si>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</si>
  <si>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</si>
  <si>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</si>
  <si>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</si>
  <si>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</si>
  <si>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</si>
  <si>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</si>
  <si>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</si>
  <si>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 xml:space="preserve">all docs ready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</si>
</sst>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0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68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4" fillId="10" borderId="27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4523399.3500000006</c:v>
                </c:pt>
                <c:pt idx="58">
                  <c:v>4761473.0000000009</c:v>
                </c:pt>
                <c:pt idx="59">
                  <c:v>4761473.0000000009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116558.34748514835</c:v>
                </c:pt>
                <c:pt idx="58">
                  <c:v>354631.99748514872</c:v>
                </c:pt>
                <c:pt idx="59">
                  <c:v>354631.99748514872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3678769.5250000004</c:v>
                </c:pt>
                <c:pt idx="54">
                  <c:v>3727476.4650000003</c:v>
                </c:pt>
                <c:pt idx="55">
                  <c:v>3727476.4650000003</c:v>
                </c:pt>
                <c:pt idx="56">
                  <c:v>3727476.4650000003</c:v>
                </c:pt>
                <c:pt idx="57">
                  <c:v>3920714.7900000005</c:v>
                </c:pt>
                <c:pt idx="58">
                  <c:v>3920714.7900000005</c:v>
                </c:pt>
                <c:pt idx="59">
                  <c:v>3920714.7900000005</c:v>
                </c:pt>
                <c:pt idx="60">
                  <c:v>3920714.7900000005</c:v>
                </c:pt>
                <c:pt idx="61">
                  <c:v>3920714.7900000005</c:v>
                </c:pt>
                <c:pt idx="62">
                  <c:v>3920714.7900000005</c:v>
                </c:pt>
                <c:pt idx="63">
                  <c:v>3920714.7900000005</c:v>
                </c:pt>
                <c:pt idx="64">
                  <c:v>3920714.7900000005</c:v>
                </c:pt>
                <c:pt idx="65">
                  <c:v>3920714.7900000005</c:v>
                </c:pt>
                <c:pt idx="66">
                  <c:v>3920714.7900000005</c:v>
                </c:pt>
                <c:pt idx="67">
                  <c:v>3920714.7900000005</c:v>
                </c:pt>
                <c:pt idx="68">
                  <c:v>3920714.7900000005</c:v>
                </c:pt>
                <c:pt idx="69">
                  <c:v>3920714.7900000005</c:v>
                </c:pt>
                <c:pt idx="70">
                  <c:v>3920714.7900000005</c:v>
                </c:pt>
                <c:pt idx="71">
                  <c:v>3920714.7900000005</c:v>
                </c:pt>
                <c:pt idx="72">
                  <c:v>3920714.7900000005</c:v>
                </c:pt>
                <c:pt idx="73">
                  <c:v>3920714.7900000005</c:v>
                </c:pt>
                <c:pt idx="74">
                  <c:v>3920714.7900000005</c:v>
                </c:pt>
                <c:pt idx="75">
                  <c:v>3920714.7900000005</c:v>
                </c:pt>
                <c:pt idx="76">
                  <c:v>3920714.7900000005</c:v>
                </c:pt>
                <c:pt idx="77">
                  <c:v>3920714.7900000005</c:v>
                </c:pt>
                <c:pt idx="78">
                  <c:v>3920714.7900000005</c:v>
                </c:pt>
                <c:pt idx="79">
                  <c:v>3920714.7900000005</c:v>
                </c:pt>
                <c:pt idx="80">
                  <c:v>3920714.7900000005</c:v>
                </c:pt>
                <c:pt idx="81">
                  <c:v>3920714.7900000005</c:v>
                </c:pt>
                <c:pt idx="82">
                  <c:v>3920714.7900000005</c:v>
                </c:pt>
                <c:pt idx="83">
                  <c:v>3920714.7900000005</c:v>
                </c:pt>
                <c:pt idx="84">
                  <c:v>3920714.7900000005</c:v>
                </c:pt>
                <c:pt idx="85">
                  <c:v>3920714.7900000005</c:v>
                </c:pt>
                <c:pt idx="86">
                  <c:v>3920714.7900000005</c:v>
                </c:pt>
                <c:pt idx="87">
                  <c:v>3920714.7900000005</c:v>
                </c:pt>
                <c:pt idx="88">
                  <c:v>3920714.7900000005</c:v>
                </c:pt>
                <c:pt idx="89">
                  <c:v>3920714.7900000005</c:v>
                </c:pt>
                <c:pt idx="90">
                  <c:v>3920714.7900000005</c:v>
                </c:pt>
                <c:pt idx="91">
                  <c:v>3920714.7900000005</c:v>
                </c:pt>
                <c:pt idx="92">
                  <c:v>3920714.7900000005</c:v>
                </c:pt>
                <c:pt idx="93">
                  <c:v>3920714.7900000005</c:v>
                </c:pt>
                <c:pt idx="94">
                  <c:v>3920714.7900000005</c:v>
                </c:pt>
                <c:pt idx="95">
                  <c:v>3920714.7900000005</c:v>
                </c:pt>
                <c:pt idx="96">
                  <c:v>3920714.7900000005</c:v>
                </c:pt>
                <c:pt idx="97">
                  <c:v>3920714.7900000005</c:v>
                </c:pt>
                <c:pt idx="98">
                  <c:v>3920714.7900000005</c:v>
                </c:pt>
                <c:pt idx="99">
                  <c:v>3920714.7900000005</c:v>
                </c:pt>
                <c:pt idx="100">
                  <c:v>3920714.7900000005</c:v>
                </c:pt>
                <c:pt idx="101">
                  <c:v>3936602.6525000003</c:v>
                </c:pt>
                <c:pt idx="102">
                  <c:v>3936602.6525000003</c:v>
                </c:pt>
                <c:pt idx="103">
                  <c:v>3936602.6525000003</c:v>
                </c:pt>
                <c:pt idx="104">
                  <c:v>3936602.6525000003</c:v>
                </c:pt>
                <c:pt idx="105">
                  <c:v>3936602.6525000003</c:v>
                </c:pt>
                <c:pt idx="106">
                  <c:v>3936602.6525000003</c:v>
                </c:pt>
                <c:pt idx="107">
                  <c:v>3936602.6525000003</c:v>
                </c:pt>
                <c:pt idx="108">
                  <c:v>3936602.6525000003</c:v>
                </c:pt>
                <c:pt idx="109">
                  <c:v>3936602.6525000003</c:v>
                </c:pt>
                <c:pt idx="110">
                  <c:v>3936602.6525000003</c:v>
                </c:pt>
                <c:pt idx="111">
                  <c:v>3936602.6525000003</c:v>
                </c:pt>
                <c:pt idx="112">
                  <c:v>3936602.6525000003</c:v>
                </c:pt>
                <c:pt idx="113">
                  <c:v>3936602.6525000003</c:v>
                </c:pt>
                <c:pt idx="114">
                  <c:v>3936602.6525000003</c:v>
                </c:pt>
                <c:pt idx="115">
                  <c:v>3936602.6525000003</c:v>
                </c:pt>
                <c:pt idx="116">
                  <c:v>3936602.6525000003</c:v>
                </c:pt>
                <c:pt idx="117">
                  <c:v>3936602.6525000003</c:v>
                </c:pt>
                <c:pt idx="118">
                  <c:v>3936602.6525000003</c:v>
                </c:pt>
                <c:pt idx="119">
                  <c:v>3936602.6525000003</c:v>
                </c:pt>
                <c:pt idx="120">
                  <c:v>3936602.6525000003</c:v>
                </c:pt>
                <c:pt idx="121">
                  <c:v>3936602.6525000003</c:v>
                </c:pt>
                <c:pt idx="122">
                  <c:v>3936602.6525000003</c:v>
                </c:pt>
                <c:pt idx="123">
                  <c:v>3936602.6525000003</c:v>
                </c:pt>
                <c:pt idx="124">
                  <c:v>3936602.6525000003</c:v>
                </c:pt>
                <c:pt idx="125">
                  <c:v>3936602.6525000003</c:v>
                </c:pt>
                <c:pt idx="126">
                  <c:v>3936602.6525000003</c:v>
                </c:pt>
                <c:pt idx="127">
                  <c:v>3936602.6525000003</c:v>
                </c:pt>
                <c:pt idx="128">
                  <c:v>3936602.6525000003</c:v>
                </c:pt>
                <c:pt idx="129">
                  <c:v>3936602.6525000003</c:v>
                </c:pt>
                <c:pt idx="130">
                  <c:v>3936602.6525000003</c:v>
                </c:pt>
                <c:pt idx="131">
                  <c:v>3936602.6525000003</c:v>
                </c:pt>
                <c:pt idx="132">
                  <c:v>3936602.6525000003</c:v>
                </c:pt>
                <c:pt idx="133">
                  <c:v>3936602.6525000003</c:v>
                </c:pt>
                <c:pt idx="134">
                  <c:v>3936602.6525000003</c:v>
                </c:pt>
                <c:pt idx="135">
                  <c:v>3936602.6525000003</c:v>
                </c:pt>
                <c:pt idx="136">
                  <c:v>3936602.6525000003</c:v>
                </c:pt>
                <c:pt idx="137">
                  <c:v>3936602.6525000003</c:v>
                </c:pt>
                <c:pt idx="138">
                  <c:v>3936602.6525000003</c:v>
                </c:pt>
                <c:pt idx="139">
                  <c:v>3936602.6525000003</c:v>
                </c:pt>
                <c:pt idx="140">
                  <c:v>3936602.6525000003</c:v>
                </c:pt>
                <c:pt idx="141">
                  <c:v>3936602.6525000003</c:v>
                </c:pt>
                <c:pt idx="142">
                  <c:v>3936602.6525000003</c:v>
                </c:pt>
                <c:pt idx="143">
                  <c:v>3936602.6525000003</c:v>
                </c:pt>
                <c:pt idx="144">
                  <c:v>3936602.6525000003</c:v>
                </c:pt>
                <c:pt idx="145">
                  <c:v>3936602.6525000003</c:v>
                </c:pt>
                <c:pt idx="146">
                  <c:v>3936602.6525000003</c:v>
                </c:pt>
                <c:pt idx="147">
                  <c:v>3936602.6525000003</c:v>
                </c:pt>
                <c:pt idx="148">
                  <c:v>3936602.6525000003</c:v>
                </c:pt>
                <c:pt idx="149">
                  <c:v>3936602.6525000003</c:v>
                </c:pt>
                <c:pt idx="150">
                  <c:v>3936602.6525000003</c:v>
                </c:pt>
                <c:pt idx="151">
                  <c:v>3936602.6525000003</c:v>
                </c:pt>
                <c:pt idx="152">
                  <c:v>3936602.6525000003</c:v>
                </c:pt>
                <c:pt idx="153">
                  <c:v>3936602.6525000003</c:v>
                </c:pt>
                <c:pt idx="154">
                  <c:v>3936602.6525000003</c:v>
                </c:pt>
                <c:pt idx="155">
                  <c:v>3936602.6525000003</c:v>
                </c:pt>
                <c:pt idx="156">
                  <c:v>3936602.6525000003</c:v>
                </c:pt>
                <c:pt idx="157">
                  <c:v>3936602.6525000003</c:v>
                </c:pt>
                <c:pt idx="158">
                  <c:v>3936602.6525000003</c:v>
                </c:pt>
                <c:pt idx="159">
                  <c:v>3936602.6525000003</c:v>
                </c:pt>
                <c:pt idx="160">
                  <c:v>3936602.6525000003</c:v>
                </c:pt>
                <c:pt idx="161">
                  <c:v>3936602.6525000003</c:v>
                </c:pt>
                <c:pt idx="162">
                  <c:v>3936602.6525000003</c:v>
                </c:pt>
                <c:pt idx="163">
                  <c:v>3936602.6525000003</c:v>
                </c:pt>
                <c:pt idx="164">
                  <c:v>3936602.6525000003</c:v>
                </c:pt>
                <c:pt idx="165">
                  <c:v>3936602.6525000003</c:v>
                </c:pt>
                <c:pt idx="166">
                  <c:v>3936602.6525000003</c:v>
                </c:pt>
                <c:pt idx="167">
                  <c:v>3936602.6525000003</c:v>
                </c:pt>
                <c:pt idx="168">
                  <c:v>3936602.6525000003</c:v>
                </c:pt>
                <c:pt idx="169">
                  <c:v>3936602.6525000003</c:v>
                </c:pt>
                <c:pt idx="170">
                  <c:v>3936602.6525000003</c:v>
                </c:pt>
                <c:pt idx="171">
                  <c:v>3936602.6525000003</c:v>
                </c:pt>
                <c:pt idx="172">
                  <c:v>3936602.6525000003</c:v>
                </c:pt>
                <c:pt idx="173">
                  <c:v>3936602.6525000003</c:v>
                </c:pt>
                <c:pt idx="174">
                  <c:v>3936602.6525000003</c:v>
                </c:pt>
                <c:pt idx="175">
                  <c:v>3936602.6525000003</c:v>
                </c:pt>
                <c:pt idx="176">
                  <c:v>3936602.6525000003</c:v>
                </c:pt>
                <c:pt idx="177">
                  <c:v>3936602.6525000003</c:v>
                </c:pt>
                <c:pt idx="178">
                  <c:v>3936602.6525000003</c:v>
                </c:pt>
                <c:pt idx="179">
                  <c:v>3936602.6525000003</c:v>
                </c:pt>
                <c:pt idx="180">
                  <c:v>3936602.6525000003</c:v>
                </c:pt>
                <c:pt idx="181">
                  <c:v>3936602.6525000003</c:v>
                </c:pt>
                <c:pt idx="182">
                  <c:v>3936602.6525000003</c:v>
                </c:pt>
                <c:pt idx="183">
                  <c:v>3936602.6525000003</c:v>
                </c:pt>
                <c:pt idx="184">
                  <c:v>3936602.6525000003</c:v>
                </c:pt>
                <c:pt idx="185">
                  <c:v>3936602.6525000003</c:v>
                </c:pt>
                <c:pt idx="186">
                  <c:v>3936602.6525000003</c:v>
                </c:pt>
                <c:pt idx="187">
                  <c:v>3936602.6525000003</c:v>
                </c:pt>
                <c:pt idx="188">
                  <c:v>3936602.6525000003</c:v>
                </c:pt>
                <c:pt idx="189">
                  <c:v>3936602.6525000003</c:v>
                </c:pt>
                <c:pt idx="190">
                  <c:v>3936602.6525000003</c:v>
                </c:pt>
                <c:pt idx="191">
                  <c:v>3936602.6525000003</c:v>
                </c:pt>
                <c:pt idx="192">
                  <c:v>3936602.6525000003</c:v>
                </c:pt>
                <c:pt idx="193">
                  <c:v>3936602.6525000003</c:v>
                </c:pt>
                <c:pt idx="194">
                  <c:v>3936602.6525000003</c:v>
                </c:pt>
                <c:pt idx="195">
                  <c:v>3936602.6525000003</c:v>
                </c:pt>
                <c:pt idx="196">
                  <c:v>3936602.6525000003</c:v>
                </c:pt>
                <c:pt idx="197">
                  <c:v>3936602.6525000003</c:v>
                </c:pt>
                <c:pt idx="198">
                  <c:v>3936602.6525000003</c:v>
                </c:pt>
                <c:pt idx="199">
                  <c:v>3936602.6525000003</c:v>
                </c:pt>
                <c:pt idx="200">
                  <c:v>3936602.6525000003</c:v>
                </c:pt>
                <c:pt idx="201">
                  <c:v>3936602.6525000003</c:v>
                </c:pt>
                <c:pt idx="202">
                  <c:v>3936602.6525000003</c:v>
                </c:pt>
                <c:pt idx="203">
                  <c:v>3936602.6525000003</c:v>
                </c:pt>
                <c:pt idx="204">
                  <c:v>3936602.6525000003</c:v>
                </c:pt>
                <c:pt idx="205">
                  <c:v>3936602.6525000003</c:v>
                </c:pt>
                <c:pt idx="206">
                  <c:v>3936602.6525000003</c:v>
                </c:pt>
                <c:pt idx="207">
                  <c:v>3936602.6525000003</c:v>
                </c:pt>
                <c:pt idx="208">
                  <c:v>3936602.6525000003</c:v>
                </c:pt>
                <c:pt idx="209">
                  <c:v>3936602.6525000003</c:v>
                </c:pt>
                <c:pt idx="210">
                  <c:v>3936602.6525000003</c:v>
                </c:pt>
                <c:pt idx="211">
                  <c:v>3936602.6525000003</c:v>
                </c:pt>
                <c:pt idx="212">
                  <c:v>3936602.6525000003</c:v>
                </c:pt>
                <c:pt idx="213">
                  <c:v>3936602.6525000003</c:v>
                </c:pt>
                <c:pt idx="214">
                  <c:v>3936602.6525000003</c:v>
                </c:pt>
                <c:pt idx="215">
                  <c:v>3936602.6525000003</c:v>
                </c:pt>
                <c:pt idx="216">
                  <c:v>3936602.6525000003</c:v>
                </c:pt>
                <c:pt idx="217">
                  <c:v>3936602.6525000003</c:v>
                </c:pt>
                <c:pt idx="218">
                  <c:v>3936602.6525000003</c:v>
                </c:pt>
                <c:pt idx="219">
                  <c:v>3936602.6525000003</c:v>
                </c:pt>
                <c:pt idx="220">
                  <c:v>3936602.6525000003</c:v>
                </c:pt>
                <c:pt idx="221">
                  <c:v>3936602.6525000003</c:v>
                </c:pt>
                <c:pt idx="222">
                  <c:v>3936602.6525000003</c:v>
                </c:pt>
                <c:pt idx="223">
                  <c:v>3936602.6525000003</c:v>
                </c:pt>
                <c:pt idx="224">
                  <c:v>3936602.6525000003</c:v>
                </c:pt>
                <c:pt idx="225">
                  <c:v>3936602.6525000003</c:v>
                </c:pt>
                <c:pt idx="226">
                  <c:v>3936602.6525000003</c:v>
                </c:pt>
                <c:pt idx="227">
                  <c:v>3936602.6525000003</c:v>
                </c:pt>
                <c:pt idx="228">
                  <c:v>3936602.6525000003</c:v>
                </c:pt>
                <c:pt idx="229">
                  <c:v>3936602.6525000003</c:v>
                </c:pt>
                <c:pt idx="230">
                  <c:v>3936602.6525000003</c:v>
                </c:pt>
                <c:pt idx="231">
                  <c:v>3936602.6525000003</c:v>
                </c:pt>
                <c:pt idx="232">
                  <c:v>3936602.6525000003</c:v>
                </c:pt>
                <c:pt idx="233">
                  <c:v>3936602.6525000003</c:v>
                </c:pt>
                <c:pt idx="234">
                  <c:v>3936602.6525000003</c:v>
                </c:pt>
                <c:pt idx="235">
                  <c:v>3936602.6525000003</c:v>
                </c:pt>
                <c:pt idx="236">
                  <c:v>3936602.6525000003</c:v>
                </c:pt>
                <c:pt idx="237">
                  <c:v>3936602.6525000003</c:v>
                </c:pt>
                <c:pt idx="238">
                  <c:v>3936602.6525000003</c:v>
                </c:pt>
                <c:pt idx="239">
                  <c:v>3936602.6525000003</c:v>
                </c:pt>
                <c:pt idx="240">
                  <c:v>3936602.6525000003</c:v>
                </c:pt>
                <c:pt idx="241">
                  <c:v>3936602.6525000003</c:v>
                </c:pt>
                <c:pt idx="242">
                  <c:v>3936602.6525000003</c:v>
                </c:pt>
                <c:pt idx="243">
                  <c:v>3936602.6525000003</c:v>
                </c:pt>
                <c:pt idx="244">
                  <c:v>3936602.6525000003</c:v>
                </c:pt>
                <c:pt idx="245">
                  <c:v>3936602.6525000003</c:v>
                </c:pt>
                <c:pt idx="246">
                  <c:v>3936602.6525000003</c:v>
                </c:pt>
                <c:pt idx="247">
                  <c:v>3936602.6525000003</c:v>
                </c:pt>
                <c:pt idx="248">
                  <c:v>3936602.6525000003</c:v>
                </c:pt>
                <c:pt idx="249">
                  <c:v>3936602.6525000003</c:v>
                </c:pt>
                <c:pt idx="250">
                  <c:v>3936602.6525000003</c:v>
                </c:pt>
                <c:pt idx="251">
                  <c:v>3936602.6525000003</c:v>
                </c:pt>
                <c:pt idx="252">
                  <c:v>3936602.6525000003</c:v>
                </c:pt>
                <c:pt idx="253">
                  <c:v>3936602.6525000003</c:v>
                </c:pt>
                <c:pt idx="254">
                  <c:v>3936602.6525000003</c:v>
                </c:pt>
                <c:pt idx="255">
                  <c:v>3936602.6525000003</c:v>
                </c:pt>
                <c:pt idx="256">
                  <c:v>3936602.6525000003</c:v>
                </c:pt>
                <c:pt idx="257">
                  <c:v>3936602.6525000003</c:v>
                </c:pt>
                <c:pt idx="258">
                  <c:v>3936602.6525000003</c:v>
                </c:pt>
                <c:pt idx="259">
                  <c:v>3936602.6525000003</c:v>
                </c:pt>
                <c:pt idx="260">
                  <c:v>3936602.6525000003</c:v>
                </c:pt>
                <c:pt idx="261">
                  <c:v>3936602.6525000003</c:v>
                </c:pt>
                <c:pt idx="262">
                  <c:v>3936602.6525000003</c:v>
                </c:pt>
                <c:pt idx="263">
                  <c:v>3936602.6525000003</c:v>
                </c:pt>
                <c:pt idx="264">
                  <c:v>3936602.6525000003</c:v>
                </c:pt>
                <c:pt idx="265">
                  <c:v>3936602.6525000003</c:v>
                </c:pt>
                <c:pt idx="266">
                  <c:v>3936602.6525000003</c:v>
                </c:pt>
                <c:pt idx="267">
                  <c:v>3936602.6525000003</c:v>
                </c:pt>
                <c:pt idx="268">
                  <c:v>3936602.6525000003</c:v>
                </c:pt>
                <c:pt idx="269">
                  <c:v>3936602.6525000003</c:v>
                </c:pt>
                <c:pt idx="270">
                  <c:v>3936602.6525000003</c:v>
                </c:pt>
                <c:pt idx="271">
                  <c:v>3936602.6525000003</c:v>
                </c:pt>
                <c:pt idx="272">
                  <c:v>3936602.6525000003</c:v>
                </c:pt>
                <c:pt idx="273">
                  <c:v>3936602.6525000003</c:v>
                </c:pt>
                <c:pt idx="274">
                  <c:v>3936602.6525000003</c:v>
                </c:pt>
                <c:pt idx="275">
                  <c:v>3936602.6525000003</c:v>
                </c:pt>
                <c:pt idx="276">
                  <c:v>3936602.6525000003</c:v>
                </c:pt>
                <c:pt idx="277">
                  <c:v>3936602.6525000003</c:v>
                </c:pt>
                <c:pt idx="278">
                  <c:v>3936602.6525000003</c:v>
                </c:pt>
                <c:pt idx="279">
                  <c:v>3936602.6525000003</c:v>
                </c:pt>
                <c:pt idx="280">
                  <c:v>3936602.6525000003</c:v>
                </c:pt>
                <c:pt idx="281">
                  <c:v>3936602.6525000003</c:v>
                </c:pt>
                <c:pt idx="282">
                  <c:v>3936602.6525000003</c:v>
                </c:pt>
                <c:pt idx="283">
                  <c:v>3936602.6525000003</c:v>
                </c:pt>
                <c:pt idx="284">
                  <c:v>3936602.6525000003</c:v>
                </c:pt>
                <c:pt idx="285">
                  <c:v>3936602.6525000003</c:v>
                </c:pt>
                <c:pt idx="286">
                  <c:v>3936602.6525000003</c:v>
                </c:pt>
                <c:pt idx="287">
                  <c:v>3936602.6525000003</c:v>
                </c:pt>
                <c:pt idx="288">
                  <c:v>3936602.6525000003</c:v>
                </c:pt>
                <c:pt idx="289">
                  <c:v>3936602.6525000003</c:v>
                </c:pt>
                <c:pt idx="290">
                  <c:v>3936602.6525000003</c:v>
                </c:pt>
                <c:pt idx="291">
                  <c:v>3936602.6525000003</c:v>
                </c:pt>
                <c:pt idx="292">
                  <c:v>3936602.6525000003</c:v>
                </c:pt>
                <c:pt idx="293">
                  <c:v>3936602.6525000003</c:v>
                </c:pt>
                <c:pt idx="294">
                  <c:v>3936602.6525000003</c:v>
                </c:pt>
                <c:pt idx="295">
                  <c:v>3936602.6525000003</c:v>
                </c:pt>
                <c:pt idx="296">
                  <c:v>3936602.6525000003</c:v>
                </c:pt>
                <c:pt idx="297">
                  <c:v>3936602.6525000003</c:v>
                </c:pt>
                <c:pt idx="298">
                  <c:v>3936602.6525000003</c:v>
                </c:pt>
                <c:pt idx="299">
                  <c:v>3936602.6525000003</c:v>
                </c:pt>
                <c:pt idx="300">
                  <c:v>3936602.6525000003</c:v>
                </c:pt>
                <c:pt idx="301">
                  <c:v>3936602.6525000003</c:v>
                </c:pt>
                <c:pt idx="302">
                  <c:v>3936602.6525000003</c:v>
                </c:pt>
                <c:pt idx="303">
                  <c:v>3936602.6525000003</c:v>
                </c:pt>
                <c:pt idx="304">
                  <c:v>3936602.6525000003</c:v>
                </c:pt>
                <c:pt idx="305">
                  <c:v>3936602.6525000003</c:v>
                </c:pt>
                <c:pt idx="306">
                  <c:v>3936602.6525000003</c:v>
                </c:pt>
                <c:pt idx="307">
                  <c:v>3936602.6525000003</c:v>
                </c:pt>
                <c:pt idx="308">
                  <c:v>3936602.6525000003</c:v>
                </c:pt>
                <c:pt idx="309">
                  <c:v>3936602.6525000003</c:v>
                </c:pt>
                <c:pt idx="310">
                  <c:v>3936602.6525000003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1082703.4749999996</c:v>
                </c:pt>
                <c:pt idx="54">
                  <c:v>1033996.5349999997</c:v>
                </c:pt>
                <c:pt idx="55">
                  <c:v>1033996.5349999997</c:v>
                </c:pt>
                <c:pt idx="56">
                  <c:v>1033996.5349999997</c:v>
                </c:pt>
                <c:pt idx="57">
                  <c:v>840758.2099999995</c:v>
                </c:pt>
                <c:pt idx="58">
                  <c:v>840758.2099999995</c:v>
                </c:pt>
                <c:pt idx="59">
                  <c:v>840758.2099999995</c:v>
                </c:pt>
                <c:pt idx="60">
                  <c:v>840758.2099999995</c:v>
                </c:pt>
                <c:pt idx="61">
                  <c:v>840758.2099999995</c:v>
                </c:pt>
                <c:pt idx="62">
                  <c:v>840758.2099999995</c:v>
                </c:pt>
                <c:pt idx="63">
                  <c:v>840758.2099999995</c:v>
                </c:pt>
                <c:pt idx="64">
                  <c:v>840758.2099999995</c:v>
                </c:pt>
                <c:pt idx="65">
                  <c:v>840758.2099999995</c:v>
                </c:pt>
                <c:pt idx="66">
                  <c:v>840758.2099999995</c:v>
                </c:pt>
                <c:pt idx="67">
                  <c:v>840758.2099999995</c:v>
                </c:pt>
                <c:pt idx="68">
                  <c:v>840758.2099999995</c:v>
                </c:pt>
                <c:pt idx="69">
                  <c:v>840758.2099999995</c:v>
                </c:pt>
                <c:pt idx="70">
                  <c:v>840758.2099999995</c:v>
                </c:pt>
                <c:pt idx="71">
                  <c:v>840758.2099999995</c:v>
                </c:pt>
                <c:pt idx="72">
                  <c:v>840758.2099999995</c:v>
                </c:pt>
                <c:pt idx="73">
                  <c:v>840758.2099999995</c:v>
                </c:pt>
                <c:pt idx="74">
                  <c:v>840758.2099999995</c:v>
                </c:pt>
                <c:pt idx="75">
                  <c:v>840758.2099999995</c:v>
                </c:pt>
                <c:pt idx="76">
                  <c:v>840758.2099999995</c:v>
                </c:pt>
                <c:pt idx="77">
                  <c:v>840758.2099999995</c:v>
                </c:pt>
                <c:pt idx="78">
                  <c:v>840758.2099999995</c:v>
                </c:pt>
                <c:pt idx="79">
                  <c:v>840758.2099999995</c:v>
                </c:pt>
                <c:pt idx="80">
                  <c:v>840758.2099999995</c:v>
                </c:pt>
                <c:pt idx="81">
                  <c:v>840758.2099999995</c:v>
                </c:pt>
                <c:pt idx="82">
                  <c:v>840758.2099999995</c:v>
                </c:pt>
                <c:pt idx="83">
                  <c:v>840758.2099999995</c:v>
                </c:pt>
                <c:pt idx="84">
                  <c:v>840758.2099999995</c:v>
                </c:pt>
                <c:pt idx="85">
                  <c:v>840758.2099999995</c:v>
                </c:pt>
                <c:pt idx="86">
                  <c:v>840758.2099999995</c:v>
                </c:pt>
                <c:pt idx="87">
                  <c:v>840758.2099999995</c:v>
                </c:pt>
                <c:pt idx="88">
                  <c:v>840758.2099999995</c:v>
                </c:pt>
                <c:pt idx="89">
                  <c:v>840758.2099999995</c:v>
                </c:pt>
                <c:pt idx="90">
                  <c:v>840758.2099999995</c:v>
                </c:pt>
                <c:pt idx="91">
                  <c:v>840758.2099999995</c:v>
                </c:pt>
                <c:pt idx="92">
                  <c:v>840758.2099999995</c:v>
                </c:pt>
                <c:pt idx="93">
                  <c:v>840758.2099999995</c:v>
                </c:pt>
                <c:pt idx="94">
                  <c:v>840758.2099999995</c:v>
                </c:pt>
                <c:pt idx="95">
                  <c:v>840758.2099999995</c:v>
                </c:pt>
                <c:pt idx="96">
                  <c:v>840758.2099999995</c:v>
                </c:pt>
                <c:pt idx="97">
                  <c:v>840758.2099999995</c:v>
                </c:pt>
                <c:pt idx="98">
                  <c:v>840758.2099999995</c:v>
                </c:pt>
                <c:pt idx="99">
                  <c:v>840758.2099999995</c:v>
                </c:pt>
                <c:pt idx="100">
                  <c:v>840758.2099999995</c:v>
                </c:pt>
                <c:pt idx="101">
                  <c:v>824870.34749999968</c:v>
                </c:pt>
                <c:pt idx="102">
                  <c:v>824870.34749999968</c:v>
                </c:pt>
                <c:pt idx="103">
                  <c:v>824870.34749999968</c:v>
                </c:pt>
                <c:pt idx="104">
                  <c:v>824870.34749999968</c:v>
                </c:pt>
                <c:pt idx="105">
                  <c:v>824870.34749999968</c:v>
                </c:pt>
                <c:pt idx="106">
                  <c:v>824870.34749999968</c:v>
                </c:pt>
                <c:pt idx="107">
                  <c:v>824870.34749999968</c:v>
                </c:pt>
                <c:pt idx="108">
                  <c:v>824870.34749999968</c:v>
                </c:pt>
                <c:pt idx="109">
                  <c:v>824870.34749999968</c:v>
                </c:pt>
                <c:pt idx="110">
                  <c:v>824870.34749999968</c:v>
                </c:pt>
                <c:pt idx="111">
                  <c:v>824870.34749999968</c:v>
                </c:pt>
                <c:pt idx="112">
                  <c:v>824870.34749999968</c:v>
                </c:pt>
                <c:pt idx="113">
                  <c:v>824870.34749999968</c:v>
                </c:pt>
                <c:pt idx="114">
                  <c:v>824870.34749999968</c:v>
                </c:pt>
                <c:pt idx="115">
                  <c:v>824870.34749999968</c:v>
                </c:pt>
                <c:pt idx="116">
                  <c:v>824870.34749999968</c:v>
                </c:pt>
                <c:pt idx="117">
                  <c:v>824870.34749999968</c:v>
                </c:pt>
                <c:pt idx="118">
                  <c:v>824870.34749999968</c:v>
                </c:pt>
                <c:pt idx="119">
                  <c:v>824870.34749999968</c:v>
                </c:pt>
                <c:pt idx="120">
                  <c:v>824870.34749999968</c:v>
                </c:pt>
                <c:pt idx="121">
                  <c:v>824870.34749999968</c:v>
                </c:pt>
                <c:pt idx="122">
                  <c:v>824870.34749999968</c:v>
                </c:pt>
                <c:pt idx="123">
                  <c:v>824870.34749999968</c:v>
                </c:pt>
                <c:pt idx="124">
                  <c:v>824870.34749999968</c:v>
                </c:pt>
                <c:pt idx="125">
                  <c:v>824870.34749999968</c:v>
                </c:pt>
                <c:pt idx="126">
                  <c:v>824870.34749999968</c:v>
                </c:pt>
                <c:pt idx="127">
                  <c:v>824870.34749999968</c:v>
                </c:pt>
                <c:pt idx="128">
                  <c:v>824870.34749999968</c:v>
                </c:pt>
                <c:pt idx="129">
                  <c:v>824870.34749999968</c:v>
                </c:pt>
                <c:pt idx="130">
                  <c:v>824870.34749999968</c:v>
                </c:pt>
                <c:pt idx="131">
                  <c:v>824870.34749999968</c:v>
                </c:pt>
                <c:pt idx="132">
                  <c:v>824870.34749999968</c:v>
                </c:pt>
                <c:pt idx="133">
                  <c:v>824870.34749999968</c:v>
                </c:pt>
                <c:pt idx="134">
                  <c:v>824870.34749999968</c:v>
                </c:pt>
                <c:pt idx="135">
                  <c:v>824870.34749999968</c:v>
                </c:pt>
                <c:pt idx="136">
                  <c:v>824870.34749999968</c:v>
                </c:pt>
                <c:pt idx="137">
                  <c:v>824870.34749999968</c:v>
                </c:pt>
                <c:pt idx="138">
                  <c:v>824870.34749999968</c:v>
                </c:pt>
                <c:pt idx="139">
                  <c:v>824870.34749999968</c:v>
                </c:pt>
                <c:pt idx="140">
                  <c:v>824870.34749999968</c:v>
                </c:pt>
                <c:pt idx="141">
                  <c:v>824870.34749999968</c:v>
                </c:pt>
                <c:pt idx="142">
                  <c:v>824870.34749999968</c:v>
                </c:pt>
                <c:pt idx="143">
                  <c:v>824870.34749999968</c:v>
                </c:pt>
                <c:pt idx="144">
                  <c:v>824870.34749999968</c:v>
                </c:pt>
                <c:pt idx="145">
                  <c:v>824870.34749999968</c:v>
                </c:pt>
                <c:pt idx="146">
                  <c:v>824870.34749999968</c:v>
                </c:pt>
                <c:pt idx="147">
                  <c:v>824870.34749999968</c:v>
                </c:pt>
                <c:pt idx="148">
                  <c:v>824870.34749999968</c:v>
                </c:pt>
                <c:pt idx="149">
                  <c:v>824870.34749999968</c:v>
                </c:pt>
                <c:pt idx="150">
                  <c:v>824870.34749999968</c:v>
                </c:pt>
                <c:pt idx="151">
                  <c:v>824870.34749999968</c:v>
                </c:pt>
                <c:pt idx="152">
                  <c:v>824870.34749999968</c:v>
                </c:pt>
                <c:pt idx="153">
                  <c:v>824870.34749999968</c:v>
                </c:pt>
                <c:pt idx="154">
                  <c:v>824870.34749999968</c:v>
                </c:pt>
                <c:pt idx="155">
                  <c:v>824870.34749999968</c:v>
                </c:pt>
                <c:pt idx="156">
                  <c:v>824870.34749999968</c:v>
                </c:pt>
                <c:pt idx="157">
                  <c:v>824870.34749999968</c:v>
                </c:pt>
                <c:pt idx="158">
                  <c:v>824870.34749999968</c:v>
                </c:pt>
                <c:pt idx="159">
                  <c:v>824870.34749999968</c:v>
                </c:pt>
                <c:pt idx="160">
                  <c:v>824870.34749999968</c:v>
                </c:pt>
                <c:pt idx="161">
                  <c:v>824870.34749999968</c:v>
                </c:pt>
                <c:pt idx="162">
                  <c:v>824870.34749999968</c:v>
                </c:pt>
                <c:pt idx="163">
                  <c:v>824870.34749999968</c:v>
                </c:pt>
                <c:pt idx="164">
                  <c:v>824870.34749999968</c:v>
                </c:pt>
                <c:pt idx="165">
                  <c:v>824870.34749999968</c:v>
                </c:pt>
                <c:pt idx="166">
                  <c:v>824870.34749999968</c:v>
                </c:pt>
                <c:pt idx="167">
                  <c:v>824870.34749999968</c:v>
                </c:pt>
                <c:pt idx="168">
                  <c:v>824870.34749999968</c:v>
                </c:pt>
                <c:pt idx="169">
                  <c:v>824870.34749999968</c:v>
                </c:pt>
                <c:pt idx="170">
                  <c:v>824870.34749999968</c:v>
                </c:pt>
                <c:pt idx="171">
                  <c:v>824870.34749999968</c:v>
                </c:pt>
                <c:pt idx="172">
                  <c:v>824870.34749999968</c:v>
                </c:pt>
                <c:pt idx="173">
                  <c:v>824870.34749999968</c:v>
                </c:pt>
                <c:pt idx="174">
                  <c:v>824870.34749999968</c:v>
                </c:pt>
                <c:pt idx="175">
                  <c:v>824870.34749999968</c:v>
                </c:pt>
                <c:pt idx="176">
                  <c:v>824870.34749999968</c:v>
                </c:pt>
                <c:pt idx="177">
                  <c:v>824870.34749999968</c:v>
                </c:pt>
                <c:pt idx="178">
                  <c:v>824870.34749999968</c:v>
                </c:pt>
                <c:pt idx="179">
                  <c:v>824870.34749999968</c:v>
                </c:pt>
                <c:pt idx="180">
                  <c:v>824870.34749999968</c:v>
                </c:pt>
                <c:pt idx="181">
                  <c:v>824870.34749999968</c:v>
                </c:pt>
                <c:pt idx="182">
                  <c:v>824870.34749999968</c:v>
                </c:pt>
                <c:pt idx="183">
                  <c:v>824870.34749999968</c:v>
                </c:pt>
                <c:pt idx="184">
                  <c:v>824870.34749999968</c:v>
                </c:pt>
                <c:pt idx="185">
                  <c:v>824870.34749999968</c:v>
                </c:pt>
                <c:pt idx="186">
                  <c:v>824870.34749999968</c:v>
                </c:pt>
                <c:pt idx="187">
                  <c:v>824870.34749999968</c:v>
                </c:pt>
                <c:pt idx="188">
                  <c:v>824870.34749999968</c:v>
                </c:pt>
                <c:pt idx="189">
                  <c:v>824870.34749999968</c:v>
                </c:pt>
                <c:pt idx="190">
                  <c:v>824870.34749999968</c:v>
                </c:pt>
                <c:pt idx="191">
                  <c:v>824870.34749999968</c:v>
                </c:pt>
                <c:pt idx="192">
                  <c:v>824870.34749999968</c:v>
                </c:pt>
                <c:pt idx="193">
                  <c:v>824870.34749999968</c:v>
                </c:pt>
                <c:pt idx="194">
                  <c:v>824870.34749999968</c:v>
                </c:pt>
                <c:pt idx="195">
                  <c:v>824870.34749999968</c:v>
                </c:pt>
                <c:pt idx="196">
                  <c:v>824870.34749999968</c:v>
                </c:pt>
                <c:pt idx="197">
                  <c:v>824870.34749999968</c:v>
                </c:pt>
                <c:pt idx="198">
                  <c:v>824870.34749999968</c:v>
                </c:pt>
                <c:pt idx="199">
                  <c:v>824870.34749999968</c:v>
                </c:pt>
                <c:pt idx="200">
                  <c:v>824870.34749999968</c:v>
                </c:pt>
                <c:pt idx="201">
                  <c:v>824870.34749999968</c:v>
                </c:pt>
                <c:pt idx="202">
                  <c:v>824870.34749999968</c:v>
                </c:pt>
                <c:pt idx="203">
                  <c:v>824870.34749999968</c:v>
                </c:pt>
                <c:pt idx="204">
                  <c:v>824870.34749999968</c:v>
                </c:pt>
                <c:pt idx="205">
                  <c:v>824870.34749999968</c:v>
                </c:pt>
                <c:pt idx="206">
                  <c:v>824870.34749999968</c:v>
                </c:pt>
                <c:pt idx="207">
                  <c:v>824870.34749999968</c:v>
                </c:pt>
                <c:pt idx="208">
                  <c:v>824870.34749999968</c:v>
                </c:pt>
                <c:pt idx="209">
                  <c:v>824870.34749999968</c:v>
                </c:pt>
                <c:pt idx="210">
                  <c:v>824870.34749999968</c:v>
                </c:pt>
                <c:pt idx="211">
                  <c:v>824870.34749999968</c:v>
                </c:pt>
                <c:pt idx="212">
                  <c:v>824870.34749999968</c:v>
                </c:pt>
                <c:pt idx="213">
                  <c:v>824870.34749999968</c:v>
                </c:pt>
                <c:pt idx="214">
                  <c:v>824870.34749999968</c:v>
                </c:pt>
                <c:pt idx="215">
                  <c:v>824870.34749999968</c:v>
                </c:pt>
                <c:pt idx="216">
                  <c:v>824870.34749999968</c:v>
                </c:pt>
                <c:pt idx="217">
                  <c:v>824870.34749999968</c:v>
                </c:pt>
                <c:pt idx="218">
                  <c:v>824870.34749999968</c:v>
                </c:pt>
                <c:pt idx="219">
                  <c:v>824870.34749999968</c:v>
                </c:pt>
                <c:pt idx="220">
                  <c:v>824870.34749999968</c:v>
                </c:pt>
                <c:pt idx="221">
                  <c:v>824870.34749999968</c:v>
                </c:pt>
                <c:pt idx="222">
                  <c:v>824870.34749999968</c:v>
                </c:pt>
                <c:pt idx="223">
                  <c:v>824870.34749999968</c:v>
                </c:pt>
                <c:pt idx="224">
                  <c:v>824870.34749999968</c:v>
                </c:pt>
                <c:pt idx="225">
                  <c:v>824870.34749999968</c:v>
                </c:pt>
                <c:pt idx="226">
                  <c:v>824870.34749999968</c:v>
                </c:pt>
                <c:pt idx="227">
                  <c:v>824870.34749999968</c:v>
                </c:pt>
                <c:pt idx="228">
                  <c:v>824870.34749999968</c:v>
                </c:pt>
                <c:pt idx="229">
                  <c:v>824870.34749999968</c:v>
                </c:pt>
                <c:pt idx="230">
                  <c:v>824870.34749999968</c:v>
                </c:pt>
                <c:pt idx="231">
                  <c:v>824870.34749999968</c:v>
                </c:pt>
                <c:pt idx="232">
                  <c:v>824870.34749999968</c:v>
                </c:pt>
                <c:pt idx="233">
                  <c:v>824870.34749999968</c:v>
                </c:pt>
                <c:pt idx="234">
                  <c:v>824870.34749999968</c:v>
                </c:pt>
                <c:pt idx="235">
                  <c:v>824870.34749999968</c:v>
                </c:pt>
                <c:pt idx="236">
                  <c:v>824870.34749999968</c:v>
                </c:pt>
                <c:pt idx="237">
                  <c:v>824870.34749999968</c:v>
                </c:pt>
                <c:pt idx="238">
                  <c:v>824870.34749999968</c:v>
                </c:pt>
                <c:pt idx="239">
                  <c:v>824870.34749999968</c:v>
                </c:pt>
                <c:pt idx="240">
                  <c:v>824870.34749999968</c:v>
                </c:pt>
                <c:pt idx="241">
                  <c:v>824870.34749999968</c:v>
                </c:pt>
                <c:pt idx="242">
                  <c:v>824870.34749999968</c:v>
                </c:pt>
                <c:pt idx="243">
                  <c:v>824870.34749999968</c:v>
                </c:pt>
                <c:pt idx="244">
                  <c:v>824870.34749999968</c:v>
                </c:pt>
                <c:pt idx="245">
                  <c:v>824870.34749999968</c:v>
                </c:pt>
                <c:pt idx="246">
                  <c:v>824870.34749999968</c:v>
                </c:pt>
                <c:pt idx="247">
                  <c:v>824870.34749999968</c:v>
                </c:pt>
                <c:pt idx="248">
                  <c:v>824870.34749999968</c:v>
                </c:pt>
                <c:pt idx="249">
                  <c:v>824870.34749999968</c:v>
                </c:pt>
                <c:pt idx="250">
                  <c:v>824870.34749999968</c:v>
                </c:pt>
                <c:pt idx="251">
                  <c:v>824870.34749999968</c:v>
                </c:pt>
                <c:pt idx="252">
                  <c:v>824870.34749999968</c:v>
                </c:pt>
                <c:pt idx="253">
                  <c:v>824870.34749999968</c:v>
                </c:pt>
                <c:pt idx="254">
                  <c:v>824870.34749999968</c:v>
                </c:pt>
                <c:pt idx="255">
                  <c:v>824870.34749999968</c:v>
                </c:pt>
                <c:pt idx="256">
                  <c:v>824870.34749999968</c:v>
                </c:pt>
                <c:pt idx="257">
                  <c:v>824870.34749999968</c:v>
                </c:pt>
                <c:pt idx="258">
                  <c:v>824870.34749999968</c:v>
                </c:pt>
                <c:pt idx="259">
                  <c:v>824870.34749999968</c:v>
                </c:pt>
                <c:pt idx="260">
                  <c:v>824870.34749999968</c:v>
                </c:pt>
                <c:pt idx="261">
                  <c:v>824870.34749999968</c:v>
                </c:pt>
                <c:pt idx="262">
                  <c:v>824870.34749999968</c:v>
                </c:pt>
                <c:pt idx="263">
                  <c:v>824870.34749999968</c:v>
                </c:pt>
                <c:pt idx="264">
                  <c:v>824870.34749999968</c:v>
                </c:pt>
                <c:pt idx="265">
                  <c:v>824870.34749999968</c:v>
                </c:pt>
                <c:pt idx="266">
                  <c:v>824870.34749999968</c:v>
                </c:pt>
                <c:pt idx="267">
                  <c:v>824870.34749999968</c:v>
                </c:pt>
                <c:pt idx="268">
                  <c:v>824870.34749999968</c:v>
                </c:pt>
                <c:pt idx="269">
                  <c:v>824870.34749999968</c:v>
                </c:pt>
                <c:pt idx="270">
                  <c:v>824870.34749999968</c:v>
                </c:pt>
                <c:pt idx="271">
                  <c:v>824870.34749999968</c:v>
                </c:pt>
                <c:pt idx="272">
                  <c:v>824870.34749999968</c:v>
                </c:pt>
                <c:pt idx="273">
                  <c:v>824870.34749999968</c:v>
                </c:pt>
                <c:pt idx="274">
                  <c:v>824870.34749999968</c:v>
                </c:pt>
                <c:pt idx="275">
                  <c:v>824870.34749999968</c:v>
                </c:pt>
                <c:pt idx="276">
                  <c:v>824870.34749999968</c:v>
                </c:pt>
                <c:pt idx="277">
                  <c:v>824870.34749999968</c:v>
                </c:pt>
                <c:pt idx="278">
                  <c:v>824870.34749999968</c:v>
                </c:pt>
                <c:pt idx="279">
                  <c:v>824870.34749999968</c:v>
                </c:pt>
                <c:pt idx="280">
                  <c:v>824870.34749999968</c:v>
                </c:pt>
                <c:pt idx="281">
                  <c:v>824870.34749999968</c:v>
                </c:pt>
                <c:pt idx="282">
                  <c:v>824870.34749999968</c:v>
                </c:pt>
                <c:pt idx="283">
                  <c:v>824870.34749999968</c:v>
                </c:pt>
                <c:pt idx="284">
                  <c:v>824870.34749999968</c:v>
                </c:pt>
                <c:pt idx="285">
                  <c:v>824870.34749999968</c:v>
                </c:pt>
                <c:pt idx="286">
                  <c:v>824870.34749999968</c:v>
                </c:pt>
                <c:pt idx="287">
                  <c:v>824870.34749999968</c:v>
                </c:pt>
                <c:pt idx="288">
                  <c:v>824870.34749999968</c:v>
                </c:pt>
                <c:pt idx="289">
                  <c:v>824870.34749999968</c:v>
                </c:pt>
                <c:pt idx="290">
                  <c:v>824870.34749999968</c:v>
                </c:pt>
                <c:pt idx="291">
                  <c:v>824870.34749999968</c:v>
                </c:pt>
                <c:pt idx="292">
                  <c:v>824870.34749999968</c:v>
                </c:pt>
                <c:pt idx="293">
                  <c:v>824870.34749999968</c:v>
                </c:pt>
                <c:pt idx="294">
                  <c:v>824870.34749999968</c:v>
                </c:pt>
                <c:pt idx="295">
                  <c:v>824870.34749999968</c:v>
                </c:pt>
                <c:pt idx="296">
                  <c:v>824870.34749999968</c:v>
                </c:pt>
                <c:pt idx="297">
                  <c:v>824870.34749999968</c:v>
                </c:pt>
                <c:pt idx="298">
                  <c:v>824870.34749999968</c:v>
                </c:pt>
                <c:pt idx="299">
                  <c:v>824870.34749999968</c:v>
                </c:pt>
                <c:pt idx="300">
                  <c:v>824870.34749999968</c:v>
                </c:pt>
                <c:pt idx="301">
                  <c:v>824870.34749999968</c:v>
                </c:pt>
                <c:pt idx="302">
                  <c:v>824870.34749999968</c:v>
                </c:pt>
                <c:pt idx="303">
                  <c:v>824870.34749999968</c:v>
                </c:pt>
                <c:pt idx="304">
                  <c:v>824870.34749999968</c:v>
                </c:pt>
                <c:pt idx="305">
                  <c:v>824870.34749999968</c:v>
                </c:pt>
                <c:pt idx="306">
                  <c:v>824870.34749999968</c:v>
                </c:pt>
                <c:pt idx="307">
                  <c:v>824870.34749999968</c:v>
                </c:pt>
                <c:pt idx="308">
                  <c:v>824870.34749999968</c:v>
                </c:pt>
                <c:pt idx="309">
                  <c:v>824870.34749999968</c:v>
                </c:pt>
                <c:pt idx="310">
                  <c:v>824870.34749999968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067696759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5">
        <m/>
        <d v="2025-05-31T00:00:00"/>
        <d v="2025-11-30T00:00:00"/>
        <s v=""/>
        <d v="2025-06-30T00:00:00"/>
        <d v="2025-08-31T00:00:00"/>
        <d v="2025-10-31T00:00:00"/>
        <d v="2025-12-31T00:00:00"/>
        <d v="2025-04-30T00:00:00"/>
        <d v="2026-01-31T00:00:00"/>
        <d v="2025-09-30T00:00:00"/>
        <d v="2025-07-31T00:00:00"/>
        <d v="2026-02-28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 - VO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47784.22"/>
  </r>
  <r>
    <n v="3"/>
    <x v="3"/>
    <m/>
    <m/>
    <m/>
    <n v="7278.8"/>
    <m/>
    <s v="Schletter - INV2028"/>
    <x v="5"/>
    <n v="88613.4"/>
    <m/>
    <d v="2025-09-30T00:00:00"/>
    <m/>
  </r>
  <r>
    <n v="3"/>
    <x v="3"/>
    <m/>
    <m/>
    <m/>
    <m/>
    <m/>
    <m/>
    <x v="0"/>
    <n v="0"/>
    <m/>
    <m/>
    <m/>
  </r>
  <r>
    <n v="3"/>
    <x v="3"/>
    <s v="Return Scheltter Stock"/>
    <m/>
    <m/>
    <n v="-40497.599999999999"/>
    <m/>
    <s v="Schletter - CRN0278"/>
    <x v="6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6"/>
    <n v="0"/>
    <m/>
    <d v="2025-11-28T00:00:00"/>
    <m/>
  </r>
  <r>
    <n v="3"/>
    <x v="3"/>
    <m/>
    <m/>
    <m/>
    <n v="22912.400000000001"/>
    <m/>
    <s v="Schletter - INV2356"/>
    <x v="6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 - VO"/>
    <m/>
    <m/>
    <n v="29500"/>
    <s v="PO4496-DIP-PH2-SPN-20251126 - RV Approved"/>
    <s v="Rubicon - INVRED-0136040"/>
    <x v="7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2-25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8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2-05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52060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7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s v="Inverter cage modification"/>
    <m/>
    <m/>
    <n v="44224"/>
    <s v="PO4580-DIP-Ph2-SPN-20260127 - RV Approved"/>
    <s v="The Engineering Hub INV/2026/01/0249"/>
    <x v="9"/>
    <m/>
    <m/>
    <d v="2026-02-28T00:00:00"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6"/>
    <n v="48464.706834508281"/>
    <m/>
    <d v="2025-12-24T00:00:00"/>
    <m/>
  </r>
  <r>
    <n v="9"/>
    <x v="9"/>
    <s v="Site De-establisment"/>
    <m/>
    <m/>
    <n v="29845.695652173912"/>
    <m/>
    <s v="CS_PTN_006 B"/>
    <x v="6"/>
    <n v="0"/>
    <m/>
    <d v="2025-12-24T00:00:00"/>
    <m/>
  </r>
  <r>
    <n v="9"/>
    <x v="9"/>
    <s v="Handover Document Complete"/>
    <m/>
    <n v="0.05"/>
    <n v="25450"/>
    <m/>
    <s v="CS_PTN_007 B"/>
    <x v="6"/>
    <n v="24232.35341725414"/>
    <m/>
    <d v="2025-12-18T00:00:00"/>
    <m/>
  </r>
  <r>
    <n v="9"/>
    <x v="9"/>
    <s v="End of Defects Period"/>
    <m/>
    <n v="0.05"/>
    <n v="25450"/>
    <m/>
    <s v="CS_PTN_008 B"/>
    <x v="6"/>
    <n v="24232.35341725414"/>
    <m/>
    <d v="2026-02-05T00:00:00"/>
    <m/>
  </r>
  <r>
    <n v="9"/>
    <x v="9"/>
    <s v="Rounding Difference"/>
    <m/>
    <m/>
    <n v="-0.01"/>
    <m/>
    <s v="CS_PTN_006 B"/>
    <x v="6"/>
    <n v="0"/>
    <m/>
    <d v="2026-02-05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6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7"/>
    <n v="0"/>
    <m/>
    <d v="2026-01-29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2-05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2-05T00:00:00"/>
    <n v="114589.70999999999"/>
  </r>
  <r>
    <n v="11"/>
    <x v="11"/>
    <s v="Structural Sign Off"/>
    <m/>
    <m/>
    <n v="7811.75"/>
    <s v="PO3745-DIP-Ph2-20250313 - RV Approved"/>
    <s v=" L&amp;B Consulting - Invoice 1934"/>
    <x v="8"/>
    <n v="34198.965165004767"/>
    <m/>
    <d v="2025-04-10T00:00:00"/>
    <m/>
  </r>
  <r>
    <n v="11"/>
    <x v="11"/>
    <s v="Grid Impact Study"/>
    <m/>
    <m/>
    <n v="79700"/>
    <s v="PO4447-DIP-Ph2-Shoprite-20251106 - RV Approved"/>
    <m/>
    <x v="12"/>
    <n v="0"/>
    <m/>
    <d v="2026-02-28T00:00:00"/>
    <m/>
  </r>
  <r>
    <n v="11"/>
    <x v="11"/>
    <s v="Lightning Risk Assessment"/>
    <m/>
    <m/>
    <n v="5100"/>
    <s v="PO3844-Dipula Ph2-20250430 - RV Approved"/>
    <s v="LPS Inv:  IN306837"/>
    <x v="8"/>
    <n v="22327.227873590979"/>
    <m/>
    <d v="2025-06-26T00:00:00"/>
    <m/>
  </r>
  <r>
    <n v="11"/>
    <x v="11"/>
    <s v="Red Team Inspection"/>
    <m/>
    <m/>
    <n v="8000"/>
    <m/>
    <s v="Matriarch - INV-5975"/>
    <x v="7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12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8"/>
    <n v="1343.7091934439072"/>
    <n v="1.9270995089755161E-3"/>
    <d v="2025-05-08T00:00:00"/>
    <n v="13433.02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6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7"/>
    <n v="0"/>
    <m/>
    <d v="2026-01-08T00:00:00"/>
    <m/>
  </r>
  <r>
    <n v="14"/>
    <x v="14"/>
    <s v="Travel"/>
    <m/>
    <m/>
    <n v="971.04"/>
    <m/>
    <s v="Expense Claim"/>
    <x v="9"/>
    <n v="0"/>
    <m/>
    <d v="2026-02-05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 - VO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 - VO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3"/>
        <item m="1" x="14"/>
        <item x="9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9"/>
        <item x="3"/>
        <item m="1" x="14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9" t="s">
        <v>57</v>
      </c>
      <c r="E47" s="729"/>
      <c r="F47" s="730"/>
      <c r="G47" s="67"/>
      <c r="I47" s="68"/>
      <c r="J47" s="68"/>
    </row>
    <row r="48" spans="1:49" ht="14.5" thickBot="1">
      <c r="C48" s="69">
        <v>44014</v>
      </c>
      <c r="D48" s="731"/>
      <c r="E48" s="731"/>
      <c r="F48" s="7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453125" bestFit="1" customWidth="1"/>
    <col min="5" max="5" width="10.36328125" customWidth="1"/>
    <col min="6" max="6" width="33.453125" customWidth="1"/>
  </cols>
  <sheetData>
    <row r="1" spans="2:10" ht="15" thickBot="1"/>
    <row r="2" spans="2:10" ht="15.5" thickTop="1" thickBot="1">
      <c r="B2" s="733" t="s">
        <v>58</v>
      </c>
      <c r="C2" s="734"/>
      <c r="D2" s="734"/>
      <c r="E2" s="734"/>
      <c r="F2" s="73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33" t="s">
        <v>69</v>
      </c>
      <c r="C16" s="734"/>
      <c r="D16" s="734"/>
      <c r="E16" s="734"/>
      <c r="F16" s="73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zoomScale="70" zoomScaleNormal="70" workbookViewId="0">
      <selection activeCell="E8" sqref="E8:E9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2.453125" style="112" customWidth="1"/>
    <col min="5" max="5" width="14.54296875" style="24" customWidth="1"/>
    <col min="6" max="6" width="10.36328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542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542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46072</v>
      </c>
      <c r="P1" s="410">
        <f ca="1">TODAY()</f>
        <v>46072</v>
      </c>
      <c r="R1" s="3"/>
    </row>
    <row r="2" spans="2:29">
      <c r="B2" s="176"/>
      <c r="C2" s="177" t="s">
        <v>0</v>
      </c>
      <c r="D2" s="178"/>
      <c r="E2" s="713" t="s">
        <v>73</v>
      </c>
      <c r="F2" s="714"/>
      <c r="G2" s="714"/>
      <c r="H2" s="715"/>
      <c r="M2" s="725" t="s">
        <v>540</v>
      </c>
      <c r="N2" s="726"/>
      <c r="O2" s="411">
        <v>0</v>
      </c>
      <c r="P2" s="411">
        <v>1</v>
      </c>
    </row>
    <row r="3" spans="2:29" s="112" customFormat="1">
      <c r="B3" s="179"/>
      <c r="C3" s="180" t="s">
        <v>74</v>
      </c>
      <c r="D3" s="178"/>
      <c r="E3" s="418">
        <v>509</v>
      </c>
      <c r="F3" s="181"/>
      <c r="G3" s="182"/>
      <c r="H3" s="183"/>
      <c r="J3" s="113"/>
      <c r="M3" s="726"/>
      <c r="N3" s="726"/>
      <c r="R3" s="3"/>
    </row>
    <row r="4" spans="2:29" s="112" customFormat="1">
      <c r="B4" s="179"/>
      <c r="C4" s="180" t="s">
        <v>75</v>
      </c>
      <c r="D4" s="178"/>
      <c r="E4" s="716" t="s">
        <v>76</v>
      </c>
      <c r="F4" s="717"/>
      <c r="G4" s="717"/>
      <c r="H4" s="718"/>
      <c r="J4" s="113"/>
      <c r="M4" s="726"/>
      <c r="N4" s="726"/>
      <c r="R4" s="3"/>
    </row>
    <row r="5" spans="2:29" s="112" customFormat="1">
      <c r="B5" s="179"/>
      <c r="C5" s="180" t="s">
        <v>77</v>
      </c>
      <c r="D5" s="178"/>
      <c r="E5" s="716" t="s">
        <v>78</v>
      </c>
      <c r="F5" s="717"/>
      <c r="G5" s="717"/>
      <c r="H5" s="718"/>
      <c r="J5" s="113"/>
      <c r="R5" s="3"/>
    </row>
    <row r="6" spans="2:29">
      <c r="B6" s="184"/>
      <c r="C6" s="185" t="s">
        <v>79</v>
      </c>
      <c r="D6" s="178"/>
      <c r="E6" s="719">
        <v>4761473</v>
      </c>
      <c r="F6" s="720"/>
      <c r="G6" s="720"/>
      <c r="H6" s="721"/>
    </row>
    <row r="7" spans="2:29" s="112" customFormat="1">
      <c r="B7" s="167"/>
      <c r="C7" s="702" t="s">
        <v>80</v>
      </c>
      <c r="D7" s="703"/>
      <c r="E7" s="704" t="s">
        <v>54</v>
      </c>
      <c r="F7" s="168"/>
      <c r="G7" s="186"/>
      <c r="J7" s="113"/>
      <c r="R7" s="3"/>
    </row>
    <row r="8" spans="2:29" ht="30" customHeight="1">
      <c r="B8" s="727" t="s">
        <v>81</v>
      </c>
      <c r="C8" s="728" t="s">
        <v>82</v>
      </c>
      <c r="D8" s="215"/>
      <c r="E8" s="724" t="s">
        <v>83</v>
      </c>
      <c r="F8" s="237" t="s">
        <v>84</v>
      </c>
      <c r="G8" s="724" t="s">
        <v>85</v>
      </c>
      <c r="H8" s="238"/>
      <c r="I8" s="724" t="s">
        <v>86</v>
      </c>
      <c r="J8" s="237" t="s">
        <v>84</v>
      </c>
      <c r="K8" s="724" t="s">
        <v>87</v>
      </c>
      <c r="M8" s="417" t="s">
        <v>60</v>
      </c>
      <c r="N8" s="685" t="s">
        <v>88</v>
      </c>
      <c r="P8" s="722" t="s">
        <v>89</v>
      </c>
      <c r="AA8" s="112"/>
      <c r="AB8" s="112"/>
      <c r="AC8" s="112"/>
    </row>
    <row r="9" spans="2:29">
      <c r="B9" s="727"/>
      <c r="C9" s="728"/>
      <c r="D9" s="215"/>
      <c r="E9" s="724"/>
      <c r="F9" s="126">
        <f>G41-E19</f>
        <v>63</v>
      </c>
      <c r="G9" s="724"/>
      <c r="H9" s="238"/>
      <c r="I9" s="724"/>
      <c r="J9" s="127">
        <f>K41-I19</f>
        <v>70</v>
      </c>
      <c r="K9" s="724"/>
      <c r="M9" s="362">
        <f>AVERAGE(M11,M18,M21,M28,M35,M39,M46,M43)</f>
        <v>0.98281249999999998</v>
      </c>
      <c r="N9" s="362">
        <f ca="1">AVERAGE(N11,N18,N21,N28,N35,N39,N46,N43)</f>
        <v>0.95049368833561354</v>
      </c>
      <c r="O9" s="376"/>
      <c r="P9" s="723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103</v>
      </c>
      <c r="R19" s="124"/>
      <c r="S19" s="121"/>
      <c r="T19" s="121">
        <f>NETWORKDAYS(I19,K41,Data!C3:C15)</f>
        <v>51</v>
      </c>
      <c r="U19" s="121" t="s">
        <v>104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105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106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107</v>
      </c>
      <c r="C22" s="249" t="s">
        <v>108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109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110</v>
      </c>
      <c r="C23" s="249" t="s">
        <v>111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112</v>
      </c>
      <c r="C24" s="249" t="s">
        <v>113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114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115</v>
      </c>
      <c r="C26" s="249" t="s">
        <v>116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(J30*M30+J31*M31+J33*M33)/SUM(J30:J33)</f>
        <v>0.9375</v>
      </c>
      <c r="N28" s="361">
        <f ca="1">(J30*N30+J31*N31+J33*N33)/SUM(J30:J33)</f>
        <v>0.9375</v>
      </c>
      <c r="O28" s="178">
        <f>J28*M28</f>
        <v>145.3125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8" t="s">
        <v>117</v>
      </c>
      <c r="C29" s="249" t="s">
        <v>118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117</v>
      </c>
      <c r="C30" s="249" t="s">
        <v>119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120</v>
      </c>
      <c r="C31" s="249" t="s">
        <v>121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122</v>
      </c>
      <c r="C32" s="249" t="s">
        <v>123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8" t="s">
        <v>122</v>
      </c>
      <c r="C33" s="243" t="s">
        <v>124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78</v>
      </c>
      <c r="K46" s="246">
        <f>MAX(K47:K52)</f>
        <v>46080</v>
      </c>
      <c r="L46" s="114"/>
      <c r="M46" s="361">
        <f>(J47*M47+J48*M48+J49*M49+J50*M50+J51*M51+J52*M52)/SUM(J47:J52)</f>
        <v>0.92500000000000004</v>
      </c>
      <c r="N46" s="361">
        <f ca="1">(K47*N47+K48*N48+K49*N49+K50*N50+K51*N51+K52*N52)/SUM(K47:K52)</f>
        <v>0.6664495066849081</v>
      </c>
      <c r="O46" s="379">
        <f>J46*M46</f>
        <v>72.150000000000006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1</v>
      </c>
      <c r="N48" s="254">
        <f t="shared" ca="1" si="5"/>
        <v>1</v>
      </c>
      <c r="O48" s="379"/>
      <c r="P48" s="122" t="s">
        <v>139</v>
      </c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1</v>
      </c>
      <c r="N50" s="254">
        <f t="shared" ca="1" si="5"/>
        <v>1</v>
      </c>
      <c r="O50" s="379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46077</v>
      </c>
      <c r="J51" s="251">
        <v>1</v>
      </c>
      <c r="K51" s="253">
        <f>WORKDAY.INTL(I51,J51,1,Data!$C$3:$C$14)</f>
        <v>46078</v>
      </c>
      <c r="M51" s="254">
        <v>0</v>
      </c>
      <c r="N51" s="254">
        <f t="shared" ca="1" si="5"/>
        <v>0</v>
      </c>
      <c r="O51" s="379"/>
      <c r="P51" s="122" t="s">
        <v>143</v>
      </c>
      <c r="Z51" s="24"/>
    </row>
    <row r="52" spans="2:29">
      <c r="B52" s="248">
        <v>8.6</v>
      </c>
      <c r="C52" s="243" t="s">
        <v>144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v>46075</v>
      </c>
      <c r="J52" s="251">
        <v>5</v>
      </c>
      <c r="K52" s="253">
        <f>WORKDAY.INTL(I52,J52,1,Data!$C$3:$C$14)</f>
        <v>46080</v>
      </c>
      <c r="M52" s="254">
        <v>0</v>
      </c>
      <c r="N52" s="254">
        <f t="shared" ca="1" si="5"/>
        <v>0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  <mergeCell ref="M2:N4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0" zoomScaleNormal="130" workbookViewId="0">
      <selection activeCell="D4" sqref="D4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1.6328125" style="129" bestFit="1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8.6328125" style="129" bestFit="1" customWidth="1"/>
    <col min="17" max="17" width="15.453125" style="129" bestFit="1" customWidth="1"/>
    <col min="18" max="18" width="19" style="129" customWidth="1"/>
    <col min="19" max="19" width="16.36328125" style="93" bestFit="1" customWidth="1"/>
    <col min="20" max="20" width="18.6328125" style="129" bestFit="1" customWidth="1"/>
    <col min="21" max="21" width="15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146</v>
      </c>
      <c r="F3" s="125" t="s">
        <v>147</v>
      </c>
      <c r="J3" s="141"/>
      <c r="L3" s="415" t="s">
        <v>148</v>
      </c>
      <c r="N3" s="415" t="s">
        <v>149</v>
      </c>
      <c r="P3" s="690" t="s">
        <v>150</v>
      </c>
      <c r="Q3" s="690" t="s">
        <v>151</v>
      </c>
      <c r="R3" s="690" t="s">
        <v>152</v>
      </c>
      <c r="S3" s="690" t="s">
        <v>153</v>
      </c>
      <c r="T3" s="690" t="s">
        <v>154</v>
      </c>
      <c r="U3" s="690" t="s">
        <v>155</v>
      </c>
    </row>
    <row r="4" spans="1:21" s="93" customFormat="1" ht="13">
      <c r="B4" s="352">
        <v>1</v>
      </c>
      <c r="C4" s="353" t="s">
        <v>156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157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570508.30250000011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166296.00915111823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431289.88999999996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4406841.0025148522</v>
      </c>
      <c r="E5" s="355"/>
      <c r="F5" s="354">
        <f>+'Expenditure Tracking'!H5</f>
        <v>3936602.6524999999</v>
      </c>
      <c r="G5" s="709" t="s">
        <v>159</v>
      </c>
      <c r="H5" s="709" t="s">
        <v>160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161</v>
      </c>
      <c r="D6" s="354">
        <f>+D4-D5</f>
        <v>354631.99748514779</v>
      </c>
      <c r="E6" s="355"/>
      <c r="F6" s="354">
        <f>+F4-F5</f>
        <v>824870.34750000108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7.4479472525654941E-2</v>
      </c>
      <c r="E7" s="355"/>
      <c r="F7" s="356">
        <f>+F6/F4</f>
        <v>0.17323848050802784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84" t="s">
        <v>172</v>
      </c>
    </row>
    <row r="13" spans="1:21" s="93" customFormat="1" ht="13">
      <c r="B13" s="352">
        <v>1</v>
      </c>
      <c r="C13" s="738" t="s">
        <v>173</v>
      </c>
      <c r="D13" s="739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38" t="s">
        <v>175</v>
      </c>
      <c r="D14" s="739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174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2.5">
      <c r="B15" s="352">
        <v>3</v>
      </c>
      <c r="C15" s="738" t="s">
        <v>176</v>
      </c>
      <c r="D15" s="739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174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2.5">
      <c r="B16" s="352">
        <v>4</v>
      </c>
      <c r="C16" s="736" t="s">
        <v>177</v>
      </c>
      <c r="D16" s="737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174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2.5">
      <c r="B17" s="352">
        <v>5</v>
      </c>
      <c r="C17" s="736" t="s">
        <v>178</v>
      </c>
      <c r="D17" s="737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174</v>
      </c>
      <c r="N17" s="138">
        <v>45778</v>
      </c>
      <c r="O17" s="129"/>
      <c r="P17" s="701">
        <v>46025</v>
      </c>
      <c r="R17" s="385"/>
    </row>
    <row r="18" spans="2:19" s="93" customFormat="1" ht="12.5">
      <c r="B18" s="352">
        <v>6</v>
      </c>
      <c r="C18" s="736" t="s">
        <v>54</v>
      </c>
      <c r="D18" s="737"/>
      <c r="E18" s="135">
        <v>0.05</v>
      </c>
      <c r="F18" s="136">
        <f t="shared" si="0"/>
        <v>238073.65000000002</v>
      </c>
      <c r="G18" s="355"/>
      <c r="H18" s="138">
        <f>'Project Plan'!K51+7</f>
        <v>46085</v>
      </c>
      <c r="J18" s="141"/>
      <c r="L18" s="369" t="s">
        <v>174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2.5">
      <c r="B19" s="352">
        <v>7</v>
      </c>
      <c r="C19" s="738" t="s">
        <v>179</v>
      </c>
      <c r="D19" s="73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180</v>
      </c>
      <c r="C23" s="145" t="s">
        <v>181</v>
      </c>
      <c r="D23" s="145"/>
      <c r="F23" s="146"/>
    </row>
    <row r="24" spans="2:19" s="93" customFormat="1" ht="12.5">
      <c r="C24" s="147" t="s">
        <v>182</v>
      </c>
      <c r="D24" s="148"/>
      <c r="F24" s="149"/>
    </row>
    <row r="25" spans="2:19" s="93" customFormat="1" ht="12.5">
      <c r="C25" s="147" t="s">
        <v>183</v>
      </c>
      <c r="D25" s="148"/>
    </row>
    <row r="26" spans="2:19" s="93" customFormat="1" ht="12.5">
      <c r="C26" s="150" t="s">
        <v>184</v>
      </c>
      <c r="D26" s="151"/>
    </row>
    <row r="27" spans="2:19" s="93" customFormat="1" ht="12.5">
      <c r="C27" s="152" t="s">
        <v>185</v>
      </c>
      <c r="D27" s="148"/>
    </row>
    <row r="28" spans="2:19" s="93" customFormat="1" ht="12.5">
      <c r="B28" s="117"/>
      <c r="C28" s="152" t="s">
        <v>186</v>
      </c>
      <c r="D28" s="148"/>
    </row>
    <row r="29" spans="2:19" s="93" customFormat="1" ht="12.5">
      <c r="B29" s="117"/>
      <c r="C29" s="93" t="s">
        <v>187</v>
      </c>
    </row>
    <row r="30" spans="2:19" s="93" customFormat="1" ht="27.75" customHeight="1">
      <c r="B30" s="117"/>
      <c r="C30" s="153" t="s">
        <v>188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40"/>
      <c r="C4" s="740"/>
      <c r="D4" s="740"/>
      <c r="E4" s="419"/>
      <c r="F4" s="220" t="s">
        <v>146</v>
      </c>
      <c r="G4" s="215"/>
      <c r="H4" s="220" t="s">
        <v>147</v>
      </c>
      <c r="I4" s="215"/>
      <c r="J4" s="221" t="s">
        <v>213</v>
      </c>
      <c r="K4" s="112"/>
      <c r="L4" s="112"/>
    </row>
    <row r="5" spans="1:12" ht="14.5" thickBot="1">
      <c r="A5" s="215"/>
      <c r="B5" s="741" t="s">
        <v>214</v>
      </c>
      <c r="C5" s="741"/>
      <c r="D5" s="741"/>
      <c r="E5" s="419"/>
      <c r="F5" s="222">
        <f>SUM(F9:F23)</f>
        <v>4406841.0025148522</v>
      </c>
      <c r="G5" s="217"/>
      <c r="H5" s="222">
        <f>SUM(H9:H23)</f>
        <v>3936602.6524999999</v>
      </c>
      <c r="I5" s="215"/>
      <c r="J5" s="223">
        <f>SUM(J9:J23)</f>
        <v>470238.35001485189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81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13433.02</v>
      </c>
      <c r="I22" s="89"/>
      <c r="J22" s="232">
        <f t="shared" si="0"/>
        <v>-4683.0200000000004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70" zoomScaleNormal="70" workbookViewId="0">
      <pane ySplit="4" topLeftCell="A5" activePane="bottomLeft" state="frozen"/>
      <selection activeCell="X33" sqref="X33"/>
      <selection pane="bottomLeft" activeCell="R131" sqref="R131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80" hidden="1" customWidth="1"/>
    <col min="7" max="7" width="17.453125" style="24" hidden="1" customWidth="1"/>
    <col min="8" max="8" width="17.453125" style="112" hidden="1" customWidth="1"/>
    <col min="9" max="9" width="22.453125" style="350" hidden="1" customWidth="1"/>
    <col min="10" max="10" width="22.453125" style="350" bestFit="1" customWidth="1"/>
    <col min="11" max="12" width="5.5429687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53" style="112" bestFit="1" customWidth="1"/>
    <col min="19" max="19" width="39" style="112" bestFit="1" customWidth="1"/>
    <col min="20" max="23" width="17.453125" style="112" customWidth="1"/>
    <col min="24" max="24" width="21.453125" style="112" customWidth="1"/>
    <col min="25" max="25" width="29.453125" style="112" bestFit="1" customWidth="1"/>
    <col min="26" max="26" width="24.5429687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81" t="s">
        <v>221</v>
      </c>
      <c r="C2" s="782"/>
      <c r="D2" s="782"/>
      <c r="E2" s="782"/>
      <c r="F2" s="782"/>
      <c r="G2" s="782"/>
      <c r="H2" s="684"/>
      <c r="I2" s="258">
        <f>SUM(I6:I170)</f>
        <v>4406841.0025148522</v>
      </c>
      <c r="J2" s="258">
        <f>SUM(J6:J170)</f>
        <v>4761472.8071953785</v>
      </c>
      <c r="L2" s="783" t="s">
        <v>222</v>
      </c>
      <c r="M2" s="784"/>
      <c r="N2" s="784"/>
      <c r="O2" s="784"/>
      <c r="P2" s="784"/>
      <c r="Q2" s="784"/>
      <c r="R2" s="785" t="s">
        <v>223</v>
      </c>
      <c r="S2" s="786"/>
      <c r="T2" s="786"/>
      <c r="U2" s="786"/>
      <c r="V2" s="786"/>
      <c r="W2" s="787"/>
      <c r="X2" s="484">
        <f>SUM(X6:X170)</f>
        <v>3936602.6524999999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.5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71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ERROR on REV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71" t="s">
        <v>228</v>
      </c>
      <c r="Q4" s="374" t="s">
        <v>233</v>
      </c>
      <c r="R4" s="627" t="s">
        <v>234</v>
      </c>
      <c r="S4" s="628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6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237</v>
      </c>
      <c r="D6" s="282" t="s">
        <v>238</v>
      </c>
      <c r="E6" s="283"/>
      <c r="F6" s="443"/>
      <c r="G6" s="397">
        <f>D171</f>
        <v>1110081.32</v>
      </c>
      <c r="H6" s="540">
        <v>45862</v>
      </c>
      <c r="I6" s="742">
        <f>SUM(G6:G11)</f>
        <v>1110081.32</v>
      </c>
      <c r="J6" s="742">
        <f>F171</f>
        <v>1233423.688888889</v>
      </c>
      <c r="K6" s="394"/>
      <c r="L6" s="281">
        <v>1</v>
      </c>
      <c r="M6" s="423" t="s">
        <v>239</v>
      </c>
      <c r="N6" s="282" t="s">
        <v>240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241</v>
      </c>
      <c r="S6" s="630" t="s">
        <v>242</v>
      </c>
      <c r="T6" s="661">
        <v>45808</v>
      </c>
      <c r="U6" s="664">
        <v>1233423.688888889</v>
      </c>
      <c r="V6" s="754">
        <f>J6-SUM(U6:U11)</f>
        <v>0</v>
      </c>
      <c r="W6" s="540">
        <v>45862</v>
      </c>
      <c r="X6" s="745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243</v>
      </c>
      <c r="E7" s="396"/>
      <c r="F7" s="465"/>
      <c r="G7" s="315"/>
      <c r="H7" s="578"/>
      <c r="I7" s="743"/>
      <c r="J7" s="743"/>
      <c r="K7" s="288"/>
      <c r="L7" s="311">
        <v>1</v>
      </c>
      <c r="M7" s="313" t="s">
        <v>239</v>
      </c>
      <c r="N7" s="395" t="s">
        <v>244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245</v>
      </c>
      <c r="T7" s="654">
        <v>45991</v>
      </c>
      <c r="U7" s="665">
        <v>0</v>
      </c>
      <c r="V7" s="755"/>
      <c r="W7" s="655">
        <v>46037</v>
      </c>
      <c r="X7" s="746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43"/>
      <c r="J8" s="743"/>
      <c r="K8" s="288"/>
      <c r="L8" s="311">
        <v>1</v>
      </c>
      <c r="M8" s="313" t="s">
        <v>239</v>
      </c>
      <c r="N8" s="491" t="s">
        <v>246</v>
      </c>
      <c r="O8" s="557"/>
      <c r="P8" s="450"/>
      <c r="Q8" s="315">
        <v>1000</v>
      </c>
      <c r="R8" s="594"/>
      <c r="S8" s="631" t="s">
        <v>245</v>
      </c>
      <c r="T8" s="654">
        <v>45991</v>
      </c>
      <c r="U8" s="665">
        <v>0</v>
      </c>
      <c r="V8" s="755"/>
      <c r="W8" s="655">
        <v>46037</v>
      </c>
      <c r="X8" s="746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43"/>
      <c r="J9" s="743"/>
      <c r="K9" s="288"/>
      <c r="L9" s="311">
        <v>1</v>
      </c>
      <c r="M9" s="313" t="s">
        <v>239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55"/>
      <c r="W9" s="579"/>
      <c r="X9" s="746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43"/>
      <c r="J10" s="743"/>
      <c r="K10" s="288"/>
      <c r="L10" s="311">
        <v>1</v>
      </c>
      <c r="M10" s="313" t="s">
        <v>239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55"/>
      <c r="W10" s="579"/>
      <c r="X10" s="746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44"/>
      <c r="J11" s="744"/>
      <c r="K11" s="289"/>
      <c r="L11" s="316">
        <v>1</v>
      </c>
      <c r="M11" s="425" t="s">
        <v>239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56"/>
      <c r="W11" s="580"/>
      <c r="X11" s="747"/>
      <c r="Y11" s="611" t="s">
        <v>247</v>
      </c>
      <c r="Z11" s="612" t="s">
        <v>248</v>
      </c>
    </row>
    <row r="12" spans="1:76" ht="14.5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249</v>
      </c>
      <c r="Z12" s="614">
        <f>G56</f>
        <v>673981.46086956526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63"/>
      <c r="G13" s="296">
        <f>D172</f>
        <v>280000</v>
      </c>
      <c r="H13" s="543">
        <v>45862</v>
      </c>
      <c r="I13" s="772">
        <f>SUM(G13:G19)</f>
        <v>280000</v>
      </c>
      <c r="J13" s="772">
        <f>F172</f>
        <v>311111.11111111112</v>
      </c>
      <c r="K13" s="297"/>
      <c r="L13" s="293">
        <v>2</v>
      </c>
      <c r="M13" s="426" t="s">
        <v>252</v>
      </c>
      <c r="N13" s="319" t="s">
        <v>253</v>
      </c>
      <c r="O13" s="560">
        <v>4</v>
      </c>
      <c r="P13" s="463">
        <v>68870</v>
      </c>
      <c r="Q13" s="296">
        <v>275481.40000000002</v>
      </c>
      <c r="R13" s="598" t="s">
        <v>241</v>
      </c>
      <c r="S13" s="635" t="s">
        <v>242</v>
      </c>
      <c r="T13" s="662">
        <v>45808</v>
      </c>
      <c r="U13" s="668">
        <v>311111.11111111112</v>
      </c>
      <c r="V13" s="762">
        <f>J13-SUM(U13:U19)</f>
        <v>0</v>
      </c>
      <c r="W13" s="543">
        <v>45862</v>
      </c>
      <c r="X13" s="775">
        <f>SUM(Q13:Q19)</f>
        <v>275481.40000000002</v>
      </c>
      <c r="Y13" s="613" t="s">
        <v>254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73"/>
      <c r="J14" s="773"/>
      <c r="K14" s="301"/>
      <c r="L14" s="298">
        <v>2</v>
      </c>
      <c r="M14" s="432" t="s">
        <v>252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63"/>
      <c r="W14" s="583"/>
      <c r="X14" s="776"/>
      <c r="Y14" s="613" t="s">
        <v>255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73"/>
      <c r="J15" s="773"/>
      <c r="K15" s="301"/>
      <c r="L15" s="298">
        <v>2</v>
      </c>
      <c r="M15" s="432" t="s">
        <v>252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63"/>
      <c r="W15" s="583"/>
      <c r="X15" s="776"/>
      <c r="Y15" s="613" t="s">
        <v>256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73"/>
      <c r="J16" s="773"/>
      <c r="K16" s="301"/>
      <c r="L16" s="298">
        <v>2</v>
      </c>
      <c r="M16" s="432" t="s">
        <v>252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63"/>
      <c r="W16" s="583"/>
      <c r="X16" s="776"/>
      <c r="Y16" s="613" t="s">
        <v>257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73"/>
      <c r="J17" s="773"/>
      <c r="K17" s="301"/>
      <c r="L17" s="298">
        <v>2</v>
      </c>
      <c r="M17" s="432" t="s">
        <v>252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63"/>
      <c r="W17" s="583"/>
      <c r="X17" s="776"/>
      <c r="Y17" s="613" t="s">
        <v>258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73"/>
      <c r="J18" s="773"/>
      <c r="K18" s="301"/>
      <c r="L18" s="298">
        <v>2</v>
      </c>
      <c r="M18" s="432" t="s">
        <v>252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63"/>
      <c r="W18" s="583"/>
      <c r="X18" s="776"/>
      <c r="Y18" s="613" t="s">
        <v>259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74"/>
      <c r="J19" s="774"/>
      <c r="K19" s="306"/>
      <c r="L19" s="401">
        <v>2</v>
      </c>
      <c r="M19" s="427" t="s">
        <v>252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64"/>
      <c r="W19" s="584"/>
      <c r="X19" s="777"/>
      <c r="Y19" s="613" t="s">
        <v>260</v>
      </c>
      <c r="Z19" s="614">
        <v>0</v>
      </c>
    </row>
    <row r="20" spans="1:26" ht="14.5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261</v>
      </c>
      <c r="D21" s="327" t="s">
        <v>262</v>
      </c>
      <c r="E21" s="283"/>
      <c r="F21" s="443"/>
      <c r="G21" s="284">
        <f>D173</f>
        <v>229194</v>
      </c>
      <c r="H21" s="545">
        <v>45867</v>
      </c>
      <c r="I21" s="742">
        <f>SUM(G21:G28)</f>
        <v>229194</v>
      </c>
      <c r="J21" s="742">
        <f>F173</f>
        <v>254660</v>
      </c>
      <c r="K21" s="285"/>
      <c r="L21" s="281">
        <v>3</v>
      </c>
      <c r="M21" s="428" t="s">
        <v>263</v>
      </c>
      <c r="N21" s="327" t="s">
        <v>264</v>
      </c>
      <c r="O21" s="555"/>
      <c r="P21" s="443"/>
      <c r="Q21" s="284">
        <v>74458.2</v>
      </c>
      <c r="R21" s="601" t="s">
        <v>265</v>
      </c>
      <c r="S21" s="638" t="s">
        <v>266</v>
      </c>
      <c r="T21" s="663">
        <v>45838</v>
      </c>
      <c r="U21" s="671">
        <v>166046.5979998949</v>
      </c>
      <c r="V21" s="754">
        <f>J21-SUM(U21:U28)</f>
        <v>2.0001051016151905E-3</v>
      </c>
      <c r="W21" s="545">
        <v>45867</v>
      </c>
      <c r="X21" s="745">
        <f>SUM(Q21:Q28)</f>
        <v>147784.22</v>
      </c>
      <c r="Y21" s="613" t="s">
        <v>267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43"/>
      <c r="J22" s="743"/>
      <c r="K22" s="288"/>
      <c r="L22" s="311">
        <v>3</v>
      </c>
      <c r="M22" s="429" t="s">
        <v>263</v>
      </c>
      <c r="N22" s="328"/>
      <c r="O22" s="556"/>
      <c r="P22" s="465"/>
      <c r="Q22" s="315">
        <v>7278.8</v>
      </c>
      <c r="R22" s="594"/>
      <c r="S22" s="631" t="s">
        <v>268</v>
      </c>
      <c r="T22" s="651">
        <v>45900</v>
      </c>
      <c r="U22" s="665">
        <v>88613.4</v>
      </c>
      <c r="V22" s="755"/>
      <c r="W22" s="655">
        <v>45930</v>
      </c>
      <c r="X22" s="746"/>
      <c r="Y22" s="613" t="s">
        <v>191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43"/>
      <c r="J23" s="743"/>
      <c r="K23" s="288"/>
      <c r="L23" s="311">
        <v>3</v>
      </c>
      <c r="M23" s="429" t="s">
        <v>263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55"/>
      <c r="W23" s="578"/>
      <c r="X23" s="746"/>
      <c r="Y23" s="613" t="s">
        <v>269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43"/>
      <c r="J24" s="743"/>
      <c r="K24" s="288"/>
      <c r="L24" s="311">
        <v>3</v>
      </c>
      <c r="M24" s="429" t="s">
        <v>263</v>
      </c>
      <c r="N24" s="328" t="s">
        <v>270</v>
      </c>
      <c r="O24" s="557"/>
      <c r="P24" s="450"/>
      <c r="Q24" s="392">
        <v>-40497.599999999999</v>
      </c>
      <c r="R24" s="595"/>
      <c r="S24" s="632" t="s">
        <v>271</v>
      </c>
      <c r="T24" s="650">
        <v>45961</v>
      </c>
      <c r="U24" s="657">
        <v>0</v>
      </c>
      <c r="V24" s="755"/>
      <c r="W24" s="542">
        <v>45961</v>
      </c>
      <c r="X24" s="746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43"/>
      <c r="J25" s="743"/>
      <c r="K25" s="288"/>
      <c r="L25" s="311">
        <v>3</v>
      </c>
      <c r="M25" s="429" t="s">
        <v>263</v>
      </c>
      <c r="N25" s="391" t="s">
        <v>270</v>
      </c>
      <c r="O25" s="557"/>
      <c r="P25" s="450"/>
      <c r="Q25" s="392">
        <v>616.91999999999996</v>
      </c>
      <c r="R25" s="595"/>
      <c r="S25" s="632" t="s">
        <v>272</v>
      </c>
      <c r="T25" s="650">
        <v>45991</v>
      </c>
      <c r="U25" s="657">
        <v>0</v>
      </c>
      <c r="V25" s="755"/>
      <c r="W25" s="542">
        <v>46022</v>
      </c>
      <c r="X25" s="746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43"/>
      <c r="J26" s="743"/>
      <c r="K26" s="288"/>
      <c r="L26" s="311">
        <v>3</v>
      </c>
      <c r="M26" s="429" t="s">
        <v>263</v>
      </c>
      <c r="N26" s="391" t="s">
        <v>273</v>
      </c>
      <c r="O26" s="557"/>
      <c r="P26" s="450"/>
      <c r="Q26" s="392">
        <v>83015.5</v>
      </c>
      <c r="R26" s="595" t="s">
        <v>274</v>
      </c>
      <c r="S26" s="632" t="s">
        <v>275</v>
      </c>
      <c r="T26" s="650">
        <v>45961</v>
      </c>
      <c r="U26" s="657">
        <v>0</v>
      </c>
      <c r="V26" s="755"/>
      <c r="W26" s="542">
        <v>45989</v>
      </c>
      <c r="X26" s="746"/>
      <c r="Y26" s="618" t="s">
        <v>276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43"/>
      <c r="J27" s="743"/>
      <c r="K27" s="288"/>
      <c r="L27" s="311">
        <v>3</v>
      </c>
      <c r="M27" s="429" t="s">
        <v>263</v>
      </c>
      <c r="N27" s="391"/>
      <c r="O27" s="557"/>
      <c r="P27" s="450"/>
      <c r="Q27" s="392">
        <v>22912.400000000001</v>
      </c>
      <c r="R27" s="595"/>
      <c r="S27" s="632" t="s">
        <v>277</v>
      </c>
      <c r="T27" s="650">
        <v>45961</v>
      </c>
      <c r="U27" s="657">
        <v>0</v>
      </c>
      <c r="V27" s="755"/>
      <c r="W27" s="542">
        <v>45989</v>
      </c>
      <c r="X27" s="746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44"/>
      <c r="J28" s="744"/>
      <c r="K28" s="289"/>
      <c r="L28" s="316">
        <v>3</v>
      </c>
      <c r="M28" s="430" t="s">
        <v>263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56"/>
      <c r="W28" s="580"/>
      <c r="X28" s="747"/>
      <c r="Y28" s="619" t="s">
        <v>278</v>
      </c>
      <c r="Z28" s="620" t="s">
        <v>279</v>
      </c>
    </row>
    <row r="29" spans="1:26" ht="14.5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254</v>
      </c>
      <c r="D30" s="294" t="s">
        <v>280</v>
      </c>
      <c r="E30" s="365">
        <f>G30/14*1.15</f>
        <v>13661.999999999998</v>
      </c>
      <c r="F30" s="463"/>
      <c r="G30" s="296">
        <v>166320</v>
      </c>
      <c r="H30" s="543">
        <v>45867</v>
      </c>
      <c r="I30" s="772">
        <f>SUM(G30:G45)</f>
        <v>407489.6</v>
      </c>
      <c r="J30" s="772">
        <f>F174</f>
        <v>452766.22222222219</v>
      </c>
      <c r="K30" s="297"/>
      <c r="L30" s="293">
        <v>4</v>
      </c>
      <c r="M30" s="431" t="s">
        <v>281</v>
      </c>
      <c r="N30" s="294" t="s">
        <v>282</v>
      </c>
      <c r="O30" s="552">
        <v>10000</v>
      </c>
      <c r="P30" s="463">
        <v>13.89</v>
      </c>
      <c r="Q30" s="296">
        <f>O30*P30</f>
        <v>138900</v>
      </c>
      <c r="R30" s="771" t="s">
        <v>283</v>
      </c>
      <c r="S30" s="635" t="s">
        <v>284</v>
      </c>
      <c r="T30" s="662">
        <v>45838</v>
      </c>
      <c r="U30" s="668">
        <v>182172.37433613854</v>
      </c>
      <c r="V30" s="762">
        <f>J30-SUM(U30:U45)</f>
        <v>0</v>
      </c>
      <c r="W30" s="543">
        <v>45867</v>
      </c>
      <c r="X30" s="775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285</v>
      </c>
      <c r="E31" s="400"/>
      <c r="F31" s="459"/>
      <c r="G31" s="647">
        <f>D174-G30</f>
        <v>241169.59999999998</v>
      </c>
      <c r="H31" s="544">
        <f>H30</f>
        <v>45867</v>
      </c>
      <c r="I31" s="773"/>
      <c r="J31" s="773"/>
      <c r="K31" s="301"/>
      <c r="L31" s="298">
        <v>4</v>
      </c>
      <c r="M31" s="432" t="s">
        <v>281</v>
      </c>
      <c r="N31" s="414" t="s">
        <v>286</v>
      </c>
      <c r="O31" s="553"/>
      <c r="P31" s="459"/>
      <c r="Q31" s="300">
        <v>10400</v>
      </c>
      <c r="R31" s="767"/>
      <c r="S31" s="636" t="s">
        <v>284</v>
      </c>
      <c r="T31" s="662">
        <v>45838</v>
      </c>
      <c r="U31" s="669">
        <v>13639.976192194679</v>
      </c>
      <c r="V31" s="763"/>
      <c r="W31" s="544">
        <f>W30</f>
        <v>45867</v>
      </c>
      <c r="X31" s="776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73"/>
      <c r="J32" s="773"/>
      <c r="K32" s="301"/>
      <c r="L32" s="298">
        <v>4</v>
      </c>
      <c r="M32" s="432" t="s">
        <v>281</v>
      </c>
      <c r="N32" s="414" t="s">
        <v>287</v>
      </c>
      <c r="O32" s="553"/>
      <c r="P32" s="459"/>
      <c r="Q32" s="300">
        <v>29500</v>
      </c>
      <c r="R32" s="599" t="s">
        <v>288</v>
      </c>
      <c r="S32" s="636" t="s">
        <v>289</v>
      </c>
      <c r="T32" s="659">
        <v>46022</v>
      </c>
      <c r="U32" s="707">
        <v>0</v>
      </c>
      <c r="V32" s="763"/>
      <c r="W32" s="544">
        <f>T32+30</f>
        <v>46052</v>
      </c>
      <c r="X32" s="776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73"/>
      <c r="J33" s="773"/>
      <c r="K33" s="301"/>
      <c r="L33" s="298">
        <v>4</v>
      </c>
      <c r="M33" s="432" t="s">
        <v>281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63"/>
      <c r="W33" s="583"/>
      <c r="X33" s="776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73"/>
      <c r="J34" s="773"/>
      <c r="K34" s="301"/>
      <c r="L34" s="298">
        <v>4</v>
      </c>
      <c r="M34" s="432" t="s">
        <v>281</v>
      </c>
      <c r="N34" s="414" t="s">
        <v>290</v>
      </c>
      <c r="O34" s="572">
        <v>195918.25</v>
      </c>
      <c r="P34" s="573">
        <v>0.1</v>
      </c>
      <c r="Q34" s="300">
        <f>$O$34*P34</f>
        <v>19591.825000000001</v>
      </c>
      <c r="R34" s="765" t="s">
        <v>291</v>
      </c>
      <c r="S34" s="636" t="s">
        <v>292</v>
      </c>
      <c r="T34" s="659">
        <f t="shared" si="0"/>
        <v>45808</v>
      </c>
      <c r="U34" s="669">
        <v>25695.387169388898</v>
      </c>
      <c r="V34" s="763"/>
      <c r="W34" s="544">
        <f>W94</f>
        <v>45792</v>
      </c>
      <c r="X34" s="776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73"/>
      <c r="J35" s="773"/>
      <c r="K35" s="301"/>
      <c r="L35" s="298">
        <v>4</v>
      </c>
      <c r="M35" s="432" t="s">
        <v>281</v>
      </c>
      <c r="N35" s="414" t="s">
        <v>100</v>
      </c>
      <c r="O35" s="561"/>
      <c r="P35" s="573">
        <v>0.15</v>
      </c>
      <c r="Q35" s="300">
        <f t="shared" ref="Q35:Q42" si="2">$O$34*P35</f>
        <v>29387.737499999999</v>
      </c>
      <c r="R35" s="766"/>
      <c r="S35" s="636" t="s">
        <v>293</v>
      </c>
      <c r="T35" s="659">
        <v>45838</v>
      </c>
      <c r="U35" s="669">
        <v>38543.080754083348</v>
      </c>
      <c r="V35" s="763"/>
      <c r="W35" s="544">
        <f>W95</f>
        <v>45834</v>
      </c>
      <c r="X35" s="776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73"/>
      <c r="J36" s="773"/>
      <c r="K36" s="301"/>
      <c r="L36" s="298">
        <v>4</v>
      </c>
      <c r="M36" s="432" t="s">
        <v>281</v>
      </c>
      <c r="N36" s="414" t="s">
        <v>294</v>
      </c>
      <c r="O36" s="561"/>
      <c r="P36" s="573">
        <v>0.2</v>
      </c>
      <c r="Q36" s="300">
        <f t="shared" si="2"/>
        <v>39183.65</v>
      </c>
      <c r="R36" s="766"/>
      <c r="S36" s="636" t="s">
        <v>295</v>
      </c>
      <c r="T36" s="659">
        <v>45900</v>
      </c>
      <c r="U36" s="669">
        <v>51390.774338777795</v>
      </c>
      <c r="V36" s="763"/>
      <c r="W36" s="544">
        <f>W96</f>
        <v>45974</v>
      </c>
      <c r="X36" s="776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73"/>
      <c r="J37" s="773"/>
      <c r="K37" s="301"/>
      <c r="L37" s="298">
        <v>4</v>
      </c>
      <c r="M37" s="432" t="s">
        <v>281</v>
      </c>
      <c r="N37" s="414" t="s">
        <v>296</v>
      </c>
      <c r="O37" s="561"/>
      <c r="P37" s="573">
        <v>0.25</v>
      </c>
      <c r="Q37" s="300">
        <v>30766.06</v>
      </c>
      <c r="R37" s="766"/>
      <c r="S37" s="636" t="s">
        <v>297</v>
      </c>
      <c r="T37" s="659">
        <v>45900</v>
      </c>
      <c r="U37" s="669">
        <v>64238.467923472243</v>
      </c>
      <c r="V37" s="763"/>
      <c r="W37" s="698">
        <v>45991</v>
      </c>
      <c r="X37" s="776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73"/>
      <c r="J38" s="773"/>
      <c r="K38" s="301"/>
      <c r="L38" s="298">
        <v>4</v>
      </c>
      <c r="M38" s="432" t="s">
        <v>281</v>
      </c>
      <c r="N38" s="414" t="s">
        <v>296</v>
      </c>
      <c r="O38" s="561"/>
      <c r="P38" s="573"/>
      <c r="Q38" s="300">
        <f>48979.5625-Q37</f>
        <v>18213.502499999999</v>
      </c>
      <c r="R38" s="766"/>
      <c r="S38" s="636" t="s">
        <v>297</v>
      </c>
      <c r="T38" s="659">
        <v>45900</v>
      </c>
      <c r="U38" s="669">
        <v>0</v>
      </c>
      <c r="V38" s="763"/>
      <c r="W38" s="698">
        <v>46003</v>
      </c>
      <c r="X38" s="776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73"/>
      <c r="J39" s="773"/>
      <c r="K39" s="301"/>
      <c r="L39" s="298">
        <v>4</v>
      </c>
      <c r="M39" s="432" t="s">
        <v>281</v>
      </c>
      <c r="N39" s="414" t="s">
        <v>177</v>
      </c>
      <c r="O39" s="561"/>
      <c r="P39" s="573">
        <v>0.1</v>
      </c>
      <c r="Q39" s="300">
        <f t="shared" si="2"/>
        <v>19591.825000000001</v>
      </c>
      <c r="R39" s="766"/>
      <c r="S39" s="636" t="s">
        <v>298</v>
      </c>
      <c r="T39" s="659">
        <v>45900</v>
      </c>
      <c r="U39" s="669">
        <v>25695.387169388898</v>
      </c>
      <c r="V39" s="763"/>
      <c r="W39" s="698">
        <v>46009</v>
      </c>
      <c r="X39" s="776"/>
      <c r="Y39" s="621" t="s">
        <v>267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73"/>
      <c r="J40" s="773"/>
      <c r="K40" s="301"/>
      <c r="L40" s="298">
        <v>4</v>
      </c>
      <c r="M40" s="432" t="s">
        <v>281</v>
      </c>
      <c r="N40" s="414" t="s">
        <v>299</v>
      </c>
      <c r="O40" s="561"/>
      <c r="P40" s="573">
        <v>0.1</v>
      </c>
      <c r="Q40" s="300">
        <f t="shared" si="2"/>
        <v>19591.825000000001</v>
      </c>
      <c r="R40" s="766"/>
      <c r="S40" s="636" t="s">
        <v>300</v>
      </c>
      <c r="T40" s="659">
        <v>45900</v>
      </c>
      <c r="U40" s="669">
        <v>25695.387169388898</v>
      </c>
      <c r="V40" s="763"/>
      <c r="W40" s="544">
        <v>46015</v>
      </c>
      <c r="X40" s="776"/>
      <c r="Y40" s="621" t="s">
        <v>267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73"/>
      <c r="J41" s="773"/>
      <c r="K41" s="301"/>
      <c r="L41" s="298">
        <v>4</v>
      </c>
      <c r="M41" s="432" t="s">
        <v>281</v>
      </c>
      <c r="N41" s="414" t="s">
        <v>301</v>
      </c>
      <c r="O41" s="700"/>
      <c r="P41" s="573">
        <v>0.05</v>
      </c>
      <c r="Q41" s="300">
        <f t="shared" si="2"/>
        <v>9795.9125000000004</v>
      </c>
      <c r="R41" s="766"/>
      <c r="S41" s="636" t="s">
        <v>302</v>
      </c>
      <c r="T41" s="659">
        <v>45900</v>
      </c>
      <c r="U41" s="669">
        <v>12847.693584694449</v>
      </c>
      <c r="V41" s="763"/>
      <c r="W41" s="544">
        <v>46386</v>
      </c>
      <c r="X41" s="776"/>
      <c r="Y41" s="621" t="s">
        <v>191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73"/>
      <c r="J42" s="773"/>
      <c r="K42" s="301"/>
      <c r="L42" s="298">
        <v>4</v>
      </c>
      <c r="M42" s="432" t="s">
        <v>281</v>
      </c>
      <c r="N42" s="414" t="s">
        <v>303</v>
      </c>
      <c r="O42" s="700"/>
      <c r="P42" s="573">
        <v>0.05</v>
      </c>
      <c r="Q42" s="300">
        <f t="shared" si="2"/>
        <v>9795.9125000000004</v>
      </c>
      <c r="R42" s="767"/>
      <c r="S42" s="636" t="s">
        <v>304</v>
      </c>
      <c r="T42" s="659">
        <v>45900</v>
      </c>
      <c r="U42" s="669">
        <v>12847.693584694449</v>
      </c>
      <c r="V42" s="763"/>
      <c r="W42" s="544">
        <v>46078</v>
      </c>
      <c r="X42" s="776"/>
      <c r="Y42" s="624" t="s">
        <v>276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73"/>
      <c r="J43" s="773"/>
      <c r="K43" s="301"/>
      <c r="L43" s="298">
        <v>4</v>
      </c>
      <c r="M43" s="432" t="s">
        <v>281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63"/>
      <c r="W43" s="583"/>
      <c r="X43" s="776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73"/>
      <c r="J44" s="773"/>
      <c r="K44" s="301"/>
      <c r="L44" s="298">
        <v>4</v>
      </c>
      <c r="M44" s="432" t="s">
        <v>281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63"/>
      <c r="W44" s="583"/>
      <c r="X44" s="776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74"/>
      <c r="J45" s="774"/>
      <c r="K45" s="306"/>
      <c r="L45" s="302">
        <v>4</v>
      </c>
      <c r="M45" s="433" t="s">
        <v>281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64"/>
      <c r="W45" s="584"/>
      <c r="X45" s="777"/>
      <c r="Y45" s="488"/>
    </row>
    <row r="46" spans="1:26" ht="14.5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305</v>
      </c>
      <c r="D47" s="327" t="s">
        <v>306</v>
      </c>
      <c r="E47" s="283"/>
      <c r="F47" s="443"/>
      <c r="G47" s="284">
        <f>D176-G48</f>
        <v>34000</v>
      </c>
      <c r="H47" s="545">
        <v>45855</v>
      </c>
      <c r="I47" s="742">
        <f>SUM(G47:G54)</f>
        <v>49000</v>
      </c>
      <c r="J47" s="742">
        <f>F176</f>
        <v>54444.444444444445</v>
      </c>
      <c r="K47" s="285"/>
      <c r="L47" s="281">
        <v>5</v>
      </c>
      <c r="M47" s="428" t="s">
        <v>307</v>
      </c>
      <c r="N47" s="327" t="s">
        <v>308</v>
      </c>
      <c r="O47" s="555"/>
      <c r="P47" s="443"/>
      <c r="Q47" s="284">
        <v>8598.35</v>
      </c>
      <c r="R47" s="601" t="s">
        <v>241</v>
      </c>
      <c r="S47" s="638" t="s">
        <v>309</v>
      </c>
      <c r="T47" s="663">
        <f>T13</f>
        <v>45808</v>
      </c>
      <c r="U47" s="671">
        <v>9210.3317275571917</v>
      </c>
      <c r="V47" s="754">
        <f>J47-SUM(U47:U54)</f>
        <v>-1.4822027660557069E-3</v>
      </c>
      <c r="W47" s="545">
        <v>45855</v>
      </c>
      <c r="X47" s="745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310</v>
      </c>
      <c r="E48" s="457"/>
      <c r="F48" s="458"/>
      <c r="G48" s="315">
        <v>15000</v>
      </c>
      <c r="H48" s="541">
        <v>45804</v>
      </c>
      <c r="I48" s="743"/>
      <c r="J48" s="743"/>
      <c r="K48" s="288"/>
      <c r="L48" s="286">
        <v>5</v>
      </c>
      <c r="M48" s="434" t="s">
        <v>307</v>
      </c>
      <c r="N48" s="287" t="s">
        <v>311</v>
      </c>
      <c r="O48" s="563"/>
      <c r="P48" s="458"/>
      <c r="Q48" s="315">
        <v>13695</v>
      </c>
      <c r="R48" s="649" t="s">
        <v>312</v>
      </c>
      <c r="S48" s="631" t="s">
        <v>313</v>
      </c>
      <c r="T48" s="651">
        <v>45777</v>
      </c>
      <c r="U48" s="656">
        <v>18689.476542590968</v>
      </c>
      <c r="V48" s="755"/>
      <c r="W48" s="541">
        <v>45804</v>
      </c>
      <c r="X48" s="746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43"/>
      <c r="J49" s="743"/>
      <c r="K49" s="288"/>
      <c r="L49" s="286">
        <v>5</v>
      </c>
      <c r="M49" s="434" t="s">
        <v>307</v>
      </c>
      <c r="N49" s="287"/>
      <c r="O49" s="563"/>
      <c r="P49" s="458"/>
      <c r="Q49" s="315">
        <v>214.28</v>
      </c>
      <c r="R49" s="649"/>
      <c r="S49" s="631" t="s">
        <v>314</v>
      </c>
      <c r="T49" s="651">
        <v>45838</v>
      </c>
      <c r="U49" s="665">
        <v>3769.3927250146494</v>
      </c>
      <c r="V49" s="755"/>
      <c r="W49" s="678">
        <v>45867</v>
      </c>
      <c r="X49" s="746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43"/>
      <c r="J50" s="743"/>
      <c r="K50" s="288"/>
      <c r="L50" s="286">
        <v>5</v>
      </c>
      <c r="M50" s="434" t="s">
        <v>307</v>
      </c>
      <c r="N50" s="313" t="s">
        <v>315</v>
      </c>
      <c r="O50" s="556"/>
      <c r="P50" s="465"/>
      <c r="Q50" s="315">
        <v>11169</v>
      </c>
      <c r="R50" s="594"/>
      <c r="S50" s="631" t="s">
        <v>316</v>
      </c>
      <c r="T50" s="651">
        <v>45838</v>
      </c>
      <c r="U50" s="665">
        <v>21003.929223859523</v>
      </c>
      <c r="V50" s="755"/>
      <c r="W50" s="541">
        <v>45838</v>
      </c>
      <c r="X50" s="746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43"/>
      <c r="J51" s="743"/>
      <c r="K51" s="288"/>
      <c r="L51" s="311">
        <v>5</v>
      </c>
      <c r="M51" s="434" t="s">
        <v>307</v>
      </c>
      <c r="N51" s="313" t="s">
        <v>317</v>
      </c>
      <c r="O51" s="556"/>
      <c r="P51" s="465"/>
      <c r="Q51" s="315">
        <v>2250.5</v>
      </c>
      <c r="R51" s="594" t="s">
        <v>318</v>
      </c>
      <c r="S51" s="631" t="s">
        <v>319</v>
      </c>
      <c r="T51" s="651">
        <f t="shared" si="0"/>
        <v>45808</v>
      </c>
      <c r="U51" s="665">
        <v>2816.4684785880381</v>
      </c>
      <c r="V51" s="755"/>
      <c r="W51" s="541">
        <v>45799</v>
      </c>
      <c r="X51" s="746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43"/>
      <c r="J52" s="743"/>
      <c r="K52" s="288"/>
      <c r="L52" s="311">
        <v>5</v>
      </c>
      <c r="M52" s="434" t="s">
        <v>307</v>
      </c>
      <c r="N52" s="393" t="s">
        <v>320</v>
      </c>
      <c r="O52" s="557"/>
      <c r="P52" s="450"/>
      <c r="Q52" s="392">
        <v>3960</v>
      </c>
      <c r="R52" s="595" t="s">
        <v>321</v>
      </c>
      <c r="S52" s="632" t="s">
        <v>322</v>
      </c>
      <c r="T52" s="650">
        <v>45808</v>
      </c>
      <c r="U52" s="666">
        <v>4955.8832149338514</v>
      </c>
      <c r="V52" s="755"/>
      <c r="W52" s="542">
        <v>45835</v>
      </c>
      <c r="X52" s="746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43"/>
      <c r="J53" s="743"/>
      <c r="K53" s="288"/>
      <c r="L53" s="311">
        <v>5</v>
      </c>
      <c r="M53" s="434" t="s">
        <v>307</v>
      </c>
      <c r="N53" s="393"/>
      <c r="O53" s="557"/>
      <c r="P53" s="450"/>
      <c r="Q53" s="392">
        <v>-3960</v>
      </c>
      <c r="R53" s="595"/>
      <c r="S53" s="632" t="s">
        <v>323</v>
      </c>
      <c r="T53" s="650">
        <v>45838</v>
      </c>
      <c r="U53" s="674">
        <v>-6001.0359858970096</v>
      </c>
      <c r="V53" s="755"/>
      <c r="W53" s="542">
        <v>45838</v>
      </c>
      <c r="X53" s="746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44"/>
      <c r="J54" s="744"/>
      <c r="K54" s="289"/>
      <c r="L54" s="316">
        <v>5</v>
      </c>
      <c r="M54" s="430" t="s">
        <v>307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56"/>
      <c r="W54" s="580"/>
      <c r="X54" s="747"/>
      <c r="Y54" s="488"/>
    </row>
    <row r="55" spans="1:25" ht="14.5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249</v>
      </c>
      <c r="D56" s="295" t="s">
        <v>324</v>
      </c>
      <c r="E56" s="481"/>
      <c r="F56" s="463"/>
      <c r="G56" s="296">
        <f>D175</f>
        <v>673981.46086956526</v>
      </c>
      <c r="H56" s="544">
        <v>45866</v>
      </c>
      <c r="I56" s="772">
        <f>SUM(G56:G72)</f>
        <v>673981.46086956526</v>
      </c>
      <c r="J56" s="772">
        <f>F175</f>
        <v>748868.28985507251</v>
      </c>
      <c r="K56" s="297"/>
      <c r="L56" s="293">
        <v>6</v>
      </c>
      <c r="M56" s="437" t="s">
        <v>325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62">
        <f>J56-SUM(U56:U72)</f>
        <v>2.8626930434256792E-3</v>
      </c>
      <c r="W56" s="582"/>
      <c r="X56" s="775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73"/>
      <c r="J57" s="773"/>
      <c r="K57" s="301"/>
      <c r="L57" s="298">
        <v>6</v>
      </c>
      <c r="M57" s="435" t="s">
        <v>325</v>
      </c>
      <c r="N57" s="449" t="s">
        <v>326</v>
      </c>
      <c r="O57" s="561"/>
      <c r="P57" s="459"/>
      <c r="Q57" s="321">
        <v>170430.32</v>
      </c>
      <c r="R57" s="599" t="s">
        <v>327</v>
      </c>
      <c r="S57" s="636" t="s">
        <v>328</v>
      </c>
      <c r="T57" s="659">
        <v>45838</v>
      </c>
      <c r="U57" s="675">
        <v>436685.80156772095</v>
      </c>
      <c r="V57" s="763"/>
      <c r="W57" s="544">
        <v>45867</v>
      </c>
      <c r="X57" s="776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73"/>
      <c r="J58" s="773"/>
      <c r="K58" s="301"/>
      <c r="L58" s="298">
        <v>6</v>
      </c>
      <c r="M58" s="435" t="s">
        <v>325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63"/>
      <c r="W58" s="583"/>
      <c r="X58" s="776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73"/>
      <c r="J59" s="773"/>
      <c r="K59" s="301"/>
      <c r="L59" s="298">
        <v>6</v>
      </c>
      <c r="M59" s="435" t="s">
        <v>325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63"/>
      <c r="W59" s="583"/>
      <c r="X59" s="776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73"/>
      <c r="J60" s="773"/>
      <c r="K60" s="301"/>
      <c r="L60" s="298">
        <v>6</v>
      </c>
      <c r="M60" s="435" t="s">
        <v>325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63"/>
      <c r="W60" s="583"/>
      <c r="X60" s="776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73"/>
      <c r="J61" s="773"/>
      <c r="K61" s="301"/>
      <c r="L61" s="298">
        <v>6</v>
      </c>
      <c r="M61" s="435" t="s">
        <v>325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63"/>
      <c r="W61" s="583"/>
      <c r="X61" s="776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73"/>
      <c r="J62" s="773"/>
      <c r="K62" s="301"/>
      <c r="L62" s="298">
        <v>6</v>
      </c>
      <c r="M62" s="435" t="s">
        <v>325</v>
      </c>
      <c r="N62" s="414" t="s">
        <v>290</v>
      </c>
      <c r="O62" s="572">
        <v>121839</v>
      </c>
      <c r="P62" s="573">
        <v>0.1</v>
      </c>
      <c r="Q62" s="300">
        <f>$O$62*P62</f>
        <v>12183.900000000001</v>
      </c>
      <c r="R62" s="765" t="s">
        <v>291</v>
      </c>
      <c r="S62" s="636" t="s">
        <v>292</v>
      </c>
      <c r="T62" s="659">
        <f t="shared" si="0"/>
        <v>45808</v>
      </c>
      <c r="U62" s="669">
        <v>31674.725966042024</v>
      </c>
      <c r="V62" s="763"/>
      <c r="W62" s="544">
        <f>W94</f>
        <v>45792</v>
      </c>
      <c r="X62" s="776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73"/>
      <c r="J63" s="773"/>
      <c r="K63" s="301"/>
      <c r="L63" s="298">
        <v>6</v>
      </c>
      <c r="M63" s="436" t="s">
        <v>325</v>
      </c>
      <c r="N63" s="414" t="s">
        <v>100</v>
      </c>
      <c r="O63" s="561"/>
      <c r="P63" s="573">
        <v>0.15</v>
      </c>
      <c r="Q63" s="300">
        <f t="shared" ref="Q63:Q69" si="6">$O$62*P63</f>
        <v>18275.849999999999</v>
      </c>
      <c r="R63" s="766"/>
      <c r="S63" s="636" t="s">
        <v>293</v>
      </c>
      <c r="T63" s="659">
        <v>45838</v>
      </c>
      <c r="U63" s="675">
        <v>46370.893243102699</v>
      </c>
      <c r="V63" s="763"/>
      <c r="W63" s="544">
        <f t="shared" ref="W63" si="7">W95</f>
        <v>45834</v>
      </c>
      <c r="X63" s="776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73"/>
      <c r="J64" s="773"/>
      <c r="K64" s="301"/>
      <c r="L64" s="298">
        <v>6</v>
      </c>
      <c r="M64" s="436" t="s">
        <v>325</v>
      </c>
      <c r="N64" s="414" t="s">
        <v>294</v>
      </c>
      <c r="O64" s="561"/>
      <c r="P64" s="573">
        <v>0.2</v>
      </c>
      <c r="Q64" s="300">
        <f t="shared" si="6"/>
        <v>24367.800000000003</v>
      </c>
      <c r="R64" s="766"/>
      <c r="S64" s="636" t="s">
        <v>295</v>
      </c>
      <c r="T64" s="659">
        <v>45900</v>
      </c>
      <c r="U64" s="669">
        <v>62436.497657470296</v>
      </c>
      <c r="V64" s="763"/>
      <c r="W64" s="698">
        <v>45960</v>
      </c>
      <c r="X64" s="776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73"/>
      <c r="J65" s="773"/>
      <c r="K65" s="301"/>
      <c r="L65" s="298">
        <v>6</v>
      </c>
      <c r="M65" s="436" t="s">
        <v>325</v>
      </c>
      <c r="N65" s="414" t="s">
        <v>296</v>
      </c>
      <c r="O65" s="561"/>
      <c r="P65" s="573">
        <v>0.25</v>
      </c>
      <c r="Q65" s="300">
        <f t="shared" si="6"/>
        <v>30459.75</v>
      </c>
      <c r="R65" s="766"/>
      <c r="S65" s="636" t="s">
        <v>297</v>
      </c>
      <c r="T65" s="659">
        <v>45900</v>
      </c>
      <c r="U65" s="669">
        <v>78045.622071837846</v>
      </c>
      <c r="V65" s="763"/>
      <c r="W65" s="544">
        <v>46006</v>
      </c>
      <c r="X65" s="776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73"/>
      <c r="J66" s="773"/>
      <c r="K66" s="301"/>
      <c r="L66" s="298">
        <v>6</v>
      </c>
      <c r="M66" s="436" t="s">
        <v>325</v>
      </c>
      <c r="N66" s="414" t="s">
        <v>177</v>
      </c>
      <c r="O66" s="561"/>
      <c r="P66" s="573">
        <v>0.1</v>
      </c>
      <c r="Q66" s="300">
        <f t="shared" si="6"/>
        <v>12183.900000000001</v>
      </c>
      <c r="R66" s="766"/>
      <c r="S66" s="636" t="s">
        <v>298</v>
      </c>
      <c r="T66" s="659">
        <v>45900</v>
      </c>
      <c r="U66" s="669">
        <v>31218.248828735148</v>
      </c>
      <c r="V66" s="763"/>
      <c r="W66" s="544">
        <v>46009</v>
      </c>
      <c r="X66" s="776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73"/>
      <c r="J67" s="773"/>
      <c r="K67" s="301"/>
      <c r="L67" s="298">
        <v>6</v>
      </c>
      <c r="M67" s="436" t="s">
        <v>325</v>
      </c>
      <c r="N67" s="414" t="s">
        <v>299</v>
      </c>
      <c r="O67" s="561"/>
      <c r="P67" s="573">
        <v>0.1</v>
      </c>
      <c r="Q67" s="300">
        <f t="shared" si="6"/>
        <v>12183.900000000001</v>
      </c>
      <c r="R67" s="766"/>
      <c r="S67" s="640" t="s">
        <v>300</v>
      </c>
      <c r="T67" s="659">
        <v>45900</v>
      </c>
      <c r="U67" s="680">
        <v>31218.248828735148</v>
      </c>
      <c r="V67" s="763"/>
      <c r="W67" s="544">
        <v>46015</v>
      </c>
      <c r="X67" s="776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73"/>
      <c r="J68" s="773"/>
      <c r="K68" s="301"/>
      <c r="L68" s="298">
        <v>6</v>
      </c>
      <c r="M68" s="436" t="s">
        <v>325</v>
      </c>
      <c r="N68" s="414" t="s">
        <v>301</v>
      </c>
      <c r="O68" s="561"/>
      <c r="P68" s="573">
        <v>0.05</v>
      </c>
      <c r="Q68" s="300">
        <f t="shared" si="6"/>
        <v>6091.9500000000007</v>
      </c>
      <c r="R68" s="766"/>
      <c r="S68" s="640" t="s">
        <v>302</v>
      </c>
      <c r="T68" s="659">
        <v>45900</v>
      </c>
      <c r="U68" s="680">
        <v>15609.124414367574</v>
      </c>
      <c r="V68" s="763"/>
      <c r="W68" s="544">
        <v>46386</v>
      </c>
      <c r="X68" s="776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73"/>
      <c r="J69" s="773"/>
      <c r="K69" s="301"/>
      <c r="L69" s="298">
        <v>6</v>
      </c>
      <c r="M69" s="436" t="s">
        <v>325</v>
      </c>
      <c r="N69" s="414" t="s">
        <v>303</v>
      </c>
      <c r="O69" s="561"/>
      <c r="P69" s="573">
        <v>0.05</v>
      </c>
      <c r="Q69" s="300">
        <f t="shared" si="6"/>
        <v>6091.9500000000007</v>
      </c>
      <c r="R69" s="767"/>
      <c r="S69" s="640" t="s">
        <v>304</v>
      </c>
      <c r="T69" s="659">
        <v>45900</v>
      </c>
      <c r="U69" s="680">
        <v>15609.124414367574</v>
      </c>
      <c r="V69" s="763"/>
      <c r="W69" s="544">
        <v>46058</v>
      </c>
      <c r="X69" s="776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73"/>
      <c r="J70" s="773"/>
      <c r="K70" s="301"/>
      <c r="L70" s="298">
        <v>6</v>
      </c>
      <c r="M70" s="436" t="s">
        <v>325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63"/>
      <c r="W70" s="586"/>
      <c r="X70" s="776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73"/>
      <c r="J71" s="773"/>
      <c r="K71" s="301"/>
      <c r="L71" s="298">
        <v>6</v>
      </c>
      <c r="M71" s="436" t="s">
        <v>325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63"/>
      <c r="W71" s="586"/>
      <c r="X71" s="776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74"/>
      <c r="J72" s="774"/>
      <c r="K72" s="306"/>
      <c r="L72" s="302">
        <v>6</v>
      </c>
      <c r="M72" s="438" t="s">
        <v>325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64"/>
      <c r="W72" s="584"/>
      <c r="X72" s="777"/>
      <c r="Y72" s="488"/>
    </row>
    <row r="73" spans="1:25" ht="14.5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329</v>
      </c>
      <c r="D74" s="387"/>
      <c r="E74" s="468"/>
      <c r="F74" s="474"/>
      <c r="G74" s="388"/>
      <c r="H74" s="588"/>
      <c r="I74" s="742">
        <f>SUM(G74:G81)</f>
        <v>0</v>
      </c>
      <c r="J74" s="742">
        <v>0</v>
      </c>
      <c r="K74" s="285"/>
      <c r="L74" s="386">
        <v>7</v>
      </c>
      <c r="M74" s="309" t="s">
        <v>330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78">
        <f>J74-SUM(U74:U81)</f>
        <v>0</v>
      </c>
      <c r="W74" s="588"/>
      <c r="X74" s="745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43"/>
      <c r="J75" s="743"/>
      <c r="K75" s="288"/>
      <c r="L75" s="389">
        <v>7</v>
      </c>
      <c r="M75" s="390" t="s">
        <v>330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79"/>
      <c r="W75" s="579"/>
      <c r="X75" s="746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43"/>
      <c r="J76" s="743"/>
      <c r="K76" s="288"/>
      <c r="L76" s="389">
        <v>7</v>
      </c>
      <c r="M76" s="390" t="s">
        <v>330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79"/>
      <c r="W76" s="579"/>
      <c r="X76" s="746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43"/>
      <c r="J77" s="743"/>
      <c r="K77" s="288"/>
      <c r="L77" s="389">
        <v>7</v>
      </c>
      <c r="M77" s="390" t="s">
        <v>330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79"/>
      <c r="W77" s="579"/>
      <c r="X77" s="746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43"/>
      <c r="J78" s="743"/>
      <c r="K78" s="288"/>
      <c r="L78" s="389">
        <v>7</v>
      </c>
      <c r="M78" s="390" t="s">
        <v>330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79"/>
      <c r="W78" s="579"/>
      <c r="X78" s="746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43"/>
      <c r="J79" s="743"/>
      <c r="K79" s="288"/>
      <c r="L79" s="389">
        <v>7</v>
      </c>
      <c r="M79" s="390" t="s">
        <v>330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79"/>
      <c r="W79" s="579"/>
      <c r="X79" s="746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43"/>
      <c r="J80" s="743"/>
      <c r="K80" s="288"/>
      <c r="L80" s="389">
        <v>7</v>
      </c>
      <c r="M80" s="390" t="s">
        <v>330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79"/>
      <c r="W80" s="579"/>
      <c r="X80" s="746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44"/>
      <c r="J81" s="744"/>
      <c r="K81" s="289"/>
      <c r="L81" s="316">
        <v>7</v>
      </c>
      <c r="M81" s="337" t="s">
        <v>330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80"/>
      <c r="W81" s="580"/>
      <c r="X81" s="747"/>
      <c r="Y81" s="488"/>
    </row>
    <row r="82" spans="1:25" ht="14.5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331</v>
      </c>
      <c r="D83" s="333"/>
      <c r="E83" s="469"/>
      <c r="F83" s="422"/>
      <c r="G83" s="334"/>
      <c r="H83" s="582"/>
      <c r="I83" s="772">
        <f>D178</f>
        <v>0</v>
      </c>
      <c r="J83" s="772">
        <f>F178</f>
        <v>0</v>
      </c>
      <c r="K83" s="297"/>
      <c r="L83" s="332">
        <v>8</v>
      </c>
      <c r="M83" s="431" t="s">
        <v>332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94">
        <f>J83-SUM(U83:U91)</f>
        <v>0</v>
      </c>
      <c r="W83" s="582"/>
      <c r="X83" s="775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73"/>
      <c r="J84" s="773"/>
      <c r="K84" s="301"/>
      <c r="L84" s="322">
        <v>8</v>
      </c>
      <c r="M84" s="439" t="s">
        <v>332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95"/>
      <c r="W84" s="583"/>
      <c r="X84" s="776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73"/>
      <c r="J85" s="773"/>
      <c r="K85" s="301"/>
      <c r="L85" s="322">
        <v>8</v>
      </c>
      <c r="M85" s="439" t="s">
        <v>332</v>
      </c>
      <c r="N85" s="335" t="s">
        <v>333</v>
      </c>
      <c r="O85" s="421"/>
      <c r="P85" s="467"/>
      <c r="Q85" s="324">
        <v>64865</v>
      </c>
      <c r="R85" s="599" t="s">
        <v>334</v>
      </c>
      <c r="S85" s="636" t="s">
        <v>335</v>
      </c>
      <c r="T85" s="659">
        <v>45838</v>
      </c>
      <c r="U85" s="513"/>
      <c r="V85" s="795"/>
      <c r="W85" s="544">
        <v>45869</v>
      </c>
      <c r="X85" s="776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73"/>
      <c r="J86" s="773"/>
      <c r="K86" s="301"/>
      <c r="L86" s="322">
        <v>8</v>
      </c>
      <c r="M86" s="439" t="s">
        <v>332</v>
      </c>
      <c r="N86" s="335" t="s">
        <v>336</v>
      </c>
      <c r="O86" s="564"/>
      <c r="P86" s="467"/>
      <c r="Q86" s="324">
        <v>22639</v>
      </c>
      <c r="R86" s="599" t="s">
        <v>337</v>
      </c>
      <c r="S86" s="636" t="s">
        <v>338</v>
      </c>
      <c r="T86" s="659">
        <v>46022</v>
      </c>
      <c r="U86" s="513"/>
      <c r="V86" s="795"/>
      <c r="W86" s="544">
        <f>T86+30</f>
        <v>46052</v>
      </c>
      <c r="X86" s="776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73"/>
      <c r="J87" s="773"/>
      <c r="K87" s="301"/>
      <c r="L87" s="322">
        <v>8</v>
      </c>
      <c r="M87" s="439" t="s">
        <v>332</v>
      </c>
      <c r="N87" s="335" t="s">
        <v>339</v>
      </c>
      <c r="O87" s="564"/>
      <c r="P87" s="467"/>
      <c r="Q87" s="324">
        <v>14332</v>
      </c>
      <c r="R87" s="599" t="s">
        <v>340</v>
      </c>
      <c r="S87" s="636" t="s">
        <v>341</v>
      </c>
      <c r="T87" s="659">
        <v>45991</v>
      </c>
      <c r="U87" s="513"/>
      <c r="V87" s="795"/>
      <c r="W87" s="544">
        <v>46003</v>
      </c>
      <c r="X87" s="776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73"/>
      <c r="J88" s="773"/>
      <c r="K88" s="301"/>
      <c r="L88" s="322">
        <v>8</v>
      </c>
      <c r="M88" s="439" t="s">
        <v>332</v>
      </c>
      <c r="N88" s="335" t="s">
        <v>342</v>
      </c>
      <c r="O88" s="564"/>
      <c r="P88" s="467"/>
      <c r="Q88" s="324">
        <v>6000</v>
      </c>
      <c r="R88" s="599" t="s">
        <v>343</v>
      </c>
      <c r="S88" s="636" t="s">
        <v>344</v>
      </c>
      <c r="T88" s="659">
        <v>45991</v>
      </c>
      <c r="U88" s="513"/>
      <c r="V88" s="795"/>
      <c r="W88" s="698">
        <v>45995</v>
      </c>
      <c r="X88" s="776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73"/>
      <c r="J89" s="773"/>
      <c r="K89" s="301"/>
      <c r="L89" s="322">
        <v>8</v>
      </c>
      <c r="M89" s="439" t="s">
        <v>332</v>
      </c>
      <c r="N89" s="335"/>
      <c r="O89" s="564"/>
      <c r="P89" s="467"/>
      <c r="Q89" s="324"/>
      <c r="R89" s="599"/>
      <c r="S89" s="636"/>
      <c r="T89" s="529"/>
      <c r="U89" s="513"/>
      <c r="V89" s="795"/>
      <c r="W89" s="583"/>
      <c r="X89" s="776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73"/>
      <c r="J90" s="773"/>
      <c r="K90" s="301"/>
      <c r="L90" s="322">
        <v>8</v>
      </c>
      <c r="M90" s="439" t="s">
        <v>332</v>
      </c>
      <c r="N90" s="335" t="s">
        <v>345</v>
      </c>
      <c r="O90" s="564"/>
      <c r="P90" s="467"/>
      <c r="Q90" s="324">
        <v>44224</v>
      </c>
      <c r="R90" s="603" t="s">
        <v>346</v>
      </c>
      <c r="S90" s="640" t="s">
        <v>347</v>
      </c>
      <c r="T90" s="711">
        <v>46053</v>
      </c>
      <c r="U90" s="518"/>
      <c r="V90" s="795"/>
      <c r="W90" s="586">
        <v>46081</v>
      </c>
      <c r="X90" s="776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74"/>
      <c r="J91" s="774"/>
      <c r="K91" s="306"/>
      <c r="L91" s="302">
        <v>8</v>
      </c>
      <c r="M91" s="438" t="s">
        <v>332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96"/>
      <c r="W91" s="584"/>
      <c r="X91" s="777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348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349</v>
      </c>
      <c r="D93" s="327" t="s">
        <v>350</v>
      </c>
      <c r="E93" s="314"/>
      <c r="F93" s="443"/>
      <c r="G93" s="626">
        <f>D184</f>
        <v>127330</v>
      </c>
      <c r="H93" s="541">
        <v>45791</v>
      </c>
      <c r="I93" s="788">
        <f>SUM(G93:G105)</f>
        <v>411950</v>
      </c>
      <c r="J93" s="742">
        <f>F184+F185</f>
        <v>484647.0588235294</v>
      </c>
      <c r="K93" s="288"/>
      <c r="L93" s="311">
        <v>9</v>
      </c>
      <c r="M93" s="429" t="s">
        <v>351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54">
        <f>J93-SUM(U93:U105)</f>
        <v>-1.9043107749894261E-3</v>
      </c>
      <c r="W93" s="585"/>
      <c r="X93" s="791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352</v>
      </c>
      <c r="E94" s="314"/>
      <c r="F94" s="465"/>
      <c r="G94" s="626">
        <f>D185</f>
        <v>284620</v>
      </c>
      <c r="H94" s="541">
        <v>45792</v>
      </c>
      <c r="I94" s="789"/>
      <c r="J94" s="743"/>
      <c r="K94" s="288"/>
      <c r="L94" s="311">
        <v>9</v>
      </c>
      <c r="M94" s="429" t="s">
        <v>351</v>
      </c>
      <c r="N94" s="328" t="s">
        <v>290</v>
      </c>
      <c r="O94" s="575">
        <v>509000</v>
      </c>
      <c r="P94" s="576">
        <v>0.1</v>
      </c>
      <c r="Q94" s="315">
        <f>$O$94*P94</f>
        <v>50900</v>
      </c>
      <c r="R94" s="797" t="s">
        <v>291</v>
      </c>
      <c r="S94" s="631" t="s">
        <v>292</v>
      </c>
      <c r="T94" s="651">
        <f t="shared" si="8"/>
        <v>45808</v>
      </c>
      <c r="U94" s="665">
        <v>48464.705882352944</v>
      </c>
      <c r="V94" s="755"/>
      <c r="W94" s="541">
        <v>45792</v>
      </c>
      <c r="X94" s="792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89"/>
      <c r="J95" s="743"/>
      <c r="K95" s="288"/>
      <c r="L95" s="389">
        <v>9</v>
      </c>
      <c r="M95" s="507" t="s">
        <v>351</v>
      </c>
      <c r="N95" s="391" t="s">
        <v>100</v>
      </c>
      <c r="O95" s="557"/>
      <c r="P95" s="574">
        <v>0.15</v>
      </c>
      <c r="Q95" s="315">
        <f t="shared" ref="Q95:Q102" si="9">$O$94*P95</f>
        <v>76350</v>
      </c>
      <c r="R95" s="798"/>
      <c r="S95" s="632" t="s">
        <v>293</v>
      </c>
      <c r="T95" s="650">
        <v>45838</v>
      </c>
      <c r="U95" s="674">
        <v>72697.058823529413</v>
      </c>
      <c r="V95" s="755"/>
      <c r="W95" s="542">
        <v>45834</v>
      </c>
      <c r="X95" s="792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89"/>
      <c r="J96" s="743"/>
      <c r="K96" s="288"/>
      <c r="L96" s="389">
        <v>9</v>
      </c>
      <c r="M96" s="507" t="s">
        <v>351</v>
      </c>
      <c r="N96" s="391" t="s">
        <v>294</v>
      </c>
      <c r="O96" s="557"/>
      <c r="P96" s="574">
        <v>0.2</v>
      </c>
      <c r="Q96" s="315">
        <f t="shared" si="9"/>
        <v>101800</v>
      </c>
      <c r="R96" s="798"/>
      <c r="S96" s="632" t="s">
        <v>295</v>
      </c>
      <c r="T96" s="650">
        <v>45900</v>
      </c>
      <c r="U96" s="666">
        <v>96929.411764705888</v>
      </c>
      <c r="V96" s="755"/>
      <c r="W96" s="542">
        <v>45974</v>
      </c>
      <c r="X96" s="792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89"/>
      <c r="J97" s="743"/>
      <c r="K97" s="288"/>
      <c r="L97" s="389">
        <v>9</v>
      </c>
      <c r="M97" s="507" t="s">
        <v>351</v>
      </c>
      <c r="N97" s="391" t="s">
        <v>296</v>
      </c>
      <c r="O97" s="557"/>
      <c r="P97" s="574">
        <v>0.25</v>
      </c>
      <c r="Q97" s="315">
        <f t="shared" si="9"/>
        <v>127250</v>
      </c>
      <c r="R97" s="798"/>
      <c r="S97" s="632" t="s">
        <v>297</v>
      </c>
      <c r="T97" s="650">
        <v>45900</v>
      </c>
      <c r="U97" s="666">
        <v>121161.76470588235</v>
      </c>
      <c r="V97" s="755"/>
      <c r="W97" s="699">
        <v>46009</v>
      </c>
      <c r="X97" s="792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89"/>
      <c r="J98" s="743"/>
      <c r="K98" s="288"/>
      <c r="L98" s="389">
        <v>9</v>
      </c>
      <c r="M98" s="507" t="s">
        <v>351</v>
      </c>
      <c r="N98" s="391" t="s">
        <v>177</v>
      </c>
      <c r="O98" s="557"/>
      <c r="P98" s="574">
        <v>0.1</v>
      </c>
      <c r="Q98" s="315">
        <f t="shared" si="9"/>
        <v>50900</v>
      </c>
      <c r="R98" s="798"/>
      <c r="S98" s="632" t="s">
        <v>298</v>
      </c>
      <c r="T98" s="650">
        <v>45900</v>
      </c>
      <c r="U98" s="666">
        <v>48464.705882352944</v>
      </c>
      <c r="V98" s="755"/>
      <c r="W98" s="542">
        <f>'Project Plan'!K39+7</f>
        <v>46006</v>
      </c>
      <c r="X98" s="792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89"/>
      <c r="J99" s="743"/>
      <c r="K99" s="288"/>
      <c r="L99" s="389">
        <v>9</v>
      </c>
      <c r="M99" s="507" t="s">
        <v>351</v>
      </c>
      <c r="N99" s="391" t="s">
        <v>299</v>
      </c>
      <c r="O99" s="557"/>
      <c r="P99" s="574">
        <v>0.1</v>
      </c>
      <c r="Q99" s="315">
        <f>24212.45/1.15</f>
        <v>21054.304347826088</v>
      </c>
      <c r="R99" s="798"/>
      <c r="S99" s="632" t="s">
        <v>353</v>
      </c>
      <c r="T99" s="650">
        <v>45961</v>
      </c>
      <c r="U99" s="657">
        <v>48464.706834508281</v>
      </c>
      <c r="V99" s="755"/>
      <c r="W99" s="542">
        <v>46015</v>
      </c>
      <c r="X99" s="792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89"/>
      <c r="J100" s="743"/>
      <c r="K100" s="288"/>
      <c r="L100" s="389">
        <v>9</v>
      </c>
      <c r="M100" s="507" t="s">
        <v>351</v>
      </c>
      <c r="N100" s="391" t="s">
        <v>299</v>
      </c>
      <c r="O100" s="557"/>
      <c r="P100" s="574"/>
      <c r="Q100" s="315">
        <f>50900-Q99</f>
        <v>29845.695652173912</v>
      </c>
      <c r="R100" s="798"/>
      <c r="S100" s="632" t="s">
        <v>353</v>
      </c>
      <c r="T100" s="650">
        <v>45961</v>
      </c>
      <c r="U100" s="657">
        <v>0</v>
      </c>
      <c r="V100" s="755"/>
      <c r="W100" s="542">
        <v>46015</v>
      </c>
      <c r="X100" s="792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89"/>
      <c r="J101" s="743"/>
      <c r="K101" s="288"/>
      <c r="L101" s="389">
        <v>9</v>
      </c>
      <c r="M101" s="507" t="s">
        <v>351</v>
      </c>
      <c r="N101" s="391" t="s">
        <v>301</v>
      </c>
      <c r="O101" s="557"/>
      <c r="P101" s="574">
        <v>0.05</v>
      </c>
      <c r="Q101" s="315">
        <f t="shared" si="9"/>
        <v>25450</v>
      </c>
      <c r="R101" s="798"/>
      <c r="S101" s="632" t="s">
        <v>354</v>
      </c>
      <c r="T101" s="650">
        <v>45961</v>
      </c>
      <c r="U101" s="657">
        <v>24232.35341725414</v>
      </c>
      <c r="V101" s="755"/>
      <c r="W101" s="542">
        <v>46009</v>
      </c>
      <c r="X101" s="792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89"/>
      <c r="J102" s="743"/>
      <c r="K102" s="288"/>
      <c r="L102" s="389">
        <v>9</v>
      </c>
      <c r="M102" s="507" t="s">
        <v>351</v>
      </c>
      <c r="N102" s="391" t="s">
        <v>303</v>
      </c>
      <c r="O102" s="557"/>
      <c r="P102" s="574">
        <v>0.05</v>
      </c>
      <c r="Q102" s="315">
        <f t="shared" si="9"/>
        <v>25450</v>
      </c>
      <c r="R102" s="799"/>
      <c r="S102" s="632" t="s">
        <v>355</v>
      </c>
      <c r="T102" s="650">
        <v>45961</v>
      </c>
      <c r="U102" s="657">
        <v>24232.35341725414</v>
      </c>
      <c r="V102" s="755"/>
      <c r="W102" s="542">
        <v>46058</v>
      </c>
      <c r="X102" s="792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89"/>
      <c r="J103" s="743"/>
      <c r="K103" s="288"/>
      <c r="L103" s="389">
        <v>9</v>
      </c>
      <c r="M103" s="507" t="s">
        <v>351</v>
      </c>
      <c r="N103" s="391" t="s">
        <v>356</v>
      </c>
      <c r="O103" s="557"/>
      <c r="P103" s="450"/>
      <c r="Q103" s="392">
        <v>-0.01</v>
      </c>
      <c r="R103" s="595"/>
      <c r="S103" s="632" t="s">
        <v>353</v>
      </c>
      <c r="T103" s="650">
        <v>45961</v>
      </c>
      <c r="U103" s="657">
        <v>0</v>
      </c>
      <c r="V103" s="755"/>
      <c r="W103" s="542">
        <f>W102</f>
        <v>46058</v>
      </c>
      <c r="X103" s="792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89"/>
      <c r="J104" s="743"/>
      <c r="K104" s="288"/>
      <c r="L104" s="389">
        <v>9</v>
      </c>
      <c r="M104" s="507" t="s">
        <v>351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55"/>
      <c r="W104" s="579"/>
      <c r="X104" s="792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90"/>
      <c r="J105" s="744"/>
      <c r="K105" s="364"/>
      <c r="L105" s="316">
        <v>9</v>
      </c>
      <c r="M105" s="447" t="s">
        <v>351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56"/>
      <c r="W105" s="580"/>
      <c r="X105" s="793"/>
      <c r="Y105" s="488"/>
    </row>
    <row r="106" spans="1:25" ht="14.5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357</v>
      </c>
      <c r="D107" s="270" t="s">
        <v>257</v>
      </c>
      <c r="E107" s="271"/>
      <c r="F107" s="476"/>
      <c r="G107" s="338">
        <f>D188</f>
        <v>8500</v>
      </c>
      <c r="H107" s="547">
        <v>45867</v>
      </c>
      <c r="I107" s="748">
        <f>SUM(G107:G127)</f>
        <v>106291.66666666667</v>
      </c>
      <c r="J107" s="748">
        <f>F188+F191+F192+F190</f>
        <v>125049.01960784313</v>
      </c>
      <c r="K107" s="339"/>
      <c r="L107" s="269">
        <v>10</v>
      </c>
      <c r="M107" s="440" t="s">
        <v>358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59">
        <f>J107-SUM(U107:U127)</f>
        <v>-4.1726943454705179E-3</v>
      </c>
      <c r="W107" s="589"/>
      <c r="X107" s="752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258</v>
      </c>
      <c r="E108" s="342"/>
      <c r="F108" s="477"/>
      <c r="G108" s="343">
        <f>D192</f>
        <v>31625</v>
      </c>
      <c r="H108" s="547">
        <v>45868</v>
      </c>
      <c r="I108" s="757"/>
      <c r="J108" s="757"/>
      <c r="K108" s="272"/>
      <c r="L108" s="340">
        <v>10</v>
      </c>
      <c r="M108" s="441" t="s">
        <v>358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60"/>
      <c r="W108" s="590"/>
      <c r="X108" s="758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57"/>
      <c r="J109" s="757"/>
      <c r="K109" s="272"/>
      <c r="L109" s="340">
        <v>10</v>
      </c>
      <c r="M109" s="441" t="s">
        <v>358</v>
      </c>
      <c r="N109" s="341" t="s">
        <v>359</v>
      </c>
      <c r="O109" s="570"/>
      <c r="P109" s="477"/>
      <c r="Q109" s="343">
        <v>32400</v>
      </c>
      <c r="R109" s="608" t="s">
        <v>360</v>
      </c>
      <c r="S109" s="644" t="s">
        <v>361</v>
      </c>
      <c r="T109" s="673">
        <v>45838</v>
      </c>
      <c r="U109" s="676">
        <v>25852.400684623008</v>
      </c>
      <c r="V109" s="760"/>
      <c r="W109" s="547">
        <v>45869</v>
      </c>
      <c r="X109" s="758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57"/>
      <c r="J110" s="757"/>
      <c r="K110" s="272"/>
      <c r="L110" s="340">
        <v>10</v>
      </c>
      <c r="M110" s="441" t="s">
        <v>358</v>
      </c>
      <c r="N110" s="341" t="s">
        <v>362</v>
      </c>
      <c r="O110" s="570"/>
      <c r="P110" s="477"/>
      <c r="Q110" s="343">
        <v>27900</v>
      </c>
      <c r="R110" s="608"/>
      <c r="S110" s="644" t="s">
        <v>363</v>
      </c>
      <c r="T110" s="673">
        <v>45900</v>
      </c>
      <c r="U110" s="681">
        <v>26751.017076052933</v>
      </c>
      <c r="V110" s="760"/>
      <c r="W110" s="547">
        <v>45911</v>
      </c>
      <c r="X110" s="758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57"/>
      <c r="J111" s="757"/>
      <c r="K111" s="272"/>
      <c r="L111" s="340">
        <v>10</v>
      </c>
      <c r="M111" s="441" t="s">
        <v>358</v>
      </c>
      <c r="N111" s="341" t="s">
        <v>364</v>
      </c>
      <c r="O111" s="570"/>
      <c r="P111" s="477"/>
      <c r="Q111" s="343">
        <v>22800</v>
      </c>
      <c r="R111" s="608" t="s">
        <v>365</v>
      </c>
      <c r="S111" s="644" t="s">
        <v>366</v>
      </c>
      <c r="T111" s="673">
        <v>45930</v>
      </c>
      <c r="U111" s="689">
        <v>17311.850295253818</v>
      </c>
      <c r="V111" s="760"/>
      <c r="W111" s="547">
        <v>45967</v>
      </c>
      <c r="X111" s="758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57"/>
      <c r="J112" s="757"/>
      <c r="K112" s="272"/>
      <c r="L112" s="340">
        <v>10</v>
      </c>
      <c r="M112" s="441" t="s">
        <v>358</v>
      </c>
      <c r="N112" s="341" t="s">
        <v>367</v>
      </c>
      <c r="O112" s="570"/>
      <c r="P112" s="477"/>
      <c r="Q112" s="343">
        <v>27900</v>
      </c>
      <c r="R112" s="608"/>
      <c r="S112" s="644" t="s">
        <v>368</v>
      </c>
      <c r="T112" s="683">
        <v>45930</v>
      </c>
      <c r="U112" s="689">
        <v>14421.769440244807</v>
      </c>
      <c r="V112" s="760"/>
      <c r="W112" s="547">
        <v>45939</v>
      </c>
      <c r="X112" s="758"/>
      <c r="Y112" s="488"/>
    </row>
    <row r="113" spans="1:25" ht="14.25" customHeight="1">
      <c r="B113" s="340">
        <v>10</v>
      </c>
      <c r="C113" s="341"/>
      <c r="D113" s="341" t="s">
        <v>369</v>
      </c>
      <c r="E113" s="342"/>
      <c r="F113" s="477"/>
      <c r="G113" s="343">
        <f>D191</f>
        <v>60000</v>
      </c>
      <c r="H113" s="590">
        <v>45931</v>
      </c>
      <c r="I113" s="757"/>
      <c r="J113" s="757"/>
      <c r="K113" s="272"/>
      <c r="L113" s="340">
        <v>10</v>
      </c>
      <c r="M113" s="441" t="s">
        <v>358</v>
      </c>
      <c r="N113" s="341" t="s">
        <v>370</v>
      </c>
      <c r="O113" s="570"/>
      <c r="P113" s="477"/>
      <c r="Q113" s="343">
        <v>27900</v>
      </c>
      <c r="R113" s="608"/>
      <c r="S113" s="644" t="s">
        <v>371</v>
      </c>
      <c r="T113" s="673">
        <v>45961</v>
      </c>
      <c r="U113" s="689">
        <v>0</v>
      </c>
      <c r="V113" s="760"/>
      <c r="W113" s="547">
        <v>45967</v>
      </c>
      <c r="X113" s="758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57"/>
      <c r="J114" s="757"/>
      <c r="K114" s="272"/>
      <c r="L114" s="340">
        <v>10</v>
      </c>
      <c r="M114" s="441" t="s">
        <v>358</v>
      </c>
      <c r="N114" s="341" t="s">
        <v>372</v>
      </c>
      <c r="O114" s="570"/>
      <c r="P114" s="477"/>
      <c r="Q114" s="343">
        <v>27900</v>
      </c>
      <c r="R114" s="608"/>
      <c r="S114" s="644" t="s">
        <v>373</v>
      </c>
      <c r="T114" s="673">
        <v>45991</v>
      </c>
      <c r="U114" s="689">
        <v>0</v>
      </c>
      <c r="V114" s="760"/>
      <c r="W114" s="547">
        <v>46003</v>
      </c>
      <c r="X114" s="758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57"/>
      <c r="J115" s="757"/>
      <c r="K115" s="272"/>
      <c r="L115" s="340">
        <v>10</v>
      </c>
      <c r="M115" s="441" t="s">
        <v>358</v>
      </c>
      <c r="N115" s="341" t="s">
        <v>374</v>
      </c>
      <c r="O115" s="570"/>
      <c r="P115" s="477"/>
      <c r="Q115" s="343">
        <v>6750</v>
      </c>
      <c r="R115" s="608"/>
      <c r="S115" s="644" t="s">
        <v>375</v>
      </c>
      <c r="T115" s="673">
        <v>46022</v>
      </c>
      <c r="U115" s="689">
        <v>0</v>
      </c>
      <c r="V115" s="760"/>
      <c r="W115" s="547">
        <v>46051</v>
      </c>
      <c r="X115" s="758"/>
      <c r="Y115" s="488"/>
    </row>
    <row r="116" spans="1:25" ht="14.25" customHeight="1">
      <c r="B116" s="340">
        <v>10</v>
      </c>
      <c r="C116" s="341"/>
      <c r="D116" s="341" t="s">
        <v>259</v>
      </c>
      <c r="E116" s="342"/>
      <c r="F116" s="477"/>
      <c r="G116" s="343">
        <f>D190</f>
        <v>6166.6666666666661</v>
      </c>
      <c r="H116" s="590">
        <v>45932</v>
      </c>
      <c r="I116" s="757"/>
      <c r="J116" s="757"/>
      <c r="K116" s="272"/>
      <c r="L116" s="340">
        <v>10</v>
      </c>
      <c r="M116" s="441" t="s">
        <v>358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60"/>
      <c r="W116" s="590"/>
      <c r="X116" s="758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57"/>
      <c r="J117" s="757"/>
      <c r="K117" s="272"/>
      <c r="L117" s="340">
        <v>10</v>
      </c>
      <c r="M117" s="441" t="s">
        <v>358</v>
      </c>
      <c r="N117" s="341" t="s">
        <v>290</v>
      </c>
      <c r="O117" s="625">
        <v>44320</v>
      </c>
      <c r="P117" s="577">
        <v>0.1</v>
      </c>
      <c r="Q117" s="343">
        <f>$O$117*P117</f>
        <v>4432</v>
      </c>
      <c r="R117" s="768" t="s">
        <v>291</v>
      </c>
      <c r="S117" s="645" t="s">
        <v>292</v>
      </c>
      <c r="T117" s="660">
        <f t="shared" si="8"/>
        <v>45808</v>
      </c>
      <c r="U117" s="672">
        <v>3372.7924470664602</v>
      </c>
      <c r="V117" s="760"/>
      <c r="W117" s="548">
        <f>W94</f>
        <v>45792</v>
      </c>
      <c r="X117" s="758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57"/>
      <c r="J118" s="757"/>
      <c r="K118" s="272"/>
      <c r="L118" s="340">
        <v>10</v>
      </c>
      <c r="M118" s="441" t="s">
        <v>358</v>
      </c>
      <c r="N118" s="341" t="s">
        <v>100</v>
      </c>
      <c r="O118" s="570"/>
      <c r="P118" s="577">
        <v>0.15</v>
      </c>
      <c r="Q118" s="343">
        <f t="shared" ref="Q118:Q124" si="12">$O$117*P118</f>
        <v>6648</v>
      </c>
      <c r="R118" s="769"/>
      <c r="S118" s="645" t="s">
        <v>293</v>
      </c>
      <c r="T118" s="660">
        <v>45838</v>
      </c>
      <c r="U118" s="677">
        <v>5468.08962195598</v>
      </c>
      <c r="V118" s="760"/>
      <c r="W118" s="548">
        <f>W95</f>
        <v>45834</v>
      </c>
      <c r="X118" s="758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57"/>
      <c r="J119" s="757"/>
      <c r="K119" s="272"/>
      <c r="L119" s="340">
        <v>10</v>
      </c>
      <c r="M119" s="441" t="s">
        <v>358</v>
      </c>
      <c r="N119" s="341" t="s">
        <v>294</v>
      </c>
      <c r="O119" s="570"/>
      <c r="P119" s="577">
        <v>0.2</v>
      </c>
      <c r="Q119" s="343">
        <f t="shared" si="12"/>
        <v>8864</v>
      </c>
      <c r="R119" s="769"/>
      <c r="S119" s="645" t="s">
        <v>295</v>
      </c>
      <c r="T119" s="660">
        <v>45900</v>
      </c>
      <c r="U119" s="672">
        <v>8498.9611240907961</v>
      </c>
      <c r="V119" s="760"/>
      <c r="W119" s="548">
        <f>W96</f>
        <v>45974</v>
      </c>
      <c r="X119" s="758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57"/>
      <c r="J120" s="757"/>
      <c r="K120" s="272"/>
      <c r="L120" s="340">
        <v>10</v>
      </c>
      <c r="M120" s="441" t="s">
        <v>358</v>
      </c>
      <c r="N120" s="341" t="s">
        <v>296</v>
      </c>
      <c r="O120" s="570"/>
      <c r="P120" s="577">
        <v>0.25</v>
      </c>
      <c r="Q120" s="343">
        <f t="shared" si="12"/>
        <v>11080</v>
      </c>
      <c r="R120" s="769"/>
      <c r="S120" s="645" t="s">
        <v>297</v>
      </c>
      <c r="T120" s="660">
        <v>45900</v>
      </c>
      <c r="U120" s="672">
        <v>10623.701405113494</v>
      </c>
      <c r="V120" s="760"/>
      <c r="W120" s="548">
        <v>46006</v>
      </c>
      <c r="X120" s="758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57"/>
      <c r="J121" s="757"/>
      <c r="K121" s="272"/>
      <c r="L121" s="340">
        <v>10</v>
      </c>
      <c r="M121" s="441" t="s">
        <v>358</v>
      </c>
      <c r="N121" s="341" t="s">
        <v>177</v>
      </c>
      <c r="O121" s="570"/>
      <c r="P121" s="577">
        <v>0.1</v>
      </c>
      <c r="Q121" s="343">
        <f t="shared" si="12"/>
        <v>4432</v>
      </c>
      <c r="R121" s="769"/>
      <c r="S121" s="645" t="s">
        <v>298</v>
      </c>
      <c r="T121" s="660">
        <v>45900</v>
      </c>
      <c r="U121" s="672">
        <v>4249.4805620453981</v>
      </c>
      <c r="V121" s="760"/>
      <c r="W121" s="548">
        <v>46009</v>
      </c>
      <c r="X121" s="758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57"/>
      <c r="J122" s="757"/>
      <c r="K122" s="272"/>
      <c r="L122" s="340">
        <v>10</v>
      </c>
      <c r="M122" s="441" t="s">
        <v>358</v>
      </c>
      <c r="N122" s="341" t="s">
        <v>299</v>
      </c>
      <c r="O122" s="570"/>
      <c r="P122" s="577">
        <v>0.1</v>
      </c>
      <c r="Q122" s="343">
        <f t="shared" si="12"/>
        <v>4432</v>
      </c>
      <c r="R122" s="769"/>
      <c r="S122" s="645" t="s">
        <v>300</v>
      </c>
      <c r="T122" s="660">
        <v>45900</v>
      </c>
      <c r="U122" s="672">
        <v>4249.4805620453981</v>
      </c>
      <c r="V122" s="760"/>
      <c r="W122" s="548">
        <v>46015</v>
      </c>
      <c r="X122" s="758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57"/>
      <c r="J123" s="757"/>
      <c r="K123" s="272"/>
      <c r="L123" s="340">
        <v>10</v>
      </c>
      <c r="M123" s="441" t="s">
        <v>358</v>
      </c>
      <c r="N123" s="341" t="s">
        <v>301</v>
      </c>
      <c r="O123" s="570"/>
      <c r="P123" s="577">
        <v>0.05</v>
      </c>
      <c r="Q123" s="343">
        <f t="shared" si="12"/>
        <v>2216</v>
      </c>
      <c r="R123" s="769"/>
      <c r="S123" s="645" t="s">
        <v>302</v>
      </c>
      <c r="T123" s="660">
        <v>45900</v>
      </c>
      <c r="U123" s="672">
        <v>2124.740281022699</v>
      </c>
      <c r="V123" s="760"/>
      <c r="W123" s="548">
        <v>46015</v>
      </c>
      <c r="X123" s="758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57"/>
      <c r="J124" s="757"/>
      <c r="K124" s="272"/>
      <c r="L124" s="340">
        <v>10</v>
      </c>
      <c r="M124" s="441" t="s">
        <v>358</v>
      </c>
      <c r="N124" s="341" t="s">
        <v>303</v>
      </c>
      <c r="O124" s="570"/>
      <c r="P124" s="577">
        <v>0.05</v>
      </c>
      <c r="Q124" s="343">
        <f t="shared" si="12"/>
        <v>2216</v>
      </c>
      <c r="R124" s="770"/>
      <c r="S124" s="645" t="s">
        <v>304</v>
      </c>
      <c r="T124" s="660">
        <v>45900</v>
      </c>
      <c r="U124" s="672">
        <v>2124.740281022699</v>
      </c>
      <c r="V124" s="760"/>
      <c r="W124" s="548">
        <f>W102</f>
        <v>46058</v>
      </c>
      <c r="X124" s="758"/>
      <c r="Y124" s="488"/>
    </row>
    <row r="125" spans="1:25" ht="14.25" customHeight="1">
      <c r="B125" s="340">
        <v>10</v>
      </c>
      <c r="C125" s="341"/>
      <c r="D125" s="341"/>
      <c r="E125" s="342"/>
      <c r="F125" s="477"/>
      <c r="G125" s="343"/>
      <c r="H125" s="591"/>
      <c r="I125" s="757"/>
      <c r="J125" s="757"/>
      <c r="K125" s="272"/>
      <c r="L125" s="340">
        <v>10</v>
      </c>
      <c r="M125" s="441" t="s">
        <v>358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60"/>
      <c r="W125" s="591"/>
      <c r="X125" s="758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57"/>
      <c r="J126" s="757"/>
      <c r="K126" s="272"/>
      <c r="L126" s="340">
        <v>10</v>
      </c>
      <c r="M126" s="441" t="s">
        <v>358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60"/>
      <c r="W126" s="591"/>
      <c r="X126" s="758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49"/>
      <c r="J127" s="749"/>
      <c r="K127" s="275"/>
      <c r="L127" s="273">
        <v>10</v>
      </c>
      <c r="M127" s="442" t="s">
        <v>358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61"/>
      <c r="W127" s="592"/>
      <c r="X127" s="753"/>
      <c r="Y127" s="488"/>
    </row>
    <row r="128" spans="1:25" ht="14.5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376</v>
      </c>
      <c r="D129" s="351" t="s">
        <v>377</v>
      </c>
      <c r="E129" s="283"/>
      <c r="F129" s="443"/>
      <c r="G129" s="284">
        <v>12733</v>
      </c>
      <c r="H129" s="585">
        <v>45930</v>
      </c>
      <c r="I129" s="742">
        <f>SUM(G129:G133)</f>
        <v>125199</v>
      </c>
      <c r="J129" s="742">
        <f>F187</f>
        <v>147292.9411764706</v>
      </c>
      <c r="K129" s="285"/>
      <c r="L129" s="281">
        <v>11</v>
      </c>
      <c r="M129" s="351" t="s">
        <v>378</v>
      </c>
      <c r="N129" s="351" t="s">
        <v>377</v>
      </c>
      <c r="O129" s="283"/>
      <c r="P129" s="443"/>
      <c r="Q129" s="284">
        <v>13977.96</v>
      </c>
      <c r="R129" s="601"/>
      <c r="S129" s="638" t="s">
        <v>379</v>
      </c>
      <c r="T129" s="663">
        <v>45869</v>
      </c>
      <c r="U129" s="671">
        <v>56993.364120250895</v>
      </c>
      <c r="V129" s="754">
        <f>J129-SUM(U129:U133)</f>
        <v>1.2806575396098197E-3</v>
      </c>
      <c r="W129" s="585">
        <v>46058</v>
      </c>
      <c r="X129" s="745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380</v>
      </c>
      <c r="E130" s="314"/>
      <c r="F130" s="465"/>
      <c r="G130" s="315">
        <v>25466</v>
      </c>
      <c r="H130" s="585">
        <v>45931</v>
      </c>
      <c r="I130" s="743"/>
      <c r="J130" s="743"/>
      <c r="K130" s="288"/>
      <c r="L130" s="311">
        <v>11</v>
      </c>
      <c r="M130" s="395" t="s">
        <v>378</v>
      </c>
      <c r="N130" s="313" t="s">
        <v>380</v>
      </c>
      <c r="O130" s="314"/>
      <c r="P130" s="465"/>
      <c r="Q130" s="315">
        <v>7811.75</v>
      </c>
      <c r="R130" s="594" t="s">
        <v>381</v>
      </c>
      <c r="S130" s="631" t="s">
        <v>382</v>
      </c>
      <c r="T130" s="654">
        <v>45777</v>
      </c>
      <c r="U130" s="656">
        <v>34198.965165004767</v>
      </c>
      <c r="V130" s="755"/>
      <c r="W130" s="655">
        <v>45757</v>
      </c>
      <c r="X130" s="746"/>
      <c r="Y130" s="488"/>
    </row>
    <row r="131" spans="1:25" ht="15" customHeight="1">
      <c r="B131" s="311">
        <v>11</v>
      </c>
      <c r="C131" s="313"/>
      <c r="D131" s="313" t="s">
        <v>383</v>
      </c>
      <c r="E131" s="314"/>
      <c r="F131" s="465"/>
      <c r="G131" s="315">
        <v>80000</v>
      </c>
      <c r="H131" s="585">
        <v>45932</v>
      </c>
      <c r="I131" s="743"/>
      <c r="J131" s="743"/>
      <c r="K131" s="288"/>
      <c r="L131" s="311">
        <v>11</v>
      </c>
      <c r="M131" s="395" t="s">
        <v>378</v>
      </c>
      <c r="N131" s="313" t="s">
        <v>384</v>
      </c>
      <c r="O131" s="314"/>
      <c r="P131" s="465"/>
      <c r="Q131" s="315">
        <v>79700</v>
      </c>
      <c r="R131" s="594" t="s">
        <v>385</v>
      </c>
      <c r="S131" s="631"/>
      <c r="T131" s="524">
        <v>46081</v>
      </c>
      <c r="U131" s="508">
        <v>0</v>
      </c>
      <c r="V131" s="755"/>
      <c r="W131" s="578">
        <f>T131</f>
        <v>46081</v>
      </c>
      <c r="X131" s="746"/>
      <c r="Y131" s="488"/>
    </row>
    <row r="132" spans="1:25" ht="15" customHeight="1">
      <c r="B132" s="311">
        <v>11</v>
      </c>
      <c r="C132" s="393"/>
      <c r="D132" s="393" t="s">
        <v>386</v>
      </c>
      <c r="E132" s="412"/>
      <c r="F132" s="450"/>
      <c r="G132" s="392">
        <v>7000</v>
      </c>
      <c r="H132" s="585">
        <v>45933</v>
      </c>
      <c r="I132" s="743"/>
      <c r="J132" s="743"/>
      <c r="K132" s="288"/>
      <c r="L132" s="311">
        <v>11</v>
      </c>
      <c r="M132" s="395" t="s">
        <v>378</v>
      </c>
      <c r="N132" s="393" t="s">
        <v>386</v>
      </c>
      <c r="O132" s="412"/>
      <c r="P132" s="450"/>
      <c r="Q132" s="392">
        <v>5100</v>
      </c>
      <c r="R132" s="595" t="s">
        <v>387</v>
      </c>
      <c r="S132" s="632" t="s">
        <v>388</v>
      </c>
      <c r="T132" s="650">
        <v>45777</v>
      </c>
      <c r="U132" s="657">
        <v>22327.227873590979</v>
      </c>
      <c r="V132" s="755"/>
      <c r="W132" s="542">
        <v>45834</v>
      </c>
      <c r="X132" s="746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44"/>
      <c r="J133" s="744"/>
      <c r="K133" s="289"/>
      <c r="L133" s="316">
        <v>11</v>
      </c>
      <c r="M133" s="425" t="s">
        <v>378</v>
      </c>
      <c r="N133" s="317" t="s">
        <v>389</v>
      </c>
      <c r="O133" s="558"/>
      <c r="P133" s="466"/>
      <c r="Q133" s="330">
        <v>8000</v>
      </c>
      <c r="R133" s="596"/>
      <c r="S133" s="633" t="s">
        <v>390</v>
      </c>
      <c r="T133" s="705">
        <v>46022</v>
      </c>
      <c r="U133" s="708">
        <v>33773.382736966421</v>
      </c>
      <c r="V133" s="756"/>
      <c r="W133" s="712">
        <f>T133+30</f>
        <v>46052</v>
      </c>
      <c r="X133" s="747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391</v>
      </c>
      <c r="D135" s="270" t="s">
        <v>392</v>
      </c>
      <c r="E135" s="271"/>
      <c r="F135" s="476"/>
      <c r="G135" s="338">
        <v>66493.463377598528</v>
      </c>
      <c r="H135" s="585">
        <v>45936</v>
      </c>
      <c r="I135" s="748">
        <f>SUM(G135:G136)</f>
        <v>88657.951170131375</v>
      </c>
      <c r="J135" s="748">
        <v>0</v>
      </c>
      <c r="K135" s="750"/>
      <c r="L135" s="269">
        <v>12</v>
      </c>
      <c r="M135" s="270" t="s">
        <v>393</v>
      </c>
      <c r="N135" s="270" t="s">
        <v>392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52">
        <f>SUM(Q135:Q136)</f>
        <v>0</v>
      </c>
      <c r="Y135" s="488"/>
    </row>
    <row r="136" spans="1:25" ht="15" customHeight="1" thickBot="1">
      <c r="B136" s="273">
        <v>12</v>
      </c>
      <c r="C136" s="344" t="s">
        <v>391</v>
      </c>
      <c r="D136" s="344" t="s">
        <v>394</v>
      </c>
      <c r="E136" s="345"/>
      <c r="F136" s="478"/>
      <c r="G136" s="274">
        <v>22164.487792532847</v>
      </c>
      <c r="H136" s="585">
        <v>45937</v>
      </c>
      <c r="I136" s="749"/>
      <c r="J136" s="749"/>
      <c r="K136" s="751"/>
      <c r="L136" s="273">
        <v>12</v>
      </c>
      <c r="M136" s="344" t="s">
        <v>393</v>
      </c>
      <c r="N136" s="344" t="s">
        <v>394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53"/>
      <c r="Y136" s="488"/>
    </row>
    <row r="137" spans="1:25" ht="14.5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395</v>
      </c>
      <c r="D138" s="351" t="s">
        <v>396</v>
      </c>
      <c r="E138" s="283"/>
      <c r="F138" s="443"/>
      <c r="G138" s="284">
        <v>42414.838094202903</v>
      </c>
      <c r="H138" s="585">
        <v>45939</v>
      </c>
      <c r="I138" s="742">
        <f>SUM(G138:G142)</f>
        <v>166246.0038084886</v>
      </c>
      <c r="J138" s="742">
        <f>F186</f>
        <v>188915.91341873704</v>
      </c>
      <c r="K138" s="285"/>
      <c r="L138" s="281">
        <v>13</v>
      </c>
      <c r="M138" s="351" t="s">
        <v>397</v>
      </c>
      <c r="N138" s="351" t="s">
        <v>398</v>
      </c>
      <c r="O138" s="555"/>
      <c r="P138" s="443"/>
      <c r="Q138" s="284">
        <f>'Project Plan'!$E$6*1.25%</f>
        <v>59518.412500000006</v>
      </c>
      <c r="R138" s="601"/>
      <c r="S138" s="638"/>
      <c r="T138" s="531">
        <v>46081</v>
      </c>
      <c r="U138" s="516">
        <f t="shared" ref="U138:U143" si="14">(Q138/$X$138*$J$138)</f>
        <v>188915.91341873704</v>
      </c>
      <c r="V138" s="754">
        <f>J138-SUM(U138:U143)</f>
        <v>0</v>
      </c>
      <c r="W138" s="585">
        <v>46080</v>
      </c>
      <c r="X138" s="745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399</v>
      </c>
      <c r="E139" s="314"/>
      <c r="F139" s="465"/>
      <c r="G139" s="315">
        <v>28571.428571428572</v>
      </c>
      <c r="H139" s="585">
        <v>45940</v>
      </c>
      <c r="I139" s="743"/>
      <c r="J139" s="743"/>
      <c r="K139" s="288"/>
      <c r="L139" s="311">
        <v>13</v>
      </c>
      <c r="M139" s="395" t="s">
        <v>397</v>
      </c>
      <c r="N139" s="313" t="s">
        <v>399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55"/>
      <c r="W139" s="578"/>
      <c r="X139" s="746"/>
      <c r="Y139" s="488"/>
    </row>
    <row r="140" spans="1:25" ht="15.75" customHeight="1">
      <c r="B140" s="311">
        <v>13</v>
      </c>
      <c r="C140" s="313"/>
      <c r="D140" s="313" t="s">
        <v>400</v>
      </c>
      <c r="E140" s="314"/>
      <c r="F140" s="465"/>
      <c r="G140" s="315">
        <v>34000</v>
      </c>
      <c r="H140" s="585">
        <v>45941</v>
      </c>
      <c r="I140" s="743"/>
      <c r="J140" s="743"/>
      <c r="K140" s="288"/>
      <c r="L140" s="311">
        <v>13</v>
      </c>
      <c r="M140" s="395" t="s">
        <v>397</v>
      </c>
      <c r="N140" s="313" t="s">
        <v>400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55"/>
      <c r="W140" s="578"/>
      <c r="X140" s="746"/>
      <c r="Y140" s="488"/>
    </row>
    <row r="141" spans="1:25" ht="15.75" customHeight="1">
      <c r="B141" s="311">
        <v>13</v>
      </c>
      <c r="C141" s="313"/>
      <c r="D141" s="313" t="s">
        <v>401</v>
      </c>
      <c r="E141" s="314"/>
      <c r="F141" s="465"/>
      <c r="G141" s="315">
        <v>37142.857142857145</v>
      </c>
      <c r="H141" s="585">
        <v>45942</v>
      </c>
      <c r="I141" s="743"/>
      <c r="J141" s="743"/>
      <c r="K141" s="288"/>
      <c r="L141" s="311">
        <v>13</v>
      </c>
      <c r="M141" s="395" t="s">
        <v>397</v>
      </c>
      <c r="N141" s="313" t="s">
        <v>401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55"/>
      <c r="W141" s="578"/>
      <c r="X141" s="746"/>
      <c r="Y141" s="488"/>
    </row>
    <row r="142" spans="1:25" ht="15.75" customHeight="1">
      <c r="B142" s="311">
        <v>13</v>
      </c>
      <c r="C142" s="313"/>
      <c r="D142" s="313" t="s">
        <v>402</v>
      </c>
      <c r="E142" s="314"/>
      <c r="F142" s="465"/>
      <c r="G142" s="315">
        <v>24116.879999999997</v>
      </c>
      <c r="H142" s="585">
        <v>45943</v>
      </c>
      <c r="I142" s="743"/>
      <c r="J142" s="743"/>
      <c r="K142" s="288"/>
      <c r="L142" s="311">
        <v>13</v>
      </c>
      <c r="M142" s="395" t="s">
        <v>397</v>
      </c>
      <c r="N142" s="313" t="s">
        <v>402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55"/>
      <c r="W142" s="578"/>
      <c r="X142" s="746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44"/>
      <c r="J143" s="744"/>
      <c r="K143" s="364"/>
      <c r="L143" s="316">
        <v>13</v>
      </c>
      <c r="M143" s="425" t="s">
        <v>397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56"/>
      <c r="W143" s="580"/>
      <c r="X143" s="747"/>
      <c r="Y143" s="488"/>
    </row>
    <row r="144" spans="1:25" ht="14.5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403</v>
      </c>
      <c r="D145" s="270" t="s">
        <v>404</v>
      </c>
      <c r="E145" s="271"/>
      <c r="F145" s="476"/>
      <c r="G145" s="338">
        <v>8750</v>
      </c>
      <c r="H145" s="653">
        <v>45785</v>
      </c>
      <c r="I145" s="748">
        <f>SUM(G145:G156)</f>
        <v>8750</v>
      </c>
      <c r="J145" s="748">
        <f>F197</f>
        <v>10294.117647058823</v>
      </c>
      <c r="K145" s="339"/>
      <c r="L145" s="269">
        <v>14</v>
      </c>
      <c r="M145" s="440" t="s">
        <v>405</v>
      </c>
      <c r="N145" s="270" t="s">
        <v>406</v>
      </c>
      <c r="O145" s="569"/>
      <c r="P145" s="476"/>
      <c r="Q145" s="338">
        <v>1182.26</v>
      </c>
      <c r="R145" s="607"/>
      <c r="S145" s="643" t="s">
        <v>407</v>
      </c>
      <c r="T145" s="652">
        <v>45777</v>
      </c>
      <c r="U145" s="658">
        <v>1343.7091934439072</v>
      </c>
      <c r="V145" s="759">
        <f>J145-SUM(U145:U156)</f>
        <v>1.9270995089755161E-3</v>
      </c>
      <c r="W145" s="653">
        <v>45785</v>
      </c>
      <c r="X145" s="752">
        <f>SUM(Q145:Q156)</f>
        <v>13433.02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57"/>
      <c r="J146" s="757"/>
      <c r="K146" s="272"/>
      <c r="L146" s="340">
        <v>14</v>
      </c>
      <c r="M146" s="441" t="s">
        <v>405</v>
      </c>
      <c r="N146" s="341" t="s">
        <v>406</v>
      </c>
      <c r="O146" s="570"/>
      <c r="P146" s="477"/>
      <c r="Q146" s="343">
        <v>0</v>
      </c>
      <c r="R146" s="609"/>
      <c r="S146" s="645" t="s">
        <v>407</v>
      </c>
      <c r="T146" s="660">
        <v>45808</v>
      </c>
      <c r="U146" s="522">
        <f>(Q146/$X$145*$J$145)</f>
        <v>0</v>
      </c>
      <c r="V146" s="760"/>
      <c r="W146" s="548">
        <v>45808</v>
      </c>
      <c r="X146" s="758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57"/>
      <c r="J147" s="757"/>
      <c r="K147" s="272"/>
      <c r="L147" s="340">
        <v>14</v>
      </c>
      <c r="M147" s="441" t="s">
        <v>405</v>
      </c>
      <c r="N147" s="341" t="s">
        <v>406</v>
      </c>
      <c r="O147" s="570"/>
      <c r="P147" s="477"/>
      <c r="Q147" s="343">
        <v>3211.84</v>
      </c>
      <c r="R147" s="609"/>
      <c r="S147" s="645" t="s">
        <v>407</v>
      </c>
      <c r="T147" s="660">
        <v>45838</v>
      </c>
      <c r="U147" s="677">
        <v>4165.4796446232021</v>
      </c>
      <c r="V147" s="760"/>
      <c r="W147" s="548">
        <v>45842</v>
      </c>
      <c r="X147" s="758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57"/>
      <c r="J148" s="757"/>
      <c r="K148" s="272"/>
      <c r="L148" s="340">
        <v>14</v>
      </c>
      <c r="M148" s="441" t="s">
        <v>405</v>
      </c>
      <c r="N148" s="341" t="s">
        <v>406</v>
      </c>
      <c r="O148" s="570"/>
      <c r="P148" s="477"/>
      <c r="Q148" s="343">
        <v>0</v>
      </c>
      <c r="R148" s="609"/>
      <c r="S148" s="645" t="s">
        <v>407</v>
      </c>
      <c r="T148" s="660">
        <v>45869</v>
      </c>
      <c r="U148" s="522">
        <f>(Q148/$X$145*$J$145)</f>
        <v>0</v>
      </c>
      <c r="V148" s="760"/>
      <c r="W148" s="548">
        <v>45876</v>
      </c>
      <c r="X148" s="758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57"/>
      <c r="J149" s="757"/>
      <c r="K149" s="272"/>
      <c r="L149" s="340">
        <v>14</v>
      </c>
      <c r="M149" s="441" t="s">
        <v>405</v>
      </c>
      <c r="N149" s="341" t="s">
        <v>406</v>
      </c>
      <c r="O149" s="570"/>
      <c r="P149" s="477"/>
      <c r="Q149" s="343">
        <v>542.64</v>
      </c>
      <c r="R149" s="609"/>
      <c r="S149" s="645" t="s">
        <v>407</v>
      </c>
      <c r="T149" s="660">
        <v>45900</v>
      </c>
      <c r="U149" s="672">
        <v>925.33387225555498</v>
      </c>
      <c r="V149" s="760"/>
      <c r="W149" s="548">
        <v>45905</v>
      </c>
      <c r="X149" s="758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57"/>
      <c r="J150" s="757"/>
      <c r="K150" s="272"/>
      <c r="L150" s="340">
        <v>14</v>
      </c>
      <c r="M150" s="441" t="s">
        <v>405</v>
      </c>
      <c r="N150" s="341" t="s">
        <v>406</v>
      </c>
      <c r="O150" s="570"/>
      <c r="P150" s="477"/>
      <c r="Q150" s="343">
        <v>1085.28</v>
      </c>
      <c r="R150" s="609"/>
      <c r="S150" s="645" t="s">
        <v>407</v>
      </c>
      <c r="T150" s="686">
        <v>45930</v>
      </c>
      <c r="U150" s="688">
        <f>2921.70774451111-937.88</f>
        <v>1983.8277445111098</v>
      </c>
      <c r="V150" s="760"/>
      <c r="W150" s="687">
        <v>45930</v>
      </c>
      <c r="X150" s="758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57"/>
      <c r="J151" s="757"/>
      <c r="K151" s="272"/>
      <c r="L151" s="340">
        <v>14</v>
      </c>
      <c r="M151" s="441" t="s">
        <v>405</v>
      </c>
      <c r="N151" s="341" t="s">
        <v>406</v>
      </c>
      <c r="O151" s="570"/>
      <c r="P151" s="477"/>
      <c r="Q151" s="343">
        <v>3791.54</v>
      </c>
      <c r="R151" s="609"/>
      <c r="S151" s="645" t="s">
        <v>407</v>
      </c>
      <c r="T151" s="686">
        <v>45961</v>
      </c>
      <c r="U151" s="688">
        <v>1080.8052651255412</v>
      </c>
      <c r="V151" s="760"/>
      <c r="W151" s="687">
        <v>45967</v>
      </c>
      <c r="X151" s="758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57"/>
      <c r="J152" s="757"/>
      <c r="K152" s="272"/>
      <c r="L152" s="340">
        <v>14</v>
      </c>
      <c r="M152" s="441" t="s">
        <v>405</v>
      </c>
      <c r="N152" s="341" t="s">
        <v>406</v>
      </c>
      <c r="O152" s="570"/>
      <c r="P152" s="477"/>
      <c r="Q152" s="343">
        <v>2115.3000000000002</v>
      </c>
      <c r="R152" s="609"/>
      <c r="S152" s="645" t="s">
        <v>407</v>
      </c>
      <c r="T152" s="686">
        <v>45991</v>
      </c>
      <c r="U152" s="688">
        <v>794.96</v>
      </c>
      <c r="V152" s="760"/>
      <c r="W152" s="687">
        <v>45996</v>
      </c>
      <c r="X152" s="758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57"/>
      <c r="J153" s="757"/>
      <c r="K153" s="272"/>
      <c r="L153" s="340">
        <v>14</v>
      </c>
      <c r="M153" s="441" t="s">
        <v>405</v>
      </c>
      <c r="N153" s="341" t="s">
        <v>406</v>
      </c>
      <c r="O153" s="570"/>
      <c r="P153" s="477"/>
      <c r="Q153" s="706">
        <v>533.12</v>
      </c>
      <c r="R153" s="609"/>
      <c r="S153" s="645" t="s">
        <v>407</v>
      </c>
      <c r="T153" s="686">
        <v>46022</v>
      </c>
      <c r="U153" s="688">
        <v>0</v>
      </c>
      <c r="V153" s="760"/>
      <c r="W153" s="687">
        <v>46030</v>
      </c>
      <c r="X153" s="758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57"/>
      <c r="J154" s="757"/>
      <c r="K154" s="272"/>
      <c r="L154" s="340">
        <v>14</v>
      </c>
      <c r="M154" s="441" t="s">
        <v>405</v>
      </c>
      <c r="N154" s="341" t="s">
        <v>406</v>
      </c>
      <c r="O154" s="570"/>
      <c r="P154" s="477"/>
      <c r="Q154" s="343">
        <v>971.04</v>
      </c>
      <c r="R154" s="609"/>
      <c r="S154" s="645" t="s">
        <v>407</v>
      </c>
      <c r="T154" s="686">
        <v>46053</v>
      </c>
      <c r="U154" s="522">
        <v>0</v>
      </c>
      <c r="V154" s="760"/>
      <c r="W154" s="591">
        <v>46058</v>
      </c>
      <c r="X154" s="758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57"/>
      <c r="J155" s="757"/>
      <c r="K155" s="272"/>
      <c r="L155" s="340">
        <v>14</v>
      </c>
      <c r="M155" s="441" t="s">
        <v>405</v>
      </c>
      <c r="N155" s="341"/>
      <c r="O155" s="570"/>
      <c r="P155" s="477"/>
      <c r="Q155" s="343">
        <v>0</v>
      </c>
      <c r="R155" s="609"/>
      <c r="S155" s="645"/>
      <c r="T155" s="538" t="str">
        <f t="shared" ref="T155" si="15">IF(W155&gt;1,EOMONTH(W155,0),"")</f>
        <v/>
      </c>
      <c r="U155" s="522">
        <f t="shared" ref="U155:U156" si="16">(Q155/$X$145*$J$145)</f>
        <v>0</v>
      </c>
      <c r="V155" s="760"/>
      <c r="W155" s="591"/>
      <c r="X155" s="758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49"/>
      <c r="J156" s="749"/>
      <c r="K156" s="275"/>
      <c r="L156" s="273">
        <v>14</v>
      </c>
      <c r="M156" s="442" t="s">
        <v>405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61"/>
      <c r="W156" s="592"/>
      <c r="X156" s="753"/>
      <c r="Y156" s="488"/>
    </row>
    <row r="157" spans="1:25" ht="14.5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408</v>
      </c>
      <c r="D158" s="282" t="s">
        <v>409</v>
      </c>
      <c r="E158" s="283"/>
      <c r="F158" s="443"/>
      <c r="G158" s="284">
        <f>D194</f>
        <v>750000</v>
      </c>
      <c r="H158" s="545">
        <v>45849</v>
      </c>
      <c r="I158" s="742">
        <f>SUM(G158:G169)</f>
        <v>750000</v>
      </c>
      <c r="J158" s="742">
        <f>F194</f>
        <v>750000</v>
      </c>
      <c r="K158" s="285"/>
      <c r="L158" s="281">
        <v>15</v>
      </c>
      <c r="M158" s="351" t="s">
        <v>410</v>
      </c>
      <c r="N158" s="282" t="s">
        <v>411</v>
      </c>
      <c r="O158" s="283"/>
      <c r="P158" s="443"/>
      <c r="Q158" s="284">
        <f>714000/2</f>
        <v>357000</v>
      </c>
      <c r="R158" s="601"/>
      <c r="S158" s="638" t="s">
        <v>412</v>
      </c>
      <c r="T158" s="663">
        <v>45838</v>
      </c>
      <c r="U158" s="671">
        <v>375000</v>
      </c>
      <c r="V158" s="754">
        <f>J158-SUM(U158:U169)</f>
        <v>0</v>
      </c>
      <c r="W158" s="545">
        <v>45849</v>
      </c>
      <c r="X158" s="745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43"/>
      <c r="J159" s="743"/>
      <c r="K159" s="288"/>
      <c r="L159" s="311">
        <v>15</v>
      </c>
      <c r="M159" s="395" t="s">
        <v>410</v>
      </c>
      <c r="N159" s="313" t="s">
        <v>413</v>
      </c>
      <c r="O159" s="556"/>
      <c r="P159" s="465"/>
      <c r="Q159" s="315">
        <v>357000</v>
      </c>
      <c r="R159" s="594"/>
      <c r="S159" s="631" t="s">
        <v>412</v>
      </c>
      <c r="T159" s="651">
        <v>45838</v>
      </c>
      <c r="U159" s="665">
        <v>375000</v>
      </c>
      <c r="V159" s="755"/>
      <c r="W159" s="541">
        <v>46037</v>
      </c>
      <c r="X159" s="746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43"/>
      <c r="J160" s="743"/>
      <c r="K160" s="288"/>
      <c r="L160" s="311">
        <v>15</v>
      </c>
      <c r="M160" s="395" t="s">
        <v>410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55"/>
      <c r="W160" s="578"/>
      <c r="X160" s="746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43"/>
      <c r="J161" s="743"/>
      <c r="K161" s="288"/>
      <c r="L161" s="311">
        <v>15</v>
      </c>
      <c r="M161" s="395" t="s">
        <v>410</v>
      </c>
      <c r="N161" s="313" t="s">
        <v>414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55"/>
      <c r="W161" s="578"/>
      <c r="X161" s="746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43"/>
      <c r="J162" s="743"/>
      <c r="K162" s="288"/>
      <c r="L162" s="311">
        <v>15</v>
      </c>
      <c r="M162" s="395" t="s">
        <v>410</v>
      </c>
      <c r="N162" s="313" t="s">
        <v>415</v>
      </c>
      <c r="O162" s="556"/>
      <c r="P162" s="465"/>
      <c r="Q162" s="315">
        <v>7350</v>
      </c>
      <c r="R162" s="594" t="s">
        <v>416</v>
      </c>
      <c r="S162" s="631" t="s">
        <v>417</v>
      </c>
      <c r="T162" s="651">
        <v>45991</v>
      </c>
      <c r="U162" s="508">
        <v>0</v>
      </c>
      <c r="V162" s="755"/>
      <c r="W162" s="655">
        <v>45961</v>
      </c>
      <c r="X162" s="746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43"/>
      <c r="J163" s="743"/>
      <c r="K163" s="288"/>
      <c r="L163" s="311">
        <v>15</v>
      </c>
      <c r="M163" s="395" t="s">
        <v>410</v>
      </c>
      <c r="N163" s="313" t="s">
        <v>418</v>
      </c>
      <c r="O163" s="556"/>
      <c r="P163" s="465"/>
      <c r="Q163" s="315">
        <v>4950</v>
      </c>
      <c r="R163" s="594" t="s">
        <v>419</v>
      </c>
      <c r="S163" s="631" t="s">
        <v>420</v>
      </c>
      <c r="T163" s="651">
        <v>45991</v>
      </c>
      <c r="U163" s="508">
        <v>0</v>
      </c>
      <c r="V163" s="755"/>
      <c r="W163" s="541">
        <v>45989</v>
      </c>
      <c r="X163" s="746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43"/>
      <c r="J164" s="743"/>
      <c r="K164" s="288"/>
      <c r="L164" s="311">
        <v>15</v>
      </c>
      <c r="M164" s="395" t="s">
        <v>410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55"/>
      <c r="W164" s="578"/>
      <c r="X164" s="746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43"/>
      <c r="J165" s="743"/>
      <c r="K165" s="288"/>
      <c r="L165" s="311">
        <v>15</v>
      </c>
      <c r="M165" s="395" t="s">
        <v>410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55"/>
      <c r="W165" s="578"/>
      <c r="X165" s="746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43"/>
      <c r="J166" s="743"/>
      <c r="K166" s="288"/>
      <c r="L166" s="311">
        <v>15</v>
      </c>
      <c r="M166" s="395" t="s">
        <v>410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55"/>
      <c r="W166" s="578"/>
      <c r="X166" s="746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43"/>
      <c r="J167" s="743"/>
      <c r="K167" s="288"/>
      <c r="L167" s="311">
        <v>15</v>
      </c>
      <c r="M167" s="395" t="s">
        <v>410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55"/>
      <c r="W167" s="578"/>
      <c r="X167" s="746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43"/>
      <c r="J168" s="743"/>
      <c r="K168" s="288"/>
      <c r="L168" s="311">
        <v>15</v>
      </c>
      <c r="M168" s="395" t="s">
        <v>410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55"/>
      <c r="W168" s="578"/>
      <c r="X168" s="746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44"/>
      <c r="J169" s="744"/>
      <c r="K169" s="289"/>
      <c r="L169" s="316">
        <v>15</v>
      </c>
      <c r="M169" s="425" t="s">
        <v>410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56"/>
      <c r="W169" s="580"/>
      <c r="X169" s="747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421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422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423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285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324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306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424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425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426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427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428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429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430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431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432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433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434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435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436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437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438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439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426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440</v>
      </c>
      <c r="D196" s="648"/>
      <c r="E196" s="550"/>
      <c r="F196" s="648"/>
      <c r="I196" s="256"/>
      <c r="J196" s="256"/>
    </row>
    <row r="197" spans="3:10" s="112" customFormat="1">
      <c r="C197" s="648" t="s">
        <v>441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  <mergeCell ref="I21:I28"/>
    <mergeCell ref="J21:J28"/>
    <mergeCell ref="I30:I45"/>
    <mergeCell ref="J30:J45"/>
    <mergeCell ref="X30:X45"/>
    <mergeCell ref="B2:G2"/>
    <mergeCell ref="L2:Q2"/>
    <mergeCell ref="I6:I11"/>
    <mergeCell ref="J6:J11"/>
    <mergeCell ref="R2:W2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X6:X11"/>
    <mergeCell ref="V6:V11"/>
    <mergeCell ref="V13:V19"/>
    <mergeCell ref="V21:V28"/>
    <mergeCell ref="V30:V45"/>
    <mergeCell ref="X21:X28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442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443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156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238073.65000000002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444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4523399.3500000006</v>
      </c>
      <c r="BL4" s="198">
        <f t="shared" si="5"/>
        <v>4761473.0000000009</v>
      </c>
      <c r="BM4" s="198">
        <f t="shared" si="5"/>
        <v>4761473.0000000009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801"/>
      <c r="B5" s="199" t="s">
        <v>158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801"/>
      <c r="B6" s="199" t="s">
        <v>445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801"/>
      <c r="B7" s="204" t="s">
        <v>446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116558.34748514835</v>
      </c>
      <c r="BL7" s="207">
        <f t="shared" si="16"/>
        <v>354631.99748514872</v>
      </c>
      <c r="BM7" s="207">
        <f t="shared" si="16"/>
        <v>354631.99748514872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800" t="s">
        <v>147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447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448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801"/>
      <c r="B11" s="212" t="s">
        <v>449</v>
      </c>
      <c r="C11" s="213">
        <f>'Revenue Tracking'!F5</f>
        <v>3936602.6524999999</v>
      </c>
      <c r="D11" s="213">
        <f>SUM(F11:LD11)</f>
        <v>3936602.6525000003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66889</v>
      </c>
      <c r="BH11" s="214">
        <f>SUMIFS('Expenditure Breakdown'!$Q$6:$Q$177, 'Expenditure Breakdown'!$W$6:$W$177, "&gt;="&amp;BH1,'Expenditure Breakdown'!$W$6:$W$177, "&lt;"&amp;BI1)</f>
        <v>48706.94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193238.32500000001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01"/>
      <c r="B12" s="212" t="s">
        <v>450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3678769.5250000004</v>
      </c>
      <c r="BH12" s="214">
        <f t="shared" si="26"/>
        <v>3727476.4650000003</v>
      </c>
      <c r="BI12" s="214">
        <f t="shared" si="26"/>
        <v>3727476.4650000003</v>
      </c>
      <c r="BJ12" s="214">
        <f t="shared" si="26"/>
        <v>3727476.4650000003</v>
      </c>
      <c r="BK12" s="214">
        <f t="shared" si="26"/>
        <v>3920714.7900000005</v>
      </c>
      <c r="BL12" s="214">
        <f t="shared" si="26"/>
        <v>3920714.7900000005</v>
      </c>
      <c r="BM12" s="214">
        <f t="shared" si="26"/>
        <v>3920714.7900000005</v>
      </c>
      <c r="BN12" s="214">
        <f t="shared" si="26"/>
        <v>3920714.7900000005</v>
      </c>
      <c r="BO12" s="214">
        <f t="shared" si="26"/>
        <v>3920714.7900000005</v>
      </c>
      <c r="BP12" s="214">
        <f t="shared" si="26"/>
        <v>3920714.7900000005</v>
      </c>
      <c r="BQ12" s="214">
        <f t="shared" si="26"/>
        <v>3920714.7900000005</v>
      </c>
      <c r="BR12" s="214">
        <f t="shared" si="26"/>
        <v>3920714.7900000005</v>
      </c>
      <c r="BS12" s="214">
        <f t="shared" si="26"/>
        <v>3920714.7900000005</v>
      </c>
      <c r="BT12" s="214">
        <f t="shared" si="26"/>
        <v>3920714.7900000005</v>
      </c>
      <c r="BU12" s="214">
        <f t="shared" ref="BU12:EF12" si="27">BT12+BU11</f>
        <v>3920714.7900000005</v>
      </c>
      <c r="BV12" s="214">
        <f t="shared" si="27"/>
        <v>3920714.7900000005</v>
      </c>
      <c r="BW12" s="214">
        <f t="shared" si="27"/>
        <v>3920714.7900000005</v>
      </c>
      <c r="BX12" s="214">
        <f t="shared" si="27"/>
        <v>3920714.7900000005</v>
      </c>
      <c r="BY12" s="214">
        <f t="shared" si="27"/>
        <v>3920714.7900000005</v>
      </c>
      <c r="BZ12" s="214">
        <f t="shared" si="27"/>
        <v>3920714.7900000005</v>
      </c>
      <c r="CA12" s="214">
        <f t="shared" si="27"/>
        <v>3920714.7900000005</v>
      </c>
      <c r="CB12" s="214">
        <f t="shared" si="27"/>
        <v>3920714.7900000005</v>
      </c>
      <c r="CC12" s="214">
        <f t="shared" si="27"/>
        <v>3920714.7900000005</v>
      </c>
      <c r="CD12" s="214">
        <f t="shared" si="27"/>
        <v>3920714.7900000005</v>
      </c>
      <c r="CE12" s="214">
        <f t="shared" si="27"/>
        <v>3920714.7900000005</v>
      </c>
      <c r="CF12" s="214">
        <f t="shared" si="27"/>
        <v>3920714.7900000005</v>
      </c>
      <c r="CG12" s="214">
        <f t="shared" si="27"/>
        <v>3920714.7900000005</v>
      </c>
      <c r="CH12" s="214">
        <f t="shared" si="27"/>
        <v>3920714.7900000005</v>
      </c>
      <c r="CI12" s="214">
        <f t="shared" si="27"/>
        <v>3920714.7900000005</v>
      </c>
      <c r="CJ12" s="214">
        <f t="shared" si="27"/>
        <v>3920714.7900000005</v>
      </c>
      <c r="CK12" s="214">
        <f t="shared" si="27"/>
        <v>3920714.7900000005</v>
      </c>
      <c r="CL12" s="214">
        <f t="shared" si="27"/>
        <v>3920714.7900000005</v>
      </c>
      <c r="CM12" s="214">
        <f t="shared" si="27"/>
        <v>3920714.7900000005</v>
      </c>
      <c r="CN12" s="214">
        <f t="shared" si="27"/>
        <v>3920714.7900000005</v>
      </c>
      <c r="CO12" s="214">
        <f t="shared" si="27"/>
        <v>3920714.7900000005</v>
      </c>
      <c r="CP12" s="214">
        <f t="shared" si="27"/>
        <v>3920714.7900000005</v>
      </c>
      <c r="CQ12" s="214">
        <f t="shared" si="27"/>
        <v>3920714.7900000005</v>
      </c>
      <c r="CR12" s="214">
        <f t="shared" si="27"/>
        <v>3920714.7900000005</v>
      </c>
      <c r="CS12" s="214">
        <f t="shared" si="27"/>
        <v>3920714.7900000005</v>
      </c>
      <c r="CT12" s="214">
        <f t="shared" si="27"/>
        <v>3920714.7900000005</v>
      </c>
      <c r="CU12" s="214">
        <f t="shared" si="27"/>
        <v>3920714.7900000005</v>
      </c>
      <c r="CV12" s="214">
        <f t="shared" si="27"/>
        <v>3920714.7900000005</v>
      </c>
      <c r="CW12" s="214">
        <f t="shared" si="27"/>
        <v>3920714.7900000005</v>
      </c>
      <c r="CX12" s="214">
        <f t="shared" si="27"/>
        <v>3920714.7900000005</v>
      </c>
      <c r="CY12" s="214">
        <f t="shared" si="27"/>
        <v>3920714.7900000005</v>
      </c>
      <c r="CZ12" s="214">
        <f t="shared" si="27"/>
        <v>3920714.7900000005</v>
      </c>
      <c r="DA12" s="214">
        <f t="shared" si="27"/>
        <v>3920714.7900000005</v>
      </c>
      <c r="DB12" s="214">
        <f t="shared" si="27"/>
        <v>3920714.7900000005</v>
      </c>
      <c r="DC12" s="214">
        <f t="shared" si="27"/>
        <v>3936602.6525000003</v>
      </c>
      <c r="DD12" s="214">
        <f t="shared" si="27"/>
        <v>3936602.6525000003</v>
      </c>
      <c r="DE12" s="214">
        <f t="shared" si="27"/>
        <v>3936602.6525000003</v>
      </c>
      <c r="DF12" s="214">
        <f t="shared" si="27"/>
        <v>3936602.6525000003</v>
      </c>
      <c r="DG12" s="214">
        <f t="shared" si="27"/>
        <v>3936602.6525000003</v>
      </c>
      <c r="DH12" s="214">
        <f t="shared" si="27"/>
        <v>3936602.6525000003</v>
      </c>
      <c r="DI12" s="214">
        <f t="shared" si="27"/>
        <v>3936602.6525000003</v>
      </c>
      <c r="DJ12" s="214">
        <f t="shared" si="27"/>
        <v>3936602.6525000003</v>
      </c>
      <c r="DK12" s="214">
        <f t="shared" si="27"/>
        <v>3936602.6525000003</v>
      </c>
      <c r="DL12" s="214">
        <f t="shared" si="27"/>
        <v>3936602.6525000003</v>
      </c>
      <c r="DM12" s="214">
        <f t="shared" si="27"/>
        <v>3936602.6525000003</v>
      </c>
      <c r="DN12" s="214">
        <f t="shared" si="27"/>
        <v>3936602.6525000003</v>
      </c>
      <c r="DO12" s="214">
        <f t="shared" si="27"/>
        <v>3936602.6525000003</v>
      </c>
      <c r="DP12" s="214">
        <f t="shared" si="27"/>
        <v>3936602.6525000003</v>
      </c>
      <c r="DQ12" s="214">
        <f t="shared" si="27"/>
        <v>3936602.6525000003</v>
      </c>
      <c r="DR12" s="214">
        <f t="shared" si="27"/>
        <v>3936602.6525000003</v>
      </c>
      <c r="DS12" s="214">
        <f t="shared" si="27"/>
        <v>3936602.6525000003</v>
      </c>
      <c r="DT12" s="214">
        <f t="shared" si="27"/>
        <v>3936602.6525000003</v>
      </c>
      <c r="DU12" s="214">
        <f t="shared" si="27"/>
        <v>3936602.6525000003</v>
      </c>
      <c r="DV12" s="214">
        <f t="shared" si="27"/>
        <v>3936602.6525000003</v>
      </c>
      <c r="DW12" s="214">
        <f t="shared" si="27"/>
        <v>3936602.6525000003</v>
      </c>
      <c r="DX12" s="214">
        <f t="shared" si="27"/>
        <v>3936602.6525000003</v>
      </c>
      <c r="DY12" s="214">
        <f t="shared" si="27"/>
        <v>3936602.6525000003</v>
      </c>
      <c r="DZ12" s="214">
        <f t="shared" si="27"/>
        <v>3936602.6525000003</v>
      </c>
      <c r="EA12" s="214">
        <f t="shared" si="27"/>
        <v>3936602.6525000003</v>
      </c>
      <c r="EB12" s="214">
        <f t="shared" si="27"/>
        <v>3936602.6525000003</v>
      </c>
      <c r="EC12" s="214">
        <f t="shared" si="27"/>
        <v>3936602.6525000003</v>
      </c>
      <c r="ED12" s="214">
        <f t="shared" si="27"/>
        <v>3936602.6525000003</v>
      </c>
      <c r="EE12" s="214">
        <f t="shared" si="27"/>
        <v>3936602.6525000003</v>
      </c>
      <c r="EF12" s="214">
        <f t="shared" si="27"/>
        <v>3936602.6525000003</v>
      </c>
      <c r="EG12" s="214">
        <f t="shared" ref="EG12:GR12" si="28">EF12+EG11</f>
        <v>3936602.6525000003</v>
      </c>
      <c r="EH12" s="214">
        <f t="shared" si="28"/>
        <v>3936602.6525000003</v>
      </c>
      <c r="EI12" s="214">
        <f t="shared" si="28"/>
        <v>3936602.6525000003</v>
      </c>
      <c r="EJ12" s="214">
        <f t="shared" si="28"/>
        <v>3936602.6525000003</v>
      </c>
      <c r="EK12" s="214">
        <f t="shared" si="28"/>
        <v>3936602.6525000003</v>
      </c>
      <c r="EL12" s="214">
        <f t="shared" si="28"/>
        <v>3936602.6525000003</v>
      </c>
      <c r="EM12" s="214">
        <f t="shared" si="28"/>
        <v>3936602.6525000003</v>
      </c>
      <c r="EN12" s="214">
        <f t="shared" si="28"/>
        <v>3936602.6525000003</v>
      </c>
      <c r="EO12" s="214">
        <f t="shared" si="28"/>
        <v>3936602.6525000003</v>
      </c>
      <c r="EP12" s="214">
        <f t="shared" si="28"/>
        <v>3936602.6525000003</v>
      </c>
      <c r="EQ12" s="214">
        <f t="shared" si="28"/>
        <v>3936602.6525000003</v>
      </c>
      <c r="ER12" s="214">
        <f t="shared" si="28"/>
        <v>3936602.6525000003</v>
      </c>
      <c r="ES12" s="214">
        <f t="shared" si="28"/>
        <v>3936602.6525000003</v>
      </c>
      <c r="ET12" s="214">
        <f t="shared" si="28"/>
        <v>3936602.6525000003</v>
      </c>
      <c r="EU12" s="214">
        <f t="shared" si="28"/>
        <v>3936602.6525000003</v>
      </c>
      <c r="EV12" s="214">
        <f t="shared" si="28"/>
        <v>3936602.6525000003</v>
      </c>
      <c r="EW12" s="214">
        <f t="shared" si="28"/>
        <v>3936602.6525000003</v>
      </c>
      <c r="EX12" s="214">
        <f t="shared" si="28"/>
        <v>3936602.6525000003</v>
      </c>
      <c r="EY12" s="214">
        <f t="shared" si="28"/>
        <v>3936602.6525000003</v>
      </c>
      <c r="EZ12" s="214">
        <f t="shared" si="28"/>
        <v>3936602.6525000003</v>
      </c>
      <c r="FA12" s="214">
        <f t="shared" si="28"/>
        <v>3936602.6525000003</v>
      </c>
      <c r="FB12" s="214">
        <f t="shared" si="28"/>
        <v>3936602.6525000003</v>
      </c>
      <c r="FC12" s="214">
        <f t="shared" si="28"/>
        <v>3936602.6525000003</v>
      </c>
      <c r="FD12" s="214">
        <f t="shared" si="28"/>
        <v>3936602.6525000003</v>
      </c>
      <c r="FE12" s="214">
        <f t="shared" si="28"/>
        <v>3936602.6525000003</v>
      </c>
      <c r="FF12" s="214">
        <f t="shared" si="28"/>
        <v>3936602.6525000003</v>
      </c>
      <c r="FG12" s="214">
        <f t="shared" si="28"/>
        <v>3936602.6525000003</v>
      </c>
      <c r="FH12" s="214">
        <f t="shared" si="28"/>
        <v>3936602.6525000003</v>
      </c>
      <c r="FI12" s="214">
        <f t="shared" si="28"/>
        <v>3936602.6525000003</v>
      </c>
      <c r="FJ12" s="214">
        <f t="shared" si="28"/>
        <v>3936602.6525000003</v>
      </c>
      <c r="FK12" s="214">
        <f t="shared" si="28"/>
        <v>3936602.6525000003</v>
      </c>
      <c r="FL12" s="214">
        <f t="shared" si="28"/>
        <v>3936602.6525000003</v>
      </c>
      <c r="FM12" s="214">
        <f t="shared" si="28"/>
        <v>3936602.6525000003</v>
      </c>
      <c r="FN12" s="214">
        <f t="shared" si="28"/>
        <v>3936602.6525000003</v>
      </c>
      <c r="FO12" s="214">
        <f t="shared" si="28"/>
        <v>3936602.6525000003</v>
      </c>
      <c r="FP12" s="214">
        <f t="shared" si="28"/>
        <v>3936602.6525000003</v>
      </c>
      <c r="FQ12" s="214">
        <f t="shared" si="28"/>
        <v>3936602.6525000003</v>
      </c>
      <c r="FR12" s="214">
        <f t="shared" si="28"/>
        <v>3936602.6525000003</v>
      </c>
      <c r="FS12" s="214">
        <f t="shared" si="28"/>
        <v>3936602.6525000003</v>
      </c>
      <c r="FT12" s="214">
        <f t="shared" si="28"/>
        <v>3936602.6525000003</v>
      </c>
      <c r="FU12" s="214">
        <f t="shared" si="28"/>
        <v>3936602.6525000003</v>
      </c>
      <c r="FV12" s="214">
        <f t="shared" si="28"/>
        <v>3936602.6525000003</v>
      </c>
      <c r="FW12" s="214">
        <f t="shared" si="28"/>
        <v>3936602.6525000003</v>
      </c>
      <c r="FX12" s="214">
        <f t="shared" si="28"/>
        <v>3936602.6525000003</v>
      </c>
      <c r="FY12" s="214">
        <f t="shared" si="28"/>
        <v>3936602.6525000003</v>
      </c>
      <c r="FZ12" s="214">
        <f t="shared" si="28"/>
        <v>3936602.6525000003</v>
      </c>
      <c r="GA12" s="214">
        <f t="shared" si="28"/>
        <v>3936602.6525000003</v>
      </c>
      <c r="GB12" s="214">
        <f t="shared" si="28"/>
        <v>3936602.6525000003</v>
      </c>
      <c r="GC12" s="214">
        <f t="shared" si="28"/>
        <v>3936602.6525000003</v>
      </c>
      <c r="GD12" s="214">
        <f t="shared" si="28"/>
        <v>3936602.6525000003</v>
      </c>
      <c r="GE12" s="214">
        <f t="shared" si="28"/>
        <v>3936602.6525000003</v>
      </c>
      <c r="GF12" s="214">
        <f t="shared" si="28"/>
        <v>3936602.6525000003</v>
      </c>
      <c r="GG12" s="214">
        <f t="shared" si="28"/>
        <v>3936602.6525000003</v>
      </c>
      <c r="GH12" s="214">
        <f t="shared" si="28"/>
        <v>3936602.6525000003</v>
      </c>
      <c r="GI12" s="214">
        <f t="shared" si="28"/>
        <v>3936602.6525000003</v>
      </c>
      <c r="GJ12" s="214">
        <f t="shared" si="28"/>
        <v>3936602.6525000003</v>
      </c>
      <c r="GK12" s="214">
        <f t="shared" si="28"/>
        <v>3936602.6525000003</v>
      </c>
      <c r="GL12" s="214">
        <f t="shared" si="28"/>
        <v>3936602.6525000003</v>
      </c>
      <c r="GM12" s="214">
        <f t="shared" si="28"/>
        <v>3936602.6525000003</v>
      </c>
      <c r="GN12" s="214">
        <f t="shared" si="28"/>
        <v>3936602.6525000003</v>
      </c>
      <c r="GO12" s="214">
        <f t="shared" si="28"/>
        <v>3936602.6525000003</v>
      </c>
      <c r="GP12" s="214">
        <f t="shared" si="28"/>
        <v>3936602.6525000003</v>
      </c>
      <c r="GQ12" s="214">
        <f t="shared" si="28"/>
        <v>3936602.6525000003</v>
      </c>
      <c r="GR12" s="214">
        <f t="shared" si="28"/>
        <v>3936602.6525000003</v>
      </c>
      <c r="GS12" s="214">
        <f t="shared" ref="GS12:JD12" si="29">GR12+GS11</f>
        <v>3936602.6525000003</v>
      </c>
      <c r="GT12" s="214">
        <f t="shared" si="29"/>
        <v>3936602.6525000003</v>
      </c>
      <c r="GU12" s="214">
        <f t="shared" si="29"/>
        <v>3936602.6525000003</v>
      </c>
      <c r="GV12" s="214">
        <f t="shared" si="29"/>
        <v>3936602.6525000003</v>
      </c>
      <c r="GW12" s="214">
        <f t="shared" si="29"/>
        <v>3936602.6525000003</v>
      </c>
      <c r="GX12" s="214">
        <f t="shared" si="29"/>
        <v>3936602.6525000003</v>
      </c>
      <c r="GY12" s="214">
        <f t="shared" si="29"/>
        <v>3936602.6525000003</v>
      </c>
      <c r="GZ12" s="214">
        <f t="shared" si="29"/>
        <v>3936602.6525000003</v>
      </c>
      <c r="HA12" s="214">
        <f t="shared" si="29"/>
        <v>3936602.6525000003</v>
      </c>
      <c r="HB12" s="214">
        <f t="shared" si="29"/>
        <v>3936602.6525000003</v>
      </c>
      <c r="HC12" s="214">
        <f t="shared" si="29"/>
        <v>3936602.6525000003</v>
      </c>
      <c r="HD12" s="214">
        <f t="shared" si="29"/>
        <v>3936602.6525000003</v>
      </c>
      <c r="HE12" s="214">
        <f t="shared" si="29"/>
        <v>3936602.6525000003</v>
      </c>
      <c r="HF12" s="214">
        <f t="shared" si="29"/>
        <v>3936602.6525000003</v>
      </c>
      <c r="HG12" s="214">
        <f t="shared" si="29"/>
        <v>3936602.6525000003</v>
      </c>
      <c r="HH12" s="214">
        <f t="shared" si="29"/>
        <v>3936602.6525000003</v>
      </c>
      <c r="HI12" s="214">
        <f t="shared" si="29"/>
        <v>3936602.6525000003</v>
      </c>
      <c r="HJ12" s="214">
        <f t="shared" si="29"/>
        <v>3936602.6525000003</v>
      </c>
      <c r="HK12" s="214">
        <f t="shared" si="29"/>
        <v>3936602.6525000003</v>
      </c>
      <c r="HL12" s="214">
        <f t="shared" si="29"/>
        <v>3936602.6525000003</v>
      </c>
      <c r="HM12" s="214">
        <f t="shared" si="29"/>
        <v>3936602.6525000003</v>
      </c>
      <c r="HN12" s="214">
        <f t="shared" si="29"/>
        <v>3936602.6525000003</v>
      </c>
      <c r="HO12" s="214">
        <f t="shared" si="29"/>
        <v>3936602.6525000003</v>
      </c>
      <c r="HP12" s="214">
        <f t="shared" si="29"/>
        <v>3936602.6525000003</v>
      </c>
      <c r="HQ12" s="214">
        <f t="shared" si="29"/>
        <v>3936602.6525000003</v>
      </c>
      <c r="HR12" s="214">
        <f t="shared" si="29"/>
        <v>3936602.6525000003</v>
      </c>
      <c r="HS12" s="214">
        <f t="shared" si="29"/>
        <v>3936602.6525000003</v>
      </c>
      <c r="HT12" s="214">
        <f t="shared" si="29"/>
        <v>3936602.6525000003</v>
      </c>
      <c r="HU12" s="214">
        <f t="shared" si="29"/>
        <v>3936602.6525000003</v>
      </c>
      <c r="HV12" s="214">
        <f t="shared" si="29"/>
        <v>3936602.6525000003</v>
      </c>
      <c r="HW12" s="214">
        <f t="shared" si="29"/>
        <v>3936602.6525000003</v>
      </c>
      <c r="HX12" s="214">
        <f t="shared" si="29"/>
        <v>3936602.6525000003</v>
      </c>
      <c r="HY12" s="214">
        <f t="shared" si="29"/>
        <v>3936602.6525000003</v>
      </c>
      <c r="HZ12" s="214">
        <f t="shared" si="29"/>
        <v>3936602.6525000003</v>
      </c>
      <c r="IA12" s="214">
        <f t="shared" si="29"/>
        <v>3936602.6525000003</v>
      </c>
      <c r="IB12" s="214">
        <f t="shared" si="29"/>
        <v>3936602.6525000003</v>
      </c>
      <c r="IC12" s="214">
        <f t="shared" si="29"/>
        <v>3936602.6525000003</v>
      </c>
      <c r="ID12" s="214">
        <f t="shared" si="29"/>
        <v>3936602.6525000003</v>
      </c>
      <c r="IE12" s="214">
        <f t="shared" si="29"/>
        <v>3936602.6525000003</v>
      </c>
      <c r="IF12" s="214">
        <f t="shared" si="29"/>
        <v>3936602.6525000003</v>
      </c>
      <c r="IG12" s="214">
        <f t="shared" si="29"/>
        <v>3936602.6525000003</v>
      </c>
      <c r="IH12" s="214">
        <f t="shared" si="29"/>
        <v>3936602.6525000003</v>
      </c>
      <c r="II12" s="214">
        <f t="shared" si="29"/>
        <v>3936602.6525000003</v>
      </c>
      <c r="IJ12" s="214">
        <f t="shared" si="29"/>
        <v>3936602.6525000003</v>
      </c>
      <c r="IK12" s="214">
        <f t="shared" si="29"/>
        <v>3936602.6525000003</v>
      </c>
      <c r="IL12" s="214">
        <f t="shared" si="29"/>
        <v>3936602.6525000003</v>
      </c>
      <c r="IM12" s="214">
        <f t="shared" si="29"/>
        <v>3936602.6525000003</v>
      </c>
      <c r="IN12" s="214">
        <f t="shared" si="29"/>
        <v>3936602.6525000003</v>
      </c>
      <c r="IO12" s="214">
        <f t="shared" si="29"/>
        <v>3936602.6525000003</v>
      </c>
      <c r="IP12" s="214">
        <f t="shared" si="29"/>
        <v>3936602.6525000003</v>
      </c>
      <c r="IQ12" s="214">
        <f t="shared" si="29"/>
        <v>3936602.6525000003</v>
      </c>
      <c r="IR12" s="214">
        <f t="shared" si="29"/>
        <v>3936602.6525000003</v>
      </c>
      <c r="IS12" s="214">
        <f t="shared" si="29"/>
        <v>3936602.6525000003</v>
      </c>
      <c r="IT12" s="214">
        <f t="shared" si="29"/>
        <v>3936602.6525000003</v>
      </c>
      <c r="IU12" s="214">
        <f t="shared" si="29"/>
        <v>3936602.6525000003</v>
      </c>
      <c r="IV12" s="214">
        <f t="shared" si="29"/>
        <v>3936602.6525000003</v>
      </c>
      <c r="IW12" s="214">
        <f t="shared" si="29"/>
        <v>3936602.6525000003</v>
      </c>
      <c r="IX12" s="214">
        <f t="shared" si="29"/>
        <v>3936602.6525000003</v>
      </c>
      <c r="IY12" s="214">
        <f t="shared" si="29"/>
        <v>3936602.6525000003</v>
      </c>
      <c r="IZ12" s="214">
        <f t="shared" si="29"/>
        <v>3936602.6525000003</v>
      </c>
      <c r="JA12" s="214">
        <f t="shared" si="29"/>
        <v>3936602.6525000003</v>
      </c>
      <c r="JB12" s="214">
        <f t="shared" si="29"/>
        <v>3936602.6525000003</v>
      </c>
      <c r="JC12" s="214">
        <f t="shared" si="29"/>
        <v>3936602.6525000003</v>
      </c>
      <c r="JD12" s="214">
        <f t="shared" si="29"/>
        <v>3936602.6525000003</v>
      </c>
      <c r="JE12" s="214">
        <f t="shared" ref="JE12:LD12" si="30">JD12+JE11</f>
        <v>3936602.6525000003</v>
      </c>
      <c r="JF12" s="214">
        <f t="shared" si="30"/>
        <v>3936602.6525000003</v>
      </c>
      <c r="JG12" s="214">
        <f t="shared" si="30"/>
        <v>3936602.6525000003</v>
      </c>
      <c r="JH12" s="214">
        <f t="shared" si="30"/>
        <v>3936602.6525000003</v>
      </c>
      <c r="JI12" s="214">
        <f t="shared" si="30"/>
        <v>3936602.6525000003</v>
      </c>
      <c r="JJ12" s="214">
        <f t="shared" si="30"/>
        <v>3936602.6525000003</v>
      </c>
      <c r="JK12" s="214">
        <f t="shared" si="30"/>
        <v>3936602.6525000003</v>
      </c>
      <c r="JL12" s="214">
        <f t="shared" si="30"/>
        <v>3936602.6525000003</v>
      </c>
      <c r="JM12" s="214">
        <f t="shared" si="30"/>
        <v>3936602.6525000003</v>
      </c>
      <c r="JN12" s="214">
        <f t="shared" si="30"/>
        <v>3936602.6525000003</v>
      </c>
      <c r="JO12" s="214">
        <f t="shared" si="30"/>
        <v>3936602.6525000003</v>
      </c>
      <c r="JP12" s="214">
        <f t="shared" si="30"/>
        <v>3936602.6525000003</v>
      </c>
      <c r="JQ12" s="214">
        <f t="shared" si="30"/>
        <v>3936602.6525000003</v>
      </c>
      <c r="JR12" s="214">
        <f t="shared" si="30"/>
        <v>3936602.6525000003</v>
      </c>
      <c r="JS12" s="214">
        <f t="shared" si="30"/>
        <v>3936602.6525000003</v>
      </c>
      <c r="JT12" s="214">
        <f t="shared" si="30"/>
        <v>3936602.6525000003</v>
      </c>
      <c r="JU12" s="214">
        <f t="shared" si="30"/>
        <v>3936602.6525000003</v>
      </c>
      <c r="JV12" s="214">
        <f t="shared" si="30"/>
        <v>3936602.6525000003</v>
      </c>
      <c r="JW12" s="214">
        <f t="shared" si="30"/>
        <v>3936602.6525000003</v>
      </c>
      <c r="JX12" s="214">
        <f t="shared" si="30"/>
        <v>3936602.6525000003</v>
      </c>
      <c r="JY12" s="214">
        <f t="shared" si="30"/>
        <v>3936602.6525000003</v>
      </c>
      <c r="JZ12" s="214">
        <f t="shared" si="30"/>
        <v>3936602.6525000003</v>
      </c>
      <c r="KA12" s="214">
        <f t="shared" si="30"/>
        <v>3936602.6525000003</v>
      </c>
      <c r="KB12" s="214">
        <f t="shared" si="30"/>
        <v>3936602.6525000003</v>
      </c>
      <c r="KC12" s="214">
        <f t="shared" si="30"/>
        <v>3936602.6525000003</v>
      </c>
      <c r="KD12" s="214">
        <f t="shared" si="30"/>
        <v>3936602.6525000003</v>
      </c>
      <c r="KE12" s="214">
        <f t="shared" si="30"/>
        <v>3936602.6525000003</v>
      </c>
      <c r="KF12" s="214">
        <f t="shared" si="30"/>
        <v>3936602.6525000003</v>
      </c>
      <c r="KG12" s="214">
        <f t="shared" si="30"/>
        <v>3936602.6525000003</v>
      </c>
      <c r="KH12" s="214">
        <f t="shared" si="30"/>
        <v>3936602.6525000003</v>
      </c>
      <c r="KI12" s="214">
        <f t="shared" si="30"/>
        <v>3936602.6525000003</v>
      </c>
      <c r="KJ12" s="214">
        <f t="shared" si="30"/>
        <v>3936602.6525000003</v>
      </c>
      <c r="KK12" s="214">
        <f t="shared" si="30"/>
        <v>3936602.6525000003</v>
      </c>
      <c r="KL12" s="214">
        <f t="shared" si="30"/>
        <v>3936602.6525000003</v>
      </c>
      <c r="KM12" s="214">
        <f t="shared" si="30"/>
        <v>3936602.6525000003</v>
      </c>
      <c r="KN12" s="214">
        <f t="shared" si="30"/>
        <v>3936602.6525000003</v>
      </c>
      <c r="KO12" s="214">
        <f t="shared" si="30"/>
        <v>3936602.6525000003</v>
      </c>
      <c r="KP12" s="214">
        <f t="shared" si="30"/>
        <v>3936602.6525000003</v>
      </c>
      <c r="KQ12" s="214">
        <f t="shared" si="30"/>
        <v>3936602.6525000003</v>
      </c>
      <c r="KR12" s="214">
        <f t="shared" si="30"/>
        <v>3936602.6525000003</v>
      </c>
      <c r="KS12" s="214">
        <f t="shared" si="30"/>
        <v>3936602.6525000003</v>
      </c>
      <c r="KT12" s="214">
        <f t="shared" si="30"/>
        <v>3936602.6525000003</v>
      </c>
      <c r="KU12" s="214">
        <f t="shared" si="30"/>
        <v>3936602.6525000003</v>
      </c>
      <c r="KV12" s="214">
        <f t="shared" si="30"/>
        <v>3936602.6525000003</v>
      </c>
      <c r="KW12" s="214">
        <f t="shared" si="30"/>
        <v>3936602.6525000003</v>
      </c>
      <c r="KX12" s="214">
        <f t="shared" si="30"/>
        <v>3936602.6525000003</v>
      </c>
      <c r="KY12" s="214">
        <f t="shared" si="30"/>
        <v>3936602.6525000003</v>
      </c>
      <c r="KZ12" s="214">
        <f t="shared" si="30"/>
        <v>3936602.6525000003</v>
      </c>
      <c r="LA12" s="214">
        <f t="shared" si="30"/>
        <v>3936602.6525000003</v>
      </c>
      <c r="LB12" s="214">
        <f t="shared" si="30"/>
        <v>3936602.6525000003</v>
      </c>
      <c r="LC12" s="214">
        <f t="shared" si="30"/>
        <v>3936602.6525000003</v>
      </c>
      <c r="LD12" s="214">
        <f t="shared" si="30"/>
        <v>3936602.6525000003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451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1082703.4749999996</v>
      </c>
      <c r="BH14" s="207">
        <f t="shared" si="32"/>
        <v>1033996.5349999997</v>
      </c>
      <c r="BI14" s="207">
        <f t="shared" si="32"/>
        <v>1033996.5349999997</v>
      </c>
      <c r="BJ14" s="207">
        <f t="shared" si="32"/>
        <v>1033996.5349999997</v>
      </c>
      <c r="BK14" s="207">
        <f t="shared" si="32"/>
        <v>840758.2099999995</v>
      </c>
      <c r="BL14" s="207">
        <f t="shared" si="32"/>
        <v>840758.2099999995</v>
      </c>
      <c r="BM14" s="207">
        <f t="shared" si="32"/>
        <v>840758.2099999995</v>
      </c>
      <c r="BN14" s="207">
        <f t="shared" si="32"/>
        <v>840758.2099999995</v>
      </c>
      <c r="BO14" s="207">
        <f t="shared" si="32"/>
        <v>840758.2099999995</v>
      </c>
      <c r="BP14" s="207">
        <f t="shared" si="32"/>
        <v>840758.2099999995</v>
      </c>
      <c r="BQ14" s="207">
        <f t="shared" si="32"/>
        <v>840758.2099999995</v>
      </c>
      <c r="BR14" s="207">
        <f t="shared" si="32"/>
        <v>840758.2099999995</v>
      </c>
      <c r="BS14" s="207">
        <f t="shared" si="32"/>
        <v>840758.2099999995</v>
      </c>
      <c r="BT14" s="207">
        <f t="shared" si="32"/>
        <v>840758.2099999995</v>
      </c>
      <c r="BU14" s="207">
        <f t="shared" ref="BU14:EF14" si="33">BU10-BU12</f>
        <v>840758.2099999995</v>
      </c>
      <c r="BV14" s="207">
        <f t="shared" si="33"/>
        <v>840758.2099999995</v>
      </c>
      <c r="BW14" s="207">
        <f t="shared" si="33"/>
        <v>840758.2099999995</v>
      </c>
      <c r="BX14" s="207">
        <f t="shared" si="33"/>
        <v>840758.2099999995</v>
      </c>
      <c r="BY14" s="207">
        <f t="shared" si="33"/>
        <v>840758.2099999995</v>
      </c>
      <c r="BZ14" s="207">
        <f t="shared" si="33"/>
        <v>840758.2099999995</v>
      </c>
      <c r="CA14" s="207">
        <f t="shared" si="33"/>
        <v>840758.2099999995</v>
      </c>
      <c r="CB14" s="207">
        <f t="shared" si="33"/>
        <v>840758.2099999995</v>
      </c>
      <c r="CC14" s="207">
        <f t="shared" si="33"/>
        <v>840758.2099999995</v>
      </c>
      <c r="CD14" s="207">
        <f t="shared" si="33"/>
        <v>840758.2099999995</v>
      </c>
      <c r="CE14" s="207">
        <f t="shared" si="33"/>
        <v>840758.2099999995</v>
      </c>
      <c r="CF14" s="207">
        <f t="shared" si="33"/>
        <v>840758.2099999995</v>
      </c>
      <c r="CG14" s="207">
        <f t="shared" si="33"/>
        <v>840758.2099999995</v>
      </c>
      <c r="CH14" s="207">
        <f t="shared" si="33"/>
        <v>840758.2099999995</v>
      </c>
      <c r="CI14" s="207">
        <f t="shared" si="33"/>
        <v>840758.2099999995</v>
      </c>
      <c r="CJ14" s="207">
        <f t="shared" si="33"/>
        <v>840758.2099999995</v>
      </c>
      <c r="CK14" s="207">
        <f t="shared" si="33"/>
        <v>840758.2099999995</v>
      </c>
      <c r="CL14" s="207">
        <f t="shared" si="33"/>
        <v>840758.2099999995</v>
      </c>
      <c r="CM14" s="207">
        <f t="shared" si="33"/>
        <v>840758.2099999995</v>
      </c>
      <c r="CN14" s="207">
        <f t="shared" si="33"/>
        <v>840758.2099999995</v>
      </c>
      <c r="CO14" s="207">
        <f t="shared" si="33"/>
        <v>840758.2099999995</v>
      </c>
      <c r="CP14" s="207">
        <f t="shared" si="33"/>
        <v>840758.2099999995</v>
      </c>
      <c r="CQ14" s="207">
        <f t="shared" si="33"/>
        <v>840758.2099999995</v>
      </c>
      <c r="CR14" s="207">
        <f t="shared" si="33"/>
        <v>840758.2099999995</v>
      </c>
      <c r="CS14" s="207">
        <f t="shared" si="33"/>
        <v>840758.2099999995</v>
      </c>
      <c r="CT14" s="207">
        <f t="shared" si="33"/>
        <v>840758.2099999995</v>
      </c>
      <c r="CU14" s="207">
        <f t="shared" si="33"/>
        <v>840758.2099999995</v>
      </c>
      <c r="CV14" s="207">
        <f t="shared" si="33"/>
        <v>840758.2099999995</v>
      </c>
      <c r="CW14" s="207">
        <f t="shared" si="33"/>
        <v>840758.2099999995</v>
      </c>
      <c r="CX14" s="207">
        <f t="shared" si="33"/>
        <v>840758.2099999995</v>
      </c>
      <c r="CY14" s="207">
        <f t="shared" si="33"/>
        <v>840758.2099999995</v>
      </c>
      <c r="CZ14" s="207">
        <f t="shared" si="33"/>
        <v>840758.2099999995</v>
      </c>
      <c r="DA14" s="207">
        <f t="shared" si="33"/>
        <v>840758.2099999995</v>
      </c>
      <c r="DB14" s="207">
        <f t="shared" si="33"/>
        <v>840758.2099999995</v>
      </c>
      <c r="DC14" s="207">
        <f t="shared" si="33"/>
        <v>824870.34749999968</v>
      </c>
      <c r="DD14" s="207">
        <f t="shared" si="33"/>
        <v>824870.34749999968</v>
      </c>
      <c r="DE14" s="207">
        <f t="shared" si="33"/>
        <v>824870.34749999968</v>
      </c>
      <c r="DF14" s="207">
        <f t="shared" si="33"/>
        <v>824870.34749999968</v>
      </c>
      <c r="DG14" s="207">
        <f t="shared" si="33"/>
        <v>824870.34749999968</v>
      </c>
      <c r="DH14" s="207">
        <f t="shared" si="33"/>
        <v>824870.34749999968</v>
      </c>
      <c r="DI14" s="207">
        <f t="shared" si="33"/>
        <v>824870.34749999968</v>
      </c>
      <c r="DJ14" s="207">
        <f t="shared" si="33"/>
        <v>824870.34749999968</v>
      </c>
      <c r="DK14" s="207">
        <f t="shared" si="33"/>
        <v>824870.34749999968</v>
      </c>
      <c r="DL14" s="207">
        <f t="shared" si="33"/>
        <v>824870.34749999968</v>
      </c>
      <c r="DM14" s="207">
        <f t="shared" si="33"/>
        <v>824870.34749999968</v>
      </c>
      <c r="DN14" s="207">
        <f t="shared" si="33"/>
        <v>824870.34749999968</v>
      </c>
      <c r="DO14" s="207">
        <f t="shared" si="33"/>
        <v>824870.34749999968</v>
      </c>
      <c r="DP14" s="207">
        <f t="shared" si="33"/>
        <v>824870.34749999968</v>
      </c>
      <c r="DQ14" s="207">
        <f t="shared" si="33"/>
        <v>824870.34749999968</v>
      </c>
      <c r="DR14" s="207">
        <f t="shared" si="33"/>
        <v>824870.34749999968</v>
      </c>
      <c r="DS14" s="207">
        <f t="shared" si="33"/>
        <v>824870.34749999968</v>
      </c>
      <c r="DT14" s="207">
        <f t="shared" si="33"/>
        <v>824870.34749999968</v>
      </c>
      <c r="DU14" s="207">
        <f t="shared" si="33"/>
        <v>824870.34749999968</v>
      </c>
      <c r="DV14" s="207">
        <f t="shared" si="33"/>
        <v>824870.34749999968</v>
      </c>
      <c r="DW14" s="207">
        <f t="shared" si="33"/>
        <v>824870.34749999968</v>
      </c>
      <c r="DX14" s="207">
        <f t="shared" si="33"/>
        <v>824870.34749999968</v>
      </c>
      <c r="DY14" s="207">
        <f t="shared" si="33"/>
        <v>824870.34749999968</v>
      </c>
      <c r="DZ14" s="207">
        <f t="shared" si="33"/>
        <v>824870.34749999968</v>
      </c>
      <c r="EA14" s="207">
        <f t="shared" si="33"/>
        <v>824870.34749999968</v>
      </c>
      <c r="EB14" s="207">
        <f t="shared" si="33"/>
        <v>824870.34749999968</v>
      </c>
      <c r="EC14" s="207">
        <f t="shared" si="33"/>
        <v>824870.34749999968</v>
      </c>
      <c r="ED14" s="207">
        <f t="shared" si="33"/>
        <v>824870.34749999968</v>
      </c>
      <c r="EE14" s="207">
        <f t="shared" si="33"/>
        <v>824870.34749999968</v>
      </c>
      <c r="EF14" s="207">
        <f t="shared" si="33"/>
        <v>824870.34749999968</v>
      </c>
      <c r="EG14" s="207">
        <f t="shared" ref="EG14:GR14" si="34">EG10-EG12</f>
        <v>824870.34749999968</v>
      </c>
      <c r="EH14" s="207">
        <f t="shared" si="34"/>
        <v>824870.34749999968</v>
      </c>
      <c r="EI14" s="207">
        <f t="shared" si="34"/>
        <v>824870.34749999968</v>
      </c>
      <c r="EJ14" s="207">
        <f t="shared" si="34"/>
        <v>824870.34749999968</v>
      </c>
      <c r="EK14" s="207">
        <f t="shared" si="34"/>
        <v>824870.34749999968</v>
      </c>
      <c r="EL14" s="207">
        <f t="shared" si="34"/>
        <v>824870.34749999968</v>
      </c>
      <c r="EM14" s="207">
        <f t="shared" si="34"/>
        <v>824870.34749999968</v>
      </c>
      <c r="EN14" s="207">
        <f t="shared" si="34"/>
        <v>824870.34749999968</v>
      </c>
      <c r="EO14" s="207">
        <f t="shared" si="34"/>
        <v>824870.34749999968</v>
      </c>
      <c r="EP14" s="207">
        <f t="shared" si="34"/>
        <v>824870.34749999968</v>
      </c>
      <c r="EQ14" s="207">
        <f t="shared" si="34"/>
        <v>824870.34749999968</v>
      </c>
      <c r="ER14" s="207">
        <f t="shared" si="34"/>
        <v>824870.34749999968</v>
      </c>
      <c r="ES14" s="207">
        <f t="shared" si="34"/>
        <v>824870.34749999968</v>
      </c>
      <c r="ET14" s="207">
        <f t="shared" si="34"/>
        <v>824870.34749999968</v>
      </c>
      <c r="EU14" s="207">
        <f t="shared" si="34"/>
        <v>824870.34749999968</v>
      </c>
      <c r="EV14" s="207">
        <f t="shared" si="34"/>
        <v>824870.34749999968</v>
      </c>
      <c r="EW14" s="207">
        <f t="shared" si="34"/>
        <v>824870.34749999968</v>
      </c>
      <c r="EX14" s="207">
        <f t="shared" si="34"/>
        <v>824870.34749999968</v>
      </c>
      <c r="EY14" s="207">
        <f t="shared" si="34"/>
        <v>824870.34749999968</v>
      </c>
      <c r="EZ14" s="207">
        <f t="shared" si="34"/>
        <v>824870.34749999968</v>
      </c>
      <c r="FA14" s="207">
        <f t="shared" si="34"/>
        <v>824870.34749999968</v>
      </c>
      <c r="FB14" s="207">
        <f t="shared" si="34"/>
        <v>824870.34749999968</v>
      </c>
      <c r="FC14" s="207">
        <f t="shared" si="34"/>
        <v>824870.34749999968</v>
      </c>
      <c r="FD14" s="207">
        <f t="shared" si="34"/>
        <v>824870.34749999968</v>
      </c>
      <c r="FE14" s="207">
        <f t="shared" si="34"/>
        <v>824870.34749999968</v>
      </c>
      <c r="FF14" s="207">
        <f t="shared" si="34"/>
        <v>824870.34749999968</v>
      </c>
      <c r="FG14" s="207">
        <f t="shared" si="34"/>
        <v>824870.34749999968</v>
      </c>
      <c r="FH14" s="207">
        <f t="shared" si="34"/>
        <v>824870.34749999968</v>
      </c>
      <c r="FI14" s="207">
        <f t="shared" si="34"/>
        <v>824870.34749999968</v>
      </c>
      <c r="FJ14" s="207">
        <f t="shared" si="34"/>
        <v>824870.34749999968</v>
      </c>
      <c r="FK14" s="207">
        <f t="shared" si="34"/>
        <v>824870.34749999968</v>
      </c>
      <c r="FL14" s="207">
        <f t="shared" si="34"/>
        <v>824870.34749999968</v>
      </c>
      <c r="FM14" s="207">
        <f t="shared" si="34"/>
        <v>824870.34749999968</v>
      </c>
      <c r="FN14" s="207">
        <f t="shared" si="34"/>
        <v>824870.34749999968</v>
      </c>
      <c r="FO14" s="207">
        <f t="shared" si="34"/>
        <v>824870.34749999968</v>
      </c>
      <c r="FP14" s="207">
        <f t="shared" si="34"/>
        <v>824870.34749999968</v>
      </c>
      <c r="FQ14" s="207">
        <f t="shared" si="34"/>
        <v>824870.34749999968</v>
      </c>
      <c r="FR14" s="207">
        <f t="shared" si="34"/>
        <v>824870.34749999968</v>
      </c>
      <c r="FS14" s="207">
        <f t="shared" si="34"/>
        <v>824870.34749999968</v>
      </c>
      <c r="FT14" s="207">
        <f t="shared" si="34"/>
        <v>824870.34749999968</v>
      </c>
      <c r="FU14" s="207">
        <f t="shared" si="34"/>
        <v>824870.34749999968</v>
      </c>
      <c r="FV14" s="207">
        <f t="shared" si="34"/>
        <v>824870.34749999968</v>
      </c>
      <c r="FW14" s="207">
        <f t="shared" si="34"/>
        <v>824870.34749999968</v>
      </c>
      <c r="FX14" s="207">
        <f t="shared" si="34"/>
        <v>824870.34749999968</v>
      </c>
      <c r="FY14" s="207">
        <f t="shared" si="34"/>
        <v>824870.34749999968</v>
      </c>
      <c r="FZ14" s="207">
        <f t="shared" si="34"/>
        <v>824870.34749999968</v>
      </c>
      <c r="GA14" s="207">
        <f t="shared" si="34"/>
        <v>824870.34749999968</v>
      </c>
      <c r="GB14" s="207">
        <f t="shared" si="34"/>
        <v>824870.34749999968</v>
      </c>
      <c r="GC14" s="207">
        <f t="shared" si="34"/>
        <v>824870.34749999968</v>
      </c>
      <c r="GD14" s="207">
        <f t="shared" si="34"/>
        <v>824870.34749999968</v>
      </c>
      <c r="GE14" s="207">
        <f t="shared" si="34"/>
        <v>824870.34749999968</v>
      </c>
      <c r="GF14" s="207">
        <f t="shared" si="34"/>
        <v>824870.34749999968</v>
      </c>
      <c r="GG14" s="207">
        <f t="shared" si="34"/>
        <v>824870.34749999968</v>
      </c>
      <c r="GH14" s="207">
        <f t="shared" si="34"/>
        <v>824870.34749999968</v>
      </c>
      <c r="GI14" s="207">
        <f t="shared" si="34"/>
        <v>824870.34749999968</v>
      </c>
      <c r="GJ14" s="207">
        <f t="shared" si="34"/>
        <v>824870.34749999968</v>
      </c>
      <c r="GK14" s="207">
        <f t="shared" si="34"/>
        <v>824870.34749999968</v>
      </c>
      <c r="GL14" s="207">
        <f t="shared" si="34"/>
        <v>824870.34749999968</v>
      </c>
      <c r="GM14" s="207">
        <f t="shared" si="34"/>
        <v>824870.34749999968</v>
      </c>
      <c r="GN14" s="207">
        <f t="shared" si="34"/>
        <v>824870.34749999968</v>
      </c>
      <c r="GO14" s="207">
        <f t="shared" si="34"/>
        <v>824870.34749999968</v>
      </c>
      <c r="GP14" s="207">
        <f t="shared" si="34"/>
        <v>824870.34749999968</v>
      </c>
      <c r="GQ14" s="207">
        <f t="shared" si="34"/>
        <v>824870.34749999968</v>
      </c>
      <c r="GR14" s="207">
        <f t="shared" si="34"/>
        <v>824870.34749999968</v>
      </c>
      <c r="GS14" s="207">
        <f t="shared" ref="GS14:JD14" si="35">GS10-GS12</f>
        <v>824870.34749999968</v>
      </c>
      <c r="GT14" s="207">
        <f t="shared" si="35"/>
        <v>824870.34749999968</v>
      </c>
      <c r="GU14" s="207">
        <f t="shared" si="35"/>
        <v>824870.34749999968</v>
      </c>
      <c r="GV14" s="207">
        <f t="shared" si="35"/>
        <v>824870.34749999968</v>
      </c>
      <c r="GW14" s="207">
        <f t="shared" si="35"/>
        <v>824870.34749999968</v>
      </c>
      <c r="GX14" s="207">
        <f t="shared" si="35"/>
        <v>824870.34749999968</v>
      </c>
      <c r="GY14" s="207">
        <f t="shared" si="35"/>
        <v>824870.34749999968</v>
      </c>
      <c r="GZ14" s="207">
        <f t="shared" si="35"/>
        <v>824870.34749999968</v>
      </c>
      <c r="HA14" s="207">
        <f t="shared" si="35"/>
        <v>824870.34749999968</v>
      </c>
      <c r="HB14" s="207">
        <f t="shared" si="35"/>
        <v>824870.34749999968</v>
      </c>
      <c r="HC14" s="207">
        <f t="shared" si="35"/>
        <v>824870.34749999968</v>
      </c>
      <c r="HD14" s="207">
        <f t="shared" si="35"/>
        <v>824870.34749999968</v>
      </c>
      <c r="HE14" s="207">
        <f t="shared" si="35"/>
        <v>824870.34749999968</v>
      </c>
      <c r="HF14" s="207">
        <f t="shared" si="35"/>
        <v>824870.34749999968</v>
      </c>
      <c r="HG14" s="207">
        <f t="shared" si="35"/>
        <v>824870.34749999968</v>
      </c>
      <c r="HH14" s="207">
        <f t="shared" si="35"/>
        <v>824870.34749999968</v>
      </c>
      <c r="HI14" s="207">
        <f t="shared" si="35"/>
        <v>824870.34749999968</v>
      </c>
      <c r="HJ14" s="207">
        <f t="shared" si="35"/>
        <v>824870.34749999968</v>
      </c>
      <c r="HK14" s="207">
        <f t="shared" si="35"/>
        <v>824870.34749999968</v>
      </c>
      <c r="HL14" s="207">
        <f t="shared" si="35"/>
        <v>824870.34749999968</v>
      </c>
      <c r="HM14" s="207">
        <f t="shared" si="35"/>
        <v>824870.34749999968</v>
      </c>
      <c r="HN14" s="207">
        <f t="shared" si="35"/>
        <v>824870.34749999968</v>
      </c>
      <c r="HO14" s="207">
        <f t="shared" si="35"/>
        <v>824870.34749999968</v>
      </c>
      <c r="HP14" s="207">
        <f t="shared" si="35"/>
        <v>824870.34749999968</v>
      </c>
      <c r="HQ14" s="207">
        <f t="shared" si="35"/>
        <v>824870.34749999968</v>
      </c>
      <c r="HR14" s="207">
        <f t="shared" si="35"/>
        <v>824870.34749999968</v>
      </c>
      <c r="HS14" s="207">
        <f t="shared" si="35"/>
        <v>824870.34749999968</v>
      </c>
      <c r="HT14" s="207">
        <f t="shared" si="35"/>
        <v>824870.34749999968</v>
      </c>
      <c r="HU14" s="207">
        <f t="shared" si="35"/>
        <v>824870.34749999968</v>
      </c>
      <c r="HV14" s="207">
        <f t="shared" si="35"/>
        <v>824870.34749999968</v>
      </c>
      <c r="HW14" s="207">
        <f t="shared" si="35"/>
        <v>824870.34749999968</v>
      </c>
      <c r="HX14" s="207">
        <f t="shared" si="35"/>
        <v>824870.34749999968</v>
      </c>
      <c r="HY14" s="207">
        <f t="shared" si="35"/>
        <v>824870.34749999968</v>
      </c>
      <c r="HZ14" s="207">
        <f t="shared" si="35"/>
        <v>824870.34749999968</v>
      </c>
      <c r="IA14" s="207">
        <f t="shared" si="35"/>
        <v>824870.34749999968</v>
      </c>
      <c r="IB14" s="207">
        <f t="shared" si="35"/>
        <v>824870.34749999968</v>
      </c>
      <c r="IC14" s="207">
        <f t="shared" si="35"/>
        <v>824870.34749999968</v>
      </c>
      <c r="ID14" s="207">
        <f t="shared" si="35"/>
        <v>824870.34749999968</v>
      </c>
      <c r="IE14" s="207">
        <f t="shared" si="35"/>
        <v>824870.34749999968</v>
      </c>
      <c r="IF14" s="207">
        <f t="shared" si="35"/>
        <v>824870.34749999968</v>
      </c>
      <c r="IG14" s="207">
        <f t="shared" si="35"/>
        <v>824870.34749999968</v>
      </c>
      <c r="IH14" s="207">
        <f t="shared" si="35"/>
        <v>824870.34749999968</v>
      </c>
      <c r="II14" s="207">
        <f t="shared" si="35"/>
        <v>824870.34749999968</v>
      </c>
      <c r="IJ14" s="207">
        <f t="shared" si="35"/>
        <v>824870.34749999968</v>
      </c>
      <c r="IK14" s="207">
        <f t="shared" si="35"/>
        <v>824870.34749999968</v>
      </c>
      <c r="IL14" s="207">
        <f t="shared" si="35"/>
        <v>824870.34749999968</v>
      </c>
      <c r="IM14" s="207">
        <f t="shared" si="35"/>
        <v>824870.34749999968</v>
      </c>
      <c r="IN14" s="207">
        <f t="shared" si="35"/>
        <v>824870.34749999968</v>
      </c>
      <c r="IO14" s="207">
        <f t="shared" si="35"/>
        <v>824870.34749999968</v>
      </c>
      <c r="IP14" s="207">
        <f t="shared" si="35"/>
        <v>824870.34749999968</v>
      </c>
      <c r="IQ14" s="207">
        <f t="shared" si="35"/>
        <v>824870.34749999968</v>
      </c>
      <c r="IR14" s="207">
        <f t="shared" si="35"/>
        <v>824870.34749999968</v>
      </c>
      <c r="IS14" s="207">
        <f t="shared" si="35"/>
        <v>824870.34749999968</v>
      </c>
      <c r="IT14" s="207">
        <f t="shared" si="35"/>
        <v>824870.34749999968</v>
      </c>
      <c r="IU14" s="207">
        <f t="shared" si="35"/>
        <v>824870.34749999968</v>
      </c>
      <c r="IV14" s="207">
        <f t="shared" si="35"/>
        <v>824870.34749999968</v>
      </c>
      <c r="IW14" s="207">
        <f t="shared" si="35"/>
        <v>824870.34749999968</v>
      </c>
      <c r="IX14" s="207">
        <f t="shared" si="35"/>
        <v>824870.34749999968</v>
      </c>
      <c r="IY14" s="207">
        <f t="shared" si="35"/>
        <v>824870.34749999968</v>
      </c>
      <c r="IZ14" s="207">
        <f t="shared" si="35"/>
        <v>824870.34749999968</v>
      </c>
      <c r="JA14" s="207">
        <f t="shared" si="35"/>
        <v>824870.34749999968</v>
      </c>
      <c r="JB14" s="207">
        <f t="shared" si="35"/>
        <v>824870.34749999968</v>
      </c>
      <c r="JC14" s="207">
        <f t="shared" si="35"/>
        <v>824870.34749999968</v>
      </c>
      <c r="JD14" s="207">
        <f t="shared" si="35"/>
        <v>824870.34749999968</v>
      </c>
      <c r="JE14" s="207">
        <f t="shared" ref="JE14:LD14" si="36">JE10-JE12</f>
        <v>824870.34749999968</v>
      </c>
      <c r="JF14" s="207">
        <f t="shared" si="36"/>
        <v>824870.34749999968</v>
      </c>
      <c r="JG14" s="207">
        <f t="shared" si="36"/>
        <v>824870.34749999968</v>
      </c>
      <c r="JH14" s="207">
        <f t="shared" si="36"/>
        <v>824870.34749999968</v>
      </c>
      <c r="JI14" s="207">
        <f t="shared" si="36"/>
        <v>824870.34749999968</v>
      </c>
      <c r="JJ14" s="207">
        <f t="shared" si="36"/>
        <v>824870.34749999968</v>
      </c>
      <c r="JK14" s="207">
        <f t="shared" si="36"/>
        <v>824870.34749999968</v>
      </c>
      <c r="JL14" s="207">
        <f t="shared" si="36"/>
        <v>824870.34749999968</v>
      </c>
      <c r="JM14" s="207">
        <f t="shared" si="36"/>
        <v>824870.34749999968</v>
      </c>
      <c r="JN14" s="207">
        <f t="shared" si="36"/>
        <v>824870.34749999968</v>
      </c>
      <c r="JO14" s="207">
        <f t="shared" si="36"/>
        <v>824870.34749999968</v>
      </c>
      <c r="JP14" s="207">
        <f t="shared" si="36"/>
        <v>824870.34749999968</v>
      </c>
      <c r="JQ14" s="207">
        <f t="shared" si="36"/>
        <v>824870.34749999968</v>
      </c>
      <c r="JR14" s="207">
        <f t="shared" si="36"/>
        <v>824870.34749999968</v>
      </c>
      <c r="JS14" s="207">
        <f t="shared" si="36"/>
        <v>824870.34749999968</v>
      </c>
      <c r="JT14" s="207">
        <f t="shared" si="36"/>
        <v>824870.34749999968</v>
      </c>
      <c r="JU14" s="207">
        <f t="shared" si="36"/>
        <v>824870.34749999968</v>
      </c>
      <c r="JV14" s="207">
        <f t="shared" si="36"/>
        <v>824870.34749999968</v>
      </c>
      <c r="JW14" s="207">
        <f t="shared" si="36"/>
        <v>824870.34749999968</v>
      </c>
      <c r="JX14" s="207">
        <f t="shared" si="36"/>
        <v>824870.34749999968</v>
      </c>
      <c r="JY14" s="207">
        <f t="shared" si="36"/>
        <v>824870.34749999968</v>
      </c>
      <c r="JZ14" s="207">
        <f t="shared" si="36"/>
        <v>824870.34749999968</v>
      </c>
      <c r="KA14" s="207">
        <f t="shared" si="36"/>
        <v>824870.34749999968</v>
      </c>
      <c r="KB14" s="207">
        <f t="shared" si="36"/>
        <v>824870.34749999968</v>
      </c>
      <c r="KC14" s="207">
        <f t="shared" si="36"/>
        <v>824870.34749999968</v>
      </c>
      <c r="KD14" s="207">
        <f t="shared" si="36"/>
        <v>824870.34749999968</v>
      </c>
      <c r="KE14" s="207">
        <f t="shared" si="36"/>
        <v>824870.34749999968</v>
      </c>
      <c r="KF14" s="207">
        <f t="shared" si="36"/>
        <v>824870.34749999968</v>
      </c>
      <c r="KG14" s="207">
        <f t="shared" si="36"/>
        <v>824870.34749999968</v>
      </c>
      <c r="KH14" s="207">
        <f t="shared" si="36"/>
        <v>824870.34749999968</v>
      </c>
      <c r="KI14" s="207">
        <f t="shared" si="36"/>
        <v>824870.34749999968</v>
      </c>
      <c r="KJ14" s="207">
        <f t="shared" si="36"/>
        <v>824870.34749999968</v>
      </c>
      <c r="KK14" s="207">
        <f t="shared" si="36"/>
        <v>824870.34749999968</v>
      </c>
      <c r="KL14" s="207">
        <f t="shared" si="36"/>
        <v>824870.34749999968</v>
      </c>
      <c r="KM14" s="207">
        <f t="shared" si="36"/>
        <v>824870.34749999968</v>
      </c>
      <c r="KN14" s="207">
        <f t="shared" si="36"/>
        <v>824870.34749999968</v>
      </c>
      <c r="KO14" s="207">
        <f t="shared" si="36"/>
        <v>824870.34749999968</v>
      </c>
      <c r="KP14" s="207">
        <f t="shared" si="36"/>
        <v>824870.34749999968</v>
      </c>
      <c r="KQ14" s="207">
        <f t="shared" si="36"/>
        <v>824870.34749999968</v>
      </c>
      <c r="KR14" s="207">
        <f t="shared" si="36"/>
        <v>824870.34749999968</v>
      </c>
      <c r="KS14" s="207">
        <f t="shared" si="36"/>
        <v>824870.34749999968</v>
      </c>
      <c r="KT14" s="207">
        <f t="shared" si="36"/>
        <v>824870.34749999968</v>
      </c>
      <c r="KU14" s="207">
        <f t="shared" si="36"/>
        <v>824870.34749999968</v>
      </c>
      <c r="KV14" s="207">
        <f t="shared" si="36"/>
        <v>824870.34749999968</v>
      </c>
      <c r="KW14" s="207">
        <f t="shared" si="36"/>
        <v>824870.34749999968</v>
      </c>
      <c r="KX14" s="207">
        <f t="shared" si="36"/>
        <v>824870.34749999968</v>
      </c>
      <c r="KY14" s="207">
        <f t="shared" si="36"/>
        <v>824870.34749999968</v>
      </c>
      <c r="KZ14" s="207">
        <f t="shared" si="36"/>
        <v>824870.34749999968</v>
      </c>
      <c r="LA14" s="207">
        <f t="shared" si="36"/>
        <v>824870.34749999968</v>
      </c>
      <c r="LB14" s="207">
        <f t="shared" si="36"/>
        <v>824870.34749999968</v>
      </c>
      <c r="LC14" s="207">
        <f t="shared" si="36"/>
        <v>824870.34749999968</v>
      </c>
      <c r="LD14" s="207">
        <f t="shared" si="36"/>
        <v>824870.34749999968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02"/>
      <c r="B17" s="195" t="s">
        <v>452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2"/>
      <c r="B18" s="195" t="s">
        <v>453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N16" sqref="N16"/>
    </sheetView>
  </sheetViews>
  <sheetFormatPr defaultColWidth="12.54296875" defaultRowHeight="14.5"/>
  <cols>
    <col min="1" max="1" width="39.453125" style="366" bestFit="1" customWidth="1"/>
    <col min="2" max="2" width="17.36328125" style="367" bestFit="1" customWidth="1"/>
    <col min="3" max="3" width="12" style="366" bestFit="1" customWidth="1"/>
    <col min="4" max="5" width="14.90625" style="366" bestFit="1" customWidth="1"/>
    <col min="6" max="6" width="12" style="366" bestFit="1" customWidth="1"/>
    <col min="7" max="7" width="13.36328125" style="366" bestFit="1" customWidth="1"/>
    <col min="8" max="9" width="12" style="366" bestFit="1" customWidth="1"/>
    <col min="10" max="10" width="11.6328125" style="366" bestFit="1" customWidth="1"/>
    <col min="11" max="11" width="12" style="366" bestFit="1" customWidth="1"/>
    <col min="12" max="12" width="4.90625" style="366" bestFit="1" customWidth="1"/>
    <col min="13" max="13" width="10.54296875" style="366" bestFit="1" customWidth="1"/>
    <col min="14" max="14" width="13" style="366" bestFit="1" customWidth="1"/>
    <col min="15" max="15" width="14.90625" style="366" bestFit="1" customWidth="1"/>
    <col min="16" max="16" width="14.453125" style="366" bestFit="1" customWidth="1"/>
    <col min="17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454</v>
      </c>
      <c r="B3" s="452" t="s">
        <v>455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456</v>
      </c>
      <c r="B4" t="s">
        <v>457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458</v>
      </c>
      <c r="P4"/>
      <c r="Q4"/>
      <c r="R4"/>
      <c r="S4"/>
      <c r="T4"/>
    </row>
    <row r="5" spans="1:20">
      <c r="A5" s="453" t="s">
        <v>457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53" t="s">
        <v>239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1233423.688888889</v>
      </c>
      <c r="P6"/>
      <c r="Q6"/>
      <c r="R6"/>
      <c r="S6"/>
      <c r="T6"/>
    </row>
    <row r="7" spans="1:20">
      <c r="A7" s="453" t="s">
        <v>252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311111.11111111112</v>
      </c>
      <c r="P7"/>
      <c r="Q7"/>
      <c r="R7"/>
      <c r="S7"/>
      <c r="T7"/>
    </row>
    <row r="8" spans="1:20">
      <c r="A8" s="453" t="s">
        <v>263</v>
      </c>
      <c r="B8" s="371">
        <v>0</v>
      </c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/>
      <c r="N8" s="371"/>
      <c r="O8" s="371">
        <v>254659.9979998949</v>
      </c>
      <c r="P8"/>
      <c r="Q8"/>
      <c r="R8"/>
      <c r="S8"/>
      <c r="T8"/>
    </row>
    <row r="9" spans="1:20">
      <c r="A9" s="453" t="s">
        <v>281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/>
      <c r="O9" s="371">
        <v>452766.22222222225</v>
      </c>
      <c r="P9"/>
      <c r="Q9"/>
      <c r="R9"/>
      <c r="S9"/>
      <c r="T9"/>
    </row>
    <row r="10" spans="1:20">
      <c r="A10" s="453" t="s">
        <v>307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54444.445926647211</v>
      </c>
      <c r="P10"/>
      <c r="Q10"/>
      <c r="R10"/>
      <c r="S10"/>
      <c r="T10"/>
    </row>
    <row r="11" spans="1:20">
      <c r="A11" s="453" t="s">
        <v>325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/>
      <c r="O11" s="371">
        <v>748868.28699237923</v>
      </c>
      <c r="P11"/>
      <c r="Q11"/>
      <c r="R11"/>
      <c r="S11"/>
      <c r="T11"/>
    </row>
    <row r="12" spans="1:20">
      <c r="A12" s="453" t="s">
        <v>332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53" t="s">
        <v>351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/>
      <c r="O13" s="371">
        <v>484647.06072784011</v>
      </c>
      <c r="P13"/>
      <c r="Q13"/>
      <c r="R13"/>
      <c r="S13"/>
      <c r="T13"/>
    </row>
    <row r="14" spans="1:20">
      <c r="A14" s="453" t="s">
        <v>358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/>
      <c r="O14" s="371">
        <v>125049.02378053748</v>
      </c>
      <c r="P14"/>
      <c r="Q14"/>
      <c r="R14"/>
      <c r="S14"/>
      <c r="T14"/>
    </row>
    <row r="15" spans="1:20">
      <c r="A15" s="453" t="s">
        <v>378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/>
      <c r="N15" s="371">
        <v>0</v>
      </c>
      <c r="O15" s="371">
        <v>147292.93989581306</v>
      </c>
      <c r="P15"/>
      <c r="Q15"/>
      <c r="R15"/>
      <c r="S15"/>
      <c r="T15"/>
    </row>
    <row r="16" spans="1:20">
      <c r="A16" s="453" t="s">
        <v>397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188915.91341873704</v>
      </c>
      <c r="O16" s="371">
        <v>188915.91341873704</v>
      </c>
      <c r="P16"/>
      <c r="Q16"/>
      <c r="R16"/>
      <c r="S16"/>
      <c r="T16"/>
    </row>
    <row r="17" spans="1:20">
      <c r="A17" s="453" t="s">
        <v>405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/>
      <c r="O17" s="371">
        <v>10294.115719959314</v>
      </c>
      <c r="P17"/>
      <c r="Q17"/>
      <c r="R17"/>
      <c r="S17"/>
      <c r="T17"/>
    </row>
    <row r="18" spans="1:20">
      <c r="A18" s="453" t="s">
        <v>410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/>
      <c r="O18" s="371">
        <v>750000</v>
      </c>
      <c r="P18"/>
      <c r="Q18"/>
      <c r="R18"/>
      <c r="S18"/>
      <c r="T18"/>
    </row>
    <row r="19" spans="1:20">
      <c r="A19" s="453" t="s">
        <v>393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330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458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0</v>
      </c>
      <c r="N21" s="371">
        <v>188915.91341873704</v>
      </c>
      <c r="O21" s="371">
        <v>4761472.8066840302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0" sqref="L10"/>
    </sheetView>
  </sheetViews>
  <sheetFormatPr defaultColWidth="8.453125" defaultRowHeight="14.5"/>
  <cols>
    <col min="1" max="1" width="21.6328125" bestFit="1" customWidth="1"/>
    <col min="2" max="2" width="17.36328125" style="413" bestFit="1" customWidth="1"/>
    <col min="3" max="3" width="12" style="413" bestFit="1" customWidth="1"/>
    <col min="4" max="5" width="14.90625" style="413" bestFit="1" customWidth="1"/>
    <col min="6" max="6" width="12" style="413" bestFit="1" customWidth="1"/>
    <col min="7" max="7" width="13.36328125" style="413" bestFit="1" customWidth="1"/>
    <col min="8" max="8" width="12" style="413" bestFit="1" customWidth="1"/>
    <col min="9" max="9" width="13.36328125" style="413" bestFit="1" customWidth="1"/>
    <col min="10" max="12" width="12" bestFit="1" customWidth="1"/>
    <col min="13" max="13" width="4.90625" bestFit="1" customWidth="1"/>
    <col min="14" max="14" width="13.36328125" bestFit="1" customWidth="1"/>
    <col min="15" max="15" width="14.90625" bestFit="1" customWidth="1"/>
    <col min="16" max="16" width="17.453125" bestFit="1" customWidth="1"/>
    <col min="17" max="18" width="11.54296875" bestFit="1" customWidth="1"/>
    <col min="19" max="19" width="13.453125" bestFit="1" customWidth="1"/>
  </cols>
  <sheetData>
    <row r="3" spans="1:16">
      <c r="A3" s="452" t="s">
        <v>459</v>
      </c>
      <c r="B3" s="452" t="s">
        <v>455</v>
      </c>
      <c r="C3"/>
      <c r="D3"/>
      <c r="E3"/>
      <c r="F3"/>
      <c r="G3"/>
      <c r="H3"/>
      <c r="I3"/>
    </row>
    <row r="4" spans="1:16">
      <c r="A4" s="452" t="s">
        <v>456</v>
      </c>
      <c r="B4" t="s">
        <v>457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s="454">
        <v>46081</v>
      </c>
      <c r="O4" t="s">
        <v>458</v>
      </c>
    </row>
    <row r="5" spans="1:16">
      <c r="A5" s="453" t="s">
        <v>457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6">
      <c r="A6" s="453" t="s">
        <v>239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/>
      <c r="O6" s="455">
        <v>1017651.2</v>
      </c>
    </row>
    <row r="7" spans="1:16">
      <c r="A7" s="453" t="s">
        <v>252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275481.40000000002</v>
      </c>
    </row>
    <row r="8" spans="1:16">
      <c r="A8" s="453" t="s">
        <v>263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/>
      <c r="M8" s="455"/>
      <c r="N8" s="455"/>
      <c r="O8" s="455">
        <v>147784.22</v>
      </c>
    </row>
    <row r="9" spans="1:16">
      <c r="A9" s="453" t="s">
        <v>281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/>
      <c r="O9" s="455">
        <v>374718.25</v>
      </c>
    </row>
    <row r="10" spans="1:16">
      <c r="A10" s="453" t="s">
        <v>307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325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/>
      <c r="O11" s="455">
        <v>292269.32</v>
      </c>
    </row>
    <row r="12" spans="1:16">
      <c r="A12" s="453" t="s">
        <v>332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>
        <v>44224</v>
      </c>
      <c r="M12" s="455"/>
      <c r="N12" s="455"/>
      <c r="O12" s="455">
        <v>152060</v>
      </c>
      <c r="P12" s="455"/>
    </row>
    <row r="13" spans="1:16">
      <c r="A13" s="453" t="s">
        <v>351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/>
      <c r="O13" s="455">
        <v>508999.99</v>
      </c>
    </row>
    <row r="14" spans="1:16">
      <c r="A14" s="453" t="s">
        <v>358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/>
      <c r="O14" s="455">
        <v>217870</v>
      </c>
    </row>
    <row r="15" spans="1:16">
      <c r="A15" s="453" t="s">
        <v>378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/>
      <c r="M15" s="455"/>
      <c r="N15" s="455">
        <v>79700</v>
      </c>
      <c r="O15" s="455">
        <v>114589.70999999999</v>
      </c>
    </row>
    <row r="16" spans="1:16">
      <c r="A16" s="453" t="s">
        <v>397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>
        <v>59518.412500000006</v>
      </c>
      <c r="O16" s="455">
        <v>59518.412500000006</v>
      </c>
    </row>
    <row r="17" spans="1:15">
      <c r="A17" s="453" t="s">
        <v>405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971.04</v>
      </c>
      <c r="M17" s="455">
        <v>0</v>
      </c>
      <c r="N17" s="455"/>
      <c r="O17" s="455">
        <v>13433.02</v>
      </c>
    </row>
    <row r="18" spans="1:15">
      <c r="A18" s="453" t="s">
        <v>410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/>
      <c r="O18" s="455">
        <v>726300</v>
      </c>
    </row>
    <row r="19" spans="1:15">
      <c r="A19" s="453" t="s">
        <v>393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330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458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45195.040000000001</v>
      </c>
      <c r="M21" s="455">
        <v>0</v>
      </c>
      <c r="N21" s="455">
        <v>139218.41250000001</v>
      </c>
      <c r="O21" s="455">
        <v>3936602.6524999999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805" t="s">
        <v>460</v>
      </c>
      <c r="C2" s="805"/>
      <c r="D2" s="805"/>
      <c r="E2" s="805"/>
      <c r="H2" s="806" t="s">
        <v>461</v>
      </c>
      <c r="I2" s="807"/>
      <c r="J2" s="807"/>
      <c r="K2" s="807"/>
      <c r="L2" s="807"/>
      <c r="M2" s="807"/>
      <c r="N2" s="807"/>
      <c r="O2" s="808"/>
    </row>
    <row r="3" spans="2:15">
      <c r="B3" s="692"/>
      <c r="H3" s="809"/>
      <c r="I3" s="810"/>
      <c r="J3" s="810"/>
      <c r="K3" s="810"/>
      <c r="L3" s="810"/>
      <c r="M3" s="810"/>
      <c r="N3" s="810"/>
      <c r="O3" s="811"/>
    </row>
    <row r="4" spans="2:15">
      <c r="B4" s="693" t="s">
        <v>462</v>
      </c>
      <c r="C4" s="694" t="str">
        <f>'Project Plan'!E2</f>
        <v>Pretoria North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93" t="s">
        <v>463</v>
      </c>
      <c r="C5" s="694" t="s">
        <v>464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93" t="s">
        <v>465</v>
      </c>
      <c r="C6" s="694" t="s">
        <v>466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93" t="s">
        <v>467</v>
      </c>
      <c r="C7" s="694" t="s">
        <v>76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92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468</v>
      </c>
      <c r="C9" s="815"/>
      <c r="D9" s="815"/>
      <c r="E9" s="81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469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695" t="s">
        <v>470</v>
      </c>
      <c r="C11" s="803" t="s">
        <v>471</v>
      </c>
      <c r="D11" s="803"/>
      <c r="E11" s="803"/>
    </row>
    <row r="12" spans="2:15">
      <c r="B12" s="695" t="s">
        <v>472</v>
      </c>
      <c r="C12" s="803" t="s">
        <v>471</v>
      </c>
      <c r="D12" s="803"/>
      <c r="E12" s="803"/>
    </row>
    <row r="13" spans="2:15">
      <c r="B13" s="695" t="s">
        <v>473</v>
      </c>
      <c r="C13" s="803" t="s">
        <v>471</v>
      </c>
      <c r="D13" s="803"/>
      <c r="E13" s="803"/>
    </row>
    <row r="14" spans="2:15">
      <c r="B14" s="695" t="s">
        <v>474</v>
      </c>
      <c r="C14" s="803" t="s">
        <v>475</v>
      </c>
      <c r="D14" s="803"/>
      <c r="E14" s="803"/>
    </row>
    <row r="15" spans="2:15">
      <c r="B15" s="695" t="s">
        <v>476</v>
      </c>
      <c r="C15" s="803" t="s">
        <v>477</v>
      </c>
      <c r="D15" s="803"/>
      <c r="E15" s="803"/>
    </row>
    <row r="16" spans="2:15" ht="15" customHeight="1">
      <c r="B16" s="695" t="s">
        <v>478</v>
      </c>
      <c r="C16" s="803" t="s">
        <v>479</v>
      </c>
      <c r="D16" s="803"/>
      <c r="E16" s="803"/>
    </row>
    <row r="17" spans="2:5">
      <c r="B17" s="692"/>
    </row>
    <row r="18" spans="2:5">
      <c r="B18" s="804" t="s">
        <v>480</v>
      </c>
      <c r="C18" s="804"/>
      <c r="D18" s="804"/>
      <c r="E18" s="804"/>
    </row>
    <row r="19" spans="2:5">
      <c r="B19" s="695" t="s">
        <v>481</v>
      </c>
      <c r="C19" s="695" t="s">
        <v>482</v>
      </c>
      <c r="D19" s="695" t="s">
        <v>483</v>
      </c>
      <c r="E19" s="695" t="s">
        <v>62</v>
      </c>
    </row>
    <row r="20" spans="2:5" ht="15" customHeight="1">
      <c r="B20" s="695" t="s">
        <v>484</v>
      </c>
      <c r="C20" s="695" t="s">
        <v>485</v>
      </c>
      <c r="D20" s="696" t="s">
        <v>486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487</v>
      </c>
    </row>
    <row r="2" spans="1:4">
      <c r="A2" s="817"/>
      <c r="B2" s="817"/>
      <c r="C2" s="817"/>
      <c r="D2" s="71"/>
    </row>
    <row r="3" spans="1:4">
      <c r="A3" s="816" t="s">
        <v>488</v>
      </c>
      <c r="B3" s="816"/>
      <c r="C3" s="816"/>
      <c r="D3" s="111">
        <v>0.32</v>
      </c>
    </row>
    <row r="4" spans="1:4">
      <c r="A4" s="816" t="s">
        <v>429</v>
      </c>
      <c r="B4" s="816"/>
      <c r="C4" s="816"/>
      <c r="D4" s="111">
        <v>0.5</v>
      </c>
    </row>
    <row r="5" spans="1:4">
      <c r="A5" s="816" t="s">
        <v>440</v>
      </c>
      <c r="B5" s="816"/>
      <c r="C5" s="816"/>
      <c r="D5" s="111">
        <v>0.15</v>
      </c>
    </row>
    <row r="6" spans="1:4">
      <c r="A6" s="816" t="s">
        <v>489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8" t="s">
        <v>490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 ht="13">
      <c r="B4" s="92" t="s">
        <v>491</v>
      </c>
      <c r="C4" s="86"/>
      <c r="D4" s="90" t="s">
        <v>492</v>
      </c>
      <c r="E4" s="95"/>
      <c r="F4" s="90" t="s">
        <v>493</v>
      </c>
      <c r="H4" s="90" t="s">
        <v>494</v>
      </c>
      <c r="I4" s="95"/>
      <c r="J4" s="90" t="s">
        <v>495</v>
      </c>
      <c r="L4" s="90" t="s">
        <v>494</v>
      </c>
      <c r="M4" s="90"/>
      <c r="N4" s="90" t="s">
        <v>496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497</v>
      </c>
      <c r="H7" s="99"/>
      <c r="I7" s="95"/>
      <c r="J7" s="107" t="s">
        <v>497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498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499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500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497</v>
      </c>
      <c r="H15" s="99"/>
      <c r="I15" s="95"/>
      <c r="J15" s="107" t="s">
        <v>497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501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497</v>
      </c>
      <c r="H21" s="99"/>
      <c r="I21" s="95"/>
      <c r="J21" s="107" t="s">
        <v>497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282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500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497</v>
      </c>
      <c r="H27" s="99"/>
      <c r="I27" s="95"/>
      <c r="J27" s="107" t="s">
        <v>497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502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497</v>
      </c>
      <c r="H34" s="99"/>
      <c r="I34" s="95"/>
      <c r="J34" s="107" t="s">
        <v>497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503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509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8" t="s">
        <v>511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 ht="13">
      <c r="B4" s="92" t="s">
        <v>491</v>
      </c>
      <c r="C4" s="86"/>
      <c r="D4" s="90" t="s">
        <v>492</v>
      </c>
      <c r="E4" s="95"/>
      <c r="F4" s="95"/>
      <c r="G4" s="90" t="s">
        <v>512</v>
      </c>
      <c r="H4" s="96"/>
      <c r="J4" s="90" t="s">
        <v>494</v>
      </c>
      <c r="L4" s="90" t="s">
        <v>513</v>
      </c>
      <c r="M4" s="96"/>
      <c r="O4" s="90" t="s">
        <v>494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254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255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256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257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509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491</v>
      </c>
      <c r="C18" s="86"/>
      <c r="D18" s="90" t="s">
        <v>492</v>
      </c>
      <c r="E18" s="95"/>
      <c r="F18" s="95"/>
      <c r="G18" s="90" t="s">
        <v>515</v>
      </c>
      <c r="H18" s="96"/>
      <c r="J18" s="90" t="s">
        <v>494</v>
      </c>
      <c r="L18" s="90" t="s">
        <v>516</v>
      </c>
      <c r="M18" s="96"/>
      <c r="O18" s="90" t="s">
        <v>494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517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518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519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520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257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509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522</v>
      </c>
      <c r="C32" s="103"/>
      <c r="D32" s="103"/>
    </row>
    <row r="33" spans="2:4" ht="13" thickTop="1"/>
    <row r="34" spans="2:4">
      <c r="B34" s="88" t="s">
        <v>492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523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36328125" customWidth="1"/>
    <col min="10" max="10" width="19.54296875" bestFit="1" customWidth="1"/>
  </cols>
  <sheetData>
    <row r="1" spans="2:14">
      <c r="B1" s="820" t="str">
        <f>D15</f>
        <v>Pretoria North</v>
      </c>
      <c r="C1" s="820"/>
      <c r="D1" s="820"/>
      <c r="E1" s="819" t="s">
        <v>524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525</v>
      </c>
      <c r="C3" s="72" t="s">
        <v>526</v>
      </c>
      <c r="D3" s="72" t="s">
        <v>527</v>
      </c>
      <c r="E3" s="78" t="s">
        <v>528</v>
      </c>
      <c r="F3" s="78" t="s">
        <v>529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979BCDE0-5D12-4D37-9AE7-387C39DFF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2026-02-19T10:24:02Z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