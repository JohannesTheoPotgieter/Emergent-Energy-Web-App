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1 - active projects (1)/Westway Centre BESS/PM/2. Procurement/PO's/"/>
    </mc:Choice>
  </mc:AlternateContent>
  <xr:revisionPtr revIDLastSave="135" documentId="13_ncr:1_{A760863C-1F50-44E2-90BA-8F491976E470}" xr6:coauthVersionLast="47" xr6:coauthVersionMax="47" xr10:uidLastSave="{FFDCA52E-A803-459B-85BD-D6563377F2E6}"/>
  <bookViews>
    <workbookView xWindow="11820" yWindow="276" windowWidth="11424" windowHeight="12204" tabRatio="728" firstSheet="5" activeTab="6" xr2:uid="{36841ED1-ED0D-4EB1-941E-1DDC088EA280}"/>
  </bookViews>
  <sheets>
    <sheet name="Instructions" sheetId="7" state="hidden" r:id="rId1"/>
    <sheet name="BOQ &amp; Order Tracking" sheetId="15" r:id="rId2"/>
    <sheet name="PO Gen Temp" sheetId="1" r:id="rId3"/>
    <sheet name="Recpt Insp Temp" sheetId="10" r:id="rId4"/>
    <sheet name="Temp Seperator" sheetId="13" r:id="rId5"/>
    <sheet name="Database (2)" sheetId="16" r:id="rId6"/>
    <sheet name="PO Gen Temp (2)" sheetId="17" r:id="rId7"/>
  </sheets>
  <definedNames>
    <definedName name="_xlnm.Print_Area" localSheetId="2">'PO Gen Temp'!$A$1:$J$47</definedName>
    <definedName name="_xlnm.Print_Area" localSheetId="6">'PO Gen Temp (2)'!$A$1:$J$47</definedName>
    <definedName name="_xlnm.Print_Area" localSheetId="3">'Recpt Insp Temp'!$A$1:$J$50</definedName>
    <definedName name="Roedolph">"Roedolph Venter"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 i="17" l="1"/>
  <c r="I27" i="17"/>
  <c r="I28" i="17" s="1"/>
  <c r="I29" i="17" s="1"/>
  <c r="I30" i="17" s="1"/>
  <c r="I26" i="17"/>
  <c r="I25" i="17"/>
  <c r="I24" i="17"/>
  <c r="I23" i="17"/>
  <c r="I22" i="17"/>
  <c r="I21" i="17"/>
  <c r="I20" i="17"/>
  <c r="I19" i="17"/>
  <c r="C16" i="17"/>
  <c r="C15" i="17"/>
  <c r="C14" i="17"/>
  <c r="C13" i="17"/>
  <c r="I12" i="17"/>
  <c r="O1" i="17"/>
  <c r="I13" i="10"/>
  <c r="I12" i="10"/>
  <c r="C12" i="10"/>
  <c r="O1" i="10" s="1"/>
  <c r="O1" i="1"/>
  <c r="B23" i="10"/>
  <c r="C23" i="10"/>
  <c r="E23" i="10"/>
  <c r="F23" i="10"/>
  <c r="G23" i="10"/>
  <c r="B24" i="10"/>
  <c r="C24" i="10"/>
  <c r="E24" i="10"/>
  <c r="F24" i="10"/>
  <c r="G24" i="10"/>
  <c r="B25" i="10"/>
  <c r="C25" i="10"/>
  <c r="E25" i="10"/>
  <c r="F25" i="10"/>
  <c r="G25" i="10"/>
  <c r="B26" i="10"/>
  <c r="C26" i="10"/>
  <c r="E26" i="10"/>
  <c r="F26" i="10"/>
  <c r="G26" i="10"/>
  <c r="B27" i="10"/>
  <c r="C27" i="10"/>
  <c r="E27" i="10"/>
  <c r="F27" i="10"/>
  <c r="G27" i="10"/>
  <c r="B28" i="10"/>
  <c r="C28" i="10"/>
  <c r="E28" i="10"/>
  <c r="F28" i="10"/>
  <c r="G28" i="10"/>
  <c r="F20" i="10"/>
  <c r="C20" i="10"/>
  <c r="G22" i="10"/>
  <c r="F22" i="10"/>
  <c r="E22" i="10"/>
  <c r="C22" i="10"/>
  <c r="G21" i="10"/>
  <c r="F21" i="10"/>
  <c r="E21" i="10"/>
  <c r="C21" i="10"/>
  <c r="G20" i="10"/>
  <c r="E20" i="10"/>
  <c r="B20" i="10"/>
  <c r="B21" i="10"/>
  <c r="B22" i="10"/>
  <c r="I46" i="1"/>
  <c r="I22" i="1"/>
  <c r="I23" i="1"/>
  <c r="I24" i="1"/>
  <c r="I25" i="1"/>
  <c r="I26" i="1"/>
  <c r="I27" i="1"/>
  <c r="I21" i="1"/>
  <c r="I20" i="1"/>
  <c r="C16" i="1"/>
  <c r="C15" i="1"/>
  <c r="C14" i="1"/>
  <c r="C13" i="1"/>
  <c r="I12" i="1"/>
  <c r="I19" i="1"/>
  <c r="I28" i="1" s="1"/>
  <c r="I29" i="1" s="1"/>
  <c r="I30" i="1" s="1"/>
  <c r="C14" i="10" l="1"/>
  <c r="C13" i="10"/>
  <c r="C15" i="10"/>
</calcChain>
</file>

<file path=xl/sharedStrings.xml><?xml version="1.0" encoding="utf-8"?>
<sst xmlns="http://schemas.openxmlformats.org/spreadsheetml/2006/main" count="515" uniqueCount="420">
  <si>
    <t xml:space="preserve">Tel: </t>
  </si>
  <si>
    <t xml:space="preserve">E-mail: </t>
  </si>
  <si>
    <t>info@emergentenergy.co.za</t>
  </si>
  <si>
    <t>Physical:</t>
  </si>
  <si>
    <t>Postal:</t>
  </si>
  <si>
    <t>PO Box 23877, Claremont 7735</t>
  </si>
  <si>
    <t>Purchase Order</t>
  </si>
  <si>
    <t>Supplier:</t>
  </si>
  <si>
    <t>Date:</t>
  </si>
  <si>
    <t>Address:</t>
  </si>
  <si>
    <t>Project:</t>
  </si>
  <si>
    <t>PO Ref:</t>
  </si>
  <si>
    <t>Contact:</t>
  </si>
  <si>
    <t>Item #</t>
  </si>
  <si>
    <t>Description</t>
  </si>
  <si>
    <t xml:space="preserve">Part Number </t>
  </si>
  <si>
    <t>QTY</t>
  </si>
  <si>
    <t>Unit</t>
  </si>
  <si>
    <t>Price per Unit</t>
  </si>
  <si>
    <t>Sub-Total</t>
  </si>
  <si>
    <t>Sub-Total:</t>
  </si>
  <si>
    <t xml:space="preserve">VAT: </t>
  </si>
  <si>
    <t>Total:</t>
  </si>
  <si>
    <t>Payment Terms</t>
  </si>
  <si>
    <t>All invoicing is to be sent to accounts@emergy.co.za</t>
  </si>
  <si>
    <t>Delivery Instructions</t>
  </si>
  <si>
    <t>Comments</t>
  </si>
  <si>
    <t xml:space="preserve">Project Manager:    </t>
  </si>
  <si>
    <t>Roedolph Venter</t>
  </si>
  <si>
    <t>VAT#:</t>
  </si>
  <si>
    <t xml:space="preserve">+27 21 828 4202    +27 11 028 8060 </t>
  </si>
  <si>
    <t>Document Name:</t>
  </si>
  <si>
    <t>Supplier</t>
  </si>
  <si>
    <t>VAT#</t>
  </si>
  <si>
    <t>Contact</t>
  </si>
  <si>
    <t>Herholdts</t>
  </si>
  <si>
    <t>Happy Solar</t>
  </si>
  <si>
    <t>Address part 1</t>
  </si>
  <si>
    <t>Address part 2</t>
  </si>
  <si>
    <t>Contact no.</t>
  </si>
  <si>
    <t>Aniqah Naidoo</t>
  </si>
  <si>
    <t>PM</t>
  </si>
  <si>
    <t>Lintels for Africa</t>
  </si>
  <si>
    <t>5th Street Unit 2&amp;3 Fifth Street Park</t>
  </si>
  <si>
    <t>Montague, Cape Town, 7441</t>
  </si>
  <si>
    <t>12-14 Kew Road</t>
  </si>
  <si>
    <t>Mowbray, Cape Town , 7700</t>
  </si>
  <si>
    <t xml:space="preserve">Renee Pretorius </t>
  </si>
  <si>
    <t>Letaba Logistics</t>
  </si>
  <si>
    <t>1 Bokmakierie Road</t>
  </si>
  <si>
    <t>Joostenberg Vlakte, Cape Town, 7570</t>
  </si>
  <si>
    <t>Derrick</t>
  </si>
  <si>
    <t>074 291 4571</t>
  </si>
  <si>
    <t>Unit #1, 270 Roan Cres, Corporate Park North</t>
  </si>
  <si>
    <t>Midrand, 1685</t>
  </si>
  <si>
    <t>Lumax Energy</t>
  </si>
  <si>
    <t>Hannes Pienaar</t>
  </si>
  <si>
    <t>010 140 4933</t>
  </si>
  <si>
    <t>Apex Inverters</t>
  </si>
  <si>
    <t>97 Garfield Road</t>
  </si>
  <si>
    <t>Kenilworth, Cape Town, 7708</t>
  </si>
  <si>
    <t>Stanley</t>
  </si>
  <si>
    <t>084 510 9837</t>
  </si>
  <si>
    <t>Accuenergy</t>
  </si>
  <si>
    <t>Castle Walk Corporate Park, Block B</t>
  </si>
  <si>
    <t>Pretoria Gauteng, 0181</t>
  </si>
  <si>
    <t>Rista Benjamin</t>
  </si>
  <si>
    <t>084 205 9938</t>
  </si>
  <si>
    <t xml:space="preserve">Farm 152 Portion 4, Klein-Vissershok Road </t>
  </si>
  <si>
    <t>Tableview, Cape Town, 7435</t>
  </si>
  <si>
    <t>Cheri van Emmenes</t>
  </si>
  <si>
    <t>021 557 0942</t>
  </si>
  <si>
    <t>Rubicon</t>
  </si>
  <si>
    <t>Kathea</t>
  </si>
  <si>
    <t>1st Floor, 7 Naivasha Road</t>
  </si>
  <si>
    <t>Sunninghill, Johannesburg, 2191</t>
  </si>
  <si>
    <t>Scott Corry</t>
  </si>
  <si>
    <t>011 844 9999</t>
  </si>
  <si>
    <t>080 782 4266</t>
  </si>
  <si>
    <t>Otto Wireless</t>
  </si>
  <si>
    <t>58 Wakis Ave, Strydompark</t>
  </si>
  <si>
    <t>Randburg, 2194</t>
  </si>
  <si>
    <t>Don Todd</t>
  </si>
  <si>
    <t>011 791 1033</t>
  </si>
  <si>
    <t>Schletter Solar</t>
  </si>
  <si>
    <t>Dean Lewis</t>
  </si>
  <si>
    <t>064 517 4849</t>
  </si>
  <si>
    <t>Krannich Solar Energy</t>
  </si>
  <si>
    <t>Cape Town, 8000</t>
  </si>
  <si>
    <t>Jandre Swanepoel</t>
  </si>
  <si>
    <t xml:space="preserve">021 276 5490 </t>
  </si>
  <si>
    <t>C8 Prime Park, Mocke Road</t>
  </si>
  <si>
    <t>Diep River, Cape Town, 7800</t>
  </si>
  <si>
    <t>Johan Snyman</t>
  </si>
  <si>
    <t>021 712 8750</t>
  </si>
  <si>
    <t xml:space="preserve">Matthews Group </t>
  </si>
  <si>
    <t>Unit 2, Cambridge Commercial Park, 22 Witkoppen Road</t>
  </si>
  <si>
    <t>Paulshof, Sandton, 2191</t>
  </si>
  <si>
    <t>Wayne Matthe</t>
  </si>
  <si>
    <t>082 803 0574</t>
  </si>
  <si>
    <t>602 Touchstone House, 7 Bree Street</t>
  </si>
  <si>
    <t>TISOL Engineering</t>
  </si>
  <si>
    <t>8 Ossewa St, Terenure</t>
  </si>
  <si>
    <t>Kempton Park, 1624</t>
  </si>
  <si>
    <t>Cass Saula</t>
  </si>
  <si>
    <t>011 395 5036</t>
  </si>
  <si>
    <t>ACES Africa</t>
  </si>
  <si>
    <t>Somerset West, Cape Town, 7130</t>
  </si>
  <si>
    <t>Triangle Point, 13 Urtel Cresent</t>
  </si>
  <si>
    <t>Anre Gous</t>
  </si>
  <si>
    <t>021 852 4692</t>
  </si>
  <si>
    <t>Powewize</t>
  </si>
  <si>
    <t>1010 Marine Dr, Shelly Beach</t>
  </si>
  <si>
    <t>Margate, 4265</t>
  </si>
  <si>
    <t>Shuan Tapson</t>
  </si>
  <si>
    <t>083 408 3439</t>
  </si>
  <si>
    <t>Caracal Engineering</t>
  </si>
  <si>
    <t>Johannesburg, 2092</t>
  </si>
  <si>
    <t>Nathan Venter</t>
  </si>
  <si>
    <t>010 900 1644</t>
  </si>
  <si>
    <t>7 Quince Street, Milpark</t>
  </si>
  <si>
    <t>Dock-Land Suppliers</t>
  </si>
  <si>
    <t>1 Regent park, Platinum Street</t>
  </si>
  <si>
    <t>Montague Gardens, 7441</t>
  </si>
  <si>
    <t>Bradley Russell</t>
  </si>
  <si>
    <t>082 894 8837</t>
  </si>
  <si>
    <t>BDL Solar Solutions</t>
  </si>
  <si>
    <t>Brent de Lange</t>
  </si>
  <si>
    <t>Bolt &amp; Nut Centre</t>
  </si>
  <si>
    <t>56 Neptune Street</t>
  </si>
  <si>
    <t>Paarden Eiland, 7420</t>
  </si>
  <si>
    <t>info@bnc.co.za</t>
  </si>
  <si>
    <t>021 511 2087</t>
  </si>
  <si>
    <t>Emerce Africa</t>
  </si>
  <si>
    <t>5th Floor, The Palms, 145 Sir Lowry Road</t>
  </si>
  <si>
    <t>Woodstock, Cape Town, 7925</t>
  </si>
  <si>
    <t>sales@emerce-africa.co.za</t>
  </si>
  <si>
    <t>Eazi Access Rental (Pty) Ltd</t>
  </si>
  <si>
    <t>61 Manhattan Road Airport Industria</t>
  </si>
  <si>
    <t>liezl.s@eazi.co.za</t>
  </si>
  <si>
    <t>082 797 7441</t>
  </si>
  <si>
    <t>021 386 7285</t>
  </si>
  <si>
    <t>PLOT 431 SARDINIA BAY</t>
  </si>
  <si>
    <t>PORT ELIZABETH, Eastern Cape</t>
  </si>
  <si>
    <t>Switchboard Group</t>
  </si>
  <si>
    <t>19 Benbow Avenue, Epping 1</t>
  </si>
  <si>
    <t>Cape Town, 7460</t>
  </si>
  <si>
    <t>info@switchman.co.za</t>
  </si>
  <si>
    <t xml:space="preserve">Delivery date: 
Delivery address: 
Site Contact: </t>
  </si>
  <si>
    <t>082 779 3891</t>
  </si>
  <si>
    <t>CPT - Brickfield Canvas, 35 Brickfield Road, Salt River, Cape Town</t>
  </si>
  <si>
    <t>JHB - 89 Bute Lane, Sandown, Sandton</t>
  </si>
  <si>
    <t>Signature</t>
  </si>
  <si>
    <t>Name</t>
  </si>
  <si>
    <t>Simon Muller</t>
  </si>
  <si>
    <t>Notify the site contact when the order is dispatched.</t>
  </si>
  <si>
    <t>Smart Solar</t>
  </si>
  <si>
    <t>021 534 3313</t>
  </si>
  <si>
    <t>083 337 2840</t>
  </si>
  <si>
    <t>081 791 1175</t>
  </si>
  <si>
    <t>Receipt Inspection</t>
  </si>
  <si>
    <t>For Emergent Energy:</t>
  </si>
  <si>
    <t>For Installer:</t>
  </si>
  <si>
    <t>This is the PO generator template that can be used to generate a PO promptly. 
Usage Instructions:
1. Make a copy of the "PO Generator Template" worksheet and rename the new worksheet to the suppliers name.
2. Select the supplier you want to prepare the PO for, all the rest of the supplier's details will fill in automatically.
3. Fill in the Project Name, PO Ref, and the product procuring cells.
4. Populate the worksheet with the line items received on the Quote from the supplier.
5. Fill in the delivery instructions and comment any matters that needs to be raised.
6. Select the PM and Authorized by.
7. Click on the PDF button to generate a PDF. 
NOTES:
---&gt; The filepath of the PDF will be where this excel sheet is stored.</t>
  </si>
  <si>
    <t>Purchase Order Infromation</t>
  </si>
  <si>
    <t>Delivery Information</t>
  </si>
  <si>
    <t>Condition</t>
  </si>
  <si>
    <t>Inspection Date</t>
  </si>
  <si>
    <t>Inspection Notes</t>
  </si>
  <si>
    <t>Delivery Accepted / Rejected</t>
  </si>
  <si>
    <t>Actions</t>
  </si>
  <si>
    <t>Status</t>
  </si>
  <si>
    <t>Good</t>
  </si>
  <si>
    <t>Bad</t>
  </si>
  <si>
    <t>Location</t>
  </si>
  <si>
    <t>Item</t>
  </si>
  <si>
    <t>Quantity</t>
  </si>
  <si>
    <t>Roof</t>
  </si>
  <si>
    <t>PV Module</t>
  </si>
  <si>
    <t>ea</t>
  </si>
  <si>
    <t>kWp</t>
  </si>
  <si>
    <t>DC Cable Red</t>
  </si>
  <si>
    <t>PV1-F 6 ^2 solar cable, red</t>
  </si>
  <si>
    <t>m</t>
  </si>
  <si>
    <t>DC Cable Black</t>
  </si>
  <si>
    <t>PV1-F 6 ^2 solar cable, black</t>
  </si>
  <si>
    <t>Inverter</t>
  </si>
  <si>
    <t>AC</t>
  </si>
  <si>
    <t xml:space="preserve">Communication </t>
  </si>
  <si>
    <t xml:space="preserve">Solar Production Meter </t>
  </si>
  <si>
    <t>Techsitter Meter</t>
  </si>
  <si>
    <t xml:space="preserve">Solar Consumption Meter </t>
  </si>
  <si>
    <t>Mounting Structure</t>
  </si>
  <si>
    <t>Current Transformers (Production)</t>
  </si>
  <si>
    <t>Current Transformers (Consumption)</t>
  </si>
  <si>
    <t>ORDER TRACKING-PROJECT NAME+SIZE</t>
  </si>
  <si>
    <t xml:space="preserve">Quote Received </t>
  </si>
  <si>
    <t xml:space="preserve">PO Sent </t>
  </si>
  <si>
    <t>PO-Date Sent</t>
  </si>
  <si>
    <t>Delivery Date</t>
  </si>
  <si>
    <t>Question</t>
  </si>
  <si>
    <t>Yes</t>
  </si>
  <si>
    <t>No</t>
  </si>
  <si>
    <t>Higeco</t>
  </si>
  <si>
    <t>Building 6, Fairways Office Park, 11 Niblick Way</t>
  </si>
  <si>
    <t>Firgrove Rural, Somerset West</t>
  </si>
  <si>
    <t>Vincent van der Merwe</t>
  </si>
  <si>
    <t>072 366 0187</t>
  </si>
  <si>
    <t>OKHUSELEKO Consulting</t>
  </si>
  <si>
    <t>74 15th Avenue, Boston</t>
  </si>
  <si>
    <t>Bellville, 7530</t>
  </si>
  <si>
    <t>Daniel Maloney</t>
  </si>
  <si>
    <t>082 900 9292</t>
  </si>
  <si>
    <t>L&amp;B Consulting Engineering</t>
  </si>
  <si>
    <t>80 Amandel Ave</t>
  </si>
  <si>
    <t>Val-De-Grace, Pretoria, 0184</t>
  </si>
  <si>
    <t>082 661 1428</t>
  </si>
  <si>
    <t>New Way</t>
  </si>
  <si>
    <t>47 Paarden Eiland Rd, Paarden Eiland</t>
  </si>
  <si>
    <t>Cape Town, 7405</t>
  </si>
  <si>
    <t>Nick Silver</t>
  </si>
  <si>
    <t>021 612 0246</t>
  </si>
  <si>
    <t>Active Rope, ATS Africa</t>
  </si>
  <si>
    <t>109 Charlotte Maxeke Street</t>
  </si>
  <si>
    <t>Pretoria West, 0183</t>
  </si>
  <si>
    <t>Silence</t>
  </si>
  <si>
    <t>082 597 1222</t>
  </si>
  <si>
    <t>ADHOC Architectural Documentation</t>
  </si>
  <si>
    <t>2 Bayswater bend, Parklands</t>
  </si>
  <si>
    <t>Cape Town, 7441</t>
  </si>
  <si>
    <t>Chris Long</t>
  </si>
  <si>
    <t>082 975 9693</t>
  </si>
  <si>
    <t>RayTech Solar Solutions</t>
  </si>
  <si>
    <t>120 Panorama Road, Rooihuiskraal</t>
  </si>
  <si>
    <t>Centurion, 0157</t>
  </si>
  <si>
    <t>Bernard Voster</t>
  </si>
  <si>
    <t>076 940 8241</t>
  </si>
  <si>
    <t>Segen Solar</t>
  </si>
  <si>
    <t>TBC</t>
  </si>
  <si>
    <t>245 Masjien St, Strydompark</t>
  </si>
  <si>
    <t>Ralph Jennings</t>
  </si>
  <si>
    <t>011 085 2600</t>
  </si>
  <si>
    <t>ELUM Energy</t>
  </si>
  <si>
    <t>4 Kebble St, Sidwell</t>
  </si>
  <si>
    <t>Gqeberha, 6061</t>
  </si>
  <si>
    <t>Christiaan Carstens</t>
  </si>
  <si>
    <t>041 451 4359</t>
  </si>
  <si>
    <t>Grunlite Energy</t>
  </si>
  <si>
    <t>4950256638</t>
  </si>
  <si>
    <t>https://grunlite.com/</t>
  </si>
  <si>
    <t>Lainey Godrich</t>
  </si>
  <si>
    <t>068 196 4586</t>
  </si>
  <si>
    <t>5 Richmond Park 1B Hansen Cl, Richmond Park</t>
  </si>
  <si>
    <t>Alphen Square West. Unit B. Corner of George &amp;, 15th Road</t>
  </si>
  <si>
    <t>Ryan Janse Vna Rensburg</t>
  </si>
  <si>
    <t>E&amp;M Plant and Transport</t>
  </si>
  <si>
    <t>7 Busschau Rd, Fairleads</t>
  </si>
  <si>
    <t>Benoni, 1512</t>
  </si>
  <si>
    <t xml:space="preserve">Tilana Klopper </t>
  </si>
  <si>
    <t>011 979 7755</t>
  </si>
  <si>
    <t>De Kock &amp; Cronje MV Switchgear</t>
  </si>
  <si>
    <t>Unit 1 &amp; 2 Buildevco Park</t>
  </si>
  <si>
    <t>Brackenfell 7530</t>
  </si>
  <si>
    <t xml:space="preserve">Elana Ellis    </t>
  </si>
  <si>
    <t>021 982 7724</t>
  </si>
  <si>
    <t>LMS Electrical</t>
  </si>
  <si>
    <t>Unit F2, Infospace Metro Works, Strydom Works</t>
  </si>
  <si>
    <t>Strydom Park, Johannesburg, 2169</t>
  </si>
  <si>
    <t>Luke Spolander</t>
  </si>
  <si>
    <t>010 065 0994</t>
  </si>
  <si>
    <t>OKUSHA Engineering CC</t>
  </si>
  <si>
    <t>Emalahleni, Mpumalanga</t>
  </si>
  <si>
    <t>South Africa</t>
  </si>
  <si>
    <t>Grizelda Cilliers</t>
  </si>
  <si>
    <t>013 246 2697</t>
  </si>
  <si>
    <t>Supply Chain Optimisers</t>
  </si>
  <si>
    <t>Unit 6, 5th on Murray, Murray Street</t>
  </si>
  <si>
    <t>Durbanville, 7551</t>
  </si>
  <si>
    <t>Jinko</t>
  </si>
  <si>
    <t>No. 1, Lane 1466, Shenchang Road, Minhang District</t>
  </si>
  <si>
    <t>Shanghai, China 201106</t>
  </si>
  <si>
    <t>Louis Bell</t>
  </si>
  <si>
    <t>060 509 6293</t>
  </si>
  <si>
    <t>Carol Thompson</t>
  </si>
  <si>
    <t>084 367 8888</t>
  </si>
  <si>
    <t>212 Daisy Drive Jameson Park</t>
  </si>
  <si>
    <t>Heidelberg 1438</t>
  </si>
  <si>
    <t>Willie Masina</t>
  </si>
  <si>
    <t>011 234 7157</t>
  </si>
  <si>
    <t>Mkholo's Projects</t>
  </si>
  <si>
    <t>Uccio Projects</t>
  </si>
  <si>
    <t>Clacton Road Kensington</t>
  </si>
  <si>
    <t>Johannesburg 1440</t>
  </si>
  <si>
    <t>Grant Hiepner</t>
  </si>
  <si>
    <t>082 464 5882</t>
  </si>
  <si>
    <t>Aarden Solar</t>
  </si>
  <si>
    <t>Building 7C, Platinum Park, 40 Tsessebe Crescent</t>
  </si>
  <si>
    <t>Corporate Park Midrand 1683</t>
  </si>
  <si>
    <t>Tiaan Botha</t>
  </si>
  <si>
    <t>072 739 0366</t>
  </si>
  <si>
    <t>JT Moorosi</t>
  </si>
  <si>
    <t>Modern Eco Energy</t>
  </si>
  <si>
    <t>Unit B16 Brackenrite Business Park</t>
  </si>
  <si>
    <t>Brackenfell Close</t>
  </si>
  <si>
    <t>Deon Crous</t>
  </si>
  <si>
    <t>082 923 6462</t>
  </si>
  <si>
    <t>Voltex</t>
  </si>
  <si>
    <t>105 Commisioner Street</t>
  </si>
  <si>
    <t>Krugersdorp, 1739</t>
  </si>
  <si>
    <t>Jabulani Zwane</t>
  </si>
  <si>
    <t>011 951 5780</t>
  </si>
  <si>
    <t>Bundu Power</t>
  </si>
  <si>
    <t>2 Bravo Road</t>
  </si>
  <si>
    <t>Jet Park Boksburg</t>
  </si>
  <si>
    <t>Rashaad Landsman</t>
  </si>
  <si>
    <t>011 397 7373</t>
  </si>
  <si>
    <t>Intellicomms</t>
  </si>
  <si>
    <t>89 Bute Lande, Sandown</t>
  </si>
  <si>
    <t>Sandton, 2196</t>
  </si>
  <si>
    <t>Olwethu Pietersen</t>
  </si>
  <si>
    <t>010 822 7250</t>
  </si>
  <si>
    <t>Brice &amp; Co.</t>
  </si>
  <si>
    <t>16 Fisher Avenue</t>
  </si>
  <si>
    <t>Epping Industria 1</t>
  </si>
  <si>
    <t>Richard Brice</t>
  </si>
  <si>
    <t>021 534 5221</t>
  </si>
  <si>
    <t>Skyfire Solar</t>
  </si>
  <si>
    <t>Gauteng</t>
  </si>
  <si>
    <t>Greg Butt</t>
  </si>
  <si>
    <t>Wi-Fi Router &amp; Sim</t>
  </si>
  <si>
    <t>Inverter/s</t>
  </si>
  <si>
    <t>Justin Franke</t>
  </si>
  <si>
    <t>Jinko 550W</t>
  </si>
  <si>
    <t>IBR - Schletter Clampfit Pro</t>
  </si>
  <si>
    <t>Huawei 100KTL</t>
  </si>
  <si>
    <t>2000A/5A Split Core</t>
  </si>
  <si>
    <t>Accuenergy Energy Meter</t>
  </si>
  <si>
    <t>Teltonika Router and Teltonika Fiber to Ethernet Switch</t>
  </si>
  <si>
    <t>BILL OF QUANTITIES-MEGA PARK 1750kWp</t>
  </si>
  <si>
    <t>Amanda Gadla</t>
  </si>
  <si>
    <t>Lloyd Brown</t>
  </si>
  <si>
    <t>Kashmil Samuels</t>
  </si>
  <si>
    <t>The Aircon Specialist</t>
  </si>
  <si>
    <t>N/A</t>
  </si>
  <si>
    <t>1 Boshoff St, South Crest</t>
  </si>
  <si>
    <t>Alberton, JHB, 1447</t>
  </si>
  <si>
    <t>Ashir Balram</t>
  </si>
  <si>
    <t>081 706 8084</t>
  </si>
  <si>
    <t>Solar Europe</t>
  </si>
  <si>
    <t>541 Lavender Road</t>
  </si>
  <si>
    <t>Pretoria, Gauteng</t>
  </si>
  <si>
    <t>Zanella Kruger</t>
  </si>
  <si>
    <t>087 654 4800</t>
  </si>
  <si>
    <t>082 446 6397</t>
  </si>
  <si>
    <t>Cosmic Sun</t>
  </si>
  <si>
    <t>Unit 2 Moncoa Square</t>
  </si>
  <si>
    <t>072 110 8200</t>
  </si>
  <si>
    <t>Frontline Electrical</t>
  </si>
  <si>
    <t>Unit 8, 100 Victoria Street</t>
  </si>
  <si>
    <t>Somerset West, Cape Town, 7129</t>
  </si>
  <si>
    <t>Vaughan</t>
  </si>
  <si>
    <t>021 851 5907</t>
  </si>
  <si>
    <t>The Engineering Hub</t>
  </si>
  <si>
    <t>2 Alabaster Road Baakens Valley</t>
  </si>
  <si>
    <t>Devan</t>
  </si>
  <si>
    <t>081 456 1241</t>
  </si>
  <si>
    <t>Christo Lombard</t>
  </si>
  <si>
    <t>Luken Solar</t>
  </si>
  <si>
    <t>76 Brighton Drive Summerstrand</t>
  </si>
  <si>
    <t>Marichell</t>
  </si>
  <si>
    <t>082 091 6751</t>
  </si>
  <si>
    <t>Infantry Security Solutions (Pty) Ltd</t>
  </si>
  <si>
    <t>Waterfall Office Park,Mac Mac RoadUnit 1 Howick Garde</t>
  </si>
  <si>
    <t>Midrand Gauteng</t>
  </si>
  <si>
    <t>Clinton McCabe</t>
  </si>
  <si>
    <t>011 315 5055</t>
  </si>
  <si>
    <t>Menlo</t>
  </si>
  <si>
    <t>Intermodal Cargo Supplies,Skypark</t>
  </si>
  <si>
    <t>Kempton Park, Gauteng</t>
  </si>
  <si>
    <t>Donrick Moses</t>
  </si>
  <si>
    <t>076 020 4378</t>
  </si>
  <si>
    <t>Thula Moya</t>
  </si>
  <si>
    <t>Ravine Lane, Marburg</t>
  </si>
  <si>
    <t>Portshepstone, KZN</t>
  </si>
  <si>
    <t>Devin Osbourne</t>
  </si>
  <si>
    <t>076 330 2618</t>
  </si>
  <si>
    <t>Barrier Projects</t>
  </si>
  <si>
    <t>80 Willow Road, Stikland</t>
  </si>
  <si>
    <t>Cape Town, 7560</t>
  </si>
  <si>
    <t>Johan Du Plesiss</t>
  </si>
  <si>
    <t>072 230 9764</t>
  </si>
  <si>
    <t>Plumbryt Service</t>
  </si>
  <si>
    <t>ERF 3246 Ext 35 Velvet Cres</t>
  </si>
  <si>
    <t>Fourways, 2191</t>
  </si>
  <si>
    <t>plumbrytprojects@gmail.com</t>
  </si>
  <si>
    <t>Eastern Switchgear</t>
  </si>
  <si>
    <t>Pax Street</t>
  </si>
  <si>
    <t>Mark</t>
  </si>
  <si>
    <t>082 372 3813</t>
  </si>
  <si>
    <t>Sales Hire Ablutions</t>
  </si>
  <si>
    <t>No,9 Cradick Street</t>
  </si>
  <si>
    <t>Parow Industria</t>
  </si>
  <si>
    <t>Chante</t>
  </si>
  <si>
    <t>021 931 2560</t>
  </si>
  <si>
    <t>Swart Security</t>
  </si>
  <si>
    <t>50A Louise Thibault Drive</t>
  </si>
  <si>
    <t>Edgemead, 7441</t>
  </si>
  <si>
    <t>Hendrik Swart</t>
  </si>
  <si>
    <t>082 415 6614</t>
  </si>
  <si>
    <t>Leading Edge Energy</t>
  </si>
  <si>
    <t>116 Fynbos, Sunningdale</t>
  </si>
  <si>
    <t xml:space="preserve">Borrie Botha </t>
  </si>
  <si>
    <t>081 049 3857</t>
  </si>
  <si>
    <t>PO3860-GEN-20250509</t>
  </si>
  <si>
    <t>SIAAC South Africa (Pty) Ltd</t>
  </si>
  <si>
    <t>4730319219</t>
  </si>
  <si>
    <t>1 Gulfstream Avenue</t>
  </si>
  <si>
    <t>Airport Industria, 7490</t>
  </si>
  <si>
    <t>Moestapha Jassiem</t>
  </si>
  <si>
    <t>021 111 0425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</si>
</sst>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R-1C09]* #,##0.00_-;\-[$R-1C09]* #,##0.00_-;_-[$R-1C09]* &quot;-&quot;??_-;_-@_-"/>
  </numFmts>
  <fonts count="18">
    <font>
      <sz val="11"/>
      <color theme="1"/>
      <name val="Calibri"/>
      <family val="2"/>
      <scheme val="minor"/>
    </font>
    <font>
      <sz val="11"/>
      <color theme="1"/>
      <name val="Proxima Nova Lt"/>
    </font>
    <font>
      <b/>
      <sz val="10"/>
      <color theme="1"/>
      <name val="Proxima Nova Lt"/>
    </font>
    <font>
      <sz val="10"/>
      <color theme="1"/>
      <name val="Proxima Nova Lt"/>
    </font>
    <font>
      <sz val="22"/>
      <color theme="0"/>
      <name val="Proxima Nova Rg"/>
    </font>
    <font>
      <b/>
      <sz val="11"/>
      <color theme="1"/>
      <name val="Proxima Nova Lt"/>
    </font>
    <font>
      <b/>
      <sz val="11"/>
      <color theme="0"/>
      <name val="Proxima Nova Lt"/>
    </font>
    <font>
      <sz val="8"/>
      <name val="Calibri"/>
      <family val="2"/>
      <scheme val="minor"/>
    </font>
    <font>
      <sz val="14"/>
      <name val="Calibri"/>
      <family val="2"/>
      <scheme val="minor"/>
    </font>
    <font>
      <sz val="18"/>
      <name val="Calibri"/>
      <family val="2"/>
      <scheme val="minor"/>
    </font>
    <font>
      <b/>
      <sz val="11"/>
      <name val="Proxima Nova Lt"/>
    </font>
    <font>
      <b/>
      <sz val="11"/>
      <color theme="1"/>
      <name val="Calibri"/>
      <family val="2"/>
      <scheme val="minor"/>
    </font>
    <font>
      <b/>
      <sz val="11"/>
      <color theme="0"/>
      <name val="Proxima Nova Rg"/>
    </font>
    <font>
      <sz val="10"/>
      <color rgb="FF000000"/>
      <name val="Proxima Nova Lt"/>
    </font>
    <font>
      <b/>
      <sz val="12"/>
      <color theme="0"/>
      <name val="Proxima Nova Rg"/>
    </font>
    <font>
      <sz val="11"/>
      <color rgb="FF000000"/>
      <name val="Calibri"/>
      <family val="2"/>
    </font>
    <font>
      <u/>
      <sz val="11"/>
      <color theme="10"/>
      <name val="Calibri"/>
      <family val="2"/>
      <scheme val="minor"/>
    </font>
    <font>
      <sz val="11"/>
      <color rgb="FF000000"/>
      <name val="Calibri"/>
      <family val="2"/>
      <scheme val="minor"/>
    </font>
  </fonts>
  <fills count="7">
    <fill>
      <patternFill patternType="none"/>
    </fill>
    <fill>
      <patternFill patternType="gray125"/>
    </fill>
    <fill>
      <patternFill patternType="solid">
        <fgColor rgb="FF1EA34A"/>
        <bgColor indexed="64"/>
      </patternFill>
    </fill>
    <fill>
      <patternFill patternType="solid">
        <fgColor theme="0"/>
        <bgColor indexed="64"/>
      </patternFill>
    </fill>
    <fill>
      <patternFill patternType="solid">
        <fgColor rgb="FFFFFF00"/>
        <bgColor indexed="64"/>
      </patternFill>
    </fill>
    <fill>
      <patternFill patternType="solid">
        <fgColor rgb="FFD0EBB3"/>
        <bgColor indexed="64"/>
      </patternFill>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theme="4" tint="0.39997558519241921"/>
      </top>
      <bottom style="medium">
        <color indexed="64"/>
      </bottom>
      <diagonal/>
    </border>
    <border>
      <left style="medium">
        <color indexed="64"/>
      </left>
      <right style="medium">
        <color indexed="64"/>
      </right>
      <top style="thin">
        <color theme="4" tint="0.39997558519241921"/>
      </top>
      <bottom style="medium">
        <color indexed="64"/>
      </bottom>
      <diagonal/>
    </border>
    <border>
      <left/>
      <right/>
      <top style="thin">
        <color theme="4" tint="0.39997558519241921"/>
      </top>
      <bottom style="medium">
        <color indexed="64"/>
      </bottom>
      <diagonal/>
    </border>
    <border>
      <left style="medium">
        <color indexed="64"/>
      </left>
      <right/>
      <top style="thin">
        <color theme="4" tint="0.39997558519241921"/>
      </top>
      <bottom style="medium">
        <color indexed="64"/>
      </bottom>
      <diagonal/>
    </border>
    <border>
      <left/>
      <right/>
      <top style="thin">
        <color theme="4" tint="0.39997558519241921"/>
      </top>
      <bottom/>
      <diagonal/>
    </border>
    <border>
      <left/>
      <right style="medium">
        <color indexed="64"/>
      </right>
      <top style="thin">
        <color theme="4" tint="0.39997558519241921"/>
      </top>
      <bottom/>
      <diagonal/>
    </border>
  </borders>
  <cellStyleXfs count="2">
    <xf numFmtId="0" fontId="0" fillId="0" borderId="0"/>
    <xf numFmtId="0" fontId="16" fillId="0" borderId="0" applyNumberFormat="0" applyFill="0" applyBorder="0" applyAlignment="0" applyProtection="0"/>
  </cellStyleXfs>
  <cellXfs count="78">
    <xf numFmtId="0" fontId="0" fillId="0" borderId="0" xfId="0"/>
    <xf numFmtId="0" fontId="1" fillId="0" borderId="1" xfId="0" applyFont="1" applyBorder="1" applyAlignment="1">
      <alignment horizontal="center" vertical="center"/>
    </xf>
    <xf numFmtId="164" fontId="1" fillId="0" borderId="1" xfId="0" applyNumberFormat="1" applyFont="1" applyBorder="1" applyAlignment="1">
      <alignment horizontal="center" vertical="center"/>
    </xf>
    <xf numFmtId="0" fontId="5" fillId="0" borderId="0" xfId="0" applyFont="1" applyAlignment="1">
      <alignment horizontal="right" vertical="center"/>
    </xf>
    <xf numFmtId="0" fontId="5" fillId="0" borderId="0" xfId="0" applyFont="1" applyAlignment="1">
      <alignment horizontal="left"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wrapText="1" readingOrder="1"/>
    </xf>
    <xf numFmtId="0" fontId="6" fillId="2" borderId="1" xfId="0" applyFont="1" applyFill="1" applyBorder="1" applyAlignment="1">
      <alignment horizontal="center" vertical="center"/>
    </xf>
    <xf numFmtId="0" fontId="5" fillId="0" borderId="0" xfId="0" applyFont="1" applyAlignment="1">
      <alignment horizontal="center" vertical="center"/>
    </xf>
    <xf numFmtId="0" fontId="2" fillId="0" borderId="0" xfId="0" applyFont="1" applyAlignment="1">
      <alignment vertical="center"/>
    </xf>
    <xf numFmtId="0" fontId="3" fillId="0" borderId="0" xfId="0" quotePrefix="1" applyFont="1" applyAlignment="1">
      <alignment vertical="center"/>
    </xf>
    <xf numFmtId="0" fontId="3" fillId="0" borderId="0" xfId="0" applyFont="1" applyAlignment="1">
      <alignment vertical="center"/>
    </xf>
    <xf numFmtId="0" fontId="1" fillId="0" borderId="0" xfId="0" applyFont="1" applyAlignment="1">
      <alignment vertical="center"/>
    </xf>
    <xf numFmtId="0" fontId="0" fillId="0" borderId="0" xfId="0" applyAlignment="1">
      <alignment vertical="center"/>
    </xf>
    <xf numFmtId="14" fontId="1" fillId="0" borderId="2" xfId="0" applyNumberFormat="1" applyFont="1" applyBorder="1" applyAlignment="1">
      <alignment horizontal="left" vertical="center"/>
    </xf>
    <xf numFmtId="0" fontId="1" fillId="0" borderId="3" xfId="0" applyFont="1" applyBorder="1" applyAlignment="1">
      <alignment horizontal="left" vertical="center"/>
    </xf>
    <xf numFmtId="164" fontId="1" fillId="0" borderId="1" xfId="0" applyNumberFormat="1" applyFont="1" applyBorder="1" applyAlignment="1">
      <alignment vertical="center"/>
    </xf>
    <xf numFmtId="0" fontId="1" fillId="0" borderId="2" xfId="0" applyFont="1" applyBorder="1" applyAlignment="1">
      <alignment vertical="center"/>
    </xf>
    <xf numFmtId="14" fontId="1" fillId="0" borderId="2" xfId="0" applyNumberFormat="1" applyFont="1" applyBorder="1"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8" fillId="3" borderId="0" xfId="0" applyFont="1" applyFill="1" applyAlignment="1">
      <alignment vertical="center" wrapText="1"/>
    </xf>
    <xf numFmtId="0" fontId="0" fillId="0" borderId="0" xfId="0" quotePrefix="1" applyAlignment="1">
      <alignment horizontal="center" vertical="center"/>
    </xf>
    <xf numFmtId="0" fontId="0" fillId="4" borderId="0" xfId="0" applyFill="1" applyAlignment="1">
      <alignment vertical="center"/>
    </xf>
    <xf numFmtId="3" fontId="0" fillId="0" borderId="0" xfId="0" applyNumberFormat="1" applyAlignment="1">
      <alignment horizontal="center" vertical="center"/>
    </xf>
    <xf numFmtId="0" fontId="1" fillId="0" borderId="2" xfId="0" applyFont="1" applyBorder="1" applyAlignment="1">
      <alignment horizontal="left" vertical="center"/>
    </xf>
    <xf numFmtId="0" fontId="5" fillId="0" borderId="0" xfId="0" applyFont="1" applyAlignment="1">
      <alignment vertical="center"/>
    </xf>
    <xf numFmtId="14" fontId="1" fillId="0" borderId="0" xfId="0" applyNumberFormat="1" applyFont="1" applyAlignment="1">
      <alignment vertical="center"/>
    </xf>
    <xf numFmtId="14" fontId="1" fillId="0" borderId="0" xfId="0" applyNumberFormat="1" applyFont="1" applyAlignment="1">
      <alignment horizontal="left" vertical="center"/>
    </xf>
    <xf numFmtId="0" fontId="3" fillId="0" borderId="0" xfId="0" applyFont="1" applyAlignment="1">
      <alignment horizontal="left" vertical="center"/>
    </xf>
    <xf numFmtId="0" fontId="0" fillId="0" borderId="2" xfId="0" applyBorder="1" applyAlignment="1">
      <alignment vertical="center"/>
    </xf>
    <xf numFmtId="0" fontId="1" fillId="0" borderId="4" xfId="0" applyFont="1" applyBorder="1" applyAlignment="1">
      <alignment horizontal="left" vertical="center"/>
    </xf>
    <xf numFmtId="0" fontId="0" fillId="0" borderId="4" xfId="0" applyBorder="1" applyAlignment="1">
      <alignment vertical="center"/>
    </xf>
    <xf numFmtId="0" fontId="1" fillId="0" borderId="4" xfId="0" applyFont="1" applyBorder="1" applyAlignment="1">
      <alignment vertical="center"/>
    </xf>
    <xf numFmtId="14" fontId="1" fillId="0" borderId="4" xfId="0" applyNumberFormat="1" applyFont="1" applyBorder="1" applyAlignment="1">
      <alignment vertical="center"/>
    </xf>
    <xf numFmtId="14" fontId="1" fillId="0" borderId="4" xfId="0" applyNumberFormat="1" applyFont="1" applyBorder="1" applyAlignment="1">
      <alignment horizontal="left" vertical="center"/>
    </xf>
    <xf numFmtId="0" fontId="3" fillId="0" borderId="0" xfId="0" applyFont="1" applyAlignment="1">
      <alignment horizontal="center"/>
    </xf>
    <xf numFmtId="0" fontId="3" fillId="0" borderId="4" xfId="0" applyFont="1" applyBorder="1"/>
    <xf numFmtId="0" fontId="3" fillId="0" borderId="0" xfId="0" applyFont="1" applyAlignment="1">
      <alignment horizontal="left"/>
    </xf>
    <xf numFmtId="0" fontId="1" fillId="0" borderId="0" xfId="0" applyFont="1" applyAlignment="1">
      <alignment horizontal="center"/>
    </xf>
    <xf numFmtId="49" fontId="1" fillId="0" borderId="1" xfId="0" applyNumberFormat="1" applyFont="1" applyBorder="1" applyAlignment="1">
      <alignment horizontal="center" vertical="center" wrapText="1"/>
    </xf>
    <xf numFmtId="49" fontId="1" fillId="0" borderId="0" xfId="0" applyNumberFormat="1" applyFont="1" applyAlignment="1">
      <alignment horizontal="center" wrapText="1"/>
    </xf>
    <xf numFmtId="0" fontId="1" fillId="0" borderId="0" xfId="0" applyFont="1" applyAlignment="1">
      <alignment horizontal="center" wrapText="1"/>
    </xf>
    <xf numFmtId="49" fontId="1" fillId="0" borderId="0" xfId="0" applyNumberFormat="1" applyFont="1" applyAlignment="1">
      <alignment horizontal="center"/>
    </xf>
    <xf numFmtId="0" fontId="6" fillId="2" borderId="1" xfId="0" applyFont="1" applyFill="1" applyBorder="1" applyAlignment="1">
      <alignment horizont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wrapText="1"/>
    </xf>
    <xf numFmtId="0" fontId="13" fillId="0" borderId="7" xfId="0" applyFont="1" applyBorder="1" applyAlignment="1">
      <alignment horizontal="center" vertical="center"/>
    </xf>
    <xf numFmtId="0" fontId="13" fillId="0" borderId="6" xfId="0" applyFont="1" applyBorder="1" applyAlignment="1">
      <alignment horizontal="center" vertical="center"/>
    </xf>
    <xf numFmtId="0" fontId="13" fillId="0" borderId="6" xfId="0" applyFont="1" applyBorder="1" applyAlignment="1">
      <alignment horizontal="center" vertical="center" wrapText="1"/>
    </xf>
    <xf numFmtId="0" fontId="13" fillId="6" borderId="6" xfId="0" applyFont="1" applyFill="1" applyBorder="1" applyAlignment="1">
      <alignment horizontal="center" vertical="center" wrapText="1"/>
    </xf>
    <xf numFmtId="0" fontId="11" fillId="0" borderId="0" xfId="0" applyFont="1"/>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3" fillId="0" borderId="3" xfId="0" applyFont="1" applyBorder="1" applyAlignment="1">
      <alignment horizontal="left" vertical="center"/>
    </xf>
    <xf numFmtId="0" fontId="3" fillId="0" borderId="2" xfId="0" applyFont="1" applyBorder="1" applyAlignment="1">
      <alignment horizontal="left" vertical="center"/>
    </xf>
    <xf numFmtId="0" fontId="15" fillId="0" borderId="0" xfId="0" applyFont="1" applyAlignment="1">
      <alignment horizontal="center" vertical="center"/>
    </xf>
    <xf numFmtId="0" fontId="15" fillId="0" borderId="0" xfId="0" quotePrefix="1" applyFont="1" applyAlignment="1">
      <alignment horizontal="center" vertical="center"/>
    </xf>
    <xf numFmtId="3" fontId="0" fillId="0" borderId="0" xfId="0" quotePrefix="1" applyNumberFormat="1" applyAlignment="1">
      <alignment horizontal="center" vertical="center"/>
    </xf>
    <xf numFmtId="0" fontId="0" fillId="0" borderId="0" xfId="0" applyAlignment="1">
      <alignment horizontal="center" vertical="center" wrapText="1"/>
    </xf>
    <xf numFmtId="0" fontId="16" fillId="0" borderId="0" xfId="1" applyAlignment="1">
      <alignment horizontal="center" vertical="center"/>
    </xf>
    <xf numFmtId="0" fontId="17" fillId="0" borderId="1" xfId="0" applyFont="1" applyBorder="1" applyAlignment="1">
      <alignment horizontal="center"/>
    </xf>
    <xf numFmtId="0" fontId="9" fillId="3" borderId="0" xfId="0" applyFont="1" applyFill="1" applyAlignment="1">
      <alignment horizontal="left" vertical="center" wrapText="1"/>
    </xf>
    <xf numFmtId="0" fontId="14" fillId="2" borderId="9" xfId="0" applyFont="1" applyFill="1" applyBorder="1" applyAlignment="1">
      <alignment horizontal="center" vertical="center" wrapText="1"/>
    </xf>
    <xf numFmtId="0" fontId="14" fillId="2" borderId="8"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1" xfId="0" applyFont="1" applyFill="1" applyBorder="1" applyAlignment="1">
      <alignment horizontal="center" vertical="center" wrapText="1"/>
    </xf>
    <xf numFmtId="0" fontId="4" fillId="2" borderId="0" xfId="0" applyFont="1" applyFill="1" applyAlignment="1">
      <alignment horizontal="center" vertical="center"/>
    </xf>
    <xf numFmtId="0" fontId="1" fillId="0" borderId="2" xfId="0" applyFont="1" applyBorder="1" applyAlignment="1">
      <alignment horizontal="left" vertical="center"/>
    </xf>
    <xf numFmtId="0" fontId="6" fillId="2" borderId="1" xfId="0" applyFont="1" applyFill="1" applyBorder="1" applyAlignment="1">
      <alignment horizontal="center" vertical="center"/>
    </xf>
    <xf numFmtId="49" fontId="1" fillId="0" borderId="1" xfId="0" applyNumberFormat="1" applyFont="1" applyBorder="1" applyAlignment="1">
      <alignment horizontal="center" vertical="center" wrapText="1"/>
    </xf>
    <xf numFmtId="0" fontId="1" fillId="0" borderId="3" xfId="0" applyFont="1" applyBorder="1" applyAlignment="1">
      <alignment horizontal="left" vertical="center"/>
    </xf>
    <xf numFmtId="0" fontId="6" fillId="2" borderId="1" xfId="0"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horizontal="left" vertical="center"/>
    </xf>
    <xf numFmtId="0" fontId="3" fillId="0" borderId="4" xfId="0" applyFont="1" applyBorder="1" applyAlignment="1">
      <alignment horizontal="center"/>
    </xf>
    <xf numFmtId="0" fontId="10" fillId="5" borderId="1" xfId="0" applyFont="1" applyFill="1" applyBorder="1" applyAlignment="1">
      <alignment horizontal="center" vertical="center"/>
    </xf>
    <xf numFmtId="0" fontId="0" fillId="0" borderId="2" xfId="0" applyBorder="1" applyAlignment="1">
      <alignment horizontal="left" vertical="center"/>
    </xf>
  </cellXfs>
  <cellStyles count="2">
    <cellStyle name="Hyperlink" xfId="1" builtinId="8"/>
    <cellStyle name="Normal" xfId="0" builtinId="0"/>
  </cellStyles>
  <dxfs count="21">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0"/>
        <name val="Proxima Nova Rg"/>
        <scheme val="none"/>
      </font>
      <fill>
        <patternFill patternType="solid">
          <fgColor indexed="64"/>
          <bgColor rgb="FF1EA34A"/>
        </patternFill>
      </fill>
      <alignment horizontal="center" vertical="center" textRotation="0" wrapText="1" indent="0" justifyLastLine="0" shrinkToFit="0" readingOrder="0"/>
    </dxf>
    <dxf>
      <font>
        <b val="0"/>
      </font>
      <alignment horizontal="center" textRotation="0" indent="0" justifyLastLine="0" shrinkToFit="0" readingOrder="0"/>
    </dxf>
    <dxf>
      <font>
        <b val="0"/>
      </font>
      <alignment horizontal="center" textRotation="0" indent="0" justifyLastLine="0" shrinkToFit="0" readingOrder="0"/>
    </dxf>
    <dxf>
      <font>
        <b val="0"/>
      </font>
      <alignment horizontal="center" textRotation="0" indent="0" justifyLastLine="0" shrinkToFit="0" readingOrder="0"/>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border outline="0">
        <left style="medium">
          <color indexed="64"/>
        </left>
        <right style="medium">
          <color indexed="64"/>
        </right>
        <bottom style="medium">
          <color indexed="64"/>
        </bottom>
      </border>
    </dxf>
    <dxf>
      <font>
        <b val="0"/>
      </font>
      <alignment horizontal="center" textRotation="0" indent="0" justifyLastLine="0" shrinkToFit="0" readingOrder="0"/>
    </dxf>
    <dxf>
      <font>
        <b/>
        <i val="0"/>
        <strike val="0"/>
        <condense val="0"/>
        <extend val="0"/>
        <outline val="0"/>
        <shadow val="0"/>
        <u val="none"/>
        <vertAlign val="baseline"/>
        <sz val="11"/>
        <color theme="0"/>
        <name val="Proxima Nova Rg"/>
        <scheme val="none"/>
      </font>
      <fill>
        <patternFill patternType="solid">
          <fgColor indexed="64"/>
          <bgColor rgb="FF1EA34A"/>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border diagonalUp="0" diagonalDown="0">
        <left/>
        <right/>
        <top/>
        <bottom/>
        <vertical/>
        <horizontal/>
      </border>
    </dxf>
  </dxfs>
  <tableStyles count="1" defaultTableStyle="TableStyleMedium2" defaultPivotStyle="PivotStyleLight16">
    <tableStyle name="Table Style 1" pivot="0" count="1" xr9:uid="{2E5AD7D3-AFF3-482D-9614-FBC83E4CC1D8}">
      <tableStyleElement type="wholeTabl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E97E0350-554D-467F-8018-A105DD55301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1135" y="365795"/>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5" name="Picture 4">
          <a:extLst>
            <a:ext uri="{FF2B5EF4-FFF2-40B4-BE49-F238E27FC236}">
              <a16:creationId xmlns:a16="http://schemas.microsoft.com/office/drawing/2014/main" id="{2BEBF5E1-BE28-6819-1A77-5607231327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6964" y="0"/>
          <a:ext cx="922646" cy="11317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CCAF2747-A5CD-4BC3-87B9-229E227C183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4510"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72A22A26-32F3-48DD-9E07-443BC4AF379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6964" y="0"/>
          <a:ext cx="922646" cy="11317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71E30619-A10D-4C65-ACC7-5C32EA5E29B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22105" y="358175"/>
          <a:ext cx="2358438" cy="7672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3" name="Picture 2">
          <a:extLst>
            <a:ext uri="{FF2B5EF4-FFF2-40B4-BE49-F238E27FC236}">
              <a16:creationId xmlns:a16="http://schemas.microsoft.com/office/drawing/2014/main" id="{2A00A8C9-5F4F-40B2-AB9C-552FCF0B723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76039" y="0"/>
          <a:ext cx="945506" cy="109877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0C39DE7-3238-4F16-8F79-BF0B996C9F56}" name="Table5" displayName="Table5" ref="A2:F12" totalsRowShown="0" headerRowDxfId="19" dataDxfId="18" tableBorderDxfId="17">
  <autoFilter ref="A2:F12" xr:uid="{C0C39DE7-3238-4F16-8F79-BF0B996C9F56}">
    <filterColumn colId="0" hiddenButton="1"/>
    <filterColumn colId="1" hiddenButton="1"/>
    <filterColumn colId="2" hiddenButton="1"/>
    <filterColumn colId="3" hiddenButton="1"/>
    <filterColumn colId="4" hiddenButton="1"/>
    <filterColumn colId="5" hiddenButton="1"/>
  </autoFilter>
  <tableColumns count="6">
    <tableColumn id="1" xr3:uid="{9FBCA1F2-3570-4E4C-A421-1392F0859D65}" name="Item #" dataDxfId="16"/>
    <tableColumn id="2" xr3:uid="{8587CB0A-59B3-444C-9E64-244D0F10EC9E}" name="Location" dataDxfId="15"/>
    <tableColumn id="3" xr3:uid="{6194BF03-756D-4355-9694-83A378E83E25}" name="Item" dataDxfId="14"/>
    <tableColumn id="4" xr3:uid="{07E33592-CBFB-49F2-B7C7-71117D878FD8}" name="Description" dataDxfId="13"/>
    <tableColumn id="5" xr3:uid="{B7168CF5-CE0A-4813-AA89-51B4821D1D73}" name="Quantity" dataDxfId="12"/>
    <tableColumn id="6" xr3:uid="{3DFDFC5D-4DC1-4E56-B935-57280527F643}" name="Unit"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C2B0AF-CAF8-4B5F-BB9E-78A2898DFFA2}" name="Table2" displayName="Table2" ref="G2:J12" totalsRowShown="0" headerRowDxfId="10" headerRowBorderDxfId="9" tableBorderDxfId="8">
  <autoFilter ref="G2:J12" xr:uid="{6BC2B0AF-CAF8-4B5F-BB9E-78A2898DFFA2}"/>
  <tableColumns count="4">
    <tableColumn id="1" xr3:uid="{342D7EF1-B8DA-4E13-88FB-60308430C54E}" name="Quote Received "/>
    <tableColumn id="2" xr3:uid="{57A9E1AD-25E3-4404-85DB-FC8D5BD345E8}" name="PO Sent "/>
    <tableColumn id="3" xr3:uid="{9438680E-E27E-42EE-A27B-5A5C22263705}" name="PO-Date Sent"/>
    <tableColumn id="4" xr3:uid="{27DC2DB2-96AF-4264-A1F0-DD0C8CFADBB2}" name="Delivery Dat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6A0E73-0483-4071-9414-A641CE2DA89F}" name="Table14" displayName="Table14" ref="A1:F67" totalsRowShown="0" headerRowDxfId="7" dataDxfId="6">
  <autoFilter ref="A1:F67" xr:uid="{28F27099-25FC-4994-AF00-17BB35AAA3D3}"/>
  <sortState xmlns:xlrd2="http://schemas.microsoft.com/office/spreadsheetml/2017/richdata2" ref="A2:F67">
    <sortCondition ref="A1:A52"/>
  </sortState>
  <tableColumns count="6">
    <tableColumn id="1" xr3:uid="{C5FE57C1-9CF8-4D7C-9DE5-71655BDF0656}" name="Supplier" dataDxfId="5"/>
    <tableColumn id="2" xr3:uid="{13E1B5D7-71BD-4801-B19D-F492687C0ABC}" name="VAT#" dataDxfId="4"/>
    <tableColumn id="3" xr3:uid="{3E9FC301-9D6F-44D7-B70A-8B5F8FC88333}" name="Address part 1" dataDxfId="3"/>
    <tableColumn id="4" xr3:uid="{E517CC99-4B0D-437D-B0B3-E2DEAA665F54}" name="Address part 2" dataDxfId="2"/>
    <tableColumn id="5" xr3:uid="{855026FF-E586-49FC-9FDA-9DDBE5D83516}" name="Contact" dataDxfId="1"/>
    <tableColumn id="6" xr3:uid="{6026D9C1-EC4F-4090-A943-1CEC3D708191}" name="Contact no."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liezl.s@eazi.co.za" TargetMode="External"/><Relationship Id="rId7" Type="http://schemas.openxmlformats.org/officeDocument/2006/relationships/printerSettings" Target="../printerSettings/printerSettings5.bin"/><Relationship Id="rId2" Type="http://schemas.openxmlformats.org/officeDocument/2006/relationships/hyperlink" Target="mailto:sales@emerce-africa.co.za" TargetMode="External"/><Relationship Id="rId1" Type="http://schemas.openxmlformats.org/officeDocument/2006/relationships/hyperlink" Target="mailto:info@bnc.co.za" TargetMode="External"/><Relationship Id="rId6" Type="http://schemas.openxmlformats.org/officeDocument/2006/relationships/hyperlink" Target="mailto:plumbrytprojects@gmail.com" TargetMode="External"/><Relationship Id="rId5" Type="http://schemas.openxmlformats.org/officeDocument/2006/relationships/hyperlink" Target="https://grunlite.com/" TargetMode="External"/><Relationship Id="rId4" Type="http://schemas.openxmlformats.org/officeDocument/2006/relationships/hyperlink" Target="mailto:info@switchman.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7E999-F209-49C6-A458-3FBBE4E27A32}">
  <sheetPr codeName="Sheet3">
    <tabColor rgb="FFFFFF00"/>
  </sheetPr>
  <dimension ref="A1:P26"/>
  <sheetViews>
    <sheetView view="pageBreakPreview" zoomScale="85" zoomScaleNormal="85" zoomScaleSheetLayoutView="85" workbookViewId="0">
      <selection sqref="A1:P26"/>
    </sheetView>
  </sheetViews>
  <sheetFormatPr defaultRowHeight="14.4"/>
  <sheetData>
    <row r="1" spans="1:16" ht="15" customHeight="1">
      <c r="A1" s="62" t="s">
        <v>163</v>
      </c>
      <c r="B1" s="62"/>
      <c r="C1" s="62"/>
      <c r="D1" s="62"/>
      <c r="E1" s="62"/>
      <c r="F1" s="62"/>
      <c r="G1" s="62"/>
      <c r="H1" s="62"/>
      <c r="I1" s="62"/>
      <c r="J1" s="62"/>
      <c r="K1" s="62"/>
      <c r="L1" s="62"/>
      <c r="M1" s="62"/>
      <c r="N1" s="62"/>
      <c r="O1" s="62"/>
      <c r="P1" s="62"/>
    </row>
    <row r="2" spans="1:16" ht="15" customHeight="1">
      <c r="A2" s="62"/>
      <c r="B2" s="62"/>
      <c r="C2" s="62"/>
      <c r="D2" s="62"/>
      <c r="E2" s="62"/>
      <c r="F2" s="62"/>
      <c r="G2" s="62"/>
      <c r="H2" s="62"/>
      <c r="I2" s="62"/>
      <c r="J2" s="62"/>
      <c r="K2" s="62"/>
      <c r="L2" s="62"/>
      <c r="M2" s="62"/>
      <c r="N2" s="62"/>
      <c r="O2" s="62"/>
      <c r="P2" s="62"/>
    </row>
    <row r="3" spans="1:16" ht="15" customHeight="1">
      <c r="A3" s="62"/>
      <c r="B3" s="62"/>
      <c r="C3" s="62"/>
      <c r="D3" s="62"/>
      <c r="E3" s="62"/>
      <c r="F3" s="62"/>
      <c r="G3" s="62"/>
      <c r="H3" s="62"/>
      <c r="I3" s="62"/>
      <c r="J3" s="62"/>
      <c r="K3" s="62"/>
      <c r="L3" s="62"/>
      <c r="M3" s="62"/>
      <c r="N3" s="62"/>
      <c r="O3" s="62"/>
      <c r="P3" s="62"/>
    </row>
    <row r="4" spans="1:16" ht="15" customHeight="1">
      <c r="A4" s="62"/>
      <c r="B4" s="62"/>
      <c r="C4" s="62"/>
      <c r="D4" s="62"/>
      <c r="E4" s="62"/>
      <c r="F4" s="62"/>
      <c r="G4" s="62"/>
      <c r="H4" s="62"/>
      <c r="I4" s="62"/>
      <c r="J4" s="62"/>
      <c r="K4" s="62"/>
      <c r="L4" s="62"/>
      <c r="M4" s="62"/>
      <c r="N4" s="62"/>
      <c r="O4" s="62"/>
      <c r="P4" s="62"/>
    </row>
    <row r="5" spans="1:16" ht="15" customHeight="1">
      <c r="A5" s="62"/>
      <c r="B5" s="62"/>
      <c r="C5" s="62"/>
      <c r="D5" s="62"/>
      <c r="E5" s="62"/>
      <c r="F5" s="62"/>
      <c r="G5" s="62"/>
      <c r="H5" s="62"/>
      <c r="I5" s="62"/>
      <c r="J5" s="62"/>
      <c r="K5" s="62"/>
      <c r="L5" s="62"/>
      <c r="M5" s="62"/>
      <c r="N5" s="62"/>
      <c r="O5" s="62"/>
      <c r="P5" s="62"/>
    </row>
    <row r="6" spans="1:16" ht="15" customHeight="1">
      <c r="A6" s="62"/>
      <c r="B6" s="62"/>
      <c r="C6" s="62"/>
      <c r="D6" s="62"/>
      <c r="E6" s="62"/>
      <c r="F6" s="62"/>
      <c r="G6" s="62"/>
      <c r="H6" s="62"/>
      <c r="I6" s="62"/>
      <c r="J6" s="62"/>
      <c r="K6" s="62"/>
      <c r="L6" s="62"/>
      <c r="M6" s="62"/>
      <c r="N6" s="62"/>
      <c r="O6" s="62"/>
      <c r="P6" s="62"/>
    </row>
    <row r="7" spans="1:16" ht="15" customHeight="1">
      <c r="A7" s="62"/>
      <c r="B7" s="62"/>
      <c r="C7" s="62"/>
      <c r="D7" s="62"/>
      <c r="E7" s="62"/>
      <c r="F7" s="62"/>
      <c r="G7" s="62"/>
      <c r="H7" s="62"/>
      <c r="I7" s="62"/>
      <c r="J7" s="62"/>
      <c r="K7" s="62"/>
      <c r="L7" s="62"/>
      <c r="M7" s="62"/>
      <c r="N7" s="62"/>
      <c r="O7" s="62"/>
      <c r="P7" s="62"/>
    </row>
    <row r="8" spans="1:16" ht="15" customHeight="1">
      <c r="A8" s="62"/>
      <c r="B8" s="62"/>
      <c r="C8" s="62"/>
      <c r="D8" s="62"/>
      <c r="E8" s="62"/>
      <c r="F8" s="62"/>
      <c r="G8" s="62"/>
      <c r="H8" s="62"/>
      <c r="I8" s="62"/>
      <c r="J8" s="62"/>
      <c r="K8" s="62"/>
      <c r="L8" s="62"/>
      <c r="M8" s="62"/>
      <c r="N8" s="62"/>
      <c r="O8" s="62"/>
      <c r="P8" s="62"/>
    </row>
    <row r="9" spans="1:16" ht="15" customHeight="1">
      <c r="A9" s="62"/>
      <c r="B9" s="62"/>
      <c r="C9" s="62"/>
      <c r="D9" s="62"/>
      <c r="E9" s="62"/>
      <c r="F9" s="62"/>
      <c r="G9" s="62"/>
      <c r="H9" s="62"/>
      <c r="I9" s="62"/>
      <c r="J9" s="62"/>
      <c r="K9" s="62"/>
      <c r="L9" s="62"/>
      <c r="M9" s="62"/>
      <c r="N9" s="62"/>
      <c r="O9" s="62"/>
      <c r="P9" s="62"/>
    </row>
    <row r="10" spans="1:16" ht="15" customHeight="1">
      <c r="A10" s="62"/>
      <c r="B10" s="62"/>
      <c r="C10" s="62"/>
      <c r="D10" s="62"/>
      <c r="E10" s="62"/>
      <c r="F10" s="62"/>
      <c r="G10" s="62"/>
      <c r="H10" s="62"/>
      <c r="I10" s="62"/>
      <c r="J10" s="62"/>
      <c r="K10" s="62"/>
      <c r="L10" s="62"/>
      <c r="M10" s="62"/>
      <c r="N10" s="62"/>
      <c r="O10" s="62"/>
      <c r="P10" s="62"/>
    </row>
    <row r="11" spans="1:16" ht="15" customHeight="1">
      <c r="A11" s="62"/>
      <c r="B11" s="62"/>
      <c r="C11" s="62"/>
      <c r="D11" s="62"/>
      <c r="E11" s="62"/>
      <c r="F11" s="62"/>
      <c r="G11" s="62"/>
      <c r="H11" s="62"/>
      <c r="I11" s="62"/>
      <c r="J11" s="62"/>
      <c r="K11" s="62"/>
      <c r="L11" s="62"/>
      <c r="M11" s="62"/>
      <c r="N11" s="62"/>
      <c r="O11" s="62"/>
      <c r="P11" s="62"/>
    </row>
    <row r="12" spans="1:16" ht="15" customHeight="1">
      <c r="A12" s="62"/>
      <c r="B12" s="62"/>
      <c r="C12" s="62"/>
      <c r="D12" s="62"/>
      <c r="E12" s="62"/>
      <c r="F12" s="62"/>
      <c r="G12" s="62"/>
      <c r="H12" s="62"/>
      <c r="I12" s="62"/>
      <c r="J12" s="62"/>
      <c r="K12" s="62"/>
      <c r="L12" s="62"/>
      <c r="M12" s="62"/>
      <c r="N12" s="62"/>
      <c r="O12" s="62"/>
      <c r="P12" s="62"/>
    </row>
    <row r="13" spans="1:16" ht="15" customHeight="1">
      <c r="A13" s="62"/>
      <c r="B13" s="62"/>
      <c r="C13" s="62"/>
      <c r="D13" s="62"/>
      <c r="E13" s="62"/>
      <c r="F13" s="62"/>
      <c r="G13" s="62"/>
      <c r="H13" s="62"/>
      <c r="I13" s="62"/>
      <c r="J13" s="62"/>
      <c r="K13" s="62"/>
      <c r="L13" s="62"/>
      <c r="M13" s="62"/>
      <c r="N13" s="62"/>
      <c r="O13" s="62"/>
      <c r="P13" s="62"/>
    </row>
    <row r="14" spans="1:16" ht="15" customHeight="1">
      <c r="A14" s="62"/>
      <c r="B14" s="62"/>
      <c r="C14" s="62"/>
      <c r="D14" s="62"/>
      <c r="E14" s="62"/>
      <c r="F14" s="62"/>
      <c r="G14" s="62"/>
      <c r="H14" s="62"/>
      <c r="I14" s="62"/>
      <c r="J14" s="62"/>
      <c r="K14" s="62"/>
      <c r="L14" s="62"/>
      <c r="M14" s="62"/>
      <c r="N14" s="62"/>
      <c r="O14" s="62"/>
      <c r="P14" s="62"/>
    </row>
    <row r="15" spans="1:16" ht="15" customHeight="1">
      <c r="A15" s="62"/>
      <c r="B15" s="62"/>
      <c r="C15" s="62"/>
      <c r="D15" s="62"/>
      <c r="E15" s="62"/>
      <c r="F15" s="62"/>
      <c r="G15" s="62"/>
      <c r="H15" s="62"/>
      <c r="I15" s="62"/>
      <c r="J15" s="62"/>
      <c r="K15" s="62"/>
      <c r="L15" s="62"/>
      <c r="M15" s="62"/>
      <c r="N15" s="62"/>
      <c r="O15" s="62"/>
      <c r="P15" s="62"/>
    </row>
    <row r="16" spans="1:16" ht="15" customHeight="1">
      <c r="A16" s="62"/>
      <c r="B16" s="62"/>
      <c r="C16" s="62"/>
      <c r="D16" s="62"/>
      <c r="E16" s="62"/>
      <c r="F16" s="62"/>
      <c r="G16" s="62"/>
      <c r="H16" s="62"/>
      <c r="I16" s="62"/>
      <c r="J16" s="62"/>
      <c r="K16" s="62"/>
      <c r="L16" s="62"/>
      <c r="M16" s="62"/>
      <c r="N16" s="62"/>
      <c r="O16" s="62"/>
      <c r="P16" s="62"/>
    </row>
    <row r="17" spans="1:16" ht="15" customHeight="1">
      <c r="A17" s="62"/>
      <c r="B17" s="62"/>
      <c r="C17" s="62"/>
      <c r="D17" s="62"/>
      <c r="E17" s="62"/>
      <c r="F17" s="62"/>
      <c r="G17" s="62"/>
      <c r="H17" s="62"/>
      <c r="I17" s="62"/>
      <c r="J17" s="62"/>
      <c r="K17" s="62"/>
      <c r="L17" s="62"/>
      <c r="M17" s="62"/>
      <c r="N17" s="62"/>
      <c r="O17" s="62"/>
      <c r="P17" s="62"/>
    </row>
    <row r="18" spans="1:16" ht="15" customHeight="1">
      <c r="A18" s="62"/>
      <c r="B18" s="62"/>
      <c r="C18" s="62"/>
      <c r="D18" s="62"/>
      <c r="E18" s="62"/>
      <c r="F18" s="62"/>
      <c r="G18" s="62"/>
      <c r="H18" s="62"/>
      <c r="I18" s="62"/>
      <c r="J18" s="62"/>
      <c r="K18" s="62"/>
      <c r="L18" s="62"/>
      <c r="M18" s="62"/>
      <c r="N18" s="62"/>
      <c r="O18" s="62"/>
      <c r="P18" s="62"/>
    </row>
    <row r="19" spans="1:16" ht="15" customHeight="1">
      <c r="A19" s="62"/>
      <c r="B19" s="62"/>
      <c r="C19" s="62"/>
      <c r="D19" s="62"/>
      <c r="E19" s="62"/>
      <c r="F19" s="62"/>
      <c r="G19" s="62"/>
      <c r="H19" s="62"/>
      <c r="I19" s="62"/>
      <c r="J19" s="62"/>
      <c r="K19" s="62"/>
      <c r="L19" s="62"/>
      <c r="M19" s="62"/>
      <c r="N19" s="62"/>
      <c r="O19" s="62"/>
      <c r="P19" s="62"/>
    </row>
    <row r="20" spans="1:16" ht="15" customHeight="1">
      <c r="A20" s="62"/>
      <c r="B20" s="62"/>
      <c r="C20" s="62"/>
      <c r="D20" s="62"/>
      <c r="E20" s="62"/>
      <c r="F20" s="62"/>
      <c r="G20" s="62"/>
      <c r="H20" s="62"/>
      <c r="I20" s="62"/>
      <c r="J20" s="62"/>
      <c r="K20" s="62"/>
      <c r="L20" s="62"/>
      <c r="M20" s="62"/>
      <c r="N20" s="62"/>
      <c r="O20" s="62"/>
      <c r="P20" s="62"/>
    </row>
    <row r="21" spans="1:16" ht="15" customHeight="1">
      <c r="A21" s="62"/>
      <c r="B21" s="62"/>
      <c r="C21" s="62"/>
      <c r="D21" s="62"/>
      <c r="E21" s="62"/>
      <c r="F21" s="62"/>
      <c r="G21" s="62"/>
      <c r="H21" s="62"/>
      <c r="I21" s="62"/>
      <c r="J21" s="62"/>
      <c r="K21" s="62"/>
      <c r="L21" s="62"/>
      <c r="M21" s="62"/>
      <c r="N21" s="62"/>
      <c r="O21" s="62"/>
      <c r="P21" s="62"/>
    </row>
    <row r="22" spans="1:16" ht="15" customHeight="1">
      <c r="A22" s="62"/>
      <c r="B22" s="62"/>
      <c r="C22" s="62"/>
      <c r="D22" s="62"/>
      <c r="E22" s="62"/>
      <c r="F22" s="62"/>
      <c r="G22" s="62"/>
      <c r="H22" s="62"/>
      <c r="I22" s="62"/>
      <c r="J22" s="62"/>
      <c r="K22" s="62"/>
      <c r="L22" s="62"/>
      <c r="M22" s="62"/>
      <c r="N22" s="62"/>
      <c r="O22" s="62"/>
      <c r="P22" s="62"/>
    </row>
    <row r="23" spans="1:16" ht="15" customHeight="1">
      <c r="A23" s="62"/>
      <c r="B23" s="62"/>
      <c r="C23" s="62"/>
      <c r="D23" s="62"/>
      <c r="E23" s="62"/>
      <c r="F23" s="62"/>
      <c r="G23" s="62"/>
      <c r="H23" s="62"/>
      <c r="I23" s="62"/>
      <c r="J23" s="62"/>
      <c r="K23" s="62"/>
      <c r="L23" s="62"/>
      <c r="M23" s="62"/>
      <c r="N23" s="62"/>
      <c r="O23" s="62"/>
      <c r="P23" s="62"/>
    </row>
    <row r="24" spans="1:16" ht="15" customHeight="1">
      <c r="A24" s="62"/>
      <c r="B24" s="62"/>
      <c r="C24" s="62"/>
      <c r="D24" s="62"/>
      <c r="E24" s="62"/>
      <c r="F24" s="62"/>
      <c r="G24" s="62"/>
      <c r="H24" s="62"/>
      <c r="I24" s="62"/>
      <c r="J24" s="62"/>
      <c r="K24" s="62"/>
      <c r="L24" s="62"/>
      <c r="M24" s="62"/>
      <c r="N24" s="62"/>
      <c r="O24" s="62"/>
      <c r="P24" s="62"/>
    </row>
    <row r="25" spans="1:16" ht="15" customHeight="1">
      <c r="A25" s="62"/>
      <c r="B25" s="62"/>
      <c r="C25" s="62"/>
      <c r="D25" s="62"/>
      <c r="E25" s="62"/>
      <c r="F25" s="62"/>
      <c r="G25" s="62"/>
      <c r="H25" s="62"/>
      <c r="I25" s="62"/>
      <c r="J25" s="62"/>
      <c r="K25" s="62"/>
      <c r="L25" s="62"/>
      <c r="M25" s="62"/>
      <c r="N25" s="62"/>
      <c r="O25" s="62"/>
      <c r="P25" s="62"/>
    </row>
    <row r="26" spans="1:16">
      <c r="A26" s="62"/>
      <c r="B26" s="62"/>
      <c r="C26" s="62"/>
      <c r="D26" s="62"/>
      <c r="E26" s="62"/>
      <c r="F26" s="62"/>
      <c r="G26" s="62"/>
      <c r="H26" s="62"/>
      <c r="I26" s="62"/>
      <c r="J26" s="62"/>
      <c r="K26" s="62"/>
      <c r="L26" s="62"/>
      <c r="M26" s="62"/>
      <c r="N26" s="62"/>
      <c r="O26" s="62"/>
      <c r="P26" s="62"/>
    </row>
  </sheetData>
  <mergeCells count="1">
    <mergeCell ref="A1:P26"/>
  </mergeCells>
  <pageMargins left="0.7" right="0.7" top="0.75" bottom="0.75" header="0.3" footer="0.3"/>
  <pageSetup scale="61"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3E93F-2F04-4BB4-8B4B-FFDF23EFFF53}">
  <sheetPr codeName="Sheet6">
    <tabColor rgb="FFFFFF00"/>
  </sheetPr>
  <dimension ref="A1:J12"/>
  <sheetViews>
    <sheetView zoomScaleNormal="100" workbookViewId="0">
      <selection activeCell="I20" sqref="I20"/>
    </sheetView>
  </sheetViews>
  <sheetFormatPr defaultRowHeight="14.4"/>
  <cols>
    <col min="1" max="1" width="11.21875" customWidth="1"/>
    <col min="2" max="2" width="14.5546875" bestFit="1" customWidth="1"/>
    <col min="3" max="3" width="31.21875" bestFit="1" customWidth="1"/>
    <col min="4" max="4" width="67.77734375" customWidth="1"/>
    <col min="5" max="5" width="11" customWidth="1"/>
    <col min="6" max="6" width="6.77734375" customWidth="1"/>
    <col min="7" max="7" width="18.77734375" customWidth="1"/>
    <col min="8" max="8" width="14.21875" customWidth="1"/>
    <col min="9" max="9" width="21.21875" customWidth="1"/>
    <col min="10" max="10" width="18.44140625" customWidth="1"/>
  </cols>
  <sheetData>
    <row r="1" spans="1:10" s="51" customFormat="1" ht="16.5" customHeight="1" thickBot="1">
      <c r="A1" s="63" t="s">
        <v>338</v>
      </c>
      <c r="B1" s="64"/>
      <c r="C1" s="64"/>
      <c r="D1" s="64"/>
      <c r="E1" s="64"/>
      <c r="F1" s="64"/>
      <c r="G1" s="65" t="s">
        <v>195</v>
      </c>
      <c r="H1" s="65"/>
      <c r="I1" s="65"/>
      <c r="J1" s="66"/>
    </row>
    <row r="2" spans="1:10" s="51" customFormat="1" ht="15" thickBot="1">
      <c r="A2" s="46" t="s">
        <v>13</v>
      </c>
      <c r="B2" s="46" t="s">
        <v>174</v>
      </c>
      <c r="C2" s="44" t="s">
        <v>175</v>
      </c>
      <c r="D2" s="46" t="s">
        <v>14</v>
      </c>
      <c r="E2" s="45" t="s">
        <v>176</v>
      </c>
      <c r="F2" s="45" t="s">
        <v>17</v>
      </c>
      <c r="G2" s="45" t="s">
        <v>196</v>
      </c>
      <c r="H2" s="46" t="s">
        <v>197</v>
      </c>
      <c r="I2" s="46" t="s">
        <v>198</v>
      </c>
      <c r="J2" s="46" t="s">
        <v>199</v>
      </c>
    </row>
    <row r="3" spans="1:10" ht="15" thickBot="1">
      <c r="A3" s="48">
        <v>1</v>
      </c>
      <c r="B3" s="48" t="s">
        <v>177</v>
      </c>
      <c r="C3" s="48" t="s">
        <v>178</v>
      </c>
      <c r="D3" s="49" t="s">
        <v>332</v>
      </c>
      <c r="E3" s="47">
        <v>3182</v>
      </c>
      <c r="F3" s="47" t="s">
        <v>179</v>
      </c>
      <c r="G3" s="50"/>
      <c r="H3" s="50"/>
      <c r="I3" s="50"/>
      <c r="J3" s="50"/>
    </row>
    <row r="4" spans="1:10" ht="15" thickBot="1">
      <c r="A4" s="48">
        <v>2</v>
      </c>
      <c r="B4" s="48" t="s">
        <v>177</v>
      </c>
      <c r="C4" s="48" t="s">
        <v>192</v>
      </c>
      <c r="D4" s="49" t="s">
        <v>333</v>
      </c>
      <c r="E4" s="47">
        <v>1750</v>
      </c>
      <c r="F4" s="47" t="s">
        <v>180</v>
      </c>
      <c r="G4" s="50"/>
      <c r="H4" s="50"/>
      <c r="I4" s="50"/>
      <c r="J4" s="50"/>
    </row>
    <row r="5" spans="1:10" ht="15" thickBot="1">
      <c r="A5" s="48">
        <v>3</v>
      </c>
      <c r="B5" s="48" t="s">
        <v>177</v>
      </c>
      <c r="C5" s="48" t="s">
        <v>181</v>
      </c>
      <c r="D5" s="49" t="s">
        <v>182</v>
      </c>
      <c r="E5" s="47">
        <v>26500</v>
      </c>
      <c r="F5" s="47" t="s">
        <v>183</v>
      </c>
      <c r="G5" s="50"/>
      <c r="H5" s="50"/>
      <c r="I5" s="50"/>
      <c r="J5" s="50"/>
    </row>
    <row r="6" spans="1:10" ht="15" thickBot="1">
      <c r="A6" s="48">
        <v>4</v>
      </c>
      <c r="B6" s="48" t="s">
        <v>177</v>
      </c>
      <c r="C6" s="48" t="s">
        <v>184</v>
      </c>
      <c r="D6" s="49" t="s">
        <v>185</v>
      </c>
      <c r="E6" s="47">
        <v>26500</v>
      </c>
      <c r="F6" s="47" t="s">
        <v>183</v>
      </c>
      <c r="G6" s="50"/>
      <c r="H6" s="50"/>
      <c r="I6" s="50"/>
      <c r="J6" s="50"/>
    </row>
    <row r="7" spans="1:10" ht="15" thickBot="1">
      <c r="A7" s="48">
        <v>5</v>
      </c>
      <c r="B7" s="48" t="s">
        <v>186</v>
      </c>
      <c r="C7" s="48" t="s">
        <v>330</v>
      </c>
      <c r="D7" s="49" t="s">
        <v>334</v>
      </c>
      <c r="E7" s="47">
        <v>12</v>
      </c>
      <c r="F7" s="47" t="s">
        <v>179</v>
      </c>
      <c r="G7" s="50"/>
      <c r="H7" s="50"/>
      <c r="I7" s="50"/>
      <c r="J7" s="50"/>
    </row>
    <row r="8" spans="1:10" ht="15" thickBot="1">
      <c r="A8" s="48">
        <v>6</v>
      </c>
      <c r="B8" s="48" t="s">
        <v>187</v>
      </c>
      <c r="C8" s="48" t="s">
        <v>193</v>
      </c>
      <c r="D8" s="49" t="s">
        <v>335</v>
      </c>
      <c r="E8" s="47">
        <v>3</v>
      </c>
      <c r="F8" s="47" t="s">
        <v>179</v>
      </c>
      <c r="G8" s="50"/>
      <c r="H8" s="50"/>
      <c r="I8" s="50"/>
      <c r="J8" s="50"/>
    </row>
    <row r="9" spans="1:10" ht="15" thickBot="1">
      <c r="A9" s="48">
        <v>7</v>
      </c>
      <c r="B9" s="48" t="s">
        <v>187</v>
      </c>
      <c r="C9" s="48" t="s">
        <v>194</v>
      </c>
      <c r="D9" s="49" t="s">
        <v>335</v>
      </c>
      <c r="E9" s="47">
        <v>3</v>
      </c>
      <c r="F9" s="47" t="s">
        <v>179</v>
      </c>
      <c r="G9" s="50"/>
      <c r="H9" s="50"/>
      <c r="I9" s="50"/>
      <c r="J9" s="50"/>
    </row>
    <row r="10" spans="1:10" ht="15" thickBot="1">
      <c r="A10" s="48">
        <v>8</v>
      </c>
      <c r="B10" s="48" t="s">
        <v>188</v>
      </c>
      <c r="C10" s="48" t="s">
        <v>189</v>
      </c>
      <c r="D10" s="49" t="s">
        <v>190</v>
      </c>
      <c r="E10" s="47">
        <v>1</v>
      </c>
      <c r="F10" s="47" t="s">
        <v>179</v>
      </c>
      <c r="G10" s="50"/>
      <c r="H10" s="50"/>
      <c r="I10" s="50"/>
      <c r="J10" s="50"/>
    </row>
    <row r="11" spans="1:10" ht="15" thickBot="1">
      <c r="A11" s="48">
        <v>9</v>
      </c>
      <c r="B11" s="48" t="s">
        <v>188</v>
      </c>
      <c r="C11" s="48" t="s">
        <v>191</v>
      </c>
      <c r="D11" s="49" t="s">
        <v>336</v>
      </c>
      <c r="E11" s="47">
        <v>1</v>
      </c>
      <c r="F11" s="47" t="s">
        <v>179</v>
      </c>
      <c r="G11" s="50"/>
      <c r="H11" s="50"/>
      <c r="I11" s="50"/>
      <c r="J11" s="50"/>
    </row>
    <row r="12" spans="1:10" ht="15" thickBot="1">
      <c r="A12" s="48">
        <v>10</v>
      </c>
      <c r="B12" s="48" t="s">
        <v>188</v>
      </c>
      <c r="C12" s="48" t="s">
        <v>329</v>
      </c>
      <c r="D12" s="49" t="s">
        <v>337</v>
      </c>
      <c r="E12" s="47">
        <v>1</v>
      </c>
      <c r="F12" s="47" t="s">
        <v>179</v>
      </c>
      <c r="G12" s="50"/>
      <c r="H12" s="50"/>
      <c r="I12" s="50"/>
      <c r="J12" s="50"/>
    </row>
  </sheetData>
  <mergeCells count="2">
    <mergeCell ref="A1:F1"/>
    <mergeCell ref="G1:J1"/>
  </mergeCells>
  <dataValidations disablePrompts="1" count="1">
    <dataValidation type="list" allowBlank="1" showInputMessage="1" showErrorMessage="1" sqref="G3:H12" xr:uid="{1E014E1D-04B7-4671-B719-12D85C164487}">
      <formula1>#REF!</formula1>
    </dataValidation>
  </dataValidations>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D8BEB-0A6E-401C-8D1B-51008531A9A4}">
  <sheetPr codeName="Sheet1">
    <tabColor rgb="FF00B050"/>
  </sheetPr>
  <dimension ref="B1:AB47"/>
  <sheetViews>
    <sheetView view="pageBreakPreview" zoomScaleNormal="100" zoomScaleSheetLayoutView="100" workbookViewId="0">
      <selection activeCell="C12" sqref="C12:F12"/>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PO3860-GEN-20250509-Voltex</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150</v>
      </c>
      <c r="D5" s="12"/>
      <c r="E5" s="12"/>
      <c r="F5" s="12"/>
      <c r="G5" s="12"/>
      <c r="H5" s="12"/>
      <c r="I5" s="12"/>
      <c r="J5" s="12"/>
    </row>
    <row r="6" spans="2:28">
      <c r="B6" s="9"/>
      <c r="C6" s="11" t="s">
        <v>151</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67" t="s">
        <v>6</v>
      </c>
      <c r="C10" s="67"/>
      <c r="D10" s="67"/>
      <c r="E10" s="67"/>
      <c r="F10" s="67"/>
      <c r="G10" s="67"/>
      <c r="H10" s="67"/>
      <c r="I10" s="67"/>
      <c r="J10" s="12"/>
      <c r="AB10" s="21"/>
    </row>
    <row r="11" spans="2:28" ht="15" customHeight="1">
      <c r="B11" s="67"/>
      <c r="C11" s="67"/>
      <c r="D11" s="67"/>
      <c r="E11" s="67"/>
      <c r="F11" s="67"/>
      <c r="G11" s="67"/>
      <c r="H11" s="67"/>
      <c r="I11" s="67"/>
      <c r="J11" s="12"/>
      <c r="AB11" s="21"/>
    </row>
    <row r="12" spans="2:28" ht="15" customHeight="1">
      <c r="B12" s="4" t="s">
        <v>7</v>
      </c>
      <c r="C12" s="68" t="s">
        <v>306</v>
      </c>
      <c r="D12" s="68"/>
      <c r="E12" s="68"/>
      <c r="F12" s="68"/>
      <c r="G12" s="12"/>
      <c r="H12" s="4" t="s">
        <v>8</v>
      </c>
      <c r="I12" s="14">
        <f ca="1">TODAY()</f>
        <v>46062</v>
      </c>
      <c r="J12" s="12"/>
      <c r="AB12" s="21"/>
    </row>
    <row r="13" spans="2:28" ht="15" customHeight="1">
      <c r="B13" s="4" t="s">
        <v>29</v>
      </c>
      <c r="C13" s="71" t="e">
        <f>VLOOKUP($C$12,#REF!,2,FALSE)</f>
        <v>#REF!</v>
      </c>
      <c r="D13" s="71"/>
      <c r="E13" s="71"/>
      <c r="F13" s="71"/>
      <c r="G13" s="12"/>
      <c r="H13" s="4" t="s">
        <v>10</v>
      </c>
      <c r="I13" s="54"/>
      <c r="J13" s="12"/>
      <c r="AB13" s="21"/>
    </row>
    <row r="14" spans="2:28" ht="15" customHeight="1">
      <c r="B14" s="4" t="s">
        <v>9</v>
      </c>
      <c r="C14" s="71" t="e">
        <f>VLOOKUP($C$12,#REF!,3,FALSE)</f>
        <v>#REF!</v>
      </c>
      <c r="D14" s="71"/>
      <c r="E14" s="71"/>
      <c r="F14" s="71"/>
      <c r="G14" s="12"/>
      <c r="H14" s="4" t="s">
        <v>11</v>
      </c>
      <c r="I14" s="61" t="s">
        <v>413</v>
      </c>
      <c r="J14" s="12"/>
      <c r="AB14" s="21"/>
    </row>
    <row r="15" spans="2:28" ht="15" customHeight="1">
      <c r="B15" s="4"/>
      <c r="C15" s="71" t="e">
        <f>VLOOKUP($C$12,#REF!,4,FALSE)</f>
        <v>#REF!</v>
      </c>
      <c r="D15" s="71"/>
      <c r="E15" s="71"/>
      <c r="F15" s="71"/>
      <c r="G15" s="12"/>
      <c r="J15" s="12"/>
      <c r="AB15" s="21"/>
    </row>
    <row r="16" spans="2:28" ht="15" customHeight="1">
      <c r="B16" s="4" t="s">
        <v>12</v>
      </c>
      <c r="C16" s="71" t="e">
        <f>VLOOKUP($C$12,#REF!,5,FALSE)&amp;" "&amp;VLOOKUP($C$12,#REF!,6,FALSE)</f>
        <v>#REF!</v>
      </c>
      <c r="D16" s="71"/>
      <c r="E16" s="71"/>
      <c r="F16" s="71"/>
      <c r="G16" s="12"/>
      <c r="H16" s="12"/>
      <c r="I16" s="12"/>
      <c r="J16" s="12"/>
      <c r="AB16" s="21"/>
    </row>
    <row r="17" spans="2:28" ht="15" customHeight="1">
      <c r="B17" s="12"/>
      <c r="C17" s="12"/>
      <c r="D17" s="12"/>
      <c r="E17" s="12"/>
      <c r="F17" s="12"/>
      <c r="G17" s="12"/>
      <c r="H17" s="12"/>
      <c r="I17" s="12"/>
      <c r="J17" s="12"/>
      <c r="AB17" s="21"/>
    </row>
    <row r="18" spans="2:28" ht="45.75" customHeight="1">
      <c r="B18" s="5" t="s">
        <v>13</v>
      </c>
      <c r="C18" s="69" t="s">
        <v>14</v>
      </c>
      <c r="D18" s="69"/>
      <c r="E18" s="6" t="s">
        <v>15</v>
      </c>
      <c r="F18" s="7" t="s">
        <v>16</v>
      </c>
      <c r="G18" s="7" t="s">
        <v>17</v>
      </c>
      <c r="H18" s="5" t="s">
        <v>18</v>
      </c>
      <c r="I18" s="7" t="s">
        <v>19</v>
      </c>
      <c r="J18" s="12"/>
      <c r="AB18" s="21"/>
    </row>
    <row r="19" spans="2:28" ht="30.75" customHeight="1">
      <c r="B19" s="1">
        <v>1</v>
      </c>
      <c r="C19" s="70"/>
      <c r="D19" s="70"/>
      <c r="E19" s="40"/>
      <c r="F19" s="1"/>
      <c r="G19" s="1"/>
      <c r="H19" s="2"/>
      <c r="I19" s="2">
        <f>H19*F19</f>
        <v>0</v>
      </c>
      <c r="J19" s="12"/>
      <c r="AB19" s="21"/>
    </row>
    <row r="20" spans="2:28" ht="30.75" customHeight="1">
      <c r="B20" s="1">
        <v>2</v>
      </c>
      <c r="C20" s="70"/>
      <c r="D20" s="70"/>
      <c r="E20" s="40"/>
      <c r="F20" s="1"/>
      <c r="G20" s="1"/>
      <c r="H20" s="2"/>
      <c r="I20" s="2">
        <f t="shared" ref="I20" si="0">H20*F20</f>
        <v>0</v>
      </c>
      <c r="J20" s="12"/>
      <c r="AB20" s="21"/>
    </row>
    <row r="21" spans="2:28" ht="30.75" customHeight="1">
      <c r="B21" s="1">
        <v>3</v>
      </c>
      <c r="C21" s="70"/>
      <c r="D21" s="70"/>
      <c r="E21" s="40"/>
      <c r="F21" s="1"/>
      <c r="G21" s="1"/>
      <c r="H21" s="2"/>
      <c r="I21" s="2">
        <f t="shared" ref="I21:I23" si="1">H21*F21</f>
        <v>0</v>
      </c>
      <c r="J21" s="12"/>
      <c r="AB21" s="21"/>
    </row>
    <row r="22" spans="2:28" ht="30.75" customHeight="1">
      <c r="B22" s="1">
        <v>4</v>
      </c>
      <c r="C22" s="70"/>
      <c r="D22" s="70"/>
      <c r="E22" s="40"/>
      <c r="F22" s="1"/>
      <c r="G22" s="1"/>
      <c r="H22" s="2"/>
      <c r="I22" s="2">
        <f t="shared" si="1"/>
        <v>0</v>
      </c>
      <c r="J22" s="12"/>
      <c r="AB22" s="21"/>
    </row>
    <row r="23" spans="2:28" ht="30.75" customHeight="1">
      <c r="B23" s="1">
        <v>5</v>
      </c>
      <c r="C23" s="70"/>
      <c r="D23" s="70"/>
      <c r="E23" s="40"/>
      <c r="F23" s="1"/>
      <c r="G23" s="1"/>
      <c r="H23" s="2"/>
      <c r="I23" s="2">
        <f t="shared" si="1"/>
        <v>0</v>
      </c>
      <c r="J23" s="12"/>
      <c r="AB23" s="21"/>
    </row>
    <row r="24" spans="2:28" ht="30.75" customHeight="1">
      <c r="B24" s="1">
        <v>6</v>
      </c>
      <c r="C24" s="70"/>
      <c r="D24" s="70"/>
      <c r="E24" s="40"/>
      <c r="F24" s="1"/>
      <c r="G24" s="1"/>
      <c r="H24" s="2"/>
      <c r="I24" s="2">
        <f t="shared" ref="I24:I27" si="2">H24*F24</f>
        <v>0</v>
      </c>
      <c r="J24" s="12"/>
      <c r="AB24" s="21"/>
    </row>
    <row r="25" spans="2:28" ht="30.75" customHeight="1">
      <c r="B25" s="1">
        <v>7</v>
      </c>
      <c r="C25" s="70"/>
      <c r="D25" s="70"/>
      <c r="E25" s="40"/>
      <c r="F25" s="1"/>
      <c r="G25" s="1"/>
      <c r="H25" s="2"/>
      <c r="I25" s="2">
        <f t="shared" si="2"/>
        <v>0</v>
      </c>
      <c r="J25" s="12"/>
      <c r="AB25" s="21"/>
    </row>
    <row r="26" spans="2:28" ht="30.75" customHeight="1">
      <c r="B26" s="1">
        <v>8</v>
      </c>
      <c r="C26" s="70"/>
      <c r="D26" s="70"/>
      <c r="E26" s="40"/>
      <c r="F26" s="1"/>
      <c r="G26" s="1"/>
      <c r="H26" s="2"/>
      <c r="I26" s="2">
        <f t="shared" si="2"/>
        <v>0</v>
      </c>
      <c r="J26" s="12"/>
      <c r="AB26" s="21"/>
    </row>
    <row r="27" spans="2:28" ht="30.75" customHeight="1">
      <c r="B27" s="1">
        <v>9</v>
      </c>
      <c r="C27" s="70"/>
      <c r="D27" s="70"/>
      <c r="E27" s="40"/>
      <c r="F27" s="1"/>
      <c r="G27" s="1"/>
      <c r="H27" s="2"/>
      <c r="I27" s="2">
        <f t="shared" si="2"/>
        <v>0</v>
      </c>
      <c r="J27" s="12"/>
      <c r="AB27" s="21"/>
    </row>
    <row r="28" spans="2:28" ht="15" customHeight="1">
      <c r="B28" s="12"/>
      <c r="C28" s="12"/>
      <c r="D28" s="12"/>
      <c r="E28" s="12"/>
      <c r="F28" s="12"/>
      <c r="G28" s="12"/>
      <c r="H28" s="3" t="s">
        <v>20</v>
      </c>
      <c r="I28" s="16">
        <f>SUM(I19:I27)</f>
        <v>0</v>
      </c>
      <c r="J28" s="12"/>
      <c r="N28" s="21"/>
      <c r="O28" s="21"/>
      <c r="P28" s="21"/>
      <c r="Q28" s="21"/>
      <c r="R28" s="21"/>
      <c r="S28" s="21"/>
      <c r="T28" s="21"/>
      <c r="U28" s="21"/>
      <c r="V28" s="21"/>
      <c r="W28" s="21"/>
      <c r="X28" s="21"/>
      <c r="Y28" s="21"/>
      <c r="Z28" s="21"/>
      <c r="AA28" s="21"/>
      <c r="AB28" s="21"/>
    </row>
    <row r="29" spans="2:28" ht="15" customHeight="1">
      <c r="B29" s="12"/>
      <c r="C29" s="12"/>
      <c r="D29" s="12"/>
      <c r="E29" s="12"/>
      <c r="F29" s="12"/>
      <c r="G29" s="12"/>
      <c r="H29" s="3" t="s">
        <v>21</v>
      </c>
      <c r="I29" s="16">
        <f>I28*0.15</f>
        <v>0</v>
      </c>
      <c r="J29" s="12"/>
      <c r="N29" s="21"/>
      <c r="O29" s="21"/>
      <c r="P29" s="21"/>
      <c r="Q29" s="21"/>
      <c r="R29" s="21"/>
      <c r="S29" s="21"/>
      <c r="T29" s="21"/>
      <c r="U29" s="21"/>
      <c r="V29" s="21"/>
      <c r="W29" s="21"/>
      <c r="X29" s="21"/>
      <c r="Y29" s="21"/>
      <c r="Z29" s="21"/>
      <c r="AA29" s="21"/>
      <c r="AB29" s="21"/>
    </row>
    <row r="30" spans="2:28" ht="15" customHeight="1">
      <c r="B30" s="12"/>
      <c r="C30" s="12"/>
      <c r="D30" s="12"/>
      <c r="E30" s="12"/>
      <c r="F30" s="12"/>
      <c r="G30" s="12"/>
      <c r="H30" s="3" t="s">
        <v>22</v>
      </c>
      <c r="I30" s="16">
        <f>I29+I28</f>
        <v>0</v>
      </c>
      <c r="J30" s="12"/>
      <c r="N30" s="21"/>
      <c r="O30" s="21"/>
      <c r="P30" s="21"/>
      <c r="Q30" s="21"/>
      <c r="R30" s="21"/>
      <c r="S30" s="21"/>
      <c r="T30" s="21"/>
      <c r="U30" s="21"/>
      <c r="V30" s="21"/>
      <c r="W30" s="21"/>
      <c r="X30" s="21"/>
      <c r="Y30" s="21"/>
      <c r="Z30" s="21"/>
      <c r="AA30" s="21"/>
      <c r="AB30" s="21"/>
    </row>
    <row r="31" spans="2:28">
      <c r="B31" s="12"/>
      <c r="C31" s="12"/>
      <c r="D31" s="12"/>
      <c r="E31" s="12"/>
      <c r="F31" s="12"/>
      <c r="G31" s="12"/>
      <c r="H31" s="12"/>
      <c r="I31" s="12"/>
      <c r="J31" s="12"/>
    </row>
    <row r="32" spans="2:28">
      <c r="B32" s="12"/>
      <c r="C32" s="12"/>
      <c r="D32" s="12"/>
      <c r="E32" s="12"/>
      <c r="F32" s="12"/>
      <c r="G32" s="12"/>
      <c r="H32" s="12"/>
      <c r="I32" s="12"/>
      <c r="J32" s="12"/>
    </row>
    <row r="33" spans="2:10">
      <c r="B33" s="72" t="s">
        <v>23</v>
      </c>
      <c r="C33" s="72"/>
      <c r="D33" s="73" t="s">
        <v>24</v>
      </c>
      <c r="E33" s="74"/>
      <c r="F33" s="74"/>
      <c r="G33" s="74"/>
      <c r="H33" s="74"/>
      <c r="I33" s="74"/>
      <c r="J33" s="12"/>
    </row>
    <row r="34" spans="2:10">
      <c r="B34" s="72"/>
      <c r="C34" s="72"/>
      <c r="D34" s="74"/>
      <c r="E34" s="74"/>
      <c r="F34" s="74"/>
      <c r="G34" s="74"/>
      <c r="H34" s="74"/>
      <c r="I34" s="74"/>
      <c r="J34" s="12"/>
    </row>
    <row r="35" spans="2:10">
      <c r="B35" s="72"/>
      <c r="C35" s="72"/>
      <c r="D35" s="74"/>
      <c r="E35" s="74"/>
      <c r="F35" s="74"/>
      <c r="G35" s="74"/>
      <c r="H35" s="74"/>
      <c r="I35" s="74"/>
      <c r="J35" s="12"/>
    </row>
    <row r="36" spans="2:10">
      <c r="B36" s="72"/>
      <c r="C36" s="72"/>
      <c r="D36" s="74"/>
      <c r="E36" s="74"/>
      <c r="F36" s="74"/>
      <c r="G36" s="74"/>
      <c r="H36" s="74"/>
      <c r="I36" s="74"/>
      <c r="J36" s="12"/>
    </row>
    <row r="37" spans="2:10">
      <c r="B37" s="8"/>
      <c r="C37" s="8"/>
      <c r="D37" s="12"/>
      <c r="E37" s="12"/>
      <c r="F37" s="12"/>
      <c r="G37" s="12"/>
      <c r="H37" s="12"/>
      <c r="I37" s="12"/>
      <c r="J37" s="12"/>
    </row>
    <row r="38" spans="2:10">
      <c r="B38" s="72" t="s">
        <v>25</v>
      </c>
      <c r="C38" s="72"/>
      <c r="D38" s="73" t="s">
        <v>148</v>
      </c>
      <c r="E38" s="74"/>
      <c r="F38" s="74"/>
      <c r="G38" s="74"/>
      <c r="H38" s="74"/>
      <c r="I38" s="74"/>
      <c r="J38" s="12"/>
    </row>
    <row r="39" spans="2:10">
      <c r="B39" s="72"/>
      <c r="C39" s="72"/>
      <c r="D39" s="74"/>
      <c r="E39" s="74"/>
      <c r="F39" s="74"/>
      <c r="G39" s="74"/>
      <c r="H39" s="74"/>
      <c r="I39" s="74"/>
      <c r="J39" s="12"/>
    </row>
    <row r="40" spans="2:10">
      <c r="B40" s="72"/>
      <c r="C40" s="72"/>
      <c r="D40" s="74"/>
      <c r="E40" s="74"/>
      <c r="F40" s="74"/>
      <c r="G40" s="74"/>
      <c r="H40" s="74"/>
      <c r="I40" s="74"/>
      <c r="J40" s="12"/>
    </row>
    <row r="41" spans="2:10">
      <c r="B41" s="8"/>
      <c r="C41" s="8"/>
      <c r="D41" s="12"/>
      <c r="E41" s="12"/>
      <c r="F41" s="12"/>
      <c r="G41" s="12"/>
      <c r="H41" s="12"/>
      <c r="I41" s="12"/>
      <c r="J41" s="12"/>
    </row>
    <row r="42" spans="2:10">
      <c r="B42" s="72" t="s">
        <v>26</v>
      </c>
      <c r="C42" s="72"/>
      <c r="D42" s="74" t="s">
        <v>155</v>
      </c>
      <c r="E42" s="74"/>
      <c r="F42" s="74"/>
      <c r="G42" s="74"/>
      <c r="H42" s="74"/>
      <c r="I42" s="74"/>
      <c r="J42" s="12"/>
    </row>
    <row r="43" spans="2:10">
      <c r="B43" s="72"/>
      <c r="C43" s="72"/>
      <c r="D43" s="74"/>
      <c r="E43" s="74"/>
      <c r="F43" s="74"/>
      <c r="G43" s="74"/>
      <c r="H43" s="74"/>
      <c r="I43" s="74"/>
      <c r="J43" s="12"/>
    </row>
    <row r="44" spans="2:10">
      <c r="B44" s="72"/>
      <c r="C44" s="72"/>
      <c r="D44" s="74"/>
      <c r="E44" s="74"/>
      <c r="F44" s="74"/>
      <c r="G44" s="74"/>
      <c r="H44" s="74"/>
      <c r="I44" s="74"/>
      <c r="J44" s="12"/>
    </row>
    <row r="45" spans="2:10">
      <c r="B45" s="12"/>
      <c r="C45" s="12"/>
      <c r="D45" s="12"/>
      <c r="E45" s="12"/>
      <c r="F45" s="12"/>
      <c r="G45" s="12"/>
      <c r="H45" s="12"/>
      <c r="I45" s="12"/>
      <c r="J45" s="12"/>
    </row>
    <row r="46" spans="2:10">
      <c r="B46" s="26" t="s">
        <v>27</v>
      </c>
      <c r="C46" s="26"/>
      <c r="D46" s="25"/>
      <c r="E46" s="30"/>
      <c r="F46" s="17"/>
      <c r="G46" s="17"/>
      <c r="H46" s="18"/>
      <c r="I46" s="14">
        <f ca="1">TODAY()</f>
        <v>46062</v>
      </c>
      <c r="J46" s="12"/>
    </row>
    <row r="47" spans="2:10">
      <c r="B47" s="26"/>
      <c r="C47" s="26"/>
      <c r="D47" s="31"/>
      <c r="E47" s="32"/>
      <c r="F47" s="33"/>
      <c r="G47" s="33"/>
      <c r="H47" s="34"/>
      <c r="I47" s="35"/>
      <c r="J47" s="12"/>
    </row>
  </sheetData>
  <mergeCells count="22">
    <mergeCell ref="B33:C36"/>
    <mergeCell ref="D33:I36"/>
    <mergeCell ref="B38:C40"/>
    <mergeCell ref="D38:I40"/>
    <mergeCell ref="B42:C44"/>
    <mergeCell ref="D42:I44"/>
    <mergeCell ref="C23:D23"/>
    <mergeCell ref="C24:D24"/>
    <mergeCell ref="C25:D25"/>
    <mergeCell ref="C26:D26"/>
    <mergeCell ref="C27:D27"/>
    <mergeCell ref="C20:D20"/>
    <mergeCell ref="C13:F13"/>
    <mergeCell ref="C14:F14"/>
    <mergeCell ref="C21:D21"/>
    <mergeCell ref="C22:D22"/>
    <mergeCell ref="B10:I11"/>
    <mergeCell ref="C12:F12"/>
    <mergeCell ref="C18:D18"/>
    <mergeCell ref="C19:D19"/>
    <mergeCell ref="C15:F15"/>
    <mergeCell ref="C16:F16"/>
  </mergeCells>
  <phoneticPr fontId="7" type="noConversion"/>
  <dataValidations count="1">
    <dataValidation type="list" allowBlank="1" showInputMessage="1" showErrorMessage="1" sqref="D46:D47 C12:F12" xr:uid="{69100701-0E93-46ED-9923-078B4687FABB}">
      <formula1>#REF!</formula1>
    </dataValidation>
  </dataValidations>
  <hyperlinks>
    <hyperlink ref="C4" r:id="rId1" xr:uid="{5C2C1B23-0F35-4570-8916-5501A9C2F771}"/>
  </hyperlinks>
  <pageMargins left="0" right="0" top="0" bottom="0" header="0" footer="0"/>
  <pageSetup paperSize="9" scale="93"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B5FCD-101D-49FE-85ED-1278EABCE642}">
  <sheetPr codeName="Sheet4">
    <tabColor rgb="FF00B0F0"/>
  </sheetPr>
  <dimension ref="B1:AB50"/>
  <sheetViews>
    <sheetView view="pageBreakPreview" zoomScaleNormal="100" zoomScaleSheetLayoutView="100" workbookViewId="0">
      <selection activeCell="I12" sqref="I12"/>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str">
        <f>"Receipt Inspection Form"&amp;"-"&amp;C12&amp;"-"&amp;I12</f>
        <v>Receipt Inspection Form-Voltex-0</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150</v>
      </c>
      <c r="D5" s="12"/>
      <c r="E5" s="12"/>
      <c r="F5" s="12"/>
      <c r="G5" s="12"/>
      <c r="H5" s="12"/>
      <c r="I5" s="12"/>
      <c r="J5" s="12"/>
    </row>
    <row r="6" spans="2:28">
      <c r="B6" s="9"/>
      <c r="C6" s="11" t="s">
        <v>151</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67" t="s">
        <v>160</v>
      </c>
      <c r="C10" s="67"/>
      <c r="D10" s="67"/>
      <c r="E10" s="67"/>
      <c r="F10" s="67"/>
      <c r="G10" s="67"/>
      <c r="H10" s="67"/>
      <c r="I10" s="67"/>
      <c r="J10" s="12"/>
      <c r="AB10" s="21"/>
    </row>
    <row r="11" spans="2:28" ht="15" customHeight="1">
      <c r="B11" s="67"/>
      <c r="C11" s="67"/>
      <c r="D11" s="67"/>
      <c r="E11" s="67"/>
      <c r="F11" s="67"/>
      <c r="G11" s="67"/>
      <c r="H11" s="67"/>
      <c r="I11" s="67"/>
      <c r="J11" s="12"/>
      <c r="AB11" s="21"/>
    </row>
    <row r="12" spans="2:28" ht="15" customHeight="1">
      <c r="B12" s="4" t="s">
        <v>7</v>
      </c>
      <c r="C12" s="77" t="str">
        <f>'PO Gen Temp'!$C$12</f>
        <v>Voltex</v>
      </c>
      <c r="D12" s="77"/>
      <c r="E12" s="77"/>
      <c r="F12" s="77"/>
      <c r="H12" s="4" t="s">
        <v>10</v>
      </c>
      <c r="I12" s="55">
        <f>'PO Gen Temp'!I13</f>
        <v>0</v>
      </c>
      <c r="J12" s="12"/>
      <c r="AB12" s="21"/>
    </row>
    <row r="13" spans="2:28" ht="15" customHeight="1">
      <c r="B13" s="4" t="s">
        <v>9</v>
      </c>
      <c r="C13" s="15" t="e">
        <f>VLOOKUP($C$12,#REF!,3,FALSE)</f>
        <v>#REF!</v>
      </c>
      <c r="D13" s="15"/>
      <c r="E13" s="15"/>
      <c r="F13" s="15"/>
      <c r="G13" s="12"/>
      <c r="H13" s="4" t="s">
        <v>11</v>
      </c>
      <c r="I13" s="54" t="str">
        <f>'PO Gen Temp'!I14</f>
        <v>PO3860-GEN-20250509</v>
      </c>
      <c r="J13" s="12"/>
      <c r="AB13" s="21"/>
    </row>
    <row r="14" spans="2:28" ht="15" customHeight="1">
      <c r="B14" s="4"/>
      <c r="C14" s="15" t="e">
        <f>VLOOKUP($C$12,#REF!,4,FALSE)</f>
        <v>#REF!</v>
      </c>
      <c r="D14" s="15"/>
      <c r="E14" s="15"/>
      <c r="F14" s="15"/>
      <c r="J14" s="12"/>
      <c r="AB14" s="21"/>
    </row>
    <row r="15" spans="2:28" ht="15" customHeight="1">
      <c r="B15" s="4" t="s">
        <v>12</v>
      </c>
      <c r="C15" s="71" t="e">
        <f>VLOOKUP($C$12,#REF!,5,FALSE)&amp;" "&amp;VLOOKUP($C$12,#REF!,6,FALSE)</f>
        <v>#REF!</v>
      </c>
      <c r="D15" s="71"/>
      <c r="E15" s="71"/>
      <c r="F15" s="71"/>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69" t="s">
        <v>164</v>
      </c>
      <c r="C18" s="69"/>
      <c r="D18" s="69"/>
      <c r="E18" s="69"/>
      <c r="F18" s="69"/>
      <c r="G18" s="69"/>
      <c r="H18" s="69" t="s">
        <v>165</v>
      </c>
      <c r="I18" s="69"/>
      <c r="J18" s="12"/>
      <c r="AB18" s="21"/>
    </row>
    <row r="19" spans="2:28" ht="22.5" customHeight="1">
      <c r="B19" s="53" t="s">
        <v>13</v>
      </c>
      <c r="C19" s="76" t="s">
        <v>14</v>
      </c>
      <c r="D19" s="76"/>
      <c r="E19" s="52" t="s">
        <v>15</v>
      </c>
      <c r="F19" s="52" t="s">
        <v>16</v>
      </c>
      <c r="G19" s="52" t="s">
        <v>17</v>
      </c>
      <c r="H19" s="52" t="s">
        <v>166</v>
      </c>
      <c r="I19" s="52" t="s">
        <v>16</v>
      </c>
      <c r="J19" s="12"/>
      <c r="AB19" s="21"/>
    </row>
    <row r="20" spans="2:28" ht="30.75" customHeight="1">
      <c r="B20" s="1">
        <f>'PO Gen Temp'!B19</f>
        <v>1</v>
      </c>
      <c r="C20" s="70">
        <f>'PO Gen Temp'!$C$19</f>
        <v>0</v>
      </c>
      <c r="D20" s="70"/>
      <c r="E20" s="40">
        <f>'PO Gen Temp'!$E$19</f>
        <v>0</v>
      </c>
      <c r="F20" s="1">
        <f>'PO Gen Temp'!$F$19</f>
        <v>0</v>
      </c>
      <c r="G20" s="1">
        <f>'PO Gen Temp'!$G$19</f>
        <v>0</v>
      </c>
      <c r="H20" s="1"/>
      <c r="I20" s="1"/>
      <c r="J20" s="12"/>
      <c r="N20" s="21"/>
      <c r="O20" s="21"/>
      <c r="P20" s="21"/>
      <c r="Q20" s="21"/>
      <c r="R20" s="21"/>
      <c r="S20" s="21"/>
      <c r="T20" s="21"/>
      <c r="U20" s="21"/>
      <c r="V20" s="21"/>
      <c r="W20" s="21"/>
      <c r="X20" s="21"/>
      <c r="Y20" s="21"/>
      <c r="Z20" s="21"/>
      <c r="AA20" s="21"/>
      <c r="AB20" s="21"/>
    </row>
    <row r="21" spans="2:28" ht="30.75" customHeight="1">
      <c r="B21" s="1">
        <f>'PO Gen Temp'!B20</f>
        <v>2</v>
      </c>
      <c r="C21" s="70">
        <f>'PO Gen Temp'!$C$20</f>
        <v>0</v>
      </c>
      <c r="D21" s="70"/>
      <c r="E21" s="40">
        <f>'PO Gen Temp'!$E$20</f>
        <v>0</v>
      </c>
      <c r="F21" s="1">
        <f>'PO Gen Temp'!$F$20</f>
        <v>0</v>
      </c>
      <c r="G21" s="1">
        <f>'PO Gen Temp'!$G$20</f>
        <v>0</v>
      </c>
      <c r="H21" s="1"/>
      <c r="I21" s="1"/>
      <c r="J21" s="12"/>
      <c r="N21" s="21"/>
      <c r="O21" s="21"/>
      <c r="P21" s="21"/>
      <c r="Q21" s="21"/>
      <c r="R21" s="21"/>
      <c r="S21" s="21"/>
      <c r="T21" s="21"/>
      <c r="U21" s="21"/>
      <c r="V21" s="21"/>
      <c r="W21" s="21"/>
      <c r="X21" s="21"/>
      <c r="Y21" s="21"/>
      <c r="Z21" s="21"/>
      <c r="AA21" s="21"/>
      <c r="AB21" s="21"/>
    </row>
    <row r="22" spans="2:28" ht="30.75" customHeight="1">
      <c r="B22" s="1">
        <f>'PO Gen Temp'!B21</f>
        <v>3</v>
      </c>
      <c r="C22" s="70">
        <f>'PO Gen Temp'!$C$21</f>
        <v>0</v>
      </c>
      <c r="D22" s="70"/>
      <c r="E22" s="40">
        <f>'PO Gen Temp'!$E$21</f>
        <v>0</v>
      </c>
      <c r="F22" s="1">
        <f>'PO Gen Temp'!$F$21</f>
        <v>0</v>
      </c>
      <c r="G22" s="1">
        <f>'PO Gen Temp'!$G$21</f>
        <v>0</v>
      </c>
      <c r="H22" s="1"/>
      <c r="I22" s="1"/>
      <c r="J22" s="12"/>
      <c r="N22" s="21"/>
      <c r="O22" s="21"/>
      <c r="P22" s="21"/>
      <c r="Q22" s="21"/>
      <c r="R22" s="21"/>
      <c r="S22" s="21"/>
      <c r="T22" s="21"/>
      <c r="U22" s="21"/>
      <c r="V22" s="21"/>
      <c r="W22" s="21"/>
      <c r="X22" s="21"/>
      <c r="Y22" s="21"/>
      <c r="Z22" s="21"/>
      <c r="AA22" s="21"/>
      <c r="AB22" s="21"/>
    </row>
    <row r="23" spans="2:28" ht="30.75" customHeight="1">
      <c r="B23" s="1">
        <f>'PO Gen Temp'!B22</f>
        <v>4</v>
      </c>
      <c r="C23" s="70">
        <f>'PO Gen Temp'!$C$22</f>
        <v>0</v>
      </c>
      <c r="D23" s="70"/>
      <c r="E23" s="40">
        <f>'PO Gen Temp'!$E$22</f>
        <v>0</v>
      </c>
      <c r="F23" s="1">
        <f>'PO Gen Temp'!$F$22</f>
        <v>0</v>
      </c>
      <c r="G23" s="1">
        <f>'PO Gen Temp'!$G$22</f>
        <v>0</v>
      </c>
      <c r="H23" s="1"/>
      <c r="I23" s="1"/>
      <c r="J23" s="12"/>
      <c r="N23" s="21"/>
      <c r="O23" s="21"/>
      <c r="P23" s="21"/>
      <c r="Q23" s="21"/>
      <c r="R23" s="21"/>
      <c r="S23" s="21"/>
      <c r="T23" s="21"/>
      <c r="U23" s="21"/>
      <c r="V23" s="21"/>
      <c r="W23" s="21"/>
      <c r="X23" s="21"/>
      <c r="Y23" s="21"/>
      <c r="Z23" s="21"/>
      <c r="AA23" s="21"/>
      <c r="AB23" s="21"/>
    </row>
    <row r="24" spans="2:28" ht="30.75" customHeight="1">
      <c r="B24" s="1">
        <f>'PO Gen Temp'!B23</f>
        <v>5</v>
      </c>
      <c r="C24" s="70">
        <f>'PO Gen Temp'!$C$23</f>
        <v>0</v>
      </c>
      <c r="D24" s="70"/>
      <c r="E24" s="40">
        <f>'PO Gen Temp'!$E$23</f>
        <v>0</v>
      </c>
      <c r="F24" s="1">
        <f>'PO Gen Temp'!$F$23</f>
        <v>0</v>
      </c>
      <c r="G24" s="1">
        <f>'PO Gen Temp'!$G$23</f>
        <v>0</v>
      </c>
      <c r="H24" s="1"/>
      <c r="I24" s="1"/>
      <c r="J24" s="12"/>
      <c r="N24" s="21"/>
      <c r="O24" s="21"/>
      <c r="P24" s="21"/>
      <c r="Q24" s="21"/>
      <c r="R24" s="21"/>
      <c r="S24" s="21"/>
      <c r="T24" s="21"/>
      <c r="U24" s="21"/>
      <c r="V24" s="21"/>
      <c r="W24" s="21"/>
      <c r="X24" s="21"/>
      <c r="Y24" s="21"/>
      <c r="Z24" s="21"/>
      <c r="AA24" s="21"/>
      <c r="AB24" s="21"/>
    </row>
    <row r="25" spans="2:28" ht="30.75" customHeight="1">
      <c r="B25" s="1">
        <f>'PO Gen Temp'!B24</f>
        <v>6</v>
      </c>
      <c r="C25" s="70">
        <f>'PO Gen Temp'!$C$24</f>
        <v>0</v>
      </c>
      <c r="D25" s="70"/>
      <c r="E25" s="40">
        <f>'PO Gen Temp'!$E$24</f>
        <v>0</v>
      </c>
      <c r="F25" s="1">
        <f>'PO Gen Temp'!$F$24</f>
        <v>0</v>
      </c>
      <c r="G25" s="1">
        <f>'PO Gen Temp'!$G$24</f>
        <v>0</v>
      </c>
      <c r="H25" s="1"/>
      <c r="I25" s="1"/>
      <c r="J25" s="12"/>
      <c r="N25" s="21"/>
      <c r="O25" s="21"/>
      <c r="P25" s="21"/>
      <c r="Q25" s="21"/>
      <c r="R25" s="21"/>
      <c r="S25" s="21"/>
      <c r="T25" s="21"/>
      <c r="U25" s="21"/>
      <c r="V25" s="21"/>
      <c r="W25" s="21"/>
      <c r="X25" s="21"/>
      <c r="Y25" s="21"/>
      <c r="Z25" s="21"/>
      <c r="AA25" s="21"/>
      <c r="AB25" s="21"/>
    </row>
    <row r="26" spans="2:28" ht="30.75" customHeight="1">
      <c r="B26" s="1">
        <f>'PO Gen Temp'!B25</f>
        <v>7</v>
      </c>
      <c r="C26" s="70">
        <f>'PO Gen Temp'!$C$25</f>
        <v>0</v>
      </c>
      <c r="D26" s="70"/>
      <c r="E26" s="40">
        <f>'PO Gen Temp'!$E$25</f>
        <v>0</v>
      </c>
      <c r="F26" s="1">
        <f>'PO Gen Temp'!$F$25</f>
        <v>0</v>
      </c>
      <c r="G26" s="1">
        <f>'PO Gen Temp'!$G$25</f>
        <v>0</v>
      </c>
      <c r="H26" s="1"/>
      <c r="I26" s="1"/>
      <c r="J26" s="12"/>
      <c r="N26" s="21"/>
      <c r="O26" s="21"/>
      <c r="P26" s="21"/>
      <c r="Q26" s="21"/>
      <c r="R26" s="21"/>
      <c r="S26" s="21"/>
      <c r="T26" s="21"/>
      <c r="U26" s="21"/>
      <c r="V26" s="21"/>
      <c r="W26" s="21"/>
      <c r="X26" s="21"/>
      <c r="Y26" s="21"/>
      <c r="Z26" s="21"/>
      <c r="AA26" s="21"/>
      <c r="AB26" s="21"/>
    </row>
    <row r="27" spans="2:28" ht="30.75" customHeight="1">
      <c r="B27" s="1">
        <f>'PO Gen Temp'!B26</f>
        <v>8</v>
      </c>
      <c r="C27" s="70">
        <f>'PO Gen Temp'!$C$26</f>
        <v>0</v>
      </c>
      <c r="D27" s="70"/>
      <c r="E27" s="40">
        <f>'PO Gen Temp'!$E$26</f>
        <v>0</v>
      </c>
      <c r="F27" s="1">
        <f>'PO Gen Temp'!$F$26</f>
        <v>0</v>
      </c>
      <c r="G27" s="1">
        <f>'PO Gen Temp'!$G$26</f>
        <v>0</v>
      </c>
      <c r="H27" s="1"/>
      <c r="I27" s="1"/>
      <c r="J27" s="12"/>
      <c r="N27" s="21"/>
      <c r="O27" s="21"/>
      <c r="P27" s="21"/>
      <c r="Q27" s="21"/>
      <c r="R27" s="21"/>
      <c r="S27" s="21"/>
      <c r="T27" s="21"/>
      <c r="U27" s="21"/>
      <c r="V27" s="21"/>
      <c r="W27" s="21"/>
      <c r="X27" s="21"/>
      <c r="Y27" s="21"/>
      <c r="Z27" s="21"/>
      <c r="AA27" s="21"/>
      <c r="AB27" s="21"/>
    </row>
    <row r="28" spans="2:28" ht="30.75" customHeight="1">
      <c r="B28" s="1">
        <f>'PO Gen Temp'!B27</f>
        <v>9</v>
      </c>
      <c r="C28" s="70">
        <f>'PO Gen Temp'!$C$27</f>
        <v>0</v>
      </c>
      <c r="D28" s="70"/>
      <c r="E28" s="40">
        <f>'PO Gen Temp'!$E$27</f>
        <v>0</v>
      </c>
      <c r="F28" s="1">
        <f>'PO Gen Temp'!$F$27</f>
        <v>0</v>
      </c>
      <c r="G28" s="1">
        <f>'PO Gen Temp'!$G$27</f>
        <v>0</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72" t="s">
        <v>168</v>
      </c>
      <c r="C33" s="72"/>
      <c r="D33" s="73"/>
      <c r="E33" s="74"/>
      <c r="F33" s="74"/>
      <c r="G33" s="74"/>
      <c r="H33" s="74"/>
      <c r="I33" s="74"/>
      <c r="J33" s="12"/>
    </row>
    <row r="34" spans="2:10">
      <c r="B34" s="72"/>
      <c r="C34" s="72"/>
      <c r="D34" s="74"/>
      <c r="E34" s="74"/>
      <c r="F34" s="74"/>
      <c r="G34" s="74"/>
      <c r="H34" s="74"/>
      <c r="I34" s="74"/>
      <c r="J34" s="12"/>
    </row>
    <row r="35" spans="2:10">
      <c r="B35" s="72"/>
      <c r="C35" s="72"/>
      <c r="D35" s="74"/>
      <c r="E35" s="74"/>
      <c r="F35" s="74"/>
      <c r="G35" s="74"/>
      <c r="H35" s="74"/>
      <c r="I35" s="74"/>
      <c r="J35" s="12"/>
    </row>
    <row r="36" spans="2:10">
      <c r="B36" s="72"/>
      <c r="C36" s="72"/>
      <c r="D36" s="74"/>
      <c r="E36" s="74"/>
      <c r="F36" s="74"/>
      <c r="G36" s="74"/>
      <c r="H36" s="74"/>
      <c r="I36" s="74"/>
      <c r="J36" s="12"/>
    </row>
    <row r="37" spans="2:10">
      <c r="B37" s="8"/>
      <c r="C37" s="8"/>
      <c r="D37" s="12"/>
      <c r="E37" s="12"/>
      <c r="F37" s="12"/>
      <c r="G37" s="12"/>
      <c r="H37" s="12"/>
      <c r="I37" s="12"/>
      <c r="J37" s="12"/>
    </row>
    <row r="38" spans="2:10">
      <c r="B38" s="72" t="s">
        <v>169</v>
      </c>
      <c r="C38" s="72"/>
      <c r="D38" s="73"/>
      <c r="E38" s="74"/>
      <c r="F38" s="74"/>
      <c r="G38" s="74"/>
      <c r="H38" s="74"/>
      <c r="I38" s="74"/>
      <c r="J38" s="12"/>
    </row>
    <row r="39" spans="2:10">
      <c r="B39" s="72"/>
      <c r="C39" s="72"/>
      <c r="D39" s="74"/>
      <c r="E39" s="74"/>
      <c r="F39" s="74"/>
      <c r="G39" s="74"/>
      <c r="H39" s="74"/>
      <c r="I39" s="74"/>
      <c r="J39" s="12"/>
    </row>
    <row r="40" spans="2:10">
      <c r="B40" s="72"/>
      <c r="C40" s="72"/>
      <c r="D40" s="74"/>
      <c r="E40" s="74"/>
      <c r="F40" s="74"/>
      <c r="G40" s="74"/>
      <c r="H40" s="74"/>
      <c r="I40" s="74"/>
      <c r="J40" s="12"/>
    </row>
    <row r="41" spans="2:10">
      <c r="B41" s="8"/>
      <c r="C41" s="8"/>
      <c r="D41" s="12"/>
      <c r="E41" s="12"/>
      <c r="F41" s="12"/>
      <c r="G41" s="12"/>
      <c r="H41" s="12"/>
      <c r="I41" s="12"/>
      <c r="J41" s="12"/>
    </row>
    <row r="42" spans="2:10">
      <c r="B42" s="72" t="s">
        <v>170</v>
      </c>
      <c r="C42" s="72"/>
      <c r="D42" s="74"/>
      <c r="E42" s="74"/>
      <c r="F42" s="74"/>
      <c r="G42" s="74"/>
      <c r="H42" s="74"/>
      <c r="I42" s="74"/>
      <c r="J42" s="12"/>
    </row>
    <row r="43" spans="2:10">
      <c r="B43" s="72"/>
      <c r="C43" s="72"/>
      <c r="D43" s="74"/>
      <c r="E43" s="74"/>
      <c r="F43" s="74"/>
      <c r="G43" s="74"/>
      <c r="H43" s="74"/>
      <c r="I43" s="74"/>
      <c r="J43" s="12"/>
    </row>
    <row r="44" spans="2:10">
      <c r="B44" s="72"/>
      <c r="C44" s="72"/>
      <c r="D44" s="74"/>
      <c r="E44" s="74"/>
      <c r="F44" s="74"/>
      <c r="G44" s="74"/>
      <c r="H44" s="74"/>
      <c r="I44" s="74"/>
      <c r="J44" s="12"/>
    </row>
    <row r="45" spans="2:10">
      <c r="B45" s="12"/>
      <c r="C45" s="12"/>
      <c r="D45" s="12"/>
      <c r="E45" s="12"/>
      <c r="F45" s="12"/>
      <c r="G45" s="12"/>
      <c r="H45" s="12"/>
      <c r="I45" s="12"/>
      <c r="J45" s="12"/>
    </row>
    <row r="46" spans="2:10">
      <c r="B46" s="4" t="s">
        <v>161</v>
      </c>
      <c r="C46" s="26"/>
      <c r="D46" s="25"/>
      <c r="E46" s="30"/>
      <c r="F46" s="17"/>
      <c r="G46" s="17"/>
      <c r="H46" s="18"/>
      <c r="I46" s="14"/>
      <c r="J46" s="12"/>
    </row>
    <row r="47" spans="2:10">
      <c r="B47" s="4"/>
      <c r="C47" s="26"/>
      <c r="D47" s="31"/>
      <c r="E47" s="32"/>
      <c r="F47" s="33"/>
      <c r="G47" s="33"/>
      <c r="H47" s="34"/>
      <c r="I47" s="35"/>
      <c r="J47" s="12"/>
    </row>
    <row r="48" spans="2:10">
      <c r="B48" s="4" t="s">
        <v>162</v>
      </c>
      <c r="C48" s="26"/>
      <c r="D48" s="17"/>
      <c r="E48" s="17"/>
      <c r="F48" s="17"/>
      <c r="G48" s="17"/>
      <c r="H48" s="18"/>
      <c r="I48" s="14"/>
      <c r="J48" s="12"/>
    </row>
    <row r="49" spans="2:10">
      <c r="B49" s="26"/>
      <c r="C49" s="26"/>
      <c r="D49" s="36" t="s">
        <v>153</v>
      </c>
      <c r="E49" s="37"/>
      <c r="F49" s="75" t="s">
        <v>152</v>
      </c>
      <c r="G49" s="75"/>
      <c r="H49" s="37"/>
      <c r="I49" s="38" t="s">
        <v>167</v>
      </c>
      <c r="J49" s="12"/>
    </row>
    <row r="50" spans="2:10">
      <c r="B50" s="26"/>
      <c r="C50" s="26"/>
      <c r="D50" s="12"/>
      <c r="E50" s="12"/>
      <c r="F50" s="12"/>
      <c r="G50" s="12"/>
      <c r="H50" s="27"/>
      <c r="I50" s="28"/>
      <c r="J50" s="12"/>
    </row>
  </sheetData>
  <mergeCells count="22">
    <mergeCell ref="C19:D19"/>
    <mergeCell ref="C22:D22"/>
    <mergeCell ref="B10:I11"/>
    <mergeCell ref="C15:F15"/>
    <mergeCell ref="C21:D21"/>
    <mergeCell ref="C12:F12"/>
    <mergeCell ref="F49:G49"/>
    <mergeCell ref="C20:D20"/>
    <mergeCell ref="B18:G18"/>
    <mergeCell ref="H18:I18"/>
    <mergeCell ref="C27:D27"/>
    <mergeCell ref="C28:D28"/>
    <mergeCell ref="B38:C40"/>
    <mergeCell ref="D38:I40"/>
    <mergeCell ref="B42:C44"/>
    <mergeCell ref="D42:I44"/>
    <mergeCell ref="C24:D24"/>
    <mergeCell ref="C25:D25"/>
    <mergeCell ref="C26:D26"/>
    <mergeCell ref="B33:C36"/>
    <mergeCell ref="D33:I36"/>
    <mergeCell ref="C23:D23"/>
  </mergeCells>
  <dataValidations disablePrompts="1" count="1">
    <dataValidation type="list" allowBlank="1" showInputMessage="1" showErrorMessage="1" sqref="H20:H28 D46:D47" xr:uid="{D71D19FC-48EF-435D-9DFE-D1EEEE2A7A44}">
      <formula1>#REF!</formula1>
    </dataValidation>
  </dataValidations>
  <hyperlinks>
    <hyperlink ref="C4" r:id="rId1" xr:uid="{E7A287BC-BC26-4B25-9187-F85407F355DE}"/>
  </hyperlinks>
  <pageMargins left="0" right="0" top="0" bottom="0" header="0" footer="0"/>
  <pageSetup paperSize="9" scale="8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2F292-5F87-4158-9D4F-2E2EA36043F2}">
  <sheetPr codeName="Sheet5">
    <tabColor theme="1"/>
  </sheetPr>
  <dimension ref="A1"/>
  <sheetViews>
    <sheetView view="pageBreakPreview" zoomScaleNormal="100" zoomScaleSheetLayoutView="100" workbookViewId="0"/>
  </sheetViews>
  <sheetFormatPr defaultRowHeight="14.4"/>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4F595-12F6-4EE5-9891-655CE6848A49}">
  <sheetPr codeName="Sheet7">
    <tabColor rgb="FFFF0000"/>
  </sheetPr>
  <dimension ref="A1:L66"/>
  <sheetViews>
    <sheetView zoomScaleNormal="100" workbookViewId="0">
      <pane ySplit="1" topLeftCell="A2" activePane="bottomLeft" state="frozen"/>
      <selection pane="bottomLeft" activeCell="A8" sqref="A8"/>
    </sheetView>
  </sheetViews>
  <sheetFormatPr defaultColWidth="9.21875" defaultRowHeight="14.4"/>
  <cols>
    <col min="1" max="1" width="33" style="19" bestFit="1" customWidth="1"/>
    <col min="2" max="2" width="12.44140625" style="19" bestFit="1" customWidth="1"/>
    <col min="3" max="3" width="52.21875" style="19" bestFit="1" customWidth="1"/>
    <col min="4" max="4" width="34.5546875" style="19" bestFit="1" customWidth="1"/>
    <col min="5" max="5" width="25" style="19" bestFit="1" customWidth="1"/>
    <col min="6" max="6" width="15.5546875" style="19" bestFit="1" customWidth="1"/>
    <col min="7" max="8" width="15.5546875" style="19" customWidth="1"/>
    <col min="9" max="16384" width="9.21875" style="19"/>
  </cols>
  <sheetData>
    <row r="1" spans="1:12">
      <c r="A1" s="19" t="s">
        <v>32</v>
      </c>
      <c r="B1" s="19" t="s">
        <v>33</v>
      </c>
      <c r="C1" s="19" t="s">
        <v>37</v>
      </c>
      <c r="D1" s="19" t="s">
        <v>38</v>
      </c>
      <c r="E1" s="19" t="s">
        <v>34</v>
      </c>
      <c r="F1" s="19" t="s">
        <v>39</v>
      </c>
      <c r="H1" s="20" t="s">
        <v>41</v>
      </c>
      <c r="J1" s="20" t="s">
        <v>171</v>
      </c>
      <c r="L1" s="20" t="s">
        <v>200</v>
      </c>
    </row>
    <row r="2" spans="1:12">
      <c r="A2" s="56" t="s">
        <v>295</v>
      </c>
      <c r="B2" s="56">
        <v>4790308813</v>
      </c>
      <c r="C2" s="56" t="s">
        <v>296</v>
      </c>
      <c r="D2" s="56" t="s">
        <v>297</v>
      </c>
      <c r="E2" s="56" t="s">
        <v>298</v>
      </c>
      <c r="F2" s="56" t="s">
        <v>299</v>
      </c>
      <c r="G2" s="22"/>
      <c r="H2" s="20" t="s">
        <v>28</v>
      </c>
      <c r="J2" s="20" t="s">
        <v>172</v>
      </c>
      <c r="L2" s="20" t="s">
        <v>201</v>
      </c>
    </row>
    <row r="3" spans="1:12">
      <c r="A3" s="56" t="s">
        <v>63</v>
      </c>
      <c r="B3" s="56">
        <v>4430289142</v>
      </c>
      <c r="C3" s="56" t="s">
        <v>64</v>
      </c>
      <c r="D3" s="56" t="s">
        <v>65</v>
      </c>
      <c r="E3" s="56" t="s">
        <v>66</v>
      </c>
      <c r="F3" s="56" t="s">
        <v>67</v>
      </c>
      <c r="G3" s="22"/>
      <c r="H3" s="20" t="s">
        <v>339</v>
      </c>
      <c r="J3" s="20" t="s">
        <v>173</v>
      </c>
      <c r="L3" s="20" t="s">
        <v>202</v>
      </c>
    </row>
    <row r="4" spans="1:12">
      <c r="A4" s="56" t="s">
        <v>106</v>
      </c>
      <c r="B4" s="56">
        <v>4450281565</v>
      </c>
      <c r="C4" s="56" t="s">
        <v>108</v>
      </c>
      <c r="D4" s="56" t="s">
        <v>107</v>
      </c>
      <c r="E4" s="56" t="s">
        <v>109</v>
      </c>
      <c r="F4" s="56" t="s">
        <v>110</v>
      </c>
      <c r="G4" s="22"/>
      <c r="H4" s="20" t="s">
        <v>300</v>
      </c>
    </row>
    <row r="5" spans="1:12">
      <c r="A5" s="56" t="s">
        <v>222</v>
      </c>
      <c r="B5" s="56">
        <v>4790288015</v>
      </c>
      <c r="C5" s="56" t="s">
        <v>223</v>
      </c>
      <c r="D5" s="56" t="s">
        <v>224</v>
      </c>
      <c r="E5" s="56" t="s">
        <v>225</v>
      </c>
      <c r="F5" s="56" t="s">
        <v>226</v>
      </c>
      <c r="G5" s="22"/>
      <c r="H5" s="20" t="s">
        <v>340</v>
      </c>
    </row>
    <row r="6" spans="1:12">
      <c r="A6" s="56" t="s">
        <v>227</v>
      </c>
      <c r="B6" s="56">
        <v>4160305241</v>
      </c>
      <c r="C6" s="56" t="s">
        <v>228</v>
      </c>
      <c r="D6" s="56" t="s">
        <v>229</v>
      </c>
      <c r="E6" s="56" t="s">
        <v>230</v>
      </c>
      <c r="F6" s="56" t="s">
        <v>231</v>
      </c>
      <c r="G6" s="22"/>
      <c r="H6" s="20" t="s">
        <v>331</v>
      </c>
    </row>
    <row r="7" spans="1:12">
      <c r="A7" s="56" t="s">
        <v>414</v>
      </c>
      <c r="B7" s="57" t="s">
        <v>415</v>
      </c>
      <c r="C7" s="56" t="s">
        <v>416</v>
      </c>
      <c r="D7" s="56" t="s">
        <v>417</v>
      </c>
      <c r="E7" s="56" t="s">
        <v>418</v>
      </c>
      <c r="F7" s="57" t="s">
        <v>419</v>
      </c>
      <c r="G7" s="22"/>
      <c r="H7" s="20" t="s">
        <v>341</v>
      </c>
    </row>
    <row r="8" spans="1:12">
      <c r="A8" s="56" t="s">
        <v>58</v>
      </c>
      <c r="B8" s="56">
        <v>4770267849</v>
      </c>
      <c r="C8" s="56" t="s">
        <v>59</v>
      </c>
      <c r="D8" s="56" t="s">
        <v>60</v>
      </c>
      <c r="E8" s="56" t="s">
        <v>61</v>
      </c>
      <c r="F8" s="56" t="s">
        <v>62</v>
      </c>
      <c r="G8" s="22"/>
      <c r="H8" s="22"/>
    </row>
    <row r="9" spans="1:12">
      <c r="A9" s="19" t="s">
        <v>386</v>
      </c>
      <c r="B9" s="19">
        <v>4330300551</v>
      </c>
      <c r="C9" s="19" t="s">
        <v>387</v>
      </c>
      <c r="D9" s="19" t="s">
        <v>388</v>
      </c>
      <c r="E9" s="19" t="s">
        <v>389</v>
      </c>
      <c r="F9" s="22" t="s">
        <v>390</v>
      </c>
      <c r="G9" s="22"/>
      <c r="H9" s="22"/>
    </row>
    <row r="10" spans="1:12">
      <c r="A10" s="56" t="s">
        <v>126</v>
      </c>
      <c r="B10" s="56">
        <v>4220284824</v>
      </c>
      <c r="C10" s="56" t="s">
        <v>142</v>
      </c>
      <c r="D10" s="56" t="s">
        <v>143</v>
      </c>
      <c r="E10" s="56" t="s">
        <v>127</v>
      </c>
      <c r="F10" s="56" t="s">
        <v>149</v>
      </c>
      <c r="G10" s="22"/>
      <c r="H10" s="22"/>
    </row>
    <row r="11" spans="1:12">
      <c r="A11" s="56" t="s">
        <v>128</v>
      </c>
      <c r="B11" s="56">
        <v>4550117818</v>
      </c>
      <c r="C11" s="56" t="s">
        <v>129</v>
      </c>
      <c r="D11" s="56" t="s">
        <v>130</v>
      </c>
      <c r="E11" s="56" t="s">
        <v>131</v>
      </c>
      <c r="F11" s="56" t="s">
        <v>132</v>
      </c>
      <c r="G11" s="22"/>
      <c r="H11" s="22"/>
    </row>
    <row r="12" spans="1:12">
      <c r="A12" s="56" t="s">
        <v>321</v>
      </c>
      <c r="B12" s="56" t="s">
        <v>238</v>
      </c>
      <c r="C12" s="56" t="s">
        <v>322</v>
      </c>
      <c r="D12" s="56" t="s">
        <v>323</v>
      </c>
      <c r="E12" s="56" t="s">
        <v>324</v>
      </c>
      <c r="F12" s="56" t="s">
        <v>325</v>
      </c>
      <c r="G12" s="22"/>
      <c r="H12" s="22"/>
    </row>
    <row r="13" spans="1:12">
      <c r="A13" s="56" t="s">
        <v>311</v>
      </c>
      <c r="B13" s="56">
        <v>9117020165</v>
      </c>
      <c r="C13" s="56" t="s">
        <v>312</v>
      </c>
      <c r="D13" s="56" t="s">
        <v>313</v>
      </c>
      <c r="E13" s="56" t="s">
        <v>314</v>
      </c>
      <c r="F13" s="56" t="s">
        <v>315</v>
      </c>
      <c r="G13" s="22"/>
      <c r="H13" s="22"/>
    </row>
    <row r="14" spans="1:12">
      <c r="A14" s="56" t="s">
        <v>116</v>
      </c>
      <c r="B14" s="56">
        <v>4250281732</v>
      </c>
      <c r="C14" s="56" t="s">
        <v>120</v>
      </c>
      <c r="D14" s="56" t="s">
        <v>117</v>
      </c>
      <c r="E14" s="56" t="s">
        <v>118</v>
      </c>
      <c r="F14" s="56" t="s">
        <v>119</v>
      </c>
      <c r="G14" s="22"/>
      <c r="H14" s="22"/>
    </row>
    <row r="15" spans="1:12">
      <c r="A15" s="19" t="s">
        <v>354</v>
      </c>
      <c r="B15" s="19">
        <v>4330314321</v>
      </c>
      <c r="C15" s="19" t="s">
        <v>355</v>
      </c>
      <c r="D15" s="19" t="s">
        <v>277</v>
      </c>
      <c r="E15" s="19" t="s">
        <v>154</v>
      </c>
      <c r="F15" s="22" t="s">
        <v>356</v>
      </c>
      <c r="G15" s="22"/>
      <c r="H15" s="22"/>
    </row>
    <row r="16" spans="1:12">
      <c r="A16" s="56" t="s">
        <v>260</v>
      </c>
      <c r="B16" s="56">
        <v>4520235161</v>
      </c>
      <c r="C16" s="56" t="s">
        <v>261</v>
      </c>
      <c r="D16" s="56" t="s">
        <v>262</v>
      </c>
      <c r="E16" s="56" t="s">
        <v>263</v>
      </c>
      <c r="F16" s="56" t="s">
        <v>264</v>
      </c>
      <c r="G16" s="22"/>
      <c r="H16" s="22"/>
    </row>
    <row r="17" spans="1:8">
      <c r="A17" s="56" t="s">
        <v>121</v>
      </c>
      <c r="B17" s="56">
        <v>4160166163</v>
      </c>
      <c r="C17" s="56" t="s">
        <v>122</v>
      </c>
      <c r="D17" s="56" t="s">
        <v>123</v>
      </c>
      <c r="E17" s="56" t="s">
        <v>124</v>
      </c>
      <c r="F17" s="56" t="s">
        <v>125</v>
      </c>
      <c r="G17" s="22"/>
      <c r="H17" s="22"/>
    </row>
    <row r="18" spans="1:8">
      <c r="A18" s="56" t="s">
        <v>255</v>
      </c>
      <c r="B18" s="56">
        <v>4540281393</v>
      </c>
      <c r="C18" s="56" t="s">
        <v>256</v>
      </c>
      <c r="D18" s="56" t="s">
        <v>257</v>
      </c>
      <c r="E18" s="56" t="s">
        <v>258</v>
      </c>
      <c r="F18" s="56" t="s">
        <v>259</v>
      </c>
      <c r="G18" s="22"/>
      <c r="H18" s="22"/>
    </row>
    <row r="19" spans="1:8">
      <c r="A19" s="19" t="s">
        <v>395</v>
      </c>
      <c r="B19" s="19">
        <v>4090105711</v>
      </c>
      <c r="C19" s="19" t="s">
        <v>396</v>
      </c>
      <c r="D19" s="19" t="s">
        <v>143</v>
      </c>
      <c r="E19" s="19" t="s">
        <v>397</v>
      </c>
      <c r="F19" s="22" t="s">
        <v>398</v>
      </c>
      <c r="G19" s="22"/>
      <c r="H19" s="22"/>
    </row>
    <row r="20" spans="1:8">
      <c r="A20" s="56" t="s">
        <v>137</v>
      </c>
      <c r="B20" s="56">
        <v>4790271797</v>
      </c>
      <c r="C20" s="56" t="s">
        <v>138</v>
      </c>
      <c r="D20" s="56" t="s">
        <v>88</v>
      </c>
      <c r="E20" s="56" t="s">
        <v>139</v>
      </c>
      <c r="F20" s="56" t="s">
        <v>141</v>
      </c>
      <c r="G20" s="22"/>
      <c r="H20" s="22"/>
    </row>
    <row r="21" spans="1:8">
      <c r="A21" s="56" t="s">
        <v>242</v>
      </c>
      <c r="B21" s="56" t="s">
        <v>238</v>
      </c>
      <c r="C21" s="56" t="s">
        <v>243</v>
      </c>
      <c r="D21" s="56" t="s">
        <v>244</v>
      </c>
      <c r="E21" s="56" t="s">
        <v>245</v>
      </c>
      <c r="F21" s="56" t="s">
        <v>246</v>
      </c>
      <c r="G21" s="22"/>
      <c r="H21" s="22"/>
    </row>
    <row r="22" spans="1:8">
      <c r="A22" s="56" t="s">
        <v>133</v>
      </c>
      <c r="B22" s="56">
        <v>4820266494</v>
      </c>
      <c r="C22" s="56" t="s">
        <v>134</v>
      </c>
      <c r="D22" s="56" t="s">
        <v>135</v>
      </c>
      <c r="E22" s="56" t="s">
        <v>136</v>
      </c>
      <c r="F22" s="56" t="s">
        <v>140</v>
      </c>
      <c r="G22" s="22"/>
      <c r="H22" s="22"/>
    </row>
    <row r="23" spans="1:8">
      <c r="A23" s="19" t="s">
        <v>357</v>
      </c>
      <c r="B23" s="19">
        <v>4330168925</v>
      </c>
      <c r="C23" s="19" t="s">
        <v>358</v>
      </c>
      <c r="D23" s="19" t="s">
        <v>359</v>
      </c>
      <c r="E23" s="19" t="s">
        <v>360</v>
      </c>
      <c r="F23" s="58" t="s">
        <v>361</v>
      </c>
      <c r="G23" s="22"/>
      <c r="H23" s="24"/>
    </row>
    <row r="24" spans="1:8">
      <c r="A24" s="56" t="s">
        <v>247</v>
      </c>
      <c r="B24" s="56" t="s">
        <v>248</v>
      </c>
      <c r="C24" s="56" t="s">
        <v>249</v>
      </c>
      <c r="D24" s="56"/>
      <c r="E24" s="56" t="s">
        <v>250</v>
      </c>
      <c r="F24" s="56" t="s">
        <v>251</v>
      </c>
      <c r="G24" s="24"/>
      <c r="H24" s="22"/>
    </row>
    <row r="25" spans="1:8">
      <c r="A25" s="56" t="s">
        <v>36</v>
      </c>
      <c r="B25" s="56">
        <v>4670223298</v>
      </c>
      <c r="C25" s="56" t="s">
        <v>45</v>
      </c>
      <c r="D25" s="56" t="s">
        <v>46</v>
      </c>
      <c r="E25" s="56" t="s">
        <v>40</v>
      </c>
      <c r="F25" s="56" t="s">
        <v>159</v>
      </c>
      <c r="G25" s="22"/>
    </row>
    <row r="26" spans="1:8">
      <c r="A26" s="56" t="s">
        <v>35</v>
      </c>
      <c r="B26" s="56">
        <v>4610107858</v>
      </c>
      <c r="C26" s="56" t="s">
        <v>43</v>
      </c>
      <c r="D26" s="56" t="s">
        <v>44</v>
      </c>
      <c r="E26" s="56" t="s">
        <v>47</v>
      </c>
      <c r="F26" s="56" t="s">
        <v>158</v>
      </c>
    </row>
    <row r="27" spans="1:8">
      <c r="A27" s="56" t="s">
        <v>203</v>
      </c>
      <c r="B27" s="56">
        <v>4840168308</v>
      </c>
      <c r="C27" s="56" t="s">
        <v>204</v>
      </c>
      <c r="D27" s="56" t="s">
        <v>205</v>
      </c>
      <c r="E27" s="56" t="s">
        <v>206</v>
      </c>
      <c r="F27" s="56" t="s">
        <v>207</v>
      </c>
    </row>
    <row r="28" spans="1:8">
      <c r="A28" s="19" t="s">
        <v>371</v>
      </c>
      <c r="B28" s="19">
        <v>4120301470</v>
      </c>
      <c r="C28" s="19" t="s">
        <v>372</v>
      </c>
      <c r="D28" s="19" t="s">
        <v>373</v>
      </c>
      <c r="E28" s="19" t="s">
        <v>374</v>
      </c>
      <c r="F28" s="22" t="s">
        <v>375</v>
      </c>
    </row>
    <row r="29" spans="1:8">
      <c r="A29" s="56" t="s">
        <v>316</v>
      </c>
      <c r="B29" s="56">
        <v>4440294975</v>
      </c>
      <c r="C29" s="56" t="s">
        <v>317</v>
      </c>
      <c r="D29" s="56" t="s">
        <v>318</v>
      </c>
      <c r="E29" s="56" t="s">
        <v>319</v>
      </c>
      <c r="F29" s="56" t="s">
        <v>320</v>
      </c>
    </row>
    <row r="30" spans="1:8">
      <c r="A30" s="56" t="s">
        <v>278</v>
      </c>
      <c r="B30" s="56" t="s">
        <v>238</v>
      </c>
      <c r="C30" s="56" t="s">
        <v>279</v>
      </c>
      <c r="D30" s="56" t="s">
        <v>280</v>
      </c>
      <c r="E30" s="56" t="s">
        <v>281</v>
      </c>
      <c r="F30" s="56" t="s">
        <v>282</v>
      </c>
    </row>
    <row r="31" spans="1:8">
      <c r="A31" s="56" t="s">
        <v>73</v>
      </c>
      <c r="B31" s="56">
        <v>4860261702</v>
      </c>
      <c r="C31" s="56" t="s">
        <v>74</v>
      </c>
      <c r="D31" s="56" t="s">
        <v>75</v>
      </c>
      <c r="E31" s="56" t="s">
        <v>76</v>
      </c>
      <c r="F31" s="56" t="s">
        <v>77</v>
      </c>
    </row>
    <row r="32" spans="1:8">
      <c r="A32" s="56" t="s">
        <v>87</v>
      </c>
      <c r="B32" s="56">
        <v>4950256638</v>
      </c>
      <c r="C32" s="56" t="s">
        <v>100</v>
      </c>
      <c r="D32" s="56" t="s">
        <v>88</v>
      </c>
      <c r="E32" s="56" t="s">
        <v>89</v>
      </c>
      <c r="F32" s="56" t="s">
        <v>90</v>
      </c>
    </row>
    <row r="33" spans="1:6">
      <c r="A33" s="56" t="s">
        <v>213</v>
      </c>
      <c r="B33" s="56">
        <v>4370292122</v>
      </c>
      <c r="C33" s="56" t="s">
        <v>214</v>
      </c>
      <c r="D33" s="56" t="s">
        <v>215</v>
      </c>
      <c r="E33" s="56" t="s">
        <v>366</v>
      </c>
      <c r="F33" s="56" t="s">
        <v>216</v>
      </c>
    </row>
    <row r="34" spans="1:6">
      <c r="A34" s="19" t="s">
        <v>409</v>
      </c>
      <c r="B34" s="19">
        <v>4950256638</v>
      </c>
      <c r="C34" s="19" t="s">
        <v>410</v>
      </c>
      <c r="D34" s="19" t="s">
        <v>229</v>
      </c>
      <c r="E34" s="19" t="s">
        <v>411</v>
      </c>
      <c r="F34" s="58" t="s">
        <v>412</v>
      </c>
    </row>
    <row r="35" spans="1:6">
      <c r="A35" s="56" t="s">
        <v>48</v>
      </c>
      <c r="B35" s="56">
        <v>4270243415</v>
      </c>
      <c r="C35" s="56" t="s">
        <v>49</v>
      </c>
      <c r="D35" s="56" t="s">
        <v>50</v>
      </c>
      <c r="E35" s="56" t="s">
        <v>51</v>
      </c>
      <c r="F35" s="56" t="s">
        <v>52</v>
      </c>
    </row>
    <row r="36" spans="1:6">
      <c r="A36" s="56" t="s">
        <v>42</v>
      </c>
      <c r="B36" s="56">
        <v>4290241043</v>
      </c>
      <c r="C36" s="56" t="s">
        <v>68</v>
      </c>
      <c r="D36" s="56" t="s">
        <v>69</v>
      </c>
      <c r="E36" s="56" t="s">
        <v>70</v>
      </c>
      <c r="F36" s="56" t="s">
        <v>71</v>
      </c>
    </row>
    <row r="37" spans="1:6">
      <c r="A37" s="56" t="s">
        <v>265</v>
      </c>
      <c r="B37" s="56">
        <v>4390281287</v>
      </c>
      <c r="C37" s="56" t="s">
        <v>266</v>
      </c>
      <c r="D37" s="56" t="s">
        <v>267</v>
      </c>
      <c r="E37" s="56" t="s">
        <v>268</v>
      </c>
      <c r="F37" s="56" t="s">
        <v>269</v>
      </c>
    </row>
    <row r="38" spans="1:6">
      <c r="A38" s="19" t="s">
        <v>367</v>
      </c>
      <c r="B38" s="19">
        <v>4650267315</v>
      </c>
      <c r="C38" s="19" t="s">
        <v>368</v>
      </c>
      <c r="D38" s="19" t="s">
        <v>143</v>
      </c>
      <c r="E38" s="19" t="s">
        <v>369</v>
      </c>
      <c r="F38" s="22" t="s">
        <v>370</v>
      </c>
    </row>
    <row r="39" spans="1:6">
      <c r="A39" s="56" t="s">
        <v>55</v>
      </c>
      <c r="B39" s="56">
        <v>4060271881</v>
      </c>
      <c r="C39" s="56" t="s">
        <v>53</v>
      </c>
      <c r="D39" s="56" t="s">
        <v>54</v>
      </c>
      <c r="E39" s="56" t="s">
        <v>56</v>
      </c>
      <c r="F39" s="56" t="s">
        <v>57</v>
      </c>
    </row>
    <row r="40" spans="1:6">
      <c r="A40" s="56" t="s">
        <v>95</v>
      </c>
      <c r="B40" s="56">
        <v>4950256638</v>
      </c>
      <c r="C40" s="56" t="s">
        <v>96</v>
      </c>
      <c r="D40" s="56" t="s">
        <v>97</v>
      </c>
      <c r="E40" s="56" t="s">
        <v>98</v>
      </c>
      <c r="F40" s="56" t="s">
        <v>99</v>
      </c>
    </row>
    <row r="41" spans="1:6">
      <c r="A41" s="19" t="s">
        <v>376</v>
      </c>
      <c r="B41" s="19">
        <v>4210308138</v>
      </c>
      <c r="C41" s="19" t="s">
        <v>377</v>
      </c>
      <c r="D41" s="19" t="s">
        <v>378</v>
      </c>
      <c r="E41" s="59" t="s">
        <v>379</v>
      </c>
      <c r="F41" s="22" t="s">
        <v>380</v>
      </c>
    </row>
    <row r="42" spans="1:6">
      <c r="A42" s="56" t="s">
        <v>289</v>
      </c>
      <c r="B42" s="56">
        <v>4350209369</v>
      </c>
      <c r="C42" s="56" t="s">
        <v>285</v>
      </c>
      <c r="D42" s="56" t="s">
        <v>286</v>
      </c>
      <c r="E42" s="56" t="s">
        <v>287</v>
      </c>
      <c r="F42" s="56" t="s">
        <v>288</v>
      </c>
    </row>
    <row r="43" spans="1:6">
      <c r="A43" s="56" t="s">
        <v>301</v>
      </c>
      <c r="B43" s="56">
        <v>4370283345</v>
      </c>
      <c r="C43" s="56" t="s">
        <v>302</v>
      </c>
      <c r="D43" s="56" t="s">
        <v>303</v>
      </c>
      <c r="E43" s="56" t="s">
        <v>304</v>
      </c>
      <c r="F43" s="56" t="s">
        <v>305</v>
      </c>
    </row>
    <row r="44" spans="1:6">
      <c r="A44" s="56" t="s">
        <v>217</v>
      </c>
      <c r="B44" s="56">
        <v>4700120704</v>
      </c>
      <c r="C44" s="56" t="s">
        <v>218</v>
      </c>
      <c r="D44" s="56" t="s">
        <v>219</v>
      </c>
      <c r="E44" s="56" t="s">
        <v>220</v>
      </c>
      <c r="F44" s="56" t="s">
        <v>221</v>
      </c>
    </row>
    <row r="45" spans="1:6">
      <c r="A45" s="56" t="s">
        <v>208</v>
      </c>
      <c r="B45" s="56">
        <v>4950256638</v>
      </c>
      <c r="C45" s="56" t="s">
        <v>209</v>
      </c>
      <c r="D45" s="56" t="s">
        <v>210</v>
      </c>
      <c r="E45" s="56" t="s">
        <v>211</v>
      </c>
      <c r="F45" s="56" t="s">
        <v>212</v>
      </c>
    </row>
    <row r="46" spans="1:6">
      <c r="A46" s="56" t="s">
        <v>270</v>
      </c>
      <c r="B46" s="56">
        <v>4190228504</v>
      </c>
      <c r="C46" s="56" t="s">
        <v>271</v>
      </c>
      <c r="D46" s="56" t="s">
        <v>272</v>
      </c>
      <c r="E46" s="56" t="s">
        <v>273</v>
      </c>
      <c r="F46" s="56" t="s">
        <v>274</v>
      </c>
    </row>
    <row r="47" spans="1:6">
      <c r="A47" s="56" t="s">
        <v>79</v>
      </c>
      <c r="B47" s="56">
        <v>4050256165</v>
      </c>
      <c r="C47" s="56" t="s">
        <v>80</v>
      </c>
      <c r="D47" s="56" t="s">
        <v>81</v>
      </c>
      <c r="E47" s="56" t="s">
        <v>82</v>
      </c>
      <c r="F47" s="56" t="s">
        <v>83</v>
      </c>
    </row>
    <row r="48" spans="1:6">
      <c r="A48" s="19" t="s">
        <v>391</v>
      </c>
      <c r="B48" s="19" t="s">
        <v>343</v>
      </c>
      <c r="C48" s="19" t="s">
        <v>392</v>
      </c>
      <c r="D48" s="19" t="s">
        <v>393</v>
      </c>
      <c r="E48" s="60" t="s">
        <v>394</v>
      </c>
    </row>
    <row r="49" spans="1:6">
      <c r="A49" s="56" t="s">
        <v>111</v>
      </c>
      <c r="B49" s="56">
        <v>4360245718</v>
      </c>
      <c r="C49" s="56" t="s">
        <v>112</v>
      </c>
      <c r="D49" s="56" t="s">
        <v>113</v>
      </c>
      <c r="E49" s="56" t="s">
        <v>114</v>
      </c>
      <c r="F49" s="56" t="s">
        <v>115</v>
      </c>
    </row>
    <row r="50" spans="1:6">
      <c r="A50" s="56" t="s">
        <v>232</v>
      </c>
      <c r="B50" s="56">
        <v>4900306798</v>
      </c>
      <c r="C50" s="56" t="s">
        <v>233</v>
      </c>
      <c r="D50" s="56" t="s">
        <v>234</v>
      </c>
      <c r="E50" s="56" t="s">
        <v>235</v>
      </c>
      <c r="F50" s="56" t="s">
        <v>236</v>
      </c>
    </row>
    <row r="51" spans="1:6">
      <c r="A51" s="56" t="s">
        <v>72</v>
      </c>
      <c r="B51" s="56">
        <v>4200105700</v>
      </c>
      <c r="C51" s="56" t="s">
        <v>252</v>
      </c>
      <c r="D51" s="56" t="s">
        <v>229</v>
      </c>
      <c r="E51" s="56" t="s">
        <v>254</v>
      </c>
      <c r="F51" s="56" t="s">
        <v>78</v>
      </c>
    </row>
    <row r="52" spans="1:6">
      <c r="A52" s="19" t="s">
        <v>399</v>
      </c>
      <c r="B52" s="19">
        <v>4300227370</v>
      </c>
      <c r="C52" s="19" t="s">
        <v>400</v>
      </c>
      <c r="D52" s="19" t="s">
        <v>401</v>
      </c>
      <c r="E52" s="19" t="s">
        <v>402</v>
      </c>
      <c r="F52" s="22" t="s">
        <v>403</v>
      </c>
    </row>
    <row r="53" spans="1:6">
      <c r="A53" s="56" t="s">
        <v>84</v>
      </c>
      <c r="B53" s="56">
        <v>4370260228</v>
      </c>
      <c r="C53" s="56" t="s">
        <v>253</v>
      </c>
      <c r="D53" s="56" t="s">
        <v>54</v>
      </c>
      <c r="E53" s="56" t="s">
        <v>85</v>
      </c>
      <c r="F53" s="56" t="s">
        <v>86</v>
      </c>
    </row>
    <row r="54" spans="1:6">
      <c r="A54" s="56" t="s">
        <v>237</v>
      </c>
      <c r="B54" s="56" t="s">
        <v>238</v>
      </c>
      <c r="C54" s="56" t="s">
        <v>239</v>
      </c>
      <c r="D54" s="56" t="s">
        <v>81</v>
      </c>
      <c r="E54" s="56" t="s">
        <v>240</v>
      </c>
      <c r="F54" s="56" t="s">
        <v>241</v>
      </c>
    </row>
    <row r="55" spans="1:6">
      <c r="A55" s="56" t="s">
        <v>326</v>
      </c>
      <c r="B55" s="56">
        <v>4010307876</v>
      </c>
      <c r="C55" s="56" t="s">
        <v>272</v>
      </c>
      <c r="D55" s="56" t="s">
        <v>327</v>
      </c>
      <c r="E55" s="56" t="s">
        <v>328</v>
      </c>
      <c r="F55" s="57" t="s">
        <v>353</v>
      </c>
    </row>
    <row r="56" spans="1:6">
      <c r="A56" s="56" t="s">
        <v>156</v>
      </c>
      <c r="B56" s="56">
        <v>4840291696</v>
      </c>
      <c r="C56" s="56" t="s">
        <v>91</v>
      </c>
      <c r="D56" s="56" t="s">
        <v>92</v>
      </c>
      <c r="E56" s="56" t="s">
        <v>93</v>
      </c>
      <c r="F56" s="56" t="s">
        <v>94</v>
      </c>
    </row>
    <row r="57" spans="1:6">
      <c r="A57" s="19" t="s">
        <v>348</v>
      </c>
      <c r="B57" s="19">
        <v>4570286478</v>
      </c>
      <c r="C57" s="19" t="s">
        <v>349</v>
      </c>
      <c r="D57" s="19" t="s">
        <v>350</v>
      </c>
      <c r="E57" s="19" t="s">
        <v>351</v>
      </c>
      <c r="F57" s="58" t="s">
        <v>352</v>
      </c>
    </row>
    <row r="58" spans="1:6">
      <c r="A58" s="56" t="s">
        <v>275</v>
      </c>
      <c r="B58" s="56">
        <v>4400267441</v>
      </c>
      <c r="C58" s="56" t="s">
        <v>276</v>
      </c>
      <c r="D58" s="56" t="s">
        <v>277</v>
      </c>
      <c r="E58" s="56" t="s">
        <v>283</v>
      </c>
      <c r="F58" s="56" t="s">
        <v>284</v>
      </c>
    </row>
    <row r="59" spans="1:6">
      <c r="A59" s="19" t="s">
        <v>404</v>
      </c>
      <c r="B59" s="19" t="s">
        <v>343</v>
      </c>
      <c r="C59" s="19" t="s">
        <v>405</v>
      </c>
      <c r="D59" s="19" t="s">
        <v>406</v>
      </c>
      <c r="E59" s="19" t="s">
        <v>407</v>
      </c>
      <c r="F59" s="22" t="s">
        <v>408</v>
      </c>
    </row>
    <row r="60" spans="1:6">
      <c r="A60" s="56" t="s">
        <v>144</v>
      </c>
      <c r="B60" s="56">
        <v>4730105501</v>
      </c>
      <c r="C60" s="56" t="s">
        <v>145</v>
      </c>
      <c r="D60" s="56" t="s">
        <v>146</v>
      </c>
      <c r="E60" s="56" t="s">
        <v>147</v>
      </c>
      <c r="F60" s="56" t="s">
        <v>157</v>
      </c>
    </row>
    <row r="61" spans="1:6">
      <c r="A61" s="56" t="s">
        <v>342</v>
      </c>
      <c r="B61" s="56" t="s">
        <v>343</v>
      </c>
      <c r="C61" s="56" t="s">
        <v>344</v>
      </c>
      <c r="D61" s="56" t="s">
        <v>345</v>
      </c>
      <c r="E61" s="56" t="s">
        <v>346</v>
      </c>
      <c r="F61" s="57" t="s">
        <v>347</v>
      </c>
    </row>
    <row r="62" spans="1:6">
      <c r="A62" s="19" t="s">
        <v>362</v>
      </c>
      <c r="B62" s="19">
        <v>4390259143</v>
      </c>
      <c r="C62" s="19" t="s">
        <v>363</v>
      </c>
      <c r="D62" s="19" t="s">
        <v>143</v>
      </c>
      <c r="E62" s="19" t="s">
        <v>364</v>
      </c>
      <c r="F62" s="22" t="s">
        <v>365</v>
      </c>
    </row>
    <row r="63" spans="1:6">
      <c r="A63" s="19" t="s">
        <v>381</v>
      </c>
      <c r="B63" s="19">
        <v>4430290728</v>
      </c>
      <c r="C63" s="19" t="s">
        <v>382</v>
      </c>
      <c r="D63" s="19" t="s">
        <v>383</v>
      </c>
      <c r="E63" s="19" t="s">
        <v>384</v>
      </c>
      <c r="F63" s="22" t="s">
        <v>385</v>
      </c>
    </row>
    <row r="64" spans="1:6">
      <c r="A64" s="56" t="s">
        <v>101</v>
      </c>
      <c r="B64" s="56">
        <v>4650275607</v>
      </c>
      <c r="C64" s="56" t="s">
        <v>102</v>
      </c>
      <c r="D64" s="56" t="s">
        <v>103</v>
      </c>
      <c r="E64" s="56" t="s">
        <v>104</v>
      </c>
      <c r="F64" s="56" t="s">
        <v>105</v>
      </c>
    </row>
    <row r="65" spans="1:6">
      <c r="A65" s="56" t="s">
        <v>290</v>
      </c>
      <c r="B65" s="56" t="s">
        <v>238</v>
      </c>
      <c r="C65" s="56" t="s">
        <v>291</v>
      </c>
      <c r="D65" s="56" t="s">
        <v>292</v>
      </c>
      <c r="E65" s="56" t="s">
        <v>293</v>
      </c>
      <c r="F65" s="56" t="s">
        <v>294</v>
      </c>
    </row>
    <row r="66" spans="1:6">
      <c r="A66" s="56" t="s">
        <v>306</v>
      </c>
      <c r="B66" s="56">
        <v>4460171202</v>
      </c>
      <c r="C66" s="56" t="s">
        <v>307</v>
      </c>
      <c r="D66" s="56" t="s">
        <v>308</v>
      </c>
      <c r="E66" s="56" t="s">
        <v>309</v>
      </c>
      <c r="F66" s="56" t="s">
        <v>310</v>
      </c>
    </row>
  </sheetData>
  <hyperlinks>
    <hyperlink ref="E11" r:id="rId1" xr:uid="{DC8C7F5A-92BE-42D2-8C8A-843BE41DD363}"/>
    <hyperlink ref="E22" r:id="rId2" xr:uid="{2CB0A5E1-5FF0-4104-A9BE-5AC74A4DA341}"/>
    <hyperlink ref="E20" r:id="rId3" xr:uid="{507F4EB2-C74F-4B63-A5CB-B6F98FF6C3A1}"/>
    <hyperlink ref="E60" r:id="rId4" xr:uid="{975D8FE4-69A6-486D-BE71-DA8EAFC4863B}"/>
    <hyperlink ref="C24" r:id="rId5" xr:uid="{6C30D388-C2FA-4DCF-89AD-84057007EACE}"/>
    <hyperlink ref="E48" r:id="rId6" xr:uid="{161E09B2-7D20-4FB3-A994-FF537FF16F70}"/>
  </hyperlinks>
  <pageMargins left="0.7" right="0.7" top="0.75" bottom="0.75" header="0.3" footer="0.3"/>
  <pageSetup orientation="portrait" r:id="rId7"/>
  <tableParts count="1">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32A86-2216-4C4D-96E5-4C3249D83FBD}">
  <sheetPr codeName="Sheet2">
    <tabColor rgb="FF00B050"/>
  </sheetPr>
  <dimension ref="B1:AB47"/>
  <sheetViews>
    <sheetView tabSelected="1" view="pageBreakPreview" zoomScaleNormal="100" zoomScaleSheetLayoutView="100" workbookViewId="0">
      <selection activeCell="C12" sqref="C12:F12"/>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PO3860-GEN-20250509-Voltex</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150</v>
      </c>
      <c r="D5" s="12"/>
      <c r="E5" s="12"/>
      <c r="F5" s="12"/>
      <c r="G5" s="12"/>
      <c r="H5" s="12"/>
      <c r="I5" s="12"/>
      <c r="J5" s="12"/>
    </row>
    <row r="6" spans="2:28">
      <c r="B6" s="9"/>
      <c r="C6" s="11" t="s">
        <v>151</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67" t="s">
        <v>6</v>
      </c>
      <c r="C10" s="67"/>
      <c r="D10" s="67"/>
      <c r="E10" s="67"/>
      <c r="F10" s="67"/>
      <c r="G10" s="67"/>
      <c r="H10" s="67"/>
      <c r="I10" s="67"/>
      <c r="J10" s="12"/>
      <c r="AB10" s="21"/>
    </row>
    <row r="11" spans="2:28" ht="15" customHeight="1">
      <c r="B11" s="67"/>
      <c r="C11" s="67"/>
      <c r="D11" s="67"/>
      <c r="E11" s="67"/>
      <c r="F11" s="67"/>
      <c r="G11" s="67"/>
      <c r="H11" s="67"/>
      <c r="I11" s="67"/>
      <c r="J11" s="12"/>
      <c r="AB11" s="21"/>
    </row>
    <row r="12" spans="2:28" ht="15" customHeight="1">
      <c r="B12" s="4" t="s">
        <v>7</v>
      </c>
      <c r="C12" s="68" t="s">
        <v>306</v>
      </c>
      <c r="D12" s="68"/>
      <c r="E12" s="68"/>
      <c r="F12" s="68"/>
      <c r="G12" s="12"/>
      <c r="H12" s="4" t="s">
        <v>8</v>
      </c>
      <c r="I12" s="14">
        <f ca="1">TODAY()</f>
        <v>46062</v>
      </c>
      <c r="J12" s="12"/>
      <c r="AB12" s="21"/>
    </row>
    <row r="13" spans="2:28" ht="15" customHeight="1">
      <c r="B13" s="4" t="s">
        <v>29</v>
      </c>
      <c r="C13" s="71" t="e">
        <f>VLOOKUP($C$12,#REF!,2,FALSE)</f>
        <v>#REF!</v>
      </c>
      <c r="D13" s="71"/>
      <c r="E13" s="71"/>
      <c r="F13" s="71"/>
      <c r="G13" s="12"/>
      <c r="H13" s="4" t="s">
        <v>10</v>
      </c>
      <c r="I13" s="54"/>
      <c r="J13" s="12"/>
      <c r="AB13" s="21"/>
    </row>
    <row r="14" spans="2:28" ht="15" customHeight="1">
      <c r="B14" s="4" t="s">
        <v>9</v>
      </c>
      <c r="C14" s="71" t="e">
        <f>VLOOKUP($C$12,#REF!,3,FALSE)</f>
        <v>#REF!</v>
      </c>
      <c r="D14" s="71"/>
      <c r="E14" s="71"/>
      <c r="F14" s="71"/>
      <c r="G14" s="12"/>
      <c r="H14" s="4" t="s">
        <v>11</v>
      </c>
      <c r="I14" s="61" t="s">
        <v>413</v>
      </c>
      <c r="J14" s="12"/>
      <c r="AB14" s="21"/>
    </row>
    <row r="15" spans="2:28" ht="15" customHeight="1">
      <c r="B15" s="4"/>
      <c r="C15" s="71" t="e">
        <f>VLOOKUP($C$12,#REF!,4,FALSE)</f>
        <v>#REF!</v>
      </c>
      <c r="D15" s="71"/>
      <c r="E15" s="71"/>
      <c r="F15" s="71"/>
      <c r="G15" s="12"/>
      <c r="J15" s="12"/>
      <c r="AB15" s="21"/>
    </row>
    <row r="16" spans="2:28" ht="15" customHeight="1">
      <c r="B16" s="4" t="s">
        <v>12</v>
      </c>
      <c r="C16" s="71" t="e">
        <f>VLOOKUP($C$12,#REF!,5,FALSE)&amp;" "&amp;VLOOKUP($C$12,#REF!,6,FALSE)</f>
        <v>#REF!</v>
      </c>
      <c r="D16" s="71"/>
      <c r="E16" s="71"/>
      <c r="F16" s="71"/>
      <c r="G16" s="12"/>
      <c r="H16" s="12"/>
      <c r="I16" s="12"/>
      <c r="J16" s="12"/>
      <c r="AB16" s="21"/>
    </row>
    <row r="17" spans="2:28" ht="15" customHeight="1">
      <c r="B17" s="12"/>
      <c r="C17" s="12"/>
      <c r="D17" s="12"/>
      <c r="E17" s="12"/>
      <c r="F17" s="12"/>
      <c r="G17" s="12"/>
      <c r="H17" s="12"/>
      <c r="I17" s="12"/>
      <c r="J17" s="12"/>
      <c r="AB17" s="21"/>
    </row>
    <row r="18" spans="2:28" ht="45.75" customHeight="1">
      <c r="B18" s="5" t="s">
        <v>13</v>
      </c>
      <c r="C18" s="69" t="s">
        <v>14</v>
      </c>
      <c r="D18" s="69"/>
      <c r="E18" s="6" t="s">
        <v>15</v>
      </c>
      <c r="F18" s="7" t="s">
        <v>16</v>
      </c>
      <c r="G18" s="7" t="s">
        <v>17</v>
      </c>
      <c r="H18" s="5" t="s">
        <v>18</v>
      </c>
      <c r="I18" s="7" t="s">
        <v>19</v>
      </c>
      <c r="J18" s="12"/>
      <c r="AB18" s="21"/>
    </row>
    <row r="19" spans="2:28" ht="30.75" customHeight="1">
      <c r="B19" s="1">
        <v>1</v>
      </c>
      <c r="C19" s="70"/>
      <c r="D19" s="70"/>
      <c r="E19" s="40"/>
      <c r="F19" s="1"/>
      <c r="G19" s="1"/>
      <c r="H19" s="2"/>
      <c r="I19" s="2">
        <f>H19*F19</f>
        <v>0</v>
      </c>
      <c r="J19" s="12"/>
      <c r="AB19" s="21"/>
    </row>
    <row r="20" spans="2:28" ht="30.75" customHeight="1">
      <c r="B20" s="1">
        <v>2</v>
      </c>
      <c r="C20" s="70"/>
      <c r="D20" s="70"/>
      <c r="E20" s="40"/>
      <c r="F20" s="1"/>
      <c r="G20" s="1"/>
      <c r="H20" s="2"/>
      <c r="I20" s="2">
        <f t="shared" ref="I20:I27" si="0">H20*F20</f>
        <v>0</v>
      </c>
      <c r="J20" s="12"/>
      <c r="AB20" s="21"/>
    </row>
    <row r="21" spans="2:28" ht="30.75" customHeight="1">
      <c r="B21" s="1">
        <v>3</v>
      </c>
      <c r="C21" s="70"/>
      <c r="D21" s="70"/>
      <c r="E21" s="40"/>
      <c r="F21" s="1"/>
      <c r="G21" s="1"/>
      <c r="H21" s="2"/>
      <c r="I21" s="2">
        <f t="shared" si="0"/>
        <v>0</v>
      </c>
      <c r="J21" s="12"/>
      <c r="AB21" s="21"/>
    </row>
    <row r="22" spans="2:28" ht="30.75" customHeight="1">
      <c r="B22" s="1">
        <v>4</v>
      </c>
      <c r="C22" s="70"/>
      <c r="D22" s="70"/>
      <c r="E22" s="40"/>
      <c r="F22" s="1"/>
      <c r="G22" s="1"/>
      <c r="H22" s="2"/>
      <c r="I22" s="2">
        <f t="shared" si="0"/>
        <v>0</v>
      </c>
      <c r="J22" s="12"/>
      <c r="AB22" s="21"/>
    </row>
    <row r="23" spans="2:28" ht="30.75" customHeight="1">
      <c r="B23" s="1">
        <v>5</v>
      </c>
      <c r="C23" s="70"/>
      <c r="D23" s="70"/>
      <c r="E23" s="40"/>
      <c r="F23" s="1"/>
      <c r="G23" s="1"/>
      <c r="H23" s="2"/>
      <c r="I23" s="2">
        <f t="shared" si="0"/>
        <v>0</v>
      </c>
      <c r="J23" s="12"/>
      <c r="AB23" s="21"/>
    </row>
    <row r="24" spans="2:28" ht="30.75" customHeight="1">
      <c r="B24" s="1">
        <v>6</v>
      </c>
      <c r="C24" s="70"/>
      <c r="D24" s="70"/>
      <c r="E24" s="40"/>
      <c r="F24" s="1"/>
      <c r="G24" s="1"/>
      <c r="H24" s="2"/>
      <c r="I24" s="2">
        <f t="shared" si="0"/>
        <v>0</v>
      </c>
      <c r="J24" s="12"/>
      <c r="AB24" s="21"/>
    </row>
    <row r="25" spans="2:28" ht="30.75" customHeight="1">
      <c r="B25" s="1">
        <v>7</v>
      </c>
      <c r="C25" s="70"/>
      <c r="D25" s="70"/>
      <c r="E25" s="40"/>
      <c r="F25" s="1"/>
      <c r="G25" s="1"/>
      <c r="H25" s="2"/>
      <c r="I25" s="2">
        <f t="shared" si="0"/>
        <v>0</v>
      </c>
      <c r="J25" s="12"/>
      <c r="AB25" s="21"/>
    </row>
    <row r="26" spans="2:28" ht="30.75" customHeight="1">
      <c r="B26" s="1">
        <v>8</v>
      </c>
      <c r="C26" s="70"/>
      <c r="D26" s="70"/>
      <c r="E26" s="40"/>
      <c r="F26" s="1"/>
      <c r="G26" s="1"/>
      <c r="H26" s="2"/>
      <c r="I26" s="2">
        <f t="shared" si="0"/>
        <v>0</v>
      </c>
      <c r="J26" s="12"/>
      <c r="AB26" s="21"/>
    </row>
    <row r="27" spans="2:28" ht="30.75" customHeight="1">
      <c r="B27" s="1">
        <v>9</v>
      </c>
      <c r="C27" s="70"/>
      <c r="D27" s="70"/>
      <c r="E27" s="40"/>
      <c r="F27" s="1"/>
      <c r="G27" s="1"/>
      <c r="H27" s="2"/>
      <c r="I27" s="2">
        <f t="shared" si="0"/>
        <v>0</v>
      </c>
      <c r="J27" s="12"/>
      <c r="AB27" s="21"/>
    </row>
    <row r="28" spans="2:28" ht="15" customHeight="1">
      <c r="B28" s="12"/>
      <c r="C28" s="12"/>
      <c r="D28" s="12"/>
      <c r="E28" s="12"/>
      <c r="F28" s="12"/>
      <c r="G28" s="12"/>
      <c r="H28" s="3" t="s">
        <v>20</v>
      </c>
      <c r="I28" s="16">
        <f>SUM(I19:I27)</f>
        <v>0</v>
      </c>
      <c r="J28" s="12"/>
      <c r="N28" s="21"/>
      <c r="O28" s="21"/>
      <c r="P28" s="21"/>
      <c r="Q28" s="21"/>
      <c r="R28" s="21"/>
      <c r="S28" s="21"/>
      <c r="T28" s="21"/>
      <c r="U28" s="21"/>
      <c r="V28" s="21"/>
      <c r="W28" s="21"/>
      <c r="X28" s="21"/>
      <c r="Y28" s="21"/>
      <c r="Z28" s="21"/>
      <c r="AA28" s="21"/>
      <c r="AB28" s="21"/>
    </row>
    <row r="29" spans="2:28" ht="15" customHeight="1">
      <c r="B29" s="12"/>
      <c r="C29" s="12"/>
      <c r="D29" s="12"/>
      <c r="E29" s="12"/>
      <c r="F29" s="12"/>
      <c r="G29" s="12"/>
      <c r="H29" s="3" t="s">
        <v>21</v>
      </c>
      <c r="I29" s="16">
        <f>I28*0.15</f>
        <v>0</v>
      </c>
      <c r="J29" s="12"/>
      <c r="N29" s="21"/>
      <c r="O29" s="21"/>
      <c r="P29" s="21"/>
      <c r="Q29" s="21"/>
      <c r="R29" s="21"/>
      <c r="S29" s="21"/>
      <c r="T29" s="21"/>
      <c r="U29" s="21"/>
      <c r="V29" s="21"/>
      <c r="W29" s="21"/>
      <c r="X29" s="21"/>
      <c r="Y29" s="21"/>
      <c r="Z29" s="21"/>
      <c r="AA29" s="21"/>
      <c r="AB29" s="21"/>
    </row>
    <row r="30" spans="2:28" ht="15" customHeight="1">
      <c r="B30" s="12"/>
      <c r="C30" s="12"/>
      <c r="D30" s="12"/>
      <c r="E30" s="12"/>
      <c r="F30" s="12"/>
      <c r="G30" s="12"/>
      <c r="H30" s="3" t="s">
        <v>22</v>
      </c>
      <c r="I30" s="16">
        <f>I29+I28</f>
        <v>0</v>
      </c>
      <c r="J30" s="12"/>
      <c r="N30" s="21"/>
      <c r="O30" s="21"/>
      <c r="P30" s="21"/>
      <c r="Q30" s="21"/>
      <c r="R30" s="21"/>
      <c r="S30" s="21"/>
      <c r="T30" s="21"/>
      <c r="U30" s="21"/>
      <c r="V30" s="21"/>
      <c r="W30" s="21"/>
      <c r="X30" s="21"/>
      <c r="Y30" s="21"/>
      <c r="Z30" s="21"/>
      <c r="AA30" s="21"/>
      <c r="AB30" s="21"/>
    </row>
    <row r="31" spans="2:28">
      <c r="B31" s="12"/>
      <c r="C31" s="12"/>
      <c r="D31" s="12"/>
      <c r="E31" s="12"/>
      <c r="F31" s="12"/>
      <c r="G31" s="12"/>
      <c r="H31" s="12"/>
      <c r="I31" s="12"/>
      <c r="J31" s="12"/>
    </row>
    <row r="32" spans="2:28">
      <c r="B32" s="12"/>
      <c r="C32" s="12"/>
      <c r="D32" s="12"/>
      <c r="E32" s="12"/>
      <c r="F32" s="12"/>
      <c r="G32" s="12"/>
      <c r="H32" s="12"/>
      <c r="I32" s="12"/>
      <c r="J32" s="12"/>
    </row>
    <row r="33" spans="2:10">
      <c r="B33" s="72" t="s">
        <v>23</v>
      </c>
      <c r="C33" s="72"/>
      <c r="D33" s="73" t="s">
        <v>24</v>
      </c>
      <c r="E33" s="74"/>
      <c r="F33" s="74"/>
      <c r="G33" s="74"/>
      <c r="H33" s="74"/>
      <c r="I33" s="74"/>
      <c r="J33" s="12"/>
    </row>
    <row r="34" spans="2:10">
      <c r="B34" s="72"/>
      <c r="C34" s="72"/>
      <c r="D34" s="74"/>
      <c r="E34" s="74"/>
      <c r="F34" s="74"/>
      <c r="G34" s="74"/>
      <c r="H34" s="74"/>
      <c r="I34" s="74"/>
      <c r="J34" s="12"/>
    </row>
    <row r="35" spans="2:10">
      <c r="B35" s="72"/>
      <c r="C35" s="72"/>
      <c r="D35" s="74"/>
      <c r="E35" s="74"/>
      <c r="F35" s="74"/>
      <c r="G35" s="74"/>
      <c r="H35" s="74"/>
      <c r="I35" s="74"/>
      <c r="J35" s="12"/>
    </row>
    <row r="36" spans="2:10">
      <c r="B36" s="72"/>
      <c r="C36" s="72"/>
      <c r="D36" s="74"/>
      <c r="E36" s="74"/>
      <c r="F36" s="74"/>
      <c r="G36" s="74"/>
      <c r="H36" s="74"/>
      <c r="I36" s="74"/>
      <c r="J36" s="12"/>
    </row>
    <row r="37" spans="2:10">
      <c r="B37" s="8"/>
      <c r="C37" s="8"/>
      <c r="D37" s="12"/>
      <c r="E37" s="12"/>
      <c r="F37" s="12"/>
      <c r="G37" s="12"/>
      <c r="H37" s="12"/>
      <c r="I37" s="12"/>
      <c r="J37" s="12"/>
    </row>
    <row r="38" spans="2:10">
      <c r="B38" s="72" t="s">
        <v>25</v>
      </c>
      <c r="C38" s="72"/>
      <c r="D38" s="73" t="s">
        <v>148</v>
      </c>
      <c r="E38" s="74"/>
      <c r="F38" s="74"/>
      <c r="G38" s="74"/>
      <c r="H38" s="74"/>
      <c r="I38" s="74"/>
      <c r="J38" s="12"/>
    </row>
    <row r="39" spans="2:10">
      <c r="B39" s="72"/>
      <c r="C39" s="72"/>
      <c r="D39" s="74"/>
      <c r="E39" s="74"/>
      <c r="F39" s="74"/>
      <c r="G39" s="74"/>
      <c r="H39" s="74"/>
      <c r="I39" s="74"/>
      <c r="J39" s="12"/>
    </row>
    <row r="40" spans="2:10">
      <c r="B40" s="72"/>
      <c r="C40" s="72"/>
      <c r="D40" s="74"/>
      <c r="E40" s="74"/>
      <c r="F40" s="74"/>
      <c r="G40" s="74"/>
      <c r="H40" s="74"/>
      <c r="I40" s="74"/>
      <c r="J40" s="12"/>
    </row>
    <row r="41" spans="2:10">
      <c r="B41" s="8"/>
      <c r="C41" s="8"/>
      <c r="D41" s="12"/>
      <c r="E41" s="12"/>
      <c r="F41" s="12"/>
      <c r="G41" s="12"/>
      <c r="H41" s="12"/>
      <c r="I41" s="12"/>
      <c r="J41" s="12"/>
    </row>
    <row r="42" spans="2:10">
      <c r="B42" s="72" t="s">
        <v>26</v>
      </c>
      <c r="C42" s="72"/>
      <c r="D42" s="74" t="s">
        <v>155</v>
      </c>
      <c r="E42" s="74"/>
      <c r="F42" s="74"/>
      <c r="G42" s="74"/>
      <c r="H42" s="74"/>
      <c r="I42" s="74"/>
      <c r="J42" s="12"/>
    </row>
    <row r="43" spans="2:10">
      <c r="B43" s="72"/>
      <c r="C43" s="72"/>
      <c r="D43" s="74"/>
      <c r="E43" s="74"/>
      <c r="F43" s="74"/>
      <c r="G43" s="74"/>
      <c r="H43" s="74"/>
      <c r="I43" s="74"/>
      <c r="J43" s="12"/>
    </row>
    <row r="44" spans="2:10">
      <c r="B44" s="72"/>
      <c r="C44" s="72"/>
      <c r="D44" s="74"/>
      <c r="E44" s="74"/>
      <c r="F44" s="74"/>
      <c r="G44" s="74"/>
      <c r="H44" s="74"/>
      <c r="I44" s="74"/>
      <c r="J44" s="12"/>
    </row>
    <row r="45" spans="2:10">
      <c r="B45" s="12"/>
      <c r="C45" s="12"/>
      <c r="D45" s="12"/>
      <c r="E45" s="12"/>
      <c r="F45" s="12"/>
      <c r="G45" s="12"/>
      <c r="H45" s="12"/>
      <c r="I45" s="12"/>
      <c r="J45" s="12"/>
    </row>
    <row r="46" spans="2:10">
      <c r="B46" s="26" t="s">
        <v>27</v>
      </c>
      <c r="C46" s="26"/>
      <c r="D46" s="25"/>
      <c r="E46" s="30"/>
      <c r="F46" s="17"/>
      <c r="G46" s="17"/>
      <c r="H46" s="18"/>
      <c r="I46" s="14">
        <f ca="1">TODAY()</f>
        <v>46062</v>
      </c>
      <c r="J46" s="12"/>
    </row>
    <row r="47" spans="2:10">
      <c r="B47" s="26"/>
      <c r="C47" s="26"/>
      <c r="D47" s="31"/>
      <c r="E47" s="32"/>
      <c r="F47" s="33"/>
      <c r="G47" s="33"/>
      <c r="H47" s="34"/>
      <c r="I47" s="35"/>
      <c r="J47" s="12"/>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dataValidations count="1">
    <dataValidation type="list" allowBlank="1" showInputMessage="1" showErrorMessage="1" sqref="D46:D47 C12:F12" xr:uid="{196211AB-B5BF-43C1-BC7D-40BE3BF0DDED}">
      <formula1>#REF!</formula1>
    </dataValidation>
  </dataValidations>
  <hyperlinks>
    <hyperlink ref="C4" r:id="rId1" xr:uid="{6ECDF6D6-6D0F-43EC-BAAC-F7A456B5427B}"/>
  </hyperlinks>
  <pageMargins left="0" right="0" top="0" bottom="0" header="0" footer="0"/>
  <pageSetup paperSize="9" scale="93"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71761BBE-D356-469C-A56A-4759B5DFCB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23D72AF-0706-4CFE-B2E9-A07EE4CAB4E4}">
  <ds:schemaRefs>
    <ds:schemaRef ds:uri="http://schemas.microsoft.com/sharepoint/v3/contenttype/forms"/>
  </ds:schemaRefs>
</ds:datastoreItem>
</file>

<file path=customXml/itemProps3.xml><?xml version="1.0" encoding="utf-8"?>
<ds:datastoreItem xmlns:ds="http://schemas.openxmlformats.org/officeDocument/2006/customXml" ds:itemID="{F52799AD-1449-4318-BA9B-38F67E5B4A31}">
  <ds:schemaRefs>
    <ds:schemaRef ds:uri="http://schemas.microsoft.com/office/2006/metadata/properties"/>
    <ds:schemaRef ds:uri="http://www.w3.org/XML/1998/namespace"/>
    <ds:schemaRef ds:uri="9acfecf2-4047-4d7b-9ec8-592b51a52bf7"/>
    <ds:schemaRef ds:uri="http://schemas.microsoft.com/office/2006/documentManagement/types"/>
    <ds:schemaRef ds:uri="http://purl.org/dc/elements/1.1/"/>
    <ds:schemaRef ds:uri="http://purl.org/dc/terms/"/>
    <ds:schemaRef ds:uri="ab964f2b-203c-4425-a556-91316bb05fea"/>
    <ds:schemaRef ds:uri="http://schemas.openxmlformats.org/package/2006/metadata/core-properties"/>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Instructions</vt:lpstr>
      <vt:lpstr>BOQ &amp; Order Tracking</vt:lpstr>
      <vt:lpstr>PO Gen Temp</vt:lpstr>
      <vt:lpstr>Recpt Insp Temp</vt:lpstr>
      <vt:lpstr>Temp Seperator</vt:lpstr>
      <vt:lpstr>Database (2)</vt:lpstr>
      <vt:lpstr>PO Gen Temp (2)</vt:lpstr>
      <vt:lpstr>'PO Gen Temp'!Print_Area</vt:lpstr>
      <vt:lpstr>'PO Gen Temp (2)'!Print_Area</vt:lpstr>
      <vt:lpstr>'Recpt Insp Temp'!Print_Area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Roedolph</dc:creator>
  <cp:lastModifiedBy>Mizelda Isaacs</cp:lastModifiedBy>
  <cp:lastPrinted>2025-02-20T23:20:37Z</cp:lastPrinted>
  <dcterms:created xsi:type="dcterms:W3CDTF">2022-11-08T18:49:57Z</dcterms:created>
  <dcterms:modified xsi:type="dcterms:W3CDTF">2026-02-09T13:42:25Z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Order">
    <vt:r8>2100</vt:r8>
  </property>
  <property fmtid="{D5CDD505-2E9C-101B-9397-08002B2CF9AE}" pid="4" name="MediaServiceImageTags">
    <vt:lpwstr/>
  </property>
</Properties>
</file>