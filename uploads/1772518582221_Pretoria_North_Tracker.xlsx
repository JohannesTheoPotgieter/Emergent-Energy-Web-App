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8" documentId="13_ncr:1_{9CDC6338-D517-4B8F-B28F-B956AA8DF724}" xr6:coauthVersionLast="47" xr6:coauthVersionMax="47" xr10:uidLastSave="{0B32A4E0-9256-4C9E-B6B0-01A8A7CE1CC0}"/>
  <bookViews>
    <workbookView xWindow="6705" yWindow="-16320" windowWidth="29040" windowHeight="15720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1" i="18" l="1"/>
  <c r="M28" i="2"/>
  <c r="H6" i="5"/>
  <c r="G6" i="5"/>
  <c r="W124" i="18" l="1"/>
  <c r="W103" i="18"/>
  <c r="W86" i="18"/>
  <c r="Q100" i="18"/>
  <c r="Q99" i="18"/>
  <c r="Q38" i="18"/>
  <c r="P7" i="18"/>
  <c r="I40" i="2"/>
  <c r="W32" i="18"/>
  <c r="Q7" i="18"/>
  <c r="EQ11" i="6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N28" i="2" l="1"/>
  <c r="CV11" i="6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<sst xmlns="http://schemas.openxmlformats.org/spreadsheetml/2006/main" count="920" uniqueCount="542">
  <si>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</si>
  <si>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</si>
  <si>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</si>
  <si>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</si>
  <si>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</si>
  <si>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</si>
  <si>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</si>
  <si>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</si>
  <si>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</si>
  <si>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</si>
  <si>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</si>
  <si>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</si>
  <si>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</si>
  <si>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</si>
  <si>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</si>
  <si>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</si>
  <si>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</si>
  <si>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</si>
  <si>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</si>
  <si>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</si>
  <si>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</si>
  <si>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</si>
  <si>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</si>
  <si>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</si>
  <si>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</si>
  <si>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</si>
  <si>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</si>
  <si>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</si>
  <si>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</si>
  <si>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</si>
  <si>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</si>
  <si>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</si>
  <si>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</si>
  <si>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</si>
  <si>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</si>
  <si>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</si>
  <si>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</si>
  <si>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</si>
  <si>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</si>
  <si>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</si>
  <si>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</si>
  <si>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</si>
  <si>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</si>
  <si>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</si>
  <si>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</si>
  <si>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</si>
  <si>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</si>
  <si>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</si>
  <si>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</si>
  <si>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</si>
  <si>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</si>
  <si>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</si>
  <si>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</si>
  <si>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</si>
  <si>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</si>
  <si>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</si>
  <si>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</si>
  <si>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</si>
  <si>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</si>
  <si>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</si>
  <si>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</si>
  <si>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</si>
  <si>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</si>
  <si>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</si>
  <si>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</si>
  <si>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</si>
  <si>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</si>
  <si>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</si>
  <si>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</si>
  <si>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</si>
  <si>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</si>
  <si>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</si>
  <si>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</si>
  <si>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</si>
  <si>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 xml:space="preserve">all docs ready
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</si>
  <si>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</si>
  <si>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</si>
  <si>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</si>
  <si>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</si>
  <si>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</si>
  <si>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</si>
  <si>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</si>
  <si>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</si>
  <si>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</si>
  <si>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</si>
  <si>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</si>
  <si>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</si>
  <si>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</si>
  <si>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</si>
  <si>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</si>
  <si>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</si>
  <si>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</si>
  <si>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</si>
  <si>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</si>
  <si>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</si>
  <si>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</si>
  <si>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</si>
  <si>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</si>
  <si>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</si>
  <si>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</si>
  <si>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</si>
  <si>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</si>
  <si>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</si>
  <si>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</si>
  <si>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</si>
  <si>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</si>
  <si>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</si>
  <si>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</si>
  <si>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</si>
  <si>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</si>
  <si>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</si>
  <si>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</si>
  <si>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</si>
  <si>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</si>
  <si>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</si>
  <si>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</si>
  <si>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</si>
  <si>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</si>
  <si>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</si>
  <si>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</si>
  <si>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</si>
  <si>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</si>
  <si>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</si>
  <si>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</si>
  <si>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</si>
  <si>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</si>
  <si>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</si>
  <si>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</si>
  <si>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</si>
  <si>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</si>
  <si>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</si>
  <si>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</si>
  <si>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</si>
  <si>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</si>
  <si>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</si>
  <si>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</si>
  <si>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</si>
  <si>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</si>
  <si>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</si>
  <si>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</si>
  <si>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</si>
  <si>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</si>
  <si>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</si>
  <si>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</si>
  <si>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</si>
  <si>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</si>
  <si>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</si>
  <si>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</si>
  <si>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</si>
  <si>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</si>
  <si>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</si>
  <si>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</si>
  <si>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</si>
  <si>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</si>
  <si>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</si>
  <si>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</si>
  <si>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</si>
  <si>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</si>
  <si>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</si>
  <si>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</si>
  <si>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</si>
  <si>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</si>
  <si>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</si>
  <si>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</si>
  <si>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</si>
  <si>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</si>
  <si>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</si>
  <si>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</si>
  <si>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</si>
  <si>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</si>
  <si>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</si>
  <si>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</si>
  <si>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</si>
  <si>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</si>
  <si>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</si>
  <si>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</si>
  <si>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</si>
  <si>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</si>
  <si>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</si>
  <si>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</si>
  <si>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</si>
  <si>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</si>
  <si>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</si>
  <si>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</si>
  <si>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</si>
  <si>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</si>
  <si>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</si>
  <si>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</si>
  <si>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</si>
  <si>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</si>
  <si>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</si>
  <si>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</si>
  <si>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</si>
  <si>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</si>
  <si>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</si>
  <si>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</si>
  <si>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</si>
  <si>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</si>
  <si>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</si>
  <si>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</si>
  <si>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</si>
  <si>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</si>
  <si>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</si>
  <si>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</si>
  <si>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</si>
  <si>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</si>
  <si>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</si>
  <si>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</si>
  <si>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</si>
  <si>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</si>
  <si>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</si>
  <si>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</si>
  <si>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</si>
  <si>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</si>
  <si>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</si>
  <si>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</si>
  <si>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</si>
  <si>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</si>
  <si>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</si>
  <si>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</si>
  <si>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</si>
  <si>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</si>
  <si>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</si>
  <si>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</si>
  <si>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</si>
  <si>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</si>
  <si>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</si>
  <si>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</si>
  <si>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</si>
  <si>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</si>
  <si>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</si>
  <si>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</si>
  <si>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</si>
  <si>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</si>
  <si>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</si>
  <si>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</si>
  <si>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</si>
  <si>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</si>
  <si>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</si>
  <si>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</si>
  <si>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</si>
  <si>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</si>
  <si>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</si>
  <si>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</si>
  <si>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</si>
  <si>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</si>
  <si>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</si>
  <si>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</si>
  <si>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</si>
  <si>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</si>
  <si>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</si>
  <si>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</si>
  <si>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</si>
  <si>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</si>
  <si>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</si>
  <si>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</si>
  <si>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</si>
  <si>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</si>
  <si>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</si>
  <si>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</si>
  <si>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</si>
  <si>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</si>
  <si>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</si>
  <si>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</si>
  <si>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</si>
  <si>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</si>
  <si>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</si>
  <si>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</si>
  <si>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</si>
  <si>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</si>
  <si>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</si>
  <si>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</si>
  <si>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</si>
  <si>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</si>
  <si>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</si>
  <si>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</si>
  <si>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</si>
  <si>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</si>
  <si>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</si>
  <si>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</si>
  <si>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</si>
  <si>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</si>
  <si>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</si>
  <si>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</si>
  <si>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</si>
  <si>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</si>
  <si>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</si>
  <si>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</si>
  <si>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</si>
  <si>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</si>
  <si>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</si>
  <si>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</si>
  <si>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</si>
  <si>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</si>
  <si>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</si>
  <si>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</si>
  <si>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</si>
  <si>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</si>
  <si>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</si>
  <si>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</si>
  <si>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</si>
  <si>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</si>
  <si>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</si>
  <si>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</si>
  <si>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</si>
  <si>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</si>
  <si>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</si>
  <si>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</si>
  <si>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</si>
  <si>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</si>
  <si>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</si>
  <si>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</si>
  <si>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</si>
  <si>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</si>
  <si>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</si>
  <si>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</si>
  <si>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</si>
  <si>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</si>
  <si>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</si>
  <si>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</si>
  <si>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</si>
  <si>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</si>
  <si>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</si>
  <si>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</si>
  <si>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</si>
  <si>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</si>
  <si>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</si>
  <si>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</si>
  <si>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</si>
  <si>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</si>
  <si>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</si>
  <si>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</si>
  <si>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</si>
  <si>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</si>
  <si>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</si>
  <si>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</si>
  <si>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</si>
  <si>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</si>
  <si>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</si>
  <si>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</si>
  <si>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</si>
  <si>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</si>
  <si>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</si>
  <si>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</si>
  <si>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</si>
  <si>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</si>
  <si>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</si>
  <si>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</si>
  <si>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</si>
  <si>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</si>
  <si>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</si>
  <si>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</si>
  <si>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</si>
  <si>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</si>
  <si>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</si>
  <si>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</si>
  <si>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</si>
  <si>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</si>
  <si>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</si>
  <si>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</si>
  <si>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</si>
  <si>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</si>
  <si>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</si>
  <si>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</si>
  <si>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</si>
  <si>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</si>
  <si>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</si>
  <si>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</si>
  <si>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</si>
  <si>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</si>
  <si>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</si>
  <si>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</si>
  <si>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</si>
  <si>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</si>
  <si>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</si>
  <si>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</si>
  <si>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</si>
  <si>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</si>
  <si>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</si>
  <si>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</si>
  <si>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</si>
  <si>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</si>
  <si>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</si>
  <si>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</si>
  <si>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</si>
  <si>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</si>
  <si>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</si>
  <si>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</si>
  <si>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</si>
  <si>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</si>
  <si>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</si>
  <si>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</si>
  <si>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</si>
  <si>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</si>
  <si>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</si>
  <si>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</si>
  <si>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</si>
  <si>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</si>
  <si>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</si>
  <si>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</si>
  <si>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INV-6570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</si>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</sst>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8" fontId="13" fillId="11" borderId="2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4523399.3500000006</c:v>
                </c:pt>
                <c:pt idx="59">
                  <c:v>4523399.3500000006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116558.34748514835</c:v>
                </c:pt>
                <c:pt idx="59">
                  <c:v>116558.34748514835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3723294.4175000004</c:v>
                </c:pt>
                <c:pt idx="55">
                  <c:v>3723294.4175000004</c:v>
                </c:pt>
                <c:pt idx="56">
                  <c:v>3723294.4175000004</c:v>
                </c:pt>
                <c:pt idx="57">
                  <c:v>3767518.4175000004</c:v>
                </c:pt>
                <c:pt idx="58">
                  <c:v>3781496.3775000004</c:v>
                </c:pt>
                <c:pt idx="59">
                  <c:v>3781496.3775000004</c:v>
                </c:pt>
                <c:pt idx="60">
                  <c:v>3781496.3775000004</c:v>
                </c:pt>
                <c:pt idx="61">
                  <c:v>3781496.3775000004</c:v>
                </c:pt>
                <c:pt idx="62">
                  <c:v>3841014.7900000005</c:v>
                </c:pt>
                <c:pt idx="63">
                  <c:v>3841014.7900000005</c:v>
                </c:pt>
                <c:pt idx="64">
                  <c:v>3841014.7900000005</c:v>
                </c:pt>
                <c:pt idx="65">
                  <c:v>3841014.7900000005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1038178.5824999996</c:v>
                </c:pt>
                <c:pt idx="55">
                  <c:v>1038178.5824999996</c:v>
                </c:pt>
                <c:pt idx="56">
                  <c:v>1038178.5824999996</c:v>
                </c:pt>
                <c:pt idx="57">
                  <c:v>993954.58249999955</c:v>
                </c:pt>
                <c:pt idx="58">
                  <c:v>979976.62249999959</c:v>
                </c:pt>
                <c:pt idx="59">
                  <c:v>979976.62249999959</c:v>
                </c:pt>
                <c:pt idx="60">
                  <c:v>979976.62249999959</c:v>
                </c:pt>
                <c:pt idx="61">
                  <c:v>979976.62249999959</c:v>
                </c:pt>
                <c:pt idx="62">
                  <c:v>920458.2099999995</c:v>
                </c:pt>
                <c:pt idx="63">
                  <c:v>920458.2099999995</c:v>
                </c:pt>
                <c:pt idx="64">
                  <c:v>920458.2099999995</c:v>
                </c:pt>
                <c:pt idx="65">
                  <c:v>920458.2099999995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3" t="s">
        <v>57</v>
      </c>
      <c r="E47" s="773"/>
      <c r="F47" s="774"/>
      <c r="G47" s="67"/>
      <c r="I47" s="68"/>
      <c r="J47" s="68"/>
    </row>
    <row r="48" spans="1:49" ht="13.9" thickBot="1">
      <c r="C48" s="69">
        <v>44014</v>
      </c>
      <c r="D48" s="775"/>
      <c r="E48" s="775"/>
      <c r="F48" s="77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1328125" customWidth="1"/>
    <col min="6" max="6" width="33.3984375" customWidth="1"/>
  </cols>
  <sheetData>
    <row r="1" spans="2:10" ht="14.65" thickBot="1"/>
    <row r="2" spans="2:10" ht="15" thickTop="1" thickBot="1">
      <c r="B2" s="777" t="s">
        <v>58</v>
      </c>
      <c r="C2" s="778"/>
      <c r="D2" s="778"/>
      <c r="E2" s="778"/>
      <c r="F2" s="77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7" t="s">
        <v>69</v>
      </c>
      <c r="C16" s="778"/>
      <c r="D16" s="778"/>
      <c r="E16" s="778"/>
      <c r="F16" s="779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2" zoomScale="90" zoomScaleNormal="90" workbookViewId="0">
      <selection activeCell="M59" sqref="M59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2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2.59765625" style="112" customWidth="1"/>
    <col min="15" max="15" width="2.59765625" style="112" customWidth="1"/>
    <col min="16" max="16" width="39.3984375" style="112" bestFit="1" customWidth="1"/>
    <col min="17" max="17" width="1.3984375" style="112" customWidth="1"/>
    <col min="18" max="18" width="5.59765625" style="3" customWidth="1"/>
    <col min="19" max="26" width="8.3984375" style="112"/>
    <col min="27" max="16384" width="8.39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46083</v>
      </c>
      <c r="P1" s="410">
        <f ca="1">TODAY()</f>
        <v>46083</v>
      </c>
      <c r="R1" s="3"/>
    </row>
    <row r="2" spans="2:29" ht="13.9">
      <c r="B2" s="176"/>
      <c r="C2" s="177" t="s">
        <v>0</v>
      </c>
      <c r="D2" s="178"/>
      <c r="E2" s="780" t="s">
        <v>73</v>
      </c>
      <c r="F2" s="781"/>
      <c r="G2" s="781"/>
      <c r="H2" s="782"/>
      <c r="M2" s="792" t="s">
        <v>74</v>
      </c>
      <c r="N2" s="793"/>
      <c r="O2" s="411">
        <v>0</v>
      </c>
      <c r="P2" s="411">
        <v>1</v>
      </c>
    </row>
    <row r="3" spans="2:29" s="112" customFormat="1" ht="13.9">
      <c r="B3" s="179"/>
      <c r="C3" s="180" t="s">
        <v>75</v>
      </c>
      <c r="D3" s="178"/>
      <c r="E3" s="418">
        <v>509</v>
      </c>
      <c r="F3" s="181"/>
      <c r="G3" s="182"/>
      <c r="H3" s="183"/>
      <c r="J3" s="113"/>
      <c r="M3" s="793"/>
      <c r="N3" s="793"/>
      <c r="R3" s="3"/>
    </row>
    <row r="4" spans="2:29" s="112" customFormat="1" ht="13.9">
      <c r="B4" s="179"/>
      <c r="C4" s="180" t="s">
        <v>76</v>
      </c>
      <c r="D4" s="178"/>
      <c r="E4" s="783" t="s">
        <v>77</v>
      </c>
      <c r="F4" s="784"/>
      <c r="G4" s="784"/>
      <c r="H4" s="785"/>
      <c r="J4" s="113"/>
      <c r="M4" s="793"/>
      <c r="N4" s="793"/>
      <c r="R4" s="3"/>
    </row>
    <row r="5" spans="2:29" s="112" customFormat="1" ht="13.9">
      <c r="B5" s="179"/>
      <c r="C5" s="180" t="s">
        <v>78</v>
      </c>
      <c r="D5" s="178"/>
      <c r="E5" s="783" t="s">
        <v>79</v>
      </c>
      <c r="F5" s="784"/>
      <c r="G5" s="784"/>
      <c r="H5" s="785"/>
      <c r="J5" s="113"/>
      <c r="R5" s="3"/>
    </row>
    <row r="6" spans="2:29" ht="13.9">
      <c r="B6" s="184"/>
      <c r="C6" s="185" t="s">
        <v>80</v>
      </c>
      <c r="D6" s="178"/>
      <c r="E6" s="786">
        <v>4761473</v>
      </c>
      <c r="F6" s="787"/>
      <c r="G6" s="787"/>
      <c r="H6" s="788"/>
    </row>
    <row r="7" spans="2:29" s="112" customFormat="1" ht="13.9">
      <c r="B7" s="167"/>
      <c r="C7" s="702" t="s">
        <v>81</v>
      </c>
      <c r="D7" s="703"/>
      <c r="E7" s="704" t="s">
        <v>54</v>
      </c>
      <c r="F7" s="168"/>
      <c r="G7" s="186"/>
      <c r="J7" s="113"/>
      <c r="R7" s="3"/>
    </row>
    <row r="8" spans="2:29" ht="30" customHeight="1">
      <c r="B8" s="794" t="s">
        <v>82</v>
      </c>
      <c r="C8" s="795" t="s">
        <v>83</v>
      </c>
      <c r="D8" s="215"/>
      <c r="E8" s="791" t="s">
        <v>84</v>
      </c>
      <c r="F8" s="237" t="s">
        <v>85</v>
      </c>
      <c r="G8" s="791" t="s">
        <v>86</v>
      </c>
      <c r="H8" s="238"/>
      <c r="I8" s="791" t="s">
        <v>87</v>
      </c>
      <c r="J8" s="237" t="s">
        <v>85</v>
      </c>
      <c r="K8" s="791" t="s">
        <v>88</v>
      </c>
      <c r="M8" s="417" t="s">
        <v>60</v>
      </c>
      <c r="N8" s="685" t="s">
        <v>89</v>
      </c>
      <c r="P8" s="789" t="s">
        <v>90</v>
      </c>
      <c r="AA8" s="112"/>
      <c r="AB8" s="112"/>
      <c r="AC8" s="112"/>
    </row>
    <row r="9" spans="2:29" ht="13.9">
      <c r="B9" s="794"/>
      <c r="C9" s="795"/>
      <c r="D9" s="215"/>
      <c r="E9" s="791"/>
      <c r="F9" s="126">
        <f>G41-E19</f>
        <v>63</v>
      </c>
      <c r="G9" s="791"/>
      <c r="H9" s="238"/>
      <c r="I9" s="791"/>
      <c r="J9" s="127">
        <f>K41-I19</f>
        <v>70</v>
      </c>
      <c r="K9" s="791"/>
      <c r="M9" s="362">
        <f>AVERAGE(M11,M18,M21,M28,M35,M39,M46,M43)</f>
        <v>0.99453124999999998</v>
      </c>
      <c r="N9" s="362">
        <f ca="1">AVERAGE(N11,N18,N21,N28,N35,N39,N46,N43)</f>
        <v>0.96723578488370587</v>
      </c>
      <c r="O9" s="376"/>
      <c r="P9" s="79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(J30*M30+J31*M31+J32*M32+J33*M33)/SUM(J30:J33)</f>
        <v>1</v>
      </c>
      <c r="N28" s="361">
        <f ca="1">(J30*N30+J31*N31+J32*N32+J33*N33)/SUM(J30:J33)</f>
        <v>1</v>
      </c>
      <c r="O28" s="178">
        <f>J28*M28</f>
        <v>155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 ht="13.9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 ht="13.9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 ht="13.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 ht="13.9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 ht="13.9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88</v>
      </c>
      <c r="K46" s="246">
        <f>MAX(K47:K52)</f>
        <v>46090</v>
      </c>
      <c r="L46" s="114"/>
      <c r="M46" s="361">
        <f>(J47*M47+J48*M48+J49*M49+J50*M50+J51*M51+J52*M52)/SUM(J47:J52)</f>
        <v>0.95625000000000004</v>
      </c>
      <c r="N46" s="361">
        <f ca="1">(K47*N47+K48*N48+K49*N49+K50*N50+K51*N51+K52*N52)/SUM(K47:K52)</f>
        <v>0.73788627906964721</v>
      </c>
      <c r="O46" s="379">
        <f>J46*M46</f>
        <v>84.15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 ht="13.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140</v>
      </c>
      <c r="Z48" s="24"/>
    </row>
    <row r="49" spans="2:29" ht="13.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 ht="13.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 ht="13.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46087</v>
      </c>
      <c r="J51" s="251">
        <v>1</v>
      </c>
      <c r="K51" s="253">
        <f>WORKDAY.INTL(I51,J51,1,Data!$C$3:$C$14)</f>
        <v>46090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 ht="13.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46080</v>
      </c>
      <c r="J52" s="251">
        <v>5</v>
      </c>
      <c r="K52" s="253">
        <f>WORKDAY.INTL(I52,J52,1,Data!$C$3:$C$14)</f>
        <v>46087</v>
      </c>
      <c r="M52" s="254">
        <v>0.5</v>
      </c>
      <c r="N52" s="254">
        <f t="shared" ca="1" si="5"/>
        <v>0.42857142857142855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M2:N4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65" zoomScaleNormal="130" workbookViewId="0">
      <selection activeCell="D4" sqref="D4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5976562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8.59765625" style="129" bestFit="1" customWidth="1"/>
    <col min="17" max="17" width="15.3984375" style="129" bestFit="1" customWidth="1"/>
    <col min="18" max="18" width="19" style="129" customWidth="1"/>
    <col min="19" max="19" width="16.1328125" style="93" bestFit="1" customWidth="1"/>
    <col min="20" max="20" width="18.59765625" style="129" bestFit="1" customWidth="1"/>
    <col min="21" max="21" width="15.398437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15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355211.92256985529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490808.30249999993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15">
      <c r="B13" s="352">
        <v>1</v>
      </c>
      <c r="C13" s="798" t="s">
        <v>174</v>
      </c>
      <c r="D13" s="799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98" t="s">
        <v>176</v>
      </c>
      <c r="D14" s="799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75">
      <c r="B15" s="352">
        <v>3</v>
      </c>
      <c r="C15" s="798" t="s">
        <v>177</v>
      </c>
      <c r="D15" s="799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75">
      <c r="B16" s="352">
        <v>4</v>
      </c>
      <c r="C16" s="796" t="s">
        <v>178</v>
      </c>
      <c r="D16" s="797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75">
      <c r="B17" s="352">
        <v>5</v>
      </c>
      <c r="C17" s="796" t="s">
        <v>179</v>
      </c>
      <c r="D17" s="797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2.75">
      <c r="B18" s="352">
        <v>6</v>
      </c>
      <c r="C18" s="796" t="s">
        <v>54</v>
      </c>
      <c r="D18" s="797"/>
      <c r="E18" s="135">
        <v>0.05</v>
      </c>
      <c r="F18" s="136">
        <f t="shared" si="0"/>
        <v>238073.65000000002</v>
      </c>
      <c r="G18" s="355"/>
      <c r="H18" s="138">
        <f>'Project Plan'!K51+7</f>
        <v>46097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75">
      <c r="B19" s="352">
        <v>7</v>
      </c>
      <c r="C19" s="798" t="s">
        <v>180</v>
      </c>
      <c r="D19" s="79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2.75">
      <c r="C24" s="147" t="s">
        <v>183</v>
      </c>
      <c r="D24" s="148"/>
      <c r="F24" s="149"/>
    </row>
    <row r="25" spans="2:19" s="93" customFormat="1" ht="12.75">
      <c r="C25" s="147" t="s">
        <v>184</v>
      </c>
      <c r="D25" s="148"/>
    </row>
    <row r="26" spans="2:19" s="93" customFormat="1" ht="12.75">
      <c r="C26" s="150" t="s">
        <v>185</v>
      </c>
      <c r="D26" s="151"/>
    </row>
    <row r="27" spans="2:19" s="93" customFormat="1" ht="12.75">
      <c r="C27" s="152" t="s">
        <v>186</v>
      </c>
      <c r="D27" s="148"/>
    </row>
    <row r="28" spans="2:19" s="93" customFormat="1" ht="12.75">
      <c r="B28" s="117"/>
      <c r="C28" s="152" t="s">
        <v>187</v>
      </c>
      <c r="D28" s="148"/>
    </row>
    <row r="29" spans="2:19" s="93" customFormat="1" ht="12.75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00"/>
      <c r="C4" s="800"/>
      <c r="D4" s="800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25" thickBot="1">
      <c r="A5" s="215"/>
      <c r="B5" s="801" t="s">
        <v>215</v>
      </c>
      <c r="C5" s="801"/>
      <c r="D5" s="801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 ht="13.9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 ht="13.9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 ht="13.9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 ht="13.9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57" zoomScaleNormal="70" workbookViewId="0">
      <pane ySplit="4" topLeftCell="A5" activePane="bottomLeft" state="frozen"/>
      <selection activeCell="X33" sqref="X33"/>
      <selection pane="bottomLeft" activeCell="R18" sqref="R18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80" hidden="1" customWidth="1"/>
    <col min="7" max="7" width="17.3984375" style="24" hidden="1" customWidth="1"/>
    <col min="8" max="8" width="17.3984375" style="112" hidden="1" customWidth="1"/>
    <col min="9" max="9" width="22.398437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.3984375" style="112" customWidth="1"/>
    <col min="15" max="15" width="15.59765625" style="112" customWidth="1"/>
    <col min="16" max="17" width="17.3984375" style="112" customWidth="1"/>
    <col min="18" max="18" width="53" style="112" bestFit="1" customWidth="1"/>
    <col min="19" max="19" width="39" style="112" bestFit="1" customWidth="1"/>
    <col min="20" max="23" width="17.3984375" style="112" customWidth="1"/>
    <col min="24" max="24" width="21.3984375" style="112" customWidth="1"/>
    <col min="25" max="25" width="29.398437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54" t="s">
        <v>222</v>
      </c>
      <c r="C2" s="755"/>
      <c r="D2" s="755"/>
      <c r="E2" s="755"/>
      <c r="F2" s="755"/>
      <c r="G2" s="755"/>
      <c r="H2" s="684"/>
      <c r="I2" s="258">
        <f>SUM(I6:I170)</f>
        <v>4406841.0025148522</v>
      </c>
      <c r="J2" s="258">
        <f>SUM(J6:J170)</f>
        <v>4761472.8071953785</v>
      </c>
      <c r="L2" s="756" t="s">
        <v>223</v>
      </c>
      <c r="M2" s="757"/>
      <c r="N2" s="757"/>
      <c r="O2" s="757"/>
      <c r="P2" s="757"/>
      <c r="Q2" s="757"/>
      <c r="R2" s="758" t="s">
        <v>224</v>
      </c>
      <c r="S2" s="759"/>
      <c r="T2" s="759"/>
      <c r="U2" s="759"/>
      <c r="V2" s="759"/>
      <c r="W2" s="760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15">
        <f>SUM(G6:G11)</f>
        <v>1110081.32</v>
      </c>
      <c r="J6" s="715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27">
        <f>J6-SUM(U6:U11)</f>
        <v>0</v>
      </c>
      <c r="W6" s="540">
        <v>45862</v>
      </c>
      <c r="X6" s="718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16"/>
      <c r="J7" s="716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28"/>
      <c r="W7" s="655">
        <v>46037</v>
      </c>
      <c r="X7" s="719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16"/>
      <c r="J8" s="716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28"/>
      <c r="W8" s="655">
        <v>46037</v>
      </c>
      <c r="X8" s="719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16"/>
      <c r="J9" s="716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28"/>
      <c r="W9" s="579"/>
      <c r="X9" s="719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16"/>
      <c r="J10" s="716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28"/>
      <c r="W10" s="579"/>
      <c r="X10" s="719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17"/>
      <c r="J11" s="717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29"/>
      <c r="W11" s="580"/>
      <c r="X11" s="720"/>
      <c r="Y11" s="611" t="s">
        <v>248</v>
      </c>
      <c r="Z11" s="612" t="s">
        <v>249</v>
      </c>
    </row>
    <row r="12" spans="1:76" ht="14.2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45">
        <f>SUM(G13:G19)</f>
        <v>280000</v>
      </c>
      <c r="J13" s="745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35">
        <f>J13-SUM(U13:U19)</f>
        <v>0</v>
      </c>
      <c r="W13" s="543">
        <v>45862</v>
      </c>
      <c r="X13" s="748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6"/>
      <c r="J14" s="746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36"/>
      <c r="W14" s="583"/>
      <c r="X14" s="749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6"/>
      <c r="J15" s="746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36"/>
      <c r="W15" s="583"/>
      <c r="X15" s="749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6"/>
      <c r="J16" s="746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36"/>
      <c r="W16" s="583"/>
      <c r="X16" s="749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6"/>
      <c r="J17" s="746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36"/>
      <c r="W17" s="583"/>
      <c r="X17" s="749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6"/>
      <c r="J18" s="746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36"/>
      <c r="W18" s="583"/>
      <c r="X18" s="749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7"/>
      <c r="J19" s="747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37"/>
      <c r="W19" s="584"/>
      <c r="X19" s="750"/>
      <c r="Y19" s="613" t="s">
        <v>261</v>
      </c>
      <c r="Z19" s="614">
        <v>0</v>
      </c>
    </row>
    <row r="20" spans="1:26" ht="14.2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15">
        <f>SUM(G21:G28)</f>
        <v>229194</v>
      </c>
      <c r="J21" s="715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27">
        <f>J21-SUM(U21:U28)</f>
        <v>2.0001051016151905E-3</v>
      </c>
      <c r="W21" s="545">
        <v>45867</v>
      </c>
      <c r="X21" s="718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16"/>
      <c r="J22" s="716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28"/>
      <c r="W22" s="655">
        <v>45930</v>
      </c>
      <c r="X22" s="719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16"/>
      <c r="J23" s="716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28"/>
      <c r="W23" s="578"/>
      <c r="X23" s="719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16"/>
      <c r="J24" s="716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28"/>
      <c r="W24" s="542">
        <v>45961</v>
      </c>
      <c r="X24" s="719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16"/>
      <c r="J25" s="716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28"/>
      <c r="W25" s="542">
        <v>46022</v>
      </c>
      <c r="X25" s="719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16"/>
      <c r="J26" s="716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28"/>
      <c r="W26" s="542">
        <v>45989</v>
      </c>
      <c r="X26" s="719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16"/>
      <c r="J27" s="716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28"/>
      <c r="W27" s="542">
        <v>45989</v>
      </c>
      <c r="X27" s="719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17"/>
      <c r="J28" s="717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29"/>
      <c r="W28" s="580"/>
      <c r="X28" s="720"/>
      <c r="Y28" s="619" t="s">
        <v>279</v>
      </c>
      <c r="Z28" s="620" t="s">
        <v>280</v>
      </c>
    </row>
    <row r="29" spans="1:26" ht="14.2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5">
        <f>SUM(G30:G45)</f>
        <v>407489.6</v>
      </c>
      <c r="J30" s="745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44" t="s">
        <v>284</v>
      </c>
      <c r="S30" s="635" t="s">
        <v>285</v>
      </c>
      <c r="T30" s="662">
        <v>45838</v>
      </c>
      <c r="U30" s="668">
        <v>182172.37433613854</v>
      </c>
      <c r="V30" s="735">
        <f>J30-SUM(U30:U45)</f>
        <v>0</v>
      </c>
      <c r="W30" s="543">
        <v>45867</v>
      </c>
      <c r="X30" s="748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46"/>
      <c r="J31" s="746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40"/>
      <c r="S31" s="636" t="s">
        <v>285</v>
      </c>
      <c r="T31" s="662">
        <v>45838</v>
      </c>
      <c r="U31" s="669">
        <v>13639.976192194679</v>
      </c>
      <c r="V31" s="736"/>
      <c r="W31" s="544">
        <f>W30</f>
        <v>45867</v>
      </c>
      <c r="X31" s="749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6"/>
      <c r="J32" s="746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36"/>
      <c r="W32" s="544">
        <f>T32+30</f>
        <v>46052</v>
      </c>
      <c r="X32" s="749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6"/>
      <c r="J33" s="746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36"/>
      <c r="W33" s="583"/>
      <c r="X33" s="749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6"/>
      <c r="J34" s="746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38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36"/>
      <c r="W34" s="544">
        <f>W94</f>
        <v>45792</v>
      </c>
      <c r="X34" s="749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6"/>
      <c r="J35" s="746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39"/>
      <c r="S35" s="636" t="s">
        <v>294</v>
      </c>
      <c r="T35" s="659">
        <v>45838</v>
      </c>
      <c r="U35" s="669">
        <v>38543.080754083348</v>
      </c>
      <c r="V35" s="736"/>
      <c r="W35" s="544">
        <f>W95</f>
        <v>45834</v>
      </c>
      <c r="X35" s="749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6"/>
      <c r="J36" s="746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39"/>
      <c r="S36" s="636" t="s">
        <v>296</v>
      </c>
      <c r="T36" s="659">
        <v>45900</v>
      </c>
      <c r="U36" s="669">
        <v>51390.774338777795</v>
      </c>
      <c r="V36" s="736"/>
      <c r="W36" s="544">
        <f>W96</f>
        <v>45974</v>
      </c>
      <c r="X36" s="749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6"/>
      <c r="J37" s="746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39"/>
      <c r="S37" s="636" t="s">
        <v>298</v>
      </c>
      <c r="T37" s="659">
        <v>45900</v>
      </c>
      <c r="U37" s="669">
        <v>64238.467923472243</v>
      </c>
      <c r="V37" s="736"/>
      <c r="W37" s="698">
        <v>45991</v>
      </c>
      <c r="X37" s="749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6"/>
      <c r="J38" s="746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39"/>
      <c r="S38" s="636" t="s">
        <v>298</v>
      </c>
      <c r="T38" s="659">
        <v>45900</v>
      </c>
      <c r="U38" s="669">
        <v>0</v>
      </c>
      <c r="V38" s="736"/>
      <c r="W38" s="698">
        <v>46003</v>
      </c>
      <c r="X38" s="749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6"/>
      <c r="J39" s="746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39"/>
      <c r="S39" s="636" t="s">
        <v>299</v>
      </c>
      <c r="T39" s="659">
        <v>45900</v>
      </c>
      <c r="U39" s="669">
        <v>25695.387169388898</v>
      </c>
      <c r="V39" s="736"/>
      <c r="W39" s="698">
        <v>46009</v>
      </c>
      <c r="X39" s="749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6"/>
      <c r="J40" s="746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39"/>
      <c r="S40" s="636" t="s">
        <v>301</v>
      </c>
      <c r="T40" s="659">
        <v>45900</v>
      </c>
      <c r="U40" s="669">
        <v>25695.387169388898</v>
      </c>
      <c r="V40" s="736"/>
      <c r="W40" s="544">
        <v>46015</v>
      </c>
      <c r="X40" s="749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6"/>
      <c r="J41" s="746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39"/>
      <c r="S41" s="636" t="s">
        <v>303</v>
      </c>
      <c r="T41" s="659">
        <v>45900</v>
      </c>
      <c r="U41" s="669">
        <v>12847.693584694449</v>
      </c>
      <c r="V41" s="736"/>
      <c r="W41" s="544">
        <v>46386</v>
      </c>
      <c r="X41" s="749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6"/>
      <c r="J42" s="746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40"/>
      <c r="S42" s="636" t="s">
        <v>305</v>
      </c>
      <c r="T42" s="659">
        <v>45900</v>
      </c>
      <c r="U42" s="669">
        <v>12847.693584694449</v>
      </c>
      <c r="V42" s="736"/>
      <c r="W42" s="544">
        <v>46058</v>
      </c>
      <c r="X42" s="749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6"/>
      <c r="J43" s="746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36"/>
      <c r="W43" s="583"/>
      <c r="X43" s="749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6"/>
      <c r="J44" s="746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36"/>
      <c r="W44" s="583"/>
      <c r="X44" s="749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7"/>
      <c r="J45" s="747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37"/>
      <c r="W45" s="584"/>
      <c r="X45" s="750"/>
      <c r="Y45" s="488"/>
    </row>
    <row r="46" spans="1:26" ht="13.9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15">
        <f>SUM(G47:G54)</f>
        <v>49000</v>
      </c>
      <c r="J47" s="715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27">
        <f>J47-SUM(U47:U54)</f>
        <v>-1.4822027660557069E-3</v>
      </c>
      <c r="W47" s="545">
        <v>45855</v>
      </c>
      <c r="X47" s="718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16"/>
      <c r="J48" s="716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28"/>
      <c r="W48" s="541">
        <v>45804</v>
      </c>
      <c r="X48" s="719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16"/>
      <c r="J49" s="716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28"/>
      <c r="W49" s="678">
        <v>45867</v>
      </c>
      <c r="X49" s="719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16"/>
      <c r="J50" s="716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28"/>
      <c r="W50" s="541">
        <v>45838</v>
      </c>
      <c r="X50" s="719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16"/>
      <c r="J51" s="716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28"/>
      <c r="W51" s="541">
        <v>45799</v>
      </c>
      <c r="X51" s="719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16"/>
      <c r="J52" s="716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28"/>
      <c r="W52" s="542">
        <v>45835</v>
      </c>
      <c r="X52" s="719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16"/>
      <c r="J53" s="716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28"/>
      <c r="W53" s="542">
        <v>45838</v>
      </c>
      <c r="X53" s="719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17"/>
      <c r="J54" s="717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29"/>
      <c r="W54" s="580"/>
      <c r="X54" s="720"/>
      <c r="Y54" s="488"/>
    </row>
    <row r="55" spans="1:25" ht="14.2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45">
        <f>SUM(G56:G72)</f>
        <v>673981.46086956526</v>
      </c>
      <c r="J56" s="745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35">
        <f>J56-SUM(U56:U72)</f>
        <v>2.8626930434256792E-3</v>
      </c>
      <c r="W56" s="582"/>
      <c r="X56" s="748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6"/>
      <c r="J57" s="746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36"/>
      <c r="W57" s="544">
        <v>45867</v>
      </c>
      <c r="X57" s="749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6"/>
      <c r="J58" s="746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36"/>
      <c r="W58" s="583"/>
      <c r="X58" s="749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6"/>
      <c r="J59" s="746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36"/>
      <c r="W59" s="583"/>
      <c r="X59" s="749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6"/>
      <c r="J60" s="746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36"/>
      <c r="W60" s="583"/>
      <c r="X60" s="749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6"/>
      <c r="J61" s="746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36"/>
      <c r="W61" s="583"/>
      <c r="X61" s="749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6"/>
      <c r="J62" s="746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38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36"/>
      <c r="W62" s="544">
        <f>W94</f>
        <v>45792</v>
      </c>
      <c r="X62" s="749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6"/>
      <c r="J63" s="746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39"/>
      <c r="S63" s="636" t="s">
        <v>294</v>
      </c>
      <c r="T63" s="659">
        <v>45838</v>
      </c>
      <c r="U63" s="675">
        <v>46370.893243102699</v>
      </c>
      <c r="V63" s="736"/>
      <c r="W63" s="544">
        <f t="shared" ref="W63" si="7">W95</f>
        <v>45834</v>
      </c>
      <c r="X63" s="749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6"/>
      <c r="J64" s="746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39"/>
      <c r="S64" s="636" t="s">
        <v>296</v>
      </c>
      <c r="T64" s="659">
        <v>45900</v>
      </c>
      <c r="U64" s="669">
        <v>62436.497657470296</v>
      </c>
      <c r="V64" s="736"/>
      <c r="W64" s="698">
        <v>45960</v>
      </c>
      <c r="X64" s="749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6"/>
      <c r="J65" s="746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39"/>
      <c r="S65" s="636" t="s">
        <v>298</v>
      </c>
      <c r="T65" s="659">
        <v>45900</v>
      </c>
      <c r="U65" s="669">
        <v>78045.622071837846</v>
      </c>
      <c r="V65" s="736"/>
      <c r="W65" s="544">
        <v>46006</v>
      </c>
      <c r="X65" s="749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6"/>
      <c r="J66" s="746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39"/>
      <c r="S66" s="636" t="s">
        <v>299</v>
      </c>
      <c r="T66" s="659">
        <v>45900</v>
      </c>
      <c r="U66" s="669">
        <v>31218.248828735148</v>
      </c>
      <c r="V66" s="736"/>
      <c r="W66" s="544">
        <v>46009</v>
      </c>
      <c r="X66" s="749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6"/>
      <c r="J67" s="746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39"/>
      <c r="S67" s="640" t="s">
        <v>301</v>
      </c>
      <c r="T67" s="659">
        <v>45900</v>
      </c>
      <c r="U67" s="680">
        <v>31218.248828735148</v>
      </c>
      <c r="V67" s="736"/>
      <c r="W67" s="544">
        <v>46015</v>
      </c>
      <c r="X67" s="749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6"/>
      <c r="J68" s="746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39"/>
      <c r="S68" s="640" t="s">
        <v>303</v>
      </c>
      <c r="T68" s="659">
        <v>45900</v>
      </c>
      <c r="U68" s="680">
        <v>15609.124414367574</v>
      </c>
      <c r="V68" s="736"/>
      <c r="W68" s="544">
        <v>46386</v>
      </c>
      <c r="X68" s="749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6"/>
      <c r="J69" s="746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40"/>
      <c r="S69" s="640" t="s">
        <v>305</v>
      </c>
      <c r="T69" s="659">
        <v>45900</v>
      </c>
      <c r="U69" s="680">
        <v>15609.124414367574</v>
      </c>
      <c r="V69" s="736"/>
      <c r="W69" s="544">
        <v>46058</v>
      </c>
      <c r="X69" s="749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6"/>
      <c r="J70" s="746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36"/>
      <c r="W70" s="586"/>
      <c r="X70" s="749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6"/>
      <c r="J71" s="746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36"/>
      <c r="W71" s="586"/>
      <c r="X71" s="749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7"/>
      <c r="J72" s="747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37"/>
      <c r="W72" s="584"/>
      <c r="X72" s="750"/>
      <c r="Y72" s="488"/>
    </row>
    <row r="73" spans="1:25" ht="13.9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15">
        <f>SUM(G74:G81)</f>
        <v>0</v>
      </c>
      <c r="J74" s="715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51">
        <f>J74-SUM(U74:U81)</f>
        <v>0</v>
      </c>
      <c r="W74" s="588"/>
      <c r="X74" s="718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16"/>
      <c r="J75" s="716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52"/>
      <c r="W75" s="579"/>
      <c r="X75" s="719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16"/>
      <c r="J76" s="716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52"/>
      <c r="W76" s="579"/>
      <c r="X76" s="719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16"/>
      <c r="J77" s="716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52"/>
      <c r="W77" s="579"/>
      <c r="X77" s="719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16"/>
      <c r="J78" s="716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52"/>
      <c r="W78" s="579"/>
      <c r="X78" s="719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16"/>
      <c r="J79" s="716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52"/>
      <c r="W79" s="579"/>
      <c r="X79" s="719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16"/>
      <c r="J80" s="716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52"/>
      <c r="W80" s="579"/>
      <c r="X80" s="719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17"/>
      <c r="J81" s="717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53"/>
      <c r="W81" s="580"/>
      <c r="X81" s="720"/>
      <c r="Y81" s="488"/>
    </row>
    <row r="82" spans="1:25" ht="13.9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45">
        <f>D178</f>
        <v>0</v>
      </c>
      <c r="J83" s="745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7">
        <f>J83-SUM(U83:U91)</f>
        <v>0</v>
      </c>
      <c r="W83" s="582"/>
      <c r="X83" s="748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6"/>
      <c r="J84" s="746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8"/>
      <c r="W84" s="583"/>
      <c r="X84" s="749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6"/>
      <c r="J85" s="746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68"/>
      <c r="W85" s="544">
        <v>45869</v>
      </c>
      <c r="X85" s="749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6"/>
      <c r="J86" s="746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68"/>
      <c r="W86" s="544">
        <f>T86+30</f>
        <v>46052</v>
      </c>
      <c r="X86" s="749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6"/>
      <c r="J87" s="746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68"/>
      <c r="W87" s="544">
        <v>46003</v>
      </c>
      <c r="X87" s="749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6"/>
      <c r="J88" s="746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68"/>
      <c r="W88" s="698">
        <v>45995</v>
      </c>
      <c r="X88" s="749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6"/>
      <c r="J89" s="746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68"/>
      <c r="W89" s="583"/>
      <c r="X89" s="749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6"/>
      <c r="J90" s="746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68"/>
      <c r="W90" s="714">
        <v>46079</v>
      </c>
      <c r="X90" s="749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7"/>
      <c r="J91" s="747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9"/>
      <c r="W91" s="584"/>
      <c r="X91" s="750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61">
        <f>SUM(G93:G105)</f>
        <v>411950</v>
      </c>
      <c r="J93" s="715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27">
        <f>J93-SUM(U93:U105)</f>
        <v>-1.9043107749894261E-3</v>
      </c>
      <c r="W93" s="585"/>
      <c r="X93" s="764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62"/>
      <c r="J94" s="716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70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28"/>
      <c r="W94" s="541">
        <v>45792</v>
      </c>
      <c r="X94" s="765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62"/>
      <c r="J95" s="716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1"/>
      <c r="S95" s="632" t="s">
        <v>294</v>
      </c>
      <c r="T95" s="650">
        <v>45838</v>
      </c>
      <c r="U95" s="674">
        <v>72697.058823529413</v>
      </c>
      <c r="V95" s="728"/>
      <c r="W95" s="542">
        <v>45834</v>
      </c>
      <c r="X95" s="765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62"/>
      <c r="J96" s="716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71"/>
      <c r="S96" s="632" t="s">
        <v>296</v>
      </c>
      <c r="T96" s="650">
        <v>45900</v>
      </c>
      <c r="U96" s="666">
        <v>96929.411764705888</v>
      </c>
      <c r="V96" s="728"/>
      <c r="W96" s="542">
        <v>45974</v>
      </c>
      <c r="X96" s="765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62"/>
      <c r="J97" s="716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71"/>
      <c r="S97" s="632" t="s">
        <v>298</v>
      </c>
      <c r="T97" s="650">
        <v>45900</v>
      </c>
      <c r="U97" s="666">
        <v>121161.76470588235</v>
      </c>
      <c r="V97" s="728"/>
      <c r="W97" s="699">
        <v>46009</v>
      </c>
      <c r="X97" s="765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62"/>
      <c r="J98" s="716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71"/>
      <c r="S98" s="632" t="s">
        <v>299</v>
      </c>
      <c r="T98" s="650">
        <v>45900</v>
      </c>
      <c r="U98" s="666">
        <v>48464.705882352944</v>
      </c>
      <c r="V98" s="728"/>
      <c r="W98" s="542">
        <f>'Project Plan'!K39+7</f>
        <v>46006</v>
      </c>
      <c r="X98" s="765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62"/>
      <c r="J99" s="716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71"/>
      <c r="S99" s="632" t="s">
        <v>354</v>
      </c>
      <c r="T99" s="650">
        <v>45961</v>
      </c>
      <c r="U99" s="657">
        <v>48464.706834508281</v>
      </c>
      <c r="V99" s="728"/>
      <c r="W99" s="542">
        <v>46015</v>
      </c>
      <c r="X99" s="765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62"/>
      <c r="J100" s="716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71"/>
      <c r="S100" s="632" t="s">
        <v>354</v>
      </c>
      <c r="T100" s="650">
        <v>45961</v>
      </c>
      <c r="U100" s="657">
        <v>0</v>
      </c>
      <c r="V100" s="728"/>
      <c r="W100" s="542">
        <v>46015</v>
      </c>
      <c r="X100" s="765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62"/>
      <c r="J101" s="716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71"/>
      <c r="S101" s="632" t="s">
        <v>355</v>
      </c>
      <c r="T101" s="650">
        <v>45961</v>
      </c>
      <c r="U101" s="657">
        <v>24232.35341725414</v>
      </c>
      <c r="V101" s="728"/>
      <c r="W101" s="542">
        <v>46009</v>
      </c>
      <c r="X101" s="765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62"/>
      <c r="J102" s="716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72"/>
      <c r="S102" s="632" t="s">
        <v>356</v>
      </c>
      <c r="T102" s="650">
        <v>45961</v>
      </c>
      <c r="U102" s="657">
        <v>24232.35341725414</v>
      </c>
      <c r="V102" s="728"/>
      <c r="W102" s="542">
        <v>46058</v>
      </c>
      <c r="X102" s="765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62"/>
      <c r="J103" s="716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28"/>
      <c r="W103" s="542">
        <f>W102</f>
        <v>46058</v>
      </c>
      <c r="X103" s="765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62"/>
      <c r="J104" s="716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28"/>
      <c r="W104" s="579"/>
      <c r="X104" s="765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63"/>
      <c r="J105" s="717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29"/>
      <c r="W105" s="580"/>
      <c r="X105" s="766"/>
      <c r="Y105" s="488"/>
    </row>
    <row r="106" spans="1:25" ht="13.9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21">
        <f>SUM(G107:G127)</f>
        <v>106291.66666666667</v>
      </c>
      <c r="J107" s="721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32">
        <f>J107-SUM(U107:U127)</f>
        <v>-4.1726943454705179E-3</v>
      </c>
      <c r="W107" s="589"/>
      <c r="X107" s="725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30"/>
      <c r="J108" s="730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33"/>
      <c r="W108" s="590"/>
      <c r="X108" s="731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30"/>
      <c r="J109" s="730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33"/>
      <c r="W109" s="547">
        <v>45869</v>
      </c>
      <c r="X109" s="731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30"/>
      <c r="J110" s="730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33"/>
      <c r="W110" s="547">
        <v>45911</v>
      </c>
      <c r="X110" s="731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30"/>
      <c r="J111" s="730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33"/>
      <c r="W111" s="547">
        <v>45967</v>
      </c>
      <c r="X111" s="731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30"/>
      <c r="J112" s="730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33"/>
      <c r="W112" s="547">
        <v>45939</v>
      </c>
      <c r="X112" s="731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30"/>
      <c r="J113" s="730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33"/>
      <c r="W113" s="547">
        <v>45967</v>
      </c>
      <c r="X113" s="731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30"/>
      <c r="J114" s="730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33"/>
      <c r="W114" s="547">
        <v>46003</v>
      </c>
      <c r="X114" s="731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30"/>
      <c r="J115" s="730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33"/>
      <c r="W115" s="547">
        <v>46051</v>
      </c>
      <c r="X115" s="731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30"/>
      <c r="J116" s="730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33"/>
      <c r="W116" s="590"/>
      <c r="X116" s="731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30"/>
      <c r="J117" s="730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41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33"/>
      <c r="W117" s="548">
        <f>W94</f>
        <v>45792</v>
      </c>
      <c r="X117" s="731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30"/>
      <c r="J118" s="730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42"/>
      <c r="S118" s="645" t="s">
        <v>294</v>
      </c>
      <c r="T118" s="660">
        <v>45838</v>
      </c>
      <c r="U118" s="677">
        <v>5468.08962195598</v>
      </c>
      <c r="V118" s="733"/>
      <c r="W118" s="548">
        <f>W95</f>
        <v>45834</v>
      </c>
      <c r="X118" s="731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30"/>
      <c r="J119" s="730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42"/>
      <c r="S119" s="645" t="s">
        <v>296</v>
      </c>
      <c r="T119" s="660">
        <v>45900</v>
      </c>
      <c r="U119" s="672">
        <v>8498.9611240907961</v>
      </c>
      <c r="V119" s="733"/>
      <c r="W119" s="548">
        <f>W96</f>
        <v>45974</v>
      </c>
      <c r="X119" s="731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30"/>
      <c r="J120" s="730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42"/>
      <c r="S120" s="645" t="s">
        <v>298</v>
      </c>
      <c r="T120" s="660">
        <v>45900</v>
      </c>
      <c r="U120" s="672">
        <v>10623.701405113494</v>
      </c>
      <c r="V120" s="733"/>
      <c r="W120" s="548">
        <v>46006</v>
      </c>
      <c r="X120" s="731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30"/>
      <c r="J121" s="730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42"/>
      <c r="S121" s="645" t="s">
        <v>299</v>
      </c>
      <c r="T121" s="660">
        <v>45900</v>
      </c>
      <c r="U121" s="672">
        <v>4249.4805620453981</v>
      </c>
      <c r="V121" s="733"/>
      <c r="W121" s="548">
        <v>46009</v>
      </c>
      <c r="X121" s="731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30"/>
      <c r="J122" s="730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42"/>
      <c r="S122" s="645" t="s">
        <v>301</v>
      </c>
      <c r="T122" s="660">
        <v>45900</v>
      </c>
      <c r="U122" s="672">
        <v>4249.4805620453981</v>
      </c>
      <c r="V122" s="733"/>
      <c r="W122" s="548">
        <v>46015</v>
      </c>
      <c r="X122" s="731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30"/>
      <c r="J123" s="730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42"/>
      <c r="S123" s="645" t="s">
        <v>303</v>
      </c>
      <c r="T123" s="660">
        <v>45900</v>
      </c>
      <c r="U123" s="672">
        <v>2124.740281022699</v>
      </c>
      <c r="V123" s="733"/>
      <c r="W123" s="548">
        <v>46015</v>
      </c>
      <c r="X123" s="731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30"/>
      <c r="J124" s="730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43"/>
      <c r="S124" s="645" t="s">
        <v>305</v>
      </c>
      <c r="T124" s="660">
        <v>45900</v>
      </c>
      <c r="U124" s="672">
        <v>2124.740281022699</v>
      </c>
      <c r="V124" s="733"/>
      <c r="W124" s="548">
        <f>W102</f>
        <v>46058</v>
      </c>
      <c r="X124" s="731"/>
      <c r="Y124" s="488"/>
    </row>
    <row r="125" spans="1:25" ht="14.25" customHeight="1">
      <c r="B125" s="340">
        <v>10</v>
      </c>
      <c r="C125" s="341"/>
      <c r="D125" s="341"/>
      <c r="E125" s="342"/>
      <c r="F125" s="477"/>
      <c r="G125" s="343"/>
      <c r="H125" s="591"/>
      <c r="I125" s="730"/>
      <c r="J125" s="730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33"/>
      <c r="W125" s="591"/>
      <c r="X125" s="731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30"/>
      <c r="J126" s="730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33"/>
      <c r="W126" s="591"/>
      <c r="X126" s="731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22"/>
      <c r="J127" s="722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34"/>
      <c r="W127" s="592"/>
      <c r="X127" s="726"/>
      <c r="Y127" s="488"/>
    </row>
    <row r="128" spans="1:25" ht="13.9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15">
        <f>SUM(G129:G133)</f>
        <v>125199</v>
      </c>
      <c r="J129" s="715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27">
        <f>J129-SUM(U129:U133)</f>
        <v>1.2806575396098197E-3</v>
      </c>
      <c r="W129" s="585">
        <v>46086</v>
      </c>
      <c r="X129" s="718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16"/>
      <c r="J130" s="716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28"/>
      <c r="W130" s="655">
        <v>45757</v>
      </c>
      <c r="X130" s="719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16"/>
      <c r="J131" s="716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713">
        <v>79700</v>
      </c>
      <c r="R131" s="594" t="s">
        <v>386</v>
      </c>
      <c r="S131" s="631"/>
      <c r="T131" s="524">
        <v>46142</v>
      </c>
      <c r="U131" s="508">
        <v>0</v>
      </c>
      <c r="V131" s="728"/>
      <c r="W131" s="578">
        <f>T131</f>
        <v>46142</v>
      </c>
      <c r="X131" s="719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16"/>
      <c r="J132" s="716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28"/>
      <c r="W132" s="542">
        <v>45834</v>
      </c>
      <c r="X132" s="719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17"/>
      <c r="J133" s="717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29"/>
      <c r="W133" s="712">
        <f>T133+30</f>
        <v>46052</v>
      </c>
      <c r="X133" s="720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21">
        <f>SUM(G135:G136)</f>
        <v>88657.951170131375</v>
      </c>
      <c r="J135" s="721">
        <v>0</v>
      </c>
      <c r="K135" s="723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25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22"/>
      <c r="J136" s="722"/>
      <c r="K136" s="724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26"/>
      <c r="Y136" s="488"/>
    </row>
    <row r="137" spans="1:25" ht="14.2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15">
        <f>SUM(G138:G142)</f>
        <v>166246.0038084886</v>
      </c>
      <c r="J138" s="715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 t="s">
        <v>400</v>
      </c>
      <c r="T138" s="663">
        <v>46081</v>
      </c>
      <c r="U138" s="516">
        <f t="shared" ref="U138:U143" si="14">(Q138/$X$138*$J$138)</f>
        <v>188915.91341873704</v>
      </c>
      <c r="V138" s="727">
        <f>J138-SUM(U138:U143)</f>
        <v>0</v>
      </c>
      <c r="W138" s="585">
        <v>46112</v>
      </c>
      <c r="X138" s="718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401</v>
      </c>
      <c r="E139" s="314"/>
      <c r="F139" s="465"/>
      <c r="G139" s="315">
        <v>28571.428571428572</v>
      </c>
      <c r="H139" s="585">
        <v>45940</v>
      </c>
      <c r="I139" s="716"/>
      <c r="J139" s="716"/>
      <c r="K139" s="288"/>
      <c r="L139" s="311">
        <v>13</v>
      </c>
      <c r="M139" s="395" t="s">
        <v>398</v>
      </c>
      <c r="N139" s="313" t="s">
        <v>401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28"/>
      <c r="W139" s="578"/>
      <c r="X139" s="719"/>
      <c r="Y139" s="488"/>
    </row>
    <row r="140" spans="1:25" ht="15.75" customHeight="1">
      <c r="B140" s="311">
        <v>13</v>
      </c>
      <c r="C140" s="313"/>
      <c r="D140" s="313" t="s">
        <v>402</v>
      </c>
      <c r="E140" s="314"/>
      <c r="F140" s="465"/>
      <c r="G140" s="315">
        <v>34000</v>
      </c>
      <c r="H140" s="585">
        <v>45941</v>
      </c>
      <c r="I140" s="716"/>
      <c r="J140" s="716"/>
      <c r="K140" s="288"/>
      <c r="L140" s="311">
        <v>13</v>
      </c>
      <c r="M140" s="395" t="s">
        <v>398</v>
      </c>
      <c r="N140" s="313" t="s">
        <v>402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28"/>
      <c r="W140" s="578"/>
      <c r="X140" s="719"/>
      <c r="Y140" s="488"/>
    </row>
    <row r="141" spans="1:25" ht="15.75" customHeight="1">
      <c r="B141" s="311">
        <v>13</v>
      </c>
      <c r="C141" s="313"/>
      <c r="D141" s="313" t="s">
        <v>403</v>
      </c>
      <c r="E141" s="314"/>
      <c r="F141" s="465"/>
      <c r="G141" s="315">
        <v>37142.857142857145</v>
      </c>
      <c r="H141" s="585">
        <v>45942</v>
      </c>
      <c r="I141" s="716"/>
      <c r="J141" s="716"/>
      <c r="K141" s="288"/>
      <c r="L141" s="311">
        <v>13</v>
      </c>
      <c r="M141" s="395" t="s">
        <v>398</v>
      </c>
      <c r="N141" s="313" t="s">
        <v>403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28"/>
      <c r="W141" s="578"/>
      <c r="X141" s="719"/>
      <c r="Y141" s="488"/>
    </row>
    <row r="142" spans="1:25" ht="15.75" customHeight="1">
      <c r="B142" s="311">
        <v>13</v>
      </c>
      <c r="C142" s="313"/>
      <c r="D142" s="313" t="s">
        <v>404</v>
      </c>
      <c r="E142" s="314"/>
      <c r="F142" s="465"/>
      <c r="G142" s="315">
        <v>24116.879999999997</v>
      </c>
      <c r="H142" s="585">
        <v>45943</v>
      </c>
      <c r="I142" s="716"/>
      <c r="J142" s="716"/>
      <c r="K142" s="288"/>
      <c r="L142" s="311">
        <v>13</v>
      </c>
      <c r="M142" s="395" t="s">
        <v>398</v>
      </c>
      <c r="N142" s="313" t="s">
        <v>404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28"/>
      <c r="W142" s="578"/>
      <c r="X142" s="719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17"/>
      <c r="J143" s="717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29"/>
      <c r="W143" s="580"/>
      <c r="X143" s="720"/>
      <c r="Y143" s="488"/>
    </row>
    <row r="144" spans="1:25" ht="14.2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405</v>
      </c>
      <c r="D145" s="270" t="s">
        <v>406</v>
      </c>
      <c r="E145" s="271"/>
      <c r="F145" s="476"/>
      <c r="G145" s="338">
        <v>8750</v>
      </c>
      <c r="H145" s="653">
        <v>45785</v>
      </c>
      <c r="I145" s="721">
        <f>SUM(G145:G156)</f>
        <v>8750</v>
      </c>
      <c r="J145" s="721">
        <f>F197</f>
        <v>10294.117647058823</v>
      </c>
      <c r="K145" s="339"/>
      <c r="L145" s="269">
        <v>14</v>
      </c>
      <c r="M145" s="440" t="s">
        <v>407</v>
      </c>
      <c r="N145" s="270" t="s">
        <v>408</v>
      </c>
      <c r="O145" s="569"/>
      <c r="P145" s="476"/>
      <c r="Q145" s="338">
        <v>1182.26</v>
      </c>
      <c r="R145" s="607"/>
      <c r="S145" s="643" t="s">
        <v>409</v>
      </c>
      <c r="T145" s="652">
        <v>45777</v>
      </c>
      <c r="U145" s="658">
        <v>1343.7091934439072</v>
      </c>
      <c r="V145" s="732">
        <f>J145-SUM(U145:U156)</f>
        <v>1.9270995089755161E-3</v>
      </c>
      <c r="W145" s="653">
        <v>45785</v>
      </c>
      <c r="X145" s="725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30"/>
      <c r="J146" s="730"/>
      <c r="K146" s="272"/>
      <c r="L146" s="340">
        <v>14</v>
      </c>
      <c r="M146" s="441" t="s">
        <v>407</v>
      </c>
      <c r="N146" s="341" t="s">
        <v>408</v>
      </c>
      <c r="O146" s="570"/>
      <c r="P146" s="477"/>
      <c r="Q146" s="343">
        <v>0</v>
      </c>
      <c r="R146" s="609"/>
      <c r="S146" s="645" t="s">
        <v>409</v>
      </c>
      <c r="T146" s="660">
        <v>45808</v>
      </c>
      <c r="U146" s="522">
        <f>(Q146/$X$145*$J$145)</f>
        <v>0</v>
      </c>
      <c r="V146" s="733"/>
      <c r="W146" s="548">
        <v>45808</v>
      </c>
      <c r="X146" s="731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30"/>
      <c r="J147" s="730"/>
      <c r="K147" s="272"/>
      <c r="L147" s="340">
        <v>14</v>
      </c>
      <c r="M147" s="441" t="s">
        <v>407</v>
      </c>
      <c r="N147" s="341" t="s">
        <v>408</v>
      </c>
      <c r="O147" s="570"/>
      <c r="P147" s="477"/>
      <c r="Q147" s="343">
        <v>3211.84</v>
      </c>
      <c r="R147" s="609"/>
      <c r="S147" s="645" t="s">
        <v>409</v>
      </c>
      <c r="T147" s="660">
        <v>45838</v>
      </c>
      <c r="U147" s="677">
        <v>4165.4796446232021</v>
      </c>
      <c r="V147" s="733"/>
      <c r="W147" s="548">
        <v>45842</v>
      </c>
      <c r="X147" s="731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30"/>
      <c r="J148" s="730"/>
      <c r="K148" s="272"/>
      <c r="L148" s="340">
        <v>14</v>
      </c>
      <c r="M148" s="441" t="s">
        <v>407</v>
      </c>
      <c r="N148" s="341" t="s">
        <v>408</v>
      </c>
      <c r="O148" s="570"/>
      <c r="P148" s="477"/>
      <c r="Q148" s="343">
        <v>0</v>
      </c>
      <c r="R148" s="609"/>
      <c r="S148" s="645" t="s">
        <v>409</v>
      </c>
      <c r="T148" s="660">
        <v>45869</v>
      </c>
      <c r="U148" s="522">
        <f>(Q148/$X$145*$J$145)</f>
        <v>0</v>
      </c>
      <c r="V148" s="733"/>
      <c r="W148" s="548">
        <v>45876</v>
      </c>
      <c r="X148" s="731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30"/>
      <c r="J149" s="730"/>
      <c r="K149" s="272"/>
      <c r="L149" s="340">
        <v>14</v>
      </c>
      <c r="M149" s="441" t="s">
        <v>407</v>
      </c>
      <c r="N149" s="341" t="s">
        <v>408</v>
      </c>
      <c r="O149" s="570"/>
      <c r="P149" s="477"/>
      <c r="Q149" s="343">
        <v>542.64</v>
      </c>
      <c r="R149" s="609"/>
      <c r="S149" s="645" t="s">
        <v>409</v>
      </c>
      <c r="T149" s="660">
        <v>45900</v>
      </c>
      <c r="U149" s="672">
        <v>925.33387225555498</v>
      </c>
      <c r="V149" s="733"/>
      <c r="W149" s="548">
        <v>45905</v>
      </c>
      <c r="X149" s="731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30"/>
      <c r="J150" s="730"/>
      <c r="K150" s="272"/>
      <c r="L150" s="340">
        <v>14</v>
      </c>
      <c r="M150" s="441" t="s">
        <v>407</v>
      </c>
      <c r="N150" s="341" t="s">
        <v>408</v>
      </c>
      <c r="O150" s="570"/>
      <c r="P150" s="477"/>
      <c r="Q150" s="343">
        <v>1085.28</v>
      </c>
      <c r="R150" s="609"/>
      <c r="S150" s="645" t="s">
        <v>409</v>
      </c>
      <c r="T150" s="686">
        <v>45930</v>
      </c>
      <c r="U150" s="688">
        <f>2921.70774451111-937.88</f>
        <v>1983.8277445111098</v>
      </c>
      <c r="V150" s="733"/>
      <c r="W150" s="687">
        <v>45930</v>
      </c>
      <c r="X150" s="731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30"/>
      <c r="J151" s="730"/>
      <c r="K151" s="272"/>
      <c r="L151" s="340">
        <v>14</v>
      </c>
      <c r="M151" s="441" t="s">
        <v>407</v>
      </c>
      <c r="N151" s="341" t="s">
        <v>408</v>
      </c>
      <c r="O151" s="570"/>
      <c r="P151" s="477"/>
      <c r="Q151" s="343">
        <v>3791.54</v>
      </c>
      <c r="R151" s="609"/>
      <c r="S151" s="645" t="s">
        <v>409</v>
      </c>
      <c r="T151" s="686">
        <v>45961</v>
      </c>
      <c r="U151" s="688">
        <v>1080.8052651255412</v>
      </c>
      <c r="V151" s="733"/>
      <c r="W151" s="687">
        <v>45967</v>
      </c>
      <c r="X151" s="731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30"/>
      <c r="J152" s="730"/>
      <c r="K152" s="272"/>
      <c r="L152" s="340">
        <v>14</v>
      </c>
      <c r="M152" s="441" t="s">
        <v>407</v>
      </c>
      <c r="N152" s="341" t="s">
        <v>408</v>
      </c>
      <c r="O152" s="570"/>
      <c r="P152" s="477"/>
      <c r="Q152" s="343">
        <v>2115.3000000000002</v>
      </c>
      <c r="R152" s="609"/>
      <c r="S152" s="645" t="s">
        <v>409</v>
      </c>
      <c r="T152" s="686">
        <v>45991</v>
      </c>
      <c r="U152" s="688">
        <v>794.96</v>
      </c>
      <c r="V152" s="733"/>
      <c r="W152" s="687">
        <v>45996</v>
      </c>
      <c r="X152" s="731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30"/>
      <c r="J153" s="730"/>
      <c r="K153" s="272"/>
      <c r="L153" s="340">
        <v>14</v>
      </c>
      <c r="M153" s="441" t="s">
        <v>407</v>
      </c>
      <c r="N153" s="341" t="s">
        <v>408</v>
      </c>
      <c r="O153" s="570"/>
      <c r="P153" s="477"/>
      <c r="Q153" s="706">
        <v>533.12</v>
      </c>
      <c r="R153" s="609"/>
      <c r="S153" s="645" t="s">
        <v>409</v>
      </c>
      <c r="T153" s="686">
        <v>46022</v>
      </c>
      <c r="U153" s="688">
        <v>0</v>
      </c>
      <c r="V153" s="733"/>
      <c r="W153" s="687">
        <v>46030</v>
      </c>
      <c r="X153" s="731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30"/>
      <c r="J154" s="730"/>
      <c r="K154" s="272"/>
      <c r="L154" s="340">
        <v>14</v>
      </c>
      <c r="M154" s="441" t="s">
        <v>407</v>
      </c>
      <c r="N154" s="341" t="s">
        <v>408</v>
      </c>
      <c r="O154" s="570"/>
      <c r="P154" s="477"/>
      <c r="Q154" s="343">
        <v>971.04</v>
      </c>
      <c r="R154" s="609"/>
      <c r="S154" s="645" t="s">
        <v>409</v>
      </c>
      <c r="T154" s="686">
        <v>46053</v>
      </c>
      <c r="U154" s="522">
        <v>0</v>
      </c>
      <c r="V154" s="733"/>
      <c r="W154" s="687">
        <v>46058</v>
      </c>
      <c r="X154" s="731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30"/>
      <c r="J155" s="730"/>
      <c r="K155" s="272"/>
      <c r="L155" s="340">
        <v>14</v>
      </c>
      <c r="M155" s="441" t="s">
        <v>407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33"/>
      <c r="W155" s="591"/>
      <c r="X155" s="731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22"/>
      <c r="J156" s="722"/>
      <c r="K156" s="275"/>
      <c r="L156" s="273">
        <v>14</v>
      </c>
      <c r="M156" s="442" t="s">
        <v>407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34"/>
      <c r="W156" s="592"/>
      <c r="X156" s="726"/>
      <c r="Y156" s="488"/>
    </row>
    <row r="157" spans="1:25" ht="14.2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410</v>
      </c>
      <c r="D158" s="282" t="s">
        <v>411</v>
      </c>
      <c r="E158" s="283"/>
      <c r="F158" s="443"/>
      <c r="G158" s="284">
        <f>D194</f>
        <v>750000</v>
      </c>
      <c r="H158" s="545">
        <v>45849</v>
      </c>
      <c r="I158" s="715">
        <f>SUM(G158:G169)</f>
        <v>750000</v>
      </c>
      <c r="J158" s="715">
        <f>F194</f>
        <v>750000</v>
      </c>
      <c r="K158" s="285"/>
      <c r="L158" s="281">
        <v>15</v>
      </c>
      <c r="M158" s="351" t="s">
        <v>412</v>
      </c>
      <c r="N158" s="282" t="s">
        <v>413</v>
      </c>
      <c r="O158" s="283"/>
      <c r="P158" s="443"/>
      <c r="Q158" s="284">
        <f>714000/2</f>
        <v>357000</v>
      </c>
      <c r="R158" s="601"/>
      <c r="S158" s="638" t="s">
        <v>414</v>
      </c>
      <c r="T158" s="663">
        <v>45838</v>
      </c>
      <c r="U158" s="671">
        <v>375000</v>
      </c>
      <c r="V158" s="727">
        <f>J158-SUM(U158:U169)</f>
        <v>0</v>
      </c>
      <c r="W158" s="545">
        <v>45849</v>
      </c>
      <c r="X158" s="718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16"/>
      <c r="J159" s="716"/>
      <c r="K159" s="288"/>
      <c r="L159" s="311">
        <v>15</v>
      </c>
      <c r="M159" s="395" t="s">
        <v>412</v>
      </c>
      <c r="N159" s="313" t="s">
        <v>415</v>
      </c>
      <c r="O159" s="556"/>
      <c r="P159" s="465"/>
      <c r="Q159" s="315">
        <v>357000</v>
      </c>
      <c r="R159" s="594"/>
      <c r="S159" s="631" t="s">
        <v>414</v>
      </c>
      <c r="T159" s="651">
        <v>45838</v>
      </c>
      <c r="U159" s="665">
        <v>375000</v>
      </c>
      <c r="V159" s="728"/>
      <c r="W159" s="541">
        <v>46037</v>
      </c>
      <c r="X159" s="719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16"/>
      <c r="J160" s="716"/>
      <c r="K160" s="288"/>
      <c r="L160" s="311">
        <v>15</v>
      </c>
      <c r="M160" s="395" t="s">
        <v>412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28"/>
      <c r="W160" s="578"/>
      <c r="X160" s="719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16"/>
      <c r="J161" s="716"/>
      <c r="K161" s="288"/>
      <c r="L161" s="311">
        <v>15</v>
      </c>
      <c r="M161" s="395" t="s">
        <v>412</v>
      </c>
      <c r="N161" s="313" t="s">
        <v>416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28"/>
      <c r="W161" s="578"/>
      <c r="X161" s="719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16"/>
      <c r="J162" s="716"/>
      <c r="K162" s="288"/>
      <c r="L162" s="311">
        <v>15</v>
      </c>
      <c r="M162" s="395" t="s">
        <v>412</v>
      </c>
      <c r="N162" s="313" t="s">
        <v>417</v>
      </c>
      <c r="O162" s="556"/>
      <c r="P162" s="465"/>
      <c r="Q162" s="315">
        <v>7350</v>
      </c>
      <c r="R162" s="594" t="s">
        <v>418</v>
      </c>
      <c r="S162" s="631" t="s">
        <v>419</v>
      </c>
      <c r="T162" s="651">
        <v>45991</v>
      </c>
      <c r="U162" s="508">
        <v>0</v>
      </c>
      <c r="V162" s="728"/>
      <c r="W162" s="655">
        <v>45961</v>
      </c>
      <c r="X162" s="719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16"/>
      <c r="J163" s="716"/>
      <c r="K163" s="288"/>
      <c r="L163" s="311">
        <v>15</v>
      </c>
      <c r="M163" s="395" t="s">
        <v>412</v>
      </c>
      <c r="N163" s="313" t="s">
        <v>420</v>
      </c>
      <c r="O163" s="556"/>
      <c r="P163" s="465"/>
      <c r="Q163" s="315">
        <v>4950</v>
      </c>
      <c r="R163" s="594" t="s">
        <v>421</v>
      </c>
      <c r="S163" s="631" t="s">
        <v>422</v>
      </c>
      <c r="T163" s="651">
        <v>45991</v>
      </c>
      <c r="U163" s="508">
        <v>0</v>
      </c>
      <c r="V163" s="728"/>
      <c r="W163" s="541">
        <v>45989</v>
      </c>
      <c r="X163" s="719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16"/>
      <c r="J164" s="716"/>
      <c r="K164" s="288"/>
      <c r="L164" s="311">
        <v>15</v>
      </c>
      <c r="M164" s="395" t="s">
        <v>412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28"/>
      <c r="W164" s="578"/>
      <c r="X164" s="719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16"/>
      <c r="J165" s="716"/>
      <c r="K165" s="288"/>
      <c r="L165" s="311">
        <v>15</v>
      </c>
      <c r="M165" s="395" t="s">
        <v>412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28"/>
      <c r="W165" s="578"/>
      <c r="X165" s="719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16"/>
      <c r="J166" s="716"/>
      <c r="K166" s="288"/>
      <c r="L166" s="311">
        <v>15</v>
      </c>
      <c r="M166" s="395" t="s">
        <v>412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28"/>
      <c r="W166" s="578"/>
      <c r="X166" s="719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16"/>
      <c r="J167" s="716"/>
      <c r="K167" s="288"/>
      <c r="L167" s="311">
        <v>15</v>
      </c>
      <c r="M167" s="395" t="s">
        <v>412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28"/>
      <c r="W167" s="578"/>
      <c r="X167" s="719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16"/>
      <c r="J168" s="716"/>
      <c r="K168" s="288"/>
      <c r="L168" s="311">
        <v>15</v>
      </c>
      <c r="M168" s="395" t="s">
        <v>412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28"/>
      <c r="W168" s="578"/>
      <c r="X168" s="719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17"/>
      <c r="J169" s="717"/>
      <c r="K169" s="289"/>
      <c r="L169" s="316">
        <v>15</v>
      </c>
      <c r="M169" s="425" t="s">
        <v>412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29"/>
      <c r="W169" s="580"/>
      <c r="X169" s="720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423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424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425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426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427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428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429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430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431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432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433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434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435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436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437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438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439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440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441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428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442</v>
      </c>
      <c r="D196" s="648"/>
      <c r="E196" s="550"/>
      <c r="F196" s="648"/>
      <c r="I196" s="256"/>
      <c r="J196" s="256"/>
    </row>
    <row r="197" spans="3:10" s="112" customFormat="1">
      <c r="C197" s="648" t="s">
        <v>443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  <mergeCell ref="I21:I28"/>
    <mergeCell ref="J21:J28"/>
    <mergeCell ref="I30:I45"/>
    <mergeCell ref="J30:J45"/>
    <mergeCell ref="X30:X45"/>
    <mergeCell ref="B2:G2"/>
    <mergeCell ref="L2:Q2"/>
    <mergeCell ref="I6:I11"/>
    <mergeCell ref="J6:J11"/>
    <mergeCell ref="R2:W2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X6:X11"/>
    <mergeCell ref="V6:V11"/>
    <mergeCell ref="V13:V19"/>
    <mergeCell ref="V21:V28"/>
    <mergeCell ref="V30:V45"/>
    <mergeCell ref="X21:X28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AY18" activePane="bottomRight" state="frozen"/>
      <selection pane="topRight" activeCell="X33" sqref="X33"/>
      <selection pane="bottomLeft" activeCell="X33" sqref="X33"/>
      <selection pane="bottomRight" activeCell="BK11" sqref="BK1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444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2" t="s">
        <v>445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3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238073.65000000002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3"/>
      <c r="B4" s="195" t="s">
        <v>446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4523399.3500000006</v>
      </c>
      <c r="BM4" s="198">
        <f t="shared" si="5"/>
        <v>4523399.3500000006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3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3"/>
      <c r="B6" s="199" t="s">
        <v>447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3"/>
      <c r="B7" s="204" t="s">
        <v>448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116558.34748514835</v>
      </c>
      <c r="BM7" s="207">
        <f t="shared" si="16"/>
        <v>116558.34748514835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2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3"/>
      <c r="B9" s="209" t="s">
        <v>449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3"/>
      <c r="B10" s="209" t="s">
        <v>450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3"/>
      <c r="B11" s="212" t="s">
        <v>451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44524.892500000002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44224</v>
      </c>
      <c r="BL11" s="214">
        <f>SUMIFS('Expenditure Breakdown'!$Q$6:$Q$177, 'Expenditure Breakdown'!$W$6:$W$177, "&gt;="&amp;BL1,'Expenditure Breakdown'!$W$6:$W$177, "&lt;"&amp;BM1)</f>
        <v>13977.96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59518.412500000006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79700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3"/>
      <c r="B12" s="212" t="s">
        <v>452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3723294.4175000004</v>
      </c>
      <c r="BI12" s="214">
        <f t="shared" si="26"/>
        <v>3723294.4175000004</v>
      </c>
      <c r="BJ12" s="214">
        <f t="shared" si="26"/>
        <v>3723294.4175000004</v>
      </c>
      <c r="BK12" s="214">
        <f t="shared" si="26"/>
        <v>3767518.4175000004</v>
      </c>
      <c r="BL12" s="214">
        <f t="shared" si="26"/>
        <v>3781496.3775000004</v>
      </c>
      <c r="BM12" s="214">
        <f t="shared" si="26"/>
        <v>3781496.3775000004</v>
      </c>
      <c r="BN12" s="214">
        <f t="shared" si="26"/>
        <v>3781496.3775000004</v>
      </c>
      <c r="BO12" s="214">
        <f t="shared" si="26"/>
        <v>3781496.3775000004</v>
      </c>
      <c r="BP12" s="214">
        <f t="shared" si="26"/>
        <v>3841014.7900000005</v>
      </c>
      <c r="BQ12" s="214">
        <f t="shared" si="26"/>
        <v>3841014.7900000005</v>
      </c>
      <c r="BR12" s="214">
        <f t="shared" si="26"/>
        <v>3841014.7900000005</v>
      </c>
      <c r="BS12" s="214">
        <f t="shared" si="26"/>
        <v>3841014.7900000005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3"/>
      <c r="B14" s="204" t="s">
        <v>453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1038178.5824999996</v>
      </c>
      <c r="BI14" s="207">
        <f t="shared" si="32"/>
        <v>1038178.5824999996</v>
      </c>
      <c r="BJ14" s="207">
        <f t="shared" si="32"/>
        <v>1038178.5824999996</v>
      </c>
      <c r="BK14" s="207">
        <f t="shared" si="32"/>
        <v>993954.58249999955</v>
      </c>
      <c r="BL14" s="207">
        <f t="shared" si="32"/>
        <v>979976.62249999959</v>
      </c>
      <c r="BM14" s="207">
        <f t="shared" si="32"/>
        <v>979976.62249999959</v>
      </c>
      <c r="BN14" s="207">
        <f t="shared" si="32"/>
        <v>979976.62249999959</v>
      </c>
      <c r="BO14" s="207">
        <f t="shared" si="32"/>
        <v>979976.62249999959</v>
      </c>
      <c r="BP14" s="207">
        <f t="shared" si="32"/>
        <v>920458.2099999995</v>
      </c>
      <c r="BQ14" s="207">
        <f t="shared" si="32"/>
        <v>920458.2099999995</v>
      </c>
      <c r="BR14" s="207">
        <f t="shared" si="32"/>
        <v>920458.2099999995</v>
      </c>
      <c r="BS14" s="207">
        <f t="shared" si="32"/>
        <v>920458.2099999995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4"/>
      <c r="B17" s="195" t="s">
        <v>454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4"/>
      <c r="B18" s="195" t="s">
        <v>455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9765625" defaultRowHeight="14.25"/>
  <cols>
    <col min="1" max="1" width="39.3984375" style="366" bestFit="1" customWidth="1"/>
    <col min="2" max="2" width="17.1328125" style="367" bestFit="1" customWidth="1"/>
    <col min="3" max="3" width="12" style="366" bestFit="1" customWidth="1"/>
    <col min="4" max="5" width="15" style="366" bestFit="1" customWidth="1"/>
    <col min="6" max="6" width="12" style="366" bestFit="1" customWidth="1"/>
    <col min="7" max="7" width="13.1328125" style="366" bestFit="1" customWidth="1"/>
    <col min="8" max="9" width="12" style="366" bestFit="1" customWidth="1"/>
    <col min="10" max="10" width="11.59765625" style="366" bestFit="1" customWidth="1"/>
    <col min="11" max="11" width="12" style="366" bestFit="1" customWidth="1"/>
    <col min="12" max="12" width="5" style="366" bestFit="1" customWidth="1"/>
    <col min="13" max="13" width="10.59765625" style="366" bestFit="1" customWidth="1"/>
    <col min="14" max="14" width="13" style="366" bestFit="1" customWidth="1"/>
    <col min="15" max="15" width="15" style="366" bestFit="1" customWidth="1"/>
    <col min="16" max="16" width="14.398437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456</v>
      </c>
      <c r="B3" s="452" t="s">
        <v>457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460</v>
      </c>
      <c r="P4"/>
      <c r="Q4"/>
      <c r="R4"/>
      <c r="S4"/>
      <c r="T4"/>
    </row>
    <row r="5" spans="1:20">
      <c r="A5" s="453" t="s">
        <v>459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407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412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460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3984375" defaultRowHeight="14.25"/>
  <cols>
    <col min="1" max="1" width="21.59765625" bestFit="1" customWidth="1"/>
    <col min="2" max="2" width="17.1328125" style="413" bestFit="1" customWidth="1"/>
    <col min="3" max="3" width="12" style="413" bestFit="1" customWidth="1"/>
    <col min="4" max="5" width="15" style="413" bestFit="1" customWidth="1"/>
    <col min="6" max="6" width="12" style="413" bestFit="1" customWidth="1"/>
    <col min="7" max="7" width="13.1328125" style="413" bestFit="1" customWidth="1"/>
    <col min="8" max="8" width="12" style="413" bestFit="1" customWidth="1"/>
    <col min="9" max="9" width="13.1328125" style="413" bestFit="1" customWidth="1"/>
    <col min="10" max="12" width="12" bestFit="1" customWidth="1"/>
    <col min="13" max="13" width="5" bestFit="1" customWidth="1"/>
    <col min="14" max="14" width="13.1328125" bestFit="1" customWidth="1"/>
    <col min="15" max="15" width="15" bestFit="1" customWidth="1"/>
    <col min="16" max="16" width="17.3984375" bestFit="1" customWidth="1"/>
    <col min="17" max="18" width="11.59765625" bestFit="1" customWidth="1"/>
    <col min="19" max="19" width="13.3984375" bestFit="1" customWidth="1"/>
  </cols>
  <sheetData>
    <row r="3" spans="1:16">
      <c r="A3" s="452" t="s">
        <v>461</v>
      </c>
      <c r="B3" s="452" t="s">
        <v>457</v>
      </c>
      <c r="C3"/>
      <c r="D3"/>
      <c r="E3"/>
      <c r="F3"/>
      <c r="G3"/>
      <c r="H3"/>
      <c r="I3"/>
    </row>
    <row r="4" spans="1:16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460</v>
      </c>
    </row>
    <row r="5" spans="1:16">
      <c r="A5" s="453" t="s">
        <v>459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407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412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460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807" t="s">
        <v>462</v>
      </c>
      <c r="C2" s="807"/>
      <c r="D2" s="807"/>
      <c r="E2" s="807"/>
      <c r="H2" s="808" t="s">
        <v>463</v>
      </c>
      <c r="I2" s="809"/>
      <c r="J2" s="809"/>
      <c r="K2" s="809"/>
      <c r="L2" s="809"/>
      <c r="M2" s="809"/>
      <c r="N2" s="809"/>
      <c r="O2" s="810"/>
    </row>
    <row r="3" spans="2:15">
      <c r="B3" s="692"/>
      <c r="H3" s="811"/>
      <c r="I3" s="812"/>
      <c r="J3" s="812"/>
      <c r="K3" s="812"/>
      <c r="L3" s="812"/>
      <c r="M3" s="812"/>
      <c r="N3" s="812"/>
      <c r="O3" s="813"/>
    </row>
    <row r="4" spans="2:15">
      <c r="B4" s="693" t="s">
        <v>464</v>
      </c>
      <c r="C4" s="694" t="str">
        <f>'Project Plan'!E2</f>
        <v>Pretoria North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93" t="s">
        <v>465</v>
      </c>
      <c r="C5" s="694" t="s">
        <v>466</v>
      </c>
      <c r="H5" s="811"/>
      <c r="I5" s="812"/>
      <c r="J5" s="812"/>
      <c r="K5" s="812"/>
      <c r="L5" s="812"/>
      <c r="M5" s="812"/>
      <c r="N5" s="812"/>
      <c r="O5" s="813"/>
    </row>
    <row r="6" spans="2:15">
      <c r="B6" s="693" t="s">
        <v>467</v>
      </c>
      <c r="C6" s="694" t="s">
        <v>468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93" t="s">
        <v>469</v>
      </c>
      <c r="C7" s="694" t="s">
        <v>77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92"/>
      <c r="H8" s="811"/>
      <c r="I8" s="812"/>
      <c r="J8" s="812"/>
      <c r="K8" s="812"/>
      <c r="L8" s="812"/>
      <c r="M8" s="812"/>
      <c r="N8" s="812"/>
      <c r="O8" s="813"/>
    </row>
    <row r="9" spans="2:15">
      <c r="B9" s="817" t="s">
        <v>470</v>
      </c>
      <c r="C9" s="817"/>
      <c r="D9" s="817"/>
      <c r="E9" s="81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1"/>
      <c r="I9" s="812"/>
      <c r="J9" s="812"/>
      <c r="K9" s="812"/>
      <c r="L9" s="812"/>
      <c r="M9" s="812"/>
      <c r="N9" s="812"/>
      <c r="O9" s="813"/>
    </row>
    <row r="10" spans="2:15" ht="14.65" thickBot="1">
      <c r="B10" s="817" t="s">
        <v>471</v>
      </c>
      <c r="C10" s="817"/>
      <c r="D10" s="817"/>
      <c r="E10" s="817"/>
      <c r="H10" s="814"/>
      <c r="I10" s="815"/>
      <c r="J10" s="815"/>
      <c r="K10" s="815"/>
      <c r="L10" s="815"/>
      <c r="M10" s="815"/>
      <c r="N10" s="815"/>
      <c r="O10" s="816"/>
    </row>
    <row r="11" spans="2:15">
      <c r="B11" s="695" t="s">
        <v>472</v>
      </c>
      <c r="C11" s="805" t="s">
        <v>473</v>
      </c>
      <c r="D11" s="805"/>
      <c r="E11" s="805"/>
    </row>
    <row r="12" spans="2:15">
      <c r="B12" s="695" t="s">
        <v>474</v>
      </c>
      <c r="C12" s="805" t="s">
        <v>473</v>
      </c>
      <c r="D12" s="805"/>
      <c r="E12" s="805"/>
    </row>
    <row r="13" spans="2:15">
      <c r="B13" s="695" t="s">
        <v>475</v>
      </c>
      <c r="C13" s="805" t="s">
        <v>473</v>
      </c>
      <c r="D13" s="805"/>
      <c r="E13" s="805"/>
    </row>
    <row r="14" spans="2:15">
      <c r="B14" s="695" t="s">
        <v>476</v>
      </c>
      <c r="C14" s="805" t="s">
        <v>477</v>
      </c>
      <c r="D14" s="805"/>
      <c r="E14" s="805"/>
    </row>
    <row r="15" spans="2:15">
      <c r="B15" s="695" t="s">
        <v>478</v>
      </c>
      <c r="C15" s="805" t="s">
        <v>479</v>
      </c>
      <c r="D15" s="805"/>
      <c r="E15" s="805"/>
    </row>
    <row r="16" spans="2:15" ht="15" customHeight="1">
      <c r="B16" s="695" t="s">
        <v>480</v>
      </c>
      <c r="C16" s="805" t="s">
        <v>481</v>
      </c>
      <c r="D16" s="805"/>
      <c r="E16" s="805"/>
    </row>
    <row r="17" spans="2:5">
      <c r="B17" s="692"/>
    </row>
    <row r="18" spans="2:5">
      <c r="B18" s="806" t="s">
        <v>482</v>
      </c>
      <c r="C18" s="806"/>
      <c r="D18" s="806"/>
      <c r="E18" s="806"/>
    </row>
    <row r="19" spans="2:5">
      <c r="B19" s="695" t="s">
        <v>483</v>
      </c>
      <c r="C19" s="695" t="s">
        <v>484</v>
      </c>
      <c r="D19" s="695" t="s">
        <v>485</v>
      </c>
      <c r="E19" s="695" t="s">
        <v>62</v>
      </c>
    </row>
    <row r="20" spans="2:5" ht="15" customHeight="1">
      <c r="B20" s="695" t="s">
        <v>486</v>
      </c>
      <c r="C20" s="695" t="s">
        <v>487</v>
      </c>
      <c r="D20" s="696" t="s">
        <v>488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489</v>
      </c>
    </row>
    <row r="2" spans="1:4">
      <c r="A2" s="819"/>
      <c r="B2" s="819"/>
      <c r="C2" s="819"/>
      <c r="D2" s="71"/>
    </row>
    <row r="3" spans="1:4">
      <c r="A3" s="818" t="s">
        <v>490</v>
      </c>
      <c r="B3" s="818"/>
      <c r="C3" s="818"/>
      <c r="D3" s="111">
        <v>0.32</v>
      </c>
    </row>
    <row r="4" spans="1:4">
      <c r="A4" s="818" t="s">
        <v>431</v>
      </c>
      <c r="B4" s="818"/>
      <c r="C4" s="818"/>
      <c r="D4" s="111">
        <v>0.5</v>
      </c>
    </row>
    <row r="5" spans="1:4">
      <c r="A5" s="818" t="s">
        <v>442</v>
      </c>
      <c r="B5" s="818"/>
      <c r="C5" s="818"/>
      <c r="D5" s="111">
        <v>0.15</v>
      </c>
    </row>
    <row r="6" spans="1:4">
      <c r="A6" s="818" t="s">
        <v>491</v>
      </c>
      <c r="B6" s="818"/>
      <c r="C6" s="81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0" t="s">
        <v>492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</row>
    <row r="4" spans="2:14" ht="13.15">
      <c r="B4" s="92" t="s">
        <v>493</v>
      </c>
      <c r="C4" s="86"/>
      <c r="D4" s="90" t="s">
        <v>494</v>
      </c>
      <c r="E4" s="95"/>
      <c r="F4" s="90" t="s">
        <v>495</v>
      </c>
      <c r="H4" s="90" t="s">
        <v>496</v>
      </c>
      <c r="I4" s="95"/>
      <c r="J4" s="90" t="s">
        <v>497</v>
      </c>
      <c r="L4" s="90" t="s">
        <v>496</v>
      </c>
      <c r="M4" s="90"/>
      <c r="N4" s="90" t="s">
        <v>498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499</v>
      </c>
      <c r="H7" s="99"/>
      <c r="I7" s="95"/>
      <c r="J7" s="107" t="s">
        <v>499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502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499</v>
      </c>
      <c r="H15" s="99"/>
      <c r="I15" s="95"/>
      <c r="J15" s="107" t="s">
        <v>499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503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499</v>
      </c>
      <c r="H21" s="99"/>
      <c r="I21" s="95"/>
      <c r="J21" s="107" t="s">
        <v>499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502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499</v>
      </c>
      <c r="H27" s="99"/>
      <c r="I27" s="95"/>
      <c r="J27" s="107" t="s">
        <v>499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499</v>
      </c>
      <c r="H34" s="99"/>
      <c r="I34" s="95"/>
      <c r="J34" s="107" t="s">
        <v>499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0" t="s">
        <v>513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  <c r="O2" s="820"/>
    </row>
    <row r="4" spans="2:15" ht="13.15">
      <c r="B4" s="92" t="s">
        <v>493</v>
      </c>
      <c r="C4" s="86"/>
      <c r="D4" s="90" t="s">
        <v>494</v>
      </c>
      <c r="E4" s="95"/>
      <c r="F4" s="95"/>
      <c r="G4" s="90" t="s">
        <v>514</v>
      </c>
      <c r="H4" s="96"/>
      <c r="J4" s="90" t="s">
        <v>496</v>
      </c>
      <c r="L4" s="90" t="s">
        <v>515</v>
      </c>
      <c r="M4" s="96"/>
      <c r="O4" s="90" t="s">
        <v>496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493</v>
      </c>
      <c r="C18" s="86"/>
      <c r="D18" s="90" t="s">
        <v>494</v>
      </c>
      <c r="E18" s="95"/>
      <c r="F18" s="95"/>
      <c r="G18" s="90" t="s">
        <v>517</v>
      </c>
      <c r="H18" s="96"/>
      <c r="J18" s="90" t="s">
        <v>496</v>
      </c>
      <c r="L18" s="90" t="s">
        <v>518</v>
      </c>
      <c r="M18" s="96"/>
      <c r="O18" s="90" t="s">
        <v>496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524</v>
      </c>
      <c r="C32" s="103"/>
      <c r="D32" s="103"/>
    </row>
    <row r="33" spans="2:4" ht="13.15" thickTop="1"/>
    <row r="34" spans="2:4">
      <c r="B34" s="88" t="s">
        <v>494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22" t="str">
        <f>D15</f>
        <v>Pretoria North</v>
      </c>
      <c r="C1" s="822"/>
      <c r="D1" s="822"/>
      <c r="E1" s="821" t="s">
        <v>526</v>
      </c>
      <c r="F1" s="821"/>
      <c r="G1" s="821"/>
      <c r="H1" s="821"/>
      <c r="I1" s="821"/>
      <c r="J1" s="821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