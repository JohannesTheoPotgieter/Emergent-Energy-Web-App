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8" documentId="13_ncr:1_{3ECD668F-DBB6-42A3-9FAB-1C780F61CF9D}" xr6:coauthVersionLast="47" xr6:coauthVersionMax="47" xr10:uidLastSave="{AD23AD25-F547-4F6A-A66D-2A4F6342B2A9}"/>
  <bookViews>
    <workbookView minimized="1" xWindow="32220" yWindow="3420" windowWidth="14400" windowHeight="7275" tabRatio="80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98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<sst xmlns="http://schemas.openxmlformats.org/spreadsheetml/2006/main" count="878" uniqueCount="464">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</sst>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434015.93546541443</c:v>
                </c:pt>
                <c:pt idx="21">
                  <c:v>508332.52546541445</c:v>
                </c:pt>
                <c:pt idx="22">
                  <c:v>520910.02546541445</c:v>
                </c:pt>
                <c:pt idx="23">
                  <c:v>887288.36546541448</c:v>
                </c:pt>
                <c:pt idx="24">
                  <c:v>900846.68346541445</c:v>
                </c:pt>
                <c:pt idx="25">
                  <c:v>901371.68346541445</c:v>
                </c:pt>
                <c:pt idx="26">
                  <c:v>901371.68346541445</c:v>
                </c:pt>
                <c:pt idx="27">
                  <c:v>901371.68346541445</c:v>
                </c:pt>
                <c:pt idx="28">
                  <c:v>901371.68346541445</c:v>
                </c:pt>
                <c:pt idx="29">
                  <c:v>901896.68346541445</c:v>
                </c:pt>
                <c:pt idx="30">
                  <c:v>901896.68346541445</c:v>
                </c:pt>
                <c:pt idx="31">
                  <c:v>901896.68346541445</c:v>
                </c:pt>
                <c:pt idx="32">
                  <c:v>901896.68346541445</c:v>
                </c:pt>
                <c:pt idx="33">
                  <c:v>901896.68346541445</c:v>
                </c:pt>
                <c:pt idx="34">
                  <c:v>901896.68346541445</c:v>
                </c:pt>
                <c:pt idx="35">
                  <c:v>901896.68346541445</c:v>
                </c:pt>
                <c:pt idx="36">
                  <c:v>901896.68346541445</c:v>
                </c:pt>
                <c:pt idx="37">
                  <c:v>901896.68346541445</c:v>
                </c:pt>
                <c:pt idx="38">
                  <c:v>901896.68346541445</c:v>
                </c:pt>
                <c:pt idx="39">
                  <c:v>901896.68346541445</c:v>
                </c:pt>
                <c:pt idx="40">
                  <c:v>901896.68346541445</c:v>
                </c:pt>
                <c:pt idx="41">
                  <c:v>901896.68346541445</c:v>
                </c:pt>
                <c:pt idx="42">
                  <c:v>901896.68346541445</c:v>
                </c:pt>
                <c:pt idx="43">
                  <c:v>901896.68346541445</c:v>
                </c:pt>
                <c:pt idx="44">
                  <c:v>901896.68346541445</c:v>
                </c:pt>
                <c:pt idx="45">
                  <c:v>901896.68346541445</c:v>
                </c:pt>
                <c:pt idx="46">
                  <c:v>901896.68346541445</c:v>
                </c:pt>
                <c:pt idx="47">
                  <c:v>901896.68346541445</c:v>
                </c:pt>
                <c:pt idx="48">
                  <c:v>901896.68346541445</c:v>
                </c:pt>
                <c:pt idx="49">
                  <c:v>901896.68346541445</c:v>
                </c:pt>
                <c:pt idx="50">
                  <c:v>901896.68346541445</c:v>
                </c:pt>
                <c:pt idx="51">
                  <c:v>901896.68346541445</c:v>
                </c:pt>
                <c:pt idx="52">
                  <c:v>901896.68346541445</c:v>
                </c:pt>
                <c:pt idx="53">
                  <c:v>901896.68346541445</c:v>
                </c:pt>
                <c:pt idx="54">
                  <c:v>901896.68346541445</c:v>
                </c:pt>
                <c:pt idx="55">
                  <c:v>901896.68346541445</c:v>
                </c:pt>
                <c:pt idx="56">
                  <c:v>901896.68346541445</c:v>
                </c:pt>
                <c:pt idx="57">
                  <c:v>901896.68346541445</c:v>
                </c:pt>
                <c:pt idx="58">
                  <c:v>901896.68346541445</c:v>
                </c:pt>
                <c:pt idx="59">
                  <c:v>901896.68346541445</c:v>
                </c:pt>
                <c:pt idx="60">
                  <c:v>901896.68346541445</c:v>
                </c:pt>
                <c:pt idx="61">
                  <c:v>901896.68346541445</c:v>
                </c:pt>
                <c:pt idx="62">
                  <c:v>901896.68346541445</c:v>
                </c:pt>
                <c:pt idx="63">
                  <c:v>901896.68346541445</c:v>
                </c:pt>
                <c:pt idx="64">
                  <c:v>901896.68346541445</c:v>
                </c:pt>
                <c:pt idx="65">
                  <c:v>901896.68346541445</c:v>
                </c:pt>
                <c:pt idx="66">
                  <c:v>901896.68346541445</c:v>
                </c:pt>
                <c:pt idx="67">
                  <c:v>901896.68346541445</c:v>
                </c:pt>
                <c:pt idx="68">
                  <c:v>901896.68346541445</c:v>
                </c:pt>
                <c:pt idx="69">
                  <c:v>901896.68346541445</c:v>
                </c:pt>
                <c:pt idx="70">
                  <c:v>901896.68346541445</c:v>
                </c:pt>
                <c:pt idx="71">
                  <c:v>901896.68346541445</c:v>
                </c:pt>
                <c:pt idx="72">
                  <c:v>901896.68346541445</c:v>
                </c:pt>
                <c:pt idx="73">
                  <c:v>901896.68346541445</c:v>
                </c:pt>
                <c:pt idx="74">
                  <c:v>901896.68346541445</c:v>
                </c:pt>
                <c:pt idx="75">
                  <c:v>901896.68346541445</c:v>
                </c:pt>
                <c:pt idx="76">
                  <c:v>901896.68346541445</c:v>
                </c:pt>
                <c:pt idx="77">
                  <c:v>901896.68346541445</c:v>
                </c:pt>
                <c:pt idx="78">
                  <c:v>901896.68346541445</c:v>
                </c:pt>
                <c:pt idx="79">
                  <c:v>901896.68346541445</c:v>
                </c:pt>
                <c:pt idx="80">
                  <c:v>901896.68346541445</c:v>
                </c:pt>
                <c:pt idx="81">
                  <c:v>901896.68346541445</c:v>
                </c:pt>
                <c:pt idx="82">
                  <c:v>901896.68346541445</c:v>
                </c:pt>
                <c:pt idx="83">
                  <c:v>901896.68346541445</c:v>
                </c:pt>
                <c:pt idx="84">
                  <c:v>901896.68346541445</c:v>
                </c:pt>
                <c:pt idx="85">
                  <c:v>901896.68346541445</c:v>
                </c:pt>
                <c:pt idx="86">
                  <c:v>901896.68346541445</c:v>
                </c:pt>
                <c:pt idx="87">
                  <c:v>901896.68346541445</c:v>
                </c:pt>
                <c:pt idx="88">
                  <c:v>901896.68346541445</c:v>
                </c:pt>
                <c:pt idx="89">
                  <c:v>901896.68346541445</c:v>
                </c:pt>
                <c:pt idx="90">
                  <c:v>901896.68346541445</c:v>
                </c:pt>
                <c:pt idx="91">
                  <c:v>901896.68346541445</c:v>
                </c:pt>
                <c:pt idx="92">
                  <c:v>901896.68346541445</c:v>
                </c:pt>
                <c:pt idx="93">
                  <c:v>901896.68346541445</c:v>
                </c:pt>
                <c:pt idx="94">
                  <c:v>901896.68346541445</c:v>
                </c:pt>
                <c:pt idx="95">
                  <c:v>901896.68346541445</c:v>
                </c:pt>
                <c:pt idx="96">
                  <c:v>901896.68346541445</c:v>
                </c:pt>
                <c:pt idx="97">
                  <c:v>901896.68346541445</c:v>
                </c:pt>
                <c:pt idx="98">
                  <c:v>901896.68346541445</c:v>
                </c:pt>
                <c:pt idx="99">
                  <c:v>901896.68346541445</c:v>
                </c:pt>
                <c:pt idx="100">
                  <c:v>901896.68346541445</c:v>
                </c:pt>
                <c:pt idx="101">
                  <c:v>901896.68346541445</c:v>
                </c:pt>
                <c:pt idx="102">
                  <c:v>901896.68346541445</c:v>
                </c:pt>
                <c:pt idx="103">
                  <c:v>901896.68346541445</c:v>
                </c:pt>
                <c:pt idx="104">
                  <c:v>901896.68346541445</c:v>
                </c:pt>
                <c:pt idx="105">
                  <c:v>901896.68346541445</c:v>
                </c:pt>
                <c:pt idx="106">
                  <c:v>901896.68346541445</c:v>
                </c:pt>
                <c:pt idx="107">
                  <c:v>901896.68346541445</c:v>
                </c:pt>
                <c:pt idx="108">
                  <c:v>901896.68346541445</c:v>
                </c:pt>
                <c:pt idx="109">
                  <c:v>901896.68346541445</c:v>
                </c:pt>
                <c:pt idx="110">
                  <c:v>901896.68346541445</c:v>
                </c:pt>
                <c:pt idx="111">
                  <c:v>901896.68346541445</c:v>
                </c:pt>
                <c:pt idx="112">
                  <c:v>901896.68346541445</c:v>
                </c:pt>
                <c:pt idx="113">
                  <c:v>901896.68346541445</c:v>
                </c:pt>
                <c:pt idx="114">
                  <c:v>901896.68346541445</c:v>
                </c:pt>
                <c:pt idx="115">
                  <c:v>901896.68346541445</c:v>
                </c:pt>
                <c:pt idx="116">
                  <c:v>901896.68346541445</c:v>
                </c:pt>
                <c:pt idx="117">
                  <c:v>901896.68346541445</c:v>
                </c:pt>
                <c:pt idx="118">
                  <c:v>901896.68346541445</c:v>
                </c:pt>
                <c:pt idx="119">
                  <c:v>901896.68346541445</c:v>
                </c:pt>
                <c:pt idx="120">
                  <c:v>901896.68346541445</c:v>
                </c:pt>
                <c:pt idx="121">
                  <c:v>901896.68346541445</c:v>
                </c:pt>
                <c:pt idx="122">
                  <c:v>901896.68346541445</c:v>
                </c:pt>
                <c:pt idx="123">
                  <c:v>901896.68346541445</c:v>
                </c:pt>
                <c:pt idx="124">
                  <c:v>901896.68346541445</c:v>
                </c:pt>
                <c:pt idx="125">
                  <c:v>901896.68346541445</c:v>
                </c:pt>
                <c:pt idx="126">
                  <c:v>901896.68346541445</c:v>
                </c:pt>
                <c:pt idx="127">
                  <c:v>901896.68346541445</c:v>
                </c:pt>
                <c:pt idx="128">
                  <c:v>901896.68346541445</c:v>
                </c:pt>
                <c:pt idx="129">
                  <c:v>901896.68346541445</c:v>
                </c:pt>
                <c:pt idx="130">
                  <c:v>901896.68346541445</c:v>
                </c:pt>
                <c:pt idx="131">
                  <c:v>901896.68346541445</c:v>
                </c:pt>
                <c:pt idx="132">
                  <c:v>901896.68346541445</c:v>
                </c:pt>
                <c:pt idx="133">
                  <c:v>901896.68346541445</c:v>
                </c:pt>
                <c:pt idx="134">
                  <c:v>901896.68346541445</c:v>
                </c:pt>
                <c:pt idx="135">
                  <c:v>901896.68346541445</c:v>
                </c:pt>
                <c:pt idx="136">
                  <c:v>901896.68346541445</c:v>
                </c:pt>
                <c:pt idx="137">
                  <c:v>901896.68346541445</c:v>
                </c:pt>
                <c:pt idx="138">
                  <c:v>901896.68346541445</c:v>
                </c:pt>
                <c:pt idx="139">
                  <c:v>901896.68346541445</c:v>
                </c:pt>
                <c:pt idx="140">
                  <c:v>901896.68346541445</c:v>
                </c:pt>
                <c:pt idx="141">
                  <c:v>901896.68346541445</c:v>
                </c:pt>
                <c:pt idx="142">
                  <c:v>901896.68346541445</c:v>
                </c:pt>
                <c:pt idx="143">
                  <c:v>901896.68346541445</c:v>
                </c:pt>
                <c:pt idx="144">
                  <c:v>901896.68346541445</c:v>
                </c:pt>
                <c:pt idx="145">
                  <c:v>901896.68346541445</c:v>
                </c:pt>
                <c:pt idx="146">
                  <c:v>901896.68346541445</c:v>
                </c:pt>
                <c:pt idx="147">
                  <c:v>901896.68346541445</c:v>
                </c:pt>
                <c:pt idx="148">
                  <c:v>901896.68346541445</c:v>
                </c:pt>
                <c:pt idx="149">
                  <c:v>901896.68346541445</c:v>
                </c:pt>
                <c:pt idx="150">
                  <c:v>901896.68346541445</c:v>
                </c:pt>
                <c:pt idx="151">
                  <c:v>901896.68346541445</c:v>
                </c:pt>
                <c:pt idx="152">
                  <c:v>901896.68346541445</c:v>
                </c:pt>
                <c:pt idx="153">
                  <c:v>901896.68346541445</c:v>
                </c:pt>
                <c:pt idx="154">
                  <c:v>901896.68346541445</c:v>
                </c:pt>
                <c:pt idx="155">
                  <c:v>901896.68346541445</c:v>
                </c:pt>
                <c:pt idx="156">
                  <c:v>901896.68346541445</c:v>
                </c:pt>
                <c:pt idx="157">
                  <c:v>901896.68346541445</c:v>
                </c:pt>
                <c:pt idx="158">
                  <c:v>901896.68346541445</c:v>
                </c:pt>
                <c:pt idx="159">
                  <c:v>901896.68346541445</c:v>
                </c:pt>
                <c:pt idx="160">
                  <c:v>901896.68346541445</c:v>
                </c:pt>
                <c:pt idx="161">
                  <c:v>901896.68346541445</c:v>
                </c:pt>
                <c:pt idx="162">
                  <c:v>901896.68346541445</c:v>
                </c:pt>
                <c:pt idx="163">
                  <c:v>901896.68346541445</c:v>
                </c:pt>
                <c:pt idx="164">
                  <c:v>901896.68346541445</c:v>
                </c:pt>
                <c:pt idx="165">
                  <c:v>901896.68346541445</c:v>
                </c:pt>
                <c:pt idx="166">
                  <c:v>901896.68346541445</c:v>
                </c:pt>
                <c:pt idx="167">
                  <c:v>901896.68346541445</c:v>
                </c:pt>
                <c:pt idx="168">
                  <c:v>901896.68346541445</c:v>
                </c:pt>
                <c:pt idx="169">
                  <c:v>901896.68346541445</c:v>
                </c:pt>
                <c:pt idx="170">
                  <c:v>901896.68346541445</c:v>
                </c:pt>
                <c:pt idx="171">
                  <c:v>901896.68346541445</c:v>
                </c:pt>
                <c:pt idx="172">
                  <c:v>901896.68346541445</c:v>
                </c:pt>
                <c:pt idx="173">
                  <c:v>901896.68346541445</c:v>
                </c:pt>
                <c:pt idx="174">
                  <c:v>901896.68346541445</c:v>
                </c:pt>
                <c:pt idx="175">
                  <c:v>901896.68346541445</c:v>
                </c:pt>
                <c:pt idx="176">
                  <c:v>901896.68346541445</c:v>
                </c:pt>
                <c:pt idx="177">
                  <c:v>901896.68346541445</c:v>
                </c:pt>
                <c:pt idx="178">
                  <c:v>901896.68346541445</c:v>
                </c:pt>
                <c:pt idx="179">
                  <c:v>901896.68346541445</c:v>
                </c:pt>
                <c:pt idx="180">
                  <c:v>901896.68346541445</c:v>
                </c:pt>
                <c:pt idx="181">
                  <c:v>901896.68346541445</c:v>
                </c:pt>
                <c:pt idx="182">
                  <c:v>901896.68346541445</c:v>
                </c:pt>
                <c:pt idx="183">
                  <c:v>901896.68346541445</c:v>
                </c:pt>
                <c:pt idx="184">
                  <c:v>901896.68346541445</c:v>
                </c:pt>
                <c:pt idx="185">
                  <c:v>901896.68346541445</c:v>
                </c:pt>
                <c:pt idx="186">
                  <c:v>901896.68346541445</c:v>
                </c:pt>
                <c:pt idx="187">
                  <c:v>901896.68346541445</c:v>
                </c:pt>
                <c:pt idx="188">
                  <c:v>901896.68346541445</c:v>
                </c:pt>
                <c:pt idx="189">
                  <c:v>901896.68346541445</c:v>
                </c:pt>
                <c:pt idx="190">
                  <c:v>901896.68346541445</c:v>
                </c:pt>
                <c:pt idx="191">
                  <c:v>901896.68346541445</c:v>
                </c:pt>
                <c:pt idx="192">
                  <c:v>901896.68346541445</c:v>
                </c:pt>
                <c:pt idx="193">
                  <c:v>901896.68346541445</c:v>
                </c:pt>
                <c:pt idx="194">
                  <c:v>901896.68346541445</c:v>
                </c:pt>
                <c:pt idx="195">
                  <c:v>901896.68346541445</c:v>
                </c:pt>
                <c:pt idx="196">
                  <c:v>901896.68346541445</c:v>
                </c:pt>
                <c:pt idx="197">
                  <c:v>901896.68346541445</c:v>
                </c:pt>
                <c:pt idx="198">
                  <c:v>901896.68346541445</c:v>
                </c:pt>
                <c:pt idx="199">
                  <c:v>901896.68346541445</c:v>
                </c:pt>
                <c:pt idx="200">
                  <c:v>901896.68346541445</c:v>
                </c:pt>
                <c:pt idx="201">
                  <c:v>901896.68346541445</c:v>
                </c:pt>
                <c:pt idx="202">
                  <c:v>901896.68346541445</c:v>
                </c:pt>
                <c:pt idx="203">
                  <c:v>901896.68346541445</c:v>
                </c:pt>
                <c:pt idx="204">
                  <c:v>901896.68346541445</c:v>
                </c:pt>
                <c:pt idx="205">
                  <c:v>901896.68346541445</c:v>
                </c:pt>
                <c:pt idx="206">
                  <c:v>901896.68346541445</c:v>
                </c:pt>
                <c:pt idx="207">
                  <c:v>901896.68346541445</c:v>
                </c:pt>
                <c:pt idx="208">
                  <c:v>901896.68346541445</c:v>
                </c:pt>
                <c:pt idx="209">
                  <c:v>901896.68346541445</c:v>
                </c:pt>
                <c:pt idx="210">
                  <c:v>901896.68346541445</c:v>
                </c:pt>
                <c:pt idx="211">
                  <c:v>901896.68346541445</c:v>
                </c:pt>
                <c:pt idx="212">
                  <c:v>901896.68346541445</c:v>
                </c:pt>
                <c:pt idx="213">
                  <c:v>901896.68346541445</c:v>
                </c:pt>
                <c:pt idx="214">
                  <c:v>901896.68346541445</c:v>
                </c:pt>
                <c:pt idx="215">
                  <c:v>901896.68346541445</c:v>
                </c:pt>
                <c:pt idx="216">
                  <c:v>901896.68346541445</c:v>
                </c:pt>
                <c:pt idx="217">
                  <c:v>901896.68346541445</c:v>
                </c:pt>
                <c:pt idx="218">
                  <c:v>901896.68346541445</c:v>
                </c:pt>
                <c:pt idx="219">
                  <c:v>901896.68346541445</c:v>
                </c:pt>
                <c:pt idx="220">
                  <c:v>901896.68346541445</c:v>
                </c:pt>
                <c:pt idx="221">
                  <c:v>901896.68346541445</c:v>
                </c:pt>
                <c:pt idx="222">
                  <c:v>901896.68346541445</c:v>
                </c:pt>
                <c:pt idx="223">
                  <c:v>901896.68346541445</c:v>
                </c:pt>
                <c:pt idx="224">
                  <c:v>901896.68346541445</c:v>
                </c:pt>
                <c:pt idx="225">
                  <c:v>901896.68346541445</c:v>
                </c:pt>
                <c:pt idx="226">
                  <c:v>901896.68346541445</c:v>
                </c:pt>
                <c:pt idx="227">
                  <c:v>901896.68346541445</c:v>
                </c:pt>
                <c:pt idx="228">
                  <c:v>901896.68346541445</c:v>
                </c:pt>
                <c:pt idx="229">
                  <c:v>901896.68346541445</c:v>
                </c:pt>
                <c:pt idx="230">
                  <c:v>901896.68346541445</c:v>
                </c:pt>
                <c:pt idx="231">
                  <c:v>901896.68346541445</c:v>
                </c:pt>
                <c:pt idx="232">
                  <c:v>901896.68346541445</c:v>
                </c:pt>
                <c:pt idx="233">
                  <c:v>901896.68346541445</c:v>
                </c:pt>
                <c:pt idx="234">
                  <c:v>901896.68346541445</c:v>
                </c:pt>
                <c:pt idx="235">
                  <c:v>901896.68346541445</c:v>
                </c:pt>
                <c:pt idx="236">
                  <c:v>901896.68346541445</c:v>
                </c:pt>
                <c:pt idx="237">
                  <c:v>901896.68346541445</c:v>
                </c:pt>
                <c:pt idx="238">
                  <c:v>901896.68346541445</c:v>
                </c:pt>
                <c:pt idx="239">
                  <c:v>901896.68346541445</c:v>
                </c:pt>
                <c:pt idx="240">
                  <c:v>901896.68346541445</c:v>
                </c:pt>
                <c:pt idx="241">
                  <c:v>901896.68346541445</c:v>
                </c:pt>
                <c:pt idx="242">
                  <c:v>901896.68346541445</c:v>
                </c:pt>
                <c:pt idx="243">
                  <c:v>901896.68346541445</c:v>
                </c:pt>
                <c:pt idx="244">
                  <c:v>901896.68346541445</c:v>
                </c:pt>
                <c:pt idx="245">
                  <c:v>901896.68346541445</c:v>
                </c:pt>
                <c:pt idx="246">
                  <c:v>901896.68346541445</c:v>
                </c:pt>
                <c:pt idx="247">
                  <c:v>901896.68346541445</c:v>
                </c:pt>
                <c:pt idx="248">
                  <c:v>901896.68346541445</c:v>
                </c:pt>
                <c:pt idx="249">
                  <c:v>901896.68346541445</c:v>
                </c:pt>
                <c:pt idx="250">
                  <c:v>901896.68346541445</c:v>
                </c:pt>
                <c:pt idx="251">
                  <c:v>901896.68346541445</c:v>
                </c:pt>
                <c:pt idx="252">
                  <c:v>901896.68346541445</c:v>
                </c:pt>
                <c:pt idx="253">
                  <c:v>901896.68346541445</c:v>
                </c:pt>
                <c:pt idx="254">
                  <c:v>901896.68346541445</c:v>
                </c:pt>
                <c:pt idx="255">
                  <c:v>901896.68346541445</c:v>
                </c:pt>
                <c:pt idx="256">
                  <c:v>901896.68346541445</c:v>
                </c:pt>
                <c:pt idx="257">
                  <c:v>901896.68346541445</c:v>
                </c:pt>
                <c:pt idx="258">
                  <c:v>901896.68346541445</c:v>
                </c:pt>
                <c:pt idx="259">
                  <c:v>901896.68346541445</c:v>
                </c:pt>
                <c:pt idx="260">
                  <c:v>901896.68346541445</c:v>
                </c:pt>
                <c:pt idx="261">
                  <c:v>901896.68346541445</c:v>
                </c:pt>
                <c:pt idx="262">
                  <c:v>901896.68346541445</c:v>
                </c:pt>
                <c:pt idx="263">
                  <c:v>901896.68346541445</c:v>
                </c:pt>
                <c:pt idx="264">
                  <c:v>901896.68346541445</c:v>
                </c:pt>
                <c:pt idx="265">
                  <c:v>901896.68346541445</c:v>
                </c:pt>
                <c:pt idx="266">
                  <c:v>901896.68346541445</c:v>
                </c:pt>
                <c:pt idx="267">
                  <c:v>901896.68346541445</c:v>
                </c:pt>
                <c:pt idx="268">
                  <c:v>901896.68346541445</c:v>
                </c:pt>
                <c:pt idx="269">
                  <c:v>901896.68346541445</c:v>
                </c:pt>
                <c:pt idx="270">
                  <c:v>901896.68346541445</c:v>
                </c:pt>
                <c:pt idx="271">
                  <c:v>901896.68346541445</c:v>
                </c:pt>
                <c:pt idx="272">
                  <c:v>901896.68346541445</c:v>
                </c:pt>
                <c:pt idx="273">
                  <c:v>901896.68346541445</c:v>
                </c:pt>
                <c:pt idx="274">
                  <c:v>901896.68346541445</c:v>
                </c:pt>
                <c:pt idx="275">
                  <c:v>901896.68346541445</c:v>
                </c:pt>
                <c:pt idx="276">
                  <c:v>901896.68346541445</c:v>
                </c:pt>
                <c:pt idx="277">
                  <c:v>901896.68346541445</c:v>
                </c:pt>
                <c:pt idx="278">
                  <c:v>901896.68346541445</c:v>
                </c:pt>
                <c:pt idx="279">
                  <c:v>901896.68346541445</c:v>
                </c:pt>
                <c:pt idx="280">
                  <c:v>901896.68346541445</c:v>
                </c:pt>
                <c:pt idx="281">
                  <c:v>901896.68346541445</c:v>
                </c:pt>
                <c:pt idx="282">
                  <c:v>901896.68346541445</c:v>
                </c:pt>
                <c:pt idx="283">
                  <c:v>901896.68346541445</c:v>
                </c:pt>
                <c:pt idx="284">
                  <c:v>901896.68346541445</c:v>
                </c:pt>
                <c:pt idx="285">
                  <c:v>901896.68346541445</c:v>
                </c:pt>
                <c:pt idx="286">
                  <c:v>901896.68346541445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685178.22461657866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755457.58238276921</c:v>
                </c:pt>
                <c:pt idx="21">
                  <c:v>891048.08376774285</c:v>
                </c:pt>
                <c:pt idx="22">
                  <c:v>878470.58376774285</c:v>
                </c:pt>
                <c:pt idx="23">
                  <c:v>512092.24376774277</c:v>
                </c:pt>
                <c:pt idx="24">
                  <c:v>498533.9257677428</c:v>
                </c:pt>
                <c:pt idx="25">
                  <c:v>498008.9257677428</c:v>
                </c:pt>
                <c:pt idx="26">
                  <c:v>498008.9257677428</c:v>
                </c:pt>
                <c:pt idx="27">
                  <c:v>498008.9257677428</c:v>
                </c:pt>
                <c:pt idx="28">
                  <c:v>498008.9257677428</c:v>
                </c:pt>
                <c:pt idx="29">
                  <c:v>497483.9257677428</c:v>
                </c:pt>
                <c:pt idx="30">
                  <c:v>497483.9257677428</c:v>
                </c:pt>
                <c:pt idx="31">
                  <c:v>497483.9257677428</c:v>
                </c:pt>
                <c:pt idx="32">
                  <c:v>497483.9257677428</c:v>
                </c:pt>
                <c:pt idx="33">
                  <c:v>497483.9257677428</c:v>
                </c:pt>
                <c:pt idx="34">
                  <c:v>497483.9257677428</c:v>
                </c:pt>
                <c:pt idx="35">
                  <c:v>497483.9257677428</c:v>
                </c:pt>
                <c:pt idx="36">
                  <c:v>497483.9257677428</c:v>
                </c:pt>
                <c:pt idx="37">
                  <c:v>497483.9257677428</c:v>
                </c:pt>
                <c:pt idx="38">
                  <c:v>497483.9257677428</c:v>
                </c:pt>
                <c:pt idx="39">
                  <c:v>497483.9257677428</c:v>
                </c:pt>
                <c:pt idx="40">
                  <c:v>497483.9257677428</c:v>
                </c:pt>
                <c:pt idx="41">
                  <c:v>497483.9257677428</c:v>
                </c:pt>
                <c:pt idx="42">
                  <c:v>497483.9257677428</c:v>
                </c:pt>
                <c:pt idx="43">
                  <c:v>497483.9257677428</c:v>
                </c:pt>
                <c:pt idx="44">
                  <c:v>497483.9257677428</c:v>
                </c:pt>
                <c:pt idx="45">
                  <c:v>497483.9257677428</c:v>
                </c:pt>
                <c:pt idx="46">
                  <c:v>497483.9257677428</c:v>
                </c:pt>
                <c:pt idx="47">
                  <c:v>497483.9257677428</c:v>
                </c:pt>
                <c:pt idx="48">
                  <c:v>497483.9257677428</c:v>
                </c:pt>
                <c:pt idx="49">
                  <c:v>497483.9257677428</c:v>
                </c:pt>
                <c:pt idx="50">
                  <c:v>497483.9257677428</c:v>
                </c:pt>
                <c:pt idx="51">
                  <c:v>497483.9257677428</c:v>
                </c:pt>
                <c:pt idx="52">
                  <c:v>497483.9257677428</c:v>
                </c:pt>
                <c:pt idx="53">
                  <c:v>497483.9257677428</c:v>
                </c:pt>
                <c:pt idx="54">
                  <c:v>497483.9257677428</c:v>
                </c:pt>
                <c:pt idx="55">
                  <c:v>497483.9257677428</c:v>
                </c:pt>
                <c:pt idx="56">
                  <c:v>497483.9257677428</c:v>
                </c:pt>
                <c:pt idx="57">
                  <c:v>497483.9257677428</c:v>
                </c:pt>
                <c:pt idx="58">
                  <c:v>497483.9257677428</c:v>
                </c:pt>
                <c:pt idx="59">
                  <c:v>497483.9257677428</c:v>
                </c:pt>
                <c:pt idx="60">
                  <c:v>497483.9257677428</c:v>
                </c:pt>
                <c:pt idx="61">
                  <c:v>497483.9257677428</c:v>
                </c:pt>
                <c:pt idx="62">
                  <c:v>497483.9257677428</c:v>
                </c:pt>
                <c:pt idx="63">
                  <c:v>497483.9257677428</c:v>
                </c:pt>
                <c:pt idx="64">
                  <c:v>497483.9257677428</c:v>
                </c:pt>
                <c:pt idx="65">
                  <c:v>497483.9257677428</c:v>
                </c:pt>
                <c:pt idx="66">
                  <c:v>497483.9257677428</c:v>
                </c:pt>
                <c:pt idx="67">
                  <c:v>497483.9257677428</c:v>
                </c:pt>
                <c:pt idx="68">
                  <c:v>497483.9257677428</c:v>
                </c:pt>
                <c:pt idx="69">
                  <c:v>497483.9257677428</c:v>
                </c:pt>
                <c:pt idx="70">
                  <c:v>497483.9257677428</c:v>
                </c:pt>
                <c:pt idx="71">
                  <c:v>497483.9257677428</c:v>
                </c:pt>
                <c:pt idx="72">
                  <c:v>497483.9257677428</c:v>
                </c:pt>
                <c:pt idx="73">
                  <c:v>497483.9257677428</c:v>
                </c:pt>
                <c:pt idx="74">
                  <c:v>497483.9257677428</c:v>
                </c:pt>
                <c:pt idx="75">
                  <c:v>497483.9257677428</c:v>
                </c:pt>
                <c:pt idx="76">
                  <c:v>497483.9257677428</c:v>
                </c:pt>
                <c:pt idx="77">
                  <c:v>497483.9257677428</c:v>
                </c:pt>
                <c:pt idx="78">
                  <c:v>497483.9257677428</c:v>
                </c:pt>
                <c:pt idx="79">
                  <c:v>497483.9257677428</c:v>
                </c:pt>
                <c:pt idx="80">
                  <c:v>497483.9257677428</c:v>
                </c:pt>
                <c:pt idx="81">
                  <c:v>497483.9257677428</c:v>
                </c:pt>
                <c:pt idx="82">
                  <c:v>497483.9257677428</c:v>
                </c:pt>
                <c:pt idx="83">
                  <c:v>497483.9257677428</c:v>
                </c:pt>
                <c:pt idx="84">
                  <c:v>497483.9257677428</c:v>
                </c:pt>
                <c:pt idx="85">
                  <c:v>497483.9257677428</c:v>
                </c:pt>
                <c:pt idx="86">
                  <c:v>497483.9257677428</c:v>
                </c:pt>
                <c:pt idx="87">
                  <c:v>497483.9257677428</c:v>
                </c:pt>
                <c:pt idx="88">
                  <c:v>497483.9257677428</c:v>
                </c:pt>
                <c:pt idx="89">
                  <c:v>497483.9257677428</c:v>
                </c:pt>
                <c:pt idx="90">
                  <c:v>497483.9257677428</c:v>
                </c:pt>
                <c:pt idx="91">
                  <c:v>497483.9257677428</c:v>
                </c:pt>
                <c:pt idx="92">
                  <c:v>497483.9257677428</c:v>
                </c:pt>
                <c:pt idx="93">
                  <c:v>497483.9257677428</c:v>
                </c:pt>
                <c:pt idx="94">
                  <c:v>497483.9257677428</c:v>
                </c:pt>
                <c:pt idx="95">
                  <c:v>497483.9257677428</c:v>
                </c:pt>
                <c:pt idx="96">
                  <c:v>497483.9257677428</c:v>
                </c:pt>
                <c:pt idx="97">
                  <c:v>497483.9257677428</c:v>
                </c:pt>
                <c:pt idx="98">
                  <c:v>497483.9257677428</c:v>
                </c:pt>
                <c:pt idx="99">
                  <c:v>497483.9257677428</c:v>
                </c:pt>
                <c:pt idx="100">
                  <c:v>497483.9257677428</c:v>
                </c:pt>
                <c:pt idx="101">
                  <c:v>497483.9257677428</c:v>
                </c:pt>
                <c:pt idx="102">
                  <c:v>497483.9257677428</c:v>
                </c:pt>
                <c:pt idx="103">
                  <c:v>497483.9257677428</c:v>
                </c:pt>
                <c:pt idx="104">
                  <c:v>497483.9257677428</c:v>
                </c:pt>
                <c:pt idx="105">
                  <c:v>497483.9257677428</c:v>
                </c:pt>
                <c:pt idx="106">
                  <c:v>497483.9257677428</c:v>
                </c:pt>
                <c:pt idx="107">
                  <c:v>497483.9257677428</c:v>
                </c:pt>
                <c:pt idx="108">
                  <c:v>497483.9257677428</c:v>
                </c:pt>
                <c:pt idx="109">
                  <c:v>497483.9257677428</c:v>
                </c:pt>
                <c:pt idx="110">
                  <c:v>497483.9257677428</c:v>
                </c:pt>
                <c:pt idx="111">
                  <c:v>497483.9257677428</c:v>
                </c:pt>
                <c:pt idx="112">
                  <c:v>497483.9257677428</c:v>
                </c:pt>
                <c:pt idx="113">
                  <c:v>497483.9257677428</c:v>
                </c:pt>
                <c:pt idx="114">
                  <c:v>497483.9257677428</c:v>
                </c:pt>
                <c:pt idx="115">
                  <c:v>497483.9257677428</c:v>
                </c:pt>
                <c:pt idx="116">
                  <c:v>497483.9257677428</c:v>
                </c:pt>
                <c:pt idx="117">
                  <c:v>497483.9257677428</c:v>
                </c:pt>
                <c:pt idx="118">
                  <c:v>497483.9257677428</c:v>
                </c:pt>
                <c:pt idx="119">
                  <c:v>497483.9257677428</c:v>
                </c:pt>
                <c:pt idx="120">
                  <c:v>497483.9257677428</c:v>
                </c:pt>
                <c:pt idx="121">
                  <c:v>497483.9257677428</c:v>
                </c:pt>
                <c:pt idx="122">
                  <c:v>497483.9257677428</c:v>
                </c:pt>
                <c:pt idx="123">
                  <c:v>497483.9257677428</c:v>
                </c:pt>
                <c:pt idx="124">
                  <c:v>497483.9257677428</c:v>
                </c:pt>
                <c:pt idx="125">
                  <c:v>497483.9257677428</c:v>
                </c:pt>
                <c:pt idx="126">
                  <c:v>497483.9257677428</c:v>
                </c:pt>
                <c:pt idx="127">
                  <c:v>497483.9257677428</c:v>
                </c:pt>
                <c:pt idx="128">
                  <c:v>497483.9257677428</c:v>
                </c:pt>
                <c:pt idx="129">
                  <c:v>497483.9257677428</c:v>
                </c:pt>
                <c:pt idx="130">
                  <c:v>497483.9257677428</c:v>
                </c:pt>
                <c:pt idx="131">
                  <c:v>497483.9257677428</c:v>
                </c:pt>
                <c:pt idx="132">
                  <c:v>497483.9257677428</c:v>
                </c:pt>
                <c:pt idx="133">
                  <c:v>497483.9257677428</c:v>
                </c:pt>
                <c:pt idx="134">
                  <c:v>497483.9257677428</c:v>
                </c:pt>
                <c:pt idx="135">
                  <c:v>497483.9257677428</c:v>
                </c:pt>
                <c:pt idx="136">
                  <c:v>497483.9257677428</c:v>
                </c:pt>
                <c:pt idx="137">
                  <c:v>497483.9257677428</c:v>
                </c:pt>
                <c:pt idx="138">
                  <c:v>497483.9257677428</c:v>
                </c:pt>
                <c:pt idx="139">
                  <c:v>497483.9257677428</c:v>
                </c:pt>
                <c:pt idx="140">
                  <c:v>497483.9257677428</c:v>
                </c:pt>
                <c:pt idx="141">
                  <c:v>497483.9257677428</c:v>
                </c:pt>
                <c:pt idx="142">
                  <c:v>497483.9257677428</c:v>
                </c:pt>
                <c:pt idx="143">
                  <c:v>497483.9257677428</c:v>
                </c:pt>
                <c:pt idx="144">
                  <c:v>497483.9257677428</c:v>
                </c:pt>
                <c:pt idx="145">
                  <c:v>497483.9257677428</c:v>
                </c:pt>
                <c:pt idx="146">
                  <c:v>497483.9257677428</c:v>
                </c:pt>
                <c:pt idx="147">
                  <c:v>497483.9257677428</c:v>
                </c:pt>
                <c:pt idx="148">
                  <c:v>497483.9257677428</c:v>
                </c:pt>
                <c:pt idx="149">
                  <c:v>497483.9257677428</c:v>
                </c:pt>
                <c:pt idx="150">
                  <c:v>497483.9257677428</c:v>
                </c:pt>
                <c:pt idx="151">
                  <c:v>497483.9257677428</c:v>
                </c:pt>
                <c:pt idx="152">
                  <c:v>497483.9257677428</c:v>
                </c:pt>
                <c:pt idx="153">
                  <c:v>497483.9257677428</c:v>
                </c:pt>
                <c:pt idx="154">
                  <c:v>497483.9257677428</c:v>
                </c:pt>
                <c:pt idx="155">
                  <c:v>497483.9257677428</c:v>
                </c:pt>
                <c:pt idx="156">
                  <c:v>497483.9257677428</c:v>
                </c:pt>
                <c:pt idx="157">
                  <c:v>497483.9257677428</c:v>
                </c:pt>
                <c:pt idx="158">
                  <c:v>497483.9257677428</c:v>
                </c:pt>
                <c:pt idx="159">
                  <c:v>497483.9257677428</c:v>
                </c:pt>
                <c:pt idx="160">
                  <c:v>497483.9257677428</c:v>
                </c:pt>
                <c:pt idx="161">
                  <c:v>497483.9257677428</c:v>
                </c:pt>
                <c:pt idx="162">
                  <c:v>497483.9257677428</c:v>
                </c:pt>
                <c:pt idx="163">
                  <c:v>497483.9257677428</c:v>
                </c:pt>
                <c:pt idx="164">
                  <c:v>497483.9257677428</c:v>
                </c:pt>
                <c:pt idx="165">
                  <c:v>497483.9257677428</c:v>
                </c:pt>
                <c:pt idx="166">
                  <c:v>497483.9257677428</c:v>
                </c:pt>
                <c:pt idx="167">
                  <c:v>497483.9257677428</c:v>
                </c:pt>
                <c:pt idx="168">
                  <c:v>497483.9257677428</c:v>
                </c:pt>
                <c:pt idx="169">
                  <c:v>497483.9257677428</c:v>
                </c:pt>
                <c:pt idx="170">
                  <c:v>497483.9257677428</c:v>
                </c:pt>
                <c:pt idx="171">
                  <c:v>497483.9257677428</c:v>
                </c:pt>
                <c:pt idx="172">
                  <c:v>497483.9257677428</c:v>
                </c:pt>
                <c:pt idx="173">
                  <c:v>497483.9257677428</c:v>
                </c:pt>
                <c:pt idx="174">
                  <c:v>497483.9257677428</c:v>
                </c:pt>
                <c:pt idx="175">
                  <c:v>497483.9257677428</c:v>
                </c:pt>
                <c:pt idx="176">
                  <c:v>497483.9257677428</c:v>
                </c:pt>
                <c:pt idx="177">
                  <c:v>497483.9257677428</c:v>
                </c:pt>
                <c:pt idx="178">
                  <c:v>497483.9257677428</c:v>
                </c:pt>
                <c:pt idx="179">
                  <c:v>497483.9257677428</c:v>
                </c:pt>
                <c:pt idx="180">
                  <c:v>497483.9257677428</c:v>
                </c:pt>
                <c:pt idx="181">
                  <c:v>497483.9257677428</c:v>
                </c:pt>
                <c:pt idx="182">
                  <c:v>497483.9257677428</c:v>
                </c:pt>
                <c:pt idx="183">
                  <c:v>497483.9257677428</c:v>
                </c:pt>
                <c:pt idx="184">
                  <c:v>497483.9257677428</c:v>
                </c:pt>
                <c:pt idx="185">
                  <c:v>497483.9257677428</c:v>
                </c:pt>
                <c:pt idx="186">
                  <c:v>497483.9257677428</c:v>
                </c:pt>
                <c:pt idx="187">
                  <c:v>497483.9257677428</c:v>
                </c:pt>
                <c:pt idx="188">
                  <c:v>497483.9257677428</c:v>
                </c:pt>
                <c:pt idx="189">
                  <c:v>497483.9257677428</c:v>
                </c:pt>
                <c:pt idx="190">
                  <c:v>497483.9257677428</c:v>
                </c:pt>
                <c:pt idx="191">
                  <c:v>497483.9257677428</c:v>
                </c:pt>
                <c:pt idx="192">
                  <c:v>497483.9257677428</c:v>
                </c:pt>
                <c:pt idx="193">
                  <c:v>497483.9257677428</c:v>
                </c:pt>
                <c:pt idx="194">
                  <c:v>497483.9257677428</c:v>
                </c:pt>
                <c:pt idx="195">
                  <c:v>497483.9257677428</c:v>
                </c:pt>
                <c:pt idx="196">
                  <c:v>497483.9257677428</c:v>
                </c:pt>
                <c:pt idx="197">
                  <c:v>497483.9257677428</c:v>
                </c:pt>
                <c:pt idx="198">
                  <c:v>497483.9257677428</c:v>
                </c:pt>
                <c:pt idx="199">
                  <c:v>497483.9257677428</c:v>
                </c:pt>
                <c:pt idx="200">
                  <c:v>497483.9257677428</c:v>
                </c:pt>
                <c:pt idx="201">
                  <c:v>497483.9257677428</c:v>
                </c:pt>
                <c:pt idx="202">
                  <c:v>497483.9257677428</c:v>
                </c:pt>
                <c:pt idx="203">
                  <c:v>497483.9257677428</c:v>
                </c:pt>
                <c:pt idx="204">
                  <c:v>497483.9257677428</c:v>
                </c:pt>
                <c:pt idx="205">
                  <c:v>497483.9257677428</c:v>
                </c:pt>
                <c:pt idx="206">
                  <c:v>497483.9257677428</c:v>
                </c:pt>
                <c:pt idx="207">
                  <c:v>497483.9257677428</c:v>
                </c:pt>
                <c:pt idx="208">
                  <c:v>497483.9257677428</c:v>
                </c:pt>
                <c:pt idx="209">
                  <c:v>497483.9257677428</c:v>
                </c:pt>
                <c:pt idx="210">
                  <c:v>497483.9257677428</c:v>
                </c:pt>
                <c:pt idx="211">
                  <c:v>497483.9257677428</c:v>
                </c:pt>
                <c:pt idx="212">
                  <c:v>497483.9257677428</c:v>
                </c:pt>
                <c:pt idx="213">
                  <c:v>497483.9257677428</c:v>
                </c:pt>
                <c:pt idx="214">
                  <c:v>497483.9257677428</c:v>
                </c:pt>
                <c:pt idx="215">
                  <c:v>497483.9257677428</c:v>
                </c:pt>
                <c:pt idx="216">
                  <c:v>497483.9257677428</c:v>
                </c:pt>
                <c:pt idx="217">
                  <c:v>497483.9257677428</c:v>
                </c:pt>
                <c:pt idx="218">
                  <c:v>497483.9257677428</c:v>
                </c:pt>
                <c:pt idx="219">
                  <c:v>497483.9257677428</c:v>
                </c:pt>
                <c:pt idx="220">
                  <c:v>497483.9257677428</c:v>
                </c:pt>
                <c:pt idx="221">
                  <c:v>497483.9257677428</c:v>
                </c:pt>
                <c:pt idx="222">
                  <c:v>497483.9257677428</c:v>
                </c:pt>
                <c:pt idx="223">
                  <c:v>497483.9257677428</c:v>
                </c:pt>
                <c:pt idx="224">
                  <c:v>497483.9257677428</c:v>
                </c:pt>
                <c:pt idx="225">
                  <c:v>497483.9257677428</c:v>
                </c:pt>
                <c:pt idx="226">
                  <c:v>497483.9257677428</c:v>
                </c:pt>
                <c:pt idx="227">
                  <c:v>497483.9257677428</c:v>
                </c:pt>
                <c:pt idx="228">
                  <c:v>497483.9257677428</c:v>
                </c:pt>
                <c:pt idx="229">
                  <c:v>497483.9257677428</c:v>
                </c:pt>
                <c:pt idx="230">
                  <c:v>497483.9257677428</c:v>
                </c:pt>
                <c:pt idx="231">
                  <c:v>497483.9257677428</c:v>
                </c:pt>
                <c:pt idx="232">
                  <c:v>497483.9257677428</c:v>
                </c:pt>
                <c:pt idx="233">
                  <c:v>497483.9257677428</c:v>
                </c:pt>
                <c:pt idx="234">
                  <c:v>497483.9257677428</c:v>
                </c:pt>
                <c:pt idx="235">
                  <c:v>497483.9257677428</c:v>
                </c:pt>
                <c:pt idx="236">
                  <c:v>497483.9257677428</c:v>
                </c:pt>
                <c:pt idx="237">
                  <c:v>497483.9257677428</c:v>
                </c:pt>
                <c:pt idx="238">
                  <c:v>497483.9257677428</c:v>
                </c:pt>
                <c:pt idx="239">
                  <c:v>497483.9257677428</c:v>
                </c:pt>
                <c:pt idx="240">
                  <c:v>497483.9257677428</c:v>
                </c:pt>
                <c:pt idx="241">
                  <c:v>497483.9257677428</c:v>
                </c:pt>
                <c:pt idx="242">
                  <c:v>497483.9257677428</c:v>
                </c:pt>
                <c:pt idx="243">
                  <c:v>497483.9257677428</c:v>
                </c:pt>
                <c:pt idx="244">
                  <c:v>497483.9257677428</c:v>
                </c:pt>
                <c:pt idx="245">
                  <c:v>497483.9257677428</c:v>
                </c:pt>
                <c:pt idx="246">
                  <c:v>497483.9257677428</c:v>
                </c:pt>
                <c:pt idx="247">
                  <c:v>497483.9257677428</c:v>
                </c:pt>
                <c:pt idx="248">
                  <c:v>497483.9257677428</c:v>
                </c:pt>
                <c:pt idx="249">
                  <c:v>497483.9257677428</c:v>
                </c:pt>
                <c:pt idx="250">
                  <c:v>497483.9257677428</c:v>
                </c:pt>
                <c:pt idx="251">
                  <c:v>497483.9257677428</c:v>
                </c:pt>
                <c:pt idx="252">
                  <c:v>497483.9257677428</c:v>
                </c:pt>
                <c:pt idx="253">
                  <c:v>497483.9257677428</c:v>
                </c:pt>
                <c:pt idx="254">
                  <c:v>497483.9257677428</c:v>
                </c:pt>
                <c:pt idx="255">
                  <c:v>497483.9257677428</c:v>
                </c:pt>
                <c:pt idx="256">
                  <c:v>497483.9257677428</c:v>
                </c:pt>
                <c:pt idx="257">
                  <c:v>497483.9257677428</c:v>
                </c:pt>
                <c:pt idx="258">
                  <c:v>497483.9257677428</c:v>
                </c:pt>
                <c:pt idx="259">
                  <c:v>497483.9257677428</c:v>
                </c:pt>
                <c:pt idx="260">
                  <c:v>497483.9257677428</c:v>
                </c:pt>
                <c:pt idx="261">
                  <c:v>497483.9257677428</c:v>
                </c:pt>
                <c:pt idx="262">
                  <c:v>497483.9257677428</c:v>
                </c:pt>
                <c:pt idx="263">
                  <c:v>497483.9257677428</c:v>
                </c:pt>
                <c:pt idx="264">
                  <c:v>497483.9257677428</c:v>
                </c:pt>
                <c:pt idx="265">
                  <c:v>497483.9257677428</c:v>
                </c:pt>
                <c:pt idx="266">
                  <c:v>497483.9257677428</c:v>
                </c:pt>
                <c:pt idx="267">
                  <c:v>497483.9257677428</c:v>
                </c:pt>
                <c:pt idx="268">
                  <c:v>497483.9257677428</c:v>
                </c:pt>
                <c:pt idx="269">
                  <c:v>497483.9257677428</c:v>
                </c:pt>
                <c:pt idx="270">
                  <c:v>497483.9257677428</c:v>
                </c:pt>
                <c:pt idx="271">
                  <c:v>497483.9257677428</c:v>
                </c:pt>
                <c:pt idx="272">
                  <c:v>497483.9257677428</c:v>
                </c:pt>
                <c:pt idx="273">
                  <c:v>497483.9257677428</c:v>
                </c:pt>
                <c:pt idx="274">
                  <c:v>497483.9257677428</c:v>
                </c:pt>
                <c:pt idx="275">
                  <c:v>497483.9257677428</c:v>
                </c:pt>
                <c:pt idx="276">
                  <c:v>497483.9257677428</c:v>
                </c:pt>
                <c:pt idx="277">
                  <c:v>497483.9257677428</c:v>
                </c:pt>
                <c:pt idx="278">
                  <c:v>497483.9257677428</c:v>
                </c:pt>
                <c:pt idx="279">
                  <c:v>497483.9257677428</c:v>
                </c:pt>
                <c:pt idx="280">
                  <c:v>497483.9257677428</c:v>
                </c:pt>
                <c:pt idx="281">
                  <c:v>497483.9257677428</c:v>
                </c:pt>
                <c:pt idx="282">
                  <c:v>497483.9257677428</c:v>
                </c:pt>
                <c:pt idx="283">
                  <c:v>497483.9257677428</c:v>
                </c:pt>
                <c:pt idx="284">
                  <c:v>497483.9257677428</c:v>
                </c:pt>
                <c:pt idx="285">
                  <c:v>497483.9257677428</c:v>
                </c:pt>
                <c:pt idx="286">
                  <c:v>497483.9257677428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989350.05690780608</c:v>
                </c:pt>
                <c:pt idx="16">
                  <c:v>989350.05690780608</c:v>
                </c:pt>
                <c:pt idx="17">
                  <c:v>989350.05690780608</c:v>
                </c:pt>
                <c:pt idx="18">
                  <c:v>989350.05690780608</c:v>
                </c:pt>
                <c:pt idx="19">
                  <c:v>989350.05690780608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54" t="s">
        <v>0</v>
      </c>
      <c r="C2" s="654"/>
      <c r="D2" s="654"/>
      <c r="E2" s="654"/>
      <c r="H2" s="655" t="s">
        <v>1</v>
      </c>
      <c r="I2" s="656"/>
      <c r="J2" s="656"/>
      <c r="K2" s="656"/>
      <c r="L2" s="656"/>
      <c r="M2" s="656"/>
      <c r="N2" s="656"/>
      <c r="O2" s="657"/>
    </row>
    <row r="3" spans="2:15">
      <c r="B3" s="615"/>
      <c r="H3" s="658"/>
      <c r="I3" s="659"/>
      <c r="J3" s="659"/>
      <c r="K3" s="659"/>
      <c r="L3" s="659"/>
      <c r="M3" s="659"/>
      <c r="N3" s="659"/>
      <c r="O3" s="660"/>
    </row>
    <row r="4" spans="2:15">
      <c r="B4" s="616" t="s">
        <v>2</v>
      </c>
      <c r="C4" s="617" t="str">
        <f>'Project Plan'!E2</f>
        <v>Steelpark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6" t="s">
        <v>3</v>
      </c>
      <c r="C5" s="617" t="s">
        <v>4</v>
      </c>
      <c r="H5" s="658"/>
      <c r="I5" s="659"/>
      <c r="J5" s="659"/>
      <c r="K5" s="659"/>
      <c r="L5" s="659"/>
      <c r="M5" s="659"/>
      <c r="N5" s="659"/>
      <c r="O5" s="660"/>
    </row>
    <row r="6" spans="2:15">
      <c r="B6" s="616" t="s">
        <v>5</v>
      </c>
      <c r="C6" s="617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6" t="s">
        <v>7</v>
      </c>
      <c r="C7" s="617" t="s">
        <v>8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5"/>
      <c r="H8" s="658"/>
      <c r="I8" s="659"/>
      <c r="J8" s="659"/>
      <c r="K8" s="659"/>
      <c r="L8" s="659"/>
      <c r="M8" s="659"/>
      <c r="N8" s="659"/>
      <c r="O8" s="660"/>
    </row>
    <row r="9" spans="2:15">
      <c r="B9" s="664" t="s">
        <v>9</v>
      </c>
      <c r="C9" s="664"/>
      <c r="D9" s="664"/>
      <c r="E9" s="664"/>
      <c r="H9" s="658"/>
      <c r="I9" s="659"/>
      <c r="J9" s="659"/>
      <c r="K9" s="659"/>
      <c r="L9" s="659"/>
      <c r="M9" s="659"/>
      <c r="N9" s="659"/>
      <c r="O9" s="660"/>
    </row>
    <row r="10" spans="2:15" ht="15" thickBot="1">
      <c r="B10" s="664" t="s">
        <v>10</v>
      </c>
      <c r="C10" s="664"/>
      <c r="D10" s="664"/>
      <c r="E10" s="664"/>
      <c r="H10" s="661"/>
      <c r="I10" s="662"/>
      <c r="J10" s="662"/>
      <c r="K10" s="662"/>
      <c r="L10" s="662"/>
      <c r="M10" s="662"/>
      <c r="N10" s="662"/>
      <c r="O10" s="663"/>
    </row>
    <row r="11" spans="2:15">
      <c r="B11" s="618" t="s">
        <v>11</v>
      </c>
      <c r="C11" s="652"/>
      <c r="D11" s="652"/>
      <c r="E11" s="652"/>
    </row>
    <row r="12" spans="2:15">
      <c r="B12" s="618" t="s">
        <v>12</v>
      </c>
      <c r="C12" s="652"/>
      <c r="D12" s="652"/>
      <c r="E12" s="652"/>
    </row>
    <row r="13" spans="2:15">
      <c r="B13" s="618" t="s">
        <v>13</v>
      </c>
      <c r="C13" s="652"/>
      <c r="D13" s="652"/>
      <c r="E13" s="652"/>
    </row>
    <row r="14" spans="2:15">
      <c r="B14" s="618" t="s">
        <v>14</v>
      </c>
      <c r="C14" s="652"/>
      <c r="D14" s="652"/>
      <c r="E14" s="652"/>
    </row>
    <row r="15" spans="2:15">
      <c r="B15" s="618" t="s">
        <v>15</v>
      </c>
      <c r="C15" s="652"/>
      <c r="D15" s="652"/>
      <c r="E15" s="652"/>
    </row>
    <row r="16" spans="2:15" ht="15" customHeight="1">
      <c r="B16" s="618" t="s">
        <v>16</v>
      </c>
      <c r="C16" s="652"/>
      <c r="D16" s="652"/>
      <c r="E16" s="652"/>
    </row>
    <row r="17" spans="2:5">
      <c r="B17" s="615"/>
    </row>
    <row r="18" spans="2:5">
      <c r="B18" s="653" t="s">
        <v>17</v>
      </c>
      <c r="C18" s="653"/>
      <c r="D18" s="653"/>
      <c r="E18" s="653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654" t="s">
        <v>22</v>
      </c>
      <c r="C2" s="654"/>
      <c r="D2" s="654"/>
      <c r="E2" s="654"/>
      <c r="H2" s="655" t="s">
        <v>23</v>
      </c>
      <c r="I2" s="656"/>
      <c r="J2" s="656"/>
      <c r="K2" s="656"/>
      <c r="L2" s="656"/>
      <c r="M2" s="656"/>
      <c r="N2" s="656"/>
      <c r="O2" s="657"/>
    </row>
    <row r="3" spans="2:15">
      <c r="B3" s="615"/>
      <c r="H3" s="658"/>
      <c r="I3" s="659"/>
      <c r="J3" s="659"/>
      <c r="K3" s="659"/>
      <c r="L3" s="659"/>
      <c r="M3" s="659"/>
      <c r="N3" s="659"/>
      <c r="O3" s="660"/>
    </row>
    <row r="4" spans="2:15">
      <c r="B4" s="616" t="s">
        <v>2</v>
      </c>
      <c r="C4" s="617" t="str">
        <f>'Project Plan'!E2</f>
        <v>Steelpark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6" t="s">
        <v>24</v>
      </c>
      <c r="C5" s="617"/>
      <c r="H5" s="658"/>
      <c r="I5" s="659"/>
      <c r="J5" s="659"/>
      <c r="K5" s="659"/>
      <c r="L5" s="659"/>
      <c r="M5" s="659"/>
      <c r="N5" s="659"/>
      <c r="O5" s="660"/>
    </row>
    <row r="6" spans="2:15">
      <c r="B6" s="616" t="s">
        <v>5</v>
      </c>
      <c r="C6" s="617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6" t="s">
        <v>25</v>
      </c>
      <c r="C7" s="617" t="str">
        <f>'Project Plan'!E5</f>
        <v>Justin Franke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6" t="s">
        <v>26</v>
      </c>
      <c r="C8" s="617"/>
      <c r="H8" s="658"/>
      <c r="I8" s="659"/>
      <c r="J8" s="659"/>
      <c r="K8" s="659"/>
      <c r="L8" s="659"/>
      <c r="M8" s="659"/>
      <c r="N8" s="659"/>
      <c r="O8" s="660"/>
    </row>
    <row r="9" spans="2:15">
      <c r="B9" s="615"/>
      <c r="H9" s="658"/>
      <c r="I9" s="659"/>
      <c r="J9" s="659"/>
      <c r="K9" s="659"/>
      <c r="L9" s="659"/>
      <c r="M9" s="659"/>
      <c r="N9" s="659"/>
      <c r="O9" s="660"/>
    </row>
    <row r="10" spans="2:15">
      <c r="B10" s="664" t="s">
        <v>9</v>
      </c>
      <c r="C10" s="664"/>
      <c r="D10" s="664"/>
      <c r="E10" s="664"/>
      <c r="H10" s="658"/>
      <c r="I10" s="659"/>
      <c r="J10" s="659"/>
      <c r="K10" s="659"/>
      <c r="L10" s="659"/>
      <c r="M10" s="659"/>
      <c r="N10" s="659"/>
      <c r="O10" s="660"/>
    </row>
    <row r="11" spans="2:15" ht="15" thickBot="1">
      <c r="B11" s="664" t="s">
        <v>10</v>
      </c>
      <c r="C11" s="664"/>
      <c r="D11" s="664"/>
      <c r="E11" s="664"/>
      <c r="H11" s="661"/>
      <c r="I11" s="662"/>
      <c r="J11" s="662"/>
      <c r="K11" s="662"/>
      <c r="L11" s="662"/>
      <c r="M11" s="662"/>
      <c r="N11" s="662"/>
      <c r="O11" s="663"/>
    </row>
    <row r="12" spans="2:15" ht="24.95">
      <c r="B12" s="618" t="s">
        <v>27</v>
      </c>
      <c r="C12" s="665"/>
      <c r="D12" s="665"/>
      <c r="E12" s="665"/>
    </row>
    <row r="13" spans="2:15">
      <c r="B13" s="618" t="s">
        <v>28</v>
      </c>
      <c r="C13" s="665" t="s">
        <v>29</v>
      </c>
      <c r="D13" s="665"/>
      <c r="E13" s="665"/>
    </row>
    <row r="14" spans="2:15">
      <c r="B14" s="618" t="s">
        <v>30</v>
      </c>
      <c r="C14" s="665" t="s">
        <v>29</v>
      </c>
      <c r="D14" s="665"/>
      <c r="E14" s="665"/>
    </row>
    <row r="15" spans="2:15">
      <c r="B15" s="618" t="s">
        <v>31</v>
      </c>
      <c r="C15" s="665" t="s">
        <v>32</v>
      </c>
      <c r="D15" s="665"/>
      <c r="E15" s="665"/>
    </row>
    <row r="16" spans="2:15" ht="24.95">
      <c r="B16" s="618" t="s">
        <v>33</v>
      </c>
      <c r="C16" s="665"/>
      <c r="D16" s="665"/>
      <c r="E16" s="665"/>
    </row>
    <row r="17" spans="2:5">
      <c r="B17" s="618" t="s">
        <v>34</v>
      </c>
      <c r="C17" s="665"/>
      <c r="D17" s="665"/>
      <c r="E17" s="665"/>
    </row>
    <row r="18" spans="2:5">
      <c r="B18" s="618" t="s">
        <v>35</v>
      </c>
      <c r="C18" s="665"/>
      <c r="D18" s="665"/>
      <c r="E18" s="665"/>
    </row>
    <row r="19" spans="2:5">
      <c r="B19" s="618" t="s">
        <v>36</v>
      </c>
      <c r="C19" s="665"/>
      <c r="D19" s="665"/>
      <c r="E19" s="665"/>
    </row>
    <row r="20" spans="2:5">
      <c r="B20" s="618" t="s">
        <v>37</v>
      </c>
      <c r="C20" s="665"/>
      <c r="D20" s="665"/>
      <c r="E20" s="665"/>
    </row>
    <row r="21" spans="2:5">
      <c r="B21" s="618" t="s">
        <v>38</v>
      </c>
      <c r="C21" s="665"/>
      <c r="D21" s="665"/>
      <c r="E21" s="665"/>
    </row>
    <row r="22" spans="2:5" ht="15" customHeight="1">
      <c r="B22" s="618" t="s">
        <v>16</v>
      </c>
      <c r="C22" s="665"/>
      <c r="D22" s="665"/>
      <c r="E22" s="665"/>
    </row>
    <row r="23" spans="2:5">
      <c r="B23" s="615"/>
    </row>
    <row r="24" spans="2:5">
      <c r="B24" s="653" t="s">
        <v>17</v>
      </c>
      <c r="C24" s="653"/>
      <c r="D24" s="653"/>
      <c r="E24" s="653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7109375" customWidth="1"/>
  </cols>
  <sheetData>
    <row r="1" spans="2:15">
      <c r="B1" s="668"/>
      <c r="C1" s="669"/>
      <c r="D1" s="669"/>
      <c r="E1" s="669"/>
      <c r="F1" s="666" t="s">
        <v>39</v>
      </c>
      <c r="G1" s="666"/>
      <c r="H1" s="666"/>
      <c r="I1" s="666"/>
      <c r="J1" s="666"/>
      <c r="K1" s="667"/>
      <c r="L1" s="13"/>
      <c r="M1" s="13"/>
      <c r="N1" s="13"/>
      <c r="O1" s="13"/>
    </row>
    <row r="2" spans="2:15" ht="6.75" customHeight="1"/>
    <row r="3" spans="2:15" s="621" customFormat="1" ht="29.1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14" sqref="B14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71093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70" t="s">
        <v>115</v>
      </c>
      <c r="C2" s="671"/>
      <c r="D2" s="671"/>
      <c r="E2" s="671"/>
      <c r="F2" s="672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0" t="s">
        <v>124</v>
      </c>
      <c r="C16" s="671"/>
      <c r="D16" s="671"/>
      <c r="E16" s="671"/>
      <c r="F16" s="672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N11" sqref="N11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5703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73" t="s">
        <v>129</v>
      </c>
      <c r="J2" s="674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45" thickBot="1">
      <c r="B3" s="91"/>
      <c r="C3" s="92" t="s">
        <v>130</v>
      </c>
      <c r="D3" s="90"/>
      <c r="E3" s="312">
        <v>130</v>
      </c>
      <c r="F3" s="93"/>
      <c r="G3" s="94"/>
      <c r="H3" s="94"/>
      <c r="I3" s="673" t="s">
        <v>131</v>
      </c>
      <c r="J3" s="674"/>
      <c r="K3" s="587">
        <f>K2/5</f>
        <v>5.2</v>
      </c>
      <c r="Q3" s="1"/>
    </row>
    <row r="4" spans="2:28" s="26" customFormat="1" ht="14.4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73" t="s">
        <v>133</v>
      </c>
      <c r="J4" s="674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77" t="s">
        <v>139</v>
      </c>
      <c r="C8" s="678" t="s">
        <v>140</v>
      </c>
      <c r="D8" s="126"/>
      <c r="E8" s="679" t="s">
        <v>141</v>
      </c>
      <c r="F8" s="148" t="s">
        <v>142</v>
      </c>
      <c r="G8" s="679" t="s">
        <v>143</v>
      </c>
      <c r="H8" s="149"/>
      <c r="I8" s="679" t="s">
        <v>144</v>
      </c>
      <c r="J8" s="148" t="s">
        <v>142</v>
      </c>
      <c r="K8" s="679" t="s">
        <v>145</v>
      </c>
      <c r="M8" s="584" t="s">
        <v>46</v>
      </c>
      <c r="N8" s="585" t="s">
        <v>146</v>
      </c>
      <c r="O8" s="675" t="s">
        <v>147</v>
      </c>
      <c r="Z8" s="26"/>
      <c r="AA8" s="26"/>
      <c r="AB8" s="26"/>
    </row>
    <row r="9" spans="2:28">
      <c r="B9" s="677"/>
      <c r="C9" s="678"/>
      <c r="D9" s="126"/>
      <c r="E9" s="679"/>
      <c r="F9" s="40">
        <f>G41-E21</f>
        <v>35</v>
      </c>
      <c r="G9" s="679"/>
      <c r="H9" s="149"/>
      <c r="I9" s="679"/>
      <c r="J9" s="41">
        <f>K41-I21</f>
        <v>35</v>
      </c>
      <c r="K9" s="679"/>
      <c r="M9" s="265">
        <f>AVERAGE(M11,M20,M23,M30,M37,M41,M50,M46)</f>
        <v>8.4947916666666665E-2</v>
      </c>
      <c r="N9" s="265">
        <f>AVERAGE(N11,N20,N23,N30,N37,N41,N50,N46)</f>
        <v>8.4947916666666665E-2</v>
      </c>
      <c r="O9" s="676"/>
      <c r="S9" s="586">
        <f ca="1">TODAY()</f>
        <v>46066</v>
      </c>
      <c r="T9" s="586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5.6250000000000001E-2</v>
      </c>
      <c r="N11" s="575">
        <f>(J12*M12+J15*M15+J16*M16+J17*M17+J18*M18)/SUM(J12:J18)</f>
        <v>5.6250000000000001E-2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0.43333333333333335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0.5714285714285714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0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0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0.87096774193548387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C18" sqref="C18:D18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36.42578125" style="43" customWidth="1"/>
    <col min="4" max="4" width="18.285156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4.42578125" style="43" customWidth="1"/>
    <col min="20" max="20" width="18.7109375" style="43" bestFit="1" customWidth="1"/>
    <col min="21" max="21" width="14.140625" style="24" bestFit="1" customWidth="1"/>
    <col min="22" max="22" width="12.42578125" style="24" bestFit="1" customWidth="1"/>
    <col min="23" max="23" width="14.140625" style="24" bestFit="1" customWidth="1"/>
    <col min="24" max="24" width="5.28515625" style="24" bestFit="1" customWidth="1"/>
    <col min="25" max="25" width="14.4257812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285156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2.95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1399380.6072331574</v>
      </c>
      <c r="U4" s="625">
        <f>SUMIFS('Expenditure Breakdown'!$Q:$Q,
        'Expenditure Breakdown'!$T:$T, "&gt;"&amp;DATE(2025,8,31),
        'Expenditure Breakdown'!$T:$T, "&lt;="&amp;DATE(2026,8,31))</f>
        <v>918976.68346541468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216473.68349966779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124124.31249999999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918976.68346541456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480403.92576774268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0.34329754364039522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2.95">
      <c r="B13" s="589">
        <v>1</v>
      </c>
      <c r="C13" s="682" t="s">
        <v>238</v>
      </c>
      <c r="D13" s="683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46073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682" t="s">
        <v>240</v>
      </c>
      <c r="D14" s="683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6">
      <c r="B15" s="589">
        <v>3</v>
      </c>
      <c r="C15" s="682" t="s">
        <v>241</v>
      </c>
      <c r="D15" s="683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6">
      <c r="B16" s="589">
        <v>4</v>
      </c>
      <c r="C16" s="680" t="s">
        <v>198</v>
      </c>
      <c r="D16" s="681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6">
      <c r="B17" s="589">
        <v>5</v>
      </c>
      <c r="C17" s="680" t="s">
        <v>242</v>
      </c>
      <c r="D17" s="681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6">
      <c r="B18" s="589">
        <v>6</v>
      </c>
      <c r="C18" s="680"/>
      <c r="D18" s="681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6">
      <c r="B19" s="589">
        <v>7</v>
      </c>
      <c r="C19" s="682" t="s">
        <v>243</v>
      </c>
      <c r="D19" s="68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2.6">
      <c r="C24" s="59" t="s">
        <v>246</v>
      </c>
      <c r="D24" s="60"/>
      <c r="F24" s="61"/>
    </row>
    <row r="25" spans="2:19" s="24" customFormat="1" ht="12.6">
      <c r="C25" s="59" t="s">
        <v>247</v>
      </c>
      <c r="D25" s="60"/>
    </row>
    <row r="26" spans="2:19" s="24" customFormat="1" ht="12.6">
      <c r="C26" s="62" t="s">
        <v>248</v>
      </c>
      <c r="D26" s="63"/>
    </row>
    <row r="27" spans="2:19" s="24" customFormat="1" ht="12.6">
      <c r="C27" s="64" t="s">
        <v>249</v>
      </c>
      <c r="D27" s="60"/>
    </row>
    <row r="28" spans="2:19" s="24" customFormat="1" ht="12.6">
      <c r="B28" s="31"/>
      <c r="C28" s="64" t="s">
        <v>250</v>
      </c>
      <c r="D28" s="60"/>
    </row>
    <row r="29" spans="2:19" s="24" customFormat="1" ht="12.6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2.6">
      <c r="B31" s="31"/>
      <c r="F31" s="58"/>
      <c r="N31" s="543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J12" sqref="J12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49.1406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4"/>
      <c r="C4" s="684"/>
      <c r="D4" s="684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45" thickBot="1">
      <c r="A5" s="126"/>
      <c r="B5" s="685" t="s">
        <v>258</v>
      </c>
      <c r="C5" s="685"/>
      <c r="D5" s="685"/>
      <c r="E5" s="313"/>
      <c r="F5" s="133">
        <f>SUM(F9:F23)</f>
        <v>1194452.4559184783</v>
      </c>
      <c r="G5" s="128"/>
      <c r="H5" s="133">
        <f>SUM(H9:H23)</f>
        <v>918976.68346541456</v>
      </c>
      <c r="I5" s="126"/>
      <c r="J5" s="134">
        <f>SUM(J9:J23)</f>
        <v>275475.77245306398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U1" zoomScale="85" zoomScaleNormal="85" workbookViewId="0">
      <pane ySplit="4" topLeftCell="D5" activePane="bottomLeft" state="frozen"/>
      <selection pane="bottomLeft" activeCell="G9" sqref="G9"/>
      <selection activeCell="X33" sqref="X33"/>
    </sheetView>
  </sheetViews>
  <sheetFormatPr defaultColWidth="9.1406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33.4257812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33.28515625" style="26" customWidth="1"/>
    <col min="26" max="26" width="24.7109375" style="26" bestFit="1" customWidth="1"/>
    <col min="27" max="27" width="12.42578125" style="26" customWidth="1"/>
    <col min="28" max="28" width="22.42578125" style="26" customWidth="1"/>
    <col min="29" max="29" width="20.42578125" style="26" customWidth="1"/>
    <col min="30" max="30" width="12" style="26" customWidth="1"/>
    <col min="31" max="32" width="24.140625" style="26" customWidth="1"/>
    <col min="33" max="33" width="11" style="26" customWidth="1"/>
    <col min="34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6" t="s">
        <v>265</v>
      </c>
      <c r="C2" s="687"/>
      <c r="D2" s="687"/>
      <c r="E2" s="687"/>
      <c r="F2" s="687"/>
      <c r="G2" s="687"/>
      <c r="H2" s="395"/>
      <c r="I2" s="162">
        <f>SUM(I6:I164)</f>
        <v>1194452.4559184783</v>
      </c>
      <c r="J2" s="162">
        <f>SUM(J6:J164)</f>
        <v>1399380.6072331574</v>
      </c>
      <c r="L2" s="688" t="s">
        <v>266</v>
      </c>
      <c r="M2" s="689"/>
      <c r="N2" s="689"/>
      <c r="O2" s="689"/>
      <c r="P2" s="689"/>
      <c r="Q2" s="689"/>
      <c r="R2" s="696" t="s">
        <v>267</v>
      </c>
      <c r="S2" s="697"/>
      <c r="T2" s="697"/>
      <c r="U2" s="697"/>
      <c r="V2" s="697"/>
      <c r="W2" s="698"/>
      <c r="X2" s="162">
        <f>SUM(X6:X164)</f>
        <v>918976.68346541456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90">
        <f>SUM(G6:G11)</f>
        <v>370794.53000000009</v>
      </c>
      <c r="J6" s="693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5">
        <f>J6-SUM(U6:U11)</f>
        <v>0</v>
      </c>
      <c r="W6" s="453">
        <f>'Project Plan'!I38+60</f>
        <v>46136</v>
      </c>
      <c r="X6" s="690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6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6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6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6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7"/>
      <c r="W11" s="456"/>
      <c r="X11" s="692"/>
      <c r="Y11" s="607" t="s">
        <v>287</v>
      </c>
      <c r="Z11" s="487" t="s">
        <v>288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699">
        <f>SUM(G13:G19)</f>
        <v>95000</v>
      </c>
      <c r="J13" s="702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8">
        <f>J13-SUM(U13:U19)</f>
        <v>0</v>
      </c>
      <c r="W13" s="458"/>
      <c r="X13" s="699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09"/>
      <c r="W14" s="459">
        <f>W6</f>
        <v>46136</v>
      </c>
      <c r="X14" s="700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9"/>
      <c r="W15" s="459"/>
      <c r="X15" s="700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9"/>
      <c r="W16" s="459"/>
      <c r="X16" s="700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9"/>
      <c r="W17" s="459"/>
      <c r="X17" s="700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9"/>
      <c r="W18" s="459"/>
      <c r="X18" s="700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0"/>
      <c r="W19" s="460"/>
      <c r="X19" s="701"/>
      <c r="Y19" s="608" t="s">
        <v>299</v>
      </c>
      <c r="Z19" s="488">
        <v>0</v>
      </c>
      <c r="AA19" s="526"/>
    </row>
    <row r="20" spans="1:33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90">
        <f>SUM(G21:G29)</f>
        <v>58482.000000000007</v>
      </c>
      <c r="J21" s="693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5">
        <f>J21-SUM(U21:U29)</f>
        <v>0</v>
      </c>
      <c r="W21" s="461">
        <f>T21+30</f>
        <v>46111</v>
      </c>
      <c r="X21" s="690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6"/>
      <c r="W22" s="454"/>
      <c r="X22" s="691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706"/>
      <c r="W23" s="454"/>
      <c r="X23" s="691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1"/>
      <c r="J24" s="694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6"/>
      <c r="W24" s="454"/>
      <c r="X24" s="691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1"/>
      <c r="J25" s="694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706"/>
      <c r="W25" s="455"/>
      <c r="X25" s="691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1"/>
      <c r="J26" s="694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6"/>
      <c r="W26" s="455"/>
      <c r="X26" s="691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1"/>
      <c r="J27" s="694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706"/>
      <c r="W27" s="455"/>
      <c r="X27" s="691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1"/>
      <c r="J28" s="694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6"/>
      <c r="W28" s="455"/>
      <c r="X28" s="691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2"/>
      <c r="J29" s="695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07"/>
      <c r="W29" s="456"/>
      <c r="X29" s="692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4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699">
        <f>SUM(G31:G45)</f>
        <v>69414.8</v>
      </c>
      <c r="J31" s="702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08">
        <f>J31-SUM(U31:U45)</f>
        <v>0</v>
      </c>
      <c r="W31" s="458">
        <f>W6</f>
        <v>46136</v>
      </c>
      <c r="X31" s="699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700"/>
      <c r="J32" s="703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09"/>
      <c r="W32" s="459"/>
      <c r="X32" s="700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09"/>
      <c r="W33" s="459"/>
      <c r="X33" s="700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09"/>
      <c r="W34" s="459"/>
      <c r="X34" s="700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715"/>
      <c r="S35" s="506" t="s">
        <v>326</v>
      </c>
      <c r="T35" s="651">
        <v>46081</v>
      </c>
      <c r="U35" s="401">
        <f t="shared" si="4"/>
        <v>6009.9174336386459</v>
      </c>
      <c r="V35" s="709"/>
      <c r="W35" s="459">
        <f>W94</f>
        <v>46076</v>
      </c>
      <c r="X35" s="700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6"/>
      <c r="S36" s="506" t="s">
        <v>330</v>
      </c>
      <c r="T36" s="651">
        <v>46081</v>
      </c>
      <c r="U36" s="401">
        <f t="shared" si="4"/>
        <v>9014.876150457967</v>
      </c>
      <c r="V36" s="709"/>
      <c r="W36" s="459">
        <f t="shared" ref="W36:W42" si="6">W95</f>
        <v>46076</v>
      </c>
      <c r="X36" s="700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716"/>
      <c r="S37" s="506"/>
      <c r="T37" s="416">
        <f t="shared" ref="T36:T42" si="7">T96</f>
        <v>46112</v>
      </c>
      <c r="U37" s="401">
        <f t="shared" si="4"/>
        <v>12019.834867277292</v>
      </c>
      <c r="V37" s="709"/>
      <c r="W37" s="459">
        <f t="shared" si="6"/>
        <v>46091</v>
      </c>
      <c r="X37" s="700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716"/>
      <c r="S38" s="506"/>
      <c r="T38" s="416">
        <f t="shared" si="7"/>
        <v>46112</v>
      </c>
      <c r="U38" s="401">
        <f t="shared" si="4"/>
        <v>15024.793584096613</v>
      </c>
      <c r="V38" s="709"/>
      <c r="W38" s="459">
        <f t="shared" si="6"/>
        <v>46107</v>
      </c>
      <c r="X38" s="700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716"/>
      <c r="S39" s="506"/>
      <c r="T39" s="416">
        <f t="shared" si="7"/>
        <v>46142</v>
      </c>
      <c r="U39" s="401">
        <f t="shared" si="4"/>
        <v>6009.9174336386459</v>
      </c>
      <c r="V39" s="709"/>
      <c r="W39" s="459">
        <f t="shared" si="6"/>
        <v>46118</v>
      </c>
      <c r="X39" s="700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716"/>
      <c r="S40" s="506"/>
      <c r="T40" s="416">
        <f t="shared" si="7"/>
        <v>46142</v>
      </c>
      <c r="U40" s="401">
        <f t="shared" si="4"/>
        <v>6009.9174336386459</v>
      </c>
      <c r="V40" s="709"/>
      <c r="W40" s="459">
        <f t="shared" si="6"/>
        <v>46119</v>
      </c>
      <c r="X40" s="700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716"/>
      <c r="S41" s="506"/>
      <c r="T41" s="416">
        <f t="shared" si="7"/>
        <v>46142</v>
      </c>
      <c r="U41" s="401">
        <f t="shared" si="4"/>
        <v>3004.9587168193229</v>
      </c>
      <c r="V41" s="709"/>
      <c r="W41" s="459">
        <f t="shared" si="6"/>
        <v>46119</v>
      </c>
      <c r="X41" s="700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0"/>
      <c r="J42" s="703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717"/>
      <c r="S42" s="506"/>
      <c r="T42" s="416">
        <f t="shared" si="7"/>
        <v>46142</v>
      </c>
      <c r="U42" s="401">
        <f t="shared" si="4"/>
        <v>3004.9587168193229</v>
      </c>
      <c r="V42" s="709"/>
      <c r="W42" s="459">
        <f t="shared" si="6"/>
        <v>46142</v>
      </c>
      <c r="X42" s="700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00"/>
      <c r="J43" s="703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09"/>
      <c r="W43" s="459"/>
      <c r="X43" s="700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00"/>
      <c r="J44" s="703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09"/>
      <c r="W44" s="459"/>
      <c r="X44" s="711"/>
      <c r="Y44" s="735" t="s">
        <v>343</v>
      </c>
      <c r="Z44" s="736"/>
      <c r="AA44" s="736"/>
      <c r="AB44" s="736"/>
      <c r="AC44" s="736"/>
      <c r="AD44" s="736"/>
      <c r="AE44" s="736"/>
      <c r="AF44" s="737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01"/>
      <c r="J45" s="704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10"/>
      <c r="W45" s="460"/>
      <c r="X45" s="701"/>
    </row>
    <row r="46" spans="1:33" ht="14.4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90">
        <f>D170</f>
        <v>49000</v>
      </c>
      <c r="J47" s="693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10887.636484549721</v>
      </c>
      <c r="V47" s="705">
        <f>J47-SUM(U47:U54)</f>
        <v>0</v>
      </c>
      <c r="W47" s="461">
        <f>W14</f>
        <v>46136</v>
      </c>
      <c r="X47" s="690">
        <f>SUM(Q47:Q54)</f>
        <v>47191.439999999995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91"/>
      <c r="J48" s="694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706"/>
      <c r="W48" s="454">
        <f>T48+30</f>
        <v>46111</v>
      </c>
      <c r="X48" s="691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91"/>
      <c r="J49" s="694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706"/>
      <c r="W49" s="454">
        <f>T49+30</f>
        <v>46111</v>
      </c>
      <c r="X49" s="691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1"/>
      <c r="J50" s="694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4558.4951681811826</v>
      </c>
      <c r="V50" s="706"/>
      <c r="W50" s="627">
        <v>45911</v>
      </c>
      <c r="X50" s="691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1"/>
      <c r="J51" s="694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3634.1336479666652</v>
      </c>
      <c r="V51" s="706"/>
      <c r="W51" s="631">
        <v>46029</v>
      </c>
      <c r="X51" s="691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1"/>
      <c r="J52" s="694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1234.5924413824036</v>
      </c>
      <c r="V52" s="706"/>
      <c r="W52" s="631">
        <v>45899</v>
      </c>
      <c r="X52" s="691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1"/>
      <c r="J53" s="694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1537.3524954691038</v>
      </c>
      <c r="V53" s="706"/>
      <c r="W53" s="631">
        <v>45910</v>
      </c>
      <c r="X53" s="691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2"/>
      <c r="J54" s="695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07"/>
      <c r="W54" s="456"/>
      <c r="X54" s="692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4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699">
        <f>SUM(G56:G72)</f>
        <v>198443.48695652175</v>
      </c>
      <c r="J56" s="702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08">
        <f>J56-SUM(U56:U72)</f>
        <v>0</v>
      </c>
      <c r="W56" s="458"/>
      <c r="X56" s="699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709"/>
      <c r="W57" s="459">
        <f>T57+30</f>
        <v>46111</v>
      </c>
      <c r="X57" s="700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00"/>
      <c r="J58" s="703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09"/>
      <c r="W58" s="459"/>
      <c r="X58" s="700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0"/>
      <c r="J59" s="703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09"/>
      <c r="W59" s="459"/>
      <c r="X59" s="700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0"/>
      <c r="J60" s="703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09"/>
      <c r="W60" s="459"/>
      <c r="X60" s="700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0"/>
      <c r="J61" s="703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09"/>
      <c r="W61" s="459"/>
      <c r="X61" s="700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715"/>
      <c r="S62" s="506" t="s">
        <v>326</v>
      </c>
      <c r="T62" s="651">
        <v>46081</v>
      </c>
      <c r="U62" s="401">
        <f t="shared" si="9"/>
        <v>11521.230092557249</v>
      </c>
      <c r="V62" s="709"/>
      <c r="W62" s="459">
        <f>W94</f>
        <v>46076</v>
      </c>
      <c r="X62" s="700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00"/>
      <c r="J63" s="703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6"/>
      <c r="S63" s="506" t="s">
        <v>330</v>
      </c>
      <c r="T63" s="750">
        <v>46081</v>
      </c>
      <c r="U63" s="401">
        <f t="shared" si="9"/>
        <v>17281.845138835874</v>
      </c>
      <c r="V63" s="709"/>
      <c r="W63" s="459">
        <f t="shared" ref="W63:W69" si="11">W95</f>
        <v>46076</v>
      </c>
      <c r="X63" s="700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00"/>
      <c r="J64" s="703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716"/>
      <c r="S64" s="506"/>
      <c r="T64" s="419">
        <f t="shared" si="1"/>
        <v>46112</v>
      </c>
      <c r="U64" s="401">
        <f t="shared" si="9"/>
        <v>23042.460185114498</v>
      </c>
      <c r="V64" s="709"/>
      <c r="W64" s="459">
        <f t="shared" si="11"/>
        <v>46091</v>
      </c>
      <c r="X64" s="70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0"/>
      <c r="J65" s="703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716"/>
      <c r="S65" s="506"/>
      <c r="T65" s="419">
        <f t="shared" si="1"/>
        <v>46112</v>
      </c>
      <c r="U65" s="401">
        <f t="shared" si="9"/>
        <v>28803.075231393123</v>
      </c>
      <c r="V65" s="709"/>
      <c r="W65" s="459">
        <f t="shared" si="11"/>
        <v>46107</v>
      </c>
      <c r="X65" s="70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0"/>
      <c r="J66" s="703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716"/>
      <c r="S66" s="506"/>
      <c r="T66" s="419">
        <f t="shared" si="1"/>
        <v>46142</v>
      </c>
      <c r="U66" s="401">
        <f t="shared" si="9"/>
        <v>11521.230092557249</v>
      </c>
      <c r="V66" s="709"/>
      <c r="W66" s="459">
        <f t="shared" si="11"/>
        <v>46118</v>
      </c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716"/>
      <c r="S67" s="510"/>
      <c r="T67" s="419">
        <f t="shared" si="1"/>
        <v>46142</v>
      </c>
      <c r="U67" s="406">
        <f t="shared" si="9"/>
        <v>11521.230092557249</v>
      </c>
      <c r="V67" s="709"/>
      <c r="W67" s="459">
        <f t="shared" si="11"/>
        <v>46119</v>
      </c>
      <c r="X67" s="70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0"/>
      <c r="J68" s="703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716"/>
      <c r="S68" s="510"/>
      <c r="T68" s="419">
        <f t="shared" si="1"/>
        <v>46142</v>
      </c>
      <c r="U68" s="406">
        <f t="shared" si="9"/>
        <v>5760.6150462786245</v>
      </c>
      <c r="V68" s="709"/>
      <c r="W68" s="459">
        <f t="shared" si="11"/>
        <v>46119</v>
      </c>
      <c r="X68" s="70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0"/>
      <c r="J69" s="703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717"/>
      <c r="S69" s="510"/>
      <c r="T69" s="419">
        <f t="shared" si="1"/>
        <v>46142</v>
      </c>
      <c r="U69" s="406">
        <f t="shared" si="9"/>
        <v>5760.6150462786245</v>
      </c>
      <c r="V69" s="709"/>
      <c r="W69" s="459">
        <f t="shared" si="11"/>
        <v>46142</v>
      </c>
      <c r="X69" s="70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0"/>
      <c r="J70" s="703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09"/>
      <c r="W70" s="462"/>
      <c r="X70" s="70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0"/>
      <c r="J71" s="703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09"/>
      <c r="W71" s="462"/>
      <c r="X71" s="700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01"/>
      <c r="J72" s="704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10"/>
      <c r="W72" s="460"/>
      <c r="X72" s="701"/>
    </row>
    <row r="73" spans="1:24" ht="14.4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90">
        <f>SUM(G74:G81)</f>
        <v>0</v>
      </c>
      <c r="J74" s="693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12">
        <f>J74-SUM(U74:U81)</f>
        <v>0</v>
      </c>
      <c r="W74" s="464"/>
      <c r="X74" s="690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3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13"/>
      <c r="W76" s="455"/>
      <c r="X76" s="69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13"/>
      <c r="W77" s="455"/>
      <c r="X77" s="69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1"/>
      <c r="J78" s="694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13"/>
      <c r="W78" s="455"/>
      <c r="X78" s="69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1"/>
      <c r="J79" s="694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13"/>
      <c r="W79" s="455"/>
      <c r="X79" s="69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1"/>
      <c r="J80" s="694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13"/>
      <c r="W80" s="455"/>
      <c r="X80" s="691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2"/>
      <c r="J81" s="695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14"/>
      <c r="W81" s="456"/>
      <c r="X81" s="692"/>
    </row>
    <row r="82" spans="1:24" ht="14.4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699">
        <f>SUM(G83:G91)</f>
        <v>4000</v>
      </c>
      <c r="J83" s="702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751">
        <v>46081</v>
      </c>
      <c r="U83" s="400">
        <f>(Q83/$X$83*$J$83)</f>
        <v>4494.3820224719102</v>
      </c>
      <c r="V83" s="730">
        <f>J83-SUM(U83:U91)</f>
        <v>0</v>
      </c>
      <c r="W83" s="458">
        <v>45911</v>
      </c>
      <c r="X83" s="699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31"/>
      <c r="W84" s="459"/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0"/>
      <c r="J85" s="703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31"/>
      <c r="W85" s="459"/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31"/>
      <c r="W86" s="459"/>
      <c r="X86" s="70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0"/>
      <c r="J87" s="703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31"/>
      <c r="W87" s="459"/>
      <c r="X87" s="700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31"/>
      <c r="W88" s="459"/>
      <c r="X88" s="70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0"/>
      <c r="J89" s="703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31"/>
      <c r="W89" s="459"/>
      <c r="X89" s="700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0"/>
      <c r="J90" s="703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31"/>
      <c r="W90" s="462"/>
      <c r="X90" s="700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1"/>
      <c r="J91" s="704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32"/>
      <c r="W91" s="460"/>
      <c r="X91" s="701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724">
        <f>SUM(G93:G104)</f>
        <v>108300</v>
      </c>
      <c r="J93" s="693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5">
        <f>J93-SUM(U93:U104)</f>
        <v>0</v>
      </c>
      <c r="W93" s="461"/>
      <c r="X93" s="690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725"/>
      <c r="J94" s="694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41"/>
      <c r="S94" s="747" t="s">
        <v>326</v>
      </c>
      <c r="T94" s="630">
        <v>46081</v>
      </c>
      <c r="U94" s="397">
        <f t="shared" si="13"/>
        <v>12741.176470588236</v>
      </c>
      <c r="V94" s="706"/>
      <c r="W94" s="454">
        <f>'Project Plan'!I21</f>
        <v>46076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5"/>
      <c r="J95" s="694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42"/>
      <c r="S95" s="747" t="s">
        <v>330</v>
      </c>
      <c r="T95" s="630">
        <v>46081</v>
      </c>
      <c r="U95" s="397">
        <f t="shared" si="13"/>
        <v>19111.764705882353</v>
      </c>
      <c r="V95" s="706"/>
      <c r="W95" s="455">
        <f>'Project Plan'!I21</f>
        <v>46076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5"/>
      <c r="J96" s="694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42"/>
      <c r="S96" s="502"/>
      <c r="T96" s="412">
        <f t="shared" si="12"/>
        <v>46112</v>
      </c>
      <c r="U96" s="397">
        <f t="shared" si="13"/>
        <v>25482.352941176472</v>
      </c>
      <c r="V96" s="706"/>
      <c r="W96" s="455">
        <f>'Project Plan'!K23+7</f>
        <v>46091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5"/>
      <c r="J97" s="694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42"/>
      <c r="S97" s="502"/>
      <c r="T97" s="412">
        <f t="shared" si="12"/>
        <v>46112</v>
      </c>
      <c r="U97" s="397">
        <f t="shared" si="13"/>
        <v>31852.941176470587</v>
      </c>
      <c r="V97" s="706"/>
      <c r="W97" s="455">
        <f>'Project Plan'!K30+7</f>
        <v>46107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5"/>
      <c r="J98" s="694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42"/>
      <c r="S98" s="502"/>
      <c r="T98" s="412">
        <f t="shared" si="12"/>
        <v>46142</v>
      </c>
      <c r="U98" s="397">
        <f t="shared" si="13"/>
        <v>12741.176470588236</v>
      </c>
      <c r="V98" s="706"/>
      <c r="W98" s="455">
        <f>'Project Plan'!K41+7</f>
        <v>46118</v>
      </c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5"/>
      <c r="J99" s="694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42"/>
      <c r="S99" s="502"/>
      <c r="T99" s="412">
        <f t="shared" si="12"/>
        <v>46142</v>
      </c>
      <c r="U99" s="397">
        <f t="shared" si="13"/>
        <v>12741.176470588236</v>
      </c>
      <c r="V99" s="706"/>
      <c r="W99" s="455">
        <f>'Project Plan'!K48+7</f>
        <v>46119</v>
      </c>
      <c r="X99" s="69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5"/>
      <c r="J100" s="694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42"/>
      <c r="S100" s="502"/>
      <c r="T100" s="412">
        <f t="shared" si="12"/>
        <v>46142</v>
      </c>
      <c r="U100" s="397">
        <f t="shared" si="13"/>
        <v>6370.588235294118</v>
      </c>
      <c r="V100" s="706"/>
      <c r="W100" s="455">
        <f>'Project Plan'!K48+7</f>
        <v>46119</v>
      </c>
      <c r="X100" s="69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5"/>
      <c r="J101" s="694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43"/>
      <c r="S101" s="502"/>
      <c r="T101" s="412">
        <f t="shared" si="12"/>
        <v>46142</v>
      </c>
      <c r="U101" s="397">
        <f t="shared" si="13"/>
        <v>6370.588235294118</v>
      </c>
      <c r="V101" s="706"/>
      <c r="W101" s="455">
        <f>'Project Plan'!K48+30</f>
        <v>46142</v>
      </c>
      <c r="X101" s="69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5"/>
      <c r="J102" s="694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6"/>
      <c r="W102" s="455"/>
      <c r="X102" s="69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5"/>
      <c r="J103" s="694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6"/>
      <c r="W103" s="455"/>
      <c r="X103" s="691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6"/>
      <c r="J104" s="695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07"/>
      <c r="W104" s="456"/>
      <c r="X104" s="692"/>
    </row>
    <row r="105" spans="1:24" ht="14.4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718">
        <f>SUM(G106:G120)</f>
        <v>59041.9</v>
      </c>
      <c r="J106" s="721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27">
        <f>J106-SUM(U106:U120)</f>
        <v>0</v>
      </c>
      <c r="W106" s="465"/>
      <c r="X106" s="718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719"/>
      <c r="J107" s="722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28"/>
      <c r="W107" s="466"/>
      <c r="X107" s="719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719"/>
      <c r="J108" s="722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28"/>
      <c r="W108" s="466"/>
      <c r="X108" s="719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719"/>
      <c r="J109" s="722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28"/>
      <c r="W109" s="466"/>
      <c r="X109" s="71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19"/>
      <c r="J110" s="722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38"/>
      <c r="S110" s="748" t="s">
        <v>326</v>
      </c>
      <c r="T110" s="749">
        <v>46081</v>
      </c>
      <c r="U110" s="409">
        <f t="shared" si="15"/>
        <v>6946.0874177224259</v>
      </c>
      <c r="V110" s="728"/>
      <c r="W110" s="467">
        <f>W94</f>
        <v>46076</v>
      </c>
      <c r="X110" s="71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19"/>
      <c r="J111" s="722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39"/>
      <c r="S111" s="748" t="s">
        <v>330</v>
      </c>
      <c r="T111" s="749">
        <v>46081</v>
      </c>
      <c r="U111" s="409">
        <f t="shared" si="15"/>
        <v>10419.179901079342</v>
      </c>
      <c r="V111" s="728"/>
      <c r="W111" s="467">
        <f t="shared" ref="W111:W117" si="16">W95</f>
        <v>46076</v>
      </c>
      <c r="X111" s="71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19"/>
      <c r="J112" s="722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1:Q117" si="17">$O$110*P112</f>
        <v>9968.8860000000004</v>
      </c>
      <c r="R112" s="739"/>
      <c r="S112" s="515"/>
      <c r="T112" s="425">
        <f t="shared" ref="T111:T117" si="18">T96</f>
        <v>46112</v>
      </c>
      <c r="U112" s="409">
        <f t="shared" si="15"/>
        <v>13892.211067927376</v>
      </c>
      <c r="V112" s="728"/>
      <c r="W112" s="467">
        <f t="shared" si="16"/>
        <v>46091</v>
      </c>
      <c r="X112" s="71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19"/>
      <c r="J113" s="722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39"/>
      <c r="S113" s="515"/>
      <c r="T113" s="425">
        <f t="shared" si="18"/>
        <v>46112</v>
      </c>
      <c r="U113" s="409">
        <f t="shared" si="15"/>
        <v>17365.263834909216</v>
      </c>
      <c r="V113" s="728"/>
      <c r="W113" s="467">
        <f t="shared" si="16"/>
        <v>46107</v>
      </c>
      <c r="X113" s="71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19"/>
      <c r="J114" s="722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39"/>
      <c r="S114" s="515"/>
      <c r="T114" s="425">
        <f t="shared" si="18"/>
        <v>46142</v>
      </c>
      <c r="U114" s="409">
        <f t="shared" si="15"/>
        <v>6946.1055339636878</v>
      </c>
      <c r="V114" s="728"/>
      <c r="W114" s="467">
        <f t="shared" si="16"/>
        <v>46118</v>
      </c>
      <c r="X114" s="71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19"/>
      <c r="J115" s="722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39"/>
      <c r="S115" s="515"/>
      <c r="T115" s="425">
        <f t="shared" si="18"/>
        <v>46142</v>
      </c>
      <c r="U115" s="409">
        <f t="shared" si="15"/>
        <v>6946.1055339636878</v>
      </c>
      <c r="V115" s="728"/>
      <c r="W115" s="467">
        <f t="shared" si="16"/>
        <v>46119</v>
      </c>
      <c r="X115" s="71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19"/>
      <c r="J116" s="722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39"/>
      <c r="S116" s="515"/>
      <c r="T116" s="425">
        <f t="shared" si="18"/>
        <v>46142</v>
      </c>
      <c r="U116" s="409">
        <f t="shared" si="15"/>
        <v>3473.0527669818439</v>
      </c>
      <c r="V116" s="728"/>
      <c r="W116" s="467">
        <f t="shared" si="16"/>
        <v>46119</v>
      </c>
      <c r="X116" s="71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19"/>
      <c r="J117" s="722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40"/>
      <c r="S117" s="515"/>
      <c r="T117" s="425">
        <f t="shared" si="18"/>
        <v>46142</v>
      </c>
      <c r="U117" s="409">
        <f t="shared" si="15"/>
        <v>3473.0527669818439</v>
      </c>
      <c r="V117" s="728"/>
      <c r="W117" s="467">
        <f t="shared" si="16"/>
        <v>46142</v>
      </c>
      <c r="X117" s="71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19"/>
      <c r="J118" s="722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28"/>
      <c r="W118" s="467"/>
      <c r="X118" s="71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19"/>
      <c r="J119" s="722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28"/>
      <c r="W119" s="467"/>
      <c r="X119" s="719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0"/>
      <c r="J120" s="723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29"/>
      <c r="W120" s="468"/>
      <c r="X120" s="720"/>
    </row>
    <row r="121" spans="1:24" ht="14.4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90">
        <f>SUM(G122:G127)</f>
        <v>89000</v>
      </c>
      <c r="J122" s="693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5">
        <f>J122-SUM(U122:U127)</f>
        <v>0</v>
      </c>
      <c r="W122" s="461">
        <f>'Project Plan'!K41+14</f>
        <v>46125</v>
      </c>
      <c r="X122" s="690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91"/>
      <c r="J123" s="694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706"/>
      <c r="W123" s="627">
        <v>45526</v>
      </c>
      <c r="X123" s="691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91"/>
      <c r="J124" s="694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706"/>
      <c r="W124" s="454">
        <f>T124+30</f>
        <v>46111</v>
      </c>
      <c r="X124" s="691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1"/>
      <c r="J125" s="694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6"/>
      <c r="W125" s="455">
        <f>T125+7</f>
        <v>46119</v>
      </c>
      <c r="X125" s="691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1"/>
      <c r="J126" s="694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706"/>
      <c r="W126" s="631">
        <v>46015</v>
      </c>
      <c r="X126" s="691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2"/>
      <c r="J127" s="695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707"/>
      <c r="W127" s="623">
        <v>45989</v>
      </c>
      <c r="X127" s="692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718">
        <f>SUM(G129:G130)</f>
        <v>0</v>
      </c>
      <c r="J129" s="721">
        <v>0</v>
      </c>
      <c r="K129" s="733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18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720"/>
      <c r="J130" s="723"/>
      <c r="K130" s="734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20"/>
    </row>
    <row r="131" spans="1:24" ht="14.4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90">
        <f>SUM(G132:G136)</f>
        <v>90875.738961956522</v>
      </c>
      <c r="J132" s="693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705">
        <f>J132-SUM(U132:U137)</f>
        <v>0</v>
      </c>
      <c r="W132" s="461">
        <f>'Project Plan'!K41</f>
        <v>46111</v>
      </c>
      <c r="X132" s="690">
        <f>SUM(Q132:Q137)</f>
        <v>95172.66096541447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91"/>
      <c r="J133" s="694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706"/>
      <c r="W133" s="454">
        <f>W132</f>
        <v>46111</v>
      </c>
      <c r="X133" s="691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91"/>
      <c r="J134" s="694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706"/>
      <c r="W134" s="454">
        <f t="shared" ref="W134:W136" si="21">W133</f>
        <v>46111</v>
      </c>
      <c r="X134" s="691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91"/>
      <c r="J135" s="694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706"/>
      <c r="W135" s="454">
        <f t="shared" si="21"/>
        <v>46111</v>
      </c>
      <c r="X135" s="691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91"/>
      <c r="J136" s="694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706"/>
      <c r="W136" s="454">
        <f t="shared" si="21"/>
        <v>46111</v>
      </c>
      <c r="X136" s="691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2"/>
      <c r="J137" s="695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07"/>
      <c r="W137" s="456"/>
      <c r="X137" s="692"/>
    </row>
    <row r="138" spans="1:24" ht="14.4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718">
        <f>SUM(G139:G150)</f>
        <v>2100</v>
      </c>
      <c r="J139" s="721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2">(Q139/$X$139*$J$139)</f>
        <v>617.64705882352939</v>
      </c>
      <c r="V139" s="727">
        <f>J139-SUM(U139:U150)</f>
        <v>0</v>
      </c>
      <c r="W139" s="467">
        <f>T139+7</f>
        <v>46088</v>
      </c>
      <c r="X139" s="718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19"/>
      <c r="J140" s="722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2"/>
        <v>617.64705882352939</v>
      </c>
      <c r="V140" s="728"/>
      <c r="W140" s="467">
        <f t="shared" ref="W140:W142" si="23">T140+7</f>
        <v>46119</v>
      </c>
      <c r="X140" s="71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19"/>
      <c r="J141" s="722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728"/>
      <c r="W141" s="467">
        <f t="shared" si="23"/>
        <v>46149</v>
      </c>
      <c r="X141" s="71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19"/>
      <c r="J142" s="722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728"/>
      <c r="W142" s="467">
        <f t="shared" si="23"/>
        <v>46180</v>
      </c>
      <c r="X142" s="71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19"/>
      <c r="J143" s="722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728"/>
      <c r="W143" s="467"/>
      <c r="X143" s="71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19"/>
      <c r="J144" s="722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28"/>
      <c r="W144" s="467"/>
      <c r="X144" s="71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19"/>
      <c r="J145" s="722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28"/>
      <c r="W145" s="467"/>
      <c r="X145" s="71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19"/>
      <c r="J146" s="722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28"/>
      <c r="W146" s="467"/>
      <c r="X146" s="71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19"/>
      <c r="J147" s="722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28"/>
      <c r="W147" s="467"/>
      <c r="X147" s="71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19"/>
      <c r="J148" s="722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728"/>
      <c r="W148" s="467"/>
      <c r="X148" s="71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19"/>
      <c r="J149" s="722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728"/>
      <c r="W149" s="467"/>
      <c r="X149" s="719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720"/>
      <c r="J150" s="723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729"/>
      <c r="W150" s="468"/>
      <c r="X150" s="720"/>
    </row>
    <row r="151" spans="1:24" ht="14.4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90">
        <f>SUM(G152:G163)</f>
        <v>0</v>
      </c>
      <c r="J152" s="693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705">
        <v>0</v>
      </c>
      <c r="W152" s="461"/>
      <c r="X152" s="690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706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6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6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6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6"/>
      <c r="W157" s="454"/>
      <c r="X157" s="69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6"/>
      <c r="W158" s="454"/>
      <c r="X158" s="69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06"/>
      <c r="W159" s="454"/>
      <c r="X159" s="69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06"/>
      <c r="W160" s="454"/>
      <c r="X160" s="69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1"/>
      <c r="J161" s="694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06"/>
      <c r="W161" s="454"/>
      <c r="X161" s="69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1"/>
      <c r="J162" s="694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706"/>
      <c r="W162" s="454"/>
      <c r="X162" s="691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2"/>
      <c r="J163" s="695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707"/>
      <c r="W163" s="456"/>
      <c r="X163" s="692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752">
        <f>SUM(U6:U165)</f>
        <v>1399380.6072331574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752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J31" sqref="J3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45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45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45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44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699690.30461657862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699690.30461657862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45"/>
      <c r="B11" s="123" t="s">
        <v>432</v>
      </c>
      <c r="C11" s="124">
        <f>'Revenue Tracking'!F5</f>
        <v>918976.68346541456</v>
      </c>
      <c r="D11" s="124">
        <f>SUM(F11:KF11)</f>
        <v>901896.68346541445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45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434015.93546541443</v>
      </c>
      <c r="AA12" s="125">
        <f t="shared" si="26"/>
        <v>508332.52546541445</v>
      </c>
      <c r="AB12" s="125">
        <f t="shared" si="26"/>
        <v>520910.02546541445</v>
      </c>
      <c r="AC12" s="125">
        <f t="shared" si="26"/>
        <v>887288.36546541448</v>
      </c>
      <c r="AD12" s="125">
        <f>AC12+AD11</f>
        <v>900846.68346541445</v>
      </c>
      <c r="AE12" s="125">
        <f t="shared" si="26"/>
        <v>901371.68346541445</v>
      </c>
      <c r="AF12" s="125">
        <f t="shared" si="26"/>
        <v>901371.68346541445</v>
      </c>
      <c r="AG12" s="125">
        <f t="shared" si="26"/>
        <v>901371.68346541445</v>
      </c>
      <c r="AH12" s="125">
        <f t="shared" si="26"/>
        <v>901371.68346541445</v>
      </c>
      <c r="AI12" s="125">
        <f t="shared" si="26"/>
        <v>901896.68346541445</v>
      </c>
      <c r="AJ12" s="125">
        <f t="shared" si="26"/>
        <v>901896.68346541445</v>
      </c>
      <c r="AK12" s="125">
        <f t="shared" si="26"/>
        <v>901896.68346541445</v>
      </c>
      <c r="AL12" s="125">
        <f t="shared" si="26"/>
        <v>901896.68346541445</v>
      </c>
      <c r="AM12" s="125">
        <f t="shared" si="26"/>
        <v>901896.68346541445</v>
      </c>
      <c r="AN12" s="125">
        <f t="shared" si="26"/>
        <v>901896.68346541445</v>
      </c>
      <c r="AO12" s="125">
        <f t="shared" si="26"/>
        <v>901896.68346541445</v>
      </c>
      <c r="AP12" s="125">
        <f t="shared" si="26"/>
        <v>901896.68346541445</v>
      </c>
      <c r="AQ12" s="125">
        <f t="shared" si="26"/>
        <v>901896.68346541445</v>
      </c>
      <c r="AR12" s="125">
        <f t="shared" si="26"/>
        <v>901896.68346541445</v>
      </c>
      <c r="AS12" s="125">
        <f t="shared" si="26"/>
        <v>901896.68346541445</v>
      </c>
      <c r="AT12" s="125">
        <f t="shared" si="26"/>
        <v>901896.68346541445</v>
      </c>
      <c r="AU12" s="125">
        <f t="shared" si="26"/>
        <v>901896.68346541445</v>
      </c>
      <c r="AV12" s="125">
        <f t="shared" si="26"/>
        <v>901896.68346541445</v>
      </c>
      <c r="AW12" s="125">
        <f t="shared" si="26"/>
        <v>901896.68346541445</v>
      </c>
      <c r="AX12" s="125">
        <f t="shared" si="26"/>
        <v>901896.68346541445</v>
      </c>
      <c r="AY12" s="125">
        <f t="shared" si="26"/>
        <v>901896.68346541445</v>
      </c>
      <c r="AZ12" s="125">
        <f t="shared" si="26"/>
        <v>901896.68346541445</v>
      </c>
      <c r="BA12" s="125">
        <f t="shared" si="26"/>
        <v>901896.68346541445</v>
      </c>
      <c r="BB12" s="125">
        <f t="shared" si="26"/>
        <v>901896.68346541445</v>
      </c>
      <c r="BC12" s="125">
        <f t="shared" si="26"/>
        <v>901896.68346541445</v>
      </c>
      <c r="BD12" s="125">
        <f t="shared" si="26"/>
        <v>901896.68346541445</v>
      </c>
      <c r="BE12" s="125">
        <f t="shared" si="26"/>
        <v>901896.68346541445</v>
      </c>
      <c r="BF12" s="125">
        <f t="shared" si="26"/>
        <v>901896.68346541445</v>
      </c>
      <c r="BG12" s="125">
        <f t="shared" si="26"/>
        <v>901896.68346541445</v>
      </c>
      <c r="BH12" s="125">
        <f t="shared" si="26"/>
        <v>901896.68346541445</v>
      </c>
      <c r="BI12" s="125">
        <f t="shared" si="26"/>
        <v>901896.68346541445</v>
      </c>
      <c r="BJ12" s="125">
        <f t="shared" si="26"/>
        <v>901896.68346541445</v>
      </c>
      <c r="BK12" s="125">
        <f t="shared" si="26"/>
        <v>901896.68346541445</v>
      </c>
      <c r="BL12" s="125">
        <f t="shared" si="26"/>
        <v>901896.68346541445</v>
      </c>
      <c r="BM12" s="125">
        <f t="shared" si="26"/>
        <v>901896.68346541445</v>
      </c>
      <c r="BN12" s="125">
        <f t="shared" si="26"/>
        <v>901896.68346541445</v>
      </c>
      <c r="BO12" s="125">
        <f t="shared" si="26"/>
        <v>901896.68346541445</v>
      </c>
      <c r="BP12" s="125">
        <f t="shared" si="26"/>
        <v>901896.68346541445</v>
      </c>
      <c r="BQ12" s="125">
        <f t="shared" si="26"/>
        <v>901896.68346541445</v>
      </c>
      <c r="BR12" s="125">
        <f t="shared" si="26"/>
        <v>901896.68346541445</v>
      </c>
      <c r="BS12" s="125">
        <f t="shared" si="26"/>
        <v>901896.68346541445</v>
      </c>
      <c r="BT12" s="125">
        <f t="shared" si="26"/>
        <v>901896.68346541445</v>
      </c>
      <c r="BU12" s="125">
        <f t="shared" ref="BU12:EF12" si="27">BT12+BU11</f>
        <v>901896.68346541445</v>
      </c>
      <c r="BV12" s="125">
        <f t="shared" si="27"/>
        <v>901896.68346541445</v>
      </c>
      <c r="BW12" s="125">
        <f t="shared" si="27"/>
        <v>901896.68346541445</v>
      </c>
      <c r="BX12" s="125">
        <f t="shared" si="27"/>
        <v>901896.68346541445</v>
      </c>
      <c r="BY12" s="125">
        <f t="shared" si="27"/>
        <v>901896.68346541445</v>
      </c>
      <c r="BZ12" s="125">
        <f t="shared" si="27"/>
        <v>901896.68346541445</v>
      </c>
      <c r="CA12" s="125">
        <f t="shared" si="27"/>
        <v>901896.68346541445</v>
      </c>
      <c r="CB12" s="125">
        <f t="shared" si="27"/>
        <v>901896.68346541445</v>
      </c>
      <c r="CC12" s="125">
        <f t="shared" si="27"/>
        <v>901896.68346541445</v>
      </c>
      <c r="CD12" s="125">
        <f t="shared" si="27"/>
        <v>901896.68346541445</v>
      </c>
      <c r="CE12" s="125">
        <f t="shared" si="27"/>
        <v>901896.68346541445</v>
      </c>
      <c r="CF12" s="125">
        <f t="shared" si="27"/>
        <v>901896.68346541445</v>
      </c>
      <c r="CG12" s="125">
        <f t="shared" si="27"/>
        <v>901896.68346541445</v>
      </c>
      <c r="CH12" s="125">
        <f t="shared" si="27"/>
        <v>901896.68346541445</v>
      </c>
      <c r="CI12" s="125">
        <f t="shared" si="27"/>
        <v>901896.68346541445</v>
      </c>
      <c r="CJ12" s="125">
        <f t="shared" si="27"/>
        <v>901896.68346541445</v>
      </c>
      <c r="CK12" s="125">
        <f t="shared" si="27"/>
        <v>901896.68346541445</v>
      </c>
      <c r="CL12" s="125">
        <f t="shared" si="27"/>
        <v>901896.68346541445</v>
      </c>
      <c r="CM12" s="125">
        <f t="shared" si="27"/>
        <v>901896.68346541445</v>
      </c>
      <c r="CN12" s="125">
        <f t="shared" si="27"/>
        <v>901896.68346541445</v>
      </c>
      <c r="CO12" s="125">
        <f t="shared" si="27"/>
        <v>901896.68346541445</v>
      </c>
      <c r="CP12" s="125">
        <f t="shared" si="27"/>
        <v>901896.68346541445</v>
      </c>
      <c r="CQ12" s="125">
        <f t="shared" si="27"/>
        <v>901896.68346541445</v>
      </c>
      <c r="CR12" s="125">
        <f t="shared" si="27"/>
        <v>901896.68346541445</v>
      </c>
      <c r="CS12" s="125">
        <f t="shared" si="27"/>
        <v>901896.68346541445</v>
      </c>
      <c r="CT12" s="125">
        <f t="shared" si="27"/>
        <v>901896.68346541445</v>
      </c>
      <c r="CU12" s="125">
        <f t="shared" si="27"/>
        <v>901896.68346541445</v>
      </c>
      <c r="CV12" s="125">
        <f t="shared" si="27"/>
        <v>901896.68346541445</v>
      </c>
      <c r="CW12" s="125">
        <f t="shared" si="27"/>
        <v>901896.68346541445</v>
      </c>
      <c r="CX12" s="125">
        <f t="shared" si="27"/>
        <v>901896.68346541445</v>
      </c>
      <c r="CY12" s="125">
        <f t="shared" si="27"/>
        <v>901896.68346541445</v>
      </c>
      <c r="CZ12" s="125">
        <f t="shared" si="27"/>
        <v>901896.68346541445</v>
      </c>
      <c r="DA12" s="125">
        <f t="shared" si="27"/>
        <v>901896.68346541445</v>
      </c>
      <c r="DB12" s="125">
        <f t="shared" si="27"/>
        <v>901896.68346541445</v>
      </c>
      <c r="DC12" s="125">
        <f t="shared" si="27"/>
        <v>901896.68346541445</v>
      </c>
      <c r="DD12" s="125">
        <f t="shared" si="27"/>
        <v>901896.68346541445</v>
      </c>
      <c r="DE12" s="125">
        <f t="shared" si="27"/>
        <v>901896.68346541445</v>
      </c>
      <c r="DF12" s="125">
        <f t="shared" si="27"/>
        <v>901896.68346541445</v>
      </c>
      <c r="DG12" s="125">
        <f t="shared" si="27"/>
        <v>901896.68346541445</v>
      </c>
      <c r="DH12" s="125">
        <f t="shared" si="27"/>
        <v>901896.68346541445</v>
      </c>
      <c r="DI12" s="125">
        <f t="shared" si="27"/>
        <v>901896.68346541445</v>
      </c>
      <c r="DJ12" s="125">
        <f t="shared" si="27"/>
        <v>901896.68346541445</v>
      </c>
      <c r="DK12" s="125">
        <f t="shared" si="27"/>
        <v>901896.68346541445</v>
      </c>
      <c r="DL12" s="125">
        <f t="shared" si="27"/>
        <v>901896.68346541445</v>
      </c>
      <c r="DM12" s="125">
        <f t="shared" si="27"/>
        <v>901896.68346541445</v>
      </c>
      <c r="DN12" s="125">
        <f t="shared" si="27"/>
        <v>901896.68346541445</v>
      </c>
      <c r="DO12" s="125">
        <f t="shared" si="27"/>
        <v>901896.68346541445</v>
      </c>
      <c r="DP12" s="125">
        <f t="shared" si="27"/>
        <v>901896.68346541445</v>
      </c>
      <c r="DQ12" s="125">
        <f t="shared" si="27"/>
        <v>901896.68346541445</v>
      </c>
      <c r="DR12" s="125">
        <f t="shared" si="27"/>
        <v>901896.68346541445</v>
      </c>
      <c r="DS12" s="125">
        <f t="shared" si="27"/>
        <v>901896.68346541445</v>
      </c>
      <c r="DT12" s="125">
        <f t="shared" si="27"/>
        <v>901896.68346541445</v>
      </c>
      <c r="DU12" s="125">
        <f t="shared" si="27"/>
        <v>901896.68346541445</v>
      </c>
      <c r="DV12" s="125">
        <f t="shared" si="27"/>
        <v>901896.68346541445</v>
      </c>
      <c r="DW12" s="125">
        <f t="shared" si="27"/>
        <v>901896.68346541445</v>
      </c>
      <c r="DX12" s="125">
        <f t="shared" si="27"/>
        <v>901896.68346541445</v>
      </c>
      <c r="DY12" s="125">
        <f t="shared" si="27"/>
        <v>901896.68346541445</v>
      </c>
      <c r="DZ12" s="125">
        <f t="shared" si="27"/>
        <v>901896.68346541445</v>
      </c>
      <c r="EA12" s="125">
        <f t="shared" si="27"/>
        <v>901896.68346541445</v>
      </c>
      <c r="EB12" s="125">
        <f t="shared" si="27"/>
        <v>901896.68346541445</v>
      </c>
      <c r="EC12" s="125">
        <f t="shared" si="27"/>
        <v>901896.68346541445</v>
      </c>
      <c r="ED12" s="125">
        <f t="shared" si="27"/>
        <v>901896.68346541445</v>
      </c>
      <c r="EE12" s="125">
        <f t="shared" si="27"/>
        <v>901896.68346541445</v>
      </c>
      <c r="EF12" s="125">
        <f t="shared" si="27"/>
        <v>901896.68346541445</v>
      </c>
      <c r="EG12" s="125">
        <f t="shared" ref="EG12:GR12" si="28">EF12+EG11</f>
        <v>901896.68346541445</v>
      </c>
      <c r="EH12" s="125">
        <f t="shared" si="28"/>
        <v>901896.68346541445</v>
      </c>
      <c r="EI12" s="125">
        <f t="shared" si="28"/>
        <v>901896.68346541445</v>
      </c>
      <c r="EJ12" s="125">
        <f t="shared" si="28"/>
        <v>901896.68346541445</v>
      </c>
      <c r="EK12" s="125">
        <f t="shared" si="28"/>
        <v>901896.68346541445</v>
      </c>
      <c r="EL12" s="125">
        <f t="shared" si="28"/>
        <v>901896.68346541445</v>
      </c>
      <c r="EM12" s="125">
        <f t="shared" si="28"/>
        <v>901896.68346541445</v>
      </c>
      <c r="EN12" s="125">
        <f t="shared" si="28"/>
        <v>901896.68346541445</v>
      </c>
      <c r="EO12" s="125">
        <f t="shared" si="28"/>
        <v>901896.68346541445</v>
      </c>
      <c r="EP12" s="125">
        <f t="shared" si="28"/>
        <v>901896.68346541445</v>
      </c>
      <c r="EQ12" s="125">
        <f t="shared" si="28"/>
        <v>901896.68346541445</v>
      </c>
      <c r="ER12" s="125">
        <f t="shared" si="28"/>
        <v>901896.68346541445</v>
      </c>
      <c r="ES12" s="125">
        <f t="shared" si="28"/>
        <v>901896.68346541445</v>
      </c>
      <c r="ET12" s="125">
        <f t="shared" si="28"/>
        <v>901896.68346541445</v>
      </c>
      <c r="EU12" s="125">
        <f t="shared" si="28"/>
        <v>901896.68346541445</v>
      </c>
      <c r="EV12" s="125">
        <f t="shared" si="28"/>
        <v>901896.68346541445</v>
      </c>
      <c r="EW12" s="125">
        <f t="shared" si="28"/>
        <v>901896.68346541445</v>
      </c>
      <c r="EX12" s="125">
        <f t="shared" si="28"/>
        <v>901896.68346541445</v>
      </c>
      <c r="EY12" s="125">
        <f t="shared" si="28"/>
        <v>901896.68346541445</v>
      </c>
      <c r="EZ12" s="125">
        <f t="shared" si="28"/>
        <v>901896.68346541445</v>
      </c>
      <c r="FA12" s="125">
        <f t="shared" si="28"/>
        <v>901896.68346541445</v>
      </c>
      <c r="FB12" s="125">
        <f t="shared" si="28"/>
        <v>901896.68346541445</v>
      </c>
      <c r="FC12" s="125">
        <f t="shared" si="28"/>
        <v>901896.68346541445</v>
      </c>
      <c r="FD12" s="125">
        <f t="shared" si="28"/>
        <v>901896.68346541445</v>
      </c>
      <c r="FE12" s="125">
        <f t="shared" si="28"/>
        <v>901896.68346541445</v>
      </c>
      <c r="FF12" s="125">
        <f t="shared" si="28"/>
        <v>901896.68346541445</v>
      </c>
      <c r="FG12" s="125">
        <f t="shared" si="28"/>
        <v>901896.68346541445</v>
      </c>
      <c r="FH12" s="125">
        <f t="shared" si="28"/>
        <v>901896.68346541445</v>
      </c>
      <c r="FI12" s="125">
        <f t="shared" si="28"/>
        <v>901896.68346541445</v>
      </c>
      <c r="FJ12" s="125">
        <f t="shared" si="28"/>
        <v>901896.68346541445</v>
      </c>
      <c r="FK12" s="125">
        <f t="shared" si="28"/>
        <v>901896.68346541445</v>
      </c>
      <c r="FL12" s="125">
        <f t="shared" si="28"/>
        <v>901896.68346541445</v>
      </c>
      <c r="FM12" s="125">
        <f t="shared" si="28"/>
        <v>901896.68346541445</v>
      </c>
      <c r="FN12" s="125">
        <f t="shared" si="28"/>
        <v>901896.68346541445</v>
      </c>
      <c r="FO12" s="125">
        <f t="shared" si="28"/>
        <v>901896.68346541445</v>
      </c>
      <c r="FP12" s="125">
        <f t="shared" si="28"/>
        <v>901896.68346541445</v>
      </c>
      <c r="FQ12" s="125">
        <f t="shared" si="28"/>
        <v>901896.68346541445</v>
      </c>
      <c r="FR12" s="125">
        <f t="shared" si="28"/>
        <v>901896.68346541445</v>
      </c>
      <c r="FS12" s="125">
        <f t="shared" si="28"/>
        <v>901896.68346541445</v>
      </c>
      <c r="FT12" s="125">
        <f t="shared" si="28"/>
        <v>901896.68346541445</v>
      </c>
      <c r="FU12" s="125">
        <f t="shared" si="28"/>
        <v>901896.68346541445</v>
      </c>
      <c r="FV12" s="125">
        <f t="shared" si="28"/>
        <v>901896.68346541445</v>
      </c>
      <c r="FW12" s="125">
        <f t="shared" si="28"/>
        <v>901896.68346541445</v>
      </c>
      <c r="FX12" s="125">
        <f t="shared" si="28"/>
        <v>901896.68346541445</v>
      </c>
      <c r="FY12" s="125">
        <f t="shared" si="28"/>
        <v>901896.68346541445</v>
      </c>
      <c r="FZ12" s="125">
        <f t="shared" si="28"/>
        <v>901896.68346541445</v>
      </c>
      <c r="GA12" s="125">
        <f t="shared" si="28"/>
        <v>901896.68346541445</v>
      </c>
      <c r="GB12" s="125">
        <f t="shared" si="28"/>
        <v>901896.68346541445</v>
      </c>
      <c r="GC12" s="125">
        <f t="shared" si="28"/>
        <v>901896.68346541445</v>
      </c>
      <c r="GD12" s="125">
        <f t="shared" si="28"/>
        <v>901896.68346541445</v>
      </c>
      <c r="GE12" s="125">
        <f t="shared" si="28"/>
        <v>901896.68346541445</v>
      </c>
      <c r="GF12" s="125">
        <f t="shared" si="28"/>
        <v>901896.68346541445</v>
      </c>
      <c r="GG12" s="125">
        <f t="shared" si="28"/>
        <v>901896.68346541445</v>
      </c>
      <c r="GH12" s="125">
        <f t="shared" si="28"/>
        <v>901896.68346541445</v>
      </c>
      <c r="GI12" s="125">
        <f t="shared" si="28"/>
        <v>901896.68346541445</v>
      </c>
      <c r="GJ12" s="125">
        <f t="shared" si="28"/>
        <v>901896.68346541445</v>
      </c>
      <c r="GK12" s="125">
        <f t="shared" si="28"/>
        <v>901896.68346541445</v>
      </c>
      <c r="GL12" s="125">
        <f t="shared" si="28"/>
        <v>901896.68346541445</v>
      </c>
      <c r="GM12" s="125">
        <f t="shared" si="28"/>
        <v>901896.68346541445</v>
      </c>
      <c r="GN12" s="125">
        <f t="shared" si="28"/>
        <v>901896.68346541445</v>
      </c>
      <c r="GO12" s="125">
        <f t="shared" si="28"/>
        <v>901896.68346541445</v>
      </c>
      <c r="GP12" s="125">
        <f t="shared" si="28"/>
        <v>901896.68346541445</v>
      </c>
      <c r="GQ12" s="125">
        <f t="shared" si="28"/>
        <v>901896.68346541445</v>
      </c>
      <c r="GR12" s="125">
        <f t="shared" si="28"/>
        <v>901896.68346541445</v>
      </c>
      <c r="GS12" s="125">
        <f t="shared" ref="GS12:JD12" si="29">GR12+GS11</f>
        <v>901896.68346541445</v>
      </c>
      <c r="GT12" s="125">
        <f t="shared" si="29"/>
        <v>901896.68346541445</v>
      </c>
      <c r="GU12" s="125">
        <f t="shared" si="29"/>
        <v>901896.68346541445</v>
      </c>
      <c r="GV12" s="125">
        <f t="shared" si="29"/>
        <v>901896.68346541445</v>
      </c>
      <c r="GW12" s="125">
        <f t="shared" si="29"/>
        <v>901896.68346541445</v>
      </c>
      <c r="GX12" s="125">
        <f t="shared" si="29"/>
        <v>901896.68346541445</v>
      </c>
      <c r="GY12" s="125">
        <f t="shared" si="29"/>
        <v>901896.68346541445</v>
      </c>
      <c r="GZ12" s="125">
        <f t="shared" si="29"/>
        <v>901896.68346541445</v>
      </c>
      <c r="HA12" s="125">
        <f t="shared" si="29"/>
        <v>901896.68346541445</v>
      </c>
      <c r="HB12" s="125">
        <f t="shared" si="29"/>
        <v>901896.68346541445</v>
      </c>
      <c r="HC12" s="125">
        <f t="shared" si="29"/>
        <v>901896.68346541445</v>
      </c>
      <c r="HD12" s="125">
        <f t="shared" si="29"/>
        <v>901896.68346541445</v>
      </c>
      <c r="HE12" s="125">
        <f t="shared" si="29"/>
        <v>901896.68346541445</v>
      </c>
      <c r="HF12" s="125">
        <f t="shared" si="29"/>
        <v>901896.68346541445</v>
      </c>
      <c r="HG12" s="125">
        <f t="shared" si="29"/>
        <v>901896.68346541445</v>
      </c>
      <c r="HH12" s="125">
        <f t="shared" si="29"/>
        <v>901896.68346541445</v>
      </c>
      <c r="HI12" s="125">
        <f t="shared" si="29"/>
        <v>901896.68346541445</v>
      </c>
      <c r="HJ12" s="125">
        <f t="shared" si="29"/>
        <v>901896.68346541445</v>
      </c>
      <c r="HK12" s="125">
        <f t="shared" si="29"/>
        <v>901896.68346541445</v>
      </c>
      <c r="HL12" s="125">
        <f t="shared" si="29"/>
        <v>901896.68346541445</v>
      </c>
      <c r="HM12" s="125">
        <f t="shared" si="29"/>
        <v>901896.68346541445</v>
      </c>
      <c r="HN12" s="125">
        <f t="shared" si="29"/>
        <v>901896.68346541445</v>
      </c>
      <c r="HO12" s="125">
        <f t="shared" si="29"/>
        <v>901896.68346541445</v>
      </c>
      <c r="HP12" s="125">
        <f t="shared" si="29"/>
        <v>901896.68346541445</v>
      </c>
      <c r="HQ12" s="125">
        <f t="shared" si="29"/>
        <v>901896.68346541445</v>
      </c>
      <c r="HR12" s="125">
        <f t="shared" si="29"/>
        <v>901896.68346541445</v>
      </c>
      <c r="HS12" s="125">
        <f t="shared" si="29"/>
        <v>901896.68346541445</v>
      </c>
      <c r="HT12" s="125">
        <f t="shared" si="29"/>
        <v>901896.68346541445</v>
      </c>
      <c r="HU12" s="125">
        <f t="shared" si="29"/>
        <v>901896.68346541445</v>
      </c>
      <c r="HV12" s="125">
        <f t="shared" si="29"/>
        <v>901896.68346541445</v>
      </c>
      <c r="HW12" s="125">
        <f t="shared" si="29"/>
        <v>901896.68346541445</v>
      </c>
      <c r="HX12" s="125">
        <f t="shared" si="29"/>
        <v>901896.68346541445</v>
      </c>
      <c r="HY12" s="125">
        <f t="shared" si="29"/>
        <v>901896.68346541445</v>
      </c>
      <c r="HZ12" s="125">
        <f t="shared" si="29"/>
        <v>901896.68346541445</v>
      </c>
      <c r="IA12" s="125">
        <f t="shared" si="29"/>
        <v>901896.68346541445</v>
      </c>
      <c r="IB12" s="125">
        <f t="shared" si="29"/>
        <v>901896.68346541445</v>
      </c>
      <c r="IC12" s="125">
        <f t="shared" si="29"/>
        <v>901896.68346541445</v>
      </c>
      <c r="ID12" s="125">
        <f t="shared" si="29"/>
        <v>901896.68346541445</v>
      </c>
      <c r="IE12" s="125">
        <f t="shared" si="29"/>
        <v>901896.68346541445</v>
      </c>
      <c r="IF12" s="125">
        <f t="shared" si="29"/>
        <v>901896.68346541445</v>
      </c>
      <c r="IG12" s="125">
        <f t="shared" si="29"/>
        <v>901896.68346541445</v>
      </c>
      <c r="IH12" s="125">
        <f t="shared" si="29"/>
        <v>901896.68346541445</v>
      </c>
      <c r="II12" s="125">
        <f t="shared" si="29"/>
        <v>901896.68346541445</v>
      </c>
      <c r="IJ12" s="125">
        <f t="shared" si="29"/>
        <v>901896.68346541445</v>
      </c>
      <c r="IK12" s="125">
        <f t="shared" si="29"/>
        <v>901896.68346541445</v>
      </c>
      <c r="IL12" s="125">
        <f t="shared" si="29"/>
        <v>901896.68346541445</v>
      </c>
      <c r="IM12" s="125">
        <f t="shared" si="29"/>
        <v>901896.68346541445</v>
      </c>
      <c r="IN12" s="125">
        <f t="shared" si="29"/>
        <v>901896.68346541445</v>
      </c>
      <c r="IO12" s="125">
        <f t="shared" si="29"/>
        <v>901896.68346541445</v>
      </c>
      <c r="IP12" s="125">
        <f t="shared" si="29"/>
        <v>901896.68346541445</v>
      </c>
      <c r="IQ12" s="125">
        <f t="shared" si="29"/>
        <v>901896.68346541445</v>
      </c>
      <c r="IR12" s="125">
        <f t="shared" si="29"/>
        <v>901896.68346541445</v>
      </c>
      <c r="IS12" s="125">
        <f t="shared" si="29"/>
        <v>901896.68346541445</v>
      </c>
      <c r="IT12" s="125">
        <f t="shared" si="29"/>
        <v>901896.68346541445</v>
      </c>
      <c r="IU12" s="125">
        <f t="shared" si="29"/>
        <v>901896.68346541445</v>
      </c>
      <c r="IV12" s="125">
        <f t="shared" si="29"/>
        <v>901896.68346541445</v>
      </c>
      <c r="IW12" s="125">
        <f t="shared" si="29"/>
        <v>901896.68346541445</v>
      </c>
      <c r="IX12" s="125">
        <f t="shared" si="29"/>
        <v>901896.68346541445</v>
      </c>
      <c r="IY12" s="125">
        <f t="shared" si="29"/>
        <v>901896.68346541445</v>
      </c>
      <c r="IZ12" s="125">
        <f t="shared" si="29"/>
        <v>901896.68346541445</v>
      </c>
      <c r="JA12" s="125">
        <f t="shared" si="29"/>
        <v>901896.68346541445</v>
      </c>
      <c r="JB12" s="125">
        <f t="shared" si="29"/>
        <v>901896.68346541445</v>
      </c>
      <c r="JC12" s="125">
        <f t="shared" si="29"/>
        <v>901896.68346541445</v>
      </c>
      <c r="JD12" s="125">
        <f t="shared" si="29"/>
        <v>901896.68346541445</v>
      </c>
      <c r="JE12" s="125">
        <f t="shared" ref="JE12:KF12" si="30">JD12+JE11</f>
        <v>901896.68346541445</v>
      </c>
      <c r="JF12" s="125">
        <f t="shared" si="30"/>
        <v>901896.68346541445</v>
      </c>
      <c r="JG12" s="125">
        <f t="shared" si="30"/>
        <v>901896.68346541445</v>
      </c>
      <c r="JH12" s="125">
        <f t="shared" si="30"/>
        <v>901896.68346541445</v>
      </c>
      <c r="JI12" s="125">
        <f t="shared" si="30"/>
        <v>901896.68346541445</v>
      </c>
      <c r="JJ12" s="125">
        <f t="shared" si="30"/>
        <v>901896.68346541445</v>
      </c>
      <c r="JK12" s="125">
        <f t="shared" si="30"/>
        <v>901896.68346541445</v>
      </c>
      <c r="JL12" s="125">
        <f t="shared" si="30"/>
        <v>901896.68346541445</v>
      </c>
      <c r="JM12" s="125">
        <f t="shared" si="30"/>
        <v>901896.68346541445</v>
      </c>
      <c r="JN12" s="125">
        <f t="shared" si="30"/>
        <v>901896.68346541445</v>
      </c>
      <c r="JO12" s="125">
        <f t="shared" si="30"/>
        <v>901896.68346541445</v>
      </c>
      <c r="JP12" s="125">
        <f t="shared" si="30"/>
        <v>901896.68346541445</v>
      </c>
      <c r="JQ12" s="125">
        <f t="shared" si="30"/>
        <v>901896.68346541445</v>
      </c>
      <c r="JR12" s="125">
        <f t="shared" si="30"/>
        <v>901896.68346541445</v>
      </c>
      <c r="JS12" s="125">
        <f t="shared" si="30"/>
        <v>901896.68346541445</v>
      </c>
      <c r="JT12" s="125">
        <f t="shared" si="30"/>
        <v>901896.68346541445</v>
      </c>
      <c r="JU12" s="125">
        <f t="shared" si="30"/>
        <v>901896.68346541445</v>
      </c>
      <c r="JV12" s="125">
        <f t="shared" si="30"/>
        <v>901896.68346541445</v>
      </c>
      <c r="JW12" s="125">
        <f t="shared" si="30"/>
        <v>901896.68346541445</v>
      </c>
      <c r="JX12" s="125">
        <f t="shared" si="30"/>
        <v>901896.68346541445</v>
      </c>
      <c r="JY12" s="125">
        <f t="shared" si="30"/>
        <v>901896.68346541445</v>
      </c>
      <c r="JZ12" s="125">
        <f t="shared" si="30"/>
        <v>901896.68346541445</v>
      </c>
      <c r="KA12" s="125">
        <f t="shared" si="30"/>
        <v>901896.68346541445</v>
      </c>
      <c r="KB12" s="125">
        <f t="shared" si="30"/>
        <v>901896.68346541445</v>
      </c>
      <c r="KC12" s="125">
        <f t="shared" si="30"/>
        <v>901896.68346541445</v>
      </c>
      <c r="KD12" s="125">
        <f t="shared" si="30"/>
        <v>901896.68346541445</v>
      </c>
      <c r="KE12" s="125">
        <f t="shared" si="30"/>
        <v>901896.68346541445</v>
      </c>
      <c r="KF12" s="125">
        <f t="shared" si="30"/>
        <v>901896.68346541445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685178.22461657866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755457.58238276921</v>
      </c>
      <c r="AA14" s="118">
        <f t="shared" si="32"/>
        <v>891048.08376774285</v>
      </c>
      <c r="AB14" s="118">
        <f t="shared" si="32"/>
        <v>878470.58376774285</v>
      </c>
      <c r="AC14" s="118">
        <f t="shared" si="32"/>
        <v>512092.24376774277</v>
      </c>
      <c r="AD14" s="118">
        <f t="shared" si="32"/>
        <v>498533.9257677428</v>
      </c>
      <c r="AE14" s="118">
        <f t="shared" si="32"/>
        <v>498008.9257677428</v>
      </c>
      <c r="AF14" s="118">
        <f t="shared" si="32"/>
        <v>498008.9257677428</v>
      </c>
      <c r="AG14" s="118">
        <f t="shared" si="32"/>
        <v>498008.9257677428</v>
      </c>
      <c r="AH14" s="118">
        <f t="shared" si="32"/>
        <v>498008.9257677428</v>
      </c>
      <c r="AI14" s="118">
        <f t="shared" si="32"/>
        <v>497483.9257677428</v>
      </c>
      <c r="AJ14" s="118">
        <f t="shared" si="32"/>
        <v>497483.9257677428</v>
      </c>
      <c r="AK14" s="118">
        <f t="shared" si="32"/>
        <v>497483.9257677428</v>
      </c>
      <c r="AL14" s="118">
        <f t="shared" si="32"/>
        <v>497483.9257677428</v>
      </c>
      <c r="AM14" s="118">
        <f t="shared" si="32"/>
        <v>497483.9257677428</v>
      </c>
      <c r="AN14" s="118">
        <f t="shared" si="32"/>
        <v>497483.9257677428</v>
      </c>
      <c r="AO14" s="118">
        <f t="shared" si="32"/>
        <v>497483.9257677428</v>
      </c>
      <c r="AP14" s="118">
        <f t="shared" si="32"/>
        <v>497483.9257677428</v>
      </c>
      <c r="AQ14" s="118">
        <f t="shared" si="32"/>
        <v>497483.9257677428</v>
      </c>
      <c r="AR14" s="118">
        <f t="shared" si="32"/>
        <v>497483.9257677428</v>
      </c>
      <c r="AS14" s="118">
        <f t="shared" si="32"/>
        <v>497483.9257677428</v>
      </c>
      <c r="AT14" s="118">
        <f t="shared" si="32"/>
        <v>497483.9257677428</v>
      </c>
      <c r="AU14" s="118">
        <f t="shared" si="32"/>
        <v>497483.9257677428</v>
      </c>
      <c r="AV14" s="118">
        <f t="shared" si="32"/>
        <v>497483.9257677428</v>
      </c>
      <c r="AW14" s="118">
        <f t="shared" si="32"/>
        <v>497483.9257677428</v>
      </c>
      <c r="AX14" s="118">
        <f t="shared" si="32"/>
        <v>497483.9257677428</v>
      </c>
      <c r="AY14" s="118">
        <f t="shared" si="32"/>
        <v>497483.9257677428</v>
      </c>
      <c r="AZ14" s="118">
        <f t="shared" si="32"/>
        <v>497483.9257677428</v>
      </c>
      <c r="BA14" s="118">
        <f t="shared" si="32"/>
        <v>497483.9257677428</v>
      </c>
      <c r="BB14" s="118">
        <f t="shared" si="32"/>
        <v>497483.9257677428</v>
      </c>
      <c r="BC14" s="118">
        <f t="shared" si="32"/>
        <v>497483.9257677428</v>
      </c>
      <c r="BD14" s="118">
        <f t="shared" si="32"/>
        <v>497483.9257677428</v>
      </c>
      <c r="BE14" s="118">
        <f t="shared" si="32"/>
        <v>497483.9257677428</v>
      </c>
      <c r="BF14" s="118">
        <f t="shared" si="32"/>
        <v>497483.9257677428</v>
      </c>
      <c r="BG14" s="118">
        <f t="shared" si="32"/>
        <v>497483.9257677428</v>
      </c>
      <c r="BH14" s="118">
        <f t="shared" si="32"/>
        <v>497483.9257677428</v>
      </c>
      <c r="BI14" s="118">
        <f t="shared" si="32"/>
        <v>497483.9257677428</v>
      </c>
      <c r="BJ14" s="118">
        <f t="shared" si="32"/>
        <v>497483.9257677428</v>
      </c>
      <c r="BK14" s="118">
        <f t="shared" si="32"/>
        <v>497483.9257677428</v>
      </c>
      <c r="BL14" s="118">
        <f t="shared" si="32"/>
        <v>497483.9257677428</v>
      </c>
      <c r="BM14" s="118">
        <f t="shared" si="32"/>
        <v>497483.9257677428</v>
      </c>
      <c r="BN14" s="118">
        <f t="shared" si="32"/>
        <v>497483.9257677428</v>
      </c>
      <c r="BO14" s="118">
        <f t="shared" si="32"/>
        <v>497483.9257677428</v>
      </c>
      <c r="BP14" s="118">
        <f t="shared" si="32"/>
        <v>497483.9257677428</v>
      </c>
      <c r="BQ14" s="118">
        <f t="shared" si="32"/>
        <v>497483.9257677428</v>
      </c>
      <c r="BR14" s="118">
        <f t="shared" si="32"/>
        <v>497483.9257677428</v>
      </c>
      <c r="BS14" s="118">
        <f t="shared" si="32"/>
        <v>497483.9257677428</v>
      </c>
      <c r="BT14" s="118">
        <f t="shared" si="32"/>
        <v>497483.9257677428</v>
      </c>
      <c r="BU14" s="118">
        <f t="shared" ref="BU14:EF14" si="33">BU10-BU12</f>
        <v>497483.9257677428</v>
      </c>
      <c r="BV14" s="118">
        <f t="shared" si="33"/>
        <v>497483.9257677428</v>
      </c>
      <c r="BW14" s="118">
        <f t="shared" si="33"/>
        <v>497483.9257677428</v>
      </c>
      <c r="BX14" s="118">
        <f t="shared" si="33"/>
        <v>497483.9257677428</v>
      </c>
      <c r="BY14" s="118">
        <f t="shared" si="33"/>
        <v>497483.9257677428</v>
      </c>
      <c r="BZ14" s="118">
        <f t="shared" si="33"/>
        <v>497483.9257677428</v>
      </c>
      <c r="CA14" s="118">
        <f t="shared" si="33"/>
        <v>497483.9257677428</v>
      </c>
      <c r="CB14" s="118">
        <f t="shared" si="33"/>
        <v>497483.9257677428</v>
      </c>
      <c r="CC14" s="118">
        <f t="shared" si="33"/>
        <v>497483.9257677428</v>
      </c>
      <c r="CD14" s="118">
        <f t="shared" si="33"/>
        <v>497483.9257677428</v>
      </c>
      <c r="CE14" s="118">
        <f t="shared" si="33"/>
        <v>497483.9257677428</v>
      </c>
      <c r="CF14" s="118">
        <f t="shared" si="33"/>
        <v>497483.9257677428</v>
      </c>
      <c r="CG14" s="118">
        <f t="shared" si="33"/>
        <v>497483.9257677428</v>
      </c>
      <c r="CH14" s="118">
        <f t="shared" si="33"/>
        <v>497483.9257677428</v>
      </c>
      <c r="CI14" s="118">
        <f t="shared" si="33"/>
        <v>497483.9257677428</v>
      </c>
      <c r="CJ14" s="118">
        <f t="shared" si="33"/>
        <v>497483.9257677428</v>
      </c>
      <c r="CK14" s="118">
        <f t="shared" si="33"/>
        <v>497483.9257677428</v>
      </c>
      <c r="CL14" s="118">
        <f t="shared" si="33"/>
        <v>497483.9257677428</v>
      </c>
      <c r="CM14" s="118">
        <f t="shared" si="33"/>
        <v>497483.9257677428</v>
      </c>
      <c r="CN14" s="118">
        <f t="shared" si="33"/>
        <v>497483.9257677428</v>
      </c>
      <c r="CO14" s="118">
        <f t="shared" si="33"/>
        <v>497483.9257677428</v>
      </c>
      <c r="CP14" s="118">
        <f t="shared" si="33"/>
        <v>497483.9257677428</v>
      </c>
      <c r="CQ14" s="118">
        <f t="shared" si="33"/>
        <v>497483.9257677428</v>
      </c>
      <c r="CR14" s="118">
        <f t="shared" si="33"/>
        <v>497483.9257677428</v>
      </c>
      <c r="CS14" s="118">
        <f t="shared" si="33"/>
        <v>497483.9257677428</v>
      </c>
      <c r="CT14" s="118">
        <f t="shared" si="33"/>
        <v>497483.9257677428</v>
      </c>
      <c r="CU14" s="118">
        <f t="shared" si="33"/>
        <v>497483.9257677428</v>
      </c>
      <c r="CV14" s="118">
        <f t="shared" si="33"/>
        <v>497483.9257677428</v>
      </c>
      <c r="CW14" s="118">
        <f t="shared" si="33"/>
        <v>497483.9257677428</v>
      </c>
      <c r="CX14" s="118">
        <f t="shared" si="33"/>
        <v>497483.9257677428</v>
      </c>
      <c r="CY14" s="118">
        <f t="shared" si="33"/>
        <v>497483.9257677428</v>
      </c>
      <c r="CZ14" s="118">
        <f t="shared" si="33"/>
        <v>497483.9257677428</v>
      </c>
      <c r="DA14" s="118">
        <f t="shared" si="33"/>
        <v>497483.9257677428</v>
      </c>
      <c r="DB14" s="118">
        <f t="shared" si="33"/>
        <v>497483.9257677428</v>
      </c>
      <c r="DC14" s="118">
        <f t="shared" si="33"/>
        <v>497483.9257677428</v>
      </c>
      <c r="DD14" s="118">
        <f t="shared" si="33"/>
        <v>497483.9257677428</v>
      </c>
      <c r="DE14" s="118">
        <f t="shared" si="33"/>
        <v>497483.9257677428</v>
      </c>
      <c r="DF14" s="118">
        <f t="shared" si="33"/>
        <v>497483.9257677428</v>
      </c>
      <c r="DG14" s="118">
        <f t="shared" si="33"/>
        <v>497483.9257677428</v>
      </c>
      <c r="DH14" s="118">
        <f t="shared" si="33"/>
        <v>497483.9257677428</v>
      </c>
      <c r="DI14" s="118">
        <f t="shared" si="33"/>
        <v>497483.9257677428</v>
      </c>
      <c r="DJ14" s="118">
        <f t="shared" si="33"/>
        <v>497483.9257677428</v>
      </c>
      <c r="DK14" s="118">
        <f t="shared" si="33"/>
        <v>497483.9257677428</v>
      </c>
      <c r="DL14" s="118">
        <f t="shared" si="33"/>
        <v>497483.9257677428</v>
      </c>
      <c r="DM14" s="118">
        <f t="shared" si="33"/>
        <v>497483.9257677428</v>
      </c>
      <c r="DN14" s="118">
        <f t="shared" si="33"/>
        <v>497483.9257677428</v>
      </c>
      <c r="DO14" s="118">
        <f t="shared" si="33"/>
        <v>497483.9257677428</v>
      </c>
      <c r="DP14" s="118">
        <f t="shared" si="33"/>
        <v>497483.9257677428</v>
      </c>
      <c r="DQ14" s="118">
        <f t="shared" si="33"/>
        <v>497483.9257677428</v>
      </c>
      <c r="DR14" s="118">
        <f t="shared" si="33"/>
        <v>497483.9257677428</v>
      </c>
      <c r="DS14" s="118">
        <f t="shared" si="33"/>
        <v>497483.9257677428</v>
      </c>
      <c r="DT14" s="118">
        <f t="shared" si="33"/>
        <v>497483.9257677428</v>
      </c>
      <c r="DU14" s="118">
        <f t="shared" si="33"/>
        <v>497483.9257677428</v>
      </c>
      <c r="DV14" s="118">
        <f t="shared" si="33"/>
        <v>497483.9257677428</v>
      </c>
      <c r="DW14" s="118">
        <f t="shared" si="33"/>
        <v>497483.9257677428</v>
      </c>
      <c r="DX14" s="118">
        <f t="shared" si="33"/>
        <v>497483.9257677428</v>
      </c>
      <c r="DY14" s="118">
        <f t="shared" si="33"/>
        <v>497483.9257677428</v>
      </c>
      <c r="DZ14" s="118">
        <f t="shared" si="33"/>
        <v>497483.9257677428</v>
      </c>
      <c r="EA14" s="118">
        <f t="shared" si="33"/>
        <v>497483.9257677428</v>
      </c>
      <c r="EB14" s="118">
        <f t="shared" si="33"/>
        <v>497483.9257677428</v>
      </c>
      <c r="EC14" s="118">
        <f t="shared" si="33"/>
        <v>497483.9257677428</v>
      </c>
      <c r="ED14" s="118">
        <f t="shared" si="33"/>
        <v>497483.9257677428</v>
      </c>
      <c r="EE14" s="118">
        <f t="shared" si="33"/>
        <v>497483.9257677428</v>
      </c>
      <c r="EF14" s="118">
        <f t="shared" si="33"/>
        <v>497483.9257677428</v>
      </c>
      <c r="EG14" s="118">
        <f t="shared" ref="EG14:GR14" si="34">EG10-EG12</f>
        <v>497483.9257677428</v>
      </c>
      <c r="EH14" s="118">
        <f t="shared" si="34"/>
        <v>497483.9257677428</v>
      </c>
      <c r="EI14" s="118">
        <f t="shared" si="34"/>
        <v>497483.9257677428</v>
      </c>
      <c r="EJ14" s="118">
        <f t="shared" si="34"/>
        <v>497483.9257677428</v>
      </c>
      <c r="EK14" s="118">
        <f t="shared" si="34"/>
        <v>497483.9257677428</v>
      </c>
      <c r="EL14" s="118">
        <f t="shared" si="34"/>
        <v>497483.9257677428</v>
      </c>
      <c r="EM14" s="118">
        <f t="shared" si="34"/>
        <v>497483.9257677428</v>
      </c>
      <c r="EN14" s="118">
        <f t="shared" si="34"/>
        <v>497483.9257677428</v>
      </c>
      <c r="EO14" s="118">
        <f t="shared" si="34"/>
        <v>497483.9257677428</v>
      </c>
      <c r="EP14" s="118">
        <f t="shared" si="34"/>
        <v>497483.9257677428</v>
      </c>
      <c r="EQ14" s="118">
        <f t="shared" si="34"/>
        <v>497483.9257677428</v>
      </c>
      <c r="ER14" s="118">
        <f t="shared" si="34"/>
        <v>497483.9257677428</v>
      </c>
      <c r="ES14" s="118">
        <f t="shared" si="34"/>
        <v>497483.9257677428</v>
      </c>
      <c r="ET14" s="118">
        <f t="shared" si="34"/>
        <v>497483.9257677428</v>
      </c>
      <c r="EU14" s="118">
        <f t="shared" si="34"/>
        <v>497483.9257677428</v>
      </c>
      <c r="EV14" s="118">
        <f t="shared" si="34"/>
        <v>497483.9257677428</v>
      </c>
      <c r="EW14" s="118">
        <f t="shared" si="34"/>
        <v>497483.9257677428</v>
      </c>
      <c r="EX14" s="118">
        <f t="shared" si="34"/>
        <v>497483.9257677428</v>
      </c>
      <c r="EY14" s="118">
        <f t="shared" si="34"/>
        <v>497483.9257677428</v>
      </c>
      <c r="EZ14" s="118">
        <f t="shared" si="34"/>
        <v>497483.9257677428</v>
      </c>
      <c r="FA14" s="118">
        <f t="shared" si="34"/>
        <v>497483.9257677428</v>
      </c>
      <c r="FB14" s="118">
        <f t="shared" si="34"/>
        <v>497483.9257677428</v>
      </c>
      <c r="FC14" s="118">
        <f t="shared" si="34"/>
        <v>497483.9257677428</v>
      </c>
      <c r="FD14" s="118">
        <f t="shared" si="34"/>
        <v>497483.9257677428</v>
      </c>
      <c r="FE14" s="118">
        <f t="shared" si="34"/>
        <v>497483.9257677428</v>
      </c>
      <c r="FF14" s="118">
        <f t="shared" si="34"/>
        <v>497483.9257677428</v>
      </c>
      <c r="FG14" s="118">
        <f t="shared" si="34"/>
        <v>497483.9257677428</v>
      </c>
      <c r="FH14" s="118">
        <f t="shared" si="34"/>
        <v>497483.9257677428</v>
      </c>
      <c r="FI14" s="118">
        <f t="shared" si="34"/>
        <v>497483.9257677428</v>
      </c>
      <c r="FJ14" s="118">
        <f t="shared" si="34"/>
        <v>497483.9257677428</v>
      </c>
      <c r="FK14" s="118">
        <f t="shared" si="34"/>
        <v>497483.9257677428</v>
      </c>
      <c r="FL14" s="118">
        <f t="shared" si="34"/>
        <v>497483.9257677428</v>
      </c>
      <c r="FM14" s="118">
        <f t="shared" si="34"/>
        <v>497483.9257677428</v>
      </c>
      <c r="FN14" s="118">
        <f t="shared" si="34"/>
        <v>497483.9257677428</v>
      </c>
      <c r="FO14" s="118">
        <f t="shared" si="34"/>
        <v>497483.9257677428</v>
      </c>
      <c r="FP14" s="118">
        <f t="shared" si="34"/>
        <v>497483.9257677428</v>
      </c>
      <c r="FQ14" s="118">
        <f t="shared" si="34"/>
        <v>497483.9257677428</v>
      </c>
      <c r="FR14" s="118">
        <f t="shared" si="34"/>
        <v>497483.9257677428</v>
      </c>
      <c r="FS14" s="118">
        <f t="shared" si="34"/>
        <v>497483.9257677428</v>
      </c>
      <c r="FT14" s="118">
        <f t="shared" si="34"/>
        <v>497483.9257677428</v>
      </c>
      <c r="FU14" s="118">
        <f t="shared" si="34"/>
        <v>497483.9257677428</v>
      </c>
      <c r="FV14" s="118">
        <f t="shared" si="34"/>
        <v>497483.9257677428</v>
      </c>
      <c r="FW14" s="118">
        <f t="shared" si="34"/>
        <v>497483.9257677428</v>
      </c>
      <c r="FX14" s="118">
        <f t="shared" si="34"/>
        <v>497483.9257677428</v>
      </c>
      <c r="FY14" s="118">
        <f t="shared" si="34"/>
        <v>497483.9257677428</v>
      </c>
      <c r="FZ14" s="118">
        <f t="shared" si="34"/>
        <v>497483.9257677428</v>
      </c>
      <c r="GA14" s="118">
        <f t="shared" si="34"/>
        <v>497483.9257677428</v>
      </c>
      <c r="GB14" s="118">
        <f t="shared" si="34"/>
        <v>497483.9257677428</v>
      </c>
      <c r="GC14" s="118">
        <f t="shared" si="34"/>
        <v>497483.9257677428</v>
      </c>
      <c r="GD14" s="118">
        <f t="shared" si="34"/>
        <v>497483.9257677428</v>
      </c>
      <c r="GE14" s="118">
        <f t="shared" si="34"/>
        <v>497483.9257677428</v>
      </c>
      <c r="GF14" s="118">
        <f t="shared" si="34"/>
        <v>497483.9257677428</v>
      </c>
      <c r="GG14" s="118">
        <f t="shared" si="34"/>
        <v>497483.9257677428</v>
      </c>
      <c r="GH14" s="118">
        <f t="shared" si="34"/>
        <v>497483.9257677428</v>
      </c>
      <c r="GI14" s="118">
        <f t="shared" si="34"/>
        <v>497483.9257677428</v>
      </c>
      <c r="GJ14" s="118">
        <f t="shared" si="34"/>
        <v>497483.9257677428</v>
      </c>
      <c r="GK14" s="118">
        <f t="shared" si="34"/>
        <v>497483.9257677428</v>
      </c>
      <c r="GL14" s="118">
        <f t="shared" si="34"/>
        <v>497483.9257677428</v>
      </c>
      <c r="GM14" s="118">
        <f t="shared" si="34"/>
        <v>497483.9257677428</v>
      </c>
      <c r="GN14" s="118">
        <f t="shared" si="34"/>
        <v>497483.9257677428</v>
      </c>
      <c r="GO14" s="118">
        <f t="shared" si="34"/>
        <v>497483.9257677428</v>
      </c>
      <c r="GP14" s="118">
        <f t="shared" si="34"/>
        <v>497483.9257677428</v>
      </c>
      <c r="GQ14" s="118">
        <f t="shared" si="34"/>
        <v>497483.9257677428</v>
      </c>
      <c r="GR14" s="118">
        <f t="shared" si="34"/>
        <v>497483.9257677428</v>
      </c>
      <c r="GS14" s="118">
        <f t="shared" ref="GS14:JD14" si="35">GS10-GS12</f>
        <v>497483.9257677428</v>
      </c>
      <c r="GT14" s="118">
        <f t="shared" si="35"/>
        <v>497483.9257677428</v>
      </c>
      <c r="GU14" s="118">
        <f t="shared" si="35"/>
        <v>497483.9257677428</v>
      </c>
      <c r="GV14" s="118">
        <f t="shared" si="35"/>
        <v>497483.9257677428</v>
      </c>
      <c r="GW14" s="118">
        <f t="shared" si="35"/>
        <v>497483.9257677428</v>
      </c>
      <c r="GX14" s="118">
        <f t="shared" si="35"/>
        <v>497483.9257677428</v>
      </c>
      <c r="GY14" s="118">
        <f t="shared" si="35"/>
        <v>497483.9257677428</v>
      </c>
      <c r="GZ14" s="118">
        <f t="shared" si="35"/>
        <v>497483.9257677428</v>
      </c>
      <c r="HA14" s="118">
        <f t="shared" si="35"/>
        <v>497483.9257677428</v>
      </c>
      <c r="HB14" s="118">
        <f t="shared" si="35"/>
        <v>497483.9257677428</v>
      </c>
      <c r="HC14" s="118">
        <f t="shared" si="35"/>
        <v>497483.9257677428</v>
      </c>
      <c r="HD14" s="118">
        <f t="shared" si="35"/>
        <v>497483.9257677428</v>
      </c>
      <c r="HE14" s="118">
        <f t="shared" si="35"/>
        <v>497483.9257677428</v>
      </c>
      <c r="HF14" s="118">
        <f t="shared" si="35"/>
        <v>497483.9257677428</v>
      </c>
      <c r="HG14" s="118">
        <f t="shared" si="35"/>
        <v>497483.9257677428</v>
      </c>
      <c r="HH14" s="118">
        <f t="shared" si="35"/>
        <v>497483.9257677428</v>
      </c>
      <c r="HI14" s="118">
        <f t="shared" si="35"/>
        <v>497483.9257677428</v>
      </c>
      <c r="HJ14" s="118">
        <f t="shared" si="35"/>
        <v>497483.9257677428</v>
      </c>
      <c r="HK14" s="118">
        <f t="shared" si="35"/>
        <v>497483.9257677428</v>
      </c>
      <c r="HL14" s="118">
        <f t="shared" si="35"/>
        <v>497483.9257677428</v>
      </c>
      <c r="HM14" s="118">
        <f t="shared" si="35"/>
        <v>497483.9257677428</v>
      </c>
      <c r="HN14" s="118">
        <f t="shared" si="35"/>
        <v>497483.9257677428</v>
      </c>
      <c r="HO14" s="118">
        <f t="shared" si="35"/>
        <v>497483.9257677428</v>
      </c>
      <c r="HP14" s="118">
        <f t="shared" si="35"/>
        <v>497483.9257677428</v>
      </c>
      <c r="HQ14" s="118">
        <f t="shared" si="35"/>
        <v>497483.9257677428</v>
      </c>
      <c r="HR14" s="118">
        <f t="shared" si="35"/>
        <v>497483.9257677428</v>
      </c>
      <c r="HS14" s="118">
        <f t="shared" si="35"/>
        <v>497483.9257677428</v>
      </c>
      <c r="HT14" s="118">
        <f t="shared" si="35"/>
        <v>497483.9257677428</v>
      </c>
      <c r="HU14" s="118">
        <f t="shared" si="35"/>
        <v>497483.9257677428</v>
      </c>
      <c r="HV14" s="118">
        <f t="shared" si="35"/>
        <v>497483.9257677428</v>
      </c>
      <c r="HW14" s="118">
        <f t="shared" si="35"/>
        <v>497483.9257677428</v>
      </c>
      <c r="HX14" s="118">
        <f t="shared" si="35"/>
        <v>497483.9257677428</v>
      </c>
      <c r="HY14" s="118">
        <f t="shared" si="35"/>
        <v>497483.9257677428</v>
      </c>
      <c r="HZ14" s="118">
        <f t="shared" si="35"/>
        <v>497483.9257677428</v>
      </c>
      <c r="IA14" s="118">
        <f t="shared" si="35"/>
        <v>497483.9257677428</v>
      </c>
      <c r="IB14" s="118">
        <f t="shared" si="35"/>
        <v>497483.9257677428</v>
      </c>
      <c r="IC14" s="118">
        <f t="shared" si="35"/>
        <v>497483.9257677428</v>
      </c>
      <c r="ID14" s="118">
        <f t="shared" si="35"/>
        <v>497483.9257677428</v>
      </c>
      <c r="IE14" s="118">
        <f t="shared" si="35"/>
        <v>497483.9257677428</v>
      </c>
      <c r="IF14" s="118">
        <f t="shared" si="35"/>
        <v>497483.9257677428</v>
      </c>
      <c r="IG14" s="118">
        <f t="shared" si="35"/>
        <v>497483.9257677428</v>
      </c>
      <c r="IH14" s="118">
        <f t="shared" si="35"/>
        <v>497483.9257677428</v>
      </c>
      <c r="II14" s="118">
        <f t="shared" si="35"/>
        <v>497483.9257677428</v>
      </c>
      <c r="IJ14" s="118">
        <f t="shared" si="35"/>
        <v>497483.9257677428</v>
      </c>
      <c r="IK14" s="118">
        <f t="shared" si="35"/>
        <v>497483.9257677428</v>
      </c>
      <c r="IL14" s="118">
        <f t="shared" si="35"/>
        <v>497483.9257677428</v>
      </c>
      <c r="IM14" s="118">
        <f t="shared" si="35"/>
        <v>497483.9257677428</v>
      </c>
      <c r="IN14" s="118">
        <f t="shared" si="35"/>
        <v>497483.9257677428</v>
      </c>
      <c r="IO14" s="118">
        <f t="shared" si="35"/>
        <v>497483.9257677428</v>
      </c>
      <c r="IP14" s="118">
        <f t="shared" si="35"/>
        <v>497483.9257677428</v>
      </c>
      <c r="IQ14" s="118">
        <f t="shared" si="35"/>
        <v>497483.9257677428</v>
      </c>
      <c r="IR14" s="118">
        <f t="shared" si="35"/>
        <v>497483.9257677428</v>
      </c>
      <c r="IS14" s="118">
        <f t="shared" si="35"/>
        <v>497483.9257677428</v>
      </c>
      <c r="IT14" s="118">
        <f t="shared" si="35"/>
        <v>497483.9257677428</v>
      </c>
      <c r="IU14" s="118">
        <f t="shared" si="35"/>
        <v>497483.9257677428</v>
      </c>
      <c r="IV14" s="118">
        <f t="shared" si="35"/>
        <v>497483.9257677428</v>
      </c>
      <c r="IW14" s="118">
        <f t="shared" si="35"/>
        <v>497483.9257677428</v>
      </c>
      <c r="IX14" s="118">
        <f t="shared" si="35"/>
        <v>497483.9257677428</v>
      </c>
      <c r="IY14" s="118">
        <f t="shared" si="35"/>
        <v>497483.9257677428</v>
      </c>
      <c r="IZ14" s="118">
        <f t="shared" si="35"/>
        <v>497483.9257677428</v>
      </c>
      <c r="JA14" s="118">
        <f t="shared" si="35"/>
        <v>497483.9257677428</v>
      </c>
      <c r="JB14" s="118">
        <f t="shared" si="35"/>
        <v>497483.9257677428</v>
      </c>
      <c r="JC14" s="118">
        <f t="shared" si="35"/>
        <v>497483.9257677428</v>
      </c>
      <c r="JD14" s="118">
        <f t="shared" si="35"/>
        <v>497483.9257677428</v>
      </c>
      <c r="JE14" s="118">
        <f t="shared" ref="JE14:KF14" si="36">JE10-JE12</f>
        <v>497483.9257677428</v>
      </c>
      <c r="JF14" s="118">
        <f t="shared" si="36"/>
        <v>497483.9257677428</v>
      </c>
      <c r="JG14" s="118">
        <f t="shared" si="36"/>
        <v>497483.9257677428</v>
      </c>
      <c r="JH14" s="118">
        <f t="shared" si="36"/>
        <v>497483.9257677428</v>
      </c>
      <c r="JI14" s="118">
        <f t="shared" si="36"/>
        <v>497483.9257677428</v>
      </c>
      <c r="JJ14" s="118">
        <f t="shared" si="36"/>
        <v>497483.9257677428</v>
      </c>
      <c r="JK14" s="118">
        <f t="shared" si="36"/>
        <v>497483.9257677428</v>
      </c>
      <c r="JL14" s="118">
        <f t="shared" si="36"/>
        <v>497483.9257677428</v>
      </c>
      <c r="JM14" s="118">
        <f t="shared" si="36"/>
        <v>497483.9257677428</v>
      </c>
      <c r="JN14" s="118">
        <f t="shared" si="36"/>
        <v>497483.9257677428</v>
      </c>
      <c r="JO14" s="118">
        <f t="shared" si="36"/>
        <v>497483.9257677428</v>
      </c>
      <c r="JP14" s="118">
        <f t="shared" si="36"/>
        <v>497483.9257677428</v>
      </c>
      <c r="JQ14" s="118">
        <f t="shared" si="36"/>
        <v>497483.9257677428</v>
      </c>
      <c r="JR14" s="118">
        <f t="shared" si="36"/>
        <v>497483.9257677428</v>
      </c>
      <c r="JS14" s="118">
        <f t="shared" si="36"/>
        <v>497483.9257677428</v>
      </c>
      <c r="JT14" s="118">
        <f t="shared" si="36"/>
        <v>497483.9257677428</v>
      </c>
      <c r="JU14" s="118">
        <f t="shared" si="36"/>
        <v>497483.9257677428</v>
      </c>
      <c r="JV14" s="118">
        <f t="shared" si="36"/>
        <v>497483.9257677428</v>
      </c>
      <c r="JW14" s="118">
        <f t="shared" si="36"/>
        <v>497483.9257677428</v>
      </c>
      <c r="JX14" s="118">
        <f t="shared" si="36"/>
        <v>497483.9257677428</v>
      </c>
      <c r="JY14" s="118">
        <f t="shared" si="36"/>
        <v>497483.9257677428</v>
      </c>
      <c r="JZ14" s="118">
        <f t="shared" si="36"/>
        <v>497483.9257677428</v>
      </c>
      <c r="KA14" s="118">
        <f t="shared" si="36"/>
        <v>497483.9257677428</v>
      </c>
      <c r="KB14" s="118">
        <f t="shared" si="36"/>
        <v>497483.9257677428</v>
      </c>
      <c r="KC14" s="118">
        <f t="shared" si="36"/>
        <v>497483.9257677428</v>
      </c>
      <c r="KD14" s="118">
        <f t="shared" si="36"/>
        <v>497483.9257677428</v>
      </c>
      <c r="KE14" s="118">
        <f t="shared" si="36"/>
        <v>497483.9257677428</v>
      </c>
      <c r="KF14" s="118">
        <f t="shared" si="36"/>
        <v>497483.9257677428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46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966323.48795480106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282159.52119662525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46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989350.05690780608</v>
      </c>
      <c r="V18" s="125">
        <f t="shared" si="37"/>
        <v>989350.05690780608</v>
      </c>
      <c r="W18" s="125">
        <f t="shared" si="37"/>
        <v>989350.05690780608</v>
      </c>
      <c r="X18" s="125">
        <f t="shared" si="37"/>
        <v>989350.05690780608</v>
      </c>
      <c r="Y18" s="125">
        <f t="shared" si="37"/>
        <v>989350.05690780608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85546875" style="269" bestFit="1" customWidth="1"/>
    <col min="5" max="7" width="12.85546875" style="269" bestFit="1" customWidth="1"/>
    <col min="8" max="8" width="11.140625" style="269" bestFit="1" customWidth="1"/>
    <col min="9" max="10" width="14.5703125" style="269" bestFit="1" customWidth="1"/>
    <col min="11" max="11" width="11.28515625" style="269" bestFit="1" customWidth="1"/>
    <col min="12" max="12" width="6.28515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85546875" style="308" bestFit="1" customWidth="1"/>
    <col min="5" max="7" width="12.85546875" style="308" bestFit="1" customWidth="1"/>
    <col min="8" max="8" width="11.140625" style="308" bestFit="1" customWidth="1"/>
    <col min="9" max="9" width="12.85546875" style="308" bestFit="1" customWidth="1"/>
    <col min="10" max="10" width="14.57031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2.95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2.95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4A983B18-7333-4982-8C27-2C240201031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2026-02-13T09:22:26Z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