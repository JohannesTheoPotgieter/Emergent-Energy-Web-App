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queryTables/queryTable1.xml" ContentType="application/vnd.openxmlformats-officedocument.spreadsheetml.queryTab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1.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2.xml" ContentType="application/vnd.openxmlformats-officedocument.themeOverrid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3.xml" ContentType="application/vnd.openxmlformats-officedocument.themeOverrid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updateLinks="never" codeName="ThisWorkbook"/>
  <mc:AlternateContent xmlns:mc="http://schemas.openxmlformats.org/markup-compatibility/2006">
    <mc:Choice Requires="x15">
      <x15ac:absPath xmlns:x15ac="http://schemas.microsoft.com/office/spreadsheetml/2010/11/ac" url="https://emergy.sharepoint.com/sites/Emergent_Energy/Shared Documents/Emergent Energy Team Folder/01 - Clients/01 - active projects (1)/WEG/"/>
    </mc:Choice>
  </mc:AlternateContent>
  <xr:revisionPtr revIDLastSave="48" documentId="8_{483620F4-7C07-3E4E-809F-1574573D8F8B}" xr6:coauthVersionLast="47" xr6:coauthVersionMax="47" xr10:uidLastSave="{DF13918E-70A0-4522-959E-FCD7DE15E675}"/>
  <bookViews>
    <workbookView xWindow="-110" yWindow="-110" windowWidth="19420" windowHeight="10300" tabRatio="692" activeTab="2" xr2:uid="{00000000-000D-0000-FFFF-FFFF00000000}"/>
  </bookViews>
  <sheets>
    <sheet name="Design Inputs" sheetId="38" r:id="rId1"/>
    <sheet name="Costing Inputs" sheetId="39" r:id="rId2"/>
    <sheet name="Cost Detail" sheetId="43" r:id="rId3"/>
    <sheet name="Cost Summary" sheetId="42" r:id="rId4"/>
    <sheet name="Fedgroup Model" sheetId="68" r:id="rId5"/>
    <sheet name="Fedgroup Amort" sheetId="69" state="hidden" r:id="rId6"/>
    <sheet name="Supplier database" sheetId="44" state="hidden" r:id="rId7"/>
    <sheet name="Financial Inputs" sheetId="53" r:id="rId8"/>
    <sheet name="Cashflows" sheetId="27" r:id="rId9"/>
    <sheet name="4.3 Emergent Data" sheetId="47" r:id="rId10"/>
    <sheet name="4.4 BESS Data" sheetId="67" state="hidden" r:id="rId11"/>
    <sheet name="Ref 1" sheetId="45" state="hidden" r:id="rId12"/>
    <sheet name="FA_Data" sheetId="61" r:id="rId13"/>
    <sheet name="CP_data" sheetId="62" r:id="rId14"/>
    <sheet name="2 Sizing" sheetId="51" state="hidden" r:id="rId15"/>
    <sheet name="2.1 Sizing Data" sheetId="52" state="hidden" r:id="rId16"/>
    <sheet name="CIC Pack Outputs" sheetId="66" state="hidden" r:id="rId17"/>
    <sheet name="Production Model" sheetId="4" state="hidden" r:id="rId18"/>
    <sheet name="PV Sim" sheetId="57" state="hidden" r:id="rId19"/>
    <sheet name="Updates" sheetId="55" state="hidden" r:id="rId20"/>
    <sheet name="Consumption curve " sheetId="65" r:id="rId21"/>
  </sheets>
  <externalReferences>
    <externalReference r:id="rId22"/>
    <externalReference r:id="rId23"/>
    <externalReference r:id="rId24"/>
  </externalReferences>
  <definedNames>
    <definedName name="_?from_ZAR_amount_1" localSheetId="11">'Ref 1'!$B$3:$D$13</definedName>
    <definedName name="_xlnm._FilterDatabase" localSheetId="9" hidden="1">'4.3 Emergent Data'!$B$2:$D$8765</definedName>
    <definedName name="_xlnm._FilterDatabase" localSheetId="10" hidden="1">'4.4 BESS Data'!#REF!</definedName>
    <definedName name="_xlnm._FilterDatabase" localSheetId="5" hidden="1">'Fedgroup Amort'!$F$12:$R$97</definedName>
    <definedName name="_xlnm._FilterDatabase" localSheetId="6" hidden="1">'Supplier database'!$AK$7:$AR$89</definedName>
    <definedName name="_Hlk521435842" localSheetId="16">'CIC Pack Outputs'!$A$77</definedName>
    <definedName name="_Hlk521516401" localSheetId="16">'CIC Pack Outputs'!$A$77</definedName>
    <definedName name="_Hlk536200132" localSheetId="16">'CIC Pack Outputs'!$B$106</definedName>
    <definedName name="_xleta.CONCATENATE" hidden="1" xlm="1">#NAME?</definedName>
    <definedName name="AC_CT" localSheetId="20">'[1]Supplier database'!$C$104</definedName>
    <definedName name="AC_CT">'Supplier database'!$C$108</definedName>
    <definedName name="AC_Equipment_Budget">'Cost Detail'!$A$44</definedName>
    <definedName name="AC_Equipment_Product" localSheetId="20">'[1]Cost Detail'!$A$44</definedName>
    <definedName name="AC_Equipment_Product">'Cost Detail'!$A$44</definedName>
    <definedName name="AC_Installation_Services" localSheetId="20">'[1]Cost Detail'!$A$77</definedName>
    <definedName name="AC_Installation_Services">'Cost Detail'!$A$109</definedName>
    <definedName name="AC_Installer" localSheetId="20">'[1]Supplier database'!$A$141</definedName>
    <definedName name="AC_Installer">'Supplier database'!$A$197</definedName>
    <definedName name="AC_PLC" localSheetId="20">'[1]Supplier database'!$C$100</definedName>
    <definedName name="AC_PLC">'Supplier database'!$C$104</definedName>
    <definedName name="AC_Product" localSheetId="20">'[1]Cost Detail'!$G$53</definedName>
    <definedName name="AC_Product">'Cost Detail'!$G$44</definedName>
    <definedName name="AC_run" localSheetId="20">'[1]Costing Inputs'!$D$18</definedName>
    <definedName name="AC_run">'Costing Inputs'!$D$20</definedName>
    <definedName name="AC_SA" localSheetId="20">'[1]Supplier database'!$C$96</definedName>
    <definedName name="AC_SA">'Supplier database'!$C$100</definedName>
    <definedName name="ACC_EXP" localSheetId="20">'[1]Cost Detail'!$G$163</definedName>
    <definedName name="ACC_EXP">'Cost Detail'!#REF!</definedName>
    <definedName name="Accomodation" localSheetId="20">'[1]Cost Detail'!$A$157</definedName>
    <definedName name="Accomodation">'Cost Detail'!#REF!</definedName>
    <definedName name="Battery_Size">'Design Inputs'!$E$49</definedName>
    <definedName name="BatterySize">'Design Inputs'!$E$49</definedName>
    <definedName name="BESS_Breaker">'Supplier database'!$AA$123</definedName>
    <definedName name="BESS_Breaker_Rating">'Supplier database'!$AA$123</definedName>
    <definedName name="BESS_BreakerRating">'Supplier database'!$AA$123</definedName>
    <definedName name="Cable_cost">'Supplier database'!$V$148</definedName>
    <definedName name="Cable_size">'Supplier database'!$V$149</definedName>
    <definedName name="Cheapest_Module" localSheetId="20">'[1]Supplier database'!$C$13</definedName>
    <definedName name="Cheapest_Module">'Supplier database'!$C$13</definedName>
    <definedName name="Civil___Electrical_Due_Dilligence_Services" localSheetId="20">'[1]Cost Detail'!$A$100</definedName>
    <definedName name="Civil___Electrical_Due_Dilligence_Services">'Cost Detail'!$A$130</definedName>
    <definedName name="Combiner_Box_Budget">#REF!</definedName>
    <definedName name="Combiner_Budget">'Cost Detail'!$A$18</definedName>
    <definedName name="Combiner_Product" localSheetId="20">'[1]Cost Detail'!$G$23</definedName>
    <definedName name="Combiner_Product">'Cost Detail'!$G$18</definedName>
    <definedName name="CombinerBox_Budget">#REF!</definedName>
    <definedName name="Cons_Meter">'Supplier database'!$C$104</definedName>
    <definedName name="Customs_Distance" localSheetId="20">'[1]Costing Inputs'!$S$5</definedName>
    <definedName name="Customs_Distance">'Costing Inputs'!$S$5</definedName>
    <definedName name="Customs_Time" localSheetId="20">'[1]Ref 1'!$C$43</definedName>
    <definedName name="Customs_Time">'Ref 1'!$C$45</definedName>
    <definedName name="Data_Array" localSheetId="20">'[1]2.1 Sizing Data'!$B$31:$AG$53</definedName>
    <definedName name="Data_Array">'2.1 Sizing Data'!$B$31:$AG$53</definedName>
    <definedName name="DC_Cable_Budget">'Cost Detail'!$A$34</definedName>
    <definedName name="DC_Equipment_Product" localSheetId="20">'[1]Cost Detail'!$A$34</definedName>
    <definedName name="DC_Equipment_Product">'Cost Detail'!$A$34</definedName>
    <definedName name="DC_Product" localSheetId="20">'[1]Cost Detail'!$G$42</definedName>
    <definedName name="DC_Product">'Cost Detail'!$G$34</definedName>
    <definedName name="DC_RUN" localSheetId="20">SUM('[1]Costing Inputs'!$D$19:$D$20)</definedName>
    <definedName name="DC_RUN">SUM('Costing Inputs'!$D$21:$D$22)</definedName>
    <definedName name="DD_SERV" localSheetId="20">'[1]Cost Detail'!$G$106</definedName>
    <definedName name="DD_SERV">'Cost Detail'!$G$130</definedName>
    <definedName name="De_snag_days" localSheetId="20">'[1]Ref 1'!$C$39</definedName>
    <definedName name="De_snag_days">'Ref 1'!$C$41</definedName>
    <definedName name="DocXTextRef41" localSheetId="16">'CIC Pack Outputs'!$B$105</definedName>
    <definedName name="DocXTextRef42" localSheetId="16">'CIC Pack Outputs'!$B$81</definedName>
    <definedName name="DropList1">#REF!</definedName>
    <definedName name="Due_Dilligence_Structural_Supplier" localSheetId="20">'[1]Supplier database'!$A$165</definedName>
    <definedName name="Due_Dilligence_Structural_Supplier">'Supplier database'!$A$221</definedName>
    <definedName name="Due_Dilligence_Supplier_Elec">'Supplier database'!$A$217</definedName>
    <definedName name="easterncape_angle">'2.1 Sizing Data'!$AK$28:$AO$28</definedName>
    <definedName name="easterncape_yield">'2.1 Sizing Data'!$AK$31:$AO$53</definedName>
    <definedName name="EE_accomodation" localSheetId="20">'[1]Costing Inputs'!$V$11</definedName>
    <definedName name="EE_accomodation">'Costing Inputs'!$V$11</definedName>
    <definedName name="EE_Daily" localSheetId="20">'[1]Ref 1'!$C$18</definedName>
    <definedName name="EE_Daily">'Ref 1'!$C$18</definedName>
    <definedName name="EE_HOURLY_OM" localSheetId="20">'[1]Ref 1'!$E$17</definedName>
    <definedName name="EE_HOURLY_OM">'Ref 1'!$E$17</definedName>
    <definedName name="EE_Hourly_PM" localSheetId="20">'[1]Ref 1'!$C$17</definedName>
    <definedName name="EE_Hourly_PM">'Ref 1'!$C$17</definedName>
    <definedName name="EE_Hourly_PP" localSheetId="20">'[1]Ref 1'!$D$17</definedName>
    <definedName name="EE_Hourly_PP">'Ref 1'!$D$17</definedName>
    <definedName name="ENGE_SERV" localSheetId="20">'[1]Cost Detail'!$G$97</definedName>
    <definedName name="ENGE_SERV">'Cost Detail'!$G$121</definedName>
    <definedName name="Engineering___Project_Management_Services" localSheetId="20">'[1]Cost Detail'!$A$90</definedName>
    <definedName name="Engineering___Project_Management_Services">'Cost Detail'!$A$121</definedName>
    <definedName name="EPC_Cost" localSheetId="10">'4.4 BESS Data'!#REF!</definedName>
    <definedName name="EPC_Cost" localSheetId="20">'[1]4.3 Emergent Data'!$G$3</definedName>
    <definedName name="EPC_Cost">'4.3 Emergent Data'!$G$3</definedName>
    <definedName name="EUR_ZAR" localSheetId="20">'[1]Ref 1'!$D$5+0.1</definedName>
    <definedName name="EUR_ZAR">'Ref 1'!$D$5+0.1</definedName>
    <definedName name="Food" localSheetId="20">'[1]Cost Detail'!$A$148</definedName>
    <definedName name="Food">'Cost Detail'!#REF!</definedName>
    <definedName name="FOOD_EXP" localSheetId="20">'[1]Cost Detail'!$G$154</definedName>
    <definedName name="FOOD_EXP">'Cost Detail'!#REF!</definedName>
    <definedName name="gauteng_yield">'2.1 Sizing Data'!$J$31:$M$53</definedName>
    <definedName name="Gautneg_angle">'2.1 Sizing Data'!$J$28:$M$28</definedName>
    <definedName name="Gen_Breaker">'Supplier database'!$AA$124</definedName>
    <definedName name="Generator_Size">'Design Inputs'!$L$48</definedName>
    <definedName name="HIGH_OffPeak" localSheetId="10">'4.4 BESS Data'!$F$8</definedName>
    <definedName name="HIGH_OffPeak" localSheetId="20">'[1]4.3 Emergent Data'!$K$5</definedName>
    <definedName name="HIGH_OffPeak">'4.3 Emergent Data'!$K$5</definedName>
    <definedName name="HIGH_Peak" localSheetId="10">'4.4 BESS Data'!$E$8</definedName>
    <definedName name="HIGH_Peak" localSheetId="20">'[1]4.3 Emergent Data'!$J$5</definedName>
    <definedName name="HIGH_Peak">'4.3 Emergent Data'!$J$5</definedName>
    <definedName name="HIGH_Std" localSheetId="10">'4.4 BESS Data'!$G$8</definedName>
    <definedName name="HIGH_Std" localSheetId="20">'[1]4.3 Emergent Data'!$L$5</definedName>
    <definedName name="HIGH_Std">'4.3 Emergent Data'!$L$5</definedName>
    <definedName name="Hurdle">'Fedgroup Model'!$D$28</definedName>
    <definedName name="Installation_AC" localSheetId="20">'[1]Cost Detail'!$G$81</definedName>
    <definedName name="Installation_AC">'Cost Detail'!$G$109</definedName>
    <definedName name="Installation_Services" localSheetId="20">'[1]Cost Detail'!$A$84</definedName>
    <definedName name="Installation_Services">'Cost Detail'!$A$115</definedName>
    <definedName name="Installation_Structural_DC" localSheetId="20">'[1]Cost Detail'!$G$88</definedName>
    <definedName name="Installation_Structural_DC">'Cost Detail'!$G$115</definedName>
    <definedName name="Installer_Accomodation" localSheetId="20">'[1]Costing Inputs'!$V$12</definedName>
    <definedName name="Installer_Accomodation">'Costing Inputs'!$V$12</definedName>
    <definedName name="Inv_Cable_cost">'Supplier database'!$X$148</definedName>
    <definedName name="Inv_cable_size">'Supplier database'!$X$149</definedName>
    <definedName name="Inv_run">'Costing Inputs'!$D$19</definedName>
    <definedName name="Inverter_Budget">'Cost Detail'!$A$11</definedName>
    <definedName name="Inverter_Capacity" localSheetId="20">'[1]Supplier database'!$C$56</definedName>
    <definedName name="Inverter_Capacity">'Supplier database'!$C$56</definedName>
    <definedName name="Inverter_Product" localSheetId="20">'[1]Cost Detail'!$G$18</definedName>
    <definedName name="Inverter_Product">'Cost Detail'!$G$11</definedName>
    <definedName name="Inverter_Quantity" localSheetId="20">'[1]Supplier database'!$D$56</definedName>
    <definedName name="Inverter_Quantity">'Supplier database'!$D$56</definedName>
    <definedName name="Inverter_Supplier" localSheetId="20">'[1]Supplier database'!$A$56</definedName>
    <definedName name="Inverter_Supplier">'Supplier database'!$A$56</definedName>
    <definedName name="IRR_PreTax">'Fedgroup Model'!$D$69</definedName>
    <definedName name="Kwazulu_angle">'2.1 Sizing Data'!$N$28:$Q$28</definedName>
    <definedName name="kwazulu_yield">'2.1 Sizing Data'!$N$31:$Q$53</definedName>
    <definedName name="Large_Containers_PV" localSheetId="20">'[1]Ref 1'!$C$41</definedName>
    <definedName name="Large_Containers_PV">'Ref 1'!$C$43</definedName>
    <definedName name="limpopo_angle">'2.1 Sizing Data'!$V$28:$Y$28</definedName>
    <definedName name="limpopo_yield">'2.1 Sizing Data'!$V$31:$Y$53</definedName>
    <definedName name="location" localSheetId="20">'[1]2.1 Sizing Data'!$C$2:$C$9</definedName>
    <definedName name="location">'2.1 Sizing Data'!$C$2:$C$9</definedName>
    <definedName name="LOW_OffPeak" localSheetId="10">'4.4 BESS Data'!$F$7</definedName>
    <definedName name="LOW_OffPeak" localSheetId="20">'[1]4.3 Emergent Data'!$K$4</definedName>
    <definedName name="LOW_OffPeak">'4.3 Emergent Data'!$K$4</definedName>
    <definedName name="LOW_Peak" localSheetId="10">'4.4 BESS Data'!$E$7</definedName>
    <definedName name="LOW_Peak" localSheetId="20">'[1]4.3 Emergent Data'!$J$4</definedName>
    <definedName name="LOW_Peak">'4.3 Emergent Data'!$J$4</definedName>
    <definedName name="LOW_Std" localSheetId="10">'4.4 BESS Data'!$G$7</definedName>
    <definedName name="LOW_Std" localSheetId="20">'[1]4.3 Emergent Data'!$L$4</definedName>
    <definedName name="LOW_Std">'4.3 Emergent Data'!$L$4</definedName>
    <definedName name="Margin_Exp" localSheetId="20">'[1]Costing Inputs'!$AB$20</definedName>
    <definedName name="Margin_Exp">'Costing Inputs'!$AB$25</definedName>
    <definedName name="Margin_Prod" localSheetId="20">'[1]Costing Inputs'!$AB$18</definedName>
    <definedName name="Margin_Prod">'Costing Inputs'!$AB$22</definedName>
    <definedName name="Margin_Serv" localSheetId="20">'[1]Costing Inputs'!$AB$19</definedName>
    <definedName name="Margin_Serv">'Costing Inputs'!$AB$24</definedName>
    <definedName name="Margin_SubCon" localSheetId="20">'[1]Costing Inputs'!$AB$21</definedName>
    <definedName name="Margin_SubCon">'Costing Inputs'!$AB$26</definedName>
    <definedName name="Material_Roof_access" localSheetId="20">'[1]Cost Detail'!$A$113</definedName>
    <definedName name="Material_Roof_access">'Cost Detail'!$A$143</definedName>
    <definedName name="Meter" localSheetId="20">'[1]Costing Inputs'!$V$9</definedName>
    <definedName name="Meter">'Costing Inputs'!$V$9</definedName>
    <definedName name="Module_Budget">#REF!</definedName>
    <definedName name="Module_Capacity" localSheetId="20">'[1]Costing Inputs'!$D$6</definedName>
    <definedName name="Module_Capacity">'Costing Inputs'!$D$6</definedName>
    <definedName name="Module_Cost">#REF!</definedName>
    <definedName name="Module_Product" localSheetId="20">'[1]Cost Detail'!$G$10</definedName>
    <definedName name="Module_Product">'Cost Detail'!$G$4</definedName>
    <definedName name="Module_Quantity" localSheetId="20">'[1]Costing Inputs'!$K$4</definedName>
    <definedName name="Module_Quantity">'Costing Inputs'!$K$4</definedName>
    <definedName name="Module_Supplier">'Costing Inputs'!#REF!</definedName>
    <definedName name="Monitoring_Product" localSheetId="20">'[1]Cost Detail'!$G$60</definedName>
    <definedName name="Monitoring_Product">'Cost Detail'!$G$57</definedName>
    <definedName name="Mounting_Product" localSheetId="20">'[1]Cost Detail'!$G$31</definedName>
    <definedName name="Mounting_Product">'Cost Detail'!$G$26</definedName>
    <definedName name="Mounting_Structure_Budget">'Cost Detail'!$A$26</definedName>
    <definedName name="Mounting_Structures_Product" localSheetId="20">'[1]Cost Detail'!$A$25</definedName>
    <definedName name="Mounting_Structures_Product">'Cost Detail'!$A$26</definedName>
    <definedName name="Mounting_Supplier" localSheetId="20">'[1]Supplier database'!$B$74</definedName>
    <definedName name="Mounting_Supplier">'Supplier database'!$B$74</definedName>
    <definedName name="Mounting_Type" localSheetId="20">'[1]Costing Inputs'!$H$18</definedName>
    <definedName name="Mounting_Type">'Costing Inputs'!$D$26</definedName>
    <definedName name="MV_connec">'Costing Inputs'!$V$10</definedName>
    <definedName name="MV_connection" localSheetId="20">'[1]Costing Inputs'!$V$10</definedName>
    <definedName name="MV_connection">'Costing Inputs'!$V$10</definedName>
    <definedName name="Nearest_City">'Ref 1'!$L$38:$L$39</definedName>
    <definedName name="north_west_angle">'2.1 Sizing Data'!$AH$28:$AJ$28</definedName>
    <definedName name="North_west_Yield">'2.1 Sizing Data'!$AH$31:$AJ$53</definedName>
    <definedName name="Northern_Cape_yield">'2.1 Sizing Data'!$F$31:$I$53</definedName>
    <definedName name="Nothern_cape_angle">'2.1 Sizing Data'!$F$28:$I$28</definedName>
    <definedName name="nothing">'Costing Inputs'!#REF!</definedName>
    <definedName name="nothingadfsad">'Costing Inputs'!#REF!</definedName>
    <definedName name="OFFLOAD" localSheetId="20">'[1]Cost Detail'!$G$111</definedName>
    <definedName name="OFFLOAD">'Cost Detail'!$G$138</definedName>
    <definedName name="Offloading_Required" localSheetId="20">'[1]Costing Inputs'!$V$4</definedName>
    <definedName name="Offloading_Required">'Costing Inputs'!$V$4</definedName>
    <definedName name="Offloading_service" localSheetId="20">'[1]Cost Detail'!$A$108</definedName>
    <definedName name="Offloading_service">'Cost Detail'!$A$138</definedName>
    <definedName name="orientation" localSheetId="20">'[1]2.1 Sizing Data'!$A$31:$A$53</definedName>
    <definedName name="orientation">'2.1 Sizing Data'!$A$31:$A$53</definedName>
    <definedName name="parapet">'2.1 Sizing Data'!$N$2:$N$3</definedName>
    <definedName name="PPA_Length" localSheetId="10">'4.4 BESS Data'!#REF!</definedName>
    <definedName name="PPA_Length" localSheetId="20">'[1]4.3 Emergent Data'!#REF!</definedName>
    <definedName name="PPA_Length">'4.3 Emergent Data'!#REF!</definedName>
    <definedName name="ppa_Tariff">'Fedgroup Model'!$D$45</definedName>
    <definedName name="Price_PerWp">#REF!</definedName>
    <definedName name="Prof_eng" localSheetId="20">'[1]Costing Inputs'!$V$13</definedName>
    <definedName name="Prof_eng">'Costing Inputs'!$V$16</definedName>
    <definedName name="Project_location" localSheetId="20">'[1]Costing Inputs'!$S$4</definedName>
    <definedName name="Project_location">'Costing Inputs'!$S$4</definedName>
    <definedName name="Project_Size" localSheetId="20">'Consumption curve '!Projectsize</definedName>
    <definedName name="Project_Size">Projectsize</definedName>
    <definedName name="Projectsize" localSheetId="20">'[1]Costing Inputs'!$K$5</definedName>
    <definedName name="Projectsize">'Costing Inputs'!$K$5</definedName>
    <definedName name="PV_Module_Budget">'Cost Detail'!$A$4</definedName>
    <definedName name="PV_Modules_Budget">'Cost Detail'!$A$4</definedName>
    <definedName name="PV_Modules_Product" localSheetId="20">'[1]Cost Detail'!$A$5</definedName>
    <definedName name="PV_Modules_Product">'Cost Detail'!$A$4</definedName>
    <definedName name="RMACC" localSheetId="20">'[1]Cost Detail'!$G$116</definedName>
    <definedName name="RMACC">'Cost Detail'!$G$143</definedName>
    <definedName name="roof_inclination" localSheetId="20">'[1]2.1 Sizing Data'!$A$2:$A$5</definedName>
    <definedName name="roof_inclination">'2.1 Sizing Data'!$A$2:$A$5</definedName>
    <definedName name="roof_orientation" localSheetId="20">'[1]2.1 Sizing Data'!$B$2:$B$24</definedName>
    <definedName name="roof_orientation">'2.1 Sizing Data'!$B$2:$B$24</definedName>
    <definedName name="Roof_Struc" localSheetId="20">'[1]Costing Inputs'!$H$19</definedName>
    <definedName name="Roof_Struc">'Costing Inputs'!$D$27</definedName>
    <definedName name="Scaffolding" localSheetId="20">'[1]Costing Inputs'!$V$6</definedName>
    <definedName name="Scaffolding">'Costing Inputs'!$V$6</definedName>
    <definedName name="Scale_Factor" localSheetId="10">'4.4 BESS Data'!$T$11</definedName>
    <definedName name="Scale_Factor">'4.3 Emergent Data'!$V$8</definedName>
    <definedName name="Security_Serv" localSheetId="20">'[1]Cost Detail'!$G$130</definedName>
    <definedName name="Security_Serv">'Cost Detail'!$G$157</definedName>
    <definedName name="Site_Days" localSheetId="20">'[1]Ref 1'!$C$38</definedName>
    <definedName name="Site_Days">'Ref 1'!$C$40</definedName>
    <definedName name="Site_Distance" localSheetId="20">'[1]Costing Inputs'!$S$6</definedName>
    <definedName name="Site_Distance">'Costing Inputs'!$S$6</definedName>
    <definedName name="Site_Security" localSheetId="20">'[1]Costing Inputs'!$V$8</definedName>
    <definedName name="Site_Security">'Costing Inputs'!$V$8</definedName>
    <definedName name="Site_Storage" localSheetId="20">'[1]Costing Inputs'!$V$7</definedName>
    <definedName name="Site_Storage">'Costing Inputs'!$V$7</definedName>
    <definedName name="Site_Storage_services" localSheetId="20">'[1]Cost Detail'!$A$117</definedName>
    <definedName name="Site_Storage_services">'Cost Detail'!$A$147</definedName>
    <definedName name="Small_Containers_PV" localSheetId="20">'[1]Ref 1'!$C$40</definedName>
    <definedName name="Small_Containers_PV">'Ref 1'!$C$42</definedName>
    <definedName name="solver_eng" localSheetId="4" hidden="1">1</definedName>
    <definedName name="solver_lin" localSheetId="4" hidden="1">2</definedName>
    <definedName name="solver_neg" localSheetId="4" hidden="1">1</definedName>
    <definedName name="solver_num" localSheetId="4" hidden="1">0</definedName>
    <definedName name="solver_opt" localSheetId="4" hidden="1">'Fedgroup Model'!$K$47</definedName>
    <definedName name="solver_typ" localSheetId="4" hidden="1">1</definedName>
    <definedName name="solver_val" localSheetId="4" hidden="1">0</definedName>
    <definedName name="solver_ver" localSheetId="4" hidden="1">2</definedName>
    <definedName name="SSS" localSheetId="20">'[1]Cost Detail'!$G$120</definedName>
    <definedName name="SSS">'Cost Detail'!$G$147</definedName>
    <definedName name="Storage_Time" localSheetId="20">'[1]Ref 1'!$C$45</definedName>
    <definedName name="Storage_Time">'Ref 1'!$C$47</definedName>
    <definedName name="Structural_Installer">'Supplier database'!$A$192</definedName>
    <definedName name="Tariff_Additional" localSheetId="10">'4.4 BESS Data'!$E$9</definedName>
    <definedName name="Tariff_Additional" localSheetId="20">'[1]4.3 Emergent Data'!$J$6</definedName>
    <definedName name="Tariff_Additional">'4.3 Emergent Data'!$J$6</definedName>
    <definedName name="Tax_12B" localSheetId="10">'4.4 BESS Data'!#REF!</definedName>
    <definedName name="Tax_12B" localSheetId="20">'[1]4.3 Emergent Data'!$G$14</definedName>
    <definedName name="Tax_12B">'4.3 Emergent Data'!$G$14</definedName>
    <definedName name="Tax_Rate" localSheetId="10">'4.4 BESS Data'!#REF!</definedName>
    <definedName name="Tax_Rate" localSheetId="20">'[1]4.3 Emergent Data'!$G$7</definedName>
    <definedName name="Tax_Rate">'4.3 Emergent Data'!$G$7</definedName>
    <definedName name="telehandler" localSheetId="20">'[1]Costing Inputs'!$V$5</definedName>
    <definedName name="telehandler">'Costing Inputs'!$V$5</definedName>
    <definedName name="Timeline">'Costing Inputs'!$D$4</definedName>
    <definedName name="Total_cost">'Cost Summary'!$C$39</definedName>
    <definedName name="TOTAL_Project_Cost" localSheetId="20">'[1]Cost Summary'!$C$35</definedName>
    <definedName name="TOTAL_Project_Cost">'Cost Summary'!$C$37</definedName>
    <definedName name="Transport_Time" localSheetId="20">'[1]Ref 1'!$C$42</definedName>
    <definedName name="Transport_Time">'Ref 1'!$C$44</definedName>
    <definedName name="Transport_Time_Additional">'Ref 1'!$C$48</definedName>
    <definedName name="Transport_Time_Allowable" localSheetId="20">'[1]Ref 1'!$C$44</definedName>
    <definedName name="Transport_Time_Allowable">'Ref 1'!$C$46</definedName>
    <definedName name="Travel" localSheetId="20">'[1]Cost Detail'!$A$141</definedName>
    <definedName name="Travel">'Cost Detail'!$A$171</definedName>
    <definedName name="TRAVEL_EXP" localSheetId="20">'[1]Cost Detail'!$G$146</definedName>
    <definedName name="TRAVEL_EXP">'Cost Detail'!$G$171</definedName>
    <definedName name="Travel_Rate">'Ref 1'!$C$21</definedName>
    <definedName name="USD_ZAR" localSheetId="20">'[1]Design Inputs'!$K$56</definedName>
    <definedName name="USD_ZAR">'Design Inputs'!$K$70</definedName>
    <definedName name="Vat_Rate">'4.3 Emergent Data'!$G$12</definedName>
    <definedName name="western_Cape_Angle">'2.1 Sizing Data'!$B$28:$E$28</definedName>
    <definedName name="Western_Cape_Yield">'2.1 Sizing Data'!$B$31:$E$53</definedName>
  </definedNames>
  <calcPr calcId="191028"/>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67" i="38" l="1"/>
  <c r="E88" i="43"/>
  <c r="D32" i="27"/>
  <c r="F49" i="43"/>
  <c r="G82" i="43"/>
  <c r="E82" i="43"/>
  <c r="A82" i="43"/>
  <c r="A81" i="43"/>
  <c r="E81" i="43" s="1"/>
  <c r="G81" i="43" s="1"/>
  <c r="A80" i="43"/>
  <c r="E80" i="43" s="1"/>
  <c r="G80" i="43" s="1"/>
  <c r="A79" i="43"/>
  <c r="E79" i="43" s="1"/>
  <c r="G79" i="43" s="1"/>
  <c r="A78" i="43"/>
  <c r="E78" i="43" s="1"/>
  <c r="F61" i="43"/>
  <c r="H14" i="53" l="1"/>
  <c r="H11" i="53"/>
  <c r="D69" i="38" l="1"/>
  <c r="D55" i="38"/>
  <c r="D30" i="38" l="1"/>
  <c r="D28" i="38"/>
  <c r="D27" i="38"/>
  <c r="D5" i="53"/>
  <c r="D7" i="69" s="1"/>
  <c r="D91" i="27"/>
  <c r="N45" i="27"/>
  <c r="O45" i="27"/>
  <c r="P45" i="27"/>
  <c r="Q45" i="27"/>
  <c r="R45" i="27"/>
  <c r="S45" i="27"/>
  <c r="T45" i="27"/>
  <c r="U45" i="27"/>
  <c r="V45" i="27"/>
  <c r="W45" i="27"/>
  <c r="C98" i="62"/>
  <c r="D6" i="69"/>
  <c r="D47" i="68"/>
  <c r="X45" i="27" l="1"/>
  <c r="B37" i="27"/>
  <c r="T135" i="69"/>
  <c r="T123" i="69"/>
  <c r="T111" i="69"/>
  <c r="T99" i="69"/>
  <c r="T87" i="69"/>
  <c r="T75" i="69"/>
  <c r="T63" i="69"/>
  <c r="T51" i="69"/>
  <c r="T39" i="69"/>
  <c r="T27" i="69"/>
  <c r="B17" i="69"/>
  <c r="B18" i="69" s="1"/>
  <c r="B19" i="69" s="1"/>
  <c r="B20" i="69" s="1"/>
  <c r="B21" i="69" s="1"/>
  <c r="B22" i="69" s="1"/>
  <c r="B23" i="69" s="1"/>
  <c r="B24" i="69" s="1"/>
  <c r="B25" i="69" s="1"/>
  <c r="B26" i="69" s="1"/>
  <c r="B27" i="69" s="1"/>
  <c r="B28" i="69" s="1"/>
  <c r="B29" i="69" s="1"/>
  <c r="B30" i="69" s="1"/>
  <c r="B31" i="69" s="1"/>
  <c r="B32" i="69" s="1"/>
  <c r="B33" i="69" s="1"/>
  <c r="B34" i="69" s="1"/>
  <c r="B35" i="69" s="1"/>
  <c r="B36" i="69" s="1"/>
  <c r="B37" i="69" s="1"/>
  <c r="B38" i="69" s="1"/>
  <c r="B39" i="69" s="1"/>
  <c r="B40" i="69" s="1"/>
  <c r="B41" i="69" s="1"/>
  <c r="B42" i="69" s="1"/>
  <c r="B43" i="69" s="1"/>
  <c r="B44" i="69" s="1"/>
  <c r="B45" i="69" s="1"/>
  <c r="B46" i="69" s="1"/>
  <c r="B47" i="69" s="1"/>
  <c r="B48" i="69" s="1"/>
  <c r="B49" i="69" s="1"/>
  <c r="B50" i="69" s="1"/>
  <c r="B51" i="69" s="1"/>
  <c r="B52" i="69" s="1"/>
  <c r="B53" i="69" s="1"/>
  <c r="B54" i="69" s="1"/>
  <c r="B55" i="69" s="1"/>
  <c r="B56" i="69" s="1"/>
  <c r="B57" i="69" s="1"/>
  <c r="B58" i="69" s="1"/>
  <c r="B59" i="69" s="1"/>
  <c r="B60" i="69" s="1"/>
  <c r="B61" i="69" s="1"/>
  <c r="B62" i="69" s="1"/>
  <c r="B63" i="69" s="1"/>
  <c r="B64" i="69" s="1"/>
  <c r="B65" i="69" s="1"/>
  <c r="B66" i="69" s="1"/>
  <c r="B67" i="69" s="1"/>
  <c r="B68" i="69" s="1"/>
  <c r="B69" i="69" s="1"/>
  <c r="B70" i="69" s="1"/>
  <c r="B71" i="69" s="1"/>
  <c r="B72" i="69" s="1"/>
  <c r="B73" i="69" s="1"/>
  <c r="B74" i="69" s="1"/>
  <c r="B75" i="69" s="1"/>
  <c r="B76" i="69" s="1"/>
  <c r="B77" i="69" s="1"/>
  <c r="B78" i="69" s="1"/>
  <c r="B79" i="69" s="1"/>
  <c r="B80" i="69" s="1"/>
  <c r="B81" i="69" s="1"/>
  <c r="B82" i="69" s="1"/>
  <c r="B83" i="69" s="1"/>
  <c r="B84" i="69" s="1"/>
  <c r="B85" i="69" s="1"/>
  <c r="B86" i="69" s="1"/>
  <c r="B87" i="69" s="1"/>
  <c r="B88" i="69" s="1"/>
  <c r="B89" i="69" s="1"/>
  <c r="B90" i="69" s="1"/>
  <c r="B91" i="69" s="1"/>
  <c r="B92" i="69" s="1"/>
  <c r="B93" i="69" s="1"/>
  <c r="B94" i="69" s="1"/>
  <c r="B95" i="69" s="1"/>
  <c r="B96" i="69" s="1"/>
  <c r="B97" i="69" s="1"/>
  <c r="B98" i="69" s="1"/>
  <c r="B99" i="69" s="1"/>
  <c r="B100" i="69" s="1"/>
  <c r="B101" i="69" s="1"/>
  <c r="B102" i="69" s="1"/>
  <c r="B103" i="69" s="1"/>
  <c r="B104" i="69" s="1"/>
  <c r="B105" i="69" s="1"/>
  <c r="B106" i="69" s="1"/>
  <c r="B107" i="69" s="1"/>
  <c r="B108" i="69" s="1"/>
  <c r="B109" i="69" s="1"/>
  <c r="B110" i="69" s="1"/>
  <c r="B111" i="69" s="1"/>
  <c r="B112" i="69" s="1"/>
  <c r="B113" i="69" s="1"/>
  <c r="B114" i="69" s="1"/>
  <c r="B115" i="69" s="1"/>
  <c r="B116" i="69" s="1"/>
  <c r="B117" i="69" s="1"/>
  <c r="B118" i="69" s="1"/>
  <c r="B119" i="69" s="1"/>
  <c r="B120" i="69" s="1"/>
  <c r="B121" i="69" s="1"/>
  <c r="B122" i="69" s="1"/>
  <c r="B123" i="69" s="1"/>
  <c r="B124" i="69" s="1"/>
  <c r="B125" i="69" s="1"/>
  <c r="B126" i="69" s="1"/>
  <c r="B127" i="69" s="1"/>
  <c r="B128" i="69" s="1"/>
  <c r="B129" i="69" s="1"/>
  <c r="B130" i="69" s="1"/>
  <c r="B131" i="69" s="1"/>
  <c r="B132" i="69" s="1"/>
  <c r="B133" i="69" s="1"/>
  <c r="B134" i="69" s="1"/>
  <c r="B135" i="69" s="1"/>
  <c r="D8" i="69"/>
  <c r="D5" i="69"/>
  <c r="C15" i="69" s="1"/>
  <c r="T137" i="69" l="1"/>
  <c r="C16" i="69"/>
  <c r="C17" i="69" s="1"/>
  <c r="C18" i="69" l="1"/>
  <c r="C19" i="69" l="1"/>
  <c r="C20" i="69" l="1"/>
  <c r="C21" i="69" l="1"/>
  <c r="C22" i="69" l="1"/>
  <c r="C23" i="69" l="1"/>
  <c r="C24" i="69" l="1"/>
  <c r="C25" i="69" l="1"/>
  <c r="C26" i="69" l="1"/>
  <c r="C27" i="69" l="1"/>
  <c r="C28" i="69" l="1"/>
  <c r="C29" i="69" l="1"/>
  <c r="C30" i="69" l="1"/>
  <c r="C31" i="69" l="1"/>
  <c r="C32" i="69" l="1"/>
  <c r="C33" i="69" l="1"/>
  <c r="C34" i="69" l="1"/>
  <c r="C35" i="69" l="1"/>
  <c r="C36" i="69" l="1"/>
  <c r="C37" i="69" l="1"/>
  <c r="C38" i="69" l="1"/>
  <c r="C39" i="69" l="1"/>
  <c r="C40" i="69" l="1"/>
  <c r="C41" i="69" l="1"/>
  <c r="C42" i="69" l="1"/>
  <c r="C43" i="69" l="1"/>
  <c r="C44" i="69" l="1"/>
  <c r="C45" i="69" l="1"/>
  <c r="C46" i="69" l="1"/>
  <c r="C47" i="69" l="1"/>
  <c r="C48" i="69" l="1"/>
  <c r="C49" i="69" l="1"/>
  <c r="C50" i="69" l="1"/>
  <c r="C51" i="69" l="1"/>
  <c r="C52" i="69" l="1"/>
  <c r="C53" i="69" l="1"/>
  <c r="C54" i="69" l="1"/>
  <c r="C55" i="69" l="1"/>
  <c r="C56" i="69" l="1"/>
  <c r="C57" i="69" l="1"/>
  <c r="C58" i="69" l="1"/>
  <c r="C59" i="69" l="1"/>
  <c r="C60" i="69" l="1"/>
  <c r="C61" i="69" l="1"/>
  <c r="C62" i="69" l="1"/>
  <c r="C63" i="69" l="1"/>
  <c r="C64" i="69" l="1"/>
  <c r="C65" i="69" l="1"/>
  <c r="C66" i="69" l="1"/>
  <c r="C67" i="69" l="1"/>
  <c r="C68" i="69" l="1"/>
  <c r="C69" i="69" l="1"/>
  <c r="C70" i="69" l="1"/>
  <c r="C71" i="69" l="1"/>
  <c r="C72" i="69" l="1"/>
  <c r="C73" i="69" l="1"/>
  <c r="C74" i="69" l="1"/>
  <c r="C75" i="69" l="1"/>
  <c r="C76" i="69" l="1"/>
  <c r="C77" i="69" l="1"/>
  <c r="C78" i="69" l="1"/>
  <c r="C79" i="69" l="1"/>
  <c r="C80" i="69" l="1"/>
  <c r="C81" i="69" l="1"/>
  <c r="C82" i="69" l="1"/>
  <c r="C83" i="69" l="1"/>
  <c r="C84" i="69" l="1"/>
  <c r="C85" i="69" l="1"/>
  <c r="C86" i="69" l="1"/>
  <c r="C87" i="69" l="1"/>
  <c r="C88" i="69" l="1"/>
  <c r="C89" i="69" l="1"/>
  <c r="C90" i="69" l="1"/>
  <c r="C91" i="69" l="1"/>
  <c r="C92" i="69" l="1"/>
  <c r="C93" i="69" l="1"/>
  <c r="C94" i="69" l="1"/>
  <c r="C95" i="69" l="1"/>
  <c r="C96" i="69" l="1"/>
  <c r="C97" i="69" l="1"/>
  <c r="C98" i="69" l="1"/>
  <c r="C99" i="69" l="1"/>
  <c r="C100" i="69" l="1"/>
  <c r="C101" i="69" l="1"/>
  <c r="C102" i="69" l="1"/>
  <c r="C103" i="69" l="1"/>
  <c r="C104" i="69" l="1"/>
  <c r="C105" i="69" l="1"/>
  <c r="C106" i="69" l="1"/>
  <c r="C107" i="69" l="1"/>
  <c r="C108" i="69" l="1"/>
  <c r="C109" i="69" l="1"/>
  <c r="C110" i="69" l="1"/>
  <c r="C111" i="69" l="1"/>
  <c r="C112" i="69" l="1"/>
  <c r="C113" i="69" l="1"/>
  <c r="C114" i="69" l="1"/>
  <c r="C115" i="69" l="1"/>
  <c r="C116" i="69" l="1"/>
  <c r="C117" i="69" l="1"/>
  <c r="C118" i="69" l="1"/>
  <c r="C119" i="69" l="1"/>
  <c r="C120" i="69" l="1"/>
  <c r="C121" i="69" l="1"/>
  <c r="C122" i="69" l="1"/>
  <c r="C123" i="69" l="1"/>
  <c r="C124" i="69" l="1"/>
  <c r="C125" i="69" l="1"/>
  <c r="C126" i="69" l="1"/>
  <c r="C127" i="69" l="1"/>
  <c r="C128" i="69" l="1"/>
  <c r="C129" i="69" l="1"/>
  <c r="C130" i="69" l="1"/>
  <c r="D46" i="68"/>
  <c r="F33" i="68" s="1"/>
  <c r="E38" i="68"/>
  <c r="D28" i="68"/>
  <c r="B88" i="68"/>
  <c r="B89" i="68" s="1"/>
  <c r="B90" i="68" s="1"/>
  <c r="B91" i="68" s="1"/>
  <c r="Y76" i="68"/>
  <c r="E52" i="68"/>
  <c r="Y36" i="68"/>
  <c r="X36" i="68"/>
  <c r="W36" i="68"/>
  <c r="V36" i="68"/>
  <c r="U36" i="68"/>
  <c r="T36" i="68"/>
  <c r="S36" i="68"/>
  <c r="R36" i="68"/>
  <c r="Q36" i="68"/>
  <c r="P36" i="68"/>
  <c r="O36" i="68"/>
  <c r="N36" i="68"/>
  <c r="M36" i="68"/>
  <c r="L36" i="68"/>
  <c r="K36" i="68"/>
  <c r="J36" i="68"/>
  <c r="I36" i="68"/>
  <c r="H36" i="68"/>
  <c r="G36" i="68"/>
  <c r="F36" i="68"/>
  <c r="F35" i="68"/>
  <c r="G35" i="68" s="1"/>
  <c r="H35" i="68" s="1"/>
  <c r="I35" i="68" s="1"/>
  <c r="J35" i="68" s="1"/>
  <c r="K35" i="68" s="1"/>
  <c r="L35" i="68" s="1"/>
  <c r="M35" i="68" s="1"/>
  <c r="N35" i="68" s="1"/>
  <c r="O35" i="68" s="1"/>
  <c r="P35" i="68" s="1"/>
  <c r="Q35" i="68" s="1"/>
  <c r="R35" i="68" s="1"/>
  <c r="S35" i="68" s="1"/>
  <c r="T35" i="68" s="1"/>
  <c r="I30" i="68"/>
  <c r="J30" i="68" s="1"/>
  <c r="K30" i="68" s="1"/>
  <c r="L30" i="68" s="1"/>
  <c r="M30" i="68" s="1"/>
  <c r="N30" i="68" s="1"/>
  <c r="O30" i="68" s="1"/>
  <c r="P30" i="68" s="1"/>
  <c r="Q30" i="68" s="1"/>
  <c r="R30" i="68" s="1"/>
  <c r="S30" i="68" s="1"/>
  <c r="T30" i="68" s="1"/>
  <c r="U30" i="68" s="1"/>
  <c r="V30" i="68" s="1"/>
  <c r="W30" i="68" s="1"/>
  <c r="X30" i="68" s="1"/>
  <c r="C17" i="68"/>
  <c r="C18" i="68" s="1"/>
  <c r="C19" i="68" s="1"/>
  <c r="C20" i="68" s="1"/>
  <c r="E15" i="68"/>
  <c r="F15" i="68" s="1"/>
  <c r="G15" i="68" s="1"/>
  <c r="H15" i="68" s="1"/>
  <c r="C6" i="68"/>
  <c r="C7" i="68" s="1"/>
  <c r="C8" i="68" s="1"/>
  <c r="C9" i="68" s="1"/>
  <c r="E4" i="68"/>
  <c r="F4" i="68" s="1"/>
  <c r="G4" i="68" s="1"/>
  <c r="H4" i="68" s="1"/>
  <c r="F52" i="68" l="1"/>
  <c r="C131" i="69"/>
  <c r="G33" i="68"/>
  <c r="H33" i="68" s="1"/>
  <c r="I33" i="68" s="1"/>
  <c r="J33" i="68" s="1"/>
  <c r="K33" i="68" s="1"/>
  <c r="L33" i="68" s="1"/>
  <c r="M33" i="68" s="1"/>
  <c r="N33" i="68" s="1"/>
  <c r="O33" i="68" s="1"/>
  <c r="P33" i="68" s="1"/>
  <c r="Q33" i="68" s="1"/>
  <c r="R33" i="68" s="1"/>
  <c r="S33" i="68" s="1"/>
  <c r="T33" i="68" s="1"/>
  <c r="U33" i="68" s="1"/>
  <c r="V33" i="68" s="1"/>
  <c r="W33" i="68" s="1"/>
  <c r="X33" i="68" s="1"/>
  <c r="B92" i="68"/>
  <c r="U35" i="68"/>
  <c r="G52" i="68" l="1"/>
  <c r="E91" i="27"/>
  <c r="C132" i="69"/>
  <c r="V35" i="68"/>
  <c r="B93" i="68"/>
  <c r="H52" i="68" l="1"/>
  <c r="F91" i="27"/>
  <c r="C133" i="69"/>
  <c r="B94" i="68"/>
  <c r="W35" i="68"/>
  <c r="I52" i="68" l="1"/>
  <c r="G91" i="27"/>
  <c r="C134" i="69"/>
  <c r="B95" i="68"/>
  <c r="X35" i="68"/>
  <c r="J52" i="68" l="1"/>
  <c r="H91" i="27"/>
  <c r="C135" i="69"/>
  <c r="B96" i="68"/>
  <c r="Y35" i="68"/>
  <c r="K52" i="68" l="1"/>
  <c r="I91" i="27"/>
  <c r="B97" i="68"/>
  <c r="L52" i="68" l="1"/>
  <c r="J91" i="27"/>
  <c r="B98" i="68"/>
  <c r="M52" i="68" l="1"/>
  <c r="K91" i="27"/>
  <c r="B99" i="68"/>
  <c r="N52" i="68" l="1"/>
  <c r="L91" i="27"/>
  <c r="B100" i="68"/>
  <c r="O52" i="68" l="1"/>
  <c r="M91" i="27"/>
  <c r="B101" i="68"/>
  <c r="P52" i="68" l="1"/>
  <c r="N91" i="27"/>
  <c r="B102" i="68"/>
  <c r="Q52" i="68" l="1"/>
  <c r="O91" i="27"/>
  <c r="B103" i="68"/>
  <c r="R52" i="68" l="1"/>
  <c r="P91" i="27"/>
  <c r="B104" i="68"/>
  <c r="S52" i="68" l="1"/>
  <c r="Q91" i="27"/>
  <c r="B105" i="68"/>
  <c r="T52" i="68" l="1"/>
  <c r="R91" i="27"/>
  <c r="B106" i="68"/>
  <c r="U52" i="68" l="1"/>
  <c r="S91" i="27"/>
  <c r="E101" i="27"/>
  <c r="F101" i="27" s="1"/>
  <c r="G101" i="27" s="1"/>
  <c r="H101" i="27" s="1"/>
  <c r="I101" i="27" s="1"/>
  <c r="J101" i="27" s="1"/>
  <c r="K101" i="27" s="1"/>
  <c r="L101" i="27" s="1"/>
  <c r="M101" i="27" s="1"/>
  <c r="N101" i="27" s="1"/>
  <c r="O101" i="27" s="1"/>
  <c r="P101" i="27" s="1"/>
  <c r="Q101" i="27" s="1"/>
  <c r="R101" i="27" s="1"/>
  <c r="S101" i="27" s="1"/>
  <c r="T101" i="27" s="1"/>
  <c r="U101" i="27" s="1"/>
  <c r="V101" i="27" s="1"/>
  <c r="W101" i="27" s="1"/>
  <c r="X101" i="27" s="1"/>
  <c r="D103" i="27"/>
  <c r="E103" i="27" s="1"/>
  <c r="F103" i="27" s="1"/>
  <c r="G103" i="27" s="1"/>
  <c r="H103" i="27" s="1"/>
  <c r="I103" i="27" s="1"/>
  <c r="J103" i="27" s="1"/>
  <c r="K103" i="27" s="1"/>
  <c r="L103" i="27" s="1"/>
  <c r="M103" i="27" s="1"/>
  <c r="N103" i="27" s="1"/>
  <c r="O103" i="27" s="1"/>
  <c r="P103" i="27" s="1"/>
  <c r="Q103" i="27" s="1"/>
  <c r="R103" i="27" s="1"/>
  <c r="S103" i="27" s="1"/>
  <c r="T103" i="27" s="1"/>
  <c r="U103" i="27" s="1"/>
  <c r="V103" i="27" s="1"/>
  <c r="W103" i="27" s="1"/>
  <c r="X103" i="27" s="1"/>
  <c r="V52" i="68" l="1"/>
  <c r="T91" i="27"/>
  <c r="C107" i="27"/>
  <c r="B6" i="62"/>
  <c r="H4" i="65"/>
  <c r="H3" i="65" s="1"/>
  <c r="B148" i="65"/>
  <c r="B124" i="65"/>
  <c r="B125" i="65" s="1"/>
  <c r="B100" i="65"/>
  <c r="B101" i="65" s="1"/>
  <c r="B76" i="65"/>
  <c r="B52" i="65"/>
  <c r="B53" i="65" s="1"/>
  <c r="B28" i="65"/>
  <c r="B29" i="65" s="1"/>
  <c r="W52" i="68" l="1"/>
  <c r="U91" i="27"/>
  <c r="B149" i="65"/>
  <c r="B126" i="65"/>
  <c r="B102" i="65"/>
  <c r="B77" i="65"/>
  <c r="B54" i="65"/>
  <c r="B30" i="65"/>
  <c r="X61" i="27"/>
  <c r="X52" i="68" l="1"/>
  <c r="W91" i="27" s="1"/>
  <c r="V91" i="27"/>
  <c r="B150" i="65"/>
  <c r="B127" i="65"/>
  <c r="B103" i="65"/>
  <c r="B78" i="65"/>
  <c r="B55" i="65"/>
  <c r="B31" i="65"/>
  <c r="E161" i="44"/>
  <c r="B163" i="44"/>
  <c r="B161" i="44"/>
  <c r="Z157" i="44"/>
  <c r="B157" i="44"/>
  <c r="C157" i="44"/>
  <c r="D157" i="44"/>
  <c r="E157" i="44"/>
  <c r="F157" i="44"/>
  <c r="G157" i="44"/>
  <c r="H157" i="44"/>
  <c r="I157" i="44"/>
  <c r="J157" i="44"/>
  <c r="K157" i="44"/>
  <c r="L157" i="44"/>
  <c r="M157" i="44"/>
  <c r="N157" i="44"/>
  <c r="O157" i="44"/>
  <c r="P157" i="44"/>
  <c r="Q157" i="44"/>
  <c r="R157" i="44"/>
  <c r="S157" i="44"/>
  <c r="T157" i="44"/>
  <c r="U157" i="44"/>
  <c r="V157" i="44"/>
  <c r="W157" i="44"/>
  <c r="X157" i="44"/>
  <c r="Y157" i="44"/>
  <c r="AA157" i="44"/>
  <c r="AB157" i="44"/>
  <c r="AC157" i="44"/>
  <c r="AD157" i="44"/>
  <c r="AE157" i="44"/>
  <c r="D163" i="44"/>
  <c r="E163" i="44"/>
  <c r="F163" i="44"/>
  <c r="G163" i="44"/>
  <c r="H163" i="44"/>
  <c r="I163" i="44"/>
  <c r="J163" i="44"/>
  <c r="K163" i="44"/>
  <c r="L163" i="44"/>
  <c r="M163" i="44"/>
  <c r="N163" i="44"/>
  <c r="O163" i="44"/>
  <c r="P163" i="44"/>
  <c r="Q163" i="44"/>
  <c r="R163" i="44"/>
  <c r="S163" i="44"/>
  <c r="T163" i="44"/>
  <c r="U163" i="44"/>
  <c r="V163" i="44"/>
  <c r="W163" i="44"/>
  <c r="X163" i="44"/>
  <c r="Y163" i="44"/>
  <c r="Z163" i="44"/>
  <c r="AA163" i="44"/>
  <c r="AB163" i="44"/>
  <c r="AC163" i="44"/>
  <c r="AD163" i="44"/>
  <c r="AE163" i="44"/>
  <c r="AF163" i="44"/>
  <c r="AG163" i="44"/>
  <c r="AH163" i="44"/>
  <c r="AI163" i="44"/>
  <c r="AJ163" i="44"/>
  <c r="AK163" i="44"/>
  <c r="AL163" i="44"/>
  <c r="AM163" i="44"/>
  <c r="AN163" i="44"/>
  <c r="AO163" i="44"/>
  <c r="AP163" i="44"/>
  <c r="AQ163" i="44"/>
  <c r="AR163" i="44"/>
  <c r="AS163" i="44"/>
  <c r="AT163" i="44"/>
  <c r="AU163" i="44"/>
  <c r="AV163" i="44"/>
  <c r="AW163" i="44"/>
  <c r="AX163" i="44"/>
  <c r="AY163" i="44"/>
  <c r="C163" i="44"/>
  <c r="D161" i="44"/>
  <c r="C161" i="44"/>
  <c r="C156" i="44"/>
  <c r="D156" i="44"/>
  <c r="E156" i="44"/>
  <c r="F156" i="44"/>
  <c r="G156" i="44"/>
  <c r="H156" i="44"/>
  <c r="I156" i="44"/>
  <c r="J156" i="44"/>
  <c r="K156" i="44"/>
  <c r="L156" i="44"/>
  <c r="M156" i="44"/>
  <c r="N156" i="44"/>
  <c r="O156" i="44"/>
  <c r="P156" i="44"/>
  <c r="Q156" i="44"/>
  <c r="R156" i="44"/>
  <c r="S156" i="44"/>
  <c r="T156" i="44"/>
  <c r="U156" i="44"/>
  <c r="V156" i="44"/>
  <c r="W156" i="44"/>
  <c r="X156" i="44"/>
  <c r="Y156" i="44"/>
  <c r="Z156" i="44"/>
  <c r="AA156" i="44"/>
  <c r="AB156" i="44"/>
  <c r="AC156" i="44"/>
  <c r="AD156" i="44"/>
  <c r="AE156" i="44"/>
  <c r="B156" i="44"/>
  <c r="AY161" i="44"/>
  <c r="AF161" i="44"/>
  <c r="AG161" i="44" s="1"/>
  <c r="AH161" i="44" s="1"/>
  <c r="AI161" i="44" s="1"/>
  <c r="AJ161" i="44" s="1"/>
  <c r="AK161" i="44" s="1"/>
  <c r="AL161" i="44" s="1"/>
  <c r="AM161" i="44" s="1"/>
  <c r="AN161" i="44" s="1"/>
  <c r="AO161" i="44" s="1"/>
  <c r="AP161" i="44" s="1"/>
  <c r="AQ161" i="44" s="1"/>
  <c r="AR161" i="44" s="1"/>
  <c r="AS161" i="44" s="1"/>
  <c r="AT161" i="44" s="1"/>
  <c r="AU161" i="44" s="1"/>
  <c r="AV161" i="44" s="1"/>
  <c r="AW161" i="44" s="1"/>
  <c r="AX161" i="44" s="1"/>
  <c r="F161" i="44"/>
  <c r="G161" i="44" s="1"/>
  <c r="H161" i="44" s="1"/>
  <c r="I161" i="44" s="1"/>
  <c r="J161" i="44" s="1"/>
  <c r="K161" i="44" s="1"/>
  <c r="L161" i="44" s="1"/>
  <c r="M161" i="44" s="1"/>
  <c r="N161" i="44" s="1"/>
  <c r="O161" i="44" s="1"/>
  <c r="P161" i="44" s="1"/>
  <c r="Q161" i="44" s="1"/>
  <c r="R161" i="44" s="1"/>
  <c r="S161" i="44" s="1"/>
  <c r="T161" i="44" s="1"/>
  <c r="U161" i="44" s="1"/>
  <c r="V161" i="44" s="1"/>
  <c r="W161" i="44" s="1"/>
  <c r="X161" i="44" s="1"/>
  <c r="Y161" i="44" s="1"/>
  <c r="Z161" i="44" s="1"/>
  <c r="AA161" i="44" s="1"/>
  <c r="AB161" i="44" s="1"/>
  <c r="AC161" i="44" s="1"/>
  <c r="AD161" i="44" s="1"/>
  <c r="AE161" i="44" s="1"/>
  <c r="J18" i="44"/>
  <c r="B65" i="27"/>
  <c r="Q32" i="44"/>
  <c r="N32" i="44"/>
  <c r="I32" i="44"/>
  <c r="Y52" i="68" l="1"/>
  <c r="B151" i="65"/>
  <c r="B128" i="65"/>
  <c r="B104" i="65"/>
  <c r="B79" i="65"/>
  <c r="B56" i="65"/>
  <c r="B32" i="65"/>
  <c r="C35" i="27"/>
  <c r="D35" i="27" s="1"/>
  <c r="C32" i="27"/>
  <c r="F99" i="43"/>
  <c r="B152" i="65" l="1"/>
  <c r="B129" i="65"/>
  <c r="B105" i="65"/>
  <c r="B80" i="65"/>
  <c r="B57" i="65"/>
  <c r="B33" i="65"/>
  <c r="C102" i="43"/>
  <c r="F102" i="43" s="1"/>
  <c r="C91" i="43"/>
  <c r="F91" i="43" s="1"/>
  <c r="B153" i="65" l="1"/>
  <c r="B130" i="65"/>
  <c r="B106" i="65"/>
  <c r="B81" i="65"/>
  <c r="B58" i="65"/>
  <c r="B34" i="65"/>
  <c r="C146" i="44"/>
  <c r="D146" i="44"/>
  <c r="E146" i="44"/>
  <c r="F146" i="44"/>
  <c r="G146" i="44"/>
  <c r="H146" i="44"/>
  <c r="I146" i="44"/>
  <c r="J146" i="44"/>
  <c r="L146" i="44"/>
  <c r="B146" i="44"/>
  <c r="I141" i="44"/>
  <c r="H141" i="44"/>
  <c r="G141" i="44"/>
  <c r="J141" i="44" s="1"/>
  <c r="F141" i="44"/>
  <c r="E141" i="44"/>
  <c r="D141" i="44"/>
  <c r="C141" i="44"/>
  <c r="B141" i="44"/>
  <c r="B154" i="65" l="1"/>
  <c r="B131" i="65"/>
  <c r="B107" i="65"/>
  <c r="B82" i="65"/>
  <c r="B59" i="65"/>
  <c r="B35" i="65"/>
  <c r="F21" i="43"/>
  <c r="G21" i="43" s="1"/>
  <c r="F20" i="43"/>
  <c r="G20" i="43" s="1"/>
  <c r="F19" i="43"/>
  <c r="G19" i="43" s="1"/>
  <c r="B155" i="65" l="1"/>
  <c r="B132" i="65"/>
  <c r="B108" i="65"/>
  <c r="B83" i="65"/>
  <c r="B60" i="65"/>
  <c r="B36" i="65"/>
  <c r="K88" i="44"/>
  <c r="B156" i="65" l="1"/>
  <c r="B133" i="65"/>
  <c r="B109" i="65"/>
  <c r="B84" i="65"/>
  <c r="B61" i="65"/>
  <c r="B37" i="65"/>
  <c r="F51" i="43"/>
  <c r="B157" i="65" l="1"/>
  <c r="B134" i="65"/>
  <c r="B110" i="65"/>
  <c r="B85" i="65"/>
  <c r="B62" i="65"/>
  <c r="B38" i="65"/>
  <c r="E44" i="38"/>
  <c r="B158" i="65" l="1"/>
  <c r="B135" i="65"/>
  <c r="B111" i="65"/>
  <c r="B86" i="65"/>
  <c r="B63" i="65"/>
  <c r="B39" i="65"/>
  <c r="J23" i="47"/>
  <c r="B159" i="65" l="1"/>
  <c r="B136" i="65"/>
  <c r="B112" i="65"/>
  <c r="B87" i="65"/>
  <c r="B64" i="65"/>
  <c r="B40" i="65"/>
  <c r="B9" i="66"/>
  <c r="B160" i="65" l="1"/>
  <c r="B137" i="65"/>
  <c r="B113" i="65"/>
  <c r="B88" i="65"/>
  <c r="B65" i="65"/>
  <c r="B41" i="65"/>
  <c r="G29" i="47"/>
  <c r="G32" i="47"/>
  <c r="C68" i="61" l="1"/>
  <c r="C108" i="27"/>
  <c r="B161" i="65"/>
  <c r="B138" i="65"/>
  <c r="B114" i="65"/>
  <c r="B89" i="65"/>
  <c r="B66" i="65"/>
  <c r="B42" i="65"/>
  <c r="K35" i="27"/>
  <c r="L35" i="27"/>
  <c r="M35" i="27"/>
  <c r="N35" i="27"/>
  <c r="O35" i="27"/>
  <c r="P35" i="27"/>
  <c r="Q35" i="27"/>
  <c r="R35" i="27"/>
  <c r="S35" i="27"/>
  <c r="T35" i="27"/>
  <c r="U35" i="27"/>
  <c r="V35" i="27"/>
  <c r="W35" i="27"/>
  <c r="K32" i="27"/>
  <c r="L32" i="27"/>
  <c r="M32" i="27"/>
  <c r="N32" i="27"/>
  <c r="O32" i="27"/>
  <c r="P32" i="27"/>
  <c r="Q32" i="27"/>
  <c r="R32" i="27"/>
  <c r="S32" i="27"/>
  <c r="T32" i="27"/>
  <c r="U32" i="27"/>
  <c r="V32" i="27"/>
  <c r="W32" i="27"/>
  <c r="E35" i="27"/>
  <c r="F35" i="27" s="1"/>
  <c r="G35" i="27" s="1"/>
  <c r="H35" i="27" s="1"/>
  <c r="I35" i="27" s="1"/>
  <c r="J35" i="27" s="1"/>
  <c r="B25" i="67"/>
  <c r="B26" i="67"/>
  <c r="C26" i="67" s="1"/>
  <c r="B27" i="67"/>
  <c r="C27" i="67" s="1"/>
  <c r="B28" i="67"/>
  <c r="C28" i="67" s="1"/>
  <c r="B29" i="67"/>
  <c r="B30" i="67"/>
  <c r="B31" i="67"/>
  <c r="C31" i="67" s="1"/>
  <c r="B32" i="67"/>
  <c r="C32" i="67" s="1"/>
  <c r="B33" i="67"/>
  <c r="B34" i="67"/>
  <c r="C34" i="67" s="1"/>
  <c r="B35" i="67"/>
  <c r="C35" i="67" s="1"/>
  <c r="B24" i="67"/>
  <c r="P4" i="67"/>
  <c r="F12" i="67"/>
  <c r="E12" i="67"/>
  <c r="E13" i="67" s="1"/>
  <c r="E14" i="67" s="1"/>
  <c r="D12" i="67"/>
  <c r="D13" i="67" s="1"/>
  <c r="D14" i="67" s="1"/>
  <c r="F7" i="67"/>
  <c r="F15" i="67" s="1"/>
  <c r="E7" i="67"/>
  <c r="E15" i="67" s="1"/>
  <c r="D7" i="67"/>
  <c r="D2" i="51" l="1"/>
  <c r="B162" i="65"/>
  <c r="B139" i="65"/>
  <c r="B115" i="65"/>
  <c r="B90" i="65"/>
  <c r="B67" i="65"/>
  <c r="B43" i="65"/>
  <c r="X35" i="27"/>
  <c r="C33" i="67"/>
  <c r="C30" i="67"/>
  <c r="C24" i="67"/>
  <c r="C29" i="67"/>
  <c r="C25" i="67"/>
  <c r="X32" i="27"/>
  <c r="K12" i="67"/>
  <c r="H12" i="67"/>
  <c r="F13" i="67"/>
  <c r="F14" i="67" s="1"/>
  <c r="H14" i="67" s="1"/>
  <c r="H7" i="67"/>
  <c r="D8" i="67"/>
  <c r="D16" i="67" s="1"/>
  <c r="K14" i="67"/>
  <c r="K13" i="67"/>
  <c r="E8" i="67"/>
  <c r="F8" i="67"/>
  <c r="K7" i="67"/>
  <c r="D15" i="67"/>
  <c r="B163" i="65" l="1"/>
  <c r="B140" i="65"/>
  <c r="B116" i="65"/>
  <c r="B91" i="65"/>
  <c r="B68" i="65"/>
  <c r="B44" i="65"/>
  <c r="N13" i="67"/>
  <c r="N14" i="67"/>
  <c r="N7" i="67"/>
  <c r="N12" i="67"/>
  <c r="D9" i="67"/>
  <c r="D10" i="67" s="1"/>
  <c r="H13" i="67"/>
  <c r="F9" i="67"/>
  <c r="F16" i="67"/>
  <c r="H16" i="67" s="1"/>
  <c r="K15" i="67"/>
  <c r="H15" i="67"/>
  <c r="H8" i="67"/>
  <c r="E9" i="67"/>
  <c r="E16" i="67"/>
  <c r="K16" i="67" s="1"/>
  <c r="K8" i="67"/>
  <c r="B164" i="65" l="1"/>
  <c r="B141" i="65"/>
  <c r="B117" i="65"/>
  <c r="B92" i="65"/>
  <c r="B69" i="65"/>
  <c r="B45" i="65"/>
  <c r="D17" i="67"/>
  <c r="N15" i="67"/>
  <c r="H9" i="67"/>
  <c r="K9" i="67"/>
  <c r="N8" i="67"/>
  <c r="N16" i="67"/>
  <c r="E10" i="67"/>
  <c r="K10" i="67" s="1"/>
  <c r="E17" i="67"/>
  <c r="F10" i="67"/>
  <c r="H10" i="67" s="1"/>
  <c r="F17" i="67"/>
  <c r="D18" i="67"/>
  <c r="D11" i="67"/>
  <c r="B165" i="65" l="1"/>
  <c r="B142" i="65"/>
  <c r="B118" i="65"/>
  <c r="B93" i="65"/>
  <c r="B70" i="65"/>
  <c r="B46" i="65"/>
  <c r="H17" i="67"/>
  <c r="K17" i="67"/>
  <c r="N9" i="67"/>
  <c r="N10" i="67"/>
  <c r="E18" i="67"/>
  <c r="K18" i="67" s="1"/>
  <c r="E11" i="67"/>
  <c r="K11" i="67" s="1"/>
  <c r="F18" i="67"/>
  <c r="H18" i="67" s="1"/>
  <c r="F11" i="67"/>
  <c r="H11" i="67" s="1"/>
  <c r="B166" i="65" l="1"/>
  <c r="B143" i="65"/>
  <c r="B119" i="65"/>
  <c r="B94" i="65"/>
  <c r="B71" i="65"/>
  <c r="B47" i="65"/>
  <c r="N17" i="67"/>
  <c r="N11" i="67"/>
  <c r="N18" i="67"/>
  <c r="B167" i="65" l="1"/>
  <c r="B144" i="65"/>
  <c r="B120" i="65"/>
  <c r="B95" i="65"/>
  <c r="B72" i="65"/>
  <c r="B48" i="65"/>
  <c r="B168" i="65" l="1"/>
  <c r="B145" i="65"/>
  <c r="B121" i="65"/>
  <c r="B96" i="65"/>
  <c r="B73" i="65"/>
  <c r="B49" i="65"/>
  <c r="E32" i="27"/>
  <c r="B169" i="65" l="1"/>
  <c r="B146" i="65"/>
  <c r="B122" i="65"/>
  <c r="B97" i="65"/>
  <c r="B74" i="65"/>
  <c r="B50" i="65"/>
  <c r="F32" i="27"/>
  <c r="B34" i="66" a="1"/>
  <c r="B34" i="66" s="1"/>
  <c r="AF6" i="39"/>
  <c r="AF5" i="39"/>
  <c r="I35" i="38" a="1"/>
  <c r="I35" i="38" s="1"/>
  <c r="L31" i="38" s="1"/>
  <c r="B170" i="65" l="1"/>
  <c r="B98" i="65"/>
  <c r="G32" i="27"/>
  <c r="B29" i="62"/>
  <c r="H32" i="27" l="1"/>
  <c r="I32" i="27" l="1"/>
  <c r="J32" i="27" l="1"/>
  <c r="B32" i="61" l="1"/>
  <c r="F8" i="61" l="1"/>
  <c r="C101" i="62"/>
  <c r="E18" i="44" l="1"/>
  <c r="I18" i="44" s="1"/>
  <c r="G126" i="44"/>
  <c r="F126" i="44"/>
  <c r="E126" i="44"/>
  <c r="D126" i="44"/>
  <c r="C126" i="44"/>
  <c r="B126" i="44"/>
  <c r="F37" i="43"/>
  <c r="G38" i="43"/>
  <c r="K127" i="44"/>
  <c r="J127" i="44"/>
  <c r="I127" i="44"/>
  <c r="H127" i="44"/>
  <c r="K126" i="44" l="1"/>
  <c r="J126" i="44"/>
  <c r="I126" i="44"/>
  <c r="H126" i="44"/>
  <c r="K125" i="44"/>
  <c r="J125" i="44"/>
  <c r="I125" i="44"/>
  <c r="H125" i="44"/>
  <c r="V126" i="44"/>
  <c r="F53" i="43"/>
  <c r="F50" i="43"/>
  <c r="F47" i="43"/>
  <c r="F46" i="43"/>
  <c r="P92" i="44"/>
  <c r="O92" i="44"/>
  <c r="N92" i="44"/>
  <c r="M92" i="44"/>
  <c r="L92" i="44"/>
  <c r="K92" i="44"/>
  <c r="J92" i="44"/>
  <c r="I92" i="44"/>
  <c r="H92" i="44"/>
  <c r="G92" i="44"/>
  <c r="F92" i="44"/>
  <c r="E92" i="44"/>
  <c r="D92" i="44"/>
  <c r="C92" i="44"/>
  <c r="L88" i="44"/>
  <c r="J88" i="44"/>
  <c r="I88" i="44"/>
  <c r="D88" i="44"/>
  <c r="E88" i="44"/>
  <c r="F88" i="44"/>
  <c r="G88" i="44"/>
  <c r="H88" i="44"/>
  <c r="C88" i="44"/>
  <c r="AH143" i="44"/>
  <c r="AG143" i="44"/>
  <c r="AF143" i="44"/>
  <c r="AE143" i="44"/>
  <c r="AD143" i="44"/>
  <c r="AC143" i="44"/>
  <c r="AB143" i="44"/>
  <c r="AA143" i="44"/>
  <c r="F52" i="43"/>
  <c r="N141" i="44"/>
  <c r="N148" i="44" s="1"/>
  <c r="O141" i="44"/>
  <c r="O148" i="44" s="1"/>
  <c r="J148" i="44"/>
  <c r="R138" i="44"/>
  <c r="R146" i="44" s="1"/>
  <c r="Q138" i="44"/>
  <c r="Q146" i="44" s="1"/>
  <c r="P138" i="44"/>
  <c r="P146" i="44" s="1"/>
  <c r="O138" i="44"/>
  <c r="O146" i="44" s="1"/>
  <c r="N138" i="44"/>
  <c r="N146" i="44" s="1"/>
  <c r="M138" i="44"/>
  <c r="M146" i="44" s="1"/>
  <c r="K138" i="44"/>
  <c r="K146" i="44" s="1"/>
  <c r="C31" i="52"/>
  <c r="D31" i="52"/>
  <c r="E31" i="52"/>
  <c r="F31" i="52"/>
  <c r="G31" i="52"/>
  <c r="H31" i="52"/>
  <c r="I31" i="52"/>
  <c r="J31" i="52"/>
  <c r="K31" i="52"/>
  <c r="L31" i="52"/>
  <c r="M31" i="52"/>
  <c r="N31" i="52"/>
  <c r="O31" i="52"/>
  <c r="P31" i="52"/>
  <c r="Q31" i="52"/>
  <c r="R31" i="52"/>
  <c r="S31" i="52"/>
  <c r="T31" i="52"/>
  <c r="U31" i="52"/>
  <c r="V31" i="52"/>
  <c r="W31" i="52"/>
  <c r="X31" i="52"/>
  <c r="Y31" i="52"/>
  <c r="Z31" i="52"/>
  <c r="AA31" i="52"/>
  <c r="AB31" i="52"/>
  <c r="AC31" i="52"/>
  <c r="AD31" i="52"/>
  <c r="AE31" i="52"/>
  <c r="AF31" i="52"/>
  <c r="AG31" i="52"/>
  <c r="C32" i="52"/>
  <c r="D32" i="52"/>
  <c r="E32" i="52"/>
  <c r="F32" i="52"/>
  <c r="G32" i="52"/>
  <c r="H32" i="52"/>
  <c r="I32" i="52"/>
  <c r="J32" i="52"/>
  <c r="K32" i="52"/>
  <c r="L32" i="52"/>
  <c r="M32" i="52"/>
  <c r="N32" i="52"/>
  <c r="O32" i="52"/>
  <c r="P32" i="52"/>
  <c r="Q32" i="52"/>
  <c r="R32" i="52"/>
  <c r="S32" i="52"/>
  <c r="T32" i="52"/>
  <c r="U32" i="52"/>
  <c r="V32" i="52"/>
  <c r="W32" i="52"/>
  <c r="X32" i="52"/>
  <c r="Y32" i="52"/>
  <c r="Z32" i="52"/>
  <c r="AA32" i="52"/>
  <c r="AB32" i="52"/>
  <c r="AC32" i="52"/>
  <c r="AD32" i="52"/>
  <c r="AE32" i="52"/>
  <c r="AF32" i="52"/>
  <c r="AG32" i="52"/>
  <c r="C33" i="52"/>
  <c r="D33" i="52"/>
  <c r="E33" i="52"/>
  <c r="F33" i="52"/>
  <c r="G33" i="52"/>
  <c r="H33" i="52"/>
  <c r="I33" i="52"/>
  <c r="J33" i="52"/>
  <c r="K33" i="52"/>
  <c r="L33" i="52"/>
  <c r="M33" i="52"/>
  <c r="N33" i="52"/>
  <c r="O33" i="52"/>
  <c r="P33" i="52"/>
  <c r="Q33" i="52"/>
  <c r="R33" i="52"/>
  <c r="S33" i="52"/>
  <c r="T33" i="52"/>
  <c r="U33" i="52"/>
  <c r="V33" i="52"/>
  <c r="W33" i="52"/>
  <c r="X33" i="52"/>
  <c r="Y33" i="52"/>
  <c r="Z33" i="52"/>
  <c r="AA33" i="52"/>
  <c r="AB33" i="52"/>
  <c r="AC33" i="52"/>
  <c r="AD33" i="52"/>
  <c r="AE33" i="52"/>
  <c r="AF33" i="52"/>
  <c r="AG33" i="52"/>
  <c r="C34" i="52"/>
  <c r="D34" i="52"/>
  <c r="E34" i="52"/>
  <c r="F34" i="52"/>
  <c r="G34" i="52"/>
  <c r="H34" i="52"/>
  <c r="I34" i="52"/>
  <c r="J34" i="52"/>
  <c r="K34" i="52"/>
  <c r="L34" i="52"/>
  <c r="M34" i="52"/>
  <c r="N34" i="52"/>
  <c r="O34" i="52"/>
  <c r="P34" i="52"/>
  <c r="Q34" i="52"/>
  <c r="R34" i="52"/>
  <c r="S34" i="52"/>
  <c r="T34" i="52"/>
  <c r="U34" i="52"/>
  <c r="V34" i="52"/>
  <c r="W34" i="52"/>
  <c r="X34" i="52"/>
  <c r="Y34" i="52"/>
  <c r="Z34" i="52"/>
  <c r="AA34" i="52"/>
  <c r="AB34" i="52"/>
  <c r="AC34" i="52"/>
  <c r="AD34" i="52"/>
  <c r="AE34" i="52"/>
  <c r="AF34" i="52"/>
  <c r="AG34" i="52"/>
  <c r="C35" i="52"/>
  <c r="D35" i="52"/>
  <c r="E35" i="52"/>
  <c r="F35" i="52"/>
  <c r="G35" i="52"/>
  <c r="H35" i="52"/>
  <c r="I35" i="52"/>
  <c r="J35" i="52"/>
  <c r="K35" i="52"/>
  <c r="L35" i="52"/>
  <c r="M35" i="52"/>
  <c r="N35" i="52"/>
  <c r="O35" i="52"/>
  <c r="P35" i="52"/>
  <c r="Q35" i="52"/>
  <c r="R35" i="52"/>
  <c r="S35" i="52"/>
  <c r="T35" i="52"/>
  <c r="U35" i="52"/>
  <c r="V35" i="52"/>
  <c r="W35" i="52"/>
  <c r="X35" i="52"/>
  <c r="Y35" i="52"/>
  <c r="Z35" i="52"/>
  <c r="AA35" i="52"/>
  <c r="AB35" i="52"/>
  <c r="AC35" i="52"/>
  <c r="AD35" i="52"/>
  <c r="AE35" i="52"/>
  <c r="AF35" i="52"/>
  <c r="AG35" i="52"/>
  <c r="C36" i="52"/>
  <c r="D36" i="52"/>
  <c r="E36" i="52"/>
  <c r="F36" i="52"/>
  <c r="G36" i="52"/>
  <c r="H36" i="52"/>
  <c r="I36" i="52"/>
  <c r="J36" i="52"/>
  <c r="K36" i="52"/>
  <c r="L36" i="52"/>
  <c r="M36" i="52"/>
  <c r="N36" i="52"/>
  <c r="O36" i="52"/>
  <c r="P36" i="52"/>
  <c r="Q36" i="52"/>
  <c r="R36" i="52"/>
  <c r="S36" i="52"/>
  <c r="T36" i="52"/>
  <c r="U36" i="52"/>
  <c r="V36" i="52"/>
  <c r="W36" i="52"/>
  <c r="X36" i="52"/>
  <c r="Y36" i="52"/>
  <c r="Z36" i="52"/>
  <c r="AA36" i="52"/>
  <c r="AB36" i="52"/>
  <c r="AC36" i="52"/>
  <c r="AD36" i="52"/>
  <c r="AE36" i="52"/>
  <c r="AF36" i="52"/>
  <c r="AG36" i="52"/>
  <c r="C37" i="52"/>
  <c r="D37" i="52"/>
  <c r="E37" i="52"/>
  <c r="F37" i="52"/>
  <c r="G37" i="52"/>
  <c r="H37" i="52"/>
  <c r="I37" i="52"/>
  <c r="J37" i="52"/>
  <c r="K37" i="52"/>
  <c r="L37" i="52"/>
  <c r="M37" i="52"/>
  <c r="N37" i="52"/>
  <c r="O37" i="52"/>
  <c r="P37" i="52"/>
  <c r="Q37" i="52"/>
  <c r="R37" i="52"/>
  <c r="S37" i="52"/>
  <c r="T37" i="52"/>
  <c r="U37" i="52"/>
  <c r="V37" i="52"/>
  <c r="W37" i="52"/>
  <c r="X37" i="52"/>
  <c r="Y37" i="52"/>
  <c r="Z37" i="52"/>
  <c r="AA37" i="52"/>
  <c r="AB37" i="52"/>
  <c r="AC37" i="52"/>
  <c r="AD37" i="52"/>
  <c r="AE37" i="52"/>
  <c r="AF37" i="52"/>
  <c r="AG37" i="52"/>
  <c r="C38" i="52"/>
  <c r="D38" i="52"/>
  <c r="E38" i="52"/>
  <c r="F38" i="52"/>
  <c r="G38" i="52"/>
  <c r="H38" i="52"/>
  <c r="I38" i="52"/>
  <c r="J38" i="52"/>
  <c r="K38" i="52"/>
  <c r="L38" i="52"/>
  <c r="M38" i="52"/>
  <c r="N38" i="52"/>
  <c r="O38" i="52"/>
  <c r="P38" i="52"/>
  <c r="Q38" i="52"/>
  <c r="R38" i="52"/>
  <c r="S38" i="52"/>
  <c r="T38" i="52"/>
  <c r="U38" i="52"/>
  <c r="V38" i="52"/>
  <c r="W38" i="52"/>
  <c r="X38" i="52"/>
  <c r="Y38" i="52"/>
  <c r="Z38" i="52"/>
  <c r="AA38" i="52"/>
  <c r="AB38" i="52"/>
  <c r="AC38" i="52"/>
  <c r="AD38" i="52"/>
  <c r="AE38" i="52"/>
  <c r="AF38" i="52"/>
  <c r="AG38" i="52"/>
  <c r="C39" i="52"/>
  <c r="D39" i="52"/>
  <c r="E39" i="52"/>
  <c r="F39" i="52"/>
  <c r="G39" i="52"/>
  <c r="H39" i="52"/>
  <c r="I39" i="52"/>
  <c r="J39" i="52"/>
  <c r="K39" i="52"/>
  <c r="L39" i="52"/>
  <c r="M39" i="52"/>
  <c r="N39" i="52"/>
  <c r="O39" i="52"/>
  <c r="P39" i="52"/>
  <c r="Q39" i="52"/>
  <c r="R39" i="52"/>
  <c r="S39" i="52"/>
  <c r="T39" i="52"/>
  <c r="U39" i="52"/>
  <c r="V39" i="52"/>
  <c r="W39" i="52"/>
  <c r="X39" i="52"/>
  <c r="Y39" i="52"/>
  <c r="Z39" i="52"/>
  <c r="AA39" i="52"/>
  <c r="AB39" i="52"/>
  <c r="AC39" i="52"/>
  <c r="AD39" i="52"/>
  <c r="AE39" i="52"/>
  <c r="AF39" i="52"/>
  <c r="AG39" i="52"/>
  <c r="C40" i="52"/>
  <c r="D40" i="52"/>
  <c r="E40" i="52"/>
  <c r="F40" i="52"/>
  <c r="G40" i="52"/>
  <c r="H40" i="52"/>
  <c r="I40" i="52"/>
  <c r="J40" i="52"/>
  <c r="K40" i="52"/>
  <c r="L40" i="52"/>
  <c r="M40" i="52"/>
  <c r="N40" i="52"/>
  <c r="O40" i="52"/>
  <c r="P40" i="52"/>
  <c r="Q40" i="52"/>
  <c r="R40" i="52"/>
  <c r="S40" i="52"/>
  <c r="T40" i="52"/>
  <c r="U40" i="52"/>
  <c r="V40" i="52"/>
  <c r="W40" i="52"/>
  <c r="X40" i="52"/>
  <c r="Y40" i="52"/>
  <c r="Z40" i="52"/>
  <c r="AA40" i="52"/>
  <c r="AB40" i="52"/>
  <c r="AC40" i="52"/>
  <c r="AD40" i="52"/>
  <c r="AE40" i="52"/>
  <c r="AF40" i="52"/>
  <c r="AG40" i="52"/>
  <c r="C41" i="52"/>
  <c r="D41" i="52"/>
  <c r="E41" i="52"/>
  <c r="F41" i="52"/>
  <c r="G41" i="52"/>
  <c r="H41" i="52"/>
  <c r="I41" i="52"/>
  <c r="J41" i="52"/>
  <c r="K41" i="52"/>
  <c r="L41" i="52"/>
  <c r="M41" i="52"/>
  <c r="N41" i="52"/>
  <c r="O41" i="52"/>
  <c r="P41" i="52"/>
  <c r="Q41" i="52"/>
  <c r="R41" i="52"/>
  <c r="S41" i="52"/>
  <c r="T41" i="52"/>
  <c r="U41" i="52"/>
  <c r="V41" i="52"/>
  <c r="W41" i="52"/>
  <c r="X41" i="52"/>
  <c r="Y41" i="52"/>
  <c r="Z41" i="52"/>
  <c r="AA41" i="52"/>
  <c r="AB41" i="52"/>
  <c r="AC41" i="52"/>
  <c r="AD41" i="52"/>
  <c r="AE41" i="52"/>
  <c r="AF41" i="52"/>
  <c r="AG41" i="52"/>
  <c r="C42" i="52"/>
  <c r="D42" i="52"/>
  <c r="E42" i="52"/>
  <c r="F42" i="52"/>
  <c r="G42" i="52"/>
  <c r="H42" i="52"/>
  <c r="I42" i="52"/>
  <c r="J42" i="52"/>
  <c r="K42" i="52"/>
  <c r="L42" i="52"/>
  <c r="M42" i="52"/>
  <c r="N42" i="52"/>
  <c r="O42" i="52"/>
  <c r="P42" i="52"/>
  <c r="Q42" i="52"/>
  <c r="R42" i="52"/>
  <c r="S42" i="52"/>
  <c r="T42" i="52"/>
  <c r="U42" i="52"/>
  <c r="V42" i="52"/>
  <c r="W42" i="52"/>
  <c r="X42" i="52"/>
  <c r="Y42" i="52"/>
  <c r="Z42" i="52"/>
  <c r="AA42" i="52"/>
  <c r="AB42" i="52"/>
  <c r="AC42" i="52"/>
  <c r="AD42" i="52"/>
  <c r="AE42" i="52"/>
  <c r="AF42" i="52"/>
  <c r="AG42" i="52"/>
  <c r="C43" i="52"/>
  <c r="D43" i="52"/>
  <c r="E43" i="52"/>
  <c r="F43" i="52"/>
  <c r="G43" i="52"/>
  <c r="H43" i="52"/>
  <c r="I43" i="52"/>
  <c r="J43" i="52"/>
  <c r="K43" i="52"/>
  <c r="L43" i="52"/>
  <c r="M43" i="52"/>
  <c r="N43" i="52"/>
  <c r="O43" i="52"/>
  <c r="P43" i="52"/>
  <c r="Q43" i="52"/>
  <c r="R43" i="52"/>
  <c r="S43" i="52"/>
  <c r="T43" i="52"/>
  <c r="U43" i="52"/>
  <c r="V43" i="52"/>
  <c r="W43" i="52"/>
  <c r="X43" i="52"/>
  <c r="Y43" i="52"/>
  <c r="Z43" i="52"/>
  <c r="AA43" i="52"/>
  <c r="AB43" i="52"/>
  <c r="AC43" i="52"/>
  <c r="AD43" i="52"/>
  <c r="AE43" i="52"/>
  <c r="AF43" i="52"/>
  <c r="AG43" i="52"/>
  <c r="C44" i="52"/>
  <c r="D44" i="52"/>
  <c r="E44" i="52"/>
  <c r="F44" i="52"/>
  <c r="G44" i="52"/>
  <c r="H44" i="52"/>
  <c r="I44" i="52"/>
  <c r="J44" i="52"/>
  <c r="K44" i="52"/>
  <c r="L44" i="52"/>
  <c r="M44" i="52"/>
  <c r="N44" i="52"/>
  <c r="O44" i="52"/>
  <c r="P44" i="52"/>
  <c r="Q44" i="52"/>
  <c r="R44" i="52"/>
  <c r="S44" i="52"/>
  <c r="T44" i="52"/>
  <c r="U44" i="52"/>
  <c r="V44" i="52"/>
  <c r="W44" i="52"/>
  <c r="X44" i="52"/>
  <c r="Y44" i="52"/>
  <c r="Z44" i="52"/>
  <c r="AA44" i="52"/>
  <c r="AB44" i="52"/>
  <c r="AC44" i="52"/>
  <c r="AD44" i="52"/>
  <c r="AE44" i="52"/>
  <c r="AF44" i="52"/>
  <c r="AG44" i="52"/>
  <c r="C45" i="52"/>
  <c r="D45" i="52"/>
  <c r="E45" i="52"/>
  <c r="F45" i="52"/>
  <c r="G45" i="52"/>
  <c r="H45" i="52"/>
  <c r="I45" i="52"/>
  <c r="J45" i="52"/>
  <c r="K45" i="52"/>
  <c r="L45" i="52"/>
  <c r="M45" i="52"/>
  <c r="N45" i="52"/>
  <c r="O45" i="52"/>
  <c r="P45" i="52"/>
  <c r="Q45" i="52"/>
  <c r="R45" i="52"/>
  <c r="S45" i="52"/>
  <c r="T45" i="52"/>
  <c r="U45" i="52"/>
  <c r="V45" i="52"/>
  <c r="W45" i="52"/>
  <c r="X45" i="52"/>
  <c r="Y45" i="52"/>
  <c r="Z45" i="52"/>
  <c r="AA45" i="52"/>
  <c r="AB45" i="52"/>
  <c r="AC45" i="52"/>
  <c r="AD45" i="52"/>
  <c r="AE45" i="52"/>
  <c r="AF45" i="52"/>
  <c r="AG45" i="52"/>
  <c r="C46" i="52"/>
  <c r="D46" i="52"/>
  <c r="E46" i="52"/>
  <c r="F46" i="52"/>
  <c r="G46" i="52"/>
  <c r="H46" i="52"/>
  <c r="I46" i="52"/>
  <c r="J46" i="52"/>
  <c r="K46" i="52"/>
  <c r="L46" i="52"/>
  <c r="M46" i="52"/>
  <c r="N46" i="52"/>
  <c r="O46" i="52"/>
  <c r="P46" i="52"/>
  <c r="Q46" i="52"/>
  <c r="R46" i="52"/>
  <c r="S46" i="52"/>
  <c r="T46" i="52"/>
  <c r="U46" i="52"/>
  <c r="V46" i="52"/>
  <c r="W46" i="52"/>
  <c r="X46" i="52"/>
  <c r="Y46" i="52"/>
  <c r="Z46" i="52"/>
  <c r="AA46" i="52"/>
  <c r="AB46" i="52"/>
  <c r="AC46" i="52"/>
  <c r="AD46" i="52"/>
  <c r="AE46" i="52"/>
  <c r="AF46" i="52"/>
  <c r="AG46" i="52"/>
  <c r="C47" i="52"/>
  <c r="D47" i="52"/>
  <c r="E47" i="52"/>
  <c r="F47" i="52"/>
  <c r="G47" i="52"/>
  <c r="H47" i="52"/>
  <c r="I47" i="52"/>
  <c r="J47" i="52"/>
  <c r="K47" i="52"/>
  <c r="L47" i="52"/>
  <c r="M47" i="52"/>
  <c r="N47" i="52"/>
  <c r="O47" i="52"/>
  <c r="P47" i="52"/>
  <c r="Q47" i="52"/>
  <c r="R47" i="52"/>
  <c r="S47" i="52"/>
  <c r="T47" i="52"/>
  <c r="U47" i="52"/>
  <c r="V47" i="52"/>
  <c r="W47" i="52"/>
  <c r="X47" i="52"/>
  <c r="Y47" i="52"/>
  <c r="Z47" i="52"/>
  <c r="AA47" i="52"/>
  <c r="AB47" i="52"/>
  <c r="AC47" i="52"/>
  <c r="AD47" i="52"/>
  <c r="AE47" i="52"/>
  <c r="AF47" i="52"/>
  <c r="AG47" i="52"/>
  <c r="C48" i="52"/>
  <c r="D48" i="52"/>
  <c r="E48" i="52"/>
  <c r="F48" i="52"/>
  <c r="G48" i="52"/>
  <c r="H48" i="52"/>
  <c r="I48" i="52"/>
  <c r="J48" i="52"/>
  <c r="K48" i="52"/>
  <c r="L48" i="52"/>
  <c r="M48" i="52"/>
  <c r="N48" i="52"/>
  <c r="O48" i="52"/>
  <c r="P48" i="52"/>
  <c r="Q48" i="52"/>
  <c r="R48" i="52"/>
  <c r="S48" i="52"/>
  <c r="T48" i="52"/>
  <c r="U48" i="52"/>
  <c r="V48" i="52"/>
  <c r="W48" i="52"/>
  <c r="X48" i="52"/>
  <c r="Y48" i="52"/>
  <c r="Z48" i="52"/>
  <c r="AA48" i="52"/>
  <c r="AB48" i="52"/>
  <c r="AC48" i="52"/>
  <c r="AD48" i="52"/>
  <c r="AE48" i="52"/>
  <c r="AF48" i="52"/>
  <c r="AG48" i="52"/>
  <c r="C49" i="52"/>
  <c r="D49" i="52"/>
  <c r="E49" i="52"/>
  <c r="F49" i="52"/>
  <c r="G49" i="52"/>
  <c r="H49" i="52"/>
  <c r="I49" i="52"/>
  <c r="J49" i="52"/>
  <c r="K49" i="52"/>
  <c r="L49" i="52"/>
  <c r="M49" i="52"/>
  <c r="N49" i="52"/>
  <c r="O49" i="52"/>
  <c r="P49" i="52"/>
  <c r="Q49" i="52"/>
  <c r="R49" i="52"/>
  <c r="S49" i="52"/>
  <c r="T49" i="52"/>
  <c r="U49" i="52"/>
  <c r="V49" i="52"/>
  <c r="W49" i="52"/>
  <c r="X49" i="52"/>
  <c r="Y49" i="52"/>
  <c r="Z49" i="52"/>
  <c r="AA49" i="52"/>
  <c r="AB49" i="52"/>
  <c r="AC49" i="52"/>
  <c r="AD49" i="52"/>
  <c r="AE49" i="52"/>
  <c r="AF49" i="52"/>
  <c r="AG49" i="52"/>
  <c r="C50" i="52"/>
  <c r="D50" i="52"/>
  <c r="E50" i="52"/>
  <c r="F50" i="52"/>
  <c r="G50" i="52"/>
  <c r="H50" i="52"/>
  <c r="I50" i="52"/>
  <c r="J50" i="52"/>
  <c r="K50" i="52"/>
  <c r="L50" i="52"/>
  <c r="M50" i="52"/>
  <c r="N50" i="52"/>
  <c r="O50" i="52"/>
  <c r="P50" i="52"/>
  <c r="Q50" i="52"/>
  <c r="R50" i="52"/>
  <c r="S50" i="52"/>
  <c r="T50" i="52"/>
  <c r="U50" i="52"/>
  <c r="V50" i="52"/>
  <c r="W50" i="52"/>
  <c r="X50" i="52"/>
  <c r="Y50" i="52"/>
  <c r="Z50" i="52"/>
  <c r="AA50" i="52"/>
  <c r="AB50" i="52"/>
  <c r="AC50" i="52"/>
  <c r="AD50" i="52"/>
  <c r="AE50" i="52"/>
  <c r="AF50" i="52"/>
  <c r="AG50" i="52"/>
  <c r="C51" i="52"/>
  <c r="D51" i="52"/>
  <c r="E51" i="52"/>
  <c r="F51" i="52"/>
  <c r="G51" i="52"/>
  <c r="H51" i="52"/>
  <c r="I51" i="52"/>
  <c r="J51" i="52"/>
  <c r="K51" i="52"/>
  <c r="L51" i="52"/>
  <c r="M51" i="52"/>
  <c r="N51" i="52"/>
  <c r="O51" i="52"/>
  <c r="P51" i="52"/>
  <c r="Q51" i="52"/>
  <c r="R51" i="52"/>
  <c r="S51" i="52"/>
  <c r="T51" i="52"/>
  <c r="U51" i="52"/>
  <c r="V51" i="52"/>
  <c r="W51" i="52"/>
  <c r="X51" i="52"/>
  <c r="Y51" i="52"/>
  <c r="Z51" i="52"/>
  <c r="AA51" i="52"/>
  <c r="AB51" i="52"/>
  <c r="AC51" i="52"/>
  <c r="AD51" i="52"/>
  <c r="AE51" i="52"/>
  <c r="AF51" i="52"/>
  <c r="AG51" i="52"/>
  <c r="C52" i="52"/>
  <c r="D52" i="52"/>
  <c r="E52" i="52"/>
  <c r="F52" i="52"/>
  <c r="G52" i="52"/>
  <c r="H52" i="52"/>
  <c r="I52" i="52"/>
  <c r="J52" i="52"/>
  <c r="K52" i="52"/>
  <c r="L52" i="52"/>
  <c r="M52" i="52"/>
  <c r="N52" i="52"/>
  <c r="O52" i="52"/>
  <c r="P52" i="52"/>
  <c r="Q52" i="52"/>
  <c r="R52" i="52"/>
  <c r="S52" i="52"/>
  <c r="T52" i="52"/>
  <c r="U52" i="52"/>
  <c r="V52" i="52"/>
  <c r="W52" i="52"/>
  <c r="X52" i="52"/>
  <c r="Y52" i="52"/>
  <c r="Z52" i="52"/>
  <c r="AA52" i="52"/>
  <c r="AB52" i="52"/>
  <c r="AC52" i="52"/>
  <c r="AD52" i="52"/>
  <c r="AE52" i="52"/>
  <c r="AF52" i="52"/>
  <c r="AG52" i="52"/>
  <c r="C53" i="52"/>
  <c r="D53" i="52"/>
  <c r="E53" i="52"/>
  <c r="F53" i="52"/>
  <c r="G53" i="52"/>
  <c r="H53" i="52"/>
  <c r="I53" i="52"/>
  <c r="J53" i="52"/>
  <c r="K53" i="52"/>
  <c r="L53" i="52"/>
  <c r="M53" i="52"/>
  <c r="N53" i="52"/>
  <c r="O53" i="52"/>
  <c r="P53" i="52"/>
  <c r="Q53" i="52"/>
  <c r="R53" i="52"/>
  <c r="S53" i="52"/>
  <c r="T53" i="52"/>
  <c r="U53" i="52"/>
  <c r="V53" i="52"/>
  <c r="W53" i="52"/>
  <c r="X53" i="52"/>
  <c r="Y53" i="52"/>
  <c r="Z53" i="52"/>
  <c r="AA53" i="52"/>
  <c r="AB53" i="52"/>
  <c r="AC53" i="52"/>
  <c r="AD53" i="52"/>
  <c r="AE53" i="52"/>
  <c r="AF53" i="52"/>
  <c r="AG53" i="52"/>
  <c r="B32" i="52"/>
  <c r="B33" i="52"/>
  <c r="B34" i="52"/>
  <c r="B35" i="52"/>
  <c r="B36" i="52"/>
  <c r="B37" i="52"/>
  <c r="B38" i="52"/>
  <c r="B39" i="52"/>
  <c r="B40" i="52"/>
  <c r="B41" i="52"/>
  <c r="B42" i="52"/>
  <c r="B43" i="52"/>
  <c r="B44" i="52"/>
  <c r="B45" i="52"/>
  <c r="B46" i="52"/>
  <c r="B47" i="52"/>
  <c r="B48" i="52"/>
  <c r="B49" i="52"/>
  <c r="B50" i="52"/>
  <c r="B51" i="52"/>
  <c r="B52" i="52"/>
  <c r="B53" i="52"/>
  <c r="B31" i="52"/>
  <c r="AF60" i="52"/>
  <c r="AF61" i="52" s="1"/>
  <c r="AE60" i="52"/>
  <c r="AE61" i="52" s="1"/>
  <c r="AD60" i="52"/>
  <c r="AD61" i="52" s="1"/>
  <c r="AC60" i="52"/>
  <c r="AC61" i="52" s="1"/>
  <c r="AB60" i="52"/>
  <c r="AB61" i="52" s="1"/>
  <c r="AA60" i="52"/>
  <c r="AA61" i="52" s="1"/>
  <c r="Z60" i="52"/>
  <c r="Z61" i="52" s="1"/>
  <c r="T60" i="52"/>
  <c r="T61" i="52" s="1"/>
  <c r="S60" i="52"/>
  <c r="S61" i="52" s="1"/>
  <c r="R60" i="52"/>
  <c r="R61" i="52" s="1"/>
  <c r="Q60" i="52"/>
  <c r="Q61" i="52" s="1"/>
  <c r="P60" i="52"/>
  <c r="P61" i="52" s="1"/>
  <c r="O60" i="52"/>
  <c r="O61" i="52" s="1"/>
  <c r="N60" i="52"/>
  <c r="N61" i="52" s="1"/>
  <c r="H60" i="52"/>
  <c r="H61" i="52" s="1"/>
  <c r="G60" i="52"/>
  <c r="G61" i="52" s="1"/>
  <c r="F60" i="52"/>
  <c r="F61" i="52" s="1"/>
  <c r="E60" i="52"/>
  <c r="E61" i="52" s="1"/>
  <c r="D60" i="52"/>
  <c r="D61" i="52" s="1"/>
  <c r="C60" i="52"/>
  <c r="C61" i="52" s="1"/>
  <c r="B60" i="52"/>
  <c r="B61" i="52" s="1"/>
  <c r="AG58" i="52"/>
  <c r="AG60" i="52" s="1"/>
  <c r="AG61" i="52" s="1"/>
  <c r="AF58" i="52"/>
  <c r="AE58" i="52"/>
  <c r="AD58" i="52"/>
  <c r="AC58" i="52"/>
  <c r="AB58" i="52"/>
  <c r="AA58" i="52"/>
  <c r="Z58" i="52"/>
  <c r="Y58" i="52"/>
  <c r="Y60" i="52" s="1"/>
  <c r="Y61" i="52" s="1"/>
  <c r="X58" i="52"/>
  <c r="X60" i="52" s="1"/>
  <c r="X61" i="52" s="1"/>
  <c r="W58" i="52"/>
  <c r="W60" i="52" s="1"/>
  <c r="W61" i="52" s="1"/>
  <c r="V58" i="52"/>
  <c r="V60" i="52" s="1"/>
  <c r="V61" i="52" s="1"/>
  <c r="U58" i="52"/>
  <c r="U60" i="52" s="1"/>
  <c r="U61" i="52" s="1"/>
  <c r="T58" i="52"/>
  <c r="S58" i="52"/>
  <c r="R58" i="52"/>
  <c r="Q58" i="52"/>
  <c r="P58" i="52"/>
  <c r="O58" i="52"/>
  <c r="N58" i="52"/>
  <c r="M58" i="52"/>
  <c r="M60" i="52" s="1"/>
  <c r="M61" i="52" s="1"/>
  <c r="L58" i="52"/>
  <c r="L60" i="52" s="1"/>
  <c r="L61" i="52" s="1"/>
  <c r="K58" i="52"/>
  <c r="K60" i="52" s="1"/>
  <c r="K61" i="52" s="1"/>
  <c r="J58" i="52"/>
  <c r="J60" i="52" s="1"/>
  <c r="J61" i="52" s="1"/>
  <c r="I58" i="52"/>
  <c r="I60" i="52" s="1"/>
  <c r="I61" i="52" s="1"/>
  <c r="H58" i="52"/>
  <c r="G58" i="52"/>
  <c r="F58" i="52"/>
  <c r="E58" i="52"/>
  <c r="D58" i="52"/>
  <c r="C58" i="52"/>
  <c r="B58" i="52"/>
  <c r="R141" i="44" l="1"/>
  <c r="P141" i="44"/>
  <c r="Q141" i="44"/>
  <c r="L141" i="44"/>
  <c r="K141" i="44"/>
  <c r="M141" i="44"/>
  <c r="C140" i="44"/>
  <c r="D140" i="44"/>
  <c r="E140" i="44"/>
  <c r="F140" i="44"/>
  <c r="G140" i="44"/>
  <c r="J140" i="44" s="1"/>
  <c r="H140" i="44"/>
  <c r="I140" i="44"/>
  <c r="B140" i="44"/>
  <c r="AB148" i="44"/>
  <c r="AC148" i="44"/>
  <c r="AD148" i="44"/>
  <c r="AE148" i="44"/>
  <c r="AF148" i="44"/>
  <c r="AG148" i="44"/>
  <c r="AH148" i="44"/>
  <c r="AA148" i="44"/>
  <c r="AB146" i="44"/>
  <c r="AC146" i="44"/>
  <c r="AD146" i="44"/>
  <c r="AE146" i="44"/>
  <c r="AF146" i="44"/>
  <c r="AG146" i="44"/>
  <c r="AH146" i="44"/>
  <c r="AA146" i="44"/>
  <c r="AB141" i="44"/>
  <c r="C147" i="44" s="1"/>
  <c r="AC141" i="44"/>
  <c r="D147" i="44" s="1"/>
  <c r="AD141" i="44"/>
  <c r="E147" i="44" s="1"/>
  <c r="AE141" i="44"/>
  <c r="F147" i="44" s="1"/>
  <c r="AF141" i="44"/>
  <c r="G147" i="44" s="1"/>
  <c r="AG141" i="44"/>
  <c r="H147" i="44" s="1"/>
  <c r="AH141" i="44"/>
  <c r="I147" i="44" s="1"/>
  <c r="AA141" i="44"/>
  <c r="B147" i="44" s="1"/>
  <c r="AE119" i="44"/>
  <c r="AA121" i="44"/>
  <c r="I148" i="44"/>
  <c r="AG140" i="44"/>
  <c r="AH140" i="44"/>
  <c r="AG142" i="44"/>
  <c r="AH142" i="44"/>
  <c r="AG147" i="44"/>
  <c r="AH147" i="44"/>
  <c r="P148" i="44" l="1"/>
  <c r="R148" i="44"/>
  <c r="M148" i="44"/>
  <c r="Q148" i="44"/>
  <c r="K148" i="44"/>
  <c r="L148" i="44"/>
  <c r="J147" i="44"/>
  <c r="R140" i="44"/>
  <c r="P140" i="44"/>
  <c r="Q140" i="44"/>
  <c r="N140" i="44"/>
  <c r="L140" i="44"/>
  <c r="M140" i="44"/>
  <c r="K140" i="44"/>
  <c r="O140" i="44"/>
  <c r="Q147" i="44" l="1"/>
  <c r="O147" i="44"/>
  <c r="K147" i="44"/>
  <c r="M147" i="44"/>
  <c r="L147" i="44"/>
  <c r="N147" i="44"/>
  <c r="P147" i="44"/>
  <c r="R147" i="44"/>
  <c r="F5" i="38"/>
  <c r="E48" i="43"/>
  <c r="E49" i="43"/>
  <c r="G61" i="43" l="1"/>
  <c r="G53" i="43"/>
  <c r="G92" i="43"/>
  <c r="G93" i="43"/>
  <c r="G94" i="43"/>
  <c r="D4" i="39" l="1"/>
  <c r="D18" i="44"/>
  <c r="H18" i="44" s="1"/>
  <c r="J7" i="44"/>
  <c r="D26" i="39"/>
  <c r="D27" i="39"/>
  <c r="C18" i="44" l="1"/>
  <c r="G18" i="44" s="1"/>
  <c r="M69" i="44"/>
  <c r="M71" i="44" s="1"/>
  <c r="A48" i="43" l="1"/>
  <c r="V139" i="44" l="1"/>
  <c r="AB147" i="44"/>
  <c r="AC147" i="44"/>
  <c r="AD147" i="44"/>
  <c r="AE147" i="44"/>
  <c r="AF147" i="44"/>
  <c r="AA147" i="44"/>
  <c r="AB142" i="44"/>
  <c r="AC142" i="44"/>
  <c r="AD142" i="44"/>
  <c r="AE142" i="44"/>
  <c r="AF142" i="44"/>
  <c r="AA142" i="44"/>
  <c r="Q37" i="44"/>
  <c r="R37" i="44"/>
  <c r="E17" i="45" l="1"/>
  <c r="C62" i="61" l="1"/>
  <c r="B4" i="65" l="1"/>
  <c r="B5" i="65" s="1"/>
  <c r="B6" i="65" l="1"/>
  <c r="G11" i="47"/>
  <c r="G8" i="47" s="1"/>
  <c r="B7" i="65" l="1"/>
  <c r="B8" i="65" l="1"/>
  <c r="B9" i="65" l="1"/>
  <c r="B10" i="65" l="1"/>
  <c r="B11" i="65" l="1"/>
  <c r="B12" i="65" l="1"/>
  <c r="B13" i="65" l="1"/>
  <c r="B14" i="65" l="1"/>
  <c r="B15" i="65" l="1"/>
  <c r="B16" i="65" l="1"/>
  <c r="B17" i="65" l="1"/>
  <c r="B18" i="65" l="1"/>
  <c r="B19" i="65" l="1"/>
  <c r="B20" i="65" l="1"/>
  <c r="B21" i="65" l="1"/>
  <c r="B22" i="65" l="1"/>
  <c r="B23" i="65" l="1"/>
  <c r="B24" i="65" l="1"/>
  <c r="B25" i="65" l="1"/>
  <c r="B26" i="65" l="1"/>
  <c r="C154" i="62" l="1"/>
  <c r="C155" i="62"/>
  <c r="B18" i="62" l="1"/>
  <c r="E14" i="43" l="1"/>
  <c r="J9" i="38" l="1"/>
  <c r="J8" i="38"/>
  <c r="J7" i="38"/>
  <c r="J6" i="38"/>
  <c r="J5" i="38"/>
  <c r="H148" i="44" l="1"/>
  <c r="L21" i="38" l="1"/>
  <c r="AF7" i="39" l="1"/>
  <c r="AF8" i="39" s="1"/>
  <c r="L32" i="38"/>
  <c r="A77" i="43"/>
  <c r="A163" i="43"/>
  <c r="A165" i="43"/>
  <c r="A166" i="43"/>
  <c r="A164" i="43"/>
  <c r="D5" i="39"/>
  <c r="C11" i="61" l="1"/>
  <c r="B12" i="62" s="1"/>
  <c r="G27" i="47" l="1"/>
  <c r="E7" i="44" l="1"/>
  <c r="D6" i="39" l="1"/>
  <c r="C192" i="44" l="1"/>
  <c r="F192" i="44"/>
  <c r="D192" i="44"/>
  <c r="E192" i="44"/>
  <c r="G22" i="38" l="1"/>
  <c r="G23" i="38"/>
  <c r="G24" i="38"/>
  <c r="G25" i="38"/>
  <c r="G26" i="38"/>
  <c r="G27" i="38"/>
  <c r="G28" i="38"/>
  <c r="G29" i="38"/>
  <c r="G30" i="38"/>
  <c r="G31" i="38"/>
  <c r="G32" i="38"/>
  <c r="G33" i="38"/>
  <c r="D35" i="38"/>
  <c r="E35" i="38"/>
  <c r="F35" i="38"/>
  <c r="E45" i="38" l="1"/>
  <c r="E43" i="38"/>
  <c r="L20" i="38"/>
  <c r="L33" i="38" s="1"/>
  <c r="E41" i="38" s="1" a="1"/>
  <c r="E41" i="38" s="1"/>
  <c r="G35" i="38"/>
  <c r="S164" i="44" l="1"/>
  <c r="N158" i="44"/>
  <c r="V158" i="44"/>
  <c r="J158" i="44"/>
  <c r="B158" i="44"/>
  <c r="X158" i="44"/>
  <c r="W158" i="44"/>
  <c r="D158" i="44"/>
  <c r="G158" i="44"/>
  <c r="H158" i="44"/>
  <c r="Z158" i="44"/>
  <c r="C158" i="44"/>
  <c r="M158" i="44"/>
  <c r="Y158" i="44"/>
  <c r="AB158" i="44"/>
  <c r="E158" i="44"/>
  <c r="AA158" i="44"/>
  <c r="T158" i="44"/>
  <c r="O158" i="44"/>
  <c r="K158" i="44"/>
  <c r="S158" i="44"/>
  <c r="P158" i="44"/>
  <c r="Q158" i="44"/>
  <c r="AC158" i="44"/>
  <c r="U158" i="44"/>
  <c r="I158" i="44"/>
  <c r="AE158" i="44"/>
  <c r="L158" i="44"/>
  <c r="F158" i="44"/>
  <c r="R158" i="44"/>
  <c r="AD158" i="44"/>
  <c r="L35" i="38"/>
  <c r="C61" i="61"/>
  <c r="H2" i="65"/>
  <c r="H7" i="65" s="1"/>
  <c r="C78" i="38"/>
  <c r="B7" i="67" s="1"/>
  <c r="C81" i="38"/>
  <c r="B10" i="67" s="1"/>
  <c r="C86" i="38"/>
  <c r="B15" i="67" s="1"/>
  <c r="C80" i="38"/>
  <c r="B9" i="67" s="1"/>
  <c r="C83" i="38"/>
  <c r="B12" i="67" s="1"/>
  <c r="C79" i="38"/>
  <c r="B8" i="67" s="1"/>
  <c r="C84" i="38"/>
  <c r="B13" i="67" s="1"/>
  <c r="C85" i="38"/>
  <c r="B14" i="67" s="1"/>
  <c r="C87" i="38"/>
  <c r="B16" i="67" s="1"/>
  <c r="C88" i="38"/>
  <c r="B17" i="67" s="1"/>
  <c r="C89" i="38"/>
  <c r="B18" i="67" s="1"/>
  <c r="C82" i="38"/>
  <c r="B11" i="67" s="1"/>
  <c r="F124" i="65" l="1"/>
  <c r="C124" i="65" s="1"/>
  <c r="F150" i="65"/>
  <c r="C150" i="65" s="1"/>
  <c r="F168" i="65"/>
  <c r="C168" i="65" s="1"/>
  <c r="F151" i="65"/>
  <c r="C151" i="65" s="1"/>
  <c r="F144" i="65"/>
  <c r="C144" i="65" s="1"/>
  <c r="F143" i="65"/>
  <c r="C143" i="65" s="1"/>
  <c r="F147" i="65"/>
  <c r="C147" i="65" s="1"/>
  <c r="F148" i="65"/>
  <c r="C148" i="65" s="1"/>
  <c r="F145" i="65"/>
  <c r="C145" i="65" s="1"/>
  <c r="F142" i="65"/>
  <c r="C142" i="65" s="1"/>
  <c r="F166" i="65"/>
  <c r="C166" i="65" s="1"/>
  <c r="F123" i="65"/>
  <c r="C123" i="65" s="1"/>
  <c r="F127" i="65"/>
  <c r="C127" i="65" s="1"/>
  <c r="F146" i="65"/>
  <c r="C146" i="65" s="1"/>
  <c r="F169" i="65"/>
  <c r="C169" i="65" s="1"/>
  <c r="F126" i="65"/>
  <c r="C126" i="65" s="1"/>
  <c r="F125" i="65"/>
  <c r="C125" i="65" s="1"/>
  <c r="F152" i="65"/>
  <c r="C152" i="65" s="1"/>
  <c r="F170" i="65"/>
  <c r="C170" i="65" s="1"/>
  <c r="F128" i="65"/>
  <c r="C128" i="65" s="1"/>
  <c r="F149" i="65"/>
  <c r="C149" i="65" s="1"/>
  <c r="F167" i="65"/>
  <c r="C167" i="65" s="1"/>
  <c r="AA164" i="44"/>
  <c r="AX164" i="44"/>
  <c r="V164" i="44"/>
  <c r="AF164" i="44"/>
  <c r="AC164" i="44"/>
  <c r="AQ164" i="44"/>
  <c r="AK164" i="44"/>
  <c r="AW164" i="44"/>
  <c r="AJ164" i="44"/>
  <c r="AO164" i="44"/>
  <c r="AM164" i="44"/>
  <c r="X164" i="44"/>
  <c r="J164" i="44"/>
  <c r="AL164" i="44"/>
  <c r="AV164" i="44"/>
  <c r="Y164" i="44"/>
  <c r="Q164" i="44"/>
  <c r="Z164" i="44"/>
  <c r="AT164" i="44"/>
  <c r="W164" i="44"/>
  <c r="AN164" i="44"/>
  <c r="AU164" i="44"/>
  <c r="AI164" i="44"/>
  <c r="AD164" i="44"/>
  <c r="AE164" i="44"/>
  <c r="U164" i="44"/>
  <c r="R164" i="44"/>
  <c r="AG164" i="44"/>
  <c r="AH164" i="44"/>
  <c r="AY164" i="44"/>
  <c r="AB164" i="44"/>
  <c r="AP164" i="44"/>
  <c r="AS164" i="44"/>
  <c r="AR164" i="44"/>
  <c r="T164" i="44"/>
  <c r="BC158" i="44"/>
  <c r="C164" i="44"/>
  <c r="H164" i="44"/>
  <c r="M164" i="44"/>
  <c r="I164" i="44"/>
  <c r="E164" i="44"/>
  <c r="P164" i="44"/>
  <c r="K164" i="44"/>
  <c r="F164" i="44"/>
  <c r="G164" i="44"/>
  <c r="O164" i="44"/>
  <c r="B164" i="44"/>
  <c r="D164" i="44"/>
  <c r="L164" i="44"/>
  <c r="N164" i="44"/>
  <c r="AF4" i="39"/>
  <c r="B20" i="67"/>
  <c r="H6" i="65"/>
  <c r="C91" i="38"/>
  <c r="C11" i="51"/>
  <c r="J4" i="47"/>
  <c r="K4" i="47"/>
  <c r="L4" i="47"/>
  <c r="J5" i="47"/>
  <c r="K5" i="47"/>
  <c r="L5" i="47"/>
  <c r="J6" i="47"/>
  <c r="J7" i="47"/>
  <c r="F136" i="65" l="1"/>
  <c r="C136" i="65" s="1"/>
  <c r="F137" i="65"/>
  <c r="C137" i="65" s="1"/>
  <c r="F157" i="65"/>
  <c r="C157" i="65" s="1"/>
  <c r="F139" i="65"/>
  <c r="C139" i="65" s="1"/>
  <c r="F162" i="65"/>
  <c r="C162" i="65" s="1"/>
  <c r="F155" i="65"/>
  <c r="C155" i="65" s="1"/>
  <c r="F132" i="65"/>
  <c r="C132" i="65" s="1"/>
  <c r="F154" i="65"/>
  <c r="C154" i="65" s="1"/>
  <c r="F159" i="65"/>
  <c r="C159" i="65" s="1"/>
  <c r="F164" i="65"/>
  <c r="C164" i="65" s="1"/>
  <c r="F158" i="65"/>
  <c r="C158" i="65" s="1"/>
  <c r="F161" i="65"/>
  <c r="C161" i="65" s="1"/>
  <c r="F131" i="65"/>
  <c r="C131" i="65" s="1"/>
  <c r="F133" i="65"/>
  <c r="C133" i="65" s="1"/>
  <c r="F134" i="65"/>
  <c r="C134" i="65" s="1"/>
  <c r="F165" i="65"/>
  <c r="C165" i="65" s="1"/>
  <c r="F153" i="65"/>
  <c r="C153" i="65" s="1"/>
  <c r="F135" i="65"/>
  <c r="C135" i="65" s="1"/>
  <c r="F138" i="65"/>
  <c r="C138" i="65" s="1"/>
  <c r="C10" i="65"/>
  <c r="F163" i="65"/>
  <c r="C163" i="65" s="1"/>
  <c r="F140" i="65"/>
  <c r="C140" i="65" s="1"/>
  <c r="F156" i="65"/>
  <c r="C156" i="65" s="1"/>
  <c r="F129" i="65"/>
  <c r="C129" i="65" s="1"/>
  <c r="F141" i="65"/>
  <c r="C141" i="65" s="1"/>
  <c r="F130" i="65"/>
  <c r="C130" i="65" s="1"/>
  <c r="F160" i="65"/>
  <c r="C160" i="65" s="1"/>
  <c r="C28" i="65"/>
  <c r="C27" i="65"/>
  <c r="C99" i="65"/>
  <c r="C75" i="65"/>
  <c r="C51" i="65"/>
  <c r="C76" i="65"/>
  <c r="C29" i="65"/>
  <c r="C101" i="65"/>
  <c r="C53" i="65"/>
  <c r="C52" i="65"/>
  <c r="C100" i="65"/>
  <c r="C77" i="65"/>
  <c r="C102" i="65"/>
  <c r="C30" i="65"/>
  <c r="C54" i="65"/>
  <c r="C103" i="65"/>
  <c r="C78" i="65"/>
  <c r="C55" i="65"/>
  <c r="C31" i="65"/>
  <c r="C32" i="65"/>
  <c r="C56" i="65"/>
  <c r="C104" i="65"/>
  <c r="C79" i="65"/>
  <c r="C80" i="65"/>
  <c r="C46" i="65"/>
  <c r="C118" i="65"/>
  <c r="C70" i="65"/>
  <c r="C94" i="65"/>
  <c r="C71" i="65"/>
  <c r="C47" i="65"/>
  <c r="C119" i="65"/>
  <c r="C120" i="65"/>
  <c r="C72" i="65"/>
  <c r="C95" i="65"/>
  <c r="C48" i="65"/>
  <c r="C121" i="65"/>
  <c r="C96" i="65"/>
  <c r="C73" i="65"/>
  <c r="C49" i="65"/>
  <c r="C122" i="65"/>
  <c r="C74" i="65"/>
  <c r="C97" i="65"/>
  <c r="C50" i="65"/>
  <c r="C98" i="65"/>
  <c r="C105" i="65"/>
  <c r="C57" i="65"/>
  <c r="C33" i="65"/>
  <c r="C106" i="65"/>
  <c r="C58" i="65"/>
  <c r="C34" i="65"/>
  <c r="C81" i="65"/>
  <c r="C82" i="65"/>
  <c r="C107" i="65"/>
  <c r="C35" i="65"/>
  <c r="C59" i="65"/>
  <c r="C108" i="65"/>
  <c r="C83" i="65"/>
  <c r="C60" i="65"/>
  <c r="C36" i="65"/>
  <c r="C109" i="65"/>
  <c r="C84" i="65"/>
  <c r="C37" i="65"/>
  <c r="C61" i="65"/>
  <c r="C85" i="65"/>
  <c r="C110" i="65"/>
  <c r="C62" i="65"/>
  <c r="C38" i="65"/>
  <c r="C111" i="65"/>
  <c r="C86" i="65"/>
  <c r="C63" i="65"/>
  <c r="C39" i="65"/>
  <c r="C112" i="65"/>
  <c r="C87" i="65"/>
  <c r="C64" i="65"/>
  <c r="C40" i="65"/>
  <c r="C88" i="65"/>
  <c r="C113" i="65"/>
  <c r="C65" i="65"/>
  <c r="C41" i="65"/>
  <c r="C114" i="65"/>
  <c r="C66" i="65"/>
  <c r="C42" i="65"/>
  <c r="C89" i="65"/>
  <c r="C90" i="65"/>
  <c r="C43" i="65"/>
  <c r="C115" i="65"/>
  <c r="C67" i="65"/>
  <c r="C68" i="65"/>
  <c r="C116" i="65"/>
  <c r="C91" i="65"/>
  <c r="C44" i="65"/>
  <c r="C117" i="65"/>
  <c r="C92" i="65"/>
  <c r="C45" i="65"/>
  <c r="C69" i="65"/>
  <c r="C93" i="65"/>
  <c r="BC159" i="44"/>
  <c r="E49" i="38" s="1"/>
  <c r="C8" i="61" s="1"/>
  <c r="E42" i="38"/>
  <c r="C4" i="65"/>
  <c r="C5" i="65"/>
  <c r="C3" i="65"/>
  <c r="C6" i="65"/>
  <c r="C7" i="65"/>
  <c r="C8" i="65"/>
  <c r="C9" i="65"/>
  <c r="C22" i="65"/>
  <c r="C23" i="65"/>
  <c r="C24" i="65"/>
  <c r="C25" i="65"/>
  <c r="C26" i="65"/>
  <c r="C11" i="65"/>
  <c r="C12" i="65"/>
  <c r="C13" i="65"/>
  <c r="C14" i="65"/>
  <c r="C15" i="65"/>
  <c r="C16" i="65"/>
  <c r="C17" i="65"/>
  <c r="C18" i="65"/>
  <c r="C19" i="65"/>
  <c r="C20" i="65"/>
  <c r="C21" i="65"/>
  <c r="F28" i="42"/>
  <c r="V18" i="39" l="1"/>
  <c r="Q94" i="44"/>
  <c r="D94" i="44" s="1"/>
  <c r="F90" i="43"/>
  <c r="V17" i="39"/>
  <c r="F1" i="61" s="1"/>
  <c r="AF11" i="39" l="1"/>
  <c r="AF17" i="39"/>
  <c r="AF166" i="44"/>
  <c r="E1" i="61"/>
  <c r="L166" i="44"/>
  <c r="X166" i="44"/>
  <c r="G16" i="67"/>
  <c r="I16" i="67" s="1"/>
  <c r="N166" i="44"/>
  <c r="G12" i="67"/>
  <c r="I12" i="67" s="1"/>
  <c r="J17" i="67"/>
  <c r="L17" i="67" s="1"/>
  <c r="AE166" i="44"/>
  <c r="J7" i="67"/>
  <c r="L7" i="67" s="1"/>
  <c r="M16" i="67"/>
  <c r="O16" i="67" s="1"/>
  <c r="Z166" i="44"/>
  <c r="W166" i="44"/>
  <c r="J166" i="44"/>
  <c r="B166" i="44"/>
  <c r="AS166" i="44"/>
  <c r="J9" i="67"/>
  <c r="L9" i="67" s="1"/>
  <c r="O166" i="44"/>
  <c r="AY166" i="44"/>
  <c r="AK166" i="44"/>
  <c r="M15" i="67"/>
  <c r="O15" i="67" s="1"/>
  <c r="K166" i="44"/>
  <c r="AQ166" i="44"/>
  <c r="AC166" i="44"/>
  <c r="G18" i="67"/>
  <c r="I18" i="67" s="1"/>
  <c r="J16" i="67"/>
  <c r="L16" i="67" s="1"/>
  <c r="J13" i="67"/>
  <c r="L13" i="67" s="1"/>
  <c r="AM166" i="44"/>
  <c r="M18" i="67"/>
  <c r="O18" i="67" s="1"/>
  <c r="R166" i="44"/>
  <c r="M11" i="67"/>
  <c r="O11" i="67" s="1"/>
  <c r="J12" i="67"/>
  <c r="L12" i="67" s="1"/>
  <c r="AI166" i="44"/>
  <c r="M10" i="67"/>
  <c r="O10" i="67" s="1"/>
  <c r="AG166" i="44"/>
  <c r="Y166" i="44"/>
  <c r="G15" i="67"/>
  <c r="I15" i="67" s="1"/>
  <c r="G9" i="67"/>
  <c r="I9" i="67" s="1"/>
  <c r="AT166" i="44"/>
  <c r="J10" i="67"/>
  <c r="L10" i="67" s="1"/>
  <c r="J8" i="67"/>
  <c r="L8" i="67" s="1"/>
  <c r="AA166" i="44"/>
  <c r="Q166" i="44"/>
  <c r="U166" i="44"/>
  <c r="M12" i="67"/>
  <c r="O12" i="67" s="1"/>
  <c r="M7" i="67"/>
  <c r="O7" i="67" s="1"/>
  <c r="J11" i="67"/>
  <c r="L11" i="67" s="1"/>
  <c r="AX166" i="44"/>
  <c r="AV166" i="44"/>
  <c r="AR166" i="44"/>
  <c r="M166" i="44"/>
  <c r="G166" i="44"/>
  <c r="G8" i="67"/>
  <c r="I8" i="67" s="1"/>
  <c r="J15" i="67"/>
  <c r="L15" i="67" s="1"/>
  <c r="AP166" i="44"/>
  <c r="AN166" i="44"/>
  <c r="M17" i="67"/>
  <c r="O17" i="67" s="1"/>
  <c r="J18" i="67"/>
  <c r="L18" i="67" s="1"/>
  <c r="M13" i="67"/>
  <c r="O13" i="67" s="1"/>
  <c r="G10" i="67"/>
  <c r="I10" i="67" s="1"/>
  <c r="H166" i="44"/>
  <c r="AH166" i="44"/>
  <c r="G11" i="67"/>
  <c r="I11" i="67" s="1"/>
  <c r="AL166" i="44"/>
  <c r="AJ166" i="44"/>
  <c r="M9" i="67"/>
  <c r="O9" i="67" s="1"/>
  <c r="G13" i="67"/>
  <c r="I13" i="67" s="1"/>
  <c r="D166" i="44"/>
  <c r="G14" i="67"/>
  <c r="I14" i="67" s="1"/>
  <c r="S166" i="44"/>
  <c r="AD166" i="44"/>
  <c r="AB166" i="44"/>
  <c r="F166" i="44"/>
  <c r="E166" i="44"/>
  <c r="M8" i="67"/>
  <c r="O8" i="67" s="1"/>
  <c r="P166" i="44"/>
  <c r="C166" i="44"/>
  <c r="AW166" i="44"/>
  <c r="V166" i="44"/>
  <c r="T166" i="44"/>
  <c r="M14" i="67"/>
  <c r="O14" i="67" s="1"/>
  <c r="I166" i="44"/>
  <c r="J14" i="67"/>
  <c r="L14" i="67" s="1"/>
  <c r="G17" i="67"/>
  <c r="AO166" i="44"/>
  <c r="AU166" i="44"/>
  <c r="G7" i="67"/>
  <c r="I7" i="67" s="1"/>
  <c r="H94" i="44"/>
  <c r="N94" i="44"/>
  <c r="G94" i="44"/>
  <c r="M94" i="44"/>
  <c r="I94" i="44"/>
  <c r="O94" i="44"/>
  <c r="C94" i="44"/>
  <c r="F94" i="44"/>
  <c r="L94" i="44"/>
  <c r="E94" i="44"/>
  <c r="K94" i="44"/>
  <c r="P94" i="44"/>
  <c r="J94" i="44"/>
  <c r="G167" i="44"/>
  <c r="T167" i="44"/>
  <c r="AB167" i="44"/>
  <c r="AJ167" i="44"/>
  <c r="AR167" i="44"/>
  <c r="AC167" i="44"/>
  <c r="AK167" i="44"/>
  <c r="AS167" i="44"/>
  <c r="AD167" i="44"/>
  <c r="AL167" i="44"/>
  <c r="AT167" i="44"/>
  <c r="AE167" i="44"/>
  <c r="AM167" i="44"/>
  <c r="AU167" i="44"/>
  <c r="AF167" i="44"/>
  <c r="AN167" i="44"/>
  <c r="AV167" i="44"/>
  <c r="AG167" i="44"/>
  <c r="AO167" i="44"/>
  <c r="U167" i="44"/>
  <c r="V167" i="44"/>
  <c r="W167" i="44"/>
  <c r="X167" i="44"/>
  <c r="Q167" i="44"/>
  <c r="R167" i="44"/>
  <c r="Z167" i="44"/>
  <c r="AH167" i="44"/>
  <c r="AP167" i="44"/>
  <c r="AX167" i="44"/>
  <c r="AA167" i="44"/>
  <c r="AI167" i="44"/>
  <c r="AQ167" i="44"/>
  <c r="AY167" i="44"/>
  <c r="Y167" i="44"/>
  <c r="AW167" i="44"/>
  <c r="S167" i="44"/>
  <c r="G30" i="67"/>
  <c r="G31" i="67"/>
  <c r="E32" i="67"/>
  <c r="E30" i="67"/>
  <c r="E29" i="67"/>
  <c r="G28" i="67"/>
  <c r="G24" i="67"/>
  <c r="F28" i="67"/>
  <c r="E167" i="44"/>
  <c r="F32" i="67"/>
  <c r="K167" i="44"/>
  <c r="G29" i="67"/>
  <c r="I167" i="44"/>
  <c r="G34" i="67"/>
  <c r="F35" i="67"/>
  <c r="P167" i="44"/>
  <c r="F27" i="67"/>
  <c r="F26" i="67"/>
  <c r="E34" i="67"/>
  <c r="F33" i="67"/>
  <c r="F167" i="44"/>
  <c r="E25" i="67"/>
  <c r="E35" i="67"/>
  <c r="E24" i="67"/>
  <c r="F30" i="67"/>
  <c r="G32" i="67"/>
  <c r="F24" i="67"/>
  <c r="J167" i="44"/>
  <c r="E31" i="67"/>
  <c r="G25" i="67"/>
  <c r="H167" i="44"/>
  <c r="E26" i="67"/>
  <c r="M167" i="44"/>
  <c r="E28" i="67"/>
  <c r="N167" i="44"/>
  <c r="F29" i="67"/>
  <c r="G33" i="67"/>
  <c r="G27" i="67"/>
  <c r="O167" i="44"/>
  <c r="C167" i="44"/>
  <c r="D167" i="44"/>
  <c r="G26" i="67"/>
  <c r="G35" i="67"/>
  <c r="E27" i="67"/>
  <c r="B167" i="44"/>
  <c r="E33" i="67"/>
  <c r="F31" i="67"/>
  <c r="L167" i="44"/>
  <c r="F25" i="67"/>
  <c r="F34" i="67"/>
  <c r="AC168" i="44" l="1"/>
  <c r="J168" i="44"/>
  <c r="O20" i="67"/>
  <c r="O168" i="44"/>
  <c r="AF168" i="44"/>
  <c r="AT168" i="44"/>
  <c r="X168" i="44"/>
  <c r="F168" i="44"/>
  <c r="Q9" i="67"/>
  <c r="P9" i="67"/>
  <c r="Q16" i="67"/>
  <c r="AM168" i="44"/>
  <c r="AP168" i="44"/>
  <c r="AG168" i="44"/>
  <c r="AN168" i="44"/>
  <c r="Q13" i="67"/>
  <c r="G168" i="44"/>
  <c r="R168" i="44"/>
  <c r="L168" i="44"/>
  <c r="B168" i="44"/>
  <c r="AA168" i="44"/>
  <c r="Q12" i="67"/>
  <c r="P10" i="67"/>
  <c r="N168" i="44"/>
  <c r="AS168" i="44"/>
  <c r="AI168" i="44"/>
  <c r="AK168" i="44"/>
  <c r="L20" i="67"/>
  <c r="Q10" i="67"/>
  <c r="Q18" i="67"/>
  <c r="Z168" i="44"/>
  <c r="Q15" i="67"/>
  <c r="Q168" i="44"/>
  <c r="AE168" i="44"/>
  <c r="K168" i="44"/>
  <c r="P7" i="67"/>
  <c r="P12" i="67"/>
  <c r="P13" i="67"/>
  <c r="Y168" i="44"/>
  <c r="W168" i="44"/>
  <c r="Q11" i="67"/>
  <c r="AY168" i="44"/>
  <c r="V168" i="44"/>
  <c r="AD168" i="44"/>
  <c r="P18" i="67"/>
  <c r="P16" i="67"/>
  <c r="AQ168" i="44"/>
  <c r="U168" i="44"/>
  <c r="P17" i="67"/>
  <c r="AL168" i="44"/>
  <c r="G20" i="67"/>
  <c r="P15" i="67"/>
  <c r="J20" i="67"/>
  <c r="M168" i="44"/>
  <c r="H168" i="44"/>
  <c r="M20" i="67"/>
  <c r="AX168" i="44"/>
  <c r="AV168" i="44"/>
  <c r="AR168" i="44"/>
  <c r="Q14" i="67"/>
  <c r="C168" i="44"/>
  <c r="P168" i="44"/>
  <c r="AJ168" i="44"/>
  <c r="AH168" i="44"/>
  <c r="E168" i="44"/>
  <c r="P11" i="67"/>
  <c r="AO168" i="44"/>
  <c r="Q8" i="67"/>
  <c r="P8" i="67"/>
  <c r="AU168" i="44"/>
  <c r="T168" i="44"/>
  <c r="I168" i="44"/>
  <c r="S168" i="44"/>
  <c r="D168" i="44"/>
  <c r="P14" i="67"/>
  <c r="I17" i="67"/>
  <c r="Q17" i="67" s="1"/>
  <c r="AB168" i="44"/>
  <c r="AW168" i="44"/>
  <c r="R94" i="44"/>
  <c r="AA123" i="44" s="1"/>
  <c r="B91" i="43" s="1"/>
  <c r="I26" i="67"/>
  <c r="I28" i="67"/>
  <c r="I32" i="67"/>
  <c r="I29" i="67"/>
  <c r="I30" i="67"/>
  <c r="I27" i="67"/>
  <c r="I34" i="67"/>
  <c r="I25" i="67"/>
  <c r="I35" i="67"/>
  <c r="I31" i="67"/>
  <c r="I33" i="67"/>
  <c r="I24" i="67"/>
  <c r="Q7" i="67"/>
  <c r="N20" i="67" l="1"/>
  <c r="K20" i="67"/>
  <c r="I20" i="67"/>
  <c r="H20" i="67" s="1"/>
  <c r="P20" i="67"/>
  <c r="B170" i="44"/>
  <c r="H144" i="44"/>
  <c r="R144" i="44"/>
  <c r="E144" i="44"/>
  <c r="P144" i="44"/>
  <c r="D144" i="44"/>
  <c r="O144" i="44"/>
  <c r="L144" i="44"/>
  <c r="C144" i="44"/>
  <c r="B144" i="44"/>
  <c r="N144" i="44"/>
  <c r="I144" i="44"/>
  <c r="G144" i="44"/>
  <c r="Q144" i="44"/>
  <c r="J144" i="44"/>
  <c r="M144" i="44"/>
  <c r="K144" i="44"/>
  <c r="F144" i="44"/>
  <c r="I37" i="67"/>
  <c r="D34" i="27" s="1"/>
  <c r="Q20" i="67"/>
  <c r="D33" i="27" s="1"/>
  <c r="I7" i="44"/>
  <c r="E86" i="43" l="1"/>
  <c r="E90" i="43" s="1"/>
  <c r="G90" i="43" s="1"/>
  <c r="E89" i="43"/>
  <c r="G89" i="43" s="1"/>
  <c r="BG158" i="44"/>
  <c r="E34" i="27"/>
  <c r="F34" i="27" s="1"/>
  <c r="G34" i="27" s="1"/>
  <c r="H34" i="27" s="1"/>
  <c r="I34" i="27" s="1"/>
  <c r="J34" i="27" s="1"/>
  <c r="K34" i="27" s="1"/>
  <c r="L34" i="27" s="1"/>
  <c r="M34" i="27" s="1"/>
  <c r="N34" i="27" s="1"/>
  <c r="D31" i="27"/>
  <c r="D21" i="27" s="1"/>
  <c r="D45" i="27" s="1"/>
  <c r="E33" i="27"/>
  <c r="D7" i="44"/>
  <c r="H7" i="44" s="1"/>
  <c r="G88" i="43" l="1"/>
  <c r="E87" i="43"/>
  <c r="G87" i="43" s="1"/>
  <c r="G86" i="43"/>
  <c r="O34" i="27"/>
  <c r="P34" i="27" s="1"/>
  <c r="Q34" i="27" s="1"/>
  <c r="R34" i="27" s="1"/>
  <c r="S34" i="27" s="1"/>
  <c r="T34" i="27" s="1"/>
  <c r="U34" i="27" s="1"/>
  <c r="V34" i="27" s="1"/>
  <c r="W34" i="27" s="1"/>
  <c r="F33" i="27"/>
  <c r="E31" i="27"/>
  <c r="E21" i="27" s="1"/>
  <c r="E45" i="27" s="1"/>
  <c r="C7" i="44"/>
  <c r="G7" i="44" s="1"/>
  <c r="X34" i="27" l="1"/>
  <c r="F31" i="27"/>
  <c r="F21" i="27" s="1"/>
  <c r="F45" i="27" s="1"/>
  <c r="G33" i="27"/>
  <c r="G31" i="27" l="1"/>
  <c r="G21" i="27" s="1"/>
  <c r="G45" i="27" s="1"/>
  <c r="H33" i="27"/>
  <c r="I33" i="27" l="1"/>
  <c r="I31" i="27" s="1"/>
  <c r="I21" i="27" s="1"/>
  <c r="I45" i="27" s="1"/>
  <c r="H31" i="27"/>
  <c r="H21" i="27" s="1"/>
  <c r="H45" i="27" s="1"/>
  <c r="J33" i="27" l="1"/>
  <c r="K33" i="27" l="1"/>
  <c r="J31" i="27"/>
  <c r="J21" i="27" s="1"/>
  <c r="J45" i="27" s="1"/>
  <c r="G18" i="57"/>
  <c r="L33" i="27" l="1"/>
  <c r="K31" i="27"/>
  <c r="K21" i="27" s="1"/>
  <c r="K45" i="27" s="1"/>
  <c r="M33" i="27" l="1"/>
  <c r="L31" i="27"/>
  <c r="L21" i="27" s="1"/>
  <c r="L45" i="27" s="1"/>
  <c r="N33" i="27" l="1"/>
  <c r="O33" i="27" s="1"/>
  <c r="P33" i="27" s="1"/>
  <c r="Q33" i="27" s="1"/>
  <c r="R33" i="27" s="1"/>
  <c r="S33" i="27" s="1"/>
  <c r="T33" i="27" s="1"/>
  <c r="U33" i="27" s="1"/>
  <c r="V33" i="27" s="1"/>
  <c r="W33" i="27" s="1"/>
  <c r="M31" i="27"/>
  <c r="M21" i="27" s="1"/>
  <c r="M45" i="27" s="1"/>
  <c r="N31" i="27" l="1"/>
  <c r="O31" i="27" l="1"/>
  <c r="P31" i="27" l="1"/>
  <c r="F19" i="44"/>
  <c r="F21" i="44" s="1"/>
  <c r="I17" i="44"/>
  <c r="H17" i="44"/>
  <c r="G17" i="44"/>
  <c r="Q31" i="27" l="1"/>
  <c r="J19" i="44"/>
  <c r="J21" i="44" s="1"/>
  <c r="R31" i="27" l="1"/>
  <c r="S31" i="27" l="1"/>
  <c r="T31" i="27" l="1"/>
  <c r="U31" i="27" l="1"/>
  <c r="E54" i="44"/>
  <c r="J38" i="44"/>
  <c r="E52" i="44"/>
  <c r="M70" i="44"/>
  <c r="M72" i="44" s="1"/>
  <c r="C1" i="4"/>
  <c r="D1" i="4" s="1"/>
  <c r="E1" i="4" s="1"/>
  <c r="F1" i="4" s="1"/>
  <c r="G1" i="4" s="1"/>
  <c r="H1" i="4" s="1"/>
  <c r="I1" i="4" s="1"/>
  <c r="J1" i="4" s="1"/>
  <c r="K1" i="4" s="1"/>
  <c r="L1" i="4" s="1"/>
  <c r="M1" i="4" s="1"/>
  <c r="W31" i="27" l="1"/>
  <c r="V31" i="27"/>
  <c r="X33" i="27" l="1"/>
  <c r="D18" i="57"/>
  <c r="E18" i="57"/>
  <c r="F18" i="57"/>
  <c r="C18" i="57"/>
  <c r="B21" i="47" l="1"/>
  <c r="B22" i="47"/>
  <c r="B23" i="47"/>
  <c r="B24" i="47"/>
  <c r="B25" i="47"/>
  <c r="B20" i="47"/>
  <c r="A36" i="43" l="1"/>
  <c r="C13" i="47" l="1"/>
  <c r="C25" i="47"/>
  <c r="C20" i="47"/>
  <c r="C21" i="47" l="1"/>
  <c r="C22" i="47"/>
  <c r="C23" i="47"/>
  <c r="C24" i="47"/>
  <c r="C10" i="47"/>
  <c r="C27" i="47" l="1"/>
  <c r="X47" i="27" l="1"/>
  <c r="D37" i="44" l="1"/>
  <c r="E37" i="44"/>
  <c r="F37" i="44"/>
  <c r="G37" i="44"/>
  <c r="H37" i="44"/>
  <c r="I37" i="44"/>
  <c r="J37" i="44"/>
  <c r="M37" i="44"/>
  <c r="I40" i="44"/>
  <c r="I46" i="44" s="1"/>
  <c r="G40" i="44"/>
  <c r="G46" i="44" s="1"/>
  <c r="F40" i="44"/>
  <c r="F46" i="44" s="1"/>
  <c r="D40" i="44"/>
  <c r="D46" i="44" s="1"/>
  <c r="J39" i="44"/>
  <c r="J45" i="44" s="1"/>
  <c r="I39" i="44"/>
  <c r="I45" i="44" s="1"/>
  <c r="H39" i="44"/>
  <c r="H45" i="44" s="1"/>
  <c r="G39" i="44"/>
  <c r="G45" i="44" s="1"/>
  <c r="D39" i="44"/>
  <c r="D45" i="44" s="1"/>
  <c r="C39" i="44"/>
  <c r="C45" i="44" s="1"/>
  <c r="J44" i="44"/>
  <c r="H38" i="44"/>
  <c r="H44" i="44" s="1"/>
  <c r="E38" i="44"/>
  <c r="E44" i="44" s="1"/>
  <c r="D38" i="44"/>
  <c r="D44" i="44" s="1"/>
  <c r="N37" i="44"/>
  <c r="D47" i="44" l="1"/>
  <c r="B27" i="52" l="1"/>
  <c r="C27" i="52"/>
  <c r="D27" i="52"/>
  <c r="E27" i="52"/>
  <c r="F27" i="52"/>
  <c r="G27" i="52"/>
  <c r="H27" i="52"/>
  <c r="I27" i="52"/>
  <c r="J27" i="52"/>
  <c r="K27" i="52"/>
  <c r="L27" i="52"/>
  <c r="M27" i="52"/>
  <c r="N27" i="52"/>
  <c r="O27" i="52"/>
  <c r="P27" i="52"/>
  <c r="Q27" i="52"/>
  <c r="R27" i="52"/>
  <c r="S27" i="52"/>
  <c r="T27" i="52"/>
  <c r="U27" i="52"/>
  <c r="V27" i="52"/>
  <c r="W27" i="52"/>
  <c r="X27" i="52"/>
  <c r="Y27" i="52"/>
  <c r="Z27" i="52"/>
  <c r="AA27" i="52"/>
  <c r="AB27" i="52"/>
  <c r="AC27" i="52"/>
  <c r="AD27" i="52"/>
  <c r="AE27" i="52"/>
  <c r="AF27" i="52"/>
  <c r="AG27" i="52"/>
  <c r="D4" i="51"/>
  <c r="E4" i="51"/>
  <c r="D5" i="51"/>
  <c r="E5" i="51"/>
  <c r="D6" i="51"/>
  <c r="E6" i="51"/>
  <c r="D7" i="51"/>
  <c r="E7" i="51"/>
  <c r="D8" i="51"/>
  <c r="E8" i="51"/>
  <c r="D9" i="51"/>
  <c r="E9" i="51"/>
  <c r="D10" i="51"/>
  <c r="E10" i="51"/>
  <c r="D11" i="51"/>
  <c r="E11" i="51"/>
  <c r="D20" i="47"/>
  <c r="C18" i="45"/>
  <c r="E126" i="43" s="1"/>
  <c r="E125" i="43"/>
  <c r="E123" i="43"/>
  <c r="C27" i="45"/>
  <c r="C44" i="45"/>
  <c r="G4" i="44"/>
  <c r="C5" i="44"/>
  <c r="G5" i="44"/>
  <c r="G6" i="44"/>
  <c r="H6" i="44"/>
  <c r="I6" i="44"/>
  <c r="C8" i="44"/>
  <c r="C10" i="44" s="1"/>
  <c r="D8" i="44"/>
  <c r="D10" i="44" s="1"/>
  <c r="E8" i="44"/>
  <c r="E10" i="44" s="1"/>
  <c r="F8" i="44"/>
  <c r="F10" i="44" s="1"/>
  <c r="G8" i="44"/>
  <c r="G10" i="44" s="1"/>
  <c r="H8" i="44"/>
  <c r="H10" i="44" s="1"/>
  <c r="I8" i="44"/>
  <c r="I10" i="44" s="1"/>
  <c r="J8" i="44"/>
  <c r="J10" i="44" s="1"/>
  <c r="C37" i="44"/>
  <c r="E53" i="44"/>
  <c r="B61" i="44"/>
  <c r="C61" i="44"/>
  <c r="D61" i="44"/>
  <c r="E61" i="44"/>
  <c r="F61" i="44"/>
  <c r="G61" i="44"/>
  <c r="H61" i="44"/>
  <c r="I61" i="44"/>
  <c r="J61" i="44"/>
  <c r="J70" i="44" s="1"/>
  <c r="L61" i="44"/>
  <c r="N61" i="44"/>
  <c r="Q61" i="44"/>
  <c r="R61" i="44"/>
  <c r="T61" i="44"/>
  <c r="U61" i="44"/>
  <c r="V61" i="44"/>
  <c r="U62" i="44"/>
  <c r="V62" i="44"/>
  <c r="B69" i="44"/>
  <c r="B71" i="44" s="1"/>
  <c r="C69" i="44"/>
  <c r="C71" i="44" s="1"/>
  <c r="D69" i="44"/>
  <c r="D71" i="44" s="1"/>
  <c r="E69" i="44"/>
  <c r="E71" i="44" s="1"/>
  <c r="F69" i="44"/>
  <c r="F71" i="44" s="1"/>
  <c r="G69" i="44"/>
  <c r="G71" i="44" s="1"/>
  <c r="H69" i="44"/>
  <c r="H71" i="44" s="1"/>
  <c r="I69" i="44"/>
  <c r="I71" i="44" s="1"/>
  <c r="J69" i="44"/>
  <c r="J71" i="44" s="1"/>
  <c r="L69" i="44"/>
  <c r="L71" i="44" s="1"/>
  <c r="N69" i="44"/>
  <c r="N71" i="44" s="1"/>
  <c r="Q69" i="44"/>
  <c r="Q71" i="44" s="1"/>
  <c r="R69" i="44"/>
  <c r="R71" i="44" s="1"/>
  <c r="T69" i="44"/>
  <c r="T71" i="44" s="1"/>
  <c r="U69" i="44"/>
  <c r="U71" i="44" s="1"/>
  <c r="V69" i="44"/>
  <c r="V71" i="44" s="1"/>
  <c r="E47" i="43"/>
  <c r="E36" i="43"/>
  <c r="AA140" i="44"/>
  <c r="AB140" i="44"/>
  <c r="AC140" i="44"/>
  <c r="AD140" i="44"/>
  <c r="AE140" i="44"/>
  <c r="AF140" i="44"/>
  <c r="B148" i="44"/>
  <c r="C148" i="44"/>
  <c r="D148" i="44"/>
  <c r="E148" i="44"/>
  <c r="F148" i="44"/>
  <c r="G148" i="44"/>
  <c r="E202" i="44"/>
  <c r="F6" i="43"/>
  <c r="G6" i="43" s="1"/>
  <c r="F13" i="43"/>
  <c r="G13" i="43" s="1"/>
  <c r="G28" i="43"/>
  <c r="G29" i="43"/>
  <c r="G62" i="43"/>
  <c r="F66" i="43"/>
  <c r="E77" i="43"/>
  <c r="G77" i="43" s="1"/>
  <c r="G78" i="43"/>
  <c r="A110" i="43"/>
  <c r="G111" i="43"/>
  <c r="A139" i="43"/>
  <c r="E139" i="43"/>
  <c r="G140" i="43"/>
  <c r="G149" i="43"/>
  <c r="G154" i="43"/>
  <c r="E158" i="43"/>
  <c r="E163" i="43"/>
  <c r="G163" i="43" s="1"/>
  <c r="E164" i="43"/>
  <c r="G164" i="43" s="1"/>
  <c r="E165" i="43"/>
  <c r="G165" i="43" s="1"/>
  <c r="F175" i="43"/>
  <c r="G175" i="43" s="1"/>
  <c r="E176" i="43"/>
  <c r="F176" i="43"/>
  <c r="E177" i="43"/>
  <c r="F177" i="43"/>
  <c r="F179" i="43"/>
  <c r="G179" i="43" s="1"/>
  <c r="E180" i="43"/>
  <c r="F180" i="43"/>
  <c r="G181" i="43"/>
  <c r="B6" i="42"/>
  <c r="A7" i="42"/>
  <c r="A8" i="42" s="1"/>
  <c r="A9" i="42" s="1"/>
  <c r="A10" i="42" s="1"/>
  <c r="A11" i="42" s="1"/>
  <c r="B7" i="42"/>
  <c r="B8" i="42"/>
  <c r="B9" i="42"/>
  <c r="B10" i="42"/>
  <c r="B11" i="42"/>
  <c r="B12" i="42"/>
  <c r="B13" i="42"/>
  <c r="B19" i="42"/>
  <c r="F19" i="42"/>
  <c r="B20" i="42"/>
  <c r="F20" i="42"/>
  <c r="B21" i="42"/>
  <c r="B22" i="42"/>
  <c r="F22" i="42"/>
  <c r="B23" i="42"/>
  <c r="F23" i="42"/>
  <c r="B24" i="42"/>
  <c r="F24" i="42"/>
  <c r="B25" i="42"/>
  <c r="F25" i="42"/>
  <c r="F26" i="42"/>
  <c r="B27" i="42"/>
  <c r="F27" i="42"/>
  <c r="F29" i="42"/>
  <c r="B32" i="42"/>
  <c r="E32" i="42"/>
  <c r="F32" i="42" s="1"/>
  <c r="E33" i="42"/>
  <c r="F33" i="42" s="1"/>
  <c r="E34" i="42"/>
  <c r="F34" i="42" s="1"/>
  <c r="A5" i="38"/>
  <c r="I5" i="38" s="1"/>
  <c r="B4" i="51" s="1"/>
  <c r="E124" i="43" l="1"/>
  <c r="H5" i="44"/>
  <c r="G16" i="44"/>
  <c r="D5" i="44"/>
  <c r="C16" i="44"/>
  <c r="D24" i="47"/>
  <c r="D22" i="47"/>
  <c r="D21" i="47"/>
  <c r="D23" i="47"/>
  <c r="D25" i="47"/>
  <c r="F6" i="38"/>
  <c r="F7" i="38" s="1"/>
  <c r="F8" i="38" s="1"/>
  <c r="G180" i="43"/>
  <c r="G176" i="43"/>
  <c r="G177" i="43"/>
  <c r="D48" i="44"/>
  <c r="G139" i="43"/>
  <c r="G138" i="43" s="1"/>
  <c r="R70" i="44"/>
  <c r="R72" i="44" s="1"/>
  <c r="J72" i="44"/>
  <c r="D5" i="43"/>
  <c r="E70" i="44"/>
  <c r="E72" i="44" s="1"/>
  <c r="I70" i="44"/>
  <c r="I72" i="44" s="1"/>
  <c r="Q70" i="44"/>
  <c r="Q72" i="44" s="1"/>
  <c r="V70" i="44"/>
  <c r="V72" i="44" s="1"/>
  <c r="C70" i="44"/>
  <c r="C72" i="44" s="1"/>
  <c r="G70" i="44"/>
  <c r="G72" i="44" s="1"/>
  <c r="L70" i="44"/>
  <c r="L72" i="44" s="1"/>
  <c r="T70" i="44"/>
  <c r="T72" i="44" s="1"/>
  <c r="E30" i="43"/>
  <c r="D70" i="44"/>
  <c r="D72" i="44" s="1"/>
  <c r="H70" i="44"/>
  <c r="H72" i="44" s="1"/>
  <c r="N70" i="44"/>
  <c r="N72" i="44" s="1"/>
  <c r="U70" i="44"/>
  <c r="U72" i="44" s="1"/>
  <c r="F70" i="44"/>
  <c r="F72" i="44" s="1"/>
  <c r="B70" i="44"/>
  <c r="A7" i="38" l="1"/>
  <c r="I7" i="38" s="1"/>
  <c r="B6" i="51" s="1"/>
  <c r="A6" i="38"/>
  <c r="I6" i="38" s="1"/>
  <c r="E5" i="44"/>
  <c r="D16" i="44"/>
  <c r="I5" i="44"/>
  <c r="H16" i="44"/>
  <c r="D27" i="47"/>
  <c r="D52" i="27" s="1"/>
  <c r="E52" i="27" s="1"/>
  <c r="F52" i="27" s="1"/>
  <c r="G52" i="27" s="1"/>
  <c r="H52" i="27" s="1"/>
  <c r="I52" i="27" s="1"/>
  <c r="J52" i="27" s="1"/>
  <c r="K52" i="27" s="1"/>
  <c r="L52" i="27" s="1"/>
  <c r="M52" i="27" s="1"/>
  <c r="N52" i="27" s="1"/>
  <c r="O52" i="27" s="1"/>
  <c r="P52" i="27" s="1"/>
  <c r="Q52" i="27" s="1"/>
  <c r="R52" i="27" s="1"/>
  <c r="S52" i="27" s="1"/>
  <c r="T52" i="27" s="1"/>
  <c r="U52" i="27" s="1"/>
  <c r="V52" i="27" s="1"/>
  <c r="W52" i="27" s="1"/>
  <c r="F9" i="38"/>
  <c r="A8" i="38"/>
  <c r="C23" i="42"/>
  <c r="G34" i="42"/>
  <c r="B72" i="44"/>
  <c r="J5" i="44" l="1"/>
  <c r="J16" i="44" s="1"/>
  <c r="I16" i="44"/>
  <c r="F5" i="44"/>
  <c r="F16" i="44" s="1"/>
  <c r="E16" i="44"/>
  <c r="D92" i="27"/>
  <c r="E92" i="27" s="1"/>
  <c r="F92" i="27" s="1"/>
  <c r="G92" i="27" s="1"/>
  <c r="H92" i="27" s="1"/>
  <c r="I92" i="27" s="1"/>
  <c r="J92" i="27" s="1"/>
  <c r="K92" i="27" s="1"/>
  <c r="L92" i="27" s="1"/>
  <c r="M92" i="27" s="1"/>
  <c r="N92" i="27" s="1"/>
  <c r="O92" i="27" s="1"/>
  <c r="P92" i="27" s="1"/>
  <c r="Q92" i="27" s="1"/>
  <c r="R92" i="27" s="1"/>
  <c r="S92" i="27" s="1"/>
  <c r="T92" i="27" s="1"/>
  <c r="U92" i="27" s="1"/>
  <c r="V92" i="27" s="1"/>
  <c r="W92" i="27" s="1"/>
  <c r="B5" i="51"/>
  <c r="H34" i="42"/>
  <c r="I34" i="42" s="1"/>
  <c r="I8" i="38"/>
  <c r="B7" i="51" s="1"/>
  <c r="G33" i="42"/>
  <c r="A9" i="38"/>
  <c r="F10" i="38"/>
  <c r="G23" i="42"/>
  <c r="D102" i="27" l="1"/>
  <c r="E34" i="68" s="1"/>
  <c r="H33" i="42"/>
  <c r="I33" i="42" s="1"/>
  <c r="F11" i="38"/>
  <c r="A10" i="38"/>
  <c r="H23" i="42"/>
  <c r="I23" i="42" s="1"/>
  <c r="I9" i="38"/>
  <c r="F34" i="68" l="1"/>
  <c r="G34" i="68" s="1"/>
  <c r="H34" i="68" s="1"/>
  <c r="I34" i="68" s="1"/>
  <c r="J34" i="68" s="1"/>
  <c r="E102" i="27"/>
  <c r="B8" i="51"/>
  <c r="I10" i="38"/>
  <c r="B9" i="51" s="1"/>
  <c r="A11" i="38"/>
  <c r="F12" i="38"/>
  <c r="A12" i="38" s="1"/>
  <c r="K34" i="68" l="1"/>
  <c r="J40" i="68"/>
  <c r="F102" i="27"/>
  <c r="I11" i="38"/>
  <c r="B10" i="51" s="1"/>
  <c r="B11" i="51"/>
  <c r="I12" i="38"/>
  <c r="L34" i="68" l="1"/>
  <c r="M34" i="68" s="1"/>
  <c r="N34" i="68" s="1"/>
  <c r="O34" i="68" s="1"/>
  <c r="P34" i="68" s="1"/>
  <c r="Q34" i="68" s="1"/>
  <c r="R34" i="68" s="1"/>
  <c r="S34" i="68" s="1"/>
  <c r="T34" i="68" s="1"/>
  <c r="U34" i="68" s="1"/>
  <c r="V34" i="68" s="1"/>
  <c r="W34" i="68" s="1"/>
  <c r="X34" i="68" s="1"/>
  <c r="G102" i="27"/>
  <c r="I13" i="38"/>
  <c r="C63" i="61" s="1"/>
  <c r="G11" i="51"/>
  <c r="M12" i="38" s="1"/>
  <c r="B12" i="51"/>
  <c r="Y34" i="68" l="1"/>
  <c r="H102" i="27"/>
  <c r="B8" i="62"/>
  <c r="I102" i="27" l="1"/>
  <c r="J102" i="27" l="1"/>
  <c r="K102" i="27" l="1"/>
  <c r="H40" i="44"/>
  <c r="H46" i="44" s="1"/>
  <c r="L102" i="27" l="1"/>
  <c r="H47" i="44"/>
  <c r="H48" i="44" s="1"/>
  <c r="M102" i="27" l="1"/>
  <c r="N102" i="27" l="1"/>
  <c r="O102" i="27" l="1"/>
  <c r="P102" i="27" l="1"/>
  <c r="Q102" i="27" l="1"/>
  <c r="R102" i="27" l="1"/>
  <c r="S102" i="27" l="1"/>
  <c r="T102" i="27" l="1"/>
  <c r="U102" i="27" l="1"/>
  <c r="V102" i="27" l="1"/>
  <c r="X92" i="27" l="1"/>
  <c r="W102" i="27"/>
  <c r="X102" i="27" s="1"/>
  <c r="X63" i="27" l="1"/>
  <c r="X64" i="27" l="1"/>
  <c r="C10" i="51" l="1"/>
  <c r="G10" i="51" s="1"/>
  <c r="M11" i="38" s="1"/>
  <c r="C9" i="51"/>
  <c r="G9" i="51" s="1"/>
  <c r="M10" i="38" s="1"/>
  <c r="C8" i="51"/>
  <c r="G8" i="51" s="1"/>
  <c r="M9" i="38" s="1"/>
  <c r="C7" i="51"/>
  <c r="G7" i="51" s="1"/>
  <c r="M8" i="38" s="1"/>
  <c r="C6" i="51"/>
  <c r="G6" i="51" s="1"/>
  <c r="M7" i="38" s="1"/>
  <c r="C5" i="51"/>
  <c r="G5" i="51" s="1"/>
  <c r="M6" i="38" s="1"/>
  <c r="C4" i="51"/>
  <c r="G4" i="51" s="1"/>
  <c r="G12" i="51" l="1"/>
  <c r="M5" i="38"/>
  <c r="M13" i="38" s="1"/>
  <c r="D1" i="61" l="1"/>
  <c r="C1" i="61" s="1"/>
  <c r="B4" i="62" l="1"/>
  <c r="C64" i="61"/>
  <c r="H9" i="65"/>
  <c r="K4" i="39"/>
  <c r="F5" i="43" s="1"/>
  <c r="D71" i="38" l="1"/>
  <c r="C4" i="61" s="1"/>
  <c r="K5" i="39"/>
  <c r="G170" i="65"/>
  <c r="D170" i="65" s="1"/>
  <c r="E170" i="65" s="1"/>
  <c r="G164" i="65"/>
  <c r="D164" i="65" s="1"/>
  <c r="E164" i="65" s="1"/>
  <c r="G158" i="65"/>
  <c r="D158" i="65" s="1"/>
  <c r="E158" i="65" s="1"/>
  <c r="G152" i="65"/>
  <c r="D152" i="65" s="1"/>
  <c r="E152" i="65" s="1"/>
  <c r="G124" i="65"/>
  <c r="D124" i="65" s="1"/>
  <c r="E124" i="65" s="1"/>
  <c r="G136" i="65"/>
  <c r="D136" i="65" s="1"/>
  <c r="E136" i="65" s="1"/>
  <c r="G137" i="65"/>
  <c r="D137" i="65" s="1"/>
  <c r="E137" i="65" s="1"/>
  <c r="G168" i="65"/>
  <c r="D168" i="65" s="1"/>
  <c r="E168" i="65" s="1"/>
  <c r="G141" i="65"/>
  <c r="D141" i="65" s="1"/>
  <c r="E141" i="65" s="1"/>
  <c r="G155" i="65"/>
  <c r="D155" i="65" s="1"/>
  <c r="E155" i="65" s="1"/>
  <c r="G131" i="65"/>
  <c r="D131" i="65" s="1"/>
  <c r="E131" i="65" s="1"/>
  <c r="G160" i="65"/>
  <c r="D160" i="65" s="1"/>
  <c r="E160" i="65" s="1"/>
  <c r="G125" i="65"/>
  <c r="D125" i="65" s="1"/>
  <c r="E125" i="65" s="1"/>
  <c r="G129" i="65"/>
  <c r="D129" i="65" s="1"/>
  <c r="E129" i="65" s="1"/>
  <c r="G149" i="65"/>
  <c r="D149" i="65" s="1"/>
  <c r="E149" i="65" s="1"/>
  <c r="G130" i="65"/>
  <c r="D130" i="65" s="1"/>
  <c r="E130" i="65" s="1"/>
  <c r="G154" i="65"/>
  <c r="D154" i="65" s="1"/>
  <c r="E154" i="65" s="1"/>
  <c r="G132" i="65"/>
  <c r="D132" i="65" s="1"/>
  <c r="E132" i="65" s="1"/>
  <c r="G123" i="65"/>
  <c r="D123" i="65" s="1"/>
  <c r="E123" i="65" s="1"/>
  <c r="G169" i="65"/>
  <c r="D169" i="65" s="1"/>
  <c r="E169" i="65" s="1"/>
  <c r="G163" i="65"/>
  <c r="D163" i="65" s="1"/>
  <c r="E163" i="65" s="1"/>
  <c r="G157" i="65"/>
  <c r="D157" i="65" s="1"/>
  <c r="E157" i="65" s="1"/>
  <c r="G151" i="65"/>
  <c r="D151" i="65" s="1"/>
  <c r="E151" i="65" s="1"/>
  <c r="G126" i="65"/>
  <c r="D126" i="65" s="1"/>
  <c r="E126" i="65" s="1"/>
  <c r="G138" i="65"/>
  <c r="D138" i="65" s="1"/>
  <c r="E138" i="65" s="1"/>
  <c r="G127" i="65"/>
  <c r="D127" i="65" s="1"/>
  <c r="E127" i="65" s="1"/>
  <c r="G139" i="65"/>
  <c r="D139" i="65" s="1"/>
  <c r="E139" i="65" s="1"/>
  <c r="D10" i="65"/>
  <c r="E10" i="65" s="1"/>
  <c r="G162" i="65"/>
  <c r="D162" i="65" s="1"/>
  <c r="E162" i="65" s="1"/>
  <c r="G156" i="65"/>
  <c r="D156" i="65" s="1"/>
  <c r="E156" i="65" s="1"/>
  <c r="G150" i="65"/>
  <c r="D150" i="65" s="1"/>
  <c r="E150" i="65" s="1"/>
  <c r="G128" i="65"/>
  <c r="D128" i="65" s="1"/>
  <c r="E128" i="65" s="1"/>
  <c r="G140" i="65"/>
  <c r="D140" i="65" s="1"/>
  <c r="E140" i="65" s="1"/>
  <c r="G161" i="65"/>
  <c r="D161" i="65" s="1"/>
  <c r="E161" i="65" s="1"/>
  <c r="G142" i="65"/>
  <c r="D142" i="65" s="1"/>
  <c r="E142" i="65" s="1"/>
  <c r="G143" i="65"/>
  <c r="D143" i="65" s="1"/>
  <c r="E143" i="65" s="1"/>
  <c r="G166" i="65"/>
  <c r="D166" i="65" s="1"/>
  <c r="E166" i="65" s="1"/>
  <c r="G148" i="65"/>
  <c r="D148" i="65" s="1"/>
  <c r="E148" i="65" s="1"/>
  <c r="G144" i="65"/>
  <c r="D144" i="65" s="1"/>
  <c r="E144" i="65" s="1"/>
  <c r="G133" i="65"/>
  <c r="D133" i="65" s="1"/>
  <c r="E133" i="65" s="1"/>
  <c r="G145" i="65"/>
  <c r="D145" i="65" s="1"/>
  <c r="E145" i="65" s="1"/>
  <c r="G165" i="65"/>
  <c r="D165" i="65" s="1"/>
  <c r="E165" i="65" s="1"/>
  <c r="G159" i="65"/>
  <c r="D159" i="65" s="1"/>
  <c r="E159" i="65" s="1"/>
  <c r="G153" i="65"/>
  <c r="D153" i="65" s="1"/>
  <c r="E153" i="65" s="1"/>
  <c r="G147" i="65"/>
  <c r="D147" i="65" s="1"/>
  <c r="E147" i="65" s="1"/>
  <c r="G134" i="65"/>
  <c r="D134" i="65" s="1"/>
  <c r="E134" i="65" s="1"/>
  <c r="G146" i="65"/>
  <c r="D146" i="65" s="1"/>
  <c r="E146" i="65" s="1"/>
  <c r="G167" i="65"/>
  <c r="D167" i="65" s="1"/>
  <c r="E167" i="65" s="1"/>
  <c r="G135" i="65"/>
  <c r="D135" i="65" s="1"/>
  <c r="E135" i="65" s="1"/>
  <c r="D26" i="65"/>
  <c r="E26" i="65" s="1"/>
  <c r="D49" i="65"/>
  <c r="E49" i="65" s="1"/>
  <c r="D37" i="65"/>
  <c r="E37" i="65" s="1"/>
  <c r="D11" i="65"/>
  <c r="E11" i="65" s="1"/>
  <c r="D116" i="65"/>
  <c r="E116" i="65" s="1"/>
  <c r="D104" i="65"/>
  <c r="E104" i="65" s="1"/>
  <c r="D94" i="65"/>
  <c r="E94" i="65" s="1"/>
  <c r="D82" i="65"/>
  <c r="E82" i="65" s="1"/>
  <c r="D72" i="65"/>
  <c r="E72" i="65" s="1"/>
  <c r="D60" i="65"/>
  <c r="E60" i="65" s="1"/>
  <c r="D35" i="65"/>
  <c r="E35" i="65" s="1"/>
  <c r="D92" i="65"/>
  <c r="E92" i="65" s="1"/>
  <c r="D70" i="65"/>
  <c r="E70" i="65" s="1"/>
  <c r="D113" i="65"/>
  <c r="E113" i="65" s="1"/>
  <c r="D91" i="65"/>
  <c r="E91" i="65" s="1"/>
  <c r="D79" i="65"/>
  <c r="E79" i="65" s="1"/>
  <c r="D57" i="65"/>
  <c r="E57" i="65" s="1"/>
  <c r="D45" i="65"/>
  <c r="E45" i="65" s="1"/>
  <c r="D100" i="65"/>
  <c r="E100" i="65" s="1"/>
  <c r="D78" i="65"/>
  <c r="E78" i="65" s="1"/>
  <c r="D56" i="65"/>
  <c r="E56" i="65" s="1"/>
  <c r="D32" i="65"/>
  <c r="E32" i="65" s="1"/>
  <c r="D31" i="65"/>
  <c r="E31" i="65" s="1"/>
  <c r="D110" i="65"/>
  <c r="E110" i="65" s="1"/>
  <c r="D88" i="65"/>
  <c r="E88" i="65" s="1"/>
  <c r="D66" i="65"/>
  <c r="E66" i="65" s="1"/>
  <c r="D105" i="65"/>
  <c r="E105" i="65" s="1"/>
  <c r="D73" i="65"/>
  <c r="E73" i="65" s="1"/>
  <c r="D48" i="65"/>
  <c r="E48" i="65" s="1"/>
  <c r="D36" i="65"/>
  <c r="E36" i="65" s="1"/>
  <c r="D4" i="65"/>
  <c r="E4" i="65" s="1"/>
  <c r="D115" i="65"/>
  <c r="E115" i="65" s="1"/>
  <c r="D103" i="65"/>
  <c r="E103" i="65" s="1"/>
  <c r="D93" i="65"/>
  <c r="E93" i="65" s="1"/>
  <c r="D81" i="65"/>
  <c r="E81" i="65" s="1"/>
  <c r="D71" i="65"/>
  <c r="E71" i="65" s="1"/>
  <c r="D59" i="65"/>
  <c r="E59" i="65" s="1"/>
  <c r="D47" i="65"/>
  <c r="E47" i="65" s="1"/>
  <c r="D114" i="65"/>
  <c r="E114" i="65" s="1"/>
  <c r="D102" i="65"/>
  <c r="E102" i="65" s="1"/>
  <c r="D80" i="65"/>
  <c r="E80" i="65" s="1"/>
  <c r="D58" i="65"/>
  <c r="E58" i="65" s="1"/>
  <c r="D46" i="65"/>
  <c r="E46" i="65" s="1"/>
  <c r="D34" i="65"/>
  <c r="E34" i="65" s="1"/>
  <c r="D101" i="65"/>
  <c r="E101" i="65" s="1"/>
  <c r="D69" i="65"/>
  <c r="E69" i="65" s="1"/>
  <c r="D33" i="65"/>
  <c r="E33" i="65" s="1"/>
  <c r="D112" i="65"/>
  <c r="E112" i="65" s="1"/>
  <c r="D90" i="65"/>
  <c r="E90" i="65" s="1"/>
  <c r="D68" i="65"/>
  <c r="E68" i="65" s="1"/>
  <c r="D44" i="65"/>
  <c r="E44" i="65" s="1"/>
  <c r="D111" i="65"/>
  <c r="E111" i="65" s="1"/>
  <c r="D89" i="65"/>
  <c r="E89" i="65" s="1"/>
  <c r="D77" i="65"/>
  <c r="E77" i="65" s="1"/>
  <c r="D67" i="65"/>
  <c r="E67" i="65" s="1"/>
  <c r="D55" i="65"/>
  <c r="E55" i="65" s="1"/>
  <c r="D43" i="65"/>
  <c r="E43" i="65" s="1"/>
  <c r="D122" i="65"/>
  <c r="E122" i="65" s="1"/>
  <c r="D99" i="65"/>
  <c r="E99" i="65" s="1"/>
  <c r="D76" i="65"/>
  <c r="E76" i="65" s="1"/>
  <c r="D54" i="65"/>
  <c r="E54" i="65" s="1"/>
  <c r="D95" i="65"/>
  <c r="E95" i="65" s="1"/>
  <c r="D61" i="65"/>
  <c r="E61" i="65" s="1"/>
  <c r="D42" i="65"/>
  <c r="E42" i="65" s="1"/>
  <c r="D30" i="65"/>
  <c r="E30" i="65" s="1"/>
  <c r="D121" i="65"/>
  <c r="E121" i="65" s="1"/>
  <c r="D109" i="65"/>
  <c r="E109" i="65" s="1"/>
  <c r="D87" i="65"/>
  <c r="E87" i="65" s="1"/>
  <c r="D65" i="65"/>
  <c r="E65" i="65" s="1"/>
  <c r="D53" i="65"/>
  <c r="E53" i="65" s="1"/>
  <c r="D41" i="65"/>
  <c r="E41" i="65" s="1"/>
  <c r="D29" i="65"/>
  <c r="E29" i="65" s="1"/>
  <c r="D120" i="65"/>
  <c r="E120" i="65" s="1"/>
  <c r="D108" i="65"/>
  <c r="E108" i="65" s="1"/>
  <c r="D98" i="65"/>
  <c r="E98" i="65" s="1"/>
  <c r="D86" i="65"/>
  <c r="E86" i="65" s="1"/>
  <c r="D75" i="65"/>
  <c r="E75" i="65" s="1"/>
  <c r="D64" i="65"/>
  <c r="E64" i="65" s="1"/>
  <c r="D52" i="65"/>
  <c r="E52" i="65" s="1"/>
  <c r="D40" i="65"/>
  <c r="E40" i="65" s="1"/>
  <c r="D28" i="65"/>
  <c r="E28" i="65" s="1"/>
  <c r="D119" i="65"/>
  <c r="E119" i="65" s="1"/>
  <c r="D107" i="65"/>
  <c r="E107" i="65" s="1"/>
  <c r="D97" i="65"/>
  <c r="E97" i="65" s="1"/>
  <c r="D85" i="65"/>
  <c r="E85" i="65" s="1"/>
  <c r="D63" i="65"/>
  <c r="E63" i="65" s="1"/>
  <c r="D39" i="65"/>
  <c r="E39" i="65" s="1"/>
  <c r="D27" i="65"/>
  <c r="E27" i="65" s="1"/>
  <c r="D118" i="65"/>
  <c r="E118" i="65" s="1"/>
  <c r="D106" i="65"/>
  <c r="E106" i="65" s="1"/>
  <c r="D96" i="65"/>
  <c r="E96" i="65" s="1"/>
  <c r="D84" i="65"/>
  <c r="E84" i="65" s="1"/>
  <c r="D74" i="65"/>
  <c r="E74" i="65" s="1"/>
  <c r="D62" i="65"/>
  <c r="E62" i="65" s="1"/>
  <c r="D51" i="65"/>
  <c r="E51" i="65" s="1"/>
  <c r="D50" i="65"/>
  <c r="E50" i="65" s="1"/>
  <c r="D38" i="65"/>
  <c r="E38" i="65" s="1"/>
  <c r="D18" i="65"/>
  <c r="E18" i="65" s="1"/>
  <c r="D117" i="65"/>
  <c r="E117" i="65" s="1"/>
  <c r="D83" i="65"/>
  <c r="E83" i="65" s="1"/>
  <c r="H90" i="43"/>
  <c r="E50" i="43"/>
  <c r="R38" i="44"/>
  <c r="R39" i="44"/>
  <c r="H21" i="43"/>
  <c r="R40" i="44"/>
  <c r="Q40" i="44"/>
  <c r="Q38" i="44"/>
  <c r="N38" i="44" a="1"/>
  <c r="N38" i="44" s="1"/>
  <c r="L40" i="44" a="1"/>
  <c r="L40" i="44" s="1"/>
  <c r="I38" i="44" a="1"/>
  <c r="I38" i="44" s="1"/>
  <c r="H19" i="43"/>
  <c r="H20" i="43"/>
  <c r="M40" i="44"/>
  <c r="L39" i="44"/>
  <c r="L38" i="44"/>
  <c r="B132" i="44"/>
  <c r="B134" i="44" s="1"/>
  <c r="B10" i="66"/>
  <c r="F40" i="43"/>
  <c r="G40" i="43" s="1"/>
  <c r="D12" i="65"/>
  <c r="E12" i="65" s="1"/>
  <c r="D9" i="65"/>
  <c r="E9" i="65" s="1"/>
  <c r="D25" i="65"/>
  <c r="E25" i="65" s="1"/>
  <c r="D24" i="65"/>
  <c r="E24" i="65" s="1"/>
  <c r="D15" i="65"/>
  <c r="E15" i="65" s="1"/>
  <c r="D19" i="65"/>
  <c r="E19" i="65" s="1"/>
  <c r="D17" i="65"/>
  <c r="E17" i="65" s="1"/>
  <c r="D14" i="65"/>
  <c r="E14" i="65" s="1"/>
  <c r="D3" i="65"/>
  <c r="E3" i="65" s="1"/>
  <c r="D22" i="65"/>
  <c r="E22" i="65" s="1"/>
  <c r="D23" i="65"/>
  <c r="E23" i="65" s="1"/>
  <c r="D21" i="65"/>
  <c r="E21" i="65" s="1"/>
  <c r="D7" i="65"/>
  <c r="E7" i="65" s="1"/>
  <c r="D5" i="65"/>
  <c r="E5" i="65" s="1"/>
  <c r="D13" i="65"/>
  <c r="E13" i="65" s="1"/>
  <c r="D8" i="65"/>
  <c r="E8" i="65" s="1"/>
  <c r="D16" i="65"/>
  <c r="E16" i="65" s="1"/>
  <c r="D6" i="65"/>
  <c r="E6" i="65" s="1"/>
  <c r="D20" i="65"/>
  <c r="E20" i="65" s="1"/>
  <c r="C5" i="61"/>
  <c r="B9" i="62" s="1"/>
  <c r="Z79" i="27"/>
  <c r="F59" i="43"/>
  <c r="G59" i="43" s="1"/>
  <c r="C28" i="45"/>
  <c r="C29" i="45" s="1"/>
  <c r="F110" i="43"/>
  <c r="C39" i="45"/>
  <c r="F58" i="43"/>
  <c r="F116" i="43"/>
  <c r="C81" i="27" l="1"/>
  <c r="D22" i="39"/>
  <c r="B31" i="62"/>
  <c r="H80" i="43"/>
  <c r="H79" i="43"/>
  <c r="H82" i="43"/>
  <c r="H81" i="43"/>
  <c r="H78" i="43"/>
  <c r="U27" i="39"/>
  <c r="B2" i="66"/>
  <c r="G50" i="43"/>
  <c r="H50" i="43" s="1"/>
  <c r="H38" i="43"/>
  <c r="I129" i="44"/>
  <c r="J129" i="44"/>
  <c r="C129" i="44"/>
  <c r="D129" i="44"/>
  <c r="E129" i="44"/>
  <c r="F129" i="44"/>
  <c r="G129" i="44"/>
  <c r="H129" i="44"/>
  <c r="K129" i="44"/>
  <c r="B129" i="44"/>
  <c r="R45" i="44"/>
  <c r="H61" i="43"/>
  <c r="E134" i="43" a="1"/>
  <c r="E134" i="43" s="1"/>
  <c r="G134" i="43" s="1"/>
  <c r="H134" i="43" s="1"/>
  <c r="E135" i="43" a="1"/>
  <c r="E135" i="43" s="1"/>
  <c r="G135" i="43" s="1"/>
  <c r="H135" i="43" s="1"/>
  <c r="E133" i="43" a="1"/>
  <c r="E133" i="43" s="1"/>
  <c r="H53" i="43"/>
  <c r="I44" i="44"/>
  <c r="I47" i="44" s="1"/>
  <c r="I48" i="44" s="1"/>
  <c r="H87" i="43"/>
  <c r="H93" i="43"/>
  <c r="H92" i="43"/>
  <c r="H88" i="43"/>
  <c r="H89" i="43"/>
  <c r="H94" i="43"/>
  <c r="H86" i="43"/>
  <c r="Q39" i="44"/>
  <c r="Q45" i="44" s="1"/>
  <c r="Q46" i="44"/>
  <c r="R46" i="44"/>
  <c r="Q44" i="44"/>
  <c r="R44" i="44"/>
  <c r="K39" i="44"/>
  <c r="K45" i="44" s="1"/>
  <c r="K38" i="44"/>
  <c r="K44" i="44" s="1"/>
  <c r="K40" i="44"/>
  <c r="K46" i="44" s="1"/>
  <c r="M46" i="44"/>
  <c r="N40" i="44"/>
  <c r="N46" i="44" s="1"/>
  <c r="M38" i="44"/>
  <c r="M44" i="44" s="1"/>
  <c r="N39" i="44"/>
  <c r="N45" i="44" s="1"/>
  <c r="M39" i="44"/>
  <c r="M45" i="44" s="1"/>
  <c r="N44" i="44"/>
  <c r="L44" i="44"/>
  <c r="T30" i="39"/>
  <c r="C151" i="62" s="1"/>
  <c r="T31" i="39"/>
  <c r="C152" i="62" s="1"/>
  <c r="L45" i="44"/>
  <c r="L46" i="44"/>
  <c r="H40" i="43"/>
  <c r="G20" i="44"/>
  <c r="G9" i="44"/>
  <c r="C43" i="45"/>
  <c r="C30" i="45"/>
  <c r="H175" i="43"/>
  <c r="H28" i="43"/>
  <c r="H13" i="43"/>
  <c r="G110" i="43"/>
  <c r="H138" i="43"/>
  <c r="H176" i="43"/>
  <c r="H6" i="43"/>
  <c r="H154" i="43"/>
  <c r="C47" i="45"/>
  <c r="C48" i="45" s="1"/>
  <c r="G132" i="43"/>
  <c r="H132" i="43" s="1"/>
  <c r="E131" i="43"/>
  <c r="G131" i="43" s="1"/>
  <c r="C38" i="44"/>
  <c r="C44" i="44" s="1"/>
  <c r="H140" i="43"/>
  <c r="H163" i="43"/>
  <c r="G116" i="43"/>
  <c r="H179" i="43"/>
  <c r="H181" i="43"/>
  <c r="H62" i="43"/>
  <c r="C9" i="44"/>
  <c r="F30" i="43"/>
  <c r="G30" i="43" s="1"/>
  <c r="H30" i="43" s="1"/>
  <c r="F144" i="43"/>
  <c r="G144" i="43" s="1"/>
  <c r="E66" i="43"/>
  <c r="G66" i="43" s="1"/>
  <c r="E39" i="44"/>
  <c r="E45" i="44" s="1"/>
  <c r="F38" i="44"/>
  <c r="F44" i="44" s="1"/>
  <c r="C40" i="45"/>
  <c r="H180" i="43"/>
  <c r="H111" i="43"/>
  <c r="H149" i="43"/>
  <c r="H177" i="43"/>
  <c r="C20" i="44"/>
  <c r="D20" i="44" s="1"/>
  <c r="C41" i="45"/>
  <c r="F126" i="43" s="1"/>
  <c r="H139" i="43"/>
  <c r="S9" i="39"/>
  <c r="H29" i="43"/>
  <c r="H77" i="43"/>
  <c r="H165" i="43"/>
  <c r="H164" i="43"/>
  <c r="E40" i="44"/>
  <c r="E46" i="44" s="1"/>
  <c r="F39" i="44"/>
  <c r="F45" i="44" s="1"/>
  <c r="G38" i="44"/>
  <c r="G44" i="44" s="1"/>
  <c r="G47" i="44" s="1"/>
  <c r="G48" i="44" s="1"/>
  <c r="J40" i="44"/>
  <c r="J46" i="44" s="1"/>
  <c r="F15" i="43"/>
  <c r="G15" i="43" s="1"/>
  <c r="H15" i="43" s="1"/>
  <c r="F27" i="43"/>
  <c r="C40" i="44"/>
  <c r="C46" i="44" s="1"/>
  <c r="H59" i="43"/>
  <c r="D43" i="42" l="1"/>
  <c r="E9" i="42"/>
  <c r="F9" i="42" s="1"/>
  <c r="E10" i="42"/>
  <c r="F10" i="42" s="1"/>
  <c r="E8" i="42"/>
  <c r="F8" i="42" s="1"/>
  <c r="E148" i="43"/>
  <c r="E153" i="43"/>
  <c r="F153" i="43"/>
  <c r="F125" i="43"/>
  <c r="G125" i="43" s="1"/>
  <c r="H125" i="43" s="1"/>
  <c r="F124" i="43"/>
  <c r="G124" i="43" s="1"/>
  <c r="H124" i="43" s="1"/>
  <c r="F123" i="43"/>
  <c r="G158" i="43"/>
  <c r="F16" i="42"/>
  <c r="F15" i="42"/>
  <c r="V128" i="44"/>
  <c r="V133" i="44" s="1"/>
  <c r="V134" i="44" s="1"/>
  <c r="B37" i="43" s="1"/>
  <c r="E14" i="42"/>
  <c r="F14" i="42" s="1"/>
  <c r="G133" i="43"/>
  <c r="G130" i="43" s="1"/>
  <c r="R47" i="44"/>
  <c r="R48" i="44" s="1"/>
  <c r="B54" i="44" a="1"/>
  <c r="B54" i="44" s="1"/>
  <c r="D54" i="44" s="1"/>
  <c r="Q47" i="44"/>
  <c r="B53" i="44" a="1"/>
  <c r="B53" i="44" s="1"/>
  <c r="B52" i="44" a="1"/>
  <c r="B52" i="44" s="1"/>
  <c r="G126" i="43"/>
  <c r="H126" i="43" s="1"/>
  <c r="D9" i="44"/>
  <c r="D11" i="44" s="1"/>
  <c r="C47" i="44"/>
  <c r="K47" i="44"/>
  <c r="K48" i="44" s="1"/>
  <c r="H20" i="44"/>
  <c r="E20" i="44"/>
  <c r="H9" i="44"/>
  <c r="I9" i="44" s="1"/>
  <c r="I11" i="44" s="1"/>
  <c r="G11" i="44"/>
  <c r="L47" i="44"/>
  <c r="L48" i="44" s="1"/>
  <c r="N47" i="44"/>
  <c r="N48" i="44" s="1"/>
  <c r="F47" i="44"/>
  <c r="F48" i="44" s="1"/>
  <c r="H110" i="43"/>
  <c r="G109" i="43"/>
  <c r="H116" i="43"/>
  <c r="G115" i="43"/>
  <c r="E47" i="44"/>
  <c r="E48" i="44" s="1"/>
  <c r="G143" i="43"/>
  <c r="H144" i="43"/>
  <c r="H131" i="43"/>
  <c r="C42" i="45"/>
  <c r="C31" i="45"/>
  <c r="C32" i="45" s="1"/>
  <c r="F173" i="43"/>
  <c r="G173" i="43" s="1"/>
  <c r="G171" i="43" s="1"/>
  <c r="H66" i="43"/>
  <c r="G65" i="43"/>
  <c r="M47" i="44"/>
  <c r="M48" i="44" s="1"/>
  <c r="E11" i="42"/>
  <c r="F11" i="42" s="1"/>
  <c r="F7" i="42"/>
  <c r="E12" i="42"/>
  <c r="F12" i="42" s="1"/>
  <c r="E13" i="42"/>
  <c r="F13" i="42" s="1"/>
  <c r="F6" i="42"/>
  <c r="T32" i="39"/>
  <c r="C153" i="62" s="1"/>
  <c r="C11" i="44"/>
  <c r="H65" i="43" l="1"/>
  <c r="C13" i="42"/>
  <c r="G13" i="42" s="1"/>
  <c r="G148" i="43"/>
  <c r="G147" i="43" s="1"/>
  <c r="G7" i="43"/>
  <c r="H7" i="43" s="1"/>
  <c r="Q48" i="44"/>
  <c r="E37" i="43"/>
  <c r="G37" i="43" s="1"/>
  <c r="H37" i="43" s="1"/>
  <c r="H133" i="43"/>
  <c r="G107" i="43"/>
  <c r="C54" i="44"/>
  <c r="D52" i="44"/>
  <c r="L11" i="39" s="1"/>
  <c r="C52" i="44"/>
  <c r="K11" i="39" s="1"/>
  <c r="C53" i="44"/>
  <c r="C11" i="39" s="1"/>
  <c r="D53" i="44"/>
  <c r="E9" i="44"/>
  <c r="E11" i="44" s="1"/>
  <c r="I20" i="44"/>
  <c r="F20" i="44"/>
  <c r="F22" i="44" s="1"/>
  <c r="H11" i="44"/>
  <c r="J9" i="44"/>
  <c r="C48" i="44"/>
  <c r="G153" i="43"/>
  <c r="C49" i="45"/>
  <c r="S10" i="39" s="1"/>
  <c r="G123" i="43"/>
  <c r="H143" i="43"/>
  <c r="C24" i="42"/>
  <c r="H115" i="43"/>
  <c r="C20" i="42"/>
  <c r="H158" i="43"/>
  <c r="G157" i="43"/>
  <c r="H109" i="43"/>
  <c r="C19" i="42"/>
  <c r="T35" i="39"/>
  <c r="C156" i="62" s="1"/>
  <c r="H173" i="43"/>
  <c r="H130" i="43"/>
  <c r="C22" i="42"/>
  <c r="H107" i="43" l="1"/>
  <c r="H148" i="43"/>
  <c r="F9" i="44"/>
  <c r="F11" i="44" s="1"/>
  <c r="D11" i="39"/>
  <c r="C14" i="39" s="1"/>
  <c r="K14" i="39"/>
  <c r="J20" i="44"/>
  <c r="J11" i="44"/>
  <c r="M12" i="39"/>
  <c r="G22" i="42"/>
  <c r="H171" i="43"/>
  <c r="C32" i="42"/>
  <c r="H13" i="42"/>
  <c r="I13" i="42" s="1"/>
  <c r="H123" i="43"/>
  <c r="G19" i="42"/>
  <c r="G20" i="42"/>
  <c r="H147" i="43"/>
  <c r="C25" i="42"/>
  <c r="M11" i="39"/>
  <c r="H157" i="43"/>
  <c r="C26" i="42"/>
  <c r="G24" i="42"/>
  <c r="H153" i="43"/>
  <c r="G152" i="43"/>
  <c r="C13" i="44" l="1"/>
  <c r="C12" i="44"/>
  <c r="E12" i="39"/>
  <c r="E11" i="39"/>
  <c r="J22" i="44"/>
  <c r="H24" i="42"/>
  <c r="I24" i="42" s="1"/>
  <c r="G25" i="42"/>
  <c r="H19" i="42"/>
  <c r="I19" i="42" s="1"/>
  <c r="H22" i="42"/>
  <c r="I22" i="42" s="1"/>
  <c r="C27" i="42"/>
  <c r="H152" i="43"/>
  <c r="G26" i="42"/>
  <c r="H20" i="42"/>
  <c r="I20" i="42" s="1"/>
  <c r="G32" i="42"/>
  <c r="H32" i="42" l="1"/>
  <c r="G27" i="42"/>
  <c r="H26" i="42"/>
  <c r="I26" i="42" s="1"/>
  <c r="H25" i="42"/>
  <c r="I25" i="42" s="1"/>
  <c r="H27" i="42" l="1"/>
  <c r="I32" i="42"/>
  <c r="I27" i="42" l="1"/>
  <c r="J47" i="44" l="1"/>
  <c r="B55" i="44" s="1" a="1"/>
  <c r="B55" i="44" s="1"/>
  <c r="J48" i="44" l="1"/>
  <c r="G11" i="39"/>
  <c r="A55" i="44" l="1"/>
  <c r="C55" i="44"/>
  <c r="K19" i="39" s="1"/>
  <c r="H11" i="39"/>
  <c r="G14" i="39" s="1"/>
  <c r="I12" i="39" l="1"/>
  <c r="I11" i="39"/>
  <c r="K18" i="39"/>
  <c r="D55" i="44"/>
  <c r="L19" i="39" s="1"/>
  <c r="M20" i="39" l="1"/>
  <c r="M19" i="39"/>
  <c r="B74" i="44" l="1"/>
  <c r="B75" i="44"/>
  <c r="E27" i="43" s="1"/>
  <c r="G27" i="43" s="1"/>
  <c r="G47" i="43"/>
  <c r="H47" i="43" s="1"/>
  <c r="G49" i="43"/>
  <c r="H49" i="43" s="1"/>
  <c r="G26" i="43" l="1"/>
  <c r="F35" i="43"/>
  <c r="F39" i="43" s="1"/>
  <c r="G39" i="43" s="1"/>
  <c r="H39" i="43" s="1"/>
  <c r="A27" i="43"/>
  <c r="A116" i="43"/>
  <c r="H27" i="43" l="1"/>
  <c r="G35" i="43"/>
  <c r="H35" i="43" s="1"/>
  <c r="H26" i="43"/>
  <c r="C8" i="42"/>
  <c r="G8" i="42" s="1"/>
  <c r="H8" i="42" s="1"/>
  <c r="I8" i="42" s="1"/>
  <c r="B29" i="52" l="1"/>
  <c r="B30" i="52" s="1"/>
  <c r="T29" i="52"/>
  <c r="T30" i="52" s="1"/>
  <c r="N29" i="52"/>
  <c r="N30" i="52" s="1"/>
  <c r="F29" i="52"/>
  <c r="F30" i="52" s="1"/>
  <c r="AB29" i="52"/>
  <c r="AB30" i="52" s="1"/>
  <c r="V29" i="52"/>
  <c r="V30" i="52" s="1"/>
  <c r="I29" i="52"/>
  <c r="I30" i="52" s="1"/>
  <c r="P29" i="52"/>
  <c r="P30" i="52" s="1"/>
  <c r="AD29" i="52"/>
  <c r="AD30" i="52" s="1"/>
  <c r="Q29" i="52"/>
  <c r="Q30" i="52" s="1"/>
  <c r="M29" i="52"/>
  <c r="M30" i="52" s="1"/>
  <c r="O29" i="52"/>
  <c r="O30" i="52" s="1"/>
  <c r="L29" i="52"/>
  <c r="L30" i="52" s="1"/>
  <c r="Y29" i="52"/>
  <c r="Y30" i="52" s="1"/>
  <c r="U29" i="52"/>
  <c r="U30" i="52" s="1"/>
  <c r="W29" i="52"/>
  <c r="W30" i="52" s="1"/>
  <c r="AG29" i="52"/>
  <c r="AG30" i="52" s="1"/>
  <c r="AC29" i="52"/>
  <c r="AC30" i="52" s="1"/>
  <c r="AE29" i="52"/>
  <c r="AE30" i="52" s="1"/>
  <c r="X29" i="52"/>
  <c r="X30" i="52" s="1"/>
  <c r="H29" i="52"/>
  <c r="H30" i="52" s="1"/>
  <c r="AF29" i="52"/>
  <c r="AF30" i="52" s="1"/>
  <c r="J29" i="52"/>
  <c r="J30" i="52" s="1"/>
  <c r="K29" i="52"/>
  <c r="K30" i="52" s="1"/>
  <c r="G29" i="52"/>
  <c r="G30" i="52" s="1"/>
  <c r="E29" i="52"/>
  <c r="E30" i="52" s="1"/>
  <c r="AA29" i="52"/>
  <c r="AA30" i="52" s="1"/>
  <c r="D29" i="52"/>
  <c r="D30" i="52" s="1"/>
  <c r="Z29" i="52"/>
  <c r="Z30" i="52" s="1"/>
  <c r="C29" i="52"/>
  <c r="C30" i="52" s="1"/>
  <c r="S29" i="52"/>
  <c r="S30" i="52" s="1"/>
  <c r="R29" i="52"/>
  <c r="R30" i="52" s="1"/>
  <c r="D18" i="38"/>
  <c r="L42" i="38" s="1"/>
  <c r="I18" i="57"/>
  <c r="L45" i="38" l="1"/>
  <c r="L41" i="38" a="1"/>
  <c r="L41" i="38" s="1"/>
  <c r="L44" i="38"/>
  <c r="L43" i="38"/>
  <c r="E166" i="43"/>
  <c r="G166" i="43" s="1"/>
  <c r="H166" i="43" s="1"/>
  <c r="G76" i="43"/>
  <c r="F8" i="51"/>
  <c r="N9" i="38" s="1"/>
  <c r="Q9" i="38" s="1"/>
  <c r="F4" i="51"/>
  <c r="F10" i="51"/>
  <c r="N11" i="38" s="1"/>
  <c r="Q11" i="38" s="1"/>
  <c r="E22" i="52"/>
  <c r="F5" i="51"/>
  <c r="N6" i="38" s="1"/>
  <c r="Q6" i="38" s="1"/>
  <c r="F7" i="51"/>
  <c r="N8" i="38" s="1"/>
  <c r="Q8" i="38" s="1"/>
  <c r="F9" i="51"/>
  <c r="N10" i="38" s="1"/>
  <c r="Q10" i="38" s="1"/>
  <c r="F11" i="51"/>
  <c r="N12" i="38" s="1"/>
  <c r="Q12" i="38" s="1"/>
  <c r="F6" i="51"/>
  <c r="N7" i="38" s="1"/>
  <c r="Q7" i="38" s="1"/>
  <c r="Q5" i="38" l="1"/>
  <c r="N13" i="38" s="1"/>
  <c r="K68" i="38" s="1"/>
  <c r="N5" i="38"/>
  <c r="L47" i="38"/>
  <c r="G177" i="44" s="1"/>
  <c r="G162" i="43"/>
  <c r="H162" i="43" s="1"/>
  <c r="D177" i="44" l="1"/>
  <c r="J177" i="44"/>
  <c r="B177" i="44"/>
  <c r="L177" i="44"/>
  <c r="O177" i="44"/>
  <c r="N177" i="44"/>
  <c r="K177" i="44"/>
  <c r="E177" i="44"/>
  <c r="H177" i="44"/>
  <c r="I177" i="44"/>
  <c r="C177" i="44"/>
  <c r="F177" i="44"/>
  <c r="M177" i="44"/>
  <c r="G15" i="47"/>
  <c r="G33" i="47" s="1"/>
  <c r="C29" i="42"/>
  <c r="G29" i="42" s="1"/>
  <c r="C14" i="42"/>
  <c r="G14" i="42" s="1"/>
  <c r="H76" i="43"/>
  <c r="BC176" i="44" l="1"/>
  <c r="L48" i="38" s="1"/>
  <c r="V16" i="39" s="1"/>
  <c r="A97" i="43" s="1"/>
  <c r="I13" i="57"/>
  <c r="D86" i="38" s="1"/>
  <c r="C15" i="67" s="1"/>
  <c r="I9" i="57"/>
  <c r="D82" i="38" s="1"/>
  <c r="C11" i="67" s="1"/>
  <c r="I14" i="57"/>
  <c r="D87" i="38" s="1"/>
  <c r="C16" i="67" s="1"/>
  <c r="C6" i="61"/>
  <c r="B10" i="62" s="1"/>
  <c r="I5" i="57"/>
  <c r="D78" i="38" s="1"/>
  <c r="C7" i="67" s="1"/>
  <c r="I16" i="57"/>
  <c r="D89" i="38" s="1"/>
  <c r="C18" i="67" s="1"/>
  <c r="I10" i="57"/>
  <c r="D83" i="38" s="1"/>
  <c r="C12" i="67" s="1"/>
  <c r="I6" i="57"/>
  <c r="D79" i="38" s="1"/>
  <c r="C8" i="67" s="1"/>
  <c r="I8" i="57"/>
  <c r="D81" i="38" s="1"/>
  <c r="C10" i="67" s="1"/>
  <c r="I7" i="57"/>
  <c r="D80" i="38" s="1"/>
  <c r="C9" i="67" s="1"/>
  <c r="I15" i="57"/>
  <c r="D88" i="38" s="1"/>
  <c r="C17" i="67" s="1"/>
  <c r="I12" i="57"/>
  <c r="D85" i="38" s="1"/>
  <c r="C14" i="67" s="1"/>
  <c r="I11" i="57"/>
  <c r="D84" i="38" s="1"/>
  <c r="C13" i="67" s="1"/>
  <c r="B30" i="62"/>
  <c r="C65" i="61"/>
  <c r="H14" i="42"/>
  <c r="I14" i="42" s="1"/>
  <c r="H29" i="42"/>
  <c r="I29" i="42" s="1"/>
  <c r="AB24" i="39" l="1"/>
  <c r="F21" i="42" s="1"/>
  <c r="Q95" i="44"/>
  <c r="G183" i="44"/>
  <c r="G184" i="44" s="1"/>
  <c r="H183" i="44"/>
  <c r="H184" i="44" s="1"/>
  <c r="K183" i="44"/>
  <c r="K184" i="44" s="1"/>
  <c r="D183" i="44"/>
  <c r="D184" i="44" s="1"/>
  <c r="E183" i="44"/>
  <c r="E184" i="44" s="1"/>
  <c r="J183" i="44"/>
  <c r="J184" i="44" s="1"/>
  <c r="C183" i="44"/>
  <c r="C184" i="44" s="1"/>
  <c r="B183" i="44"/>
  <c r="F183" i="44"/>
  <c r="F184" i="44" s="1"/>
  <c r="I183" i="44"/>
  <c r="I184" i="44" s="1"/>
  <c r="D91" i="38"/>
  <c r="C20" i="67"/>
  <c r="B184" i="44" l="1"/>
  <c r="B186" i="44"/>
  <c r="E97" i="43" s="1"/>
  <c r="E100" i="43" s="1"/>
  <c r="B6" i="4"/>
  <c r="G19" i="47"/>
  <c r="D3" i="27" s="1"/>
  <c r="N95" i="44"/>
  <c r="O95" i="44"/>
  <c r="D95" i="44"/>
  <c r="P95" i="44"/>
  <c r="E95" i="44"/>
  <c r="F95" i="44"/>
  <c r="C95" i="44"/>
  <c r="G95" i="44"/>
  <c r="H95" i="44"/>
  <c r="I95" i="44"/>
  <c r="J95" i="44"/>
  <c r="K95" i="44"/>
  <c r="L95" i="44"/>
  <c r="M95" i="44"/>
  <c r="L6" i="4"/>
  <c r="J6" i="4"/>
  <c r="I6" i="4"/>
  <c r="M6" i="4"/>
  <c r="C6" i="4"/>
  <c r="K6" i="4"/>
  <c r="H6" i="4"/>
  <c r="E6" i="4"/>
  <c r="D6" i="4"/>
  <c r="F6" i="4"/>
  <c r="G6" i="4"/>
  <c r="L28" i="38"/>
  <c r="C67" i="61" s="1"/>
  <c r="E3" i="27" l="1"/>
  <c r="D6" i="27"/>
  <c r="E101" i="43"/>
  <c r="G101" i="43" s="1"/>
  <c r="H101" i="43" s="1"/>
  <c r="E99" i="43"/>
  <c r="G99" i="43" s="1"/>
  <c r="H99" i="43" s="1"/>
  <c r="E98" i="43"/>
  <c r="G98" i="43" s="1"/>
  <c r="H98" i="43" s="1"/>
  <c r="R95" i="44"/>
  <c r="AA124" i="44" s="1"/>
  <c r="G97" i="43"/>
  <c r="G100" i="43"/>
  <c r="H100" i="43" s="1"/>
  <c r="B8" i="4"/>
  <c r="F3" i="27" l="1"/>
  <c r="E6" i="27"/>
  <c r="B102" i="43"/>
  <c r="I145" i="44"/>
  <c r="J145" i="44"/>
  <c r="K145" i="44"/>
  <c r="L145" i="44"/>
  <c r="M145" i="44"/>
  <c r="N145" i="44"/>
  <c r="C145" i="44"/>
  <c r="O145" i="44"/>
  <c r="D145" i="44"/>
  <c r="P145" i="44"/>
  <c r="E145" i="44"/>
  <c r="Q145" i="44"/>
  <c r="F145" i="44"/>
  <c r="R145" i="44"/>
  <c r="G145" i="44"/>
  <c r="B145" i="44"/>
  <c r="H145" i="44"/>
  <c r="H97" i="43"/>
  <c r="G3" i="27" l="1"/>
  <c r="H32" i="68" s="1"/>
  <c r="H51" i="68" s="1"/>
  <c r="H57" i="68" s="1"/>
  <c r="F6" i="27"/>
  <c r="BG176" i="44"/>
  <c r="BG181" i="44" s="1"/>
  <c r="V51" i="68"/>
  <c r="V57" i="68" s="1"/>
  <c r="V61" i="68" s="1"/>
  <c r="V77" i="68" s="1"/>
  <c r="F32" i="68"/>
  <c r="F51" i="68" s="1"/>
  <c r="F57" i="68" s="1"/>
  <c r="T51" i="68"/>
  <c r="T57" i="68" s="1"/>
  <c r="T61" i="68" s="1"/>
  <c r="T77" i="68" s="1"/>
  <c r="W51" i="68"/>
  <c r="W57" i="68" s="1"/>
  <c r="W61" i="68" s="1"/>
  <c r="W77" i="68" s="1"/>
  <c r="G32" i="68"/>
  <c r="G51" i="68" s="1"/>
  <c r="G57" i="68" s="1"/>
  <c r="U51" i="68"/>
  <c r="U57" i="68" s="1"/>
  <c r="U61" i="68" s="1"/>
  <c r="U77" i="68" s="1"/>
  <c r="X51" i="68"/>
  <c r="X57" i="68" s="1"/>
  <c r="X61" i="68" s="1"/>
  <c r="X77" i="68" s="1"/>
  <c r="H3" i="27" l="1"/>
  <c r="G6" i="27"/>
  <c r="C66" i="61"/>
  <c r="C7" i="61" s="1"/>
  <c r="B11" i="62" s="1"/>
  <c r="E32" i="68"/>
  <c r="BG182" i="44"/>
  <c r="E102" i="43"/>
  <c r="G102" i="43" s="1"/>
  <c r="G31" i="47"/>
  <c r="D99" i="27" s="1"/>
  <c r="E99" i="27" s="1"/>
  <c r="F99" i="27" s="1"/>
  <c r="G99" i="27" s="1"/>
  <c r="H99" i="27" s="1"/>
  <c r="I99" i="27" s="1"/>
  <c r="J99" i="27" s="1"/>
  <c r="K99" i="27" s="1"/>
  <c r="L99" i="27" s="1"/>
  <c r="M99" i="27" s="1"/>
  <c r="N99" i="27" s="1"/>
  <c r="D8" i="27"/>
  <c r="I3" i="27" l="1"/>
  <c r="H6" i="27"/>
  <c r="I32" i="68"/>
  <c r="I51" i="68" s="1"/>
  <c r="I57" i="68" s="1"/>
  <c r="G45" i="68"/>
  <c r="E51" i="68"/>
  <c r="E57" i="68" s="1"/>
  <c r="F45" i="68"/>
  <c r="O99" i="27"/>
  <c r="P99" i="27" s="1"/>
  <c r="Q99" i="27" s="1"/>
  <c r="R99" i="27" s="1"/>
  <c r="S99" i="27" s="1"/>
  <c r="T99" i="27" s="1"/>
  <c r="U99" i="27" s="1"/>
  <c r="V99" i="27" s="1"/>
  <c r="W99" i="27" s="1"/>
  <c r="D5" i="27"/>
  <c r="D89" i="27" s="1"/>
  <c r="E89" i="27" s="1"/>
  <c r="F89" i="27" s="1"/>
  <c r="G89" i="27" s="1"/>
  <c r="H89" i="27" s="1"/>
  <c r="I89" i="27" s="1"/>
  <c r="J89" i="27" s="1"/>
  <c r="K89" i="27" s="1"/>
  <c r="L89" i="27" s="1"/>
  <c r="M89" i="27" s="1"/>
  <c r="N89" i="27" s="1"/>
  <c r="H31" i="47" a="1"/>
  <c r="H31" i="47" s="1"/>
  <c r="H102" i="43"/>
  <c r="G96" i="43"/>
  <c r="G30" i="47"/>
  <c r="D12" i="47"/>
  <c r="D13" i="47" s="1"/>
  <c r="D16" i="47" s="1"/>
  <c r="D20" i="27" s="1"/>
  <c r="E8" i="27"/>
  <c r="F8" i="27" s="1"/>
  <c r="G8" i="27" s="1"/>
  <c r="H8" i="27" s="1"/>
  <c r="I8" i="27" l="1"/>
  <c r="O89" i="27"/>
  <c r="P89" i="27" s="1"/>
  <c r="Q89" i="27" s="1"/>
  <c r="R89" i="27" s="1"/>
  <c r="S89" i="27" s="1"/>
  <c r="T89" i="27" s="1"/>
  <c r="U89" i="27" s="1"/>
  <c r="V89" i="27" s="1"/>
  <c r="W89" i="27" s="1"/>
  <c r="E5" i="27"/>
  <c r="D4" i="27"/>
  <c r="D88" i="27" s="1"/>
  <c r="D77" i="27" s="1"/>
  <c r="J3" i="27"/>
  <c r="J32" i="68"/>
  <c r="H45" i="68"/>
  <c r="X99" i="27"/>
  <c r="H30" i="47" a="1"/>
  <c r="H30" i="47" s="1"/>
  <c r="D98" i="27"/>
  <c r="D7" i="47"/>
  <c r="C16" i="42"/>
  <c r="H96" i="43"/>
  <c r="D6" i="47"/>
  <c r="D5" i="47"/>
  <c r="D8" i="47"/>
  <c r="D4" i="47"/>
  <c r="D9" i="47"/>
  <c r="E20" i="27"/>
  <c r="J8" i="27" l="1"/>
  <c r="X89" i="27"/>
  <c r="D90" i="27"/>
  <c r="J51" i="68"/>
  <c r="J57" i="68" s="1"/>
  <c r="K3" i="27"/>
  <c r="K32" i="68"/>
  <c r="K51" i="68" s="1"/>
  <c r="K57" i="68" s="1"/>
  <c r="F5" i="27"/>
  <c r="E4" i="27"/>
  <c r="E88" i="27" s="1"/>
  <c r="G16" i="42"/>
  <c r="H16" i="42" s="1"/>
  <c r="I16" i="42" s="1"/>
  <c r="D100" i="27"/>
  <c r="E98" i="27"/>
  <c r="F98" i="27" s="1"/>
  <c r="G98" i="27" s="1"/>
  <c r="H98" i="27" s="1"/>
  <c r="I98" i="27" s="1"/>
  <c r="J98" i="27" s="1"/>
  <c r="K98" i="27" s="1"/>
  <c r="L98" i="27" s="1"/>
  <c r="M98" i="27" s="1"/>
  <c r="N98" i="27" s="1"/>
  <c r="D10" i="47"/>
  <c r="D17" i="47" s="1"/>
  <c r="K69" i="38" s="1"/>
  <c r="F20" i="27"/>
  <c r="E90" i="27" l="1"/>
  <c r="E77" i="27"/>
  <c r="D79" i="27"/>
  <c r="D78" i="27"/>
  <c r="L3" i="27"/>
  <c r="L32" i="68"/>
  <c r="L51" i="68" s="1"/>
  <c r="L57" i="68" s="1"/>
  <c r="G5" i="27"/>
  <c r="F4" i="27"/>
  <c r="F88" i="27" s="1"/>
  <c r="K8" i="27"/>
  <c r="O98" i="27"/>
  <c r="P98" i="27" s="1"/>
  <c r="Q98" i="27" s="1"/>
  <c r="R98" i="27" s="1"/>
  <c r="S98" i="27" s="1"/>
  <c r="T98" i="27" s="1"/>
  <c r="U98" i="27" s="1"/>
  <c r="V98" i="27" s="1"/>
  <c r="W98" i="27" s="1"/>
  <c r="E100" i="27"/>
  <c r="F100" i="27" s="1"/>
  <c r="G100" i="27" s="1"/>
  <c r="H100" i="27" s="1"/>
  <c r="I100" i="27" s="1"/>
  <c r="J100" i="27" s="1"/>
  <c r="K100" i="27" s="1"/>
  <c r="L100" i="27" s="1"/>
  <c r="M100" i="27" s="1"/>
  <c r="N100" i="27" s="1"/>
  <c r="D15" i="47"/>
  <c r="D19" i="27" s="1"/>
  <c r="C15" i="47"/>
  <c r="G20" i="47"/>
  <c r="B33" i="62" s="1"/>
  <c r="B17" i="62"/>
  <c r="B32" i="62" s="1"/>
  <c r="C16" i="47"/>
  <c r="J11" i="47"/>
  <c r="G20" i="27"/>
  <c r="C69" i="61"/>
  <c r="C10" i="61"/>
  <c r="J9" i="47"/>
  <c r="F90" i="27" l="1"/>
  <c r="F77" i="27"/>
  <c r="E78" i="27"/>
  <c r="L8" i="27"/>
  <c r="G4" i="27"/>
  <c r="G88" i="27" s="1"/>
  <c r="H5" i="27"/>
  <c r="M3" i="27"/>
  <c r="M32" i="68"/>
  <c r="O100" i="27"/>
  <c r="P100" i="27" s="1"/>
  <c r="Q100" i="27" s="1"/>
  <c r="R100" i="27" s="1"/>
  <c r="S100" i="27" s="1"/>
  <c r="T100" i="27" s="1"/>
  <c r="U100" i="27" s="1"/>
  <c r="V100" i="27" s="1"/>
  <c r="W100" i="27" s="1"/>
  <c r="X100" i="27" s="1"/>
  <c r="X98" i="27"/>
  <c r="E19" i="27"/>
  <c r="C17" i="47"/>
  <c r="B19" i="62"/>
  <c r="D18" i="27"/>
  <c r="D44" i="27" s="1"/>
  <c r="C70" i="61"/>
  <c r="H20" i="27"/>
  <c r="E62" i="38"/>
  <c r="G90" i="27" l="1"/>
  <c r="G77" i="27"/>
  <c r="F78" i="27"/>
  <c r="M51" i="68"/>
  <c r="M57" i="68" s="1"/>
  <c r="N3" i="27"/>
  <c r="N32" i="68"/>
  <c r="N51" i="68" s="1"/>
  <c r="N57" i="68" s="1"/>
  <c r="C100" i="62"/>
  <c r="B26" i="61"/>
  <c r="H4" i="27"/>
  <c r="H88" i="27" s="1"/>
  <c r="I5" i="27"/>
  <c r="M8" i="27"/>
  <c r="F19" i="27"/>
  <c r="F6" i="61"/>
  <c r="D22" i="27"/>
  <c r="D49" i="27" s="1"/>
  <c r="E18" i="27"/>
  <c r="E44" i="27" s="1"/>
  <c r="I20" i="27"/>
  <c r="N8" i="27" l="1"/>
  <c r="G78" i="27"/>
  <c r="H77" i="27"/>
  <c r="H90" i="27"/>
  <c r="J5" i="27"/>
  <c r="I4" i="27"/>
  <c r="I88" i="27" s="1"/>
  <c r="O3" i="27"/>
  <c r="O32" i="68"/>
  <c r="E22" i="27"/>
  <c r="E49" i="27" s="1"/>
  <c r="G19" i="27"/>
  <c r="F18" i="27"/>
  <c r="F44" i="27" s="1"/>
  <c r="J20" i="27"/>
  <c r="O8" i="27" l="1"/>
  <c r="H78" i="27"/>
  <c r="I90" i="27"/>
  <c r="I77" i="27"/>
  <c r="P3" i="27"/>
  <c r="P32" i="68"/>
  <c r="O51" i="68"/>
  <c r="K5" i="27"/>
  <c r="J4" i="27"/>
  <c r="J88" i="27" s="1"/>
  <c r="F22" i="27"/>
  <c r="F49" i="27" s="1"/>
  <c r="H19" i="27"/>
  <c r="G18" i="27"/>
  <c r="G44" i="27" s="1"/>
  <c r="K20" i="27"/>
  <c r="I78" i="27" l="1"/>
  <c r="J90" i="27"/>
  <c r="J77" i="27"/>
  <c r="L5" i="27"/>
  <c r="K4" i="27"/>
  <c r="K88" i="27" s="1"/>
  <c r="O57" i="68"/>
  <c r="P51" i="68"/>
  <c r="P57" i="68" s="1"/>
  <c r="Q3" i="27"/>
  <c r="Q32" i="68"/>
  <c r="P8" i="27"/>
  <c r="G22" i="27"/>
  <c r="G49" i="27" s="1"/>
  <c r="I19" i="27"/>
  <c r="H18" i="27"/>
  <c r="H44" i="27" s="1"/>
  <c r="L20" i="27"/>
  <c r="J78" i="27" l="1"/>
  <c r="K90" i="27"/>
  <c r="K77" i="27"/>
  <c r="Q51" i="68"/>
  <c r="Q57" i="68" s="1"/>
  <c r="R3" i="27"/>
  <c r="R32" i="68"/>
  <c r="R51" i="68" s="1"/>
  <c r="R57" i="68" s="1"/>
  <c r="Q8" i="27"/>
  <c r="L4" i="27"/>
  <c r="L88" i="27" s="1"/>
  <c r="M5" i="27"/>
  <c r="H22" i="27"/>
  <c r="H49" i="27" s="1"/>
  <c r="J19" i="27"/>
  <c r="I18" i="27"/>
  <c r="I44" i="27" s="1"/>
  <c r="M20" i="27"/>
  <c r="R8" i="27" l="1"/>
  <c r="K78" i="27"/>
  <c r="L90" i="27"/>
  <c r="L77" i="27"/>
  <c r="S3" i="27"/>
  <c r="T3" i="27" s="1"/>
  <c r="U3" i="27" s="1"/>
  <c r="V3" i="27" s="1"/>
  <c r="W3" i="27" s="1"/>
  <c r="S32" i="68"/>
  <c r="Y32" i="68" s="1"/>
  <c r="M4" i="27"/>
  <c r="M88" i="27" s="1"/>
  <c r="N5" i="27"/>
  <c r="I22" i="27"/>
  <c r="I49" i="27" s="1"/>
  <c r="K19" i="27"/>
  <c r="J18" i="27"/>
  <c r="J44" i="27" s="1"/>
  <c r="N20" i="27"/>
  <c r="B134" i="62"/>
  <c r="S8" i="27" l="1"/>
  <c r="T8" i="27" s="1"/>
  <c r="U8" i="27" s="1"/>
  <c r="V8" i="27" s="1"/>
  <c r="W8" i="27" s="1"/>
  <c r="L78" i="27"/>
  <c r="M90" i="27"/>
  <c r="M77" i="27"/>
  <c r="O5" i="27"/>
  <c r="N4" i="27"/>
  <c r="N88" i="27" s="1"/>
  <c r="S51" i="68"/>
  <c r="AB32" i="68"/>
  <c r="J22" i="27"/>
  <c r="J49" i="27" s="1"/>
  <c r="L19" i="27"/>
  <c r="K18" i="27"/>
  <c r="K44" i="27" s="1"/>
  <c r="O20" i="27"/>
  <c r="G81" i="27"/>
  <c r="C106" i="27" s="1"/>
  <c r="B38" i="61"/>
  <c r="C111" i="62" s="1"/>
  <c r="AA78" i="27"/>
  <c r="M78" i="27" l="1"/>
  <c r="N90" i="27"/>
  <c r="N77" i="27"/>
  <c r="S57" i="68"/>
  <c r="Y51" i="68"/>
  <c r="O4" i="27"/>
  <c r="O88" i="27" s="1"/>
  <c r="P5" i="27"/>
  <c r="K22" i="27"/>
  <c r="K49" i="27" s="1"/>
  <c r="M19" i="27"/>
  <c r="L18" i="27"/>
  <c r="L44" i="27" s="1"/>
  <c r="P20" i="27"/>
  <c r="B35" i="61"/>
  <c r="C110" i="62" s="1"/>
  <c r="B131" i="62"/>
  <c r="B50" i="61"/>
  <c r="C105" i="62" s="1"/>
  <c r="B141" i="62" s="1"/>
  <c r="AA90" i="27"/>
  <c r="B47" i="61" s="1"/>
  <c r="C104" i="62" s="1"/>
  <c r="B138" i="62" s="1"/>
  <c r="N78" i="27" l="1"/>
  <c r="O90" i="27"/>
  <c r="O77" i="27"/>
  <c r="P4" i="27"/>
  <c r="P88" i="27" s="1"/>
  <c r="Q5" i="27"/>
  <c r="AB57" i="68"/>
  <c r="Y57" i="68"/>
  <c r="L22" i="27"/>
  <c r="L49" i="27" s="1"/>
  <c r="N19" i="27"/>
  <c r="M18" i="27"/>
  <c r="M44" i="27" s="1"/>
  <c r="Q20" i="27"/>
  <c r="O78" i="27" l="1"/>
  <c r="P90" i="27"/>
  <c r="P77" i="27"/>
  <c r="R5" i="27"/>
  <c r="Q4" i="27"/>
  <c r="Q88" i="27" s="1"/>
  <c r="M22" i="27"/>
  <c r="M49" i="27" s="1"/>
  <c r="O19" i="27"/>
  <c r="N18" i="27"/>
  <c r="N44" i="27" s="1"/>
  <c r="R20" i="27"/>
  <c r="P78" i="27" l="1"/>
  <c r="Q90" i="27"/>
  <c r="Q77" i="27"/>
  <c r="S5" i="27"/>
  <c r="R4" i="27"/>
  <c r="R88" i="27" s="1"/>
  <c r="N22" i="27"/>
  <c r="P19" i="27"/>
  <c r="O18" i="27"/>
  <c r="O44" i="27" s="1"/>
  <c r="S20" i="27"/>
  <c r="Q78" i="27" l="1"/>
  <c r="R90" i="27"/>
  <c r="R77" i="27"/>
  <c r="T5" i="27"/>
  <c r="S4" i="27"/>
  <c r="S88" i="27" s="1"/>
  <c r="O22" i="27"/>
  <c r="Q19" i="27"/>
  <c r="P18" i="27"/>
  <c r="P44" i="27" s="1"/>
  <c r="T20" i="27"/>
  <c r="R78" i="27" l="1"/>
  <c r="S77" i="27"/>
  <c r="S90" i="27"/>
  <c r="U5" i="27"/>
  <c r="T4" i="27"/>
  <c r="T88" i="27" s="1"/>
  <c r="R19" i="27"/>
  <c r="P22" i="27"/>
  <c r="Q18" i="27"/>
  <c r="Q44" i="27" s="1"/>
  <c r="U20" i="27"/>
  <c r="S78" i="27" l="1"/>
  <c r="T90" i="27"/>
  <c r="T77" i="27"/>
  <c r="V5" i="27"/>
  <c r="U4" i="27"/>
  <c r="U88" i="27" s="1"/>
  <c r="Q22" i="27"/>
  <c r="S19" i="27"/>
  <c r="R18" i="27"/>
  <c r="R44" i="27" s="1"/>
  <c r="V20" i="27"/>
  <c r="T78" i="27" l="1"/>
  <c r="U90" i="27"/>
  <c r="U77" i="27"/>
  <c r="W5" i="27"/>
  <c r="W4" i="27" s="1"/>
  <c r="W88" i="27" s="1"/>
  <c r="V4" i="27"/>
  <c r="V88" i="27" s="1"/>
  <c r="R22" i="27"/>
  <c r="T19" i="27"/>
  <c r="S18" i="27"/>
  <c r="S44" i="27" s="1"/>
  <c r="W20" i="27"/>
  <c r="U78" i="27" l="1"/>
  <c r="V90" i="27"/>
  <c r="W90" i="27" s="1"/>
  <c r="V77" i="27"/>
  <c r="W77" i="27"/>
  <c r="X88" i="27"/>
  <c r="S22" i="27"/>
  <c r="U19" i="27"/>
  <c r="T18" i="27"/>
  <c r="T44" i="27" s="1"/>
  <c r="X20" i="27"/>
  <c r="X77" i="27" l="1"/>
  <c r="V78" i="27"/>
  <c r="W78" i="27" s="1"/>
  <c r="T22" i="27"/>
  <c r="V19" i="27"/>
  <c r="U18" i="27"/>
  <c r="U44" i="27" s="1"/>
  <c r="X78" i="27" l="1"/>
  <c r="C106" i="62"/>
  <c r="D138" i="62" s="1"/>
  <c r="U22" i="27"/>
  <c r="W19" i="27"/>
  <c r="V18" i="27"/>
  <c r="V44" i="27" s="1"/>
  <c r="D131" i="62" l="1"/>
  <c r="B41" i="61"/>
  <c r="C112" i="62" s="1"/>
  <c r="V22" i="27"/>
  <c r="X19" i="27"/>
  <c r="W18" i="27"/>
  <c r="W44" i="27" s="1"/>
  <c r="W22" i="27" l="1"/>
  <c r="X22" i="27" s="1"/>
  <c r="X18" i="27"/>
  <c r="X49" i="27" l="1"/>
  <c r="X65" i="27"/>
  <c r="X60" i="27" l="1"/>
  <c r="X44" i="27" l="1"/>
  <c r="X91" i="27" l="1"/>
  <c r="X90" i="27"/>
  <c r="B53" i="61" s="1"/>
  <c r="I19" i="44" l="1"/>
  <c r="I21" i="44" s="1"/>
  <c r="E19" i="44"/>
  <c r="E22" i="44" s="1"/>
  <c r="E21" i="44" l="1"/>
  <c r="I22" i="44"/>
  <c r="H19" i="44"/>
  <c r="H22" i="44" s="1"/>
  <c r="D19" i="44"/>
  <c r="H21" i="44" l="1"/>
  <c r="D22" i="44"/>
  <c r="D21" i="44"/>
  <c r="G19" i="44"/>
  <c r="G21" i="44" s="1"/>
  <c r="C19" i="44"/>
  <c r="C22" i="44" s="1"/>
  <c r="C21" i="44" l="1"/>
  <c r="C23" i="44" s="1"/>
  <c r="G22" i="44"/>
  <c r="C24" i="44" s="1"/>
  <c r="E5" i="43" s="1"/>
  <c r="G5" i="43" l="1"/>
  <c r="H5" i="43" l="1"/>
  <c r="G4" i="43"/>
  <c r="C6" i="42" s="1"/>
  <c r="H4" i="43" l="1"/>
  <c r="G6" i="42"/>
  <c r="H6" i="42" s="1"/>
  <c r="I6" i="42" s="1"/>
  <c r="BG163" i="44"/>
  <c r="E55" i="44"/>
  <c r="A56" i="44"/>
  <c r="B56" i="44" l="1"/>
  <c r="C56" i="44" s="1"/>
  <c r="E12" i="43" s="1"/>
  <c r="BG164" i="44"/>
  <c r="G91" i="43"/>
  <c r="F14" i="43"/>
  <c r="G14" i="43" s="1"/>
  <c r="H14" i="43" s="1"/>
  <c r="A58" i="43"/>
  <c r="F36" i="43"/>
  <c r="G36" i="43" s="1"/>
  <c r="E58" i="43"/>
  <c r="G58" i="43" s="1"/>
  <c r="F60" i="43"/>
  <c r="G60" i="43" s="1"/>
  <c r="H60" i="43" s="1"/>
  <c r="Q88" i="44" l="1"/>
  <c r="E89" i="44" s="1"/>
  <c r="D56" i="44"/>
  <c r="F45" i="43" s="1"/>
  <c r="G85" i="43"/>
  <c r="H91" i="43"/>
  <c r="J45" i="43"/>
  <c r="E22" i="43"/>
  <c r="G34" i="43"/>
  <c r="H36" i="43"/>
  <c r="G57" i="43"/>
  <c r="H58" i="43"/>
  <c r="F48" i="43" l="1"/>
  <c r="G48" i="43" s="1"/>
  <c r="H48" i="43" s="1"/>
  <c r="L29" i="38"/>
  <c r="M29" i="38" s="1"/>
  <c r="F22" i="43"/>
  <c r="G22" i="43" s="1"/>
  <c r="H22" i="43" s="1"/>
  <c r="Q91" i="44"/>
  <c r="H93" i="44" s="1"/>
  <c r="I89" i="44"/>
  <c r="D89" i="44"/>
  <c r="H89" i="44"/>
  <c r="F89" i="44"/>
  <c r="F12" i="43"/>
  <c r="G12" i="43" s="1"/>
  <c r="G11" i="43" s="1"/>
  <c r="K89" i="44"/>
  <c r="G89" i="44"/>
  <c r="L89" i="44"/>
  <c r="C89" i="44"/>
  <c r="J89" i="44"/>
  <c r="C15" i="42"/>
  <c r="G15" i="42" s="1"/>
  <c r="H85" i="43"/>
  <c r="C11" i="42"/>
  <c r="H57" i="43"/>
  <c r="H34" i="43"/>
  <c r="C9" i="42"/>
  <c r="I93" i="44" l="1"/>
  <c r="F93" i="44"/>
  <c r="G93" i="44"/>
  <c r="L93" i="44"/>
  <c r="M93" i="44"/>
  <c r="O93" i="44"/>
  <c r="D93" i="44"/>
  <c r="C93" i="44"/>
  <c r="E93" i="44"/>
  <c r="J93" i="44"/>
  <c r="N93" i="44"/>
  <c r="R88" i="44"/>
  <c r="AA119" i="44" s="1"/>
  <c r="F143" i="44" s="1"/>
  <c r="P93" i="44"/>
  <c r="G18" i="43"/>
  <c r="C12" i="42" s="1"/>
  <c r="H15" i="42"/>
  <c r="I15" i="42" s="1"/>
  <c r="H12" i="43"/>
  <c r="G11" i="42"/>
  <c r="G9" i="42"/>
  <c r="H11" i="43"/>
  <c r="C7" i="42"/>
  <c r="R91" i="44" l="1"/>
  <c r="P150" i="44"/>
  <c r="O150" i="44"/>
  <c r="M150" i="44"/>
  <c r="J150" i="44"/>
  <c r="I143" i="44"/>
  <c r="Q150" i="44"/>
  <c r="L143" i="44"/>
  <c r="Q143" i="44"/>
  <c r="K143" i="44"/>
  <c r="B45" i="43"/>
  <c r="H150" i="44"/>
  <c r="T88" i="44"/>
  <c r="E45" i="43" s="1"/>
  <c r="G45" i="43" s="1"/>
  <c r="H45" i="43" s="1"/>
  <c r="R143" i="44"/>
  <c r="N150" i="44"/>
  <c r="O143" i="44"/>
  <c r="D143" i="44"/>
  <c r="P143" i="44"/>
  <c r="K150" i="44"/>
  <c r="L150" i="44"/>
  <c r="J143" i="44"/>
  <c r="H143" i="44"/>
  <c r="E150" i="44"/>
  <c r="C143" i="44"/>
  <c r="B150" i="44"/>
  <c r="X142" i="44" s="1"/>
  <c r="I150" i="44"/>
  <c r="F150" i="44"/>
  <c r="B143" i="44"/>
  <c r="C150" i="44"/>
  <c r="E143" i="44"/>
  <c r="G143" i="44"/>
  <c r="N143" i="44"/>
  <c r="R150" i="44"/>
  <c r="M143" i="44"/>
  <c r="G150" i="44"/>
  <c r="D150" i="44"/>
  <c r="H18" i="43"/>
  <c r="AF12" i="39"/>
  <c r="AF13" i="39" s="1"/>
  <c r="G7" i="42"/>
  <c r="H9" i="42"/>
  <c r="I9" i="42" s="1"/>
  <c r="T91" i="44"/>
  <c r="B46" i="43"/>
  <c r="AA120" i="44"/>
  <c r="H11" i="42"/>
  <c r="I11" i="42" s="1"/>
  <c r="G12" i="42"/>
  <c r="X141" i="44" l="1"/>
  <c r="X148" i="44" s="1"/>
  <c r="G51" i="43" s="1"/>
  <c r="E46" i="43"/>
  <c r="G46" i="43" s="1"/>
  <c r="H46" i="43" s="1"/>
  <c r="H7" i="42"/>
  <c r="N142" i="44"/>
  <c r="H149" i="44"/>
  <c r="L142" i="44"/>
  <c r="D149" i="44"/>
  <c r="G142" i="44"/>
  <c r="G149" i="44"/>
  <c r="M142" i="44"/>
  <c r="P149" i="44"/>
  <c r="J149" i="44"/>
  <c r="H142" i="44"/>
  <c r="I142" i="44"/>
  <c r="R149" i="44"/>
  <c r="B142" i="44"/>
  <c r="I149" i="44"/>
  <c r="C142" i="44"/>
  <c r="F142" i="44"/>
  <c r="M149" i="44"/>
  <c r="K142" i="44"/>
  <c r="O142" i="44"/>
  <c r="B149" i="44"/>
  <c r="X143" i="44" s="1"/>
  <c r="C149" i="44"/>
  <c r="Q149" i="44"/>
  <c r="E142" i="44"/>
  <c r="J142" i="44"/>
  <c r="F149" i="44"/>
  <c r="L149" i="44"/>
  <c r="N149" i="44"/>
  <c r="K149" i="44"/>
  <c r="P142" i="44"/>
  <c r="R142" i="44"/>
  <c r="Q142" i="44"/>
  <c r="E149" i="44"/>
  <c r="D142" i="44"/>
  <c r="O149" i="44"/>
  <c r="H12" i="42"/>
  <c r="I12" i="42" s="1"/>
  <c r="H51" i="43" l="1"/>
  <c r="X149" i="44"/>
  <c r="B51" i="43" s="1"/>
  <c r="V141" i="44"/>
  <c r="V148" i="44" s="1"/>
  <c r="I7" i="42"/>
  <c r="G52" i="43" l="1"/>
  <c r="G44" i="43" s="1"/>
  <c r="V149" i="44"/>
  <c r="B52" i="43" s="1"/>
  <c r="H52" i="43" l="1"/>
  <c r="E122" i="43" l="1"/>
  <c r="G122" i="43" s="1"/>
  <c r="C10" i="42"/>
  <c r="H44" i="43"/>
  <c r="G10" i="42" l="1"/>
  <c r="G121" i="43"/>
  <c r="H122" i="43"/>
  <c r="H121" i="43" l="1"/>
  <c r="C21" i="42"/>
  <c r="C28" i="42" s="1"/>
  <c r="H10" i="42"/>
  <c r="I10" i="42" s="1"/>
  <c r="G21" i="42" l="1"/>
  <c r="G28" i="42" l="1"/>
  <c r="H28" i="42" s="1"/>
  <c r="C37" i="42"/>
  <c r="H21" i="42"/>
  <c r="I21" i="42" s="1"/>
  <c r="H35" i="42" l="1"/>
  <c r="K71" i="38" s="1"/>
  <c r="D16" i="42"/>
  <c r="C38" i="42"/>
  <c r="D23" i="42"/>
  <c r="D22" i="42"/>
  <c r="D20" i="42"/>
  <c r="D27" i="42"/>
  <c r="D26" i="42"/>
  <c r="D9" i="42"/>
  <c r="D19" i="42"/>
  <c r="D7" i="42"/>
  <c r="D11" i="42"/>
  <c r="D32" i="42"/>
  <c r="D34" i="42"/>
  <c r="D25" i="42"/>
  <c r="D13" i="42"/>
  <c r="D15" i="42"/>
  <c r="D14" i="42"/>
  <c r="D33" i="42"/>
  <c r="D29" i="42"/>
  <c r="D8" i="42"/>
  <c r="D12" i="42"/>
  <c r="D6" i="42"/>
  <c r="D24" i="42"/>
  <c r="D10" i="42"/>
  <c r="D21" i="42"/>
  <c r="I28" i="42"/>
  <c r="D28" i="42"/>
  <c r="D1" i="42" l="1"/>
  <c r="AA24" i="27"/>
  <c r="B16" i="61" s="1"/>
  <c r="AA25" i="27"/>
  <c r="B94" i="62"/>
  <c r="D120" i="62" s="1"/>
  <c r="H38" i="42"/>
  <c r="S24" i="39" l="1"/>
  <c r="G3" i="47"/>
  <c r="G14" i="47" s="1"/>
  <c r="H37" i="42"/>
  <c r="D26" i="68" l="1"/>
  <c r="D56" i="68" s="1"/>
  <c r="D23" i="27"/>
  <c r="E23" i="27"/>
  <c r="F23" i="27" s="1"/>
  <c r="G23" i="27" s="1"/>
  <c r="H23" i="27" s="1"/>
  <c r="I23" i="27" s="1"/>
  <c r="J23" i="27" s="1"/>
  <c r="K23" i="27" s="1"/>
  <c r="L23" i="27" s="1"/>
  <c r="M23" i="27" s="1"/>
  <c r="N23" i="27" s="1"/>
  <c r="O23" i="27" s="1"/>
  <c r="P23" i="27" s="1"/>
  <c r="Q23" i="27" s="1"/>
  <c r="R23" i="27" s="1"/>
  <c r="S23" i="27" s="1"/>
  <c r="T23" i="27" s="1"/>
  <c r="U23" i="27" s="1"/>
  <c r="V23" i="27" s="1"/>
  <c r="W23" i="27" s="1"/>
  <c r="J22" i="42"/>
  <c r="K22" i="42" s="1"/>
  <c r="D151" i="62"/>
  <c r="J24" i="42"/>
  <c r="K24" i="42" s="1"/>
  <c r="J16" i="42"/>
  <c r="K16" i="42" s="1"/>
  <c r="J23" i="42"/>
  <c r="K23" i="42" s="1"/>
  <c r="D153" i="62"/>
  <c r="J13" i="42"/>
  <c r="K13" i="42" s="1"/>
  <c r="C41" i="42"/>
  <c r="J19" i="42"/>
  <c r="K19" i="42" s="1"/>
  <c r="J14" i="42"/>
  <c r="K14" i="42" s="1"/>
  <c r="J34" i="42"/>
  <c r="K34" i="42" s="1"/>
  <c r="J25" i="42"/>
  <c r="K25" i="42" s="1"/>
  <c r="J9" i="42"/>
  <c r="K9" i="42" s="1"/>
  <c r="D152" i="62"/>
  <c r="J29" i="42"/>
  <c r="K29" i="42" s="1"/>
  <c r="S25" i="39"/>
  <c r="H16" i="53" s="1"/>
  <c r="J11" i="42"/>
  <c r="K11" i="42" s="1"/>
  <c r="J7" i="42"/>
  <c r="K7" i="42" s="1"/>
  <c r="J26" i="42"/>
  <c r="K26" i="42" s="1"/>
  <c r="J33" i="42"/>
  <c r="K33" i="42" s="1"/>
  <c r="D156" i="62"/>
  <c r="D154" i="62"/>
  <c r="J15" i="42"/>
  <c r="K15" i="42" s="1"/>
  <c r="J20" i="42"/>
  <c r="K20" i="42" s="1"/>
  <c r="B16" i="62"/>
  <c r="B91" i="62" s="1"/>
  <c r="D117" i="62" s="1"/>
  <c r="J32" i="42"/>
  <c r="K32" i="42" s="1"/>
  <c r="J8" i="42"/>
  <c r="K8" i="42" s="1"/>
  <c r="D155" i="62"/>
  <c r="J12" i="42"/>
  <c r="K12" i="42" s="1"/>
  <c r="J27" i="42"/>
  <c r="K27" i="42" s="1"/>
  <c r="J6" i="42"/>
  <c r="K6" i="42" s="1"/>
  <c r="B19" i="61"/>
  <c r="J10" i="42"/>
  <c r="K10" i="42" s="1"/>
  <c r="J21" i="42"/>
  <c r="K21" i="42" s="1"/>
  <c r="J28" i="42"/>
  <c r="K28" i="42" s="1"/>
  <c r="C16" i="27"/>
  <c r="E37" i="68" l="1"/>
  <c r="F37" i="68" s="1"/>
  <c r="D3" i="69"/>
  <c r="D11" i="69" s="1"/>
  <c r="E39" i="68"/>
  <c r="F39" i="68" s="1"/>
  <c r="E76" i="68"/>
  <c r="E60" i="68"/>
  <c r="D61" i="68"/>
  <c r="C43" i="42"/>
  <c r="V27" i="39" s="1"/>
  <c r="D17" i="27"/>
  <c r="D43" i="27" s="1"/>
  <c r="F17" i="27"/>
  <c r="F43" i="27" s="1"/>
  <c r="E17" i="27"/>
  <c r="E43" i="27" s="1"/>
  <c r="U33" i="39"/>
  <c r="U31" i="39"/>
  <c r="U34" i="39"/>
  <c r="U32" i="39"/>
  <c r="B7" i="66"/>
  <c r="B8" i="66" s="1"/>
  <c r="B11" i="66" s="1"/>
  <c r="U30" i="39"/>
  <c r="C24" i="27"/>
  <c r="J35" i="42"/>
  <c r="K35" i="42" s="1"/>
  <c r="D41" i="42"/>
  <c r="U24" i="39" s="1"/>
  <c r="V24" i="39"/>
  <c r="T46" i="39" l="1"/>
  <c r="T47" i="39" s="1"/>
  <c r="V43" i="39"/>
  <c r="S26" i="39"/>
  <c r="C42" i="42" s="1"/>
  <c r="E40" i="68"/>
  <c r="E58" i="68"/>
  <c r="E59" i="68"/>
  <c r="D4" i="69"/>
  <c r="C42" i="27" s="1"/>
  <c r="C50" i="27" s="1"/>
  <c r="E24" i="27"/>
  <c r="G37" i="68"/>
  <c r="F58" i="68"/>
  <c r="F59" i="68"/>
  <c r="G39" i="68"/>
  <c r="D65" i="68"/>
  <c r="F60" i="68"/>
  <c r="G60" i="68" s="1"/>
  <c r="H60" i="68" s="1"/>
  <c r="I60" i="68" s="1"/>
  <c r="J60" i="68" s="1"/>
  <c r="K60" i="68" s="1"/>
  <c r="L60" i="68" s="1"/>
  <c r="M60" i="68" s="1"/>
  <c r="N60" i="68" s="1"/>
  <c r="O60" i="68" s="1"/>
  <c r="D24" i="27"/>
  <c r="U35" i="39"/>
  <c r="F24" i="27"/>
  <c r="C25" i="27"/>
  <c r="V26" i="39" l="1"/>
  <c r="D42" i="42"/>
  <c r="U26" i="39" s="1"/>
  <c r="C44" i="42"/>
  <c r="V25" i="39" s="1"/>
  <c r="E61" i="68"/>
  <c r="E77" i="68" s="1"/>
  <c r="E78" i="68" s="1"/>
  <c r="F15" i="69"/>
  <c r="L15" i="69" s="1"/>
  <c r="D85" i="68"/>
  <c r="G59" i="68"/>
  <c r="H39" i="68"/>
  <c r="F61" i="68"/>
  <c r="H37" i="68"/>
  <c r="G58" i="68"/>
  <c r="P60" i="68"/>
  <c r="D25" i="27"/>
  <c r="E25" i="27" s="1"/>
  <c r="F25" i="27" s="1"/>
  <c r="F5" i="61"/>
  <c r="G24" i="27"/>
  <c r="V41" i="39" l="1"/>
  <c r="V42" i="39"/>
  <c r="T41" i="39"/>
  <c r="T44" i="39" s="1"/>
  <c r="T45" i="39" s="1"/>
  <c r="D44" i="42"/>
  <c r="U25" i="39" s="1"/>
  <c r="D9" i="69"/>
  <c r="G15" i="69"/>
  <c r="D16" i="69" s="1"/>
  <c r="G61" i="68"/>
  <c r="G77" i="68" s="1"/>
  <c r="E79" i="68"/>
  <c r="E63" i="68" s="1"/>
  <c r="F75" i="68"/>
  <c r="H59" i="68"/>
  <c r="I39" i="68"/>
  <c r="H58" i="68"/>
  <c r="I37" i="68"/>
  <c r="F77" i="68"/>
  <c r="Q60" i="68"/>
  <c r="D94" i="68"/>
  <c r="D103" i="68"/>
  <c r="D87" i="68"/>
  <c r="D100" i="68"/>
  <c r="D102" i="68"/>
  <c r="D89" i="68"/>
  <c r="D92" i="68"/>
  <c r="D104" i="68"/>
  <c r="D91" i="68"/>
  <c r="D105" i="68"/>
  <c r="D97" i="68"/>
  <c r="D101" i="68"/>
  <c r="D95" i="68"/>
  <c r="D93" i="68"/>
  <c r="D99" i="68"/>
  <c r="D90" i="68"/>
  <c r="D96" i="68"/>
  <c r="D106" i="68"/>
  <c r="D88" i="68"/>
  <c r="D98" i="68"/>
  <c r="G25" i="27"/>
  <c r="H24" i="27"/>
  <c r="F16" i="69" l="1"/>
  <c r="N27" i="69"/>
  <c r="E16" i="69"/>
  <c r="I16" i="69"/>
  <c r="H61" i="68"/>
  <c r="H77" i="68" s="1"/>
  <c r="J37" i="68"/>
  <c r="I58" i="68"/>
  <c r="F78" i="68"/>
  <c r="E65" i="68"/>
  <c r="R60" i="68"/>
  <c r="J39" i="68"/>
  <c r="I59" i="68"/>
  <c r="H25" i="27"/>
  <c r="I24" i="27"/>
  <c r="L16" i="69" l="1"/>
  <c r="G16" i="69"/>
  <c r="D17" i="69" s="1"/>
  <c r="I17" i="69" s="1"/>
  <c r="K39" i="68"/>
  <c r="J59" i="68"/>
  <c r="I61" i="68"/>
  <c r="S60" i="68"/>
  <c r="Y60" i="68" s="1"/>
  <c r="K37" i="68"/>
  <c r="J58" i="68"/>
  <c r="E85" i="68"/>
  <c r="E67" i="68"/>
  <c r="G75" i="68"/>
  <c r="G78" i="68" s="1"/>
  <c r="F79" i="68"/>
  <c r="F63" i="68" s="1"/>
  <c r="I25" i="27"/>
  <c r="J24" i="27"/>
  <c r="E17" i="69" l="1"/>
  <c r="F17" i="69"/>
  <c r="L17" i="69" s="1"/>
  <c r="AB60" i="68"/>
  <c r="I77" i="68"/>
  <c r="K59" i="68"/>
  <c r="L39" i="68"/>
  <c r="H75" i="68"/>
  <c r="H78" i="68" s="1"/>
  <c r="G79" i="68"/>
  <c r="G63" i="68" s="1"/>
  <c r="G65" i="68" s="1"/>
  <c r="G85" i="68" s="1"/>
  <c r="E103" i="68"/>
  <c r="E98" i="68"/>
  <c r="E99" i="68"/>
  <c r="E106" i="68"/>
  <c r="E100" i="68"/>
  <c r="E91" i="68"/>
  <c r="E101" i="68"/>
  <c r="E96" i="68"/>
  <c r="E88" i="68"/>
  <c r="E89" i="68"/>
  <c r="E90" i="68"/>
  <c r="E105" i="68"/>
  <c r="E92" i="68"/>
  <c r="E95" i="68"/>
  <c r="E87" i="68"/>
  <c r="C87" i="68" s="1"/>
  <c r="E94" i="68"/>
  <c r="E97" i="68"/>
  <c r="E102" i="68"/>
  <c r="E93" i="68"/>
  <c r="E104" i="68"/>
  <c r="F65" i="68"/>
  <c r="J61" i="68"/>
  <c r="J77" i="68" s="1"/>
  <c r="K58" i="68"/>
  <c r="L37" i="68"/>
  <c r="J25" i="27"/>
  <c r="K24" i="27"/>
  <c r="G17" i="69" l="1"/>
  <c r="D18" i="69" s="1"/>
  <c r="I18" i="69" s="1"/>
  <c r="G97" i="68"/>
  <c r="G90" i="68"/>
  <c r="G89" i="68"/>
  <c r="G96" i="68"/>
  <c r="G98" i="68"/>
  <c r="G101" i="68"/>
  <c r="G102" i="68"/>
  <c r="G105" i="68"/>
  <c r="G100" i="68"/>
  <c r="G106" i="68"/>
  <c r="G95" i="68"/>
  <c r="G91" i="68"/>
  <c r="G94" i="68"/>
  <c r="G103" i="68"/>
  <c r="G93" i="68"/>
  <c r="G92" i="68"/>
  <c r="G104" i="68"/>
  <c r="G99" i="68"/>
  <c r="I75" i="68"/>
  <c r="I78" i="68" s="1"/>
  <c r="H79" i="68"/>
  <c r="H63" i="68" s="1"/>
  <c r="F85" i="68"/>
  <c r="M39" i="68"/>
  <c r="L59" i="68"/>
  <c r="F67" i="68"/>
  <c r="G67" i="68" s="1"/>
  <c r="M37" i="68"/>
  <c r="L58" i="68"/>
  <c r="K61" i="68"/>
  <c r="K25" i="27"/>
  <c r="L24" i="27"/>
  <c r="E18" i="69" l="1"/>
  <c r="F18" i="69"/>
  <c r="L18" i="69" s="1"/>
  <c r="F105" i="68"/>
  <c r="F91" i="68"/>
  <c r="F97" i="68"/>
  <c r="F89" i="68"/>
  <c r="C89" i="68" s="1"/>
  <c r="F101" i="68"/>
  <c r="F106" i="68"/>
  <c r="F93" i="68"/>
  <c r="F104" i="68"/>
  <c r="F102" i="68"/>
  <c r="F88" i="68"/>
  <c r="C88" i="68" s="1"/>
  <c r="F96" i="68"/>
  <c r="F95" i="68"/>
  <c r="F94" i="68"/>
  <c r="F103" i="68"/>
  <c r="F90" i="68"/>
  <c r="F92" i="68"/>
  <c r="F100" i="68"/>
  <c r="F98" i="68"/>
  <c r="F99" i="68"/>
  <c r="K77" i="68"/>
  <c r="I79" i="68"/>
  <c r="I63" i="68" s="1"/>
  <c r="I65" i="68" s="1"/>
  <c r="J75" i="68"/>
  <c r="J78" i="68" s="1"/>
  <c r="H65" i="68"/>
  <c r="L61" i="68"/>
  <c r="L77" i="68" s="1"/>
  <c r="M59" i="68"/>
  <c r="N39" i="68"/>
  <c r="N37" i="68"/>
  <c r="M58" i="68"/>
  <c r="L25" i="27"/>
  <c r="M24" i="27"/>
  <c r="N48" i="27"/>
  <c r="G18" i="69" l="1"/>
  <c r="D19" i="69" s="1"/>
  <c r="I19" i="69" s="1"/>
  <c r="N50" i="27"/>
  <c r="O37" i="68"/>
  <c r="N58" i="68"/>
  <c r="N59" i="68"/>
  <c r="O39" i="68"/>
  <c r="H85" i="68"/>
  <c r="H67" i="68"/>
  <c r="I67" i="68" s="1"/>
  <c r="J79" i="68"/>
  <c r="J63" i="68" s="1"/>
  <c r="K75" i="68"/>
  <c r="K78" i="68" s="1"/>
  <c r="I85" i="68"/>
  <c r="M61" i="68"/>
  <c r="M77" i="68" s="1"/>
  <c r="M25" i="27"/>
  <c r="N24" i="27"/>
  <c r="O48" i="27"/>
  <c r="O50" i="27" s="1"/>
  <c r="E19" i="69" l="1"/>
  <c r="F19" i="69"/>
  <c r="L19" i="69" s="1"/>
  <c r="H106" i="68"/>
  <c r="H92" i="68"/>
  <c r="H91" i="68"/>
  <c r="H104" i="68"/>
  <c r="H105" i="68"/>
  <c r="H94" i="68"/>
  <c r="H102" i="68"/>
  <c r="H101" i="68"/>
  <c r="H95" i="68"/>
  <c r="H96" i="68"/>
  <c r="H100" i="68"/>
  <c r="H103" i="68"/>
  <c r="H98" i="68"/>
  <c r="H97" i="68"/>
  <c r="H93" i="68"/>
  <c r="H90" i="68"/>
  <c r="C90" i="68" s="1"/>
  <c r="H99" i="68"/>
  <c r="P39" i="68"/>
  <c r="O59" i="68"/>
  <c r="K79" i="68"/>
  <c r="K63" i="68" s="1"/>
  <c r="K65" i="68" s="1"/>
  <c r="K85" i="68" s="1"/>
  <c r="L75" i="68"/>
  <c r="L78" i="68" s="1"/>
  <c r="J65" i="68"/>
  <c r="J67" i="68" s="1"/>
  <c r="N61" i="68"/>
  <c r="N77" i="68" s="1"/>
  <c r="I91" i="68"/>
  <c r="I94" i="68"/>
  <c r="I101" i="68"/>
  <c r="I106" i="68"/>
  <c r="I100" i="68"/>
  <c r="I98" i="68"/>
  <c r="I97" i="68"/>
  <c r="I102" i="68"/>
  <c r="I96" i="68"/>
  <c r="I105" i="68"/>
  <c r="I95" i="68"/>
  <c r="I104" i="68"/>
  <c r="I93" i="68"/>
  <c r="I99" i="68"/>
  <c r="I103" i="68"/>
  <c r="I92" i="68"/>
  <c r="O58" i="68"/>
  <c r="P37" i="68"/>
  <c r="N25" i="27"/>
  <c r="O24" i="27"/>
  <c r="P48" i="27"/>
  <c r="G19" i="69" l="1"/>
  <c r="D20" i="69" s="1"/>
  <c r="I20" i="69" s="1"/>
  <c r="P50" i="27"/>
  <c r="K67" i="68"/>
  <c r="C91" i="68"/>
  <c r="O61" i="68"/>
  <c r="J85" i="68"/>
  <c r="L79" i="68"/>
  <c r="L63" i="68" s="1"/>
  <c r="M75" i="68"/>
  <c r="M78" i="68" s="1"/>
  <c r="K101" i="68"/>
  <c r="K102" i="68"/>
  <c r="K94" i="68"/>
  <c r="K95" i="68"/>
  <c r="K99" i="68"/>
  <c r="K93" i="68"/>
  <c r="K103" i="68"/>
  <c r="K96" i="68"/>
  <c r="K104" i="68"/>
  <c r="K105" i="68"/>
  <c r="K98" i="68"/>
  <c r="K106" i="68"/>
  <c r="K97" i="68"/>
  <c r="K100" i="68"/>
  <c r="P58" i="68"/>
  <c r="Q37" i="68"/>
  <c r="Q39" i="68"/>
  <c r="P59" i="68"/>
  <c r="O25" i="27"/>
  <c r="P24" i="27"/>
  <c r="Q48" i="27"/>
  <c r="Q50" i="27" s="1"/>
  <c r="E20" i="69" l="1"/>
  <c r="F20" i="69"/>
  <c r="L20" i="69" s="1"/>
  <c r="P61" i="68"/>
  <c r="P77" i="68" s="1"/>
  <c r="J98" i="68"/>
  <c r="J102" i="68"/>
  <c r="J104" i="68"/>
  <c r="J97" i="68"/>
  <c r="J99" i="68"/>
  <c r="J96" i="68"/>
  <c r="J101" i="68"/>
  <c r="J95" i="68"/>
  <c r="J94" i="68"/>
  <c r="J93" i="68"/>
  <c r="C93" i="68" s="1"/>
  <c r="J105" i="68"/>
  <c r="J103" i="68"/>
  <c r="J100" i="68"/>
  <c r="J92" i="68"/>
  <c r="C92" i="68" s="1"/>
  <c r="J106" i="68"/>
  <c r="R39" i="68"/>
  <c r="Q59" i="68"/>
  <c r="R37" i="68"/>
  <c r="Q58" i="68"/>
  <c r="O77" i="68"/>
  <c r="L65" i="68"/>
  <c r="M79" i="68"/>
  <c r="M63" i="68" s="1"/>
  <c r="M65" i="68" s="1"/>
  <c r="M85" i="68" s="1"/>
  <c r="N75" i="68"/>
  <c r="N78" i="68" s="1"/>
  <c r="Q24" i="27"/>
  <c r="R48" i="27"/>
  <c r="R50" i="27" s="1"/>
  <c r="P25" i="27"/>
  <c r="G20" i="69" l="1"/>
  <c r="D21" i="69" s="1"/>
  <c r="E21" i="69" s="1"/>
  <c r="Q61" i="68"/>
  <c r="S37" i="68"/>
  <c r="R58" i="68"/>
  <c r="L85" i="68"/>
  <c r="L67" i="68"/>
  <c r="M67" i="68" s="1"/>
  <c r="R59" i="68"/>
  <c r="S39" i="68"/>
  <c r="O75" i="68"/>
  <c r="N79" i="68"/>
  <c r="N63" i="68" s="1"/>
  <c r="N65" i="68" s="1"/>
  <c r="N85" i="68" s="1"/>
  <c r="M99" i="68"/>
  <c r="M105" i="68"/>
  <c r="M104" i="68"/>
  <c r="M97" i="68"/>
  <c r="M95" i="68"/>
  <c r="M103" i="68"/>
  <c r="M96" i="68"/>
  <c r="M101" i="68"/>
  <c r="M106" i="68"/>
  <c r="M102" i="68"/>
  <c r="M98" i="68"/>
  <c r="M100" i="68"/>
  <c r="Q25" i="27"/>
  <c r="S48" i="27"/>
  <c r="S50" i="27" s="1"/>
  <c r="R24" i="27"/>
  <c r="F21" i="69" l="1"/>
  <c r="G21" i="69" s="1"/>
  <c r="D22" i="69" s="1"/>
  <c r="I22" i="69" s="1"/>
  <c r="I21" i="69"/>
  <c r="N67" i="68"/>
  <c r="L95" i="68"/>
  <c r="C95" i="68" s="1"/>
  <c r="L94" i="68"/>
  <c r="C94" i="68" s="1"/>
  <c r="L106" i="68"/>
  <c r="L104" i="68"/>
  <c r="L97" i="68"/>
  <c r="L103" i="68"/>
  <c r="L98" i="68"/>
  <c r="L99" i="68"/>
  <c r="L105" i="68"/>
  <c r="L96" i="68"/>
  <c r="L102" i="68"/>
  <c r="L100" i="68"/>
  <c r="L101" i="68"/>
  <c r="R61" i="68"/>
  <c r="R77" i="68" s="1"/>
  <c r="N104" i="68"/>
  <c r="N100" i="68"/>
  <c r="N105" i="68"/>
  <c r="N97" i="68"/>
  <c r="N99" i="68"/>
  <c r="N102" i="68"/>
  <c r="N103" i="68"/>
  <c r="N98" i="68"/>
  <c r="N101" i="68"/>
  <c r="N106" i="68"/>
  <c r="N96" i="68"/>
  <c r="T37" i="68"/>
  <c r="U37" i="68" s="1"/>
  <c r="V37" i="68" s="1"/>
  <c r="W37" i="68" s="1"/>
  <c r="X37" i="68" s="1"/>
  <c r="AB37" i="68" s="1"/>
  <c r="S58" i="68"/>
  <c r="O78" i="68"/>
  <c r="Q77" i="68"/>
  <c r="S59" i="68"/>
  <c r="T39" i="68"/>
  <c r="U39" i="68" s="1"/>
  <c r="V39" i="68" s="1"/>
  <c r="W39" i="68" s="1"/>
  <c r="X39" i="68" s="1"/>
  <c r="AB39" i="68" s="1"/>
  <c r="R25" i="27"/>
  <c r="T48" i="27"/>
  <c r="T50" i="27" s="1"/>
  <c r="S24" i="27"/>
  <c r="F22" i="69" l="1"/>
  <c r="L22" i="69" s="1"/>
  <c r="E22" i="69"/>
  <c r="L21" i="69"/>
  <c r="C96" i="68"/>
  <c r="S61" i="68"/>
  <c r="AB58" i="68"/>
  <c r="Y58" i="68"/>
  <c r="AB59" i="68"/>
  <c r="Y59" i="68"/>
  <c r="O79" i="68"/>
  <c r="P75" i="68"/>
  <c r="S25" i="27"/>
  <c r="U48" i="27"/>
  <c r="U50" i="27" s="1"/>
  <c r="T24" i="27"/>
  <c r="G22" i="69" l="1"/>
  <c r="D23" i="69" s="1"/>
  <c r="E23" i="69" s="1"/>
  <c r="O63" i="68"/>
  <c r="O65" i="68" s="1"/>
  <c r="P78" i="68"/>
  <c r="S77" i="68"/>
  <c r="AB61" i="68"/>
  <c r="D69" i="68"/>
  <c r="Y61" i="68"/>
  <c r="Y77" i="68" s="1"/>
  <c r="V48" i="27"/>
  <c r="V50" i="27" s="1"/>
  <c r="U24" i="27"/>
  <c r="T25" i="27"/>
  <c r="F23" i="69" l="1"/>
  <c r="I23" i="69"/>
  <c r="C15" i="68"/>
  <c r="G47" i="68"/>
  <c r="C105" i="27" s="1"/>
  <c r="P79" i="68"/>
  <c r="Q75" i="68"/>
  <c r="O85" i="68"/>
  <c r="O67" i="68"/>
  <c r="V24" i="27"/>
  <c r="W48" i="27"/>
  <c r="U25" i="27"/>
  <c r="L23" i="69" l="1"/>
  <c r="G23" i="69"/>
  <c r="D24" i="69" s="1"/>
  <c r="I24" i="69" s="1"/>
  <c r="W50" i="27"/>
  <c r="X48" i="27"/>
  <c r="Q78" i="68"/>
  <c r="P63" i="68"/>
  <c r="P65" i="68" s="1"/>
  <c r="P67" i="68" s="1"/>
  <c r="O106" i="68"/>
  <c r="O99" i="68"/>
  <c r="O98" i="68"/>
  <c r="O97" i="68"/>
  <c r="C97" i="68" s="1"/>
  <c r="O101" i="68"/>
  <c r="O104" i="68"/>
  <c r="O105" i="68"/>
  <c r="O100" i="68"/>
  <c r="O103" i="68"/>
  <c r="O102" i="68"/>
  <c r="V25" i="27"/>
  <c r="W24" i="27"/>
  <c r="AA23" i="27" s="1"/>
  <c r="X23" i="27"/>
  <c r="F24" i="69" l="1"/>
  <c r="E24" i="69"/>
  <c r="P85" i="68"/>
  <c r="Q79" i="68"/>
  <c r="R75" i="68"/>
  <c r="B13" i="61"/>
  <c r="F7" i="61"/>
  <c r="W25" i="27"/>
  <c r="X24" i="27"/>
  <c r="G24" i="69" l="1"/>
  <c r="D25" i="69" s="1"/>
  <c r="E25" i="69" s="1"/>
  <c r="L24" i="69"/>
  <c r="R78" i="68"/>
  <c r="Q63" i="68"/>
  <c r="Q65" i="68" s="1"/>
  <c r="P103" i="68"/>
  <c r="P99" i="68"/>
  <c r="P98" i="68"/>
  <c r="C98" i="68" s="1"/>
  <c r="P106" i="68"/>
  <c r="P102" i="68"/>
  <c r="P100" i="68"/>
  <c r="P104" i="68"/>
  <c r="P101" i="68"/>
  <c r="P105" i="68"/>
  <c r="B92" i="62"/>
  <c r="B117" i="62" s="1"/>
  <c r="X25" i="27"/>
  <c r="B22" i="61" s="1"/>
  <c r="B93" i="62" s="1"/>
  <c r="B120" i="62" s="1"/>
  <c r="F25" i="69" l="1"/>
  <c r="G25" i="69" s="1"/>
  <c r="D26" i="69" s="1"/>
  <c r="I26" i="69" s="1"/>
  <c r="I25" i="69"/>
  <c r="Q67" i="68"/>
  <c r="Q85" i="68"/>
  <c r="R79" i="68"/>
  <c r="S75" i="68"/>
  <c r="F26" i="69" l="1"/>
  <c r="E26" i="69"/>
  <c r="L25" i="69"/>
  <c r="S78" i="68"/>
  <c r="R63" i="68"/>
  <c r="R65" i="68" s="1"/>
  <c r="R67" i="68" s="1"/>
  <c r="Q99" i="68"/>
  <c r="C99" i="68" s="1"/>
  <c r="Q106" i="68"/>
  <c r="Q103" i="68"/>
  <c r="Q100" i="68"/>
  <c r="Q102" i="68"/>
  <c r="Q104" i="68"/>
  <c r="Q105" i="68"/>
  <c r="Q101" i="68"/>
  <c r="G26" i="69" l="1"/>
  <c r="D27" i="69" s="1"/>
  <c r="F27" i="69" s="1"/>
  <c r="P27" i="69" s="1"/>
  <c r="D46" i="27" s="1"/>
  <c r="B29" i="61" s="1"/>
  <c r="L26" i="69"/>
  <c r="R85" i="68"/>
  <c r="S79" i="68"/>
  <c r="T75" i="68"/>
  <c r="T78" i="68" s="1"/>
  <c r="E27" i="69" l="1"/>
  <c r="O27" i="69" s="1"/>
  <c r="Q27" i="69" s="1"/>
  <c r="D48" i="27"/>
  <c r="C99" i="62"/>
  <c r="I27" i="69"/>
  <c r="S27" i="69" s="1"/>
  <c r="D47" i="27" s="1"/>
  <c r="T79" i="68"/>
  <c r="T63" i="68" s="1"/>
  <c r="T65" i="68" s="1"/>
  <c r="T85" i="68" s="1"/>
  <c r="U75" i="68"/>
  <c r="U78" i="68" s="1"/>
  <c r="S63" i="68"/>
  <c r="S65" i="68" s="1"/>
  <c r="R104" i="68"/>
  <c r="R105" i="68"/>
  <c r="R106" i="68"/>
  <c r="R101" i="68"/>
  <c r="R102" i="68"/>
  <c r="R103" i="68"/>
  <c r="R100" i="68"/>
  <c r="C100" i="68" s="1"/>
  <c r="AA47" i="27"/>
  <c r="G27" i="69" l="1"/>
  <c r="D28" i="69" s="1"/>
  <c r="D50" i="27"/>
  <c r="D51" i="27" s="1"/>
  <c r="L27" i="69"/>
  <c r="D53" i="27"/>
  <c r="S67" i="68"/>
  <c r="T67" i="68" s="1"/>
  <c r="S85" i="68"/>
  <c r="V75" i="68"/>
  <c r="V78" i="68" s="1"/>
  <c r="U79" i="68"/>
  <c r="U63" i="68" s="1"/>
  <c r="U65" i="68" s="1"/>
  <c r="U85" i="68" s="1"/>
  <c r="T106" i="68"/>
  <c r="T104" i="68"/>
  <c r="T102" i="68"/>
  <c r="T105" i="68"/>
  <c r="T103" i="68"/>
  <c r="V27" i="69" l="1"/>
  <c r="I28" i="69"/>
  <c r="F28" i="69"/>
  <c r="N39" i="69"/>
  <c r="E28" i="69"/>
  <c r="U105" i="68"/>
  <c r="U106" i="68"/>
  <c r="U103" i="68"/>
  <c r="U104" i="68"/>
  <c r="V79" i="68"/>
  <c r="V63" i="68" s="1"/>
  <c r="V65" i="68" s="1"/>
  <c r="V85" i="68" s="1"/>
  <c r="W75" i="68"/>
  <c r="W78" i="68" s="1"/>
  <c r="S103" i="68"/>
  <c r="S101" i="68"/>
  <c r="C101" i="68" s="1"/>
  <c r="S105" i="68"/>
  <c r="S104" i="68"/>
  <c r="S106" i="68"/>
  <c r="S102" i="68"/>
  <c r="C102" i="68" s="1"/>
  <c r="U67" i="68"/>
  <c r="L28" i="69" l="1"/>
  <c r="G28" i="69"/>
  <c r="D29" i="69" s="1"/>
  <c r="V67" i="68"/>
  <c r="W79" i="68"/>
  <c r="W63" i="68" s="1"/>
  <c r="W65" i="68" s="1"/>
  <c r="W85" i="68" s="1"/>
  <c r="X75" i="68"/>
  <c r="V104" i="68"/>
  <c r="C104" i="68" s="1"/>
  <c r="V105" i="68"/>
  <c r="V106" i="68"/>
  <c r="C103" i="68"/>
  <c r="I29" i="69" l="1"/>
  <c r="F29" i="69"/>
  <c r="E29" i="69"/>
  <c r="X78" i="68"/>
  <c r="Y75" i="68"/>
  <c r="W106" i="68"/>
  <c r="W105" i="68"/>
  <c r="C105" i="68" s="1"/>
  <c r="W67" i="68"/>
  <c r="L29" i="69" l="1"/>
  <c r="G29" i="69"/>
  <c r="D30" i="69" s="1"/>
  <c r="I30" i="69" s="1"/>
  <c r="X79" i="68"/>
  <c r="Y78" i="68"/>
  <c r="F30" i="69" l="1"/>
  <c r="L30" i="69" s="1"/>
  <c r="E30" i="69"/>
  <c r="X63" i="68"/>
  <c r="Y79" i="68"/>
  <c r="Y63" i="68" s="1"/>
  <c r="G30" i="69" l="1"/>
  <c r="D31" i="69" s="1"/>
  <c r="X65" i="68"/>
  <c r="AB63" i="68"/>
  <c r="I31" i="69" l="1"/>
  <c r="E31" i="69"/>
  <c r="F31" i="69"/>
  <c r="X85" i="68"/>
  <c r="X106" i="68" s="1"/>
  <c r="C106" i="68" s="1"/>
  <c r="D70" i="68"/>
  <c r="D71" i="68"/>
  <c r="C4" i="68" s="1"/>
  <c r="AB65" i="68"/>
  <c r="Y65" i="68"/>
  <c r="X67" i="68"/>
  <c r="Y67" i="68" s="1"/>
  <c r="AB67" i="68" s="1"/>
  <c r="G31" i="69" l="1"/>
  <c r="D32" i="69" s="1"/>
  <c r="L31" i="69"/>
  <c r="I32" i="69" l="1"/>
  <c r="E32" i="69"/>
  <c r="F32" i="69"/>
  <c r="L32" i="69" l="1"/>
  <c r="G32" i="69"/>
  <c r="D33" i="69" s="1"/>
  <c r="F33" i="69" l="1"/>
  <c r="E33" i="69"/>
  <c r="I33" i="69"/>
  <c r="L33" i="69" l="1"/>
  <c r="G33" i="69"/>
  <c r="D34" i="69" s="1"/>
  <c r="F34" i="69" s="1"/>
  <c r="I34" i="69" l="1"/>
  <c r="L34" i="69" s="1"/>
  <c r="E34" i="69"/>
  <c r="G34" i="69" s="1"/>
  <c r="D35" i="69" s="1"/>
  <c r="F35" i="69" s="1"/>
  <c r="E35" i="69" l="1"/>
  <c r="G35" i="69" s="1"/>
  <c r="D36" i="69" s="1"/>
  <c r="I35" i="69"/>
  <c r="L35" i="69" s="1"/>
  <c r="F36" i="69" l="1"/>
  <c r="E36" i="69"/>
  <c r="I36" i="69"/>
  <c r="L36" i="69" l="1"/>
  <c r="G36" i="69"/>
  <c r="D37" i="69" s="1"/>
  <c r="F37" i="69" s="1"/>
  <c r="E37" i="69" l="1"/>
  <c r="G37" i="69" s="1"/>
  <c r="D38" i="69" s="1"/>
  <c r="I37" i="69"/>
  <c r="L37" i="69" s="1"/>
  <c r="I38" i="69" l="1"/>
  <c r="E38" i="69"/>
  <c r="F38" i="69"/>
  <c r="L38" i="69" l="1"/>
  <c r="G38" i="69"/>
  <c r="D39" i="69" s="1"/>
  <c r="F39" i="69" l="1"/>
  <c r="I39" i="69"/>
  <c r="S39" i="69" s="1"/>
  <c r="E47" i="27" s="1"/>
  <c r="E39" i="69"/>
  <c r="O39" i="69" s="1"/>
  <c r="G39" i="69" l="1"/>
  <c r="D40" i="69" s="1"/>
  <c r="F40" i="69" s="1"/>
  <c r="P39" i="69"/>
  <c r="E46" i="27" s="1"/>
  <c r="L39" i="69"/>
  <c r="N51" i="69" l="1"/>
  <c r="I40" i="69"/>
  <c r="L40" i="69" s="1"/>
  <c r="E40" i="69"/>
  <c r="G40" i="69" s="1"/>
  <c r="D41" i="69" s="1"/>
  <c r="I41" i="69" s="1"/>
  <c r="E48" i="27"/>
  <c r="E53" i="27" s="1"/>
  <c r="Q39" i="69"/>
  <c r="V39" i="69" s="1"/>
  <c r="E41" i="69" l="1"/>
  <c r="F41" i="69"/>
  <c r="L41" i="69" s="1"/>
  <c r="E50" i="27"/>
  <c r="E51" i="27" s="1"/>
  <c r="G41" i="69" l="1"/>
  <c r="D42" i="69" s="1"/>
  <c r="E42" i="69" s="1"/>
  <c r="F42" i="69" l="1"/>
  <c r="G42" i="69" s="1"/>
  <c r="D43" i="69" s="1"/>
  <c r="I42" i="69"/>
  <c r="L42" i="69" l="1"/>
  <c r="I43" i="69"/>
  <c r="F43" i="69"/>
  <c r="E43" i="69"/>
  <c r="L43" i="69" l="1"/>
  <c r="G43" i="69"/>
  <c r="D44" i="69" s="1"/>
  <c r="I44" i="69" s="1"/>
  <c r="F44" i="69" l="1"/>
  <c r="L44" i="69" s="1"/>
  <c r="E44" i="69"/>
  <c r="G44" i="69" l="1"/>
  <c r="D45" i="69" s="1"/>
  <c r="E45" i="69" s="1"/>
  <c r="F45" i="69" l="1"/>
  <c r="G45" i="69" s="1"/>
  <c r="D46" i="69" s="1"/>
  <c r="I45" i="69"/>
  <c r="L45" i="69" l="1"/>
  <c r="I46" i="69"/>
  <c r="F46" i="69"/>
  <c r="E46" i="69"/>
  <c r="G46" i="69" l="1"/>
  <c r="D47" i="69" s="1"/>
  <c r="I47" i="69" s="1"/>
  <c r="L46" i="69"/>
  <c r="E47" i="69" l="1"/>
  <c r="F47" i="69"/>
  <c r="L47" i="69" s="1"/>
  <c r="G47" i="69" l="1"/>
  <c r="D48" i="69" s="1"/>
  <c r="E48" i="69" s="1"/>
  <c r="F48" i="69" l="1"/>
  <c r="G48" i="69" s="1"/>
  <c r="D49" i="69" s="1"/>
  <c r="I48" i="69"/>
  <c r="L48" i="69" l="1"/>
  <c r="E49" i="69"/>
  <c r="I49" i="69"/>
  <c r="F49" i="69"/>
  <c r="G49" i="69" l="1"/>
  <c r="D50" i="69" s="1"/>
  <c r="I50" i="69" s="1"/>
  <c r="L49" i="69"/>
  <c r="E50" i="69" l="1"/>
  <c r="F50" i="69"/>
  <c r="L50" i="69" s="1"/>
  <c r="G50" i="69" l="1"/>
  <c r="D51" i="69" s="1"/>
  <c r="I51" i="69" l="1"/>
  <c r="S51" i="69" s="1"/>
  <c r="F47" i="27" s="1"/>
  <c r="E51" i="69"/>
  <c r="O51" i="69" s="1"/>
  <c r="F51" i="69"/>
  <c r="P51" i="69" l="1"/>
  <c r="F46" i="27" s="1"/>
  <c r="F48" i="27" s="1"/>
  <c r="F53" i="27" s="1"/>
  <c r="G51" i="69"/>
  <c r="D52" i="69" s="1"/>
  <c r="L51" i="69"/>
  <c r="F50" i="27" l="1"/>
  <c r="F51" i="27" s="1"/>
  <c r="I52" i="69"/>
  <c r="N63" i="69"/>
  <c r="E52" i="69"/>
  <c r="F52" i="69"/>
  <c r="Q51" i="69"/>
  <c r="V51" i="69" s="1"/>
  <c r="L52" i="69" l="1"/>
  <c r="G52" i="69"/>
  <c r="D53" i="69" s="1"/>
  <c r="F53" i="69" l="1"/>
  <c r="E53" i="69"/>
  <c r="I53" i="69"/>
  <c r="L53" i="69" l="1"/>
  <c r="G53" i="69"/>
  <c r="D54" i="69" s="1"/>
  <c r="I54" i="69" l="1"/>
  <c r="F54" i="69"/>
  <c r="E54" i="69"/>
  <c r="L54" i="69" l="1"/>
  <c r="G54" i="69"/>
  <c r="D55" i="69" s="1"/>
  <c r="I55" i="69" l="1"/>
  <c r="F55" i="69"/>
  <c r="E55" i="69"/>
  <c r="L55" i="69" l="1"/>
  <c r="G55" i="69"/>
  <c r="D56" i="69" s="1"/>
  <c r="E56" i="69" l="1"/>
  <c r="F56" i="69"/>
  <c r="I56" i="69"/>
  <c r="G56" i="69" l="1"/>
  <c r="D57" i="69" s="1"/>
  <c r="L56" i="69"/>
  <c r="I57" i="69" l="1"/>
  <c r="F57" i="69"/>
  <c r="E57" i="69"/>
  <c r="L57" i="69" l="1"/>
  <c r="G57" i="69"/>
  <c r="D58" i="69" s="1"/>
  <c r="I58" i="69" l="1"/>
  <c r="F58" i="69"/>
  <c r="E58" i="69"/>
  <c r="L58" i="69" l="1"/>
  <c r="G58" i="69"/>
  <c r="D59" i="69" s="1"/>
  <c r="E59" i="69" s="1"/>
  <c r="F59" i="69" l="1"/>
  <c r="G59" i="69" s="1"/>
  <c r="D60" i="69" s="1"/>
  <c r="I59" i="69"/>
  <c r="L59" i="69" l="1"/>
  <c r="I60" i="69"/>
  <c r="E60" i="69"/>
  <c r="F60" i="69"/>
  <c r="G60" i="69" l="1"/>
  <c r="D61" i="69" s="1"/>
  <c r="L60" i="69"/>
  <c r="F61" i="69" l="1"/>
  <c r="I61" i="69"/>
  <c r="E61" i="69"/>
  <c r="G61" i="69" l="1"/>
  <c r="D62" i="69" s="1"/>
  <c r="I62" i="69" s="1"/>
  <c r="L61" i="69"/>
  <c r="F62" i="69" l="1"/>
  <c r="L62" i="69" s="1"/>
  <c r="E62" i="69"/>
  <c r="G62" i="69" l="1"/>
  <c r="D63" i="69" s="1"/>
  <c r="F63" i="69" s="1"/>
  <c r="P63" i="69" s="1"/>
  <c r="G46" i="27" s="1"/>
  <c r="G48" i="27" s="1"/>
  <c r="E63" i="69" l="1"/>
  <c r="O63" i="69" s="1"/>
  <c r="Q63" i="69" s="1"/>
  <c r="I63" i="69"/>
  <c r="S63" i="69" s="1"/>
  <c r="G47" i="27" s="1"/>
  <c r="G53" i="27" s="1"/>
  <c r="G63" i="69" l="1"/>
  <c r="D64" i="69" s="1"/>
  <c r="F64" i="69" s="1"/>
  <c r="G50" i="27"/>
  <c r="G51" i="27" s="1"/>
  <c r="L63" i="69"/>
  <c r="N75" i="69" l="1"/>
  <c r="E64" i="69"/>
  <c r="G64" i="69" s="1"/>
  <c r="D65" i="69" s="1"/>
  <c r="I65" i="69" s="1"/>
  <c r="I64" i="69"/>
  <c r="L64" i="69" s="1"/>
  <c r="V63" i="69"/>
  <c r="E65" i="69" l="1"/>
  <c r="F65" i="69"/>
  <c r="L65" i="69" s="1"/>
  <c r="G65" i="69" l="1"/>
  <c r="D66" i="69" s="1"/>
  <c r="E66" i="69" s="1"/>
  <c r="F66" i="69" l="1"/>
  <c r="G66" i="69" s="1"/>
  <c r="D67" i="69" s="1"/>
  <c r="E67" i="69" s="1"/>
  <c r="I66" i="69"/>
  <c r="L66" i="69" l="1"/>
  <c r="I67" i="69"/>
  <c r="F67" i="69"/>
  <c r="G67" i="69" s="1"/>
  <c r="D68" i="69" s="1"/>
  <c r="E68" i="69" s="1"/>
  <c r="L67" i="69" l="1"/>
  <c r="F68" i="69"/>
  <c r="G68" i="69" s="1"/>
  <c r="D69" i="69" s="1"/>
  <c r="I68" i="69"/>
  <c r="L68" i="69" l="1"/>
  <c r="E69" i="69"/>
  <c r="I69" i="69"/>
  <c r="F69" i="69"/>
  <c r="L69" i="69" l="1"/>
  <c r="G69" i="69"/>
  <c r="D70" i="69" s="1"/>
  <c r="I70" i="69" l="1"/>
  <c r="E70" i="69"/>
  <c r="F70" i="69"/>
  <c r="L70" i="69" l="1"/>
  <c r="G70" i="69"/>
  <c r="D71" i="69" s="1"/>
  <c r="I71" i="69" s="1"/>
  <c r="E71" i="69" l="1"/>
  <c r="F71" i="69"/>
  <c r="L71" i="69" s="1"/>
  <c r="G71" i="69" l="1"/>
  <c r="D72" i="69" s="1"/>
  <c r="F72" i="69" s="1"/>
  <c r="E72" i="69" l="1"/>
  <c r="G72" i="69" s="1"/>
  <c r="D73" i="69" s="1"/>
  <c r="F73" i="69" s="1"/>
  <c r="I72" i="69"/>
  <c r="L72" i="69" s="1"/>
  <c r="I73" i="69" l="1"/>
  <c r="L73" i="69" s="1"/>
  <c r="E73" i="69"/>
  <c r="G73" i="69" s="1"/>
  <c r="D74" i="69" s="1"/>
  <c r="I74" i="69" l="1"/>
  <c r="F74" i="69"/>
  <c r="E74" i="69"/>
  <c r="L74" i="69" l="1"/>
  <c r="G74" i="69"/>
  <c r="D75" i="69" s="1"/>
  <c r="I75" i="69" s="1"/>
  <c r="S75" i="69" s="1"/>
  <c r="H47" i="27" s="1"/>
  <c r="E75" i="69" l="1"/>
  <c r="O75" i="69" s="1"/>
  <c r="F75" i="69"/>
  <c r="L75" i="69" s="1"/>
  <c r="G75" i="69" l="1"/>
  <c r="D76" i="69" s="1"/>
  <c r="E76" i="69" s="1"/>
  <c r="P75" i="69"/>
  <c r="N87" i="69" l="1"/>
  <c r="F76" i="69"/>
  <c r="G76" i="69" s="1"/>
  <c r="D77" i="69" s="1"/>
  <c r="F77" i="69" s="1"/>
  <c r="I76" i="69"/>
  <c r="H46" i="27"/>
  <c r="H48" i="27" s="1"/>
  <c r="H53" i="27" s="1"/>
  <c r="Q75" i="69"/>
  <c r="V75" i="69" s="1"/>
  <c r="L76" i="69" l="1"/>
  <c r="H50" i="27"/>
  <c r="H51" i="27" s="1"/>
  <c r="E77" i="69"/>
  <c r="G77" i="69" s="1"/>
  <c r="D78" i="69" s="1"/>
  <c r="I78" i="69" s="1"/>
  <c r="I77" i="69"/>
  <c r="L77" i="69" s="1"/>
  <c r="F78" i="69" l="1"/>
  <c r="L78" i="69" s="1"/>
  <c r="E78" i="69"/>
  <c r="G78" i="69" l="1"/>
  <c r="D79" i="69" s="1"/>
  <c r="I79" i="69" s="1"/>
  <c r="E79" i="69" l="1"/>
  <c r="F79" i="69"/>
  <c r="G79" i="69" l="1"/>
  <c r="D80" i="69" s="1"/>
  <c r="I80" i="69" s="1"/>
  <c r="L79" i="69"/>
  <c r="F80" i="69" l="1"/>
  <c r="L80" i="69" s="1"/>
  <c r="E80" i="69"/>
  <c r="G80" i="69" l="1"/>
  <c r="D81" i="69" s="1"/>
  <c r="I81" i="69" s="1"/>
  <c r="F81" i="69" l="1"/>
  <c r="L81" i="69" s="1"/>
  <c r="E81" i="69"/>
  <c r="G81" i="69" l="1"/>
  <c r="D82" i="69" s="1"/>
  <c r="F82" i="69" s="1"/>
  <c r="E82" i="69" l="1"/>
  <c r="G82" i="69" s="1"/>
  <c r="D83" i="69" s="1"/>
  <c r="I83" i="69" s="1"/>
  <c r="I82" i="69"/>
  <c r="L82" i="69" s="1"/>
  <c r="E83" i="69" l="1"/>
  <c r="F83" i="69"/>
  <c r="G83" i="69" l="1"/>
  <c r="D84" i="69" s="1"/>
  <c r="I84" i="69" s="1"/>
  <c r="L83" i="69"/>
  <c r="E84" i="69" l="1"/>
  <c r="F84" i="69"/>
  <c r="L84" i="69" s="1"/>
  <c r="G84" i="69" l="1"/>
  <c r="D85" i="69" s="1"/>
  <c r="F85" i="69" s="1"/>
  <c r="E85" i="69" l="1"/>
  <c r="G85" i="69" s="1"/>
  <c r="D86" i="69" s="1"/>
  <c r="I86" i="69" s="1"/>
  <c r="I85" i="69"/>
  <c r="L85" i="69" s="1"/>
  <c r="E86" i="69" l="1"/>
  <c r="F86" i="69"/>
  <c r="L86" i="69" s="1"/>
  <c r="G86" i="69" l="1"/>
  <c r="D87" i="69" s="1"/>
  <c r="F87" i="69" s="1"/>
  <c r="I87" i="69" l="1"/>
  <c r="S87" i="69" s="1"/>
  <c r="I47" i="27" s="1"/>
  <c r="E87" i="69"/>
  <c r="O87" i="69" s="1"/>
  <c r="P87" i="69"/>
  <c r="I46" i="27" s="1"/>
  <c r="L87" i="69" l="1"/>
  <c r="G87" i="69"/>
  <c r="D88" i="69" s="1"/>
  <c r="E88" i="69" s="1"/>
  <c r="Q87" i="69"/>
  <c r="I48" i="27"/>
  <c r="I50" i="27" s="1"/>
  <c r="I51" i="27" s="1"/>
  <c r="N99" i="69" l="1"/>
  <c r="I88" i="69"/>
  <c r="F88" i="69"/>
  <c r="G88" i="69" s="1"/>
  <c r="D89" i="69" s="1"/>
  <c r="F89" i="69" s="1"/>
  <c r="I53" i="27"/>
  <c r="E89" i="69" l="1"/>
  <c r="G89" i="69" s="1"/>
  <c r="D90" i="69" s="1"/>
  <c r="I89" i="69"/>
  <c r="L89" i="69" s="1"/>
  <c r="L88" i="69"/>
  <c r="I90" i="69" l="1"/>
  <c r="F90" i="69"/>
  <c r="E90" i="69"/>
  <c r="L90" i="69" l="1"/>
  <c r="G90" i="69"/>
  <c r="D91" i="69" s="1"/>
  <c r="I91" i="69" l="1"/>
  <c r="E91" i="69"/>
  <c r="F91" i="69"/>
  <c r="L91" i="69" l="1"/>
  <c r="G91" i="69"/>
  <c r="D92" i="69" s="1"/>
  <c r="F92" i="69" l="1"/>
  <c r="E92" i="69"/>
  <c r="I92" i="69"/>
  <c r="G92" i="69" l="1"/>
  <c r="D93" i="69" s="1"/>
  <c r="E93" i="69" s="1"/>
  <c r="L92" i="69"/>
  <c r="F93" i="69" l="1"/>
  <c r="G93" i="69" s="1"/>
  <c r="D94" i="69" s="1"/>
  <c r="I94" i="69" s="1"/>
  <c r="I93" i="69"/>
  <c r="L93" i="69" l="1"/>
  <c r="F94" i="69"/>
  <c r="L94" i="69" s="1"/>
  <c r="E94" i="69"/>
  <c r="G94" i="69" l="1"/>
  <c r="D95" i="69" s="1"/>
  <c r="I95" i="69" s="1"/>
  <c r="F95" i="69" l="1"/>
  <c r="L95" i="69" s="1"/>
  <c r="E95" i="69"/>
  <c r="G95" i="69" l="1"/>
  <c r="D96" i="69" s="1"/>
  <c r="I96" i="69" s="1"/>
  <c r="F96" i="69" l="1"/>
  <c r="L96" i="69" s="1"/>
  <c r="E96" i="69"/>
  <c r="G96" i="69" l="1"/>
  <c r="D97" i="69" s="1"/>
  <c r="F97" i="69" s="1"/>
  <c r="E97" i="69" l="1"/>
  <c r="G97" i="69" s="1"/>
  <c r="D98" i="69" s="1"/>
  <c r="I97" i="69"/>
  <c r="L97" i="69" s="1"/>
  <c r="E98" i="69" l="1"/>
  <c r="F98" i="69"/>
  <c r="I98" i="69"/>
  <c r="L98" i="69" l="1"/>
  <c r="G98" i="69"/>
  <c r="D99" i="69" s="1"/>
  <c r="I99" i="69" l="1"/>
  <c r="S99" i="69" s="1"/>
  <c r="J47" i="27" s="1"/>
  <c r="E99" i="69"/>
  <c r="F99" i="69"/>
  <c r="L99" i="69" l="1"/>
  <c r="G2" i="69" s="1"/>
  <c r="P99" i="69"/>
  <c r="J46" i="27" s="1"/>
  <c r="J48" i="27" s="1"/>
  <c r="J50" i="27" s="1"/>
  <c r="J51" i="27" s="1"/>
  <c r="O99" i="69"/>
  <c r="D10" i="69"/>
  <c r="G99" i="69"/>
  <c r="D100" i="69" s="1"/>
  <c r="Q99" i="69" l="1"/>
  <c r="J53" i="27"/>
  <c r="N111" i="69"/>
  <c r="F100" i="69"/>
  <c r="E100" i="69"/>
  <c r="I100" i="69"/>
  <c r="G100" i="69" l="1"/>
  <c r="D101" i="69" s="1"/>
  <c r="L100" i="69"/>
  <c r="I101" i="69" l="1"/>
  <c r="F101" i="69"/>
  <c r="E101" i="69"/>
  <c r="G101" i="69" l="1"/>
  <c r="D102" i="69" s="1"/>
  <c r="L101" i="69"/>
  <c r="I102" i="69" l="1"/>
  <c r="F102" i="69"/>
  <c r="E102" i="69"/>
  <c r="G102" i="69" l="1"/>
  <c r="D103" i="69" s="1"/>
  <c r="E103" i="69" s="1"/>
  <c r="L102" i="69"/>
  <c r="F103" i="69" l="1"/>
  <c r="G103" i="69" s="1"/>
  <c r="D104" i="69" s="1"/>
  <c r="I103" i="69"/>
  <c r="I104" i="69" l="1"/>
  <c r="E104" i="69"/>
  <c r="F104" i="69"/>
  <c r="L103" i="69"/>
  <c r="G104" i="69" l="1"/>
  <c r="D105" i="69" s="1"/>
  <c r="I105" i="69" s="1"/>
  <c r="L104" i="69"/>
  <c r="E105" i="69" l="1"/>
  <c r="F105" i="69"/>
  <c r="L105" i="69" s="1"/>
  <c r="G105" i="69" l="1"/>
  <c r="D106" i="69" s="1"/>
  <c r="E106" i="69" s="1"/>
  <c r="I106" i="69" l="1"/>
  <c r="F106" i="69"/>
  <c r="G106" i="69" s="1"/>
  <c r="D107" i="69" s="1"/>
  <c r="I107" i="69" s="1"/>
  <c r="L106" i="69" l="1"/>
  <c r="E107" i="69"/>
  <c r="F107" i="69"/>
  <c r="G107" i="69" l="1"/>
  <c r="D108" i="69" s="1"/>
  <c r="L107" i="69"/>
  <c r="E108" i="69" l="1"/>
  <c r="I108" i="69"/>
  <c r="F108" i="69"/>
  <c r="G108" i="69" l="1"/>
  <c r="D109" i="69" s="1"/>
  <c r="L108" i="69"/>
  <c r="I109" i="69" l="1"/>
  <c r="F109" i="69"/>
  <c r="E109" i="69"/>
  <c r="G109" i="69" l="1"/>
  <c r="D110" i="69" s="1"/>
  <c r="F110" i="69" s="1"/>
  <c r="L109" i="69"/>
  <c r="E110" i="69" l="1"/>
  <c r="G110" i="69" s="1"/>
  <c r="D111" i="69" s="1"/>
  <c r="F111" i="69" s="1"/>
  <c r="I110" i="69"/>
  <c r="L110" i="69" s="1"/>
  <c r="E111" i="69" l="1"/>
  <c r="O111" i="69" s="1"/>
  <c r="I111" i="69"/>
  <c r="S111" i="69" s="1"/>
  <c r="K47" i="27" s="1"/>
  <c r="P111" i="69"/>
  <c r="K46" i="27" s="1"/>
  <c r="L111" i="69" l="1"/>
  <c r="G111" i="69"/>
  <c r="D112" i="69" s="1"/>
  <c r="F112" i="69" s="1"/>
  <c r="K48" i="27"/>
  <c r="K53" i="27" s="1"/>
  <c r="Q111" i="69"/>
  <c r="E112" i="69" l="1"/>
  <c r="G112" i="69" s="1"/>
  <c r="D113" i="69" s="1"/>
  <c r="I113" i="69" s="1"/>
  <c r="N123" i="69"/>
  <c r="I112" i="69"/>
  <c r="L112" i="69" s="1"/>
  <c r="K50" i="27"/>
  <c r="K51" i="27" s="1"/>
  <c r="F113" i="69" l="1"/>
  <c r="L113" i="69" s="1"/>
  <c r="E113" i="69"/>
  <c r="G113" i="69" l="1"/>
  <c r="D114" i="69" s="1"/>
  <c r="E114" i="69" s="1"/>
  <c r="I114" i="69" l="1"/>
  <c r="F114" i="69"/>
  <c r="G114" i="69" s="1"/>
  <c r="D115" i="69" s="1"/>
  <c r="E115" i="69" s="1"/>
  <c r="F115" i="69" l="1"/>
  <c r="G115" i="69" s="1"/>
  <c r="D116" i="69" s="1"/>
  <c r="I115" i="69"/>
  <c r="L114" i="69"/>
  <c r="L115" i="69" l="1"/>
  <c r="F116" i="69"/>
  <c r="I116" i="69"/>
  <c r="E116" i="69"/>
  <c r="G116" i="69" l="1"/>
  <c r="D117" i="69" s="1"/>
  <c r="F117" i="69" s="1"/>
  <c r="L116" i="69"/>
  <c r="I117" i="69" l="1"/>
  <c r="L117" i="69" s="1"/>
  <c r="E117" i="69"/>
  <c r="G117" i="69" s="1"/>
  <c r="D118" i="69" s="1"/>
  <c r="E118" i="69" l="1"/>
  <c r="I118" i="69"/>
  <c r="F118" i="69"/>
  <c r="G118" i="69" l="1"/>
  <c r="D119" i="69" s="1"/>
  <c r="L118" i="69"/>
  <c r="F119" i="69" l="1"/>
  <c r="E119" i="69"/>
  <c r="I119" i="69"/>
  <c r="G119" i="69" l="1"/>
  <c r="D120" i="69" s="1"/>
  <c r="L119" i="69"/>
  <c r="I120" i="69" l="1"/>
  <c r="F120" i="69"/>
  <c r="E120" i="69"/>
  <c r="L120" i="69" l="1"/>
  <c r="G120" i="69"/>
  <c r="D121" i="69" s="1"/>
  <c r="I121" i="69" l="1"/>
  <c r="E121" i="69"/>
  <c r="F121" i="69"/>
  <c r="L121" i="69" l="1"/>
  <c r="G121" i="69"/>
  <c r="D122" i="69" s="1"/>
  <c r="I122" i="69" l="1"/>
  <c r="F122" i="69"/>
  <c r="E122" i="69"/>
  <c r="L122" i="69" l="1"/>
  <c r="G122" i="69"/>
  <c r="D123" i="69" s="1"/>
  <c r="X46" i="27"/>
  <c r="I123" i="69" l="1"/>
  <c r="S123" i="69" s="1"/>
  <c r="L47" i="27" s="1"/>
  <c r="F123" i="69"/>
  <c r="E123" i="69"/>
  <c r="O123" i="69" s="1"/>
  <c r="X50" i="27"/>
  <c r="P123" i="69" l="1"/>
  <c r="L46" i="27" s="1"/>
  <c r="L123" i="69"/>
  <c r="G123" i="69"/>
  <c r="D124" i="69" s="1"/>
  <c r="X62" i="27"/>
  <c r="X67" i="27"/>
  <c r="X66" i="27"/>
  <c r="E124" i="69" l="1"/>
  <c r="F124" i="69"/>
  <c r="N135" i="69"/>
  <c r="I124" i="69"/>
  <c r="L48" i="27"/>
  <c r="L50" i="27" s="1"/>
  <c r="L51" i="27" s="1"/>
  <c r="Q123" i="69"/>
  <c r="L53" i="27" l="1"/>
  <c r="G124" i="69"/>
  <c r="D125" i="69" s="1"/>
  <c r="L124" i="69"/>
  <c r="E125" i="69" l="1"/>
  <c r="F125" i="69"/>
  <c r="I125" i="69"/>
  <c r="G125" i="69" l="1"/>
  <c r="D126" i="69" s="1"/>
  <c r="E126" i="69" s="1"/>
  <c r="L125" i="69"/>
  <c r="F126" i="69" l="1"/>
  <c r="G126" i="69" s="1"/>
  <c r="D127" i="69" s="1"/>
  <c r="F127" i="69" s="1"/>
  <c r="I126" i="69"/>
  <c r="L126" i="69" l="1"/>
  <c r="E127" i="69"/>
  <c r="G127" i="69" s="1"/>
  <c r="D128" i="69" s="1"/>
  <c r="I127" i="69"/>
  <c r="L127" i="69" s="1"/>
  <c r="F128" i="69" l="1"/>
  <c r="E128" i="69"/>
  <c r="I128" i="69"/>
  <c r="L128" i="69" l="1"/>
  <c r="G128" i="69"/>
  <c r="D129" i="69" s="1"/>
  <c r="F129" i="69" s="1"/>
  <c r="I129" i="69" l="1"/>
  <c r="L129" i="69" s="1"/>
  <c r="E129" i="69"/>
  <c r="G129" i="69" s="1"/>
  <c r="D130" i="69" s="1"/>
  <c r="I130" i="69" s="1"/>
  <c r="F130" i="69" l="1"/>
  <c r="L130" i="69" s="1"/>
  <c r="E130" i="69"/>
  <c r="G130" i="69" l="1"/>
  <c r="D131" i="69" s="1"/>
  <c r="F131" i="69" s="1"/>
  <c r="E131" i="69" l="1"/>
  <c r="G131" i="69" s="1"/>
  <c r="D132" i="69" s="1"/>
  <c r="I132" i="69" s="1"/>
  <c r="I131" i="69"/>
  <c r="L131" i="69" s="1"/>
  <c r="E132" i="69" l="1"/>
  <c r="F132" i="69"/>
  <c r="L132" i="69" s="1"/>
  <c r="G132" i="69" l="1"/>
  <c r="D133" i="69" s="1"/>
  <c r="E133" i="69" s="1"/>
  <c r="F133" i="69" l="1"/>
  <c r="G133" i="69" s="1"/>
  <c r="D134" i="69" s="1"/>
  <c r="I133" i="69"/>
  <c r="L133" i="69" l="1"/>
  <c r="I134" i="69"/>
  <c r="F134" i="69"/>
  <c r="E134" i="69"/>
  <c r="L134" i="69" l="1"/>
  <c r="G134" i="69"/>
  <c r="D135" i="69" s="1"/>
  <c r="I135" i="69" l="1"/>
  <c r="S135" i="69" s="1"/>
  <c r="F135" i="69"/>
  <c r="E135" i="69"/>
  <c r="O135" i="69" s="1"/>
  <c r="G135" i="69" l="1"/>
  <c r="O137" i="69"/>
  <c r="L135" i="69"/>
  <c r="L137" i="69" s="1"/>
  <c r="P135" i="69"/>
  <c r="S137" i="69"/>
  <c r="M47" i="27"/>
  <c r="P137" i="69" l="1"/>
  <c r="M46" i="27"/>
  <c r="Q135" i="69"/>
  <c r="M48" i="27" l="1"/>
  <c r="M50" i="27" s="1"/>
  <c r="M51" i="27" s="1"/>
  <c r="N51" i="27" s="1"/>
  <c r="O51" i="27" s="1"/>
  <c r="P51" i="27" s="1"/>
  <c r="Q51" i="27" s="1"/>
  <c r="R51" i="27" s="1"/>
  <c r="S51" i="27" s="1"/>
  <c r="T51" i="27" s="1"/>
  <c r="U51" i="27" s="1"/>
  <c r="V51" i="27" s="1"/>
  <c r="W51" i="27" s="1"/>
  <c r="X51" i="27" l="1"/>
  <c r="M53" i="2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tc={0E1CB023-E3B2-4225-9A38-63FDBD7BDD3E}</author>
    <author>tc={96A9C75C-F6DE-4C5C-BB4C-96218A3428C7}</author>
  </authors>
  <commentList>
    <comment ref="Z153" authorId="0" shapeId="0" xr:uid="{0E1CB023-E3B2-4225-9A38-63FDBD7BDD3E}">
      <text>
        <t xml:space="preserve">[Threaded comment]
Your version of Excel allows you to read this threaded comment; however, any edits to it will get removed if the file is opened in a newer version of Excel. Learn more: https://go.microsoft.com/fwlink/?linkid=870924
Comment:
    We do not have a large enough Gateway, I doubled up on the 1200kW on eto get the costs </t>
      </text>
    </comment>
    <comment ref="A154" authorId="1" shapeId="0" xr:uid="{96A9C75C-F6DE-4C5C-BB4C-96218A3428C7}">
      <text>
        <t>[Threaded comment]
Your version of Excel allows you to read this threaded comment; however, any edits to it will get removed if the file is opened in a newer version of Excel. Learn more: https://go.microsoft.com/fwlink/?linkid=870924
Comment:
    CT’s not accounted for yet
Reply:
    Require assistance on sizing</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tc={21B413F0-309A-4AF2-99BE-A66E16161CAD}</author>
    <author>tc={2B80E6AB-8C08-450A-AC8E-CD85B1E539EF}</author>
  </authors>
  <commentList>
    <comment ref="B22" authorId="0" shapeId="0" xr:uid="{21B413F0-309A-4AF2-99BE-A66E16161CAD}">
      <text>
        <t xml:space="preserve">[Threaded comment]
Your version of Excel allows you to read this threaded comment; however, any edits to it will get removed if the file is opened in a newer version of Excel. Learn more: https://go.microsoft.com/fwlink/?linkid=870924
Comment:
    Need to incorporate into DO model </t>
      </text>
    </comment>
    <comment ref="B65" authorId="1" shapeId="0" xr:uid="{2B80E6AB-8C08-450A-AC8E-CD85B1E539EF}">
      <text>
        <t xml:space="preserve">[Threaded comment]
Your version of Excel allows you to read this threaded comment; however, any edits to it will get removed if the file is opened in a newer version of Excel. Learn more: https://go.microsoft.com/fwlink/?linkid=870924
Comment:
    Need to incorporate into DO model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1" type="4" refreshedVersion="8" background="1" saveData="1">
    <webPr sourceData="1" parsePre="1" consecutive="1" xl2000="1" url="http://www.x-rates.com/table/?from=ZAR&amp;amount=1" htmlTables="1">
      <tables count="1">
        <x v="1"/>
      </tables>
    </web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<sst xmlns="http://schemas.openxmlformats.org/spreadsheetml/2006/main" count="1597" uniqueCount="1157">
  <si>
    <t>Roof &amp; Location Data</t>
  </si>
  <si>
    <t>Enter Location &amp; Roof info</t>
  </si>
  <si>
    <t>Enter in the details of each roof</t>
  </si>
  <si>
    <t>Location:</t>
  </si>
  <si>
    <t>Gauteng</t>
  </si>
  <si>
    <t>Roof Area</t>
  </si>
  <si>
    <t>Length</t>
  </si>
  <si>
    <t>Width</t>
  </si>
  <si>
    <t>Usable Area</t>
  </si>
  <si>
    <t>Inclination</t>
  </si>
  <si>
    <t>Orientation</t>
  </si>
  <si>
    <t>Sizing Factor</t>
  </si>
  <si>
    <t>Size</t>
  </si>
  <si>
    <t>Specific Yield</t>
  </si>
  <si>
    <t>Roof Comments</t>
  </si>
  <si>
    <t>Number of Roofs:</t>
  </si>
  <si>
    <t>Roof Type:</t>
  </si>
  <si>
    <t>Pitch Roof</t>
  </si>
  <si>
    <t>Roof Sheeting:</t>
  </si>
  <si>
    <t>IBR</t>
  </si>
  <si>
    <t>Roof Inclination</t>
  </si>
  <si>
    <t>Total:</t>
  </si>
  <si>
    <t>Override Yield here from PVSol</t>
  </si>
  <si>
    <t>Consumption Analysis</t>
  </si>
  <si>
    <t>Tariff Type:</t>
  </si>
  <si>
    <t>Designer:</t>
  </si>
  <si>
    <t xml:space="preserve">Add YOUR name </t>
  </si>
  <si>
    <t>Consumption (kWh)</t>
  </si>
  <si>
    <t>kVA Demand</t>
  </si>
  <si>
    <t>Overall Monthly (kWh)</t>
  </si>
  <si>
    <t>Month</t>
  </si>
  <si>
    <t>Standard</t>
  </si>
  <si>
    <t>Peak</t>
  </si>
  <si>
    <t>Off-Peak</t>
  </si>
  <si>
    <t>TOTAL</t>
  </si>
  <si>
    <t>Bill Year</t>
  </si>
  <si>
    <t>kVA</t>
  </si>
  <si>
    <t>Standard Monthly (kWh)</t>
  </si>
  <si>
    <t>January</t>
  </si>
  <si>
    <t>Working hours / day</t>
  </si>
  <si>
    <t>February</t>
  </si>
  <si>
    <t>Saturday Work?</t>
  </si>
  <si>
    <t>Y</t>
  </si>
  <si>
    <t>Days where there's no work will have export if applicable</t>
  </si>
  <si>
    <t>March</t>
  </si>
  <si>
    <t>Sunday Work?</t>
  </si>
  <si>
    <t>April</t>
  </si>
  <si>
    <t>Annual Shutdown Days</t>
  </si>
  <si>
    <t>Does their site shutdown for holidays? (include weekends and 12 public holidays)</t>
  </si>
  <si>
    <t>May</t>
  </si>
  <si>
    <t>June</t>
  </si>
  <si>
    <t>SOLAR SYSTEM</t>
  </si>
  <si>
    <t>July</t>
  </si>
  <si>
    <t>Penetration Ratio</t>
  </si>
  <si>
    <t>August</t>
  </si>
  <si>
    <t>Peak Power Ratio</t>
  </si>
  <si>
    <t>September</t>
  </si>
  <si>
    <t>October</t>
  </si>
  <si>
    <t>Max Demand Size (kWp)</t>
  </si>
  <si>
    <t>80% of peak demand x1.2 for overload</t>
  </si>
  <si>
    <t>November</t>
  </si>
  <si>
    <t>STD Estimate (kWp)</t>
  </si>
  <si>
    <t xml:space="preserve">25% DC overload </t>
  </si>
  <si>
    <t>December</t>
  </si>
  <si>
    <t>Total Load Estimate (kWp)</t>
  </si>
  <si>
    <t>Consumption Size (kWp)</t>
  </si>
  <si>
    <t>Minimum Solar Size</t>
  </si>
  <si>
    <t>Back-up System Analysis</t>
  </si>
  <si>
    <t xml:space="preserve">BESS SYSTEM </t>
  </si>
  <si>
    <t>GenSet System</t>
  </si>
  <si>
    <t>hours of back-up per day required</t>
  </si>
  <si>
    <t>kVA of Battery Inverter (10% Safety Factor)</t>
  </si>
  <si>
    <t>Rating of generator based on bills =</t>
  </si>
  <si>
    <t>Prime Rating</t>
  </si>
  <si>
    <t xml:space="preserve">Nearest Standard Inverter Rating = </t>
  </si>
  <si>
    <t>Generator Derating</t>
  </si>
  <si>
    <t>Average hourly Usage</t>
  </si>
  <si>
    <t>kWh per hour based on monthly AVERAGE usage</t>
  </si>
  <si>
    <t>Rating based on Total Consumption</t>
  </si>
  <si>
    <t>Max Usage from Std Hours</t>
  </si>
  <si>
    <t xml:space="preserve">kWh per hour MAX from Standard usage </t>
  </si>
  <si>
    <t>Rating based on Standard Tariff</t>
  </si>
  <si>
    <t>Max Usage from Working Hours</t>
  </si>
  <si>
    <t>kWh per hour MAXIMUM monthly usage over working hours</t>
  </si>
  <si>
    <t>Rating based on Working Hours and consumption</t>
  </si>
  <si>
    <t>PEAK</t>
  </si>
  <si>
    <t>Select for sizing on AVERAGE or on PEAK</t>
  </si>
  <si>
    <t>Suggested GenSet Rating =</t>
  </si>
  <si>
    <t xml:space="preserve">kVA </t>
  </si>
  <si>
    <t>Suggested Battery Rating</t>
  </si>
  <si>
    <t>kWh of BESS required</t>
  </si>
  <si>
    <t xml:space="preserve">Nearest standard Rating = </t>
  </si>
  <si>
    <t>Tariff Analysis</t>
  </si>
  <si>
    <t>Feed-in?</t>
  </si>
  <si>
    <t>Yes</t>
  </si>
  <si>
    <t>Off Peak</t>
  </si>
  <si>
    <t>Tariff Type</t>
  </si>
  <si>
    <t>Municipality</t>
  </si>
  <si>
    <t>Low Season:</t>
  </si>
  <si>
    <t>City of Tshwane</t>
  </si>
  <si>
    <t>High Season:</t>
  </si>
  <si>
    <t>Type</t>
  </si>
  <si>
    <t>Additional kWh charges:</t>
  </si>
  <si>
    <t>e.g. CityPower Surcharge?</t>
  </si>
  <si>
    <t>Year</t>
  </si>
  <si>
    <t>Feed-in Tariff</t>
  </si>
  <si>
    <t>Check latest Feed-in rate / TOU link</t>
  </si>
  <si>
    <t xml:space="preserve">Demand Charge </t>
  </si>
  <si>
    <t>Current Blended Tariff</t>
  </si>
  <si>
    <t>Do not overirde</t>
  </si>
  <si>
    <t>Outputs</t>
  </si>
  <si>
    <t>Module Type</t>
  </si>
  <si>
    <t>Mono Perc</t>
  </si>
  <si>
    <t>Default</t>
  </si>
  <si>
    <t>System Size</t>
  </si>
  <si>
    <t>Override here if need be</t>
  </si>
  <si>
    <t>Module Rating</t>
  </si>
  <si>
    <t>Insert the correct module rating</t>
  </si>
  <si>
    <t>Do not overide here - Input PVSol yield at roof inputs above</t>
  </si>
  <si>
    <t>Module Size</t>
  </si>
  <si>
    <t>Insert the correct module size</t>
  </si>
  <si>
    <t>Blended Tariff</t>
  </si>
  <si>
    <t>Installation Date</t>
  </si>
  <si>
    <t>Exchange Rate</t>
  </si>
  <si>
    <t>Selling Price</t>
  </si>
  <si>
    <t>Load and Production (kWh)</t>
  </si>
  <si>
    <t>Consumption</t>
  </si>
  <si>
    <t>PV</t>
  </si>
  <si>
    <t>PV Equipment</t>
  </si>
  <si>
    <t>Installation</t>
  </si>
  <si>
    <t>Fill in yellow blocks</t>
  </si>
  <si>
    <t>Override Here</t>
  </si>
  <si>
    <t>Select</t>
  </si>
  <si>
    <t>Batteries:</t>
  </si>
  <si>
    <t>Timeline:</t>
  </si>
  <si>
    <t>Panels Qty:</t>
  </si>
  <si>
    <t>Nearest City:</t>
  </si>
  <si>
    <t>Cape Town</t>
  </si>
  <si>
    <t>Telehandler / crane for material:</t>
  </si>
  <si>
    <t>Maximum kVA of site</t>
  </si>
  <si>
    <t>Record peak kVA of client that you're using to size battery inverter</t>
  </si>
  <si>
    <t>Panel Type:</t>
  </si>
  <si>
    <t>Project Size:</t>
  </si>
  <si>
    <t>Distance from Nearest city :</t>
  </si>
  <si>
    <t>Telehandler / crane for roof access:</t>
  </si>
  <si>
    <t>Hours of Autonomy</t>
  </si>
  <si>
    <t>Record number of hours of backup used to size the battery capacity</t>
  </si>
  <si>
    <t>Panel Rating:</t>
  </si>
  <si>
    <t>Distance from EE office:</t>
  </si>
  <si>
    <t>Scaffolding to access roof:</t>
  </si>
  <si>
    <t>Days a week</t>
  </si>
  <si>
    <t>days a week operating</t>
  </si>
  <si>
    <t>Need of storage container:</t>
  </si>
  <si>
    <t xml:space="preserve">Average kWh consumption </t>
  </si>
  <si>
    <t>per hour</t>
  </si>
  <si>
    <t xml:space="preserve">Installation rate: </t>
  </si>
  <si>
    <t>Need of site security access:</t>
  </si>
  <si>
    <t>Battery Capacity</t>
  </si>
  <si>
    <t>SMA</t>
  </si>
  <si>
    <t>Huawei</t>
  </si>
  <si>
    <t>SolarEdge</t>
  </si>
  <si>
    <t xml:space="preserve">Installation time: </t>
  </si>
  <si>
    <t>FedGroup Funded ? :</t>
  </si>
  <si>
    <t>Model</t>
  </si>
  <si>
    <t>Qty</t>
  </si>
  <si>
    <t>Overload</t>
  </si>
  <si>
    <t>PM Site Visits:</t>
  </si>
  <si>
    <t>MV Consumption Metering:</t>
  </si>
  <si>
    <t>Warranty Cycles</t>
  </si>
  <si>
    <t>Double check on spec sheet for brands other than Freedom Won</t>
  </si>
  <si>
    <t>EE Accomodation:</t>
  </si>
  <si>
    <t>Total Useable kWh</t>
  </si>
  <si>
    <t>Optimal System Size</t>
  </si>
  <si>
    <t>Installer Accomodation:</t>
  </si>
  <si>
    <t>Total Capex</t>
  </si>
  <si>
    <t xml:space="preserve">Double check margin in cost summary </t>
  </si>
  <si>
    <t>Cost per unit R/kWh</t>
  </si>
  <si>
    <t>Load Shedding Days</t>
  </si>
  <si>
    <t>Generator Size (kVA Prime)</t>
  </si>
  <si>
    <t>Cycles per day</t>
  </si>
  <si>
    <t>not hours of auntonmy, how many load shedding events a day. MAX 3</t>
  </si>
  <si>
    <t>Stage 2 = 1, Stage 4 = 2, Stage 6 = 3</t>
  </si>
  <si>
    <t xml:space="preserve">Cheapest Inverter Solution:  </t>
  </si>
  <si>
    <t>Battery Inverter (kVA)</t>
  </si>
  <si>
    <t>Annual kWh batteries</t>
  </si>
  <si>
    <t>Units of electricity discharged from batteries per year</t>
  </si>
  <si>
    <t>Number of Tie Ins</t>
  </si>
  <si>
    <t>For BESS</t>
  </si>
  <si>
    <t>For Generator</t>
  </si>
  <si>
    <t>Battery Capacity (kWh)</t>
  </si>
  <si>
    <t>Dist Inverter to Solar DB</t>
  </si>
  <si>
    <t>Dist from BESS to Main DB</t>
  </si>
  <si>
    <t>Dist from Gen to Main DB</t>
  </si>
  <si>
    <t>Generator Integration</t>
  </si>
  <si>
    <t>Dist Solar DB to Main DB</t>
  </si>
  <si>
    <t>Ave DC Run (m)</t>
  </si>
  <si>
    <t>Pricing Summary</t>
  </si>
  <si>
    <t>Margin Override?</t>
  </si>
  <si>
    <t xml:space="preserve">Approx DC Cable Required </t>
  </si>
  <si>
    <t>Solar Products</t>
  </si>
  <si>
    <t>Walkways</t>
  </si>
  <si>
    <t>10 Year Inverter Warranty</t>
  </si>
  <si>
    <t>Margin</t>
  </si>
  <si>
    <t>Battery Products</t>
  </si>
  <si>
    <t>Water Points</t>
  </si>
  <si>
    <t>ZAR/Wp:</t>
  </si>
  <si>
    <t>Overall</t>
  </si>
  <si>
    <t>Generator Products</t>
  </si>
  <si>
    <t>Cat Ladders (9m)</t>
  </si>
  <si>
    <t>Total (ZAR):</t>
  </si>
  <si>
    <t>EE Margin</t>
  </si>
  <si>
    <t>Other Products</t>
  </si>
  <si>
    <t>BDP %</t>
  </si>
  <si>
    <t>BDP Margin</t>
  </si>
  <si>
    <t>Subcontractors</t>
  </si>
  <si>
    <t>BDP Terms</t>
  </si>
  <si>
    <t>Of the EPC cost</t>
  </si>
  <si>
    <t>Services</t>
  </si>
  <si>
    <t>Expenses</t>
  </si>
  <si>
    <t>Payment Milestone</t>
  </si>
  <si>
    <t>%</t>
  </si>
  <si>
    <t>Amount</t>
  </si>
  <si>
    <t>Acceptance and Initial Deposit</t>
  </si>
  <si>
    <t>ADDITIONAL PROJECT SPECIFIC COSTS</t>
  </si>
  <si>
    <t>Delivery of Panels</t>
  </si>
  <si>
    <t>Category</t>
  </si>
  <si>
    <t>Description</t>
  </si>
  <si>
    <t>Estimated Price</t>
  </si>
  <si>
    <t>Comment/Note</t>
  </si>
  <si>
    <t>Delivery of Inverters</t>
  </si>
  <si>
    <t>Product</t>
  </si>
  <si>
    <t>Installation Complete</t>
  </si>
  <si>
    <t>Commissioning Complete</t>
  </si>
  <si>
    <t>USD</t>
  </si>
  <si>
    <t>Unit</t>
  </si>
  <si>
    <t>ZAR</t>
  </si>
  <si>
    <t>Qnty</t>
  </si>
  <si>
    <t>Price</t>
  </si>
  <si>
    <t>Price per Wp</t>
  </si>
  <si>
    <t>Notes</t>
  </si>
  <si>
    <t>PRODUCTS</t>
  </si>
  <si>
    <t>Panel Procurement Budget</t>
  </si>
  <si>
    <t>PV customs clearance</t>
  </si>
  <si>
    <t>Module delivery to site</t>
  </si>
  <si>
    <t>Inverter Procurement Budget</t>
  </si>
  <si>
    <t>Inverter Customs Clearance</t>
  </si>
  <si>
    <t>P950 Optimizers</t>
  </si>
  <si>
    <t>Note: Pricing is for P950 Optimiser - Please check and reduce if we can use a smaller optimiser</t>
  </si>
  <si>
    <t>Delivery to Site</t>
  </si>
  <si>
    <t>Optional Extras Budget</t>
  </si>
  <si>
    <t>Cat Ladders</t>
  </si>
  <si>
    <t>Mounting Structure Budget</t>
  </si>
  <si>
    <t>R/Wp</t>
  </si>
  <si>
    <t>Mounting Customs Clearance</t>
  </si>
  <si>
    <t xml:space="preserve">Foundation Materials </t>
  </si>
  <si>
    <t>DC Equipment Budget</t>
  </si>
  <si>
    <t>DC Cabling (Total Cable Length)</t>
  </si>
  <si>
    <t>DC Cable Tray</t>
  </si>
  <si>
    <t>Trenching Cost</t>
  </si>
  <si>
    <t>Earth Cable</t>
  </si>
  <si>
    <t>Earth clamp</t>
  </si>
  <si>
    <t>Only need 1 clamp at the end of each row</t>
  </si>
  <si>
    <t>Additional DC Combiner or Junction Boxes</t>
  </si>
  <si>
    <t>AC Equipment Budget</t>
  </si>
  <si>
    <t>Rating</t>
  </si>
  <si>
    <t>AC Circuit Breakers</t>
  </si>
  <si>
    <t>AC Disconnect</t>
  </si>
  <si>
    <t>AC Surge Arrestor</t>
  </si>
  <si>
    <t>Techsitter Meter</t>
  </si>
  <si>
    <t>AC DB Board</t>
  </si>
  <si>
    <t>Inverter Cables</t>
  </si>
  <si>
    <t>Main Tie-in Cable</t>
  </si>
  <si>
    <t>UFR / OOBR - SSEG Compliant Relay</t>
  </si>
  <si>
    <t>Monitoring Budget</t>
  </si>
  <si>
    <t>Comms DB</t>
  </si>
  <si>
    <t>SolarEdge Expansion Kit</t>
  </si>
  <si>
    <t>Revenue Grade Meter</t>
  </si>
  <si>
    <t>Added Product Budget</t>
  </si>
  <si>
    <t>Battery System</t>
  </si>
  <si>
    <t xml:space="preserve">Installation </t>
  </si>
  <si>
    <t>AC+DC Equipment</t>
  </si>
  <si>
    <t>AC Cable</t>
  </si>
  <si>
    <t>Airconditioned Container - 1 per 1000kWh</t>
  </si>
  <si>
    <t>Generator</t>
  </si>
  <si>
    <t>Transport to site</t>
  </si>
  <si>
    <t>Diesel First Fill</t>
  </si>
  <si>
    <t>AC Equipment</t>
  </si>
  <si>
    <t>SERVICES</t>
  </si>
  <si>
    <t>Installation Labour Budget</t>
  </si>
  <si>
    <t>AC Installer Budget</t>
  </si>
  <si>
    <t>DC Installer Budget</t>
  </si>
  <si>
    <t>In-House Expense Budget</t>
  </si>
  <si>
    <t>Matriarch Defects Period</t>
  </si>
  <si>
    <t>Management</t>
  </si>
  <si>
    <t xml:space="preserve">Project manager </t>
  </si>
  <si>
    <t>Planner time</t>
  </si>
  <si>
    <t>De Snagging</t>
  </si>
  <si>
    <t>Compliance Budget</t>
  </si>
  <si>
    <t>Electrical PrEng sign off</t>
  </si>
  <si>
    <t>Structural sign off</t>
  </si>
  <si>
    <t>Scada for CoCT</t>
  </si>
  <si>
    <t>Grid Study - Outside of CoCT</t>
  </si>
  <si>
    <t>Lightning Risk Assessment</t>
  </si>
  <si>
    <t>Offloading Budget</t>
  </si>
  <si>
    <t>Roof Access Budget for Equipment</t>
  </si>
  <si>
    <t>Telehandler</t>
  </si>
  <si>
    <t>Site storage</t>
  </si>
  <si>
    <t>Site Storage</t>
  </si>
  <si>
    <t>Roof Access Budget for Installers</t>
  </si>
  <si>
    <t>Scaffolding</t>
  </si>
  <si>
    <t>Equipment Security Budget</t>
  </si>
  <si>
    <t>On site security</t>
  </si>
  <si>
    <t>Additional Services Budget</t>
  </si>
  <si>
    <t>Emergent Energy Expense Budget</t>
  </si>
  <si>
    <t>Total EE Expense Budget</t>
  </si>
  <si>
    <t>Car travel to site</t>
  </si>
  <si>
    <t>Breakfast</t>
  </si>
  <si>
    <t>Lunch</t>
  </si>
  <si>
    <t>Dinner</t>
  </si>
  <si>
    <t>EE-Accomodation</t>
  </si>
  <si>
    <t>Installer accomodation</t>
  </si>
  <si>
    <t>Cost Summary</t>
  </si>
  <si>
    <t>Products</t>
  </si>
  <si>
    <t>Cost</t>
  </si>
  <si>
    <t>Cost %</t>
  </si>
  <si>
    <t>Margin %</t>
  </si>
  <si>
    <t>Markup %</t>
  </si>
  <si>
    <t>Markup</t>
  </si>
  <si>
    <t>Sub-total</t>
  </si>
  <si>
    <t>% of the cost</t>
  </si>
  <si>
    <t>Rand/watt</t>
  </si>
  <si>
    <t>ADD ON</t>
  </si>
  <si>
    <t>On Site Security</t>
  </si>
  <si>
    <t>EPC Management Fee</t>
  </si>
  <si>
    <t>Summary</t>
  </si>
  <si>
    <t>Total Cost</t>
  </si>
  <si>
    <t>Total Selling Cost</t>
  </si>
  <si>
    <t>Specific Cost</t>
  </si>
  <si>
    <t>Specific Selling Cost</t>
  </si>
  <si>
    <t>Value</t>
  </si>
  <si>
    <t>% of SP</t>
  </si>
  <si>
    <t>Total Margin</t>
  </si>
  <si>
    <t>Referral Fee</t>
  </si>
  <si>
    <t>Solar Panels</t>
  </si>
  <si>
    <t>POLY</t>
  </si>
  <si>
    <t>Currency of Costing ↓</t>
  </si>
  <si>
    <t>Project Size →</t>
  </si>
  <si>
    <t>Seraphim / JA</t>
  </si>
  <si>
    <t>Min Price →</t>
  </si>
  <si>
    <t>Boolean Logic →</t>
  </si>
  <si>
    <t>Selected Company →</t>
  </si>
  <si>
    <t>Selected Pricing →</t>
  </si>
  <si>
    <t>Module Price →</t>
  </si>
  <si>
    <t>MONO PERC</t>
  </si>
  <si>
    <t>Longi</t>
  </si>
  <si>
    <t>Inverters</t>
  </si>
  <si>
    <t>Unit Cost of Inverter ↓</t>
  </si>
  <si>
    <t>Rated Size (kW AC)</t>
  </si>
  <si>
    <t>Manufacturer</t>
  </si>
  <si>
    <t>S1200 Optimizer</t>
  </si>
  <si>
    <t>Determining Number of Inverters Required ↓</t>
  </si>
  <si>
    <t>Maximum DC Overload</t>
  </si>
  <si>
    <t>WANT TO REVIEW THE MIN SIZE FOR BIGGER UNITS</t>
  </si>
  <si>
    <t>The inverter selection currently makes sure that we always have a minimum of 3 inverters on site.</t>
  </si>
  <si>
    <t>Determing Total Cost of Each Inverter Solution and Selecting Cheapest Option ↓</t>
  </si>
  <si>
    <t>Inverter Costs</t>
  </si>
  <si>
    <t>Min Cost</t>
  </si>
  <si>
    <t>Cheapest inverter in size →</t>
  </si>
  <si>
    <t>Selecting Cheapest Inverter Solution for each manufacturer ↓</t>
  </si>
  <si>
    <t>Manufacturer Comparision</t>
  </si>
  <si>
    <t>Cost of Inverters</t>
  </si>
  <si>
    <t>Inverter Size</t>
  </si>
  <si>
    <t>Number of Inverters</t>
  </si>
  <si>
    <t>Selected</t>
  </si>
  <si>
    <t>← Cheapest Inverter Solution</t>
  </si>
  <si>
    <t>← Selected Inverter Solution</t>
  </si>
  <si>
    <t>Mounting Structure</t>
  </si>
  <si>
    <t>Tile</t>
  </si>
  <si>
    <t>Flat_concrete</t>
  </si>
  <si>
    <t>Craftlock</t>
  </si>
  <si>
    <t>Corrugated_cement</t>
  </si>
  <si>
    <t>Klip_Lock</t>
  </si>
  <si>
    <t>Diamondeck</t>
  </si>
  <si>
    <t>Corrugated_iron</t>
  </si>
  <si>
    <t>Lumax</t>
  </si>
  <si>
    <t>Pia Solar</t>
  </si>
  <si>
    <t>Preform</t>
  </si>
  <si>
    <t>Schletter</t>
  </si>
  <si>
    <t>Valsa</t>
  </si>
  <si>
    <t>Rubicon</t>
  </si>
  <si>
    <t>Minimum</t>
  </si>
  <si>
    <t>Foundation Materials</t>
  </si>
  <si>
    <t>Carport</t>
  </si>
  <si>
    <t>Ground Mount</t>
  </si>
  <si>
    <t>Company</t>
  </si>
  <si>
    <t>Currency</t>
  </si>
  <si>
    <t>Price per watt</t>
  </si>
  <si>
    <t>Valid until</t>
  </si>
  <si>
    <t>N/A</t>
  </si>
  <si>
    <t>Supplier Mark Up</t>
  </si>
  <si>
    <t>Inverter Current</t>
  </si>
  <si>
    <t>CB to be used</t>
  </si>
  <si>
    <t>CB Cost</t>
  </si>
  <si>
    <t>Hager</t>
  </si>
  <si>
    <t>AC Disconnects</t>
  </si>
  <si>
    <t>Site Current</t>
  </si>
  <si>
    <t>Disconnect Cost</t>
  </si>
  <si>
    <t>Cable</t>
  </si>
  <si>
    <t>Battery</t>
  </si>
  <si>
    <t xml:space="preserve">AC Surge Arrestors </t>
  </si>
  <si>
    <t>Schneider Electric</t>
  </si>
  <si>
    <t>AC Consumption Meter</t>
  </si>
  <si>
    <t>Janitza/SolarEdge Meter</t>
  </si>
  <si>
    <t>Solar Production Meter</t>
  </si>
  <si>
    <t>Elster Meter A1140</t>
  </si>
  <si>
    <t>AC Motor for Disconnect</t>
  </si>
  <si>
    <t xml:space="preserve">Price </t>
  </si>
  <si>
    <t>DC Surge Arrestor</t>
  </si>
  <si>
    <t>Cital</t>
  </si>
  <si>
    <t>Max voltage Drop</t>
  </si>
  <si>
    <t>Monitoring Equipment Hardware</t>
  </si>
  <si>
    <t>Inverter Breaker</t>
  </si>
  <si>
    <t>&lt;100kWp</t>
  </si>
  <si>
    <t>&gt;100kWp</t>
  </si>
  <si>
    <t>Main AC Circuit Breaker</t>
  </si>
  <si>
    <t>Data Logger</t>
  </si>
  <si>
    <t>AC Run (m)</t>
  </si>
  <si>
    <t>Delivery</t>
  </si>
  <si>
    <t>Resistivity of Copper (ohms/m)</t>
  </si>
  <si>
    <t xml:space="preserve"> </t>
  </si>
  <si>
    <t>Battery Inverter Breaker</t>
  </si>
  <si>
    <t>Generator Breaker</t>
  </si>
  <si>
    <t>Current Carrying capacity</t>
  </si>
  <si>
    <t>Price per metre</t>
  </si>
  <si>
    <t>acceptable voltage drop</t>
  </si>
  <si>
    <t>Cable Capacity in Conductors</t>
  </si>
  <si>
    <t>Main Cable</t>
  </si>
  <si>
    <t>Cable Tray Cost</t>
  </si>
  <si>
    <t>Number of strings</t>
  </si>
  <si>
    <t>Fill percentage</t>
  </si>
  <si>
    <t>Cable Tray Cost /m</t>
  </si>
  <si>
    <t>Number of Conductors</t>
  </si>
  <si>
    <t>Cable Size selected</t>
  </si>
  <si>
    <t>Wire Diameter Single Core</t>
  </si>
  <si>
    <t>2X150</t>
  </si>
  <si>
    <t>2x185</t>
  </si>
  <si>
    <t>2x240</t>
  </si>
  <si>
    <t>3x185</t>
  </si>
  <si>
    <t>3x240</t>
  </si>
  <si>
    <t>4x185</t>
  </si>
  <si>
    <t>4x240</t>
  </si>
  <si>
    <t>5x240</t>
  </si>
  <si>
    <t>6x240</t>
  </si>
  <si>
    <t>Current Carrying Capacity</t>
  </si>
  <si>
    <t>AC cable</t>
  </si>
  <si>
    <t>Current carrying Capacity</t>
  </si>
  <si>
    <t>Wire Diameter Double Core</t>
  </si>
  <si>
    <t>Cost per m</t>
  </si>
  <si>
    <t>Single Core Cost</t>
  </si>
  <si>
    <t>Inverter Cable</t>
  </si>
  <si>
    <t>Main Cable Meet Current Carrying Criteria →</t>
  </si>
  <si>
    <t>Wire Diameter Triple Core</t>
  </si>
  <si>
    <t>Inverter Cable Meet Current Carrying Criteria →</t>
  </si>
  <si>
    <t>Battery Inverter Cable →</t>
  </si>
  <si>
    <t>Generator  Cable →</t>
  </si>
  <si>
    <t>Current carrying Capacity x2</t>
  </si>
  <si>
    <t>Wire Diameter Quad Core</t>
  </si>
  <si>
    <t>Cable Cost per m</t>
  </si>
  <si>
    <t>Battery System (kVA)</t>
  </si>
  <si>
    <t>Inverter Cost</t>
  </si>
  <si>
    <t>Energy Meter and Sundries</t>
  </si>
  <si>
    <t>Select Inverter</t>
  </si>
  <si>
    <t>Inverter kVA</t>
  </si>
  <si>
    <t>BESS Inverter Cable</t>
  </si>
  <si>
    <t>Is Inverter Capacity larger than load?</t>
  </si>
  <si>
    <t>Select Battery</t>
  </si>
  <si>
    <t>Battery kWh</t>
  </si>
  <si>
    <t>Battery Bank (kWh)</t>
  </si>
  <si>
    <t>Storage Capacity (kWh)</t>
  </si>
  <si>
    <t>Is battery capacity larger than load</t>
  </si>
  <si>
    <t>Battery System Price</t>
  </si>
  <si>
    <t>Diesel Generator (kVA)</t>
  </si>
  <si>
    <t>Select Generator</t>
  </si>
  <si>
    <t>Prime kVA</t>
  </si>
  <si>
    <t>What size can run the load?</t>
  </si>
  <si>
    <t>Generator System Price</t>
  </si>
  <si>
    <t>Structural &amp; DC Installation Services</t>
  </si>
  <si>
    <t>Flat Roof</t>
  </si>
  <si>
    <t>Pitch roof</t>
  </si>
  <si>
    <t>Varies</t>
  </si>
  <si>
    <t>AC Installation Services</t>
  </si>
  <si>
    <t>pitch roof</t>
  </si>
  <si>
    <t>Transport Costs</t>
  </si>
  <si>
    <t xml:space="preserve">Company </t>
  </si>
  <si>
    <t xml:space="preserve">Currency </t>
  </si>
  <si>
    <t>Price Per Container</t>
  </si>
  <si>
    <t xml:space="preserve">Price Per Km </t>
  </si>
  <si>
    <t>Price Per Day*</t>
  </si>
  <si>
    <t xml:space="preserve">TRG International </t>
  </si>
  <si>
    <t>Security Costs</t>
  </si>
  <si>
    <t>Price per day</t>
  </si>
  <si>
    <t>General</t>
  </si>
  <si>
    <t xml:space="preserve">On Site Storage Costs </t>
  </si>
  <si>
    <t>Electrical Due Dilligence</t>
  </si>
  <si>
    <t>Flat rate</t>
  </si>
  <si>
    <t>Rate per watt</t>
  </si>
  <si>
    <t>Brighthouse</t>
  </si>
  <si>
    <t>Structural Due Dilligence</t>
  </si>
  <si>
    <t>NSE / BARA</t>
  </si>
  <si>
    <t>Erection</t>
  </si>
  <si>
    <t>Tariff</t>
  </si>
  <si>
    <t xml:space="preserve">Tariff % </t>
  </si>
  <si>
    <t>Savings</t>
  </si>
  <si>
    <t>System Details</t>
  </si>
  <si>
    <t>Tariff Variables</t>
  </si>
  <si>
    <t>EPC Cost</t>
  </si>
  <si>
    <t>OffPeak</t>
  </si>
  <si>
    <t>LowPeak</t>
  </si>
  <si>
    <t>Low Season</t>
  </si>
  <si>
    <t>LowOff</t>
  </si>
  <si>
    <t>High Season</t>
  </si>
  <si>
    <t>LowSTD</t>
  </si>
  <si>
    <t>Global Variables</t>
  </si>
  <si>
    <t>Additional</t>
  </si>
  <si>
    <t>HighPeak</t>
  </si>
  <si>
    <t>Tax Rate</t>
  </si>
  <si>
    <t>Feed-In</t>
  </si>
  <si>
    <t>HighOFF</t>
  </si>
  <si>
    <t>Inflation rate</t>
  </si>
  <si>
    <t>HighSTD</t>
  </si>
  <si>
    <t>Bank Finance Rate</t>
  </si>
  <si>
    <t>prime</t>
  </si>
  <si>
    <t>Solar Equivalent Tariff</t>
  </si>
  <si>
    <t>Import</t>
  </si>
  <si>
    <t>Carbon Tax (R/kWh)</t>
  </si>
  <si>
    <t>CPI</t>
  </si>
  <si>
    <t>Off-time Export</t>
  </si>
  <si>
    <t>VAT</t>
  </si>
  <si>
    <t>Over-size Export</t>
  </si>
  <si>
    <t>Base Model Variables</t>
  </si>
  <si>
    <t>12B Tax Depreciation</t>
  </si>
  <si>
    <t>Import (Sub-Total)</t>
  </si>
  <si>
    <t>Name Plate Production (kWh)</t>
  </si>
  <si>
    <t>Rated Energy (PVSol x Installed Capacity)</t>
  </si>
  <si>
    <t>Feed-In (Sub-Total)</t>
  </si>
  <si>
    <t>Year 0 degradation</t>
  </si>
  <si>
    <t>Year 1 degradation</t>
  </si>
  <si>
    <t>Feed-in Tariff Variables</t>
  </si>
  <si>
    <t>Year 2-20 degradation</t>
  </si>
  <si>
    <t>Year 1 Production</t>
  </si>
  <si>
    <t>Year 1 Savings</t>
  </si>
  <si>
    <t>Initial Increase Prediction</t>
  </si>
  <si>
    <t>leave at ZERO</t>
  </si>
  <si>
    <t>fees? Negative rate</t>
  </si>
  <si>
    <t>Electricity Increase Y1-5</t>
  </si>
  <si>
    <t>Electricity Increase Y6-20</t>
  </si>
  <si>
    <t>TOU Feed-in Tariff</t>
  </si>
  <si>
    <t>Bank Financed Model Variables</t>
  </si>
  <si>
    <t>Debt Ratio</t>
  </si>
  <si>
    <t>Average</t>
  </si>
  <si>
    <t>Loan Term (Years)</t>
  </si>
  <si>
    <t>Energy Production Distribution</t>
  </si>
  <si>
    <t>Exported / Curtailed Energy %</t>
  </si>
  <si>
    <t>Consumed (kWh)</t>
  </si>
  <si>
    <t>Export (kWh)</t>
  </si>
  <si>
    <t>Curtailment %</t>
  </si>
  <si>
    <t>Curtailed Energy (kWh)</t>
  </si>
  <si>
    <t xml:space="preserve">Current Exchange Rates - Click 'Refresh All' in 'Data' tab to update. </t>
  </si>
  <si>
    <t>Drop Down Menu Lists</t>
  </si>
  <si>
    <t>Installation Extras Dropdown</t>
  </si>
  <si>
    <t>Margin Options</t>
  </si>
  <si>
    <t>No</t>
  </si>
  <si>
    <t>Add to Cost</t>
  </si>
  <si>
    <t>Take from Margin</t>
  </si>
  <si>
    <t>Installation Rate; kWp per Week</t>
  </si>
  <si>
    <t>Hourly Rate Inputs</t>
  </si>
  <si>
    <t>Project Start period</t>
  </si>
  <si>
    <t>PM</t>
  </si>
  <si>
    <t>PP</t>
  </si>
  <si>
    <t>OM</t>
  </si>
  <si>
    <t>EE hourly rate</t>
  </si>
  <si>
    <t>EE daily rate</t>
  </si>
  <si>
    <t>Travel Rate Inputs</t>
  </si>
  <si>
    <t>Type of Item additional item is:</t>
  </si>
  <si>
    <t>Service</t>
  </si>
  <si>
    <t>Travel rate</t>
  </si>
  <si>
    <t>/km</t>
  </si>
  <si>
    <t>Breakfast/</t>
  </si>
  <si>
    <t>/day</t>
  </si>
  <si>
    <t>Dinner/lunch</t>
  </si>
  <si>
    <t>Mounting Structure Category</t>
  </si>
  <si>
    <t>Container Calculation Inputs</t>
  </si>
  <si>
    <t>Small container size</t>
  </si>
  <si>
    <t>Modules/Container</t>
  </si>
  <si>
    <t>Large container size</t>
  </si>
  <si>
    <t>Calculated Large Containers</t>
  </si>
  <si>
    <t>Large Containers</t>
  </si>
  <si>
    <t>Roof Type</t>
  </si>
  <si>
    <t>Required Large Containers</t>
  </si>
  <si>
    <t>Required Small Containers</t>
  </si>
  <si>
    <t>Small Containers</t>
  </si>
  <si>
    <t>Capacity of Containers</t>
  </si>
  <si>
    <t>Excess Capacity of Containers</t>
  </si>
  <si>
    <t>Calculated Outputs (DO NOT EDIT)</t>
  </si>
  <si>
    <t>Nearest Office</t>
  </si>
  <si>
    <t>Project Size</t>
  </si>
  <si>
    <t>kWp</t>
  </si>
  <si>
    <t>Johannesburg</t>
  </si>
  <si>
    <t>Days on site</t>
  </si>
  <si>
    <t>days</t>
  </si>
  <si>
    <t>De-snagging days</t>
  </si>
  <si>
    <t>Small Module Containers Required</t>
  </si>
  <si>
    <t>containers</t>
  </si>
  <si>
    <t>Municipalities</t>
  </si>
  <si>
    <t>CoCT</t>
  </si>
  <si>
    <t>Large Module Containers Required</t>
  </si>
  <si>
    <t>Local Transport Time</t>
  </si>
  <si>
    <t>Ekurhuleni</t>
  </si>
  <si>
    <t>Module Customs Clearance Time</t>
  </si>
  <si>
    <t>Nelson Mandela Bay</t>
  </si>
  <si>
    <t>Allowable Transport Time</t>
  </si>
  <si>
    <t>Buffalo City</t>
  </si>
  <si>
    <t>Required Time for Offloading</t>
  </si>
  <si>
    <t>City Power</t>
  </si>
  <si>
    <t>Additional Tranport Days Charged</t>
  </si>
  <si>
    <t>Eskom</t>
  </si>
  <si>
    <t>BESS Savings Model</t>
  </si>
  <si>
    <t>TARIFF ARBITRAGE MODEL</t>
  </si>
  <si>
    <t>Warranty Length</t>
  </si>
  <si>
    <t>at 80% DoD (thru-put energy rating)</t>
  </si>
  <si>
    <t>Tariffs for Arbitrage</t>
  </si>
  <si>
    <t>First cycle of the day</t>
  </si>
  <si>
    <t>Second cycle of the day</t>
  </si>
  <si>
    <t>Third cycle of the day</t>
  </si>
  <si>
    <t>Total</t>
  </si>
  <si>
    <t xml:space="preserve">Month </t>
  </si>
  <si>
    <t>Peak Tariff</t>
  </si>
  <si>
    <t>Std Tariff</t>
  </si>
  <si>
    <t>Off Peak Tariff</t>
  </si>
  <si>
    <t>kWh Discharged</t>
  </si>
  <si>
    <t>Arbitrage</t>
  </si>
  <si>
    <t>ZAR Arbitrage</t>
  </si>
  <si>
    <t>Jan</t>
  </si>
  <si>
    <t>Feb</t>
  </si>
  <si>
    <t>Mar</t>
  </si>
  <si>
    <t>Apr</t>
  </si>
  <si>
    <t>Jun</t>
  </si>
  <si>
    <t>Jul</t>
  </si>
  <si>
    <t>Aug</t>
  </si>
  <si>
    <t>Sep</t>
  </si>
  <si>
    <t>Oct</t>
  </si>
  <si>
    <t>Nov</t>
  </si>
  <si>
    <t>Dec</t>
  </si>
  <si>
    <t>MAXIMUM DEMAND SAVING MODEL</t>
  </si>
  <si>
    <t>Max Demand</t>
  </si>
  <si>
    <t>Demand Charge</t>
  </si>
  <si>
    <t>Batt Inverter discharge over 6 hours</t>
  </si>
  <si>
    <t>Probability</t>
  </si>
  <si>
    <t>Demand Saving</t>
  </si>
  <si>
    <t>Financial Model Inputs</t>
  </si>
  <si>
    <t>Standard RRI/Direct Ownership term</t>
  </si>
  <si>
    <t>Fedgroup Platform</t>
  </si>
  <si>
    <t>Bank-Financed Term</t>
  </si>
  <si>
    <t>Default is now 10 years</t>
  </si>
  <si>
    <t>Lease Deposit</t>
  </si>
  <si>
    <t>% of EPC cost paid in year 0</t>
  </si>
  <si>
    <t>Lease kWh Escalation</t>
  </si>
  <si>
    <t>Landlord determined</t>
  </si>
  <si>
    <t>EPC Charge (Monitoring)</t>
  </si>
  <si>
    <t>Monitoring Only</t>
  </si>
  <si>
    <t>EPC Charge (O&amp;M)</t>
  </si>
  <si>
    <t>O&amp;M Only, no Performance Guarantee</t>
  </si>
  <si>
    <t>EPC SED contribution</t>
  </si>
  <si>
    <t>Approval required to waiver</t>
  </si>
  <si>
    <t>BDP Commission</t>
  </si>
  <si>
    <t>Investor Hurdle Rate</t>
  </si>
  <si>
    <t>Is Investor VAT Vendor</t>
  </si>
  <si>
    <t>Model Cashflows</t>
  </si>
  <si>
    <t>Annual Solar Production (kWh)</t>
  </si>
  <si>
    <t>Consumed Energy</t>
  </si>
  <si>
    <t>Feed-in Energy</t>
  </si>
  <si>
    <t>Arbitrage cycles per day</t>
  </si>
  <si>
    <t xml:space="preserve">Curtailed Energy </t>
  </si>
  <si>
    <t>Loadshed Energy (% of produced)</t>
  </si>
  <si>
    <t>Direct Funded Models</t>
  </si>
  <si>
    <t>Self Funded</t>
  </si>
  <si>
    <t>Financial Inputs [R1000]</t>
  </si>
  <si>
    <t>11-20</t>
  </si>
  <si>
    <t>Capital Expenditure</t>
  </si>
  <si>
    <t xml:space="preserve">Electricity Savings </t>
  </si>
  <si>
    <t>Consumed Energy Savings</t>
  </si>
  <si>
    <t>Feed-in Energy Savings (Potential Losses)</t>
  </si>
  <si>
    <t>Loadshedding Losses 5 years</t>
  </si>
  <si>
    <t>IRR</t>
  </si>
  <si>
    <t>Yearly Net Cash Flow</t>
  </si>
  <si>
    <t>/Wp</t>
  </si>
  <si>
    <t xml:space="preserve">Cumulated Cash Flow </t>
  </si>
  <si>
    <t>Diesel Saving</t>
  </si>
  <si>
    <t>Selected BESS Income Model</t>
  </si>
  <si>
    <t>Tariff Arbitrage</t>
  </si>
  <si>
    <t>Max Demand Saving</t>
  </si>
  <si>
    <t>Tenant Levy</t>
  </si>
  <si>
    <t>Repayment</t>
  </si>
  <si>
    <t xml:space="preserve">Financial inputs [R1000] </t>
  </si>
  <si>
    <t>Service Fee</t>
  </si>
  <si>
    <t>O&amp;M</t>
  </si>
  <si>
    <t>Utility Import Tariff (R/kWh)</t>
  </si>
  <si>
    <t>All inclusive solar rate (R/kWh)</t>
  </si>
  <si>
    <t>Graduated Instalment Sale Agreement Model</t>
  </si>
  <si>
    <t>Instalment Sale Agreement Model</t>
  </si>
  <si>
    <t>Non-standard models</t>
  </si>
  <si>
    <t>Roof Rental Income</t>
  </si>
  <si>
    <t>Direct Ownership/RRI Model</t>
  </si>
  <si>
    <t xml:space="preserve">Cumulated net cash flow </t>
  </si>
  <si>
    <t>Income</t>
  </si>
  <si>
    <t>Total Area Occupied</t>
  </si>
  <si>
    <t>Power Purchase Agreement</t>
  </si>
  <si>
    <t>Savings from PPA</t>
  </si>
  <si>
    <t>Feed-in benefit</t>
  </si>
  <si>
    <t>Effective PPA Rate (R/kWh)</t>
  </si>
  <si>
    <r>
      <t xml:space="preserve">Project </t>
    </r>
    <r>
      <rPr>
        <b/>
        <sz val="40"/>
        <color rgb="FF1EA349"/>
        <rFont val="Proxima Nova Extrabold"/>
        <family val="2"/>
      </rPr>
      <t>Summary</t>
    </r>
  </si>
  <si>
    <t>Property address</t>
  </si>
  <si>
    <t xml:space="preserve">Sizing Rationale </t>
  </si>
  <si>
    <t xml:space="preserve">Number of Solar Panels </t>
  </si>
  <si>
    <t xml:space="preserve">Annual Reference Yield </t>
  </si>
  <si>
    <t>Total Annual kWh (y1)</t>
  </si>
  <si>
    <t>Your Designer</t>
  </si>
  <si>
    <t>Financial Highlights</t>
  </si>
  <si>
    <t>System Cost</t>
  </si>
  <si>
    <r>
      <t xml:space="preserve">Blended tariff </t>
    </r>
    <r>
      <rPr>
        <sz val="8"/>
        <color rgb="FF202120"/>
        <rFont val="Verdana"/>
        <family val="2"/>
      </rPr>
      <t>(per kWh)</t>
    </r>
  </si>
  <si>
    <r>
      <t xml:space="preserve">Exchange rate </t>
    </r>
    <r>
      <rPr>
        <sz val="8"/>
        <color rgb="FF202120"/>
        <rFont val="Verdana"/>
        <family val="2"/>
      </rPr>
      <t>(USD)</t>
    </r>
  </si>
  <si>
    <r>
      <t xml:space="preserve">Electricity Savings </t>
    </r>
    <r>
      <rPr>
        <sz val="8"/>
        <color rgb="FF202120"/>
        <rFont val="Verdana"/>
        <family val="2"/>
      </rPr>
      <t>(Year1)</t>
    </r>
  </si>
  <si>
    <r>
      <rPr>
        <b/>
        <sz val="7"/>
        <color rgb="FF1EA34A"/>
        <rFont val="Times New Roman"/>
        <family val="1"/>
      </rPr>
      <t xml:space="preserve"> </t>
    </r>
    <r>
      <rPr>
        <b/>
        <sz val="30"/>
        <color rgb="FF1EA34A"/>
        <rFont val="Proxima Nova Extrabold"/>
        <family val="2"/>
      </rPr>
      <t xml:space="preserve">System </t>
    </r>
    <r>
      <rPr>
        <b/>
        <sz val="30"/>
        <color rgb="FFA7A9AC"/>
        <rFont val="Proxima Nova Extrabold"/>
        <family val="2"/>
      </rPr>
      <t>Performance</t>
    </r>
  </si>
  <si>
    <t xml:space="preserve">Panels degradation factor </t>
  </si>
  <si>
    <t xml:space="preserve">Is the ratio by which Panels performance decreases yearly.  </t>
  </si>
  <si>
    <t>Solar reference yield (kWh/kWp):*</t>
  </si>
  <si>
    <t>Measures the efficiency of your Solar system.</t>
  </si>
  <si>
    <t>Annual Energy Yield in kWh (Y1)</t>
  </si>
  <si>
    <t xml:space="preserve">The amount of solar energy generated Annually. </t>
  </si>
  <si>
    <t>Blended Solar Tariff</t>
  </si>
  <si>
    <t>Reviewed tariff based on utility and feed-in tariffs.</t>
  </si>
  <si>
    <t>Solar Savings in ZAR (Y1)</t>
  </si>
  <si>
    <t>Energy Yield x Solar Tariff.</t>
  </si>
  <si>
    <t>Yearly Generation (kWh) over 20 years</t>
  </si>
  <si>
    <r>
      <rPr>
        <b/>
        <sz val="7"/>
        <color rgb="FF424745"/>
        <rFont val="Times New Roman"/>
        <family val="1"/>
      </rPr>
      <t xml:space="preserve"> </t>
    </r>
    <r>
      <rPr>
        <b/>
        <sz val="12"/>
        <color rgb="FF424745"/>
        <rFont val="Proxima Nova Rg"/>
      </rPr>
      <t>Your Daily Energy Profile</t>
    </r>
  </si>
  <si>
    <t>Solar PV Generation vs Customer Consumption (Monthly Y1)</t>
  </si>
  <si>
    <t>Financials</t>
  </si>
  <si>
    <t xml:space="preserve">Self-Funded </t>
  </si>
  <si>
    <t>CAPEX:</t>
  </si>
  <si>
    <t xml:space="preserve">IRR: </t>
  </si>
  <si>
    <t xml:space="preserve">Payback: </t>
  </si>
  <si>
    <t>Cost per Wp:</t>
  </si>
  <si>
    <t>Loan Terms:</t>
  </si>
  <si>
    <t xml:space="preserve">Instalment Sale Agreement </t>
  </si>
  <si>
    <t>5 years</t>
  </si>
  <si>
    <t xml:space="preserve">Loan-to-Value Ratio </t>
  </si>
  <si>
    <t xml:space="preserve">Total Repayments Y1 </t>
  </si>
  <si>
    <t>Total Solar Savings Y1</t>
  </si>
  <si>
    <t xml:space="preserve">PPA  </t>
  </si>
  <si>
    <t>Monthly saving Y1</t>
  </si>
  <si>
    <t>Starting Tariff/kWh :</t>
  </si>
  <si>
    <t>Total savings (20Y):</t>
  </si>
  <si>
    <t>Duration:</t>
  </si>
  <si>
    <t xml:space="preserve">20 years </t>
  </si>
  <si>
    <t xml:space="preserve">Roof Rental </t>
  </si>
  <si>
    <t>Monthly income Y1:</t>
  </si>
  <si>
    <t>Monthly Income/m2:</t>
  </si>
  <si>
    <t>Total income (20Y):</t>
  </si>
  <si>
    <t xml:space="preserve">Self Funded </t>
  </si>
  <si>
    <t>Total Outlay</t>
  </si>
  <si>
    <t>Payback (years)</t>
  </si>
  <si>
    <t>Cost per Wp</t>
  </si>
  <si>
    <t xml:space="preserve">Roof Rental Income </t>
  </si>
  <si>
    <t>Average Monthly Income Y1</t>
  </si>
  <si>
    <t>Total Income 20 Years</t>
  </si>
  <si>
    <t xml:space="preserve">20 Years </t>
  </si>
  <si>
    <t>Income per sqm Y1</t>
  </si>
  <si>
    <t>Income Duration</t>
  </si>
  <si>
    <t>PPA</t>
  </si>
  <si>
    <t>Average Monthly Saving Y1</t>
  </si>
  <si>
    <t>Total Savings 20 Years</t>
  </si>
  <si>
    <t>Starting Tariff per kWh</t>
  </si>
  <si>
    <t>Savings Duration</t>
  </si>
  <si>
    <t>Appendix 3: Financial Model Considerations &amp; Payment Terms</t>
  </si>
  <si>
    <t>5: Payment Terms:</t>
  </si>
  <si>
    <t>Milestone</t>
  </si>
  <si>
    <t>Milestone Assessment Guide</t>
  </si>
  <si>
    <t>Percentage</t>
  </si>
  <si>
    <t>Amount Due</t>
  </si>
  <si>
    <t xml:space="preserve">Acceptance and Initial deposit </t>
  </si>
  <si>
    <t>Signature of this Proposal</t>
  </si>
  <si>
    <t xml:space="preserve">Delivery of Panels </t>
  </si>
  <si>
    <t>Receipt of solar panels of site</t>
  </si>
  <si>
    <t xml:space="preserve">Receipt of inverters on site </t>
  </si>
  <si>
    <t>Practical Completion</t>
  </si>
  <si>
    <t>All provisional test successful finalised</t>
  </si>
  <si>
    <t xml:space="preserve">Hand Over </t>
  </si>
  <si>
    <t xml:space="preserve">All documentation provided </t>
  </si>
  <si>
    <t>Project Summary</t>
  </si>
  <si>
    <t>Financial highlights</t>
  </si>
  <si>
    <t>System cost</t>
  </si>
  <si>
    <t xml:space="preserve">Number of Panels </t>
  </si>
  <si>
    <t xml:space="preserve">Electricity Savings (year 1) </t>
  </si>
  <si>
    <t xml:space="preserve">Exchange rate </t>
  </si>
  <si>
    <t>Designer</t>
  </si>
  <si>
    <t xml:space="preserve">Self Funded  </t>
  </si>
  <si>
    <t>Cost per Watt (peak)</t>
  </si>
  <si>
    <t>Payback year</t>
  </si>
  <si>
    <t>Instalment Sale Agreement</t>
  </si>
  <si>
    <t>Electricity savings y1</t>
  </si>
  <si>
    <t>total loan repayment Y1</t>
  </si>
  <si>
    <t>]</t>
  </si>
  <si>
    <t>Monthly income year 1</t>
  </si>
  <si>
    <t>Cost per sqm year 1</t>
  </si>
  <si>
    <t xml:space="preserve">Total income 20years </t>
  </si>
  <si>
    <t>20 years</t>
  </si>
  <si>
    <t>Income duration</t>
  </si>
  <si>
    <t>Monthly savings year 1</t>
  </si>
  <si>
    <t>Starting Tariff /kWh</t>
  </si>
  <si>
    <t xml:space="preserve">Total Savings 20years </t>
  </si>
  <si>
    <t>Savings duration</t>
  </si>
  <si>
    <t xml:space="preserve">The total amount of energy consumed </t>
  </si>
  <si>
    <t>Working Hours (x/24)</t>
  </si>
  <si>
    <t>Impact the  system size and ref. yield</t>
  </si>
  <si>
    <t>Roof Area (sqm)</t>
  </si>
  <si>
    <t xml:space="preserve">Space available for the solar system </t>
  </si>
  <si>
    <t>System Size (kWp)</t>
  </si>
  <si>
    <t>Reference Yield (kWh/kWp)</t>
  </si>
  <si>
    <t>Yearly Generation (kWh)</t>
  </si>
  <si>
    <t>Tariff (R/kWh)</t>
  </si>
  <si>
    <t>Savings (Rands)</t>
  </si>
  <si>
    <t>Roof description</t>
  </si>
  <si>
    <t>Module Area</t>
  </si>
  <si>
    <t>roof #</t>
  </si>
  <si>
    <t>Orientation to North</t>
  </si>
  <si>
    <t>kwh/kWp</t>
  </si>
  <si>
    <t>roof inclination</t>
  </si>
  <si>
    <t>roof orientation</t>
  </si>
  <si>
    <t>location</t>
  </si>
  <si>
    <t>Western Cape</t>
  </si>
  <si>
    <t>Northern Cape</t>
  </si>
  <si>
    <t>Kwazulu Natal</t>
  </si>
  <si>
    <t>Limpopo</t>
  </si>
  <si>
    <t>Mpumalanga</t>
  </si>
  <si>
    <t>Factor</t>
  </si>
  <si>
    <t>North West</t>
  </si>
  <si>
    <t>Eastern Cape</t>
  </si>
  <si>
    <t>Free State</t>
  </si>
  <si>
    <t>PV production</t>
  </si>
  <si>
    <t>Use this Data?</t>
  </si>
  <si>
    <t>Pass Logic Test</t>
  </si>
  <si>
    <t>SYSTEM SPECIFICS:</t>
  </si>
  <si>
    <t>Size of solar facility</t>
  </si>
  <si>
    <t>Funding option</t>
  </si>
  <si>
    <t>BD to select from drop down list</t>
  </si>
  <si>
    <t>Supply period</t>
  </si>
  <si>
    <r>
      <t>X</t>
    </r>
    <r>
      <rPr>
        <sz val="10"/>
        <color rgb="FF5B6670"/>
        <rFont val="Gotham HTF Book"/>
      </rPr>
      <t xml:space="preserve"> Years</t>
    </r>
  </si>
  <si>
    <t>BD to select from drop down list, preference and alternative</t>
  </si>
  <si>
    <t xml:space="preserve">Blended Grid Tariff </t>
  </si>
  <si>
    <r>
      <t>R</t>
    </r>
    <r>
      <rPr>
        <sz val="10"/>
        <color theme="1"/>
        <rFont val="Calibri"/>
        <family val="2"/>
      </rPr>
      <t xml:space="preserve"> X</t>
    </r>
    <r>
      <rPr>
        <sz val="10"/>
        <color rgb="FF5B6670"/>
        <rFont val="Gotham HTF Book"/>
      </rPr>
      <t xml:space="preserve"> /kWh </t>
    </r>
  </si>
  <si>
    <t>Escalation</t>
  </si>
  <si>
    <r>
      <t xml:space="preserve">Local authority escalation approved by NERSA, modelled at </t>
    </r>
    <r>
      <rPr>
        <sz val="10"/>
        <color theme="1"/>
        <rFont val="Calibri"/>
        <family val="2"/>
      </rPr>
      <t>8</t>
    </r>
    <r>
      <rPr>
        <sz val="10"/>
        <color rgb="FF5B6670"/>
        <rFont val="Gotham HTF Book"/>
      </rPr>
      <t xml:space="preserve"> %</t>
    </r>
  </si>
  <si>
    <t>Total Cost (excl VAT);</t>
  </si>
  <si>
    <t>Total Cost (incl VAT);</t>
  </si>
  <si>
    <t>USD Rate at Time of proposal</t>
  </si>
  <si>
    <t>Total number of panels</t>
  </si>
  <si>
    <t>Total cost per panel incl. VAT</t>
  </si>
  <si>
    <t>FACILITY DETAILS: X Year ISA</t>
  </si>
  <si>
    <t>Capital</t>
  </si>
  <si>
    <t>R X</t>
  </si>
  <si>
    <t>Prime Rate at time of costing</t>
  </si>
  <si>
    <t>Interest Rate offered</t>
  </si>
  <si>
    <t xml:space="preserve">Proposed rate: X % </t>
  </si>
  <si>
    <t xml:space="preserve">Loan period </t>
  </si>
  <si>
    <t>X years</t>
  </si>
  <si>
    <t>Repayment (incl VAT)</t>
  </si>
  <si>
    <t>The facility will be serviced by monthly instalments</t>
  </si>
  <si>
    <t>Total Interest (incl VAT)</t>
  </si>
  <si>
    <t>Total Repayments (incl VAT)</t>
  </si>
  <si>
    <r>
      <t>X</t>
    </r>
    <r>
      <rPr>
        <sz val="10"/>
        <color rgb="FF5B6670"/>
        <rFont val="Gotham HTF Book"/>
      </rPr>
      <t xml:space="preserve"> kWp</t>
    </r>
  </si>
  <si>
    <r>
      <t xml:space="preserve">Local authority escalation approved by NERSA, modelled at </t>
    </r>
    <r>
      <rPr>
        <sz val="10"/>
        <color theme="1"/>
        <rFont val="Calibri"/>
        <family val="2"/>
      </rPr>
      <t>X</t>
    </r>
    <r>
      <rPr>
        <sz val="10"/>
        <color rgb="FF5B6670"/>
        <rFont val="Gotham HTF Book"/>
      </rPr>
      <t xml:space="preserve"> %</t>
    </r>
  </si>
  <si>
    <t>Solar Blended Grid Tariff</t>
  </si>
  <si>
    <t>Solar Tariff Discount (D) - vs Grid tariff</t>
  </si>
  <si>
    <t>Solar Tariff (C) - ISA effective solar tariff</t>
  </si>
  <si>
    <r>
      <t>R</t>
    </r>
    <r>
      <rPr>
        <sz val="10"/>
        <color theme="1"/>
        <rFont val="Calibri"/>
        <family val="2"/>
      </rPr>
      <t xml:space="preserve"> X</t>
    </r>
    <r>
      <rPr>
        <sz val="10"/>
        <color rgb="FF5B6670"/>
        <rFont val="Gotham HTF Book"/>
      </rPr>
      <t xml:space="preserve"> /kWh</t>
    </r>
  </si>
  <si>
    <t>A= the monthly Solar Facility Fee, expressed in South African Rand (ZAR);</t>
  </si>
  <si>
    <t xml:space="preserve">B= the total amount of electricity generated by the Solar Facility and consumption thereof measured by an approved revenue grade meter, calculated in kilowatt hours; </t>
  </si>
  <si>
    <t>C= the Solar Tariff (ZAR/kWh) set out in 5(iv) above escalated as provided for in 5(v &amp; vi) above.</t>
  </si>
  <si>
    <t>Monthly Solar Facility Fee (A) = B * C</t>
  </si>
  <si>
    <t>Electricity Savings (Y1)</t>
  </si>
  <si>
    <r>
      <t>R</t>
    </r>
    <r>
      <rPr>
        <sz val="10"/>
        <color theme="1"/>
        <rFont val="Calibri"/>
        <family val="2"/>
      </rPr>
      <t xml:space="preserve"> X</t>
    </r>
  </si>
  <si>
    <t>Total Cost (RX/USD);</t>
  </si>
  <si>
    <r>
      <t>R</t>
    </r>
    <r>
      <rPr>
        <sz val="10"/>
        <color theme="1"/>
        <rFont val="Calibri"/>
        <family val="2"/>
      </rPr>
      <t xml:space="preserve"> X</t>
    </r>
    <r>
      <rPr>
        <sz val="10"/>
        <color rgb="FF5B6670"/>
        <rFont val="Gotham HTF Book"/>
      </rPr>
      <t xml:space="preserve"> excl. VAT; R</t>
    </r>
    <r>
      <rPr>
        <sz val="10"/>
        <color theme="1"/>
        <rFont val="Calibri"/>
        <family val="2"/>
      </rPr>
      <t xml:space="preserve"> X</t>
    </r>
    <r>
      <rPr>
        <sz val="10"/>
        <color rgb="FF5B6670"/>
        <rFont val="Gotham HTF Book"/>
      </rPr>
      <t xml:space="preserve"> incl. VAT</t>
    </r>
  </si>
  <si>
    <t>X</t>
  </si>
  <si>
    <t>Total cost per panel</t>
  </si>
  <si>
    <t>FACILITY DETAILS: X Year PPA</t>
  </si>
  <si>
    <t>Capital Outlay</t>
  </si>
  <si>
    <t>Total Inflows (Power purchase less rooftop rental)</t>
  </si>
  <si>
    <t>X%</t>
  </si>
  <si>
    <t>SUPPLY PERIOD AND LEASE PERIOD:</t>
  </si>
  <si>
    <t>blank</t>
  </si>
  <si>
    <t>SOLAR FACILITY FEE PERIOD</t>
  </si>
  <si>
    <t xml:space="preserve">SOLAR TARIFF </t>
  </si>
  <si>
    <r>
      <t> </t>
    </r>
    <r>
      <rPr>
        <sz val="9"/>
        <color theme="1"/>
        <rFont val="Tahoma"/>
        <family val="2"/>
      </rPr>
      <t>Local Authority Billing Rate</t>
    </r>
  </si>
  <si>
    <r>
      <t>SOLAR TARIFF DISCOUNT</t>
    </r>
    <r>
      <rPr>
        <sz val="8"/>
        <color theme="1"/>
        <rFont val="Arial"/>
        <family val="2"/>
      </rPr>
      <t> </t>
    </r>
    <r>
      <rPr>
        <sz val="9"/>
        <color theme="1"/>
        <rFont val="Tahoma"/>
        <family val="2"/>
      </rPr>
      <t xml:space="preserve"> </t>
    </r>
  </si>
  <si>
    <t>Large Power User = 5%</t>
  </si>
  <si>
    <t>Small Power User = 10%</t>
  </si>
  <si>
    <t>ESCALATION PERCENTAGE:</t>
  </si>
  <si>
    <t>ESCALATION METHOD:</t>
  </si>
  <si>
    <t>ESCALATION DATE:</t>
  </si>
  <si>
    <t>ESCALATION FREQUENCY:</t>
  </si>
  <si>
    <t xml:space="preserve">           A=      B x C  	
Where:
	A= the monthly Solar Facility Fee, expressed in South African Rand (ZAR);
	B= the total amount of electricity generated by the Solar Facility and consumption thereof measured by an approved revenue grade meter, calculated in kilowatt hours; 
	C= the Solar Tariff (ZAR/kWh) set out in 5(iv) above escalated as provided for in 5(v &amp; vi) above.</t>
  </si>
  <si>
    <t>Other Requirements:</t>
  </si>
  <si>
    <t xml:space="preserve">1. Sensitivity analysis indicating impact on IRR of: </t>
  </si>
  <si>
    <t>a. Loadshedding</t>
  </si>
  <si>
    <t>b. Tariff changes</t>
  </si>
  <si>
    <t>c. Nersa increases</t>
  </si>
  <si>
    <t>(these may not be applicable?)</t>
  </si>
  <si>
    <t>add more from CSC reports and older models</t>
  </si>
  <si>
    <t>FACILITY DETAILS: X Year RRI</t>
  </si>
  <si>
    <t>RENTAL FEE PERIOD</t>
  </si>
  <si>
    <t xml:space="preserve">Each period of one month within the Lease Period, provided that the first Rental Fee Period commences on the Effective Date and ends on the last day of the month of the Effective Date, and each subsequent Rental Fee Period commences on the first day and ends on the last day of each succeeding month. The Rental Fee applicable in the first Rental Fee Period will be pro-rated to the number of days in the first Rental Fee Period, or </t>
  </si>
  <si>
    <t>Each period of 1 (one) Month which falls within the Supply Period, provided that the first Fee Period will commence on the Payment Commencement Date and the final Fee Period will commence on the first day of the Month in which the Termination Date occurs and will end on the Termination Date</t>
  </si>
  <si>
    <t>Responsible Authority Billing Rate for usage as at the Signature Date</t>
  </si>
  <si>
    <t>SOLAR TARIFF DISCOUNT (ROOF RENTAL INCOME)</t>
  </si>
  <si>
    <t>TBC% discount on Solar Tariff.</t>
  </si>
  <si>
    <t xml:space="preserve">Local Authority Rate Escalation approved by NERSA </t>
  </si>
  <si>
    <t>As and when escalated by Responsible Authority</t>
  </si>
  <si>
    <t xml:space="preserve">           A=      B x C  	
Where:
	A= the monthly Solar Facility Fee, expressed in South African Rand (ZAR);
	B= the total amount of electricity generated by the Solar Facility and measured by an approved revenue grade meter, calculated in kilowatt hours; 
	C= the Solar Tariff (ZAR/kWh) set out in 5(iv) above escalated as provided for in 5(v &amp; vi) above.
</t>
  </si>
  <si>
    <t>Period</t>
  </si>
  <si>
    <t>Term</t>
  </si>
  <si>
    <t>Date</t>
  </si>
  <si>
    <t>Insurance</t>
  </si>
  <si>
    <t>Platform Fee</t>
  </si>
  <si>
    <t>Tax</t>
  </si>
  <si>
    <t>PRODUCTION CURVE MONTHLY PER MONTH</t>
  </si>
  <si>
    <t>PER WATT PRODUCTION PER MONTH</t>
  </si>
  <si>
    <t xml:space="preserve">Ref Size (kWp): </t>
  </si>
  <si>
    <t>Rest of SA</t>
  </si>
  <si>
    <t>kVA savings</t>
  </si>
  <si>
    <t>Limits on yields</t>
  </si>
  <si>
    <t>Effect of inverter choice on yield</t>
  </si>
  <si>
    <t>Separate mounting types for single project</t>
  </si>
  <si>
    <t>Update costing</t>
  </si>
  <si>
    <t>Improve outputs page</t>
  </si>
  <si>
    <t>Carbon footprint output</t>
  </si>
  <si>
    <t>Buy-back options</t>
  </si>
  <si>
    <t>Mount break</t>
  </si>
  <si>
    <t>Panel comparison (type)</t>
  </si>
  <si>
    <t>Master parameters page</t>
  </si>
  <si>
    <t>Tax updates</t>
  </si>
  <si>
    <t>Auto FA spit out</t>
  </si>
  <si>
    <t>Mounting feasibility</t>
  </si>
  <si>
    <t>Time of day</t>
  </si>
  <si>
    <t>Consumption Before Solar</t>
  </si>
  <si>
    <t>Solar production</t>
  </si>
  <si>
    <t xml:space="preserve">Consumption After Solar </t>
  </si>
  <si>
    <t xml:space="preserve">Monthly Energy </t>
  </si>
  <si>
    <t>override highlighted cells if necessary?</t>
  </si>
  <si>
    <t>Start time (e.g. 13:00)</t>
  </si>
  <si>
    <t>Ref size</t>
  </si>
  <si>
    <t>Working hours</t>
  </si>
  <si>
    <t xml:space="preserve">No of days </t>
  </si>
  <si>
    <t xml:space="preserve">Consumption </t>
  </si>
  <si>
    <t>Night-time/off-work hours load (5% Monthly consumption)</t>
  </si>
  <si>
    <t xml:space="preserve">PV system size </t>
  </si>
  <si>
    <t>Closing Balance</t>
  </si>
  <si>
    <t>Interest</t>
  </si>
  <si>
    <t>Do Not Override Here</t>
  </si>
  <si>
    <t>Do Not Override here</t>
  </si>
  <si>
    <t>Comms Equipment and Energy logger</t>
  </si>
  <si>
    <t>Ps and Gs</t>
  </si>
  <si>
    <t>Main Gateway Cable (Tie-In)</t>
  </si>
  <si>
    <t>100% of Capex</t>
  </si>
  <si>
    <t>Q2 2025</t>
  </si>
  <si>
    <t xml:space="preserve">PD Commission </t>
  </si>
  <si>
    <t>PD Margin</t>
  </si>
  <si>
    <t>Loan Repayments (Excl VAT)</t>
  </si>
  <si>
    <t>BESS Savings</t>
  </si>
  <si>
    <t>Batt Inverter discharge over whole work day</t>
  </si>
  <si>
    <t>PD Fee</t>
  </si>
  <si>
    <t>Loan Term</t>
  </si>
  <si>
    <t>Monthly Repayment</t>
  </si>
  <si>
    <t>S12B Tax Deduction  - 100% of Capex, 12B</t>
  </si>
  <si>
    <t>kWh/kWp</t>
  </si>
  <si>
    <t>Check that the model has passed or Failed</t>
  </si>
  <si>
    <t>Tue</t>
  </si>
  <si>
    <t>Mon</t>
  </si>
  <si>
    <t>Wed</t>
  </si>
  <si>
    <t>Thu</t>
  </si>
  <si>
    <t>Fri</t>
  </si>
  <si>
    <t>Sat</t>
  </si>
  <si>
    <t>Sun</t>
  </si>
  <si>
    <t>Tariff Discount</t>
  </si>
  <si>
    <t>Site Address</t>
  </si>
  <si>
    <t>BESS Saving Model</t>
  </si>
  <si>
    <t>Need to unhide the cashflows for the other years to pull through in the ISA comparitive graph below</t>
  </si>
  <si>
    <t>Self-Consumption Ratio</t>
  </si>
  <si>
    <t xml:space="preserve">How much of the total energy consumption is made up of solar  </t>
  </si>
  <si>
    <t xml:space="preserve">How much of the energy is consumed on site less the exported or curtailed energy. </t>
  </si>
  <si>
    <t>Weekly Consumption Profile To Be Replaced with data tool graph when applicable</t>
  </si>
  <si>
    <t xml:space="preserve">Model Set to Feed-In </t>
  </si>
  <si>
    <t>Amount Exported/Curtailed</t>
  </si>
  <si>
    <t>BESS Life Cycles</t>
  </si>
  <si>
    <t>Solar Annual kWh</t>
  </si>
  <si>
    <t xml:space="preserve">BESS Annual Usable kWh </t>
  </si>
  <si>
    <t>Solar</t>
  </si>
  <si>
    <t>BESS</t>
  </si>
  <si>
    <t>Comparitive PPA Showing Cashflow with Feed-in and losses</t>
  </si>
  <si>
    <t xml:space="preserve">PPA Savings Self-Consumption </t>
  </si>
  <si>
    <t>Cummulated net cash flow</t>
  </si>
  <si>
    <t xml:space="preserve">Utility Export Tariff (R/kWh) </t>
  </si>
  <si>
    <t xml:space="preserve">PPA Savings Feed-in </t>
  </si>
  <si>
    <t>Effective PPA Rate - With feed-in on</t>
  </si>
  <si>
    <t>Energy Savings</t>
  </si>
  <si>
    <t>Repayments - Annual</t>
  </si>
  <si>
    <t>Q3 2025</t>
  </si>
  <si>
    <t>NPV Sensitivity:</t>
  </si>
  <si>
    <t>Performance</t>
  </si>
  <si>
    <t>IRR Sensitivity:</t>
  </si>
  <si>
    <t>Assumptions:</t>
  </si>
  <si>
    <t>Cost Excl VAT</t>
  </si>
  <si>
    <t>Annual Production (kWh)</t>
  </si>
  <si>
    <t>Tariff Escalaction</t>
  </si>
  <si>
    <t>Grid Tariff</t>
  </si>
  <si>
    <t>Performance Guarantee</t>
  </si>
  <si>
    <t>Rooftop Rental</t>
  </si>
  <si>
    <t>O&amp;M % of Capex</t>
  </si>
  <si>
    <t>Insurance % of Capex</t>
  </si>
  <si>
    <t>Administration Fee</t>
  </si>
  <si>
    <t>General Model (PPA):</t>
  </si>
  <si>
    <t>Monthly Fee</t>
  </si>
  <si>
    <t>Grid Saving</t>
  </si>
  <si>
    <t>Net Saving</t>
  </si>
  <si>
    <t>Production</t>
  </si>
  <si>
    <t>PPA Tariff</t>
  </si>
  <si>
    <t>Fedgroup</t>
  </si>
  <si>
    <t>Income Net of Rooftop Rental</t>
  </si>
  <si>
    <t xml:space="preserve">Maintenance Allowance </t>
  </si>
  <si>
    <t>Pre Tax - Yearly Net Cash Flow</t>
  </si>
  <si>
    <t>Post Tax - Yearly Net Cash Flow</t>
  </si>
  <si>
    <t>Cumulative cashflows</t>
  </si>
  <si>
    <t>IRR - Pre Tax</t>
  </si>
  <si>
    <t>IRR - Post Tax</t>
  </si>
  <si>
    <t>NPV</t>
  </si>
  <si>
    <t>Tax Calculation (Amort)</t>
  </si>
  <si>
    <t>Opening Balance</t>
  </si>
  <si>
    <t>12B</t>
  </si>
  <si>
    <t>Net Cash Flow</t>
  </si>
  <si>
    <t>Tax Expense</t>
  </si>
  <si>
    <t>Buyout Model</t>
  </si>
  <si>
    <t>Cashflows</t>
  </si>
  <si>
    <t>Variables</t>
  </si>
  <si>
    <t>Start date</t>
  </si>
  <si>
    <t>Annual Interest Rate</t>
  </si>
  <si>
    <t>Effective Rate</t>
  </si>
  <si>
    <t>Daily Interest Rate</t>
  </si>
  <si>
    <t>Total Interest</t>
  </si>
  <si>
    <t>Amort table</t>
  </si>
  <si>
    <t>Amortization</t>
  </si>
  <si>
    <t>Movements</t>
  </si>
  <si>
    <t>Closing balance</t>
  </si>
  <si>
    <t>Target Hurdle IRR</t>
  </si>
  <si>
    <t>Modelled PPA/RRI Escalation</t>
  </si>
  <si>
    <t>ISA Term</t>
  </si>
  <si>
    <t>Instalment Sale Agreement Term Length</t>
  </si>
  <si>
    <t>ISA Interest Rate</t>
  </si>
  <si>
    <t>Interest Rate per Annum</t>
  </si>
  <si>
    <t>Other Amounts</t>
  </si>
  <si>
    <t>Total Repayments</t>
  </si>
  <si>
    <t>CHECK</t>
  </si>
  <si>
    <t>Capital (Incl VAT)</t>
  </si>
  <si>
    <t>Add O&amp;M Charges to EPC Price here - Year 1</t>
  </si>
  <si>
    <t>O&amp;M Fee - EPC Cost Addition</t>
  </si>
  <si>
    <t>Modelled Grid Electricity Escalation</t>
  </si>
  <si>
    <t>7% Standard</t>
  </si>
  <si>
    <t>Escalation (PPA)</t>
  </si>
  <si>
    <t>Escalation (Grid)</t>
  </si>
  <si>
    <t>Load Shedding Energy Loss</t>
  </si>
  <si>
    <t>Model Pass or Fail</t>
  </si>
  <si>
    <t>Deposit Payment</t>
  </si>
  <si>
    <t>Asset Management (O&amp;M Contract)</t>
  </si>
  <si>
    <t>Loadshedding Losses</t>
  </si>
  <si>
    <t>Roof Area Used</t>
  </si>
  <si>
    <t>Per Sqm per Year (ZAR)</t>
  </si>
  <si>
    <t>MV Equipment Budget</t>
  </si>
  <si>
    <t>Metering CT and VT (Metering Transformer)</t>
  </si>
  <si>
    <t>Solar RMU</t>
  </si>
  <si>
    <t>Tie-in Feeder</t>
  </si>
  <si>
    <t>Professional Fees, Protection Grading and Sign-off</t>
  </si>
  <si>
    <t>Step Up Transformer(s) - For Tie-in (Unit - 1MVA)</t>
  </si>
  <si>
    <t>MV Cable - 11kV</t>
  </si>
  <si>
    <t>Override here if necessary</t>
  </si>
  <si>
    <t>Graph comparing grid tariff to PPA tariff</t>
  </si>
  <si>
    <t>Flat Rate</t>
  </si>
  <si>
    <t>South African Rand</t>
  </si>
  <si>
    <t>1.00 ZAR</t>
  </si>
  <si>
    <t>inv. 1.00 ZAR</t>
  </si>
  <si>
    <t>US Dollar</t>
  </si>
  <si>
    <t>0.053048</t>
  </si>
  <si>
    <t>18.850875</t>
  </si>
  <si>
    <t>Euro</t>
  </si>
  <si>
    <t>0.046672</t>
  </si>
  <si>
    <t>21.426286</t>
  </si>
  <si>
    <t>British Pound</t>
  </si>
  <si>
    <t>0.040083</t>
  </si>
  <si>
    <t>24.948363</t>
  </si>
  <si>
    <t>Indian Rupee</t>
  </si>
  <si>
    <t>4.529469</t>
  </si>
  <si>
    <t>0.220776</t>
  </si>
  <si>
    <t>Australian Dollar</t>
  </si>
  <si>
    <t>0.083398</t>
  </si>
  <si>
    <t>11.990718</t>
  </si>
  <si>
    <t>Canadian Dollar</t>
  </si>
  <si>
    <t>0.073668</t>
  </si>
  <si>
    <t>13.574344</t>
  </si>
  <si>
    <t>Singapore Dollar</t>
  </si>
  <si>
    <t>0.069615</t>
  </si>
  <si>
    <t>14.364743</t>
  </si>
  <si>
    <t>Swiss Franc</t>
  </si>
  <si>
    <t>0.043348</t>
  </si>
  <si>
    <t>23.068958</t>
  </si>
  <si>
    <t>Malaysian Ringgit</t>
  </si>
  <si>
    <t>0.233749</t>
  </si>
  <si>
    <t>4.278086</t>
  </si>
  <si>
    <t>Japanese Yen</t>
  </si>
  <si>
    <t>7.560137</t>
  </si>
  <si>
    <t>0.132273</t>
  </si>
  <si>
    <t>Emarantia</t>
  </si>
  <si>
    <t>Large Customer Demand</t>
  </si>
  <si>
    <t>2024/2025 +12,7% increase</t>
  </si>
  <si>
    <t>O&amp;M Quote</t>
  </si>
  <si>
    <t>WEG 100kW</t>
  </si>
  <si>
    <t>SIW400G T100 W0 WEG Client inverter</t>
  </si>
  <si>
    <t>SBW410 T100 – B215 W00 WEG Battery</t>
  </si>
  <si>
    <t>Should quantity change to number of batteries?</t>
  </si>
  <si>
    <t>N</t>
  </si>
  <si>
    <t>WEG WPV 550 HMM3 Panels</t>
  </si>
  <si>
    <t>WEG Modules charged per pallet with 30 modules</t>
  </si>
  <si>
    <t>Flat Big roof</t>
  </si>
  <si>
    <t>WEG ATS for Gen integration as requested by client</t>
  </si>
  <si>
    <t>Do we need this if client is providing equipment?</t>
  </si>
  <si>
    <t>2 Techsitter meters for PPA</t>
  </si>
  <si>
    <t>Requested by Client</t>
  </si>
  <si>
    <t>Charge for PM</t>
  </si>
  <si>
    <t xml:space="preserve">Charge for Design </t>
  </si>
  <si>
    <t>With greenco</t>
  </si>
  <si>
    <t>Without greenco</t>
  </si>
  <si>
    <t xml:space="preserve">Without greenco </t>
  </si>
  <si>
    <t>To handle inrush currents</t>
  </si>
  <si>
    <t>6 Laneshaw St, Longlake Ext 4, Johannesburg, 1619</t>
  </si>
  <si>
    <t>Power control system 1 x 500 for 600kWh</t>
  </si>
  <si>
    <t>Power control system 2 x 500 for 600kWh</t>
  </si>
  <si>
    <t>3 for 600kWH</t>
  </si>
  <si>
    <t>5 for 1000kWh</t>
  </si>
  <si>
    <t>Power Control system 2x500 - Might not be needed</t>
  </si>
  <si>
    <t>WEG Battery (4x 100kVA|214kWh)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</si>
</sst>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2">
    <numFmt numFmtId="6" formatCode="&quot;R&quot;#,##0;[Red]\-&quot;R&quot;#,##0"/>
    <numFmt numFmtId="8" formatCode="&quot;R&quot;#,##0.00;[Red]\-&quot;R&quot;#,##0.00"/>
    <numFmt numFmtId="44" formatCode="_-&quot;R&quot;* #,##0.00_-;\-&quot;R&quot;* #,##0.00_-;_-&quot;R&quot;* &quot;-&quot;??_-;_-@_-"/>
    <numFmt numFmtId="43" formatCode="_-* #,##0.00_-;\-* #,##0.00_-;_-* &quot;-&quot;??_-;_-@_-"/>
    <numFmt numFmtId="164" formatCode="&quot;R&quot;#,##0_);[Red]\(&quot;R&quot;#,##0\)"/>
    <numFmt numFmtId="165" formatCode="&quot;R&quot;#,##0.00_);[Red]\(&quot;R&quot;#,##0.00\)"/>
    <numFmt numFmtId="166" formatCode="_(&quot;R&quot;* #,##0.00_);_(&quot;R&quot;* \(#,##0.00\);_(&quot;R&quot;* &quot;-&quot;??_);_(@_)"/>
    <numFmt numFmtId="167" formatCode="_(* #,##0.00_);_(* \(#,##0.00\);_(* &quot;-&quot;??_);_(@_)"/>
    <numFmt numFmtId="168" formatCode="_(&quot;$&quot;* #,##0.00_);_(&quot;$&quot;* \(#,##0.00\);_(&quot;$&quot;* &quot;-&quot;??_);_(@_)"/>
    <numFmt numFmtId="169" formatCode="&quot;R&quot;\ #,##0;[Red]&quot;R&quot;\ \-#,##0"/>
    <numFmt numFmtId="170" formatCode="&quot;R&quot;\ #,##0.00;[Red]&quot;R&quot;\ \-#,##0.00"/>
    <numFmt numFmtId="171" formatCode="_ &quot;R&quot;\ * #,##0.00_ ;_ &quot;R&quot;\ * \-#,##0.00_ ;_ &quot;R&quot;\ * &quot;-&quot;??_ ;_ @_ "/>
    <numFmt numFmtId="172" formatCode="_ * #,##0.00_ ;_ * \-#,##0.00_ ;_ * &quot;-&quot;??_ ;_ @_ "/>
    <numFmt numFmtId="173" formatCode="0.0%"/>
    <numFmt numFmtId="174" formatCode="#,##0.000000"/>
    <numFmt numFmtId="175" formatCode="0.000%"/>
    <numFmt numFmtId="176" formatCode="&quot;R&quot;\ #,##0.00"/>
    <numFmt numFmtId="177" formatCode="_-* #,##0_-;\-* #,##0_-;_-* &quot;-&quot;??_-;_-@_-"/>
    <numFmt numFmtId="178" formatCode="&quot;R&quot;#,##0.00"/>
    <numFmt numFmtId="179" formatCode="\R\ 0.00\ &quot;/kWh&quot;"/>
    <numFmt numFmtId="180" formatCode="0\ &quot;kWp&quot;"/>
    <numFmt numFmtId="181" formatCode="0\ &quot;kWh/kWp&quot;"/>
    <numFmt numFmtId="182" formatCode="0\ &quot;kW&quot;"/>
    <numFmt numFmtId="183" formatCode="0\ &quot;Wp&quot;"/>
    <numFmt numFmtId="184" formatCode="\R\ 0.0\ &quot;/kWh&quot;"/>
    <numFmt numFmtId="185" formatCode="0\ &quot;° from North&quot;"/>
    <numFmt numFmtId="186" formatCode="0\ &quot;sqm&quot;"/>
    <numFmt numFmtId="187" formatCode="0\ &quot;m&quot;"/>
    <numFmt numFmtId="188" formatCode="0\ &quot;° from Flat&quot;"/>
    <numFmt numFmtId="189" formatCode="[$ZAR]\ #,##0"/>
    <numFmt numFmtId="190" formatCode="0.0"/>
    <numFmt numFmtId="191" formatCode="&quot;R&quot;#,##0"/>
    <numFmt numFmtId="192" formatCode="0.0\ &quot;kWp&quot;"/>
    <numFmt numFmtId="193" formatCode="0.0\ &quot;kW&quot;"/>
    <numFmt numFmtId="194" formatCode="0\ &quot;kW per week&quot;"/>
    <numFmt numFmtId="195" formatCode="0\ &quot;km&quot;"/>
    <numFmt numFmtId="196" formatCode="0.00\ &quot;kWp&quot;"/>
    <numFmt numFmtId="197" formatCode="[$R-1C09]#,##0.00"/>
    <numFmt numFmtId="198" formatCode="_ [$R-1C09]\ * #,##0.00_ ;_ [$R-1C09]\ * \-#,##0.00_ ;_ [$R-1C09]\ * &quot;-&quot;??_ ;_ @_ "/>
    <numFmt numFmtId="199" formatCode="_ [$R-1C09]\ * #,##0_ ;_ [$R-1C09]\ * \-#,##0_ ;_ [$R-1C09]\ * &quot;-&quot;??_ ;_ @_ "/>
    <numFmt numFmtId="200" formatCode="_-[$R-1C09]* #,##0.00_-;\-[$R-1C09]* #,##0.00_-;_-[$R-1C09]* &quot;-&quot;??_-;_-@_-"/>
    <numFmt numFmtId="201" formatCode="[$R-1C09]#,##0.00;\-[$R-1C09]#,##0.00"/>
    <numFmt numFmtId="202" formatCode="##\ &quot;mm&quot;"/>
    <numFmt numFmtId="203" formatCode="##\ &quot;Amp&quot;"/>
    <numFmt numFmtId="204" formatCode="yyyy\-mm\-dd;@"/>
    <numFmt numFmtId="205" formatCode="##\ &quot;Volts&quot;"/>
    <numFmt numFmtId="206" formatCode="##\ \k\W\ \A\C"/>
    <numFmt numFmtId="207" formatCode="##.0\ \k\W\ \A\C"/>
    <numFmt numFmtId="208" formatCode="_([$$-409]* #,##0.00_);_([$$-409]* \(#,##0.00\);_([$$-409]* &quot;-&quot;??_);_(@_)"/>
    <numFmt numFmtId="209" formatCode="0.0000%"/>
    <numFmt numFmtId="210" formatCode="0\ &quot;°&quot;"/>
    <numFmt numFmtId="211" formatCode="_([$$-409]* #,##0.000_);_([$$-409]* \(#,##0.000\);_([$$-409]* &quot;-&quot;??_);_(@_)"/>
    <numFmt numFmtId="212" formatCode="#,##0.0"/>
    <numFmt numFmtId="213" formatCode="&quot;Pay-as-you-save over&quot;\ 0\ &quot;years&quot;"/>
    <numFmt numFmtId="214" formatCode="0.000000"/>
    <numFmt numFmtId="215" formatCode="#,##0.0000000000"/>
    <numFmt numFmtId="216" formatCode="&quot;R&quot;#,##0.00&quot;/Wp&quot;"/>
    <numFmt numFmtId="217" formatCode="\R0.00\ &quot;/kWh&quot;"/>
    <numFmt numFmtId="218" formatCode="_ &quot;R&quot;\ * #,##0_ ;_ &quot;R&quot;\ * \-#,##0_ ;_ &quot;R&quot;\ * &quot;-&quot;??_ ;_ @_ "/>
    <numFmt numFmtId="219" formatCode="_([$$-409]* #,##0.0000_);_([$$-409]* \(#,##0.0000\);_([$$-409]* &quot;-&quot;??_);_(@_)"/>
    <numFmt numFmtId="220" formatCode="[$R-1C09]#,##0"/>
    <numFmt numFmtId="221" formatCode="0\ &quot;kWh&quot;"/>
    <numFmt numFmtId="222" formatCode="h:mm;@"/>
    <numFmt numFmtId="223" formatCode="0\ &quot;kW AC&quot;"/>
    <numFmt numFmtId="224" formatCode="_ * #,##0.000_ ;_ * \-#,##0.000_ ;_ * &quot;-&quot;??_ ;_ @_ "/>
    <numFmt numFmtId="225" formatCode="0.00\ &quot;sqm/module&quot;"/>
    <numFmt numFmtId="226" formatCode="##\ &quot;mm2&quot;"/>
    <numFmt numFmtId="227" formatCode="##\ &quot;A&quot;"/>
    <numFmt numFmtId="228" formatCode="0\ &quot;&quot;"/>
    <numFmt numFmtId="229" formatCode="##\ &quot;DC Strings&quot;"/>
    <numFmt numFmtId="230" formatCode="##\ &quot;Wires&quot;"/>
    <numFmt numFmtId="231" formatCode="\R\ 0.00\ &quot;/kVA&quot;"/>
    <numFmt numFmtId="232" formatCode="_-&quot;R&quot;* #,##0_-;\-&quot;R&quot;* #,##0_-;_-&quot;R&quot;* &quot;-&quot;??_-;_-@_-"/>
    <numFmt numFmtId="233" formatCode="0.00\ &quot;sqm&quot;"/>
    <numFmt numFmtId="234" formatCode="##\ &quot;kVA&quot;"/>
    <numFmt numFmtId="235" formatCode="##\ &quot;kWh&quot;"/>
    <numFmt numFmtId="236" formatCode="##\ &quot; m&quot;"/>
    <numFmt numFmtId="237" formatCode="##\ &quot;Litres&quot;"/>
    <numFmt numFmtId="238" formatCode="_ &quot;R&quot;\ * #,##0.0_ ;_ &quot;R&quot;\ * \-#,##0.0_ ;_ &quot;R&quot;\ * &quot;-&quot;??_ ;_ @_ "/>
    <numFmt numFmtId="239" formatCode="_ &quot;R&quot;\ * #,##0.000_ ;_ &quot;R&quot;\ * \-#,##0.000_ ;_ &quot;R&quot;\ * &quot;-&quot;??_ ;_ @_ "/>
    <numFmt numFmtId="240" formatCode="_ * #,##0_ ;_ * \-#,##0_ ;_ * &quot;-&quot;??_ ;_ @_ "/>
    <numFmt numFmtId="241" formatCode="_-[$R-1C09]* #,##0_-;\-[$R-1C09]* #,##0_-;_-[$R-1C09]* &quot;-&quot;??_-;_-@_-"/>
  </numFmts>
  <fonts count="153">
    <font>
      <sz val="11"/>
      <color theme="1"/>
      <name val="Verdana"/>
      <family val="2"/>
      <scheme val="minor"/>
    </font>
    <font>
      <sz val="11"/>
      <color theme="1"/>
      <name val="Verdana"/>
      <family val="2"/>
      <scheme val="minor"/>
    </font>
    <font>
      <b/>
      <sz val="11"/>
      <color theme="1"/>
      <name val="Verdana"/>
      <family val="2"/>
      <scheme val="minor"/>
    </font>
    <font>
      <sz val="11"/>
      <name val="Verdana"/>
      <family val="2"/>
      <scheme val="minor"/>
    </font>
    <font>
      <b/>
      <sz val="11"/>
      <color theme="0"/>
      <name val="Verdana"/>
      <family val="2"/>
      <scheme val="minor"/>
    </font>
    <font>
      <b/>
      <sz val="11"/>
      <name val="Verdana"/>
      <family val="2"/>
      <scheme val="minor"/>
    </font>
    <font>
      <sz val="11"/>
      <color theme="0"/>
      <name val="Verdana"/>
      <family val="2"/>
      <scheme val="minor"/>
    </font>
    <font>
      <b/>
      <sz val="11"/>
      <color rgb="FF3F3F3F"/>
      <name val="Verdana"/>
      <family val="2"/>
      <scheme val="minor"/>
    </font>
    <font>
      <sz val="11"/>
      <color rgb="FFFF0000"/>
      <name val="Verdana"/>
      <family val="2"/>
      <scheme val="minor"/>
    </font>
    <font>
      <i/>
      <sz val="11"/>
      <color rgb="FF7F7F7F"/>
      <name val="Verdana"/>
      <family val="2"/>
      <scheme val="minor"/>
    </font>
    <font>
      <i/>
      <sz val="11"/>
      <name val="Verdana"/>
      <family val="2"/>
      <scheme val="minor"/>
    </font>
    <font>
      <sz val="11"/>
      <color theme="1"/>
      <name val="Calibri"/>
      <family val="2"/>
    </font>
    <font>
      <b/>
      <sz val="11"/>
      <color rgb="FFFF0000"/>
      <name val="Verdana"/>
      <family val="2"/>
      <scheme val="minor"/>
    </font>
    <font>
      <b/>
      <sz val="9"/>
      <color rgb="FFFFFFFF"/>
      <name val="Verdana"/>
      <family val="2"/>
    </font>
    <font>
      <sz val="18"/>
      <name val="Arial"/>
      <family val="2"/>
    </font>
    <font>
      <b/>
      <sz val="18"/>
      <color rgb="FF1EA349"/>
      <name val="Verdana"/>
      <family val="2"/>
    </font>
    <font>
      <b/>
      <sz val="9"/>
      <color rgb="FF414241"/>
      <name val="Verdana"/>
      <family val="2"/>
    </font>
    <font>
      <b/>
      <sz val="12"/>
      <color rgb="FF1EA349"/>
      <name val="Verdana"/>
      <family val="2"/>
    </font>
    <font>
      <b/>
      <sz val="8"/>
      <color rgb="FF414241"/>
      <name val="Verdana"/>
      <family val="2"/>
    </font>
    <font>
      <sz val="8"/>
      <color rgb="FF414241"/>
      <name val="Verdana"/>
      <family val="2"/>
    </font>
    <font>
      <sz val="11"/>
      <color theme="1"/>
      <name val="Proxima Nova Lt"/>
    </font>
    <font>
      <b/>
      <sz val="11"/>
      <color theme="1"/>
      <name val="Proxima Nova Lt"/>
    </font>
    <font>
      <sz val="11"/>
      <color theme="0"/>
      <name val="Proxima Nova Lt"/>
    </font>
    <font>
      <b/>
      <sz val="16"/>
      <color theme="0"/>
      <name val="Proxima Nova Lt"/>
    </font>
    <font>
      <b/>
      <sz val="11"/>
      <color theme="0"/>
      <name val="Proxima Nova Lt"/>
    </font>
    <font>
      <b/>
      <sz val="12"/>
      <color theme="1"/>
      <name val="Proxima Nova Lt"/>
    </font>
    <font>
      <sz val="10"/>
      <color theme="1"/>
      <name val="Proxima Nova Lt"/>
    </font>
    <font>
      <b/>
      <sz val="16"/>
      <color theme="1"/>
      <name val="Proxima Nova Lt"/>
    </font>
    <font>
      <sz val="11"/>
      <color rgb="FFFF0000"/>
      <name val="Proxima Nova Lt"/>
    </font>
    <font>
      <sz val="16"/>
      <color theme="1"/>
      <name val="Proxima Nova Lt"/>
    </font>
    <font>
      <b/>
      <sz val="10"/>
      <color rgb="FF121B43"/>
      <name val="Proxima Nova Lt"/>
    </font>
    <font>
      <sz val="10"/>
      <color rgb="FF121B43"/>
      <name val="Proxima Nova Lt"/>
    </font>
    <font>
      <sz val="10"/>
      <name val="Proxima Nova Lt"/>
    </font>
    <font>
      <sz val="11"/>
      <color rgb="FFFF0000"/>
      <name val="Calibri"/>
      <family val="2"/>
    </font>
    <font>
      <sz val="11"/>
      <name val="Calibri"/>
      <family val="2"/>
    </font>
    <font>
      <sz val="10"/>
      <color theme="1"/>
      <name val="Calibri"/>
      <family val="2"/>
    </font>
    <font>
      <sz val="11"/>
      <color theme="0"/>
      <name val="Calibri"/>
      <family val="2"/>
    </font>
    <font>
      <b/>
      <sz val="18"/>
      <name val="Calibri"/>
      <family val="2"/>
    </font>
    <font>
      <i/>
      <sz val="11"/>
      <color theme="0"/>
      <name val="Calibri"/>
      <family val="2"/>
    </font>
    <font>
      <b/>
      <sz val="11"/>
      <color theme="0"/>
      <name val="Calibri"/>
      <family val="2"/>
    </font>
    <font>
      <i/>
      <sz val="11"/>
      <color theme="2" tint="-0.499984740745262"/>
      <name val="Calibri"/>
      <family val="2"/>
    </font>
    <font>
      <b/>
      <sz val="11"/>
      <name val="Calibri"/>
      <family val="2"/>
    </font>
    <font>
      <i/>
      <sz val="11"/>
      <name val="Calibri"/>
      <family val="2"/>
    </font>
    <font>
      <sz val="12"/>
      <name val="Calibri"/>
      <family val="2"/>
    </font>
    <font>
      <b/>
      <sz val="16"/>
      <name val="Calibri"/>
      <family val="2"/>
    </font>
    <font>
      <sz val="11"/>
      <color theme="8" tint="0.39997558519241921"/>
      <name val="Calibri"/>
      <family val="2"/>
    </font>
    <font>
      <b/>
      <u/>
      <sz val="11"/>
      <name val="Calibri"/>
      <family val="2"/>
    </font>
    <font>
      <b/>
      <i/>
      <u/>
      <sz val="11"/>
      <name val="Calibri"/>
      <family val="2"/>
    </font>
    <font>
      <b/>
      <i/>
      <sz val="11"/>
      <name val="Calibri"/>
      <family val="2"/>
    </font>
    <font>
      <b/>
      <i/>
      <sz val="16"/>
      <name val="Verdana"/>
      <family val="2"/>
      <scheme val="minor"/>
    </font>
    <font>
      <b/>
      <i/>
      <sz val="12"/>
      <name val="Verdana"/>
      <family val="2"/>
      <scheme val="minor"/>
    </font>
    <font>
      <b/>
      <sz val="14"/>
      <name val="Verdana"/>
      <family val="2"/>
      <scheme val="minor"/>
    </font>
    <font>
      <b/>
      <i/>
      <sz val="11"/>
      <name val="Verdana"/>
      <family val="2"/>
      <scheme val="minor"/>
    </font>
    <font>
      <b/>
      <u/>
      <sz val="11"/>
      <name val="Verdana"/>
      <family val="2"/>
      <scheme val="minor"/>
    </font>
    <font>
      <sz val="10"/>
      <name val="Verdana"/>
      <family val="2"/>
      <scheme val="minor"/>
    </font>
    <font>
      <i/>
      <sz val="10"/>
      <name val="Verdana"/>
      <family val="2"/>
      <scheme val="minor"/>
    </font>
    <font>
      <b/>
      <sz val="10"/>
      <color rgb="FF525457"/>
      <name val="Proxima Nova Lt"/>
    </font>
    <font>
      <sz val="10"/>
      <color theme="0"/>
      <name val="Proxima Nova Lt"/>
    </font>
    <font>
      <sz val="10"/>
      <color rgb="FF939598"/>
      <name val="Proxima Nova Lt"/>
    </font>
    <font>
      <b/>
      <sz val="11"/>
      <color rgb="FFFF0000"/>
      <name val="Proxima Nova Lt"/>
    </font>
    <font>
      <b/>
      <sz val="40"/>
      <color rgb="FF424745"/>
      <name val="Proxima Nova Extrabold"/>
      <family val="2"/>
    </font>
    <font>
      <b/>
      <sz val="40"/>
      <color rgb="FF1EA349"/>
      <name val="Proxima Nova Extrabold"/>
      <family val="2"/>
    </font>
    <font>
      <b/>
      <sz val="9"/>
      <color rgb="FF1EA349"/>
      <name val="Verdana"/>
      <family val="2"/>
    </font>
    <font>
      <sz val="9"/>
      <color rgb="FF414241"/>
      <name val="Verdana"/>
      <family val="2"/>
    </font>
    <font>
      <sz val="9"/>
      <color rgb="FF525457"/>
      <name val="Verdana"/>
      <family val="2"/>
    </font>
    <font>
      <b/>
      <sz val="8"/>
      <color rgb="FF1EA349"/>
      <name val="Proxima Nova Extrabold"/>
      <family val="2"/>
    </font>
    <font>
      <b/>
      <sz val="8"/>
      <color rgb="FF1EA349"/>
      <name val="Verdana"/>
      <family val="2"/>
    </font>
    <font>
      <b/>
      <sz val="12"/>
      <color rgb="FF1EA349"/>
      <name val="Proxima Nova Extrabold"/>
      <family val="2"/>
    </font>
    <font>
      <b/>
      <sz val="8"/>
      <color rgb="FF202120"/>
      <name val="Verdana"/>
      <family val="2"/>
    </font>
    <font>
      <sz val="9"/>
      <color rgb="FF414241"/>
      <name val="Calibri"/>
      <family val="2"/>
    </font>
    <font>
      <sz val="8"/>
      <color rgb="FF202120"/>
      <name val="Verdana"/>
      <family val="2"/>
    </font>
    <font>
      <b/>
      <sz val="30"/>
      <color rgb="FF1EA34A"/>
      <name val="Proxima Nova Extrabold"/>
      <family val="2"/>
    </font>
    <font>
      <b/>
      <sz val="7"/>
      <color rgb="FF1EA34A"/>
      <name val="Times New Roman"/>
      <family val="1"/>
    </font>
    <font>
      <b/>
      <sz val="30"/>
      <color rgb="FFA7A9AC"/>
      <name val="Proxima Nova Extrabold"/>
      <family val="2"/>
    </font>
    <font>
      <b/>
      <sz val="30"/>
      <color rgb="FF1EA34A"/>
      <name val="Proxima Nova Extrabold"/>
      <family val="1"/>
    </font>
    <font>
      <b/>
      <sz val="8"/>
      <color rgb="FF414241"/>
      <name val="Verdana"/>
      <family val="2"/>
      <scheme val="minor"/>
    </font>
    <font>
      <sz val="8"/>
      <color rgb="FF414241"/>
      <name val="Verdana"/>
      <family val="2"/>
      <scheme val="minor"/>
    </font>
    <font>
      <i/>
      <sz val="8"/>
      <color rgb="FF8C8E8C"/>
      <name val="Verdana"/>
      <family val="2"/>
      <scheme val="minor"/>
    </font>
    <font>
      <b/>
      <sz val="12"/>
      <color rgb="FF424745"/>
      <name val="Proxima Nova Rg"/>
    </font>
    <font>
      <b/>
      <sz val="7"/>
      <color rgb="FF424745"/>
      <name val="Times New Roman"/>
      <family val="1"/>
    </font>
    <font>
      <b/>
      <sz val="12"/>
      <color rgb="FF424745"/>
      <name val="Proxima Nova Lt"/>
      <family val="1"/>
    </font>
    <font>
      <b/>
      <sz val="12"/>
      <color rgb="FF1EA349"/>
      <name val="Proxima Nova Medium"/>
      <family val="2"/>
    </font>
    <font>
      <i/>
      <sz val="9"/>
      <color rgb="FF202120"/>
      <name val="Proxima Nova Medium"/>
      <family val="2"/>
    </font>
    <font>
      <sz val="8"/>
      <color theme="1"/>
      <name val="Verdana"/>
      <family val="2"/>
      <scheme val="minor"/>
    </font>
    <font>
      <i/>
      <sz val="8"/>
      <color rgb="FFA7A9AC"/>
      <name val="Verdana"/>
      <family val="2"/>
      <scheme val="minor"/>
    </font>
    <font>
      <sz val="8"/>
      <color theme="2"/>
      <name val="Verdana"/>
      <family val="2"/>
      <scheme val="minor"/>
    </font>
    <font>
      <b/>
      <sz val="9"/>
      <color rgb="FF414241"/>
      <name val="Verdana"/>
      <family val="2"/>
      <scheme val="minor"/>
    </font>
    <font>
      <sz val="9"/>
      <color rgb="FF414241"/>
      <name val="Verdana"/>
      <family val="2"/>
      <scheme val="minor"/>
    </font>
    <font>
      <b/>
      <sz val="8"/>
      <color rgb="FFFFFFFF"/>
      <name val="Calibri"/>
      <family val="2"/>
    </font>
    <font>
      <b/>
      <sz val="20"/>
      <color rgb="FFFFFFFF"/>
      <name val="Proxima Nova Rg"/>
    </font>
    <font>
      <sz val="10"/>
      <color rgb="FFFFFFFF"/>
      <name val="Proxima Nova Rg"/>
    </font>
    <font>
      <sz val="18"/>
      <color rgb="FFFFFFFF"/>
      <name val="Proxima Nova Extrabold"/>
      <family val="2"/>
    </font>
    <font>
      <b/>
      <sz val="20"/>
      <color theme="1"/>
      <name val="Verdana"/>
      <family val="2"/>
      <scheme val="minor"/>
    </font>
    <font>
      <b/>
      <sz val="18"/>
      <color rgb="FF1EA349"/>
      <name val="Proxima Nova Rg"/>
    </font>
    <font>
      <b/>
      <sz val="20"/>
      <color rgb="FF1EA349"/>
      <name val="Proxima Nova Rg"/>
    </font>
    <font>
      <sz val="18"/>
      <color rgb="FF1EA349"/>
      <name val="Proxima Nova Extrabold"/>
      <family val="2"/>
    </font>
    <font>
      <b/>
      <sz val="20"/>
      <color theme="2"/>
      <name val="Verdana"/>
      <family val="2"/>
      <scheme val="minor"/>
    </font>
    <font>
      <sz val="10"/>
      <color rgb="FF414241"/>
      <name val="Proxima Nova Rg"/>
    </font>
    <font>
      <b/>
      <sz val="8"/>
      <color rgb="FF414241"/>
      <name val="Calibri"/>
      <family val="2"/>
    </font>
    <font>
      <b/>
      <sz val="20"/>
      <color theme="5"/>
      <name val="Verdana"/>
      <family val="2"/>
      <scheme val="minor"/>
    </font>
    <font>
      <b/>
      <sz val="24"/>
      <color theme="1"/>
      <name val="Proxima Nova Extrabold"/>
      <family val="2"/>
    </font>
    <font>
      <sz val="11"/>
      <color rgb="FF1EA349"/>
      <name val="Proxima Nova Lt"/>
    </font>
    <font>
      <b/>
      <sz val="11"/>
      <color rgb="FF414241"/>
      <name val="Proxima Nova Lt"/>
    </font>
    <font>
      <sz val="8"/>
      <color rgb="FF000000"/>
      <name val="Verdana"/>
      <family val="2"/>
      <scheme val="minor"/>
    </font>
    <font>
      <b/>
      <sz val="9"/>
      <color theme="2" tint="-0.499984740745262"/>
      <name val="Arial"/>
      <family val="2"/>
    </font>
    <font>
      <sz val="9"/>
      <name val="Arial"/>
      <family val="2"/>
    </font>
    <font>
      <b/>
      <sz val="18"/>
      <name val="Verdana"/>
      <family val="2"/>
      <scheme val="minor"/>
    </font>
    <font>
      <b/>
      <sz val="9"/>
      <name val="Arial"/>
      <family val="2"/>
    </font>
    <font>
      <b/>
      <sz val="10"/>
      <color theme="2" tint="-0.499984740745262"/>
      <name val="Verdana"/>
      <family val="2"/>
      <scheme val="minor"/>
    </font>
    <font>
      <i/>
      <sz val="11"/>
      <color rgb="FF00B050"/>
      <name val="Verdana"/>
      <family val="2"/>
      <scheme val="minor"/>
    </font>
    <font>
      <b/>
      <sz val="11"/>
      <color rgb="FF414241"/>
      <name val="Verdana"/>
      <family val="2"/>
    </font>
    <font>
      <sz val="11"/>
      <color rgb="FF414241"/>
      <name val="Verdana"/>
      <family val="2"/>
    </font>
    <font>
      <i/>
      <sz val="10"/>
      <color rgb="FF8C8E8C"/>
      <name val="Verdana"/>
      <family val="2"/>
    </font>
    <font>
      <strike/>
      <sz val="11"/>
      <name val="Calibri"/>
      <family val="2"/>
    </font>
    <font>
      <b/>
      <sz val="12"/>
      <name val="Calibri"/>
      <family val="2"/>
    </font>
    <font>
      <b/>
      <sz val="12"/>
      <color theme="0"/>
      <name val="Calibri"/>
      <family val="2"/>
    </font>
    <font>
      <b/>
      <sz val="16"/>
      <color theme="0"/>
      <name val="Calibri"/>
      <family val="2"/>
    </font>
    <font>
      <b/>
      <sz val="14"/>
      <name val="Calibri"/>
      <family val="2"/>
    </font>
    <font>
      <sz val="7"/>
      <name val="Calibri"/>
      <family val="2"/>
    </font>
    <font>
      <b/>
      <sz val="12"/>
      <color rgb="FF1EA349"/>
      <name val="Proxima Nova Medium"/>
      <family val="3"/>
    </font>
    <font>
      <i/>
      <sz val="9"/>
      <color rgb="FF202120"/>
      <name val="Proxima Nova Medium"/>
      <family val="3"/>
    </font>
    <font>
      <sz val="10"/>
      <color rgb="FFFF0000"/>
      <name val="Verdana"/>
      <family val="2"/>
      <scheme val="minor"/>
    </font>
    <font>
      <i/>
      <sz val="10"/>
      <name val="Proxima Nova Lt"/>
    </font>
    <font>
      <b/>
      <u/>
      <sz val="11"/>
      <color theme="1"/>
      <name val="Calibri"/>
      <family val="2"/>
    </font>
    <font>
      <b/>
      <u/>
      <sz val="10"/>
      <color rgb="FF000000"/>
      <name val="Calibri"/>
      <family val="2"/>
    </font>
    <font>
      <sz val="10"/>
      <color rgb="FF5B6670"/>
      <name val="Gotham HTF Book"/>
    </font>
    <font>
      <sz val="8"/>
      <name val="Verdana"/>
      <family val="2"/>
      <scheme val="minor"/>
    </font>
    <font>
      <b/>
      <sz val="11"/>
      <name val="Proxima Nova Lt"/>
    </font>
    <font>
      <sz val="11"/>
      <name val="Proxima Nova Lt"/>
    </font>
    <font>
      <sz val="9"/>
      <name val="Verdana"/>
      <family val="2"/>
      <scheme val="minor"/>
    </font>
    <font>
      <b/>
      <sz val="10"/>
      <color rgb="FFFF0000"/>
      <name val="Proxima Nova Lt"/>
    </font>
    <font>
      <i/>
      <sz val="10"/>
      <color rgb="FF121B43"/>
      <name val="Proxima Nova Lt"/>
    </font>
    <font>
      <sz val="9"/>
      <color theme="1"/>
      <name val="Tahoma"/>
      <family val="2"/>
    </font>
    <font>
      <sz val="8"/>
      <color theme="1"/>
      <name val="Arial"/>
      <family val="2"/>
    </font>
    <font>
      <sz val="11"/>
      <color rgb="FFA1AFA0"/>
      <name val="Calibri"/>
      <family val="2"/>
    </font>
    <font>
      <b/>
      <sz val="13"/>
      <color rgb="FF1EA349"/>
      <name val="Proxima Nova Lt"/>
    </font>
    <font>
      <sz val="13"/>
      <color rgb="FF525457"/>
      <name val="Proxima Nova Lt"/>
    </font>
    <font>
      <sz val="13"/>
      <color rgb="FF414241"/>
      <name val="Proxima Nova Lt"/>
    </font>
    <font>
      <sz val="13"/>
      <color theme="1"/>
      <name val="Proxima Nova Lt"/>
    </font>
    <font>
      <sz val="12"/>
      <color rgb="FF414241"/>
      <name val="Proxima Nova Lt"/>
    </font>
    <font>
      <sz val="10"/>
      <name val="Verdana"/>
      <family val="2"/>
    </font>
    <font>
      <b/>
      <sz val="9"/>
      <color theme="1"/>
      <name val="Aptos"/>
      <family val="2"/>
    </font>
    <font>
      <sz val="9"/>
      <color theme="9"/>
      <name val="Aptos"/>
      <family val="2"/>
    </font>
    <font>
      <b/>
      <sz val="9"/>
      <color theme="9"/>
      <name val="Aptos"/>
      <family val="2"/>
    </font>
    <font>
      <sz val="9"/>
      <color theme="0"/>
      <name val="Aptos"/>
      <family val="2"/>
    </font>
    <font>
      <b/>
      <sz val="9"/>
      <name val="Aptos"/>
      <family val="2"/>
    </font>
    <font>
      <sz val="9"/>
      <name val="Aptos"/>
      <family val="2"/>
    </font>
    <font>
      <b/>
      <sz val="9"/>
      <color theme="0"/>
      <name val="Aptos"/>
      <family val="2"/>
    </font>
    <font>
      <sz val="9"/>
      <color theme="1"/>
      <name val="Aptos"/>
      <family val="2"/>
    </font>
    <font>
      <b/>
      <u/>
      <sz val="9"/>
      <name val="Aptos"/>
      <family val="2"/>
    </font>
    <font>
      <b/>
      <sz val="24"/>
      <color rgb="FF1EA349"/>
      <name val="Verdana"/>
      <family val="2"/>
    </font>
    <font>
      <sz val="12"/>
      <name val="Aptos"/>
      <family val="2"/>
    </font>
    <font>
      <sz val="8"/>
      <name val="Calibri"/>
      <family val="2"/>
    </font>
  </fonts>
  <fills count="57">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rgb="FFF2F2F2"/>
      </patternFill>
    </fill>
    <fill>
      <patternFill patternType="solid">
        <fgColor theme="5" tint="0.39997558519241921"/>
        <bgColor indexed="64"/>
      </patternFill>
    </fill>
    <fill>
      <patternFill patternType="solid">
        <fgColor theme="0"/>
        <bgColor indexed="64"/>
      </patternFill>
    </fill>
    <fill>
      <patternFill patternType="solid">
        <fgColor rgb="FFFFC000"/>
        <bgColor indexed="64"/>
      </patternFill>
    </fill>
    <fill>
      <patternFill patternType="solid">
        <fgColor theme="9"/>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A5A5A5"/>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1"/>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5"/>
        <bgColor indexed="64"/>
      </patternFill>
    </fill>
    <fill>
      <patternFill patternType="solid">
        <fgColor theme="4" tint="0.79998168889431442"/>
        <bgColor indexed="64"/>
      </patternFill>
    </fill>
    <fill>
      <patternFill patternType="solid">
        <fgColor theme="5"/>
      </patternFill>
    </fill>
    <fill>
      <patternFill patternType="solid">
        <fgColor theme="5" tint="0.39997558519241921"/>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9" tint="-0.249977111117893"/>
        <bgColor indexed="64"/>
      </patternFill>
    </fill>
    <fill>
      <patternFill patternType="solid">
        <fgColor rgb="FF548235"/>
        <bgColor indexed="64"/>
      </patternFill>
    </fill>
    <fill>
      <patternFill patternType="solid">
        <fgColor theme="7" tint="0.59999389629810485"/>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rgb="FFF4F8F4"/>
        <bgColor indexed="64"/>
      </patternFill>
    </fill>
    <fill>
      <patternFill patternType="solid">
        <fgColor theme="0" tint="-0.249977111117893"/>
        <bgColor indexed="64"/>
      </patternFill>
    </fill>
    <fill>
      <patternFill patternType="solid">
        <fgColor theme="2"/>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4"/>
        <bgColor indexed="64"/>
      </patternFill>
    </fill>
    <fill>
      <patternFill patternType="solid">
        <fgColor theme="2" tint="0.59999389629810485"/>
        <bgColor indexed="64"/>
      </patternFill>
    </fill>
    <fill>
      <patternFill patternType="solid">
        <fgColor rgb="FF1EA349"/>
        <bgColor indexed="64"/>
      </patternFill>
    </fill>
    <fill>
      <patternFill patternType="solid">
        <fgColor rgb="FF414241"/>
        <bgColor indexed="64"/>
      </patternFill>
    </fill>
    <fill>
      <patternFill patternType="solid">
        <fgColor rgb="FFD8D9D8"/>
        <bgColor indexed="64"/>
      </patternFill>
    </fill>
    <fill>
      <patternFill patternType="solid">
        <fgColor theme="2" tint="0.79998168889431442"/>
        <bgColor indexed="64"/>
      </patternFill>
    </fill>
    <fill>
      <patternFill patternType="solid">
        <fgColor theme="1" tint="0.39997558519241921"/>
        <bgColor indexed="64"/>
      </patternFill>
    </fill>
    <fill>
      <patternFill patternType="solid">
        <fgColor rgb="FFD9D9D9"/>
        <bgColor indexed="64"/>
      </patternFill>
    </fill>
    <fill>
      <patternFill patternType="solid">
        <fgColor rgb="FFE5E5E5"/>
        <bgColor indexed="64"/>
      </patternFill>
    </fill>
    <fill>
      <patternFill patternType="solid">
        <fgColor theme="1" tint="0.79998168889431442"/>
        <bgColor indexed="64"/>
      </patternFill>
    </fill>
    <fill>
      <patternFill patternType="solid">
        <fgColor rgb="FFFFB9B9"/>
        <bgColor indexed="64"/>
      </patternFill>
    </fill>
    <fill>
      <patternFill patternType="solid">
        <fgColor rgb="FF00B050"/>
        <bgColor indexed="64"/>
      </patternFill>
    </fill>
    <fill>
      <patternFill patternType="solid">
        <fgColor rgb="FF54AF18"/>
        <bgColor indexed="64"/>
      </patternFill>
    </fill>
    <fill>
      <patternFill patternType="solid">
        <fgColor rgb="FFA1AFA0"/>
        <bgColor indexed="64"/>
      </patternFill>
    </fill>
    <fill>
      <patternFill patternType="solid">
        <fgColor rgb="FF1A9939"/>
        <bgColor indexed="64"/>
      </patternFill>
    </fill>
    <fill>
      <patternFill patternType="solid">
        <fgColor rgb="FFFAF4EF"/>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002060"/>
        <bgColor indexed="64"/>
      </patternFill>
    </fill>
  </fills>
  <borders count="134">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rgb="FF3F3F3F"/>
      </left>
      <right style="thin">
        <color rgb="FF3F3F3F"/>
      </right>
      <top style="thin">
        <color rgb="FF3F3F3F"/>
      </top>
      <bottom style="thin">
        <color rgb="FF3F3F3F"/>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double">
        <color rgb="FF3F3F3F"/>
      </left>
      <right style="double">
        <color rgb="FF3F3F3F"/>
      </right>
      <top style="double">
        <color rgb="FF3F3F3F"/>
      </top>
      <bottom style="double">
        <color rgb="FF3F3F3F"/>
      </bottom>
      <diagonal/>
    </border>
    <border>
      <left/>
      <right style="thin">
        <color indexed="64"/>
      </right>
      <top style="thin">
        <color indexed="64"/>
      </top>
      <bottom style="thin">
        <color indexed="64"/>
      </bottom>
      <diagonal/>
    </border>
    <border>
      <left/>
      <right style="double">
        <color rgb="FF3F3F3F"/>
      </right>
      <top style="thin">
        <color indexed="64"/>
      </top>
      <bottom style="thin">
        <color indexed="64"/>
      </bottom>
      <diagonal/>
    </border>
    <border>
      <left style="thin">
        <color indexed="64"/>
      </left>
      <right/>
      <top style="thin">
        <color indexed="64"/>
      </top>
      <bottom style="thin">
        <color indexed="64"/>
      </bottom>
      <diagonal/>
    </border>
    <border>
      <left/>
      <right style="double">
        <color rgb="FF3F3F3F"/>
      </right>
      <top style="double">
        <color rgb="FF3F3F3F"/>
      </top>
      <bottom style="double">
        <color rgb="FF3F3F3F"/>
      </bottom>
      <diagonal/>
    </border>
    <border>
      <left/>
      <right/>
      <top style="medium">
        <color indexed="64"/>
      </top>
      <bottom style="thin">
        <color indexed="64"/>
      </bottom>
      <diagonal/>
    </border>
    <border>
      <left/>
      <right/>
      <top style="thin">
        <color indexed="64"/>
      </top>
      <bottom style="medium">
        <color indexed="64"/>
      </bottom>
      <diagonal/>
    </border>
    <border>
      <left/>
      <right/>
      <top style="thin">
        <color auto="1"/>
      </top>
      <bottom style="thin">
        <color auto="1"/>
      </bottom>
      <diagonal/>
    </border>
    <border>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top/>
      <bottom style="thin">
        <color indexed="64"/>
      </bottom>
      <diagonal/>
    </border>
    <border>
      <left/>
      <right/>
      <top style="thin">
        <color auto="1"/>
      </top>
      <bottom/>
      <diagonal/>
    </border>
    <border>
      <left style="thin">
        <color indexed="64"/>
      </left>
      <right style="thin">
        <color indexed="64"/>
      </right>
      <top style="thin">
        <color indexed="64"/>
      </top>
      <bottom/>
      <diagonal/>
    </border>
    <border>
      <left/>
      <right/>
      <top/>
      <bottom style="thick">
        <color auto="1"/>
      </bottom>
      <diagonal/>
    </border>
    <border>
      <left style="medium">
        <color indexed="64"/>
      </left>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double">
        <color indexed="64"/>
      </bottom>
      <diagonal/>
    </border>
    <border>
      <left/>
      <right/>
      <top style="thin">
        <color indexed="64"/>
      </top>
      <bottom style="double">
        <color indexed="64"/>
      </bottom>
      <diagonal/>
    </border>
    <border>
      <left style="medium">
        <color indexed="64"/>
      </left>
      <right/>
      <top style="thin">
        <color indexed="64"/>
      </top>
      <bottom style="double">
        <color indexed="64"/>
      </bottom>
      <diagonal/>
    </border>
    <border>
      <left/>
      <right style="thin">
        <color theme="0" tint="-0.499984740745262"/>
      </right>
      <top/>
      <bottom/>
      <diagonal/>
    </border>
    <border>
      <left/>
      <right/>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thick">
        <color rgb="FF1EA349"/>
      </top>
      <bottom style="thin">
        <color rgb="FF939598"/>
      </bottom>
      <diagonal/>
    </border>
    <border>
      <left/>
      <right/>
      <top style="thin">
        <color rgb="FF939598"/>
      </top>
      <bottom style="thin">
        <color rgb="FF939598"/>
      </bottom>
      <diagonal/>
    </border>
    <border>
      <left style="thin">
        <color indexed="64"/>
      </left>
      <right/>
      <top style="thin">
        <color indexed="64"/>
      </top>
      <bottom style="thick">
        <color rgb="FF1EA349"/>
      </bottom>
      <diagonal/>
    </border>
    <border>
      <left/>
      <right/>
      <top style="thin">
        <color indexed="64"/>
      </top>
      <bottom style="thick">
        <color rgb="FF1EA349"/>
      </bottom>
      <diagonal/>
    </border>
    <border>
      <left/>
      <right style="thin">
        <color indexed="64"/>
      </right>
      <top style="thin">
        <color indexed="64"/>
      </top>
      <bottom style="thick">
        <color rgb="FF1EA349"/>
      </bottom>
      <diagonal/>
    </border>
    <border>
      <left style="thin">
        <color indexed="64"/>
      </left>
      <right/>
      <top style="thick">
        <color rgb="FF1EA349"/>
      </top>
      <bottom style="thin">
        <color rgb="FF939598"/>
      </bottom>
      <diagonal/>
    </border>
    <border>
      <left/>
      <right style="thin">
        <color indexed="64"/>
      </right>
      <top style="thick">
        <color rgb="FF1EA349"/>
      </top>
      <bottom style="thin">
        <color rgb="FF939598"/>
      </bottom>
      <diagonal/>
    </border>
    <border>
      <left style="thin">
        <color indexed="64"/>
      </left>
      <right/>
      <top style="thin">
        <color rgb="FF939598"/>
      </top>
      <bottom style="thin">
        <color rgb="FF939598"/>
      </bottom>
      <diagonal/>
    </border>
    <border>
      <left/>
      <right style="thin">
        <color indexed="64"/>
      </right>
      <top style="thin">
        <color rgb="FF939598"/>
      </top>
      <bottom style="thin">
        <color rgb="FF939598"/>
      </bottom>
      <diagonal/>
    </border>
    <border>
      <left style="thin">
        <color indexed="64"/>
      </left>
      <right/>
      <top style="thin">
        <color rgb="FF939598"/>
      </top>
      <bottom style="thin">
        <color indexed="64"/>
      </bottom>
      <diagonal/>
    </border>
    <border>
      <left/>
      <right/>
      <top style="thin">
        <color rgb="FF939598"/>
      </top>
      <bottom style="thin">
        <color indexed="64"/>
      </bottom>
      <diagonal/>
    </border>
    <border>
      <left/>
      <right style="thin">
        <color indexed="64"/>
      </right>
      <top style="thin">
        <color rgb="FF939598"/>
      </top>
      <bottom style="thin">
        <color indexed="64"/>
      </bottom>
      <diagonal/>
    </border>
    <border>
      <left/>
      <right/>
      <top/>
      <bottom style="thick">
        <color rgb="FFFFFFFF"/>
      </bottom>
      <diagonal/>
    </border>
    <border>
      <left/>
      <right/>
      <top style="thick">
        <color rgb="FFFFFFFF"/>
      </top>
      <bottom style="thick">
        <color rgb="FFFFFFFF"/>
      </bottom>
      <diagonal/>
    </border>
    <border>
      <left/>
      <right/>
      <top style="thick">
        <color rgb="FFFFFFFF"/>
      </top>
      <bottom/>
      <diagonal/>
    </border>
    <border>
      <left/>
      <right/>
      <top/>
      <bottom style="thick">
        <color rgb="FF414241"/>
      </bottom>
      <diagonal/>
    </border>
    <border>
      <left/>
      <right/>
      <top style="thick">
        <color rgb="FF414241"/>
      </top>
      <bottom style="thick">
        <color rgb="FF414241"/>
      </bottom>
      <diagonal/>
    </border>
    <border>
      <left/>
      <right/>
      <top style="thick">
        <color rgb="FF414241"/>
      </top>
      <bottom/>
      <diagonal/>
    </border>
    <border>
      <left/>
      <right/>
      <top/>
      <bottom style="thick">
        <color rgb="FF1EA349"/>
      </bottom>
      <diagonal/>
    </border>
    <border>
      <left/>
      <right/>
      <top style="thick">
        <color rgb="FF1EA349"/>
      </top>
      <bottom style="thick">
        <color rgb="FF1EA349"/>
      </bottom>
      <diagonal/>
    </border>
    <border>
      <left/>
      <right style="medium">
        <color indexed="64"/>
      </right>
      <top style="thin">
        <color auto="1"/>
      </top>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ck">
        <color rgb="FFFFFFFF"/>
      </top>
      <bottom style="thick">
        <color rgb="FF1EA349"/>
      </bottom>
      <diagonal/>
    </border>
    <border>
      <left/>
      <right/>
      <top/>
      <bottom style="medium">
        <color rgb="FF1EA349"/>
      </bottom>
      <diagonal/>
    </border>
    <border>
      <left/>
      <right/>
      <top/>
      <bottom style="medium">
        <color rgb="FFA7A9AC"/>
      </bottom>
      <diagonal/>
    </border>
    <border>
      <left/>
      <right/>
      <top style="medium">
        <color rgb="FF1EA349"/>
      </top>
      <bottom style="medium">
        <color rgb="FFA7A9AC"/>
      </bottom>
      <diagonal/>
    </border>
    <border>
      <left/>
      <right/>
      <top style="medium">
        <color rgb="FFA7A9AC"/>
      </top>
      <bottom style="medium">
        <color rgb="FFA7A9AC"/>
      </bottom>
      <diagonal/>
    </border>
    <border>
      <left/>
      <right/>
      <top/>
      <bottom style="thick">
        <color rgb="FF000000"/>
      </bottom>
      <diagonal/>
    </border>
    <border>
      <left/>
      <right/>
      <top/>
      <bottom style="thick">
        <color rgb="FFA7A9AC"/>
      </bottom>
      <diagonal/>
    </border>
    <border>
      <left/>
      <right/>
      <top style="thick">
        <color rgb="FFA7A9AC"/>
      </top>
      <bottom style="thick">
        <color rgb="FFA7A9AC"/>
      </bottom>
      <diagonal/>
    </border>
    <border>
      <left/>
      <right/>
      <top style="thick">
        <color rgb="FF1EA349"/>
      </top>
      <bottom style="medium">
        <color rgb="FF1EA349"/>
      </bottom>
      <diagonal/>
    </border>
    <border>
      <left/>
      <right/>
      <top style="medium">
        <color rgb="FF1EA349"/>
      </top>
      <bottom style="medium">
        <color rgb="FF1EA349"/>
      </bottom>
      <diagonal/>
    </border>
    <border>
      <left style="medium">
        <color indexed="64"/>
      </left>
      <right/>
      <top/>
      <bottom style="thin">
        <color indexed="64"/>
      </bottom>
      <diagonal/>
    </border>
    <border>
      <left/>
      <right/>
      <top style="thin">
        <color rgb="FF939598"/>
      </top>
      <bottom/>
      <diagonal/>
    </border>
    <border>
      <left/>
      <right/>
      <top/>
      <bottom style="thin">
        <color rgb="FF939598"/>
      </bottom>
      <diagonal/>
    </border>
    <border>
      <left style="thin">
        <color indexed="64"/>
      </left>
      <right/>
      <top style="thin">
        <color indexed="64"/>
      </top>
      <bottom style="thin">
        <color rgb="FF939598"/>
      </bottom>
      <diagonal/>
    </border>
    <border>
      <left/>
      <right/>
      <top style="thin">
        <color indexed="64"/>
      </top>
      <bottom style="thin">
        <color rgb="FF939598"/>
      </bottom>
      <diagonal/>
    </border>
    <border>
      <left/>
      <right style="thin">
        <color indexed="64"/>
      </right>
      <top style="thin">
        <color indexed="64"/>
      </top>
      <bottom style="thin">
        <color rgb="FF939598"/>
      </bottom>
      <diagonal/>
    </border>
    <border>
      <left style="medium">
        <color rgb="FF000000"/>
      </left>
      <right style="medium">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double">
        <color indexed="64"/>
      </bottom>
      <diagonal/>
    </border>
  </borders>
  <cellStyleXfs count="24">
    <xf numFmtId="0" fontId="0" fillId="0" borderId="0"/>
    <xf numFmtId="9" fontId="1" fillId="0" borderId="0" applyFont="0" applyFill="0" applyBorder="0" applyAlignment="0" applyProtection="0"/>
    <xf numFmtId="43" fontId="1" fillId="0" borderId="0" applyFont="0" applyFill="0" applyBorder="0" applyAlignment="0" applyProtection="0"/>
    <xf numFmtId="167" fontId="1" fillId="0" borderId="0" applyFont="0" applyFill="0" applyBorder="0" applyAlignment="0" applyProtection="0"/>
    <xf numFmtId="0" fontId="7" fillId="4" borderId="41" applyNumberFormat="0" applyAlignment="0" applyProtection="0"/>
    <xf numFmtId="168" fontId="1" fillId="0" borderId="0" applyFont="0" applyFill="0" applyBorder="0" applyAlignment="0" applyProtection="0"/>
    <xf numFmtId="171" fontId="1" fillId="0" borderId="0" applyFont="0" applyFill="0" applyBorder="0" applyAlignment="0" applyProtection="0"/>
    <xf numFmtId="172" fontId="1" fillId="0" borderId="0" applyFont="0" applyFill="0" applyBorder="0" applyAlignment="0" applyProtection="0"/>
    <xf numFmtId="171" fontId="1" fillId="0" borderId="0" applyFont="0" applyFill="0" applyBorder="0" applyAlignment="0" applyProtection="0"/>
    <xf numFmtId="0" fontId="7" fillId="4" borderId="41" applyNumberFormat="0" applyAlignment="0" applyProtection="0"/>
    <xf numFmtId="0" fontId="4" fillId="12" borderId="45" applyNumberFormat="0" applyAlignment="0" applyProtection="0"/>
    <xf numFmtId="0" fontId="9" fillId="0" borderId="0" applyNumberFormat="0" applyFill="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166" fontId="1" fillId="0" borderId="0" applyFont="0" applyFill="0" applyBorder="0" applyAlignment="0" applyProtection="0"/>
    <xf numFmtId="0" fontId="6"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172" fontId="1" fillId="0" borderId="0" applyFont="0" applyFill="0" applyBorder="0" applyAlignment="0" applyProtection="0"/>
  </cellStyleXfs>
  <cellXfs count="1656">
    <xf numFmtId="0" fontId="0" fillId="0" borderId="0" xfId="0"/>
    <xf numFmtId="0" fontId="2" fillId="0" borderId="0" xfId="0" applyFont="1"/>
    <xf numFmtId="17" fontId="2" fillId="0" borderId="0" xfId="0" applyNumberFormat="1" applyFont="1"/>
    <xf numFmtId="0" fontId="2" fillId="2" borderId="3" xfId="0" applyFont="1" applyFill="1" applyBorder="1"/>
    <xf numFmtId="174" fontId="0" fillId="2" borderId="9" xfId="0" applyNumberFormat="1" applyFill="1" applyBorder="1"/>
    <xf numFmtId="170" fontId="0" fillId="0" borderId="0" xfId="0" applyNumberFormat="1"/>
    <xf numFmtId="0" fontId="3" fillId="0" borderId="0" xfId="0" applyFont="1"/>
    <xf numFmtId="9" fontId="3" fillId="0" borderId="0" xfId="0" applyNumberFormat="1" applyFont="1"/>
    <xf numFmtId="0" fontId="2" fillId="0" borderId="0" xfId="0" applyFont="1" applyAlignment="1">
      <alignment horizontal="center"/>
    </xf>
    <xf numFmtId="0" fontId="0" fillId="3" borderId="0" xfId="0" applyFill="1"/>
    <xf numFmtId="0" fontId="3" fillId="0" borderId="25" xfId="0" applyFont="1" applyBorder="1"/>
    <xf numFmtId="0" fontId="3" fillId="0" borderId="10" xfId="0" applyFont="1" applyBorder="1"/>
    <xf numFmtId="0" fontId="3" fillId="0" borderId="61" xfId="0" applyFont="1" applyBorder="1"/>
    <xf numFmtId="0" fontId="3" fillId="0" borderId="12" xfId="0" applyFont="1" applyBorder="1"/>
    <xf numFmtId="0" fontId="3" fillId="0" borderId="62" xfId="0" applyFont="1" applyBorder="1"/>
    <xf numFmtId="0" fontId="8" fillId="0" borderId="0" xfId="0" applyFont="1"/>
    <xf numFmtId="204" fontId="3" fillId="6" borderId="8" xfId="0" applyNumberFormat="1" applyFont="1" applyFill="1" applyBorder="1"/>
    <xf numFmtId="172" fontId="3" fillId="6" borderId="8" xfId="0" applyNumberFormat="1" applyFont="1" applyFill="1" applyBorder="1"/>
    <xf numFmtId="180" fontId="2" fillId="0" borderId="0" xfId="0" applyNumberFormat="1" applyFont="1"/>
    <xf numFmtId="180" fontId="3" fillId="3" borderId="8" xfId="0" applyNumberFormat="1" applyFont="1" applyFill="1" applyBorder="1" applyAlignment="1">
      <alignment horizontal="center"/>
    </xf>
    <xf numFmtId="0" fontId="3" fillId="6" borderId="0" xfId="0" applyFont="1" applyFill="1"/>
    <xf numFmtId="0" fontId="0" fillId="0" borderId="0" xfId="0" applyAlignment="1">
      <alignment horizontal="right"/>
    </xf>
    <xf numFmtId="215" fontId="0" fillId="2" borderId="9" xfId="0" applyNumberFormat="1" applyFill="1" applyBorder="1"/>
    <xf numFmtId="0" fontId="3" fillId="0" borderId="0" xfId="0" applyFont="1" applyAlignment="1">
      <alignment horizontal="left"/>
    </xf>
    <xf numFmtId="0" fontId="13" fillId="0" borderId="101" xfId="0" applyFont="1" applyBorder="1" applyAlignment="1">
      <alignment horizontal="left" vertical="center" wrapText="1" readingOrder="1"/>
    </xf>
    <xf numFmtId="0" fontId="14" fillId="0" borderId="102" xfId="0" applyFont="1" applyBorder="1" applyAlignment="1">
      <alignment vertical="center" wrapText="1"/>
    </xf>
    <xf numFmtId="9" fontId="15" fillId="0" borderId="100" xfId="0" applyNumberFormat="1" applyFont="1" applyBorder="1" applyAlignment="1">
      <alignment horizontal="left" vertical="center" wrapText="1" readingOrder="1"/>
    </xf>
    <xf numFmtId="164" fontId="15" fillId="0" borderId="100" xfId="0" applyNumberFormat="1" applyFont="1" applyBorder="1" applyAlignment="1">
      <alignment horizontal="left" vertical="center" wrapText="1" readingOrder="1"/>
    </xf>
    <xf numFmtId="0" fontId="15" fillId="0" borderId="100" xfId="0" applyFont="1" applyBorder="1" applyAlignment="1">
      <alignment horizontal="left" vertical="center" wrapText="1" readingOrder="1"/>
    </xf>
    <xf numFmtId="0" fontId="15" fillId="0" borderId="103" xfId="0" applyFont="1" applyBorder="1" applyAlignment="1">
      <alignment horizontal="left" vertical="center" wrapText="1" readingOrder="1"/>
    </xf>
    <xf numFmtId="0" fontId="16" fillId="0" borderId="104" xfId="0" applyFont="1" applyBorder="1" applyAlignment="1">
      <alignment horizontal="left" vertical="center" wrapText="1" readingOrder="1"/>
    </xf>
    <xf numFmtId="0" fontId="14" fillId="0" borderId="105" xfId="0" applyFont="1" applyBorder="1" applyAlignment="1">
      <alignment vertical="center" wrapText="1"/>
    </xf>
    <xf numFmtId="165" fontId="15" fillId="0" borderId="103" xfId="0" applyNumberFormat="1" applyFont="1" applyBorder="1" applyAlignment="1">
      <alignment horizontal="left" vertical="center" wrapText="1" readingOrder="1"/>
    </xf>
    <xf numFmtId="164" fontId="15" fillId="0" borderId="103" xfId="0" applyNumberFormat="1" applyFont="1" applyBorder="1" applyAlignment="1">
      <alignment horizontal="left" vertical="center" wrapText="1" readingOrder="1"/>
    </xf>
    <xf numFmtId="165" fontId="15" fillId="0" borderId="100" xfId="0" applyNumberFormat="1" applyFont="1" applyBorder="1" applyAlignment="1">
      <alignment horizontal="left" vertical="center" wrapText="1" readingOrder="1"/>
    </xf>
    <xf numFmtId="1" fontId="15" fillId="0" borderId="103" xfId="0" applyNumberFormat="1" applyFont="1" applyBorder="1" applyAlignment="1">
      <alignment horizontal="left" vertical="center" wrapText="1" readingOrder="1"/>
    </xf>
    <xf numFmtId="0" fontId="20" fillId="34" borderId="0" xfId="0" applyFont="1" applyFill="1" applyAlignment="1">
      <alignment horizontal="center"/>
    </xf>
    <xf numFmtId="0" fontId="20" fillId="34" borderId="0" xfId="0" applyFont="1" applyFill="1"/>
    <xf numFmtId="0" fontId="22" fillId="34" borderId="0" xfId="0" applyFont="1" applyFill="1"/>
    <xf numFmtId="0" fontId="20" fillId="28" borderId="10" xfId="0" applyFont="1" applyFill="1" applyBorder="1" applyAlignment="1">
      <alignment horizontal="right"/>
    </xf>
    <xf numFmtId="0" fontId="20" fillId="28" borderId="0" xfId="0" applyFont="1" applyFill="1"/>
    <xf numFmtId="0" fontId="20" fillId="6" borderId="0" xfId="0" applyFont="1" applyFill="1"/>
    <xf numFmtId="0" fontId="21" fillId="34" borderId="0" xfId="0" applyFont="1" applyFill="1" applyAlignment="1">
      <alignment horizontal="center"/>
    </xf>
    <xf numFmtId="1" fontId="20" fillId="34" borderId="0" xfId="0" applyNumberFormat="1" applyFont="1" applyFill="1"/>
    <xf numFmtId="1" fontId="20" fillId="34" borderId="0" xfId="1" applyNumberFormat="1" applyFont="1" applyFill="1" applyBorder="1"/>
    <xf numFmtId="214" fontId="20" fillId="34" borderId="0" xfId="0" applyNumberFormat="1" applyFont="1" applyFill="1"/>
    <xf numFmtId="1" fontId="20" fillId="34" borderId="62" xfId="0" applyNumberFormat="1" applyFont="1" applyFill="1" applyBorder="1"/>
    <xf numFmtId="0" fontId="21" fillId="28" borderId="52" xfId="0" applyFont="1" applyFill="1" applyBorder="1" applyAlignment="1">
      <alignment horizontal="center"/>
    </xf>
    <xf numFmtId="0" fontId="23" fillId="29" borderId="52" xfId="0" applyFont="1" applyFill="1" applyBorder="1" applyAlignment="1">
      <alignment horizontal="center"/>
    </xf>
    <xf numFmtId="0" fontId="24" fillId="28" borderId="52" xfId="0" applyFont="1" applyFill="1" applyBorder="1"/>
    <xf numFmtId="0" fontId="21" fillId="28" borderId="0" xfId="0" applyFont="1" applyFill="1" applyAlignment="1">
      <alignment horizontal="right"/>
    </xf>
    <xf numFmtId="0" fontId="21" fillId="28" borderId="0" xfId="0" applyFont="1" applyFill="1"/>
    <xf numFmtId="9" fontId="20" fillId="34" borderId="0" xfId="1" applyFont="1" applyFill="1"/>
    <xf numFmtId="0" fontId="26" fillId="28" borderId="10" xfId="0" applyFont="1" applyFill="1" applyBorder="1" applyAlignment="1">
      <alignment horizontal="right"/>
    </xf>
    <xf numFmtId="9" fontId="26" fillId="28" borderId="0" xfId="0" applyNumberFormat="1" applyFont="1" applyFill="1"/>
    <xf numFmtId="178" fontId="26" fillId="28" borderId="0" xfId="6" applyNumberFormat="1" applyFont="1" applyFill="1"/>
    <xf numFmtId="0" fontId="20" fillId="28" borderId="0" xfId="0" quotePrefix="1" applyFont="1" applyFill="1"/>
    <xf numFmtId="218" fontId="26" fillId="28" borderId="0" xfId="6" applyNumberFormat="1" applyFont="1" applyFill="1"/>
    <xf numFmtId="9" fontId="20" fillId="34" borderId="0" xfId="0" applyNumberFormat="1" applyFont="1" applyFill="1"/>
    <xf numFmtId="0" fontId="20" fillId="28" borderId="0" xfId="0" applyFont="1" applyFill="1" applyAlignment="1">
      <alignment horizontal="right"/>
    </xf>
    <xf numFmtId="213" fontId="23" fillId="34" borderId="52" xfId="0" applyNumberFormat="1" applyFont="1" applyFill="1" applyBorder="1" applyAlignment="1">
      <alignment horizontal="center"/>
    </xf>
    <xf numFmtId="3" fontId="20" fillId="34" borderId="0" xfId="0" applyNumberFormat="1" applyFont="1" applyFill="1"/>
    <xf numFmtId="0" fontId="20" fillId="34" borderId="76" xfId="0" applyFont="1" applyFill="1" applyBorder="1" applyAlignment="1">
      <alignment horizontal="center"/>
    </xf>
    <xf numFmtId="10" fontId="20" fillId="34" borderId="0" xfId="1" applyNumberFormat="1" applyFont="1" applyFill="1"/>
    <xf numFmtId="3" fontId="21" fillId="34" borderId="0" xfId="0" applyNumberFormat="1" applyFont="1" applyFill="1"/>
    <xf numFmtId="171" fontId="20" fillId="34" borderId="0" xfId="6" applyFont="1" applyFill="1"/>
    <xf numFmtId="0" fontId="20" fillId="28" borderId="52" xfId="0" applyFont="1" applyFill="1" applyBorder="1" applyAlignment="1">
      <alignment horizontal="center"/>
    </xf>
    <xf numFmtId="0" fontId="22" fillId="28" borderId="52" xfId="0" applyFont="1" applyFill="1" applyBorder="1"/>
    <xf numFmtId="0" fontId="20" fillId="6" borderId="0" xfId="0" applyFont="1" applyFill="1" applyAlignment="1">
      <alignment horizontal="center"/>
    </xf>
    <xf numFmtId="0" fontId="22" fillId="6" borderId="0" xfId="0" applyFont="1" applyFill="1"/>
    <xf numFmtId="171" fontId="20" fillId="28" borderId="10" xfId="0" applyNumberFormat="1" applyFont="1" applyFill="1" applyBorder="1" applyAlignment="1">
      <alignment horizontal="right"/>
    </xf>
    <xf numFmtId="0" fontId="20" fillId="34" borderId="48" xfId="0" applyFont="1" applyFill="1" applyBorder="1" applyAlignment="1">
      <alignment horizontal="center"/>
    </xf>
    <xf numFmtId="0" fontId="22" fillId="34" borderId="52" xfId="0" applyFont="1" applyFill="1" applyBorder="1"/>
    <xf numFmtId="0" fontId="20" fillId="22" borderId="5" xfId="0" applyFont="1" applyFill="1" applyBorder="1"/>
    <xf numFmtId="0" fontId="20" fillId="28" borderId="87" xfId="0" applyFont="1" applyFill="1" applyBorder="1" applyAlignment="1">
      <alignment horizontal="right"/>
    </xf>
    <xf numFmtId="0" fontId="20" fillId="28" borderId="5" xfId="0" applyFont="1" applyFill="1" applyBorder="1"/>
    <xf numFmtId="0" fontId="20" fillId="22" borderId="14" xfId="0" applyFont="1" applyFill="1" applyBorder="1" applyAlignment="1">
      <alignment horizontal="center"/>
    </xf>
    <xf numFmtId="0" fontId="20" fillId="22" borderId="31" xfId="0" applyFont="1" applyFill="1" applyBorder="1"/>
    <xf numFmtId="0" fontId="20" fillId="22" borderId="28" xfId="0" applyFont="1" applyFill="1" applyBorder="1"/>
    <xf numFmtId="0" fontId="22" fillId="22" borderId="31" xfId="0" applyFont="1" applyFill="1" applyBorder="1"/>
    <xf numFmtId="0" fontId="23" fillId="28" borderId="52" xfId="0" applyFont="1" applyFill="1" applyBorder="1" applyAlignment="1">
      <alignment horizontal="center"/>
    </xf>
    <xf numFmtId="0" fontId="28" fillId="34" borderId="0" xfId="0" applyFont="1" applyFill="1"/>
    <xf numFmtId="178" fontId="20" fillId="34" borderId="0" xfId="0" applyNumberFormat="1" applyFont="1" applyFill="1"/>
    <xf numFmtId="167" fontId="20" fillId="34" borderId="0" xfId="0" applyNumberFormat="1" applyFont="1" applyFill="1"/>
    <xf numFmtId="0" fontId="29" fillId="28" borderId="52" xfId="0" applyFont="1" applyFill="1" applyBorder="1" applyAlignment="1">
      <alignment horizontal="center"/>
    </xf>
    <xf numFmtId="0" fontId="20" fillId="28" borderId="0" xfId="0" applyFont="1" applyFill="1" applyAlignment="1">
      <alignment horizontal="center"/>
    </xf>
    <xf numFmtId="0" fontId="22" fillId="28" borderId="0" xfId="0" applyFont="1" applyFill="1"/>
    <xf numFmtId="0" fontId="30" fillId="34" borderId="90" xfId="0" applyFont="1" applyFill="1" applyBorder="1" applyAlignment="1">
      <alignment horizontal="left" vertical="center" wrapText="1" indent="1" readingOrder="1"/>
    </xf>
    <xf numFmtId="0" fontId="30" fillId="34" borderId="91" xfId="0" applyFont="1" applyFill="1" applyBorder="1" applyAlignment="1">
      <alignment horizontal="center" vertical="center" wrapText="1" readingOrder="1"/>
    </xf>
    <xf numFmtId="0" fontId="30" fillId="34" borderId="92" xfId="0" applyFont="1" applyFill="1" applyBorder="1" applyAlignment="1">
      <alignment horizontal="center" vertical="center" wrapText="1" readingOrder="1"/>
    </xf>
    <xf numFmtId="0" fontId="31" fillId="34" borderId="93" xfId="0" applyFont="1" applyFill="1" applyBorder="1" applyAlignment="1">
      <alignment horizontal="left" vertical="center" wrapText="1" readingOrder="1"/>
    </xf>
    <xf numFmtId="0" fontId="31" fillId="34" borderId="95" xfId="0" applyFont="1" applyFill="1" applyBorder="1" applyAlignment="1">
      <alignment horizontal="left" vertical="center" wrapText="1" readingOrder="1"/>
    </xf>
    <xf numFmtId="0" fontId="30" fillId="34" borderId="95" xfId="0" applyFont="1" applyFill="1" applyBorder="1" applyAlignment="1">
      <alignment horizontal="left" vertical="center" wrapText="1" readingOrder="1"/>
    </xf>
    <xf numFmtId="0" fontId="30" fillId="34" borderId="97" xfId="0" applyFont="1" applyFill="1" applyBorder="1" applyAlignment="1">
      <alignment horizontal="left" vertical="center" wrapText="1" readingOrder="1"/>
    </xf>
    <xf numFmtId="0" fontId="30" fillId="34" borderId="90" xfId="0" applyFont="1" applyFill="1" applyBorder="1" applyAlignment="1">
      <alignment horizontal="left" vertical="center" wrapText="1" readingOrder="1"/>
    </xf>
    <xf numFmtId="178" fontId="31" fillId="34" borderId="89" xfId="0" applyNumberFormat="1" applyFont="1" applyFill="1" applyBorder="1" applyAlignment="1">
      <alignment horizontal="center" vertical="center" wrapText="1" readingOrder="1"/>
    </xf>
    <xf numFmtId="178" fontId="31" fillId="34" borderId="96" xfId="0" applyNumberFormat="1" applyFont="1" applyFill="1" applyBorder="1" applyAlignment="1">
      <alignment horizontal="center" vertical="center" wrapText="1" readingOrder="1"/>
    </xf>
    <xf numFmtId="0" fontId="11" fillId="6" borderId="0" xfId="0" applyFont="1" applyFill="1"/>
    <xf numFmtId="0" fontId="11" fillId="0" borderId="0" xfId="0" applyFont="1"/>
    <xf numFmtId="0" fontId="35" fillId="6" borderId="0" xfId="0" applyFont="1" applyFill="1" applyAlignment="1">
      <alignment horizontal="left" vertical="center" indent="2"/>
    </xf>
    <xf numFmtId="183" fontId="34" fillId="0" borderId="45" xfId="10" applyNumberFormat="1" applyFont="1" applyFill="1" applyAlignment="1">
      <alignment horizontal="center" vertical="center"/>
    </xf>
    <xf numFmtId="178" fontId="41" fillId="0" borderId="49" xfId="10" applyNumberFormat="1" applyFont="1" applyFill="1" applyBorder="1" applyAlignment="1">
      <alignment horizontal="center"/>
    </xf>
    <xf numFmtId="0" fontId="11" fillId="6" borderId="0" xfId="0" applyFont="1" applyFill="1" applyAlignment="1">
      <alignment horizontal="center"/>
    </xf>
    <xf numFmtId="0" fontId="11" fillId="35" borderId="0" xfId="0" applyFont="1" applyFill="1"/>
    <xf numFmtId="0" fontId="11" fillId="35" borderId="0" xfId="0" applyFont="1" applyFill="1" applyAlignment="1">
      <alignment horizontal="center"/>
    </xf>
    <xf numFmtId="0" fontId="33" fillId="35" borderId="0" xfId="0" applyFont="1" applyFill="1"/>
    <xf numFmtId="0" fontId="34" fillId="35" borderId="0" xfId="0" applyFont="1" applyFill="1"/>
    <xf numFmtId="0" fontId="40" fillId="35" borderId="0" xfId="0" applyFont="1" applyFill="1" applyAlignment="1">
      <alignment vertical="center"/>
    </xf>
    <xf numFmtId="0" fontId="11" fillId="35" borderId="0" xfId="0" applyFont="1" applyFill="1" applyAlignment="1">
      <alignment horizontal="center" wrapText="1"/>
    </xf>
    <xf numFmtId="0" fontId="34" fillId="6" borderId="27" xfId="0" applyFont="1" applyFill="1" applyBorder="1" applyAlignment="1">
      <alignment horizontal="center" vertical="center"/>
    </xf>
    <xf numFmtId="186" fontId="41" fillId="0" borderId="52" xfId="9" applyNumberFormat="1" applyFont="1" applyFill="1" applyBorder="1" applyAlignment="1">
      <alignment horizontal="center" vertical="center"/>
    </xf>
    <xf numFmtId="9" fontId="34" fillId="0" borderId="35" xfId="1" applyFont="1" applyFill="1" applyBorder="1" applyAlignment="1">
      <alignment horizontal="center" vertical="center"/>
    </xf>
    <xf numFmtId="9" fontId="34" fillId="0" borderId="37" xfId="1" applyFont="1" applyFill="1" applyBorder="1" applyAlignment="1">
      <alignment horizontal="center" vertical="center"/>
    </xf>
    <xf numFmtId="9" fontId="34" fillId="0" borderId="40" xfId="1" applyFont="1" applyFill="1" applyBorder="1" applyAlignment="1">
      <alignment horizontal="center" vertical="center"/>
    </xf>
    <xf numFmtId="0" fontId="34" fillId="0" borderId="8" xfId="19" applyFont="1" applyFill="1" applyBorder="1" applyAlignment="1">
      <alignment horizontal="center"/>
    </xf>
    <xf numFmtId="179" fontId="34" fillId="0" borderId="8" xfId="0" applyNumberFormat="1" applyFont="1" applyBorder="1" applyAlignment="1">
      <alignment horizontal="center" vertical="center"/>
    </xf>
    <xf numFmtId="179" fontId="34" fillId="0" borderId="8" xfId="19" applyNumberFormat="1" applyFont="1" applyFill="1" applyBorder="1" applyAlignment="1">
      <alignment horizontal="center"/>
    </xf>
    <xf numFmtId="0" fontId="34" fillId="0" borderId="0" xfId="0" applyFont="1"/>
    <xf numFmtId="0" fontId="34" fillId="0" borderId="8" xfId="0" applyFont="1" applyBorder="1" applyAlignment="1">
      <alignment horizontal="center"/>
    </xf>
    <xf numFmtId="0" fontId="41" fillId="18" borderId="6" xfId="0" applyFont="1" applyFill="1" applyBorder="1" applyAlignment="1">
      <alignment horizontal="center"/>
    </xf>
    <xf numFmtId="0" fontId="34" fillId="18" borderId="0" xfId="0" applyFont="1" applyFill="1"/>
    <xf numFmtId="0" fontId="34" fillId="18" borderId="29" xfId="0" applyFont="1" applyFill="1" applyBorder="1"/>
    <xf numFmtId="0" fontId="41" fillId="18" borderId="0" xfId="0" applyFont="1" applyFill="1" applyAlignment="1">
      <alignment horizontal="center"/>
    </xf>
    <xf numFmtId="0" fontId="41" fillId="18" borderId="8" xfId="0" applyFont="1" applyFill="1" applyBorder="1" applyAlignment="1">
      <alignment horizontal="center"/>
    </xf>
    <xf numFmtId="0" fontId="41" fillId="18" borderId="7" xfId="0" applyFont="1" applyFill="1" applyBorder="1" applyAlignment="1">
      <alignment horizontal="center"/>
    </xf>
    <xf numFmtId="0" fontId="34" fillId="18" borderId="32" xfId="0" applyFont="1" applyFill="1" applyBorder="1" applyAlignment="1">
      <alignment horizontal="right"/>
    </xf>
    <xf numFmtId="0" fontId="34" fillId="18" borderId="32" xfId="0" applyFont="1" applyFill="1" applyBorder="1"/>
    <xf numFmtId="0" fontId="34" fillId="18" borderId="30" xfId="0" applyFont="1" applyFill="1" applyBorder="1"/>
    <xf numFmtId="0" fontId="44" fillId="35" borderId="31" xfId="0" applyFont="1" applyFill="1" applyBorder="1"/>
    <xf numFmtId="0" fontId="41" fillId="35" borderId="1" xfId="0" applyFont="1" applyFill="1" applyBorder="1" applyAlignment="1">
      <alignment horizontal="center"/>
    </xf>
    <xf numFmtId="190" fontId="34" fillId="35" borderId="86" xfId="0" applyNumberFormat="1" applyFont="1" applyFill="1" applyBorder="1"/>
    <xf numFmtId="0" fontId="34" fillId="35" borderId="5" xfId="0" applyFont="1" applyFill="1" applyBorder="1"/>
    <xf numFmtId="0" fontId="34" fillId="35" borderId="2" xfId="0" applyFont="1" applyFill="1" applyBorder="1"/>
    <xf numFmtId="0" fontId="44" fillId="37" borderId="14" xfId="0" applyFont="1" applyFill="1" applyBorder="1" applyAlignment="1">
      <alignment horizontal="center"/>
    </xf>
    <xf numFmtId="0" fontId="44" fillId="37" borderId="31" xfId="0" applyFont="1" applyFill="1" applyBorder="1" applyAlignment="1">
      <alignment horizontal="center"/>
    </xf>
    <xf numFmtId="0" fontId="43" fillId="37" borderId="31" xfId="0" applyFont="1" applyFill="1" applyBorder="1" applyAlignment="1">
      <alignment horizontal="center"/>
    </xf>
    <xf numFmtId="0" fontId="34" fillId="37" borderId="6" xfId="0" applyFont="1" applyFill="1" applyBorder="1"/>
    <xf numFmtId="0" fontId="34" fillId="37" borderId="0" xfId="0" applyFont="1" applyFill="1" applyAlignment="1">
      <alignment horizontal="right"/>
    </xf>
    <xf numFmtId="0" fontId="34" fillId="37" borderId="0" xfId="0" applyFont="1" applyFill="1"/>
    <xf numFmtId="0" fontId="34" fillId="37" borderId="0" xfId="0" applyFont="1" applyFill="1" applyAlignment="1">
      <alignment horizontal="center"/>
    </xf>
    <xf numFmtId="0" fontId="34" fillId="37" borderId="0" xfId="13" applyFont="1" applyFill="1"/>
    <xf numFmtId="195" fontId="34" fillId="0" borderId="8" xfId="0" applyNumberFormat="1" applyFont="1" applyBorder="1" applyAlignment="1">
      <alignment horizontal="center"/>
    </xf>
    <xf numFmtId="194" fontId="34" fillId="0" borderId="8" xfId="0" applyNumberFormat="1" applyFont="1" applyBorder="1" applyAlignment="1">
      <alignment horizontal="left"/>
    </xf>
    <xf numFmtId="0" fontId="34" fillId="0" borderId="8" xfId="0" applyFont="1" applyBorder="1"/>
    <xf numFmtId="0" fontId="34" fillId="36" borderId="6" xfId="0" applyFont="1" applyFill="1" applyBorder="1"/>
    <xf numFmtId="0" fontId="44" fillId="36" borderId="29" xfId="0" applyFont="1" applyFill="1" applyBorder="1" applyAlignment="1">
      <alignment horizontal="center"/>
    </xf>
    <xf numFmtId="0" fontId="34" fillId="36" borderId="29" xfId="0" applyFont="1" applyFill="1" applyBorder="1"/>
    <xf numFmtId="0" fontId="34" fillId="36" borderId="56" xfId="0" applyFont="1" applyFill="1" applyBorder="1" applyAlignment="1">
      <alignment horizontal="center"/>
    </xf>
    <xf numFmtId="182" fontId="34" fillId="36" borderId="8" xfId="0" applyNumberFormat="1" applyFont="1" applyFill="1" applyBorder="1" applyAlignment="1">
      <alignment horizontal="center"/>
    </xf>
    <xf numFmtId="1" fontId="34" fillId="36" borderId="8" xfId="0" applyNumberFormat="1" applyFont="1" applyFill="1" applyBorder="1" applyAlignment="1">
      <alignment horizontal="center"/>
    </xf>
    <xf numFmtId="9" fontId="34" fillId="36" borderId="8" xfId="1" applyFont="1" applyFill="1" applyBorder="1" applyAlignment="1">
      <alignment horizontal="center"/>
    </xf>
    <xf numFmtId="193" fontId="34" fillId="36" borderId="8" xfId="0" applyNumberFormat="1" applyFont="1" applyFill="1" applyBorder="1" applyAlignment="1">
      <alignment horizontal="center"/>
    </xf>
    <xf numFmtId="180" fontId="42" fillId="36" borderId="63" xfId="0" applyNumberFormat="1" applyFont="1" applyFill="1" applyBorder="1" applyAlignment="1">
      <alignment horizontal="center"/>
    </xf>
    <xf numFmtId="0" fontId="34" fillId="36" borderId="25" xfId="0" applyFont="1" applyFill="1" applyBorder="1"/>
    <xf numFmtId="0" fontId="34" fillId="36" borderId="62" xfId="0" applyFont="1" applyFill="1" applyBorder="1"/>
    <xf numFmtId="0" fontId="34" fillId="36" borderId="10" xfId="0" applyFont="1" applyFill="1" applyBorder="1"/>
    <xf numFmtId="0" fontId="34" fillId="36" borderId="0" xfId="0" applyFont="1" applyFill="1"/>
    <xf numFmtId="0" fontId="34" fillId="36" borderId="12" xfId="0" applyFont="1" applyFill="1" applyBorder="1" applyAlignment="1">
      <alignment horizontal="center"/>
    </xf>
    <xf numFmtId="0" fontId="34" fillId="36" borderId="61" xfId="0" applyFont="1" applyFill="1" applyBorder="1" applyAlignment="1">
      <alignment horizontal="center"/>
    </xf>
    <xf numFmtId="0" fontId="34" fillId="36" borderId="12" xfId="0" applyFont="1" applyFill="1" applyBorder="1"/>
    <xf numFmtId="0" fontId="34" fillId="36" borderId="61" xfId="0" applyFont="1" applyFill="1" applyBorder="1"/>
    <xf numFmtId="0" fontId="34" fillId="36" borderId="8" xfId="0" applyFont="1" applyFill="1" applyBorder="1" applyAlignment="1">
      <alignment horizontal="center" vertical="center" wrapText="1"/>
    </xf>
    <xf numFmtId="187" fontId="34" fillId="36" borderId="8" xfId="0" applyNumberFormat="1" applyFont="1" applyFill="1" applyBorder="1" applyAlignment="1">
      <alignment horizontal="center" vertical="center"/>
    </xf>
    <xf numFmtId="0" fontId="34" fillId="36" borderId="8" xfId="0" applyFont="1" applyFill="1" applyBorder="1"/>
    <xf numFmtId="0" fontId="41" fillId="36" borderId="6" xfId="0" applyFont="1" applyFill="1" applyBorder="1" applyAlignment="1">
      <alignment horizontal="center"/>
    </xf>
    <xf numFmtId="180" fontId="34" fillId="36" borderId="48" xfId="0" applyNumberFormat="1" applyFont="1" applyFill="1" applyBorder="1" applyAlignment="1">
      <alignment horizontal="center"/>
    </xf>
    <xf numFmtId="180" fontId="42" fillId="36" borderId="8" xfId="0" applyNumberFormat="1" applyFont="1" applyFill="1" applyBorder="1" applyAlignment="1">
      <alignment horizontal="center" vertical="center"/>
    </xf>
    <xf numFmtId="0" fontId="45" fillId="36" borderId="46" xfId="0" applyFont="1" applyFill="1" applyBorder="1" applyAlignment="1">
      <alignment horizontal="right"/>
    </xf>
    <xf numFmtId="192" fontId="41" fillId="36" borderId="8" xfId="0" applyNumberFormat="1" applyFont="1" applyFill="1" applyBorder="1" applyAlignment="1">
      <alignment horizontal="center"/>
    </xf>
    <xf numFmtId="0" fontId="34" fillId="38" borderId="6" xfId="0" applyFont="1" applyFill="1" applyBorder="1"/>
    <xf numFmtId="0" fontId="34" fillId="38" borderId="29" xfId="0" applyFont="1" applyFill="1" applyBorder="1"/>
    <xf numFmtId="0" fontId="41" fillId="38" borderId="8" xfId="21" applyFont="1" applyFill="1" applyBorder="1" applyAlignment="1">
      <alignment horizontal="right" vertical="center"/>
    </xf>
    <xf numFmtId="178" fontId="34" fillId="38" borderId="8" xfId="21" applyNumberFormat="1" applyFont="1" applyFill="1" applyBorder="1" applyAlignment="1">
      <alignment horizontal="center" vertical="center"/>
    </xf>
    <xf numFmtId="10" fontId="34" fillId="38" borderId="8" xfId="21" applyNumberFormat="1" applyFont="1" applyFill="1" applyBorder="1" applyAlignment="1">
      <alignment horizontal="right" vertical="center"/>
    </xf>
    <xf numFmtId="191" fontId="34" fillId="38" borderId="8" xfId="21" applyNumberFormat="1" applyFont="1" applyFill="1" applyBorder="1" applyAlignment="1">
      <alignment horizontal="center" vertical="center"/>
    </xf>
    <xf numFmtId="0" fontId="34" fillId="38" borderId="8" xfId="21" applyFont="1" applyFill="1" applyBorder="1" applyAlignment="1">
      <alignment horizontal="right" vertical="center"/>
    </xf>
    <xf numFmtId="173" fontId="34" fillId="38" borderId="8" xfId="21" applyNumberFormat="1" applyFont="1" applyFill="1" applyBorder="1" applyAlignment="1">
      <alignment horizontal="center" vertical="center"/>
    </xf>
    <xf numFmtId="0" fontId="41" fillId="38" borderId="46" xfId="21" applyFont="1" applyFill="1" applyBorder="1" applyAlignment="1">
      <alignment horizontal="right" vertical="center"/>
    </xf>
    <xf numFmtId="10" fontId="34" fillId="38" borderId="8" xfId="21" applyNumberFormat="1" applyFont="1" applyFill="1" applyBorder="1" applyAlignment="1">
      <alignment vertical="center"/>
    </xf>
    <xf numFmtId="0" fontId="34" fillId="38" borderId="8" xfId="21" applyFont="1" applyFill="1" applyBorder="1" applyAlignment="1">
      <alignment horizontal="center" vertical="center"/>
    </xf>
    <xf numFmtId="9" fontId="34" fillId="38" borderId="8" xfId="0" applyNumberFormat="1" applyFont="1" applyFill="1" applyBorder="1" applyAlignment="1">
      <alignment horizontal="center"/>
    </xf>
    <xf numFmtId="9" fontId="34" fillId="38" borderId="39" xfId="0" applyNumberFormat="1" applyFont="1" applyFill="1" applyBorder="1" applyAlignment="1">
      <alignment horizontal="center"/>
    </xf>
    <xf numFmtId="0" fontId="34" fillId="38" borderId="6" xfId="0" applyFont="1" applyFill="1" applyBorder="1" applyAlignment="1">
      <alignment horizontal="right"/>
    </xf>
    <xf numFmtId="198" fontId="34" fillId="0" borderId="0" xfId="0" applyNumberFormat="1" applyFont="1"/>
    <xf numFmtId="9" fontId="34" fillId="0" borderId="0" xfId="1" applyFont="1"/>
    <xf numFmtId="0" fontId="46" fillId="0" borderId="0" xfId="0" applyFont="1"/>
    <xf numFmtId="0" fontId="47" fillId="0" borderId="0" xfId="0" applyFont="1"/>
    <xf numFmtId="200" fontId="34" fillId="0" borderId="0" xfId="0" applyNumberFormat="1" applyFont="1"/>
    <xf numFmtId="199" fontId="34" fillId="0" borderId="0" xfId="0" applyNumberFormat="1" applyFont="1"/>
    <xf numFmtId="10" fontId="34" fillId="0" borderId="0" xfId="1" applyNumberFormat="1" applyFont="1"/>
    <xf numFmtId="0" fontId="41" fillId="0" borderId="0" xfId="0" applyFont="1"/>
    <xf numFmtId="10" fontId="34" fillId="0" borderId="0" xfId="0" applyNumberFormat="1" applyFont="1"/>
    <xf numFmtId="199" fontId="42" fillId="0" borderId="0" xfId="0" applyNumberFormat="1" applyFont="1"/>
    <xf numFmtId="200" fontId="34" fillId="0" borderId="0" xfId="0" applyNumberFormat="1" applyFont="1" applyAlignment="1">
      <alignment horizontal="left"/>
    </xf>
    <xf numFmtId="198" fontId="48" fillId="0" borderId="0" xfId="0" applyNumberFormat="1" applyFont="1"/>
    <xf numFmtId="9" fontId="34" fillId="6" borderId="0" xfId="1" applyFont="1" applyFill="1"/>
    <xf numFmtId="9" fontId="42" fillId="0" borderId="0" xfId="1" applyFont="1"/>
    <xf numFmtId="0" fontId="34" fillId="39" borderId="0" xfId="0" applyFont="1" applyFill="1"/>
    <xf numFmtId="198" fontId="34" fillId="39" borderId="0" xfId="0" applyNumberFormat="1" applyFont="1" applyFill="1"/>
    <xf numFmtId="9" fontId="34" fillId="39" borderId="0" xfId="1" applyFont="1" applyFill="1"/>
    <xf numFmtId="0" fontId="46" fillId="39" borderId="0" xfId="0" applyFont="1" applyFill="1"/>
    <xf numFmtId="173" fontId="34" fillId="39" borderId="0" xfId="0" applyNumberFormat="1" applyFont="1" applyFill="1"/>
    <xf numFmtId="0" fontId="34" fillId="39" borderId="48" xfId="0" applyFont="1" applyFill="1" applyBorder="1"/>
    <xf numFmtId="0" fontId="41" fillId="39" borderId="52" xfId="0" applyFont="1" applyFill="1" applyBorder="1"/>
    <xf numFmtId="198" fontId="34" fillId="39" borderId="52" xfId="0" applyNumberFormat="1" applyFont="1" applyFill="1" applyBorder="1"/>
    <xf numFmtId="0" fontId="34" fillId="39" borderId="52" xfId="0" applyFont="1" applyFill="1" applyBorder="1"/>
    <xf numFmtId="0" fontId="34" fillId="39" borderId="46" xfId="0" applyFont="1" applyFill="1" applyBorder="1"/>
    <xf numFmtId="0" fontId="34" fillId="39" borderId="10" xfId="0" applyFont="1" applyFill="1" applyBorder="1"/>
    <xf numFmtId="0" fontId="34" fillId="39" borderId="11" xfId="0" applyFont="1" applyFill="1" applyBorder="1"/>
    <xf numFmtId="200" fontId="34" fillId="39" borderId="0" xfId="0" applyNumberFormat="1" applyFont="1" applyFill="1"/>
    <xf numFmtId="173" fontId="34" fillId="39" borderId="0" xfId="1" applyNumberFormat="1" applyFont="1" applyFill="1"/>
    <xf numFmtId="9" fontId="34" fillId="39" borderId="0" xfId="0" applyNumberFormat="1" applyFont="1" applyFill="1"/>
    <xf numFmtId="199" fontId="34" fillId="39" borderId="0" xfId="0" applyNumberFormat="1" applyFont="1" applyFill="1"/>
    <xf numFmtId="10" fontId="34" fillId="39" borderId="0" xfId="1" applyNumberFormat="1" applyFont="1" applyFill="1"/>
    <xf numFmtId="198" fontId="34" fillId="39" borderId="11" xfId="0" applyNumberFormat="1" applyFont="1" applyFill="1" applyBorder="1"/>
    <xf numFmtId="200" fontId="34" fillId="39" borderId="0" xfId="0" applyNumberFormat="1" applyFont="1" applyFill="1" applyAlignment="1">
      <alignment horizontal="right"/>
    </xf>
    <xf numFmtId="200" fontId="34" fillId="39" borderId="52" xfId="0" applyNumberFormat="1" applyFont="1" applyFill="1" applyBorder="1" applyAlignment="1">
      <alignment horizontal="right"/>
    </xf>
    <xf numFmtId="198" fontId="34" fillId="39" borderId="52" xfId="0" applyNumberFormat="1" applyFont="1" applyFill="1" applyBorder="1" applyAlignment="1">
      <alignment horizontal="right"/>
    </xf>
    <xf numFmtId="199" fontId="34" fillId="39" borderId="52" xfId="0" applyNumberFormat="1" applyFont="1" applyFill="1" applyBorder="1"/>
    <xf numFmtId="173" fontId="34" fillId="39" borderId="52" xfId="0" applyNumberFormat="1" applyFont="1" applyFill="1" applyBorder="1"/>
    <xf numFmtId="10" fontId="34" fillId="39" borderId="52" xfId="1" applyNumberFormat="1" applyFont="1" applyFill="1" applyBorder="1"/>
    <xf numFmtId="198" fontId="34" fillId="39" borderId="46" xfId="0" applyNumberFormat="1" applyFont="1" applyFill="1" applyBorder="1"/>
    <xf numFmtId="198" fontId="34" fillId="39" borderId="0" xfId="0" applyNumberFormat="1" applyFont="1" applyFill="1" applyAlignment="1">
      <alignment horizontal="right"/>
    </xf>
    <xf numFmtId="200" fontId="34" fillId="39" borderId="52" xfId="0" applyNumberFormat="1" applyFont="1" applyFill="1" applyBorder="1"/>
    <xf numFmtId="0" fontId="34" fillId="39" borderId="12" xfId="0" applyFont="1" applyFill="1" applyBorder="1"/>
    <xf numFmtId="0" fontId="34" fillId="39" borderId="61" xfId="0" applyFont="1" applyFill="1" applyBorder="1"/>
    <xf numFmtId="200" fontId="34" fillId="39" borderId="61" xfId="0" applyNumberFormat="1" applyFont="1" applyFill="1" applyBorder="1"/>
    <xf numFmtId="173" fontId="34" fillId="39" borderId="61" xfId="1" applyNumberFormat="1" applyFont="1" applyFill="1" applyBorder="1"/>
    <xf numFmtId="9" fontId="34" fillId="39" borderId="61" xfId="1" applyFont="1" applyFill="1" applyBorder="1"/>
    <xf numFmtId="199" fontId="34" fillId="39" borderId="61" xfId="0" applyNumberFormat="1" applyFont="1" applyFill="1" applyBorder="1"/>
    <xf numFmtId="173" fontId="34" fillId="39" borderId="61" xfId="0" applyNumberFormat="1" applyFont="1" applyFill="1" applyBorder="1"/>
    <xf numFmtId="10" fontId="34" fillId="39" borderId="61" xfId="1" applyNumberFormat="1" applyFont="1" applyFill="1" applyBorder="1"/>
    <xf numFmtId="198" fontId="34" fillId="39" borderId="13" xfId="0" applyNumberFormat="1" applyFont="1" applyFill="1" applyBorder="1"/>
    <xf numFmtId="0" fontId="34" fillId="39" borderId="6" xfId="0" applyFont="1" applyFill="1" applyBorder="1"/>
    <xf numFmtId="200" fontId="41" fillId="39" borderId="63" xfId="0" applyNumberFormat="1" applyFont="1" applyFill="1" applyBorder="1"/>
    <xf numFmtId="199" fontId="41" fillId="39" borderId="72" xfId="0" applyNumberFormat="1" applyFont="1" applyFill="1" applyBorder="1" applyAlignment="1">
      <alignment vertical="center"/>
    </xf>
    <xf numFmtId="0" fontId="34" fillId="39" borderId="7" xfId="0" applyFont="1" applyFill="1" applyBorder="1"/>
    <xf numFmtId="178" fontId="41" fillId="39" borderId="23" xfId="0" applyNumberFormat="1" applyFont="1" applyFill="1" applyBorder="1"/>
    <xf numFmtId="0" fontId="34" fillId="39" borderId="32" xfId="0" applyFont="1" applyFill="1" applyBorder="1"/>
    <xf numFmtId="200" fontId="34" fillId="39" borderId="32" xfId="0" applyNumberFormat="1" applyFont="1" applyFill="1" applyBorder="1"/>
    <xf numFmtId="199" fontId="34" fillId="39" borderId="32" xfId="0" applyNumberFormat="1" applyFont="1" applyFill="1" applyBorder="1"/>
    <xf numFmtId="178" fontId="41" fillId="39" borderId="24" xfId="0" applyNumberFormat="1" applyFont="1" applyFill="1" applyBorder="1"/>
    <xf numFmtId="0" fontId="41" fillId="39" borderId="0" xfId="0" applyFont="1" applyFill="1"/>
    <xf numFmtId="9" fontId="41" fillId="39" borderId="0" xfId="1" applyFont="1" applyFill="1"/>
    <xf numFmtId="199" fontId="41" fillId="39" borderId="0" xfId="0" applyNumberFormat="1" applyFont="1" applyFill="1"/>
    <xf numFmtId="0" fontId="41" fillId="39" borderId="0" xfId="0" applyFont="1" applyFill="1" applyAlignment="1">
      <alignment horizontal="center" vertical="center"/>
    </xf>
    <xf numFmtId="0" fontId="41" fillId="39" borderId="14" xfId="0" applyFont="1" applyFill="1" applyBorder="1"/>
    <xf numFmtId="178" fontId="34" fillId="39" borderId="31" xfId="0" applyNumberFormat="1" applyFont="1" applyFill="1" applyBorder="1"/>
    <xf numFmtId="10" fontId="34" fillId="39" borderId="28" xfId="0" applyNumberFormat="1" applyFont="1" applyFill="1" applyBorder="1"/>
    <xf numFmtId="0" fontId="41" fillId="39" borderId="6" xfId="0" applyFont="1" applyFill="1" applyBorder="1"/>
    <xf numFmtId="178" fontId="34" fillId="39" borderId="0" xfId="0" applyNumberFormat="1" applyFont="1" applyFill="1"/>
    <xf numFmtId="10" fontId="34" fillId="39" borderId="29" xfId="1" applyNumberFormat="1" applyFont="1" applyFill="1" applyBorder="1"/>
    <xf numFmtId="0" fontId="41" fillId="39" borderId="7" xfId="0" applyFont="1" applyFill="1" applyBorder="1"/>
    <xf numFmtId="178" fontId="34" fillId="39" borderId="32" xfId="0" applyNumberFormat="1" applyFont="1" applyFill="1" applyBorder="1"/>
    <xf numFmtId="10" fontId="34" fillId="39" borderId="30" xfId="1" applyNumberFormat="1" applyFont="1" applyFill="1" applyBorder="1"/>
    <xf numFmtId="0" fontId="5" fillId="0" borderId="0" xfId="0" applyFont="1"/>
    <xf numFmtId="0" fontId="3" fillId="0" borderId="13" xfId="0" applyFont="1" applyBorder="1"/>
    <xf numFmtId="172" fontId="3" fillId="0" borderId="0" xfId="0" applyNumberFormat="1" applyFont="1"/>
    <xf numFmtId="0" fontId="5" fillId="0" borderId="12" xfId="0" applyFont="1" applyBorder="1"/>
    <xf numFmtId="0" fontId="10" fillId="0" borderId="0" xfId="0" quotePrefix="1" applyFont="1"/>
    <xf numFmtId="0" fontId="5" fillId="0" borderId="10" xfId="0" applyFont="1" applyBorder="1"/>
    <xf numFmtId="0" fontId="3" fillId="0" borderId="11" xfId="0" applyFont="1" applyBorder="1"/>
    <xf numFmtId="0" fontId="3" fillId="0" borderId="8" xfId="0" applyFont="1" applyBorder="1"/>
    <xf numFmtId="0" fontId="50" fillId="0" borderId="64" xfId="0" applyFont="1" applyBorder="1"/>
    <xf numFmtId="0" fontId="3" fillId="0" borderId="64" xfId="0" applyFont="1" applyBorder="1"/>
    <xf numFmtId="0" fontId="3" fillId="13" borderId="14" xfId="12" applyFont="1" applyBorder="1"/>
    <xf numFmtId="0" fontId="3" fillId="13" borderId="31" xfId="12" applyFont="1" applyBorder="1"/>
    <xf numFmtId="204" fontId="3" fillId="13" borderId="31" xfId="12" applyNumberFormat="1" applyFont="1" applyBorder="1"/>
    <xf numFmtId="0" fontId="3" fillId="13" borderId="28" xfId="12" applyFont="1" applyBorder="1"/>
    <xf numFmtId="0" fontId="5" fillId="13" borderId="27" xfId="12" applyFont="1" applyBorder="1"/>
    <xf numFmtId="0" fontId="3" fillId="13" borderId="65" xfId="12" applyFont="1" applyBorder="1"/>
    <xf numFmtId="0" fontId="3" fillId="13" borderId="33" xfId="12" applyFont="1" applyBorder="1"/>
    <xf numFmtId="0" fontId="3" fillId="13" borderId="34" xfId="12" applyFont="1" applyBorder="1"/>
    <xf numFmtId="0" fontId="3" fillId="13" borderId="35" xfId="12" applyFont="1" applyBorder="1"/>
    <xf numFmtId="0" fontId="3" fillId="13" borderId="6" xfId="12" applyFont="1" applyBorder="1"/>
    <xf numFmtId="0" fontId="3" fillId="13" borderId="55" xfId="12" applyFont="1" applyBorder="1" applyAlignment="1">
      <alignment horizontal="right"/>
    </xf>
    <xf numFmtId="0" fontId="3" fillId="13" borderId="36" xfId="12" applyFont="1" applyBorder="1"/>
    <xf numFmtId="0" fontId="3" fillId="13" borderId="8" xfId="12" applyFont="1" applyBorder="1"/>
    <xf numFmtId="0" fontId="3" fillId="13" borderId="37" xfId="12" applyFont="1" applyBorder="1"/>
    <xf numFmtId="0" fontId="51" fillId="13" borderId="27" xfId="12" applyFont="1" applyBorder="1"/>
    <xf numFmtId="0" fontId="3" fillId="13" borderId="55" xfId="12" applyFont="1" applyBorder="1"/>
    <xf numFmtId="0" fontId="5" fillId="13" borderId="6" xfId="12" applyFont="1" applyBorder="1"/>
    <xf numFmtId="211" fontId="3" fillId="13" borderId="36" xfId="12" applyNumberFormat="1" applyFont="1" applyBorder="1" applyAlignment="1">
      <alignment horizontal="right" vertical="center"/>
    </xf>
    <xf numFmtId="211" fontId="3" fillId="13" borderId="8" xfId="12" applyNumberFormat="1" applyFont="1" applyBorder="1" applyAlignment="1">
      <alignment horizontal="right" vertical="center"/>
    </xf>
    <xf numFmtId="211" fontId="3" fillId="13" borderId="37" xfId="12" applyNumberFormat="1" applyFont="1" applyBorder="1" applyAlignment="1">
      <alignment horizontal="right" vertical="center"/>
    </xf>
    <xf numFmtId="0" fontId="3" fillId="13" borderId="67" xfId="12" applyFont="1" applyBorder="1"/>
    <xf numFmtId="0" fontId="3" fillId="13" borderId="67" xfId="12" applyFont="1" applyBorder="1" applyAlignment="1">
      <alignment horizontal="center" vertical="center"/>
    </xf>
    <xf numFmtId="0" fontId="3" fillId="13" borderId="62" xfId="12" applyFont="1" applyBorder="1" applyAlignment="1">
      <alignment horizontal="center" vertical="center"/>
    </xf>
    <xf numFmtId="0" fontId="3" fillId="13" borderId="108" xfId="12" applyFont="1" applyBorder="1" applyAlignment="1">
      <alignment horizontal="center" vertical="center"/>
    </xf>
    <xf numFmtId="0" fontId="3" fillId="13" borderId="6" xfId="12" applyFont="1" applyBorder="1" applyAlignment="1">
      <alignment horizontal="center" vertical="center"/>
    </xf>
    <xf numFmtId="0" fontId="3" fillId="13" borderId="0" xfId="12" applyFont="1" applyBorder="1" applyAlignment="1">
      <alignment horizontal="center" vertical="center"/>
    </xf>
    <xf numFmtId="0" fontId="3" fillId="13" borderId="29" xfId="12" applyFont="1" applyBorder="1" applyAlignment="1">
      <alignment horizontal="center" vertical="center"/>
    </xf>
    <xf numFmtId="0" fontId="3" fillId="13" borderId="7" xfId="12" applyFont="1" applyBorder="1"/>
    <xf numFmtId="0" fontId="3" fillId="13" borderId="7" xfId="12" applyFont="1" applyBorder="1" applyAlignment="1">
      <alignment horizontal="center" vertical="center"/>
    </xf>
    <xf numFmtId="0" fontId="3" fillId="13" borderId="32" xfId="12" applyFont="1" applyBorder="1" applyAlignment="1">
      <alignment horizontal="center" vertical="center"/>
    </xf>
    <xf numFmtId="0" fontId="3" fillId="13" borderId="30" xfId="12" applyFont="1" applyBorder="1" applyAlignment="1">
      <alignment horizontal="center" vertical="center"/>
    </xf>
    <xf numFmtId="0" fontId="5" fillId="13" borderId="29" xfId="12" applyFont="1" applyBorder="1"/>
    <xf numFmtId="0" fontId="5" fillId="13" borderId="0" xfId="12" applyFont="1" applyBorder="1"/>
    <xf numFmtId="219" fontId="5" fillId="13" borderId="30" xfId="12" applyNumberFormat="1" applyFont="1" applyBorder="1"/>
    <xf numFmtId="0" fontId="3" fillId="13" borderId="0" xfId="12" applyFont="1" applyBorder="1"/>
    <xf numFmtId="208" fontId="5" fillId="13" borderId="0" xfId="12" applyNumberFormat="1" applyFont="1" applyBorder="1"/>
    <xf numFmtId="0" fontId="3" fillId="13" borderId="29" xfId="12" applyFont="1" applyBorder="1"/>
    <xf numFmtId="0" fontId="3" fillId="13" borderId="32" xfId="12" applyFont="1" applyBorder="1"/>
    <xf numFmtId="208" fontId="5" fillId="13" borderId="32" xfId="12" applyNumberFormat="1" applyFont="1" applyBorder="1"/>
    <xf numFmtId="0" fontId="5" fillId="13" borderId="32" xfId="12" applyFont="1" applyBorder="1"/>
    <xf numFmtId="0" fontId="5" fillId="13" borderId="30" xfId="12" applyFont="1" applyBorder="1"/>
    <xf numFmtId="0" fontId="3" fillId="14" borderId="14" xfId="13" applyFont="1" applyBorder="1"/>
    <xf numFmtId="0" fontId="3" fillId="14" borderId="31" xfId="13" applyFont="1" applyBorder="1"/>
    <xf numFmtId="0" fontId="3" fillId="14" borderId="28" xfId="13" applyFont="1" applyBorder="1"/>
    <xf numFmtId="0" fontId="5" fillId="14" borderId="0" xfId="13" applyFont="1"/>
    <xf numFmtId="0" fontId="5" fillId="14" borderId="70" xfId="13" applyFont="1" applyBorder="1" applyAlignment="1">
      <alignment vertical="center"/>
    </xf>
    <xf numFmtId="206" fontId="5" fillId="14" borderId="8" xfId="13" applyNumberFormat="1" applyFont="1" applyBorder="1"/>
    <xf numFmtId="207" fontId="5" fillId="14" borderId="8" xfId="13" applyNumberFormat="1" applyFont="1" applyBorder="1"/>
    <xf numFmtId="206" fontId="5" fillId="19" borderId="8" xfId="13" applyNumberFormat="1" applyFont="1" applyFill="1" applyBorder="1"/>
    <xf numFmtId="206" fontId="5" fillId="14" borderId="37" xfId="13" applyNumberFormat="1" applyFont="1" applyBorder="1"/>
    <xf numFmtId="0" fontId="3" fillId="14" borderId="70" xfId="13" applyFont="1" applyBorder="1"/>
    <xf numFmtId="166" fontId="3" fillId="0" borderId="72" xfId="13" applyNumberFormat="1" applyFont="1" applyFill="1" applyBorder="1"/>
    <xf numFmtId="0" fontId="3" fillId="14" borderId="0" xfId="13" applyFont="1"/>
    <xf numFmtId="0" fontId="3" fillId="14" borderId="8" xfId="13" applyFont="1" applyBorder="1"/>
    <xf numFmtId="182" fontId="3" fillId="0" borderId="0" xfId="0" applyNumberFormat="1" applyFont="1"/>
    <xf numFmtId="0" fontId="3" fillId="14" borderId="6" xfId="13" applyFont="1" applyBorder="1"/>
    <xf numFmtId="166" fontId="3" fillId="14" borderId="0" xfId="13" applyNumberFormat="1" applyFont="1"/>
    <xf numFmtId="166" fontId="3" fillId="14" borderId="29" xfId="13" applyNumberFormat="1" applyFont="1" applyBorder="1"/>
    <xf numFmtId="0" fontId="5" fillId="14" borderId="18" xfId="13" applyFont="1" applyBorder="1" applyAlignment="1">
      <alignment vertical="center"/>
    </xf>
    <xf numFmtId="0" fontId="5" fillId="14" borderId="19" xfId="13" applyFont="1" applyBorder="1" applyAlignment="1">
      <alignment vertical="center"/>
    </xf>
    <xf numFmtId="206" fontId="5" fillId="14" borderId="34" xfId="13" applyNumberFormat="1" applyFont="1" applyBorder="1" applyAlignment="1">
      <alignment horizontal="center" vertical="center"/>
    </xf>
    <xf numFmtId="206" fontId="5" fillId="19" borderId="8" xfId="13" applyNumberFormat="1" applyFont="1" applyFill="1" applyBorder="1" applyAlignment="1">
      <alignment horizontal="center" vertical="center"/>
    </xf>
    <xf numFmtId="1" fontId="3" fillId="14" borderId="0" xfId="13" applyNumberFormat="1" applyFont="1" applyAlignment="1">
      <alignment horizontal="center" vertical="center"/>
    </xf>
    <xf numFmtId="1" fontId="3" fillId="14" borderId="8" xfId="13" applyNumberFormat="1" applyFont="1" applyBorder="1" applyAlignment="1">
      <alignment horizontal="center" vertical="center"/>
    </xf>
    <xf numFmtId="2" fontId="3" fillId="0" borderId="0" xfId="0" applyNumberFormat="1" applyFont="1"/>
    <xf numFmtId="9" fontId="3" fillId="14" borderId="0" xfId="13" applyNumberFormat="1" applyFont="1" applyAlignment="1">
      <alignment horizontal="center" vertical="center"/>
    </xf>
    <xf numFmtId="1" fontId="3" fillId="14" borderId="0" xfId="13" applyNumberFormat="1" applyFont="1"/>
    <xf numFmtId="1" fontId="3" fillId="14" borderId="29" xfId="13" applyNumberFormat="1" applyFont="1" applyBorder="1"/>
    <xf numFmtId="206" fontId="5" fillId="14" borderId="33" xfId="13" applyNumberFormat="1" applyFont="1" applyBorder="1"/>
    <xf numFmtId="206" fontId="5" fillId="14" borderId="34" xfId="13" applyNumberFormat="1" applyFont="1" applyBorder="1"/>
    <xf numFmtId="166" fontId="3" fillId="14" borderId="26" xfId="13" applyNumberFormat="1" applyFont="1" applyBorder="1"/>
    <xf numFmtId="166" fontId="3" fillId="14" borderId="11" xfId="13" applyNumberFormat="1" applyFont="1" applyBorder="1"/>
    <xf numFmtId="0" fontId="3" fillId="14" borderId="7" xfId="13" applyFont="1" applyBorder="1"/>
    <xf numFmtId="0" fontId="3" fillId="14" borderId="1" xfId="13" applyFont="1" applyBorder="1"/>
    <xf numFmtId="166" fontId="3" fillId="14" borderId="5" xfId="13" applyNumberFormat="1" applyFont="1" applyBorder="1"/>
    <xf numFmtId="166" fontId="3" fillId="14" borderId="86" xfId="13" applyNumberFormat="1" applyFont="1" applyBorder="1"/>
    <xf numFmtId="0" fontId="3" fillId="14" borderId="0" xfId="13" applyFont="1" applyAlignment="1">
      <alignment horizontal="center" vertical="center"/>
    </xf>
    <xf numFmtId="0" fontId="3" fillId="14" borderId="11" xfId="13" applyFont="1" applyBorder="1" applyAlignment="1">
      <alignment horizontal="center" vertical="center"/>
    </xf>
    <xf numFmtId="0" fontId="3" fillId="14" borderId="29" xfId="13" applyFont="1" applyBorder="1"/>
    <xf numFmtId="0" fontId="5" fillId="14" borderId="6" xfId="13" applyFont="1" applyBorder="1"/>
    <xf numFmtId="206" fontId="3" fillId="14" borderId="0" xfId="13" applyNumberFormat="1" applyFont="1"/>
    <xf numFmtId="0" fontId="3" fillId="14" borderId="27" xfId="13" applyFont="1" applyBorder="1"/>
    <xf numFmtId="166" fontId="3" fillId="14" borderId="2" xfId="13" applyNumberFormat="1" applyFont="1" applyBorder="1"/>
    <xf numFmtId="206" fontId="3" fillId="14" borderId="4" xfId="13" applyNumberFormat="1" applyFont="1" applyBorder="1"/>
    <xf numFmtId="206" fontId="3" fillId="14" borderId="2" xfId="13" applyNumberFormat="1" applyFont="1" applyBorder="1"/>
    <xf numFmtId="166" fontId="3" fillId="14" borderId="32" xfId="13" applyNumberFormat="1" applyFont="1" applyBorder="1"/>
    <xf numFmtId="206" fontId="3" fillId="14" borderId="32" xfId="13" applyNumberFormat="1" applyFont="1" applyBorder="1"/>
    <xf numFmtId="172" fontId="3" fillId="14" borderId="32" xfId="13" applyNumberFormat="1" applyFont="1" applyBorder="1"/>
    <xf numFmtId="0" fontId="3" fillId="14" borderId="32" xfId="13" applyFont="1" applyBorder="1"/>
    <xf numFmtId="0" fontId="3" fillId="14" borderId="30" xfId="13" applyFont="1" applyBorder="1"/>
    <xf numFmtId="166" fontId="3" fillId="0" borderId="0" xfId="15" applyFont="1"/>
    <xf numFmtId="206" fontId="3" fillId="0" borderId="0" xfId="0" applyNumberFormat="1" applyFont="1"/>
    <xf numFmtId="204" fontId="3" fillId="0" borderId="0" xfId="0" applyNumberFormat="1" applyFont="1"/>
    <xf numFmtId="0" fontId="3" fillId="15" borderId="14" xfId="14" applyFont="1" applyBorder="1"/>
    <xf numFmtId="0" fontId="3" fillId="15" borderId="3" xfId="14" applyFont="1" applyBorder="1" applyAlignment="1">
      <alignment horizontal="center" vertical="center"/>
    </xf>
    <xf numFmtId="0" fontId="3" fillId="15" borderId="9" xfId="14" applyFont="1" applyBorder="1" applyAlignment="1">
      <alignment horizontal="center" vertical="center"/>
    </xf>
    <xf numFmtId="0" fontId="3" fillId="15" borderId="4" xfId="14" applyFont="1" applyBorder="1" applyAlignment="1">
      <alignment horizontal="center" vertical="center"/>
    </xf>
    <xf numFmtId="0" fontId="3" fillId="15" borderId="60" xfId="14" applyFont="1" applyBorder="1" applyAlignment="1">
      <alignment horizontal="center" vertical="center"/>
    </xf>
    <xf numFmtId="0" fontId="3" fillId="15" borderId="28" xfId="14" applyFont="1" applyBorder="1" applyAlignment="1">
      <alignment horizontal="center"/>
    </xf>
    <xf numFmtId="0" fontId="3" fillId="0" borderId="0" xfId="0" applyFont="1" applyAlignment="1">
      <alignment horizontal="center"/>
    </xf>
    <xf numFmtId="0" fontId="3" fillId="15" borderId="6" xfId="14" applyFont="1" applyBorder="1"/>
    <xf numFmtId="0" fontId="3" fillId="15" borderId="69" xfId="14" applyFont="1" applyBorder="1" applyAlignment="1">
      <alignment horizontal="center" vertical="center"/>
    </xf>
    <xf numFmtId="0" fontId="3" fillId="15" borderId="56" xfId="14" applyFont="1" applyBorder="1" applyAlignment="1">
      <alignment horizontal="center" vertical="center"/>
    </xf>
    <xf numFmtId="0" fontId="3" fillId="15" borderId="68" xfId="14" applyFont="1" applyBorder="1" applyAlignment="1">
      <alignment horizontal="center" vertical="center"/>
    </xf>
    <xf numFmtId="0" fontId="3" fillId="15" borderId="58" xfId="14" applyFont="1" applyBorder="1" applyAlignment="1">
      <alignment horizontal="center" vertical="center"/>
    </xf>
    <xf numFmtId="0" fontId="3" fillId="15" borderId="29" xfId="14" applyFont="1" applyBorder="1"/>
    <xf numFmtId="0" fontId="3" fillId="15" borderId="55" xfId="14" applyFont="1" applyBorder="1"/>
    <xf numFmtId="172" fontId="3" fillId="0" borderId="8" xfId="0" applyNumberFormat="1" applyFont="1" applyBorder="1" applyAlignment="1">
      <alignment horizontal="right"/>
    </xf>
    <xf numFmtId="0" fontId="34" fillId="0" borderId="8" xfId="0" applyFont="1" applyBorder="1" applyAlignment="1">
      <alignment horizontal="right" vertical="center"/>
    </xf>
    <xf numFmtId="166" fontId="3" fillId="0" borderId="58" xfId="14" applyNumberFormat="1" applyFont="1" applyFill="1" applyBorder="1"/>
    <xf numFmtId="0" fontId="34" fillId="0" borderId="8" xfId="0" applyFont="1" applyBorder="1" applyAlignment="1">
      <alignment vertical="center"/>
    </xf>
    <xf numFmtId="0" fontId="3" fillId="15" borderId="67" xfId="14" applyFont="1" applyBorder="1"/>
    <xf numFmtId="166" fontId="3" fillId="0" borderId="66" xfId="14" applyNumberFormat="1" applyFont="1" applyFill="1" applyBorder="1"/>
    <xf numFmtId="0" fontId="3" fillId="15" borderId="65" xfId="14" applyFont="1" applyBorder="1" applyAlignment="1">
      <alignment horizontal="right"/>
    </xf>
    <xf numFmtId="166" fontId="3" fillId="15" borderId="33" xfId="14" applyNumberFormat="1" applyFont="1" applyBorder="1"/>
    <xf numFmtId="166" fontId="3" fillId="15" borderId="34" xfId="14" applyNumberFormat="1" applyFont="1" applyBorder="1"/>
    <xf numFmtId="166" fontId="3" fillId="15" borderId="35" xfId="14" applyNumberFormat="1" applyFont="1" applyBorder="1"/>
    <xf numFmtId="166" fontId="3" fillId="15" borderId="60" xfId="14" applyNumberFormat="1" applyFont="1" applyBorder="1"/>
    <xf numFmtId="0" fontId="3" fillId="15" borderId="55" xfId="14" applyFont="1" applyBorder="1" applyAlignment="1">
      <alignment horizontal="right"/>
    </xf>
    <xf numFmtId="0" fontId="3" fillId="15" borderId="36" xfId="14" applyFont="1" applyBorder="1" applyAlignment="1">
      <alignment horizontal="center" vertical="center"/>
    </xf>
    <xf numFmtId="0" fontId="3" fillId="15" borderId="8" xfId="14" applyFont="1" applyBorder="1" applyAlignment="1">
      <alignment horizontal="center" vertical="center"/>
    </xf>
    <xf numFmtId="0" fontId="3" fillId="15" borderId="37" xfId="14" applyFont="1" applyBorder="1" applyAlignment="1">
      <alignment horizontal="center" vertical="center"/>
    </xf>
    <xf numFmtId="0" fontId="3" fillId="15" borderId="54" xfId="14" applyFont="1" applyBorder="1" applyAlignment="1">
      <alignment horizontal="right"/>
    </xf>
    <xf numFmtId="0" fontId="3" fillId="15" borderId="38" xfId="14" applyFont="1" applyBorder="1" applyAlignment="1">
      <alignment horizontal="center" vertical="center"/>
    </xf>
    <xf numFmtId="0" fontId="3" fillId="15" borderId="39" xfId="14" applyFont="1" applyBorder="1" applyAlignment="1">
      <alignment horizontal="center" vertical="center"/>
    </xf>
    <xf numFmtId="0" fontId="3" fillId="15" borderId="40" xfId="14" applyFont="1" applyBorder="1" applyAlignment="1">
      <alignment horizontal="center" vertical="center"/>
    </xf>
    <xf numFmtId="0" fontId="3" fillId="15" borderId="57" xfId="14" applyFont="1" applyBorder="1" applyAlignment="1">
      <alignment horizontal="center" vertical="center"/>
    </xf>
    <xf numFmtId="0" fontId="3" fillId="15" borderId="0" xfId="14" applyFont="1"/>
    <xf numFmtId="172" fontId="3" fillId="15" borderId="0" xfId="14" applyNumberFormat="1" applyFont="1" applyAlignment="1">
      <alignment horizontal="right"/>
    </xf>
    <xf numFmtId="0" fontId="3" fillId="15" borderId="33" xfId="14" applyFont="1" applyBorder="1"/>
    <xf numFmtId="0" fontId="5" fillId="15" borderId="35" xfId="14" applyFont="1" applyBorder="1"/>
    <xf numFmtId="0" fontId="3" fillId="15" borderId="38" xfId="14" applyFont="1" applyBorder="1"/>
    <xf numFmtId="166" fontId="5" fillId="9" borderId="40" xfId="14" applyNumberFormat="1" applyFont="1" applyFill="1" applyBorder="1"/>
    <xf numFmtId="0" fontId="3" fillId="15" borderId="7" xfId="14" applyFont="1" applyBorder="1"/>
    <xf numFmtId="0" fontId="3" fillId="15" borderId="32" xfId="14" applyFont="1" applyBorder="1"/>
    <xf numFmtId="0" fontId="3" fillId="15" borderId="30" xfId="14" applyFont="1" applyBorder="1"/>
    <xf numFmtId="172" fontId="3" fillId="0" borderId="0" xfId="0" applyNumberFormat="1" applyFont="1" applyAlignment="1">
      <alignment horizontal="right"/>
    </xf>
    <xf numFmtId="0" fontId="5" fillId="20" borderId="8" xfId="0" applyFont="1" applyFill="1" applyBorder="1"/>
    <xf numFmtId="9" fontId="3" fillId="0" borderId="0" xfId="1" applyFont="1"/>
    <xf numFmtId="203" fontId="5" fillId="20" borderId="8" xfId="0" applyNumberFormat="1" applyFont="1" applyFill="1" applyBorder="1"/>
    <xf numFmtId="203" fontId="5" fillId="20" borderId="8" xfId="0" quotePrefix="1" applyNumberFormat="1" applyFont="1" applyFill="1" applyBorder="1"/>
    <xf numFmtId="166" fontId="5" fillId="0" borderId="0" xfId="15" applyFont="1"/>
    <xf numFmtId="172" fontId="3" fillId="0" borderId="8" xfId="0" applyNumberFormat="1" applyFont="1" applyBorder="1"/>
    <xf numFmtId="204" fontId="3" fillId="0" borderId="8" xfId="0" applyNumberFormat="1" applyFont="1" applyBorder="1"/>
    <xf numFmtId="172" fontId="3" fillId="0" borderId="61" xfId="0" applyNumberFormat="1" applyFont="1" applyBorder="1"/>
    <xf numFmtId="204" fontId="3" fillId="0" borderId="61" xfId="0" applyNumberFormat="1" applyFont="1" applyBorder="1"/>
    <xf numFmtId="172" fontId="3" fillId="0" borderId="62" xfId="0" applyNumberFormat="1" applyFont="1" applyBorder="1"/>
    <xf numFmtId="204" fontId="3" fillId="0" borderId="62" xfId="0" applyNumberFormat="1" applyFont="1" applyBorder="1"/>
    <xf numFmtId="0" fontId="52" fillId="0" borderId="0" xfId="0" applyFont="1"/>
    <xf numFmtId="0" fontId="3" fillId="0" borderId="8" xfId="0" applyFont="1" applyBorder="1" applyAlignment="1">
      <alignment horizontal="center"/>
    </xf>
    <xf numFmtId="204" fontId="3" fillId="0" borderId="56" xfId="0" applyNumberFormat="1" applyFont="1" applyBorder="1"/>
    <xf numFmtId="0" fontId="3" fillId="20" borderId="8" xfId="0" applyFont="1" applyFill="1" applyBorder="1"/>
    <xf numFmtId="172" fontId="3" fillId="0" borderId="56" xfId="0" applyNumberFormat="1" applyFont="1" applyBorder="1"/>
    <xf numFmtId="0" fontId="5" fillId="0" borderId="1" xfId="0" applyFont="1" applyBorder="1"/>
    <xf numFmtId="0" fontId="5" fillId="0" borderId="5" xfId="0" applyFont="1" applyBorder="1"/>
    <xf numFmtId="0" fontId="5" fillId="0" borderId="2" xfId="0" applyFont="1" applyBorder="1"/>
    <xf numFmtId="0" fontId="5" fillId="0" borderId="0" xfId="0" applyFont="1" applyAlignment="1">
      <alignment horizontal="center"/>
    </xf>
    <xf numFmtId="16" fontId="3" fillId="0" borderId="0" xfId="0" applyNumberFormat="1" applyFont="1"/>
    <xf numFmtId="22" fontId="3" fillId="0" borderId="80" xfId="0" applyNumberFormat="1" applyFont="1" applyBorder="1"/>
    <xf numFmtId="0" fontId="3" fillId="0" borderId="31" xfId="0" applyFont="1" applyBorder="1"/>
    <xf numFmtId="0" fontId="3" fillId="0" borderId="81" xfId="0" applyFont="1" applyBorder="1"/>
    <xf numFmtId="0" fontId="3" fillId="17" borderId="14" xfId="0" applyFont="1" applyFill="1" applyBorder="1"/>
    <xf numFmtId="0" fontId="3" fillId="25" borderId="14" xfId="17" applyFont="1" applyBorder="1"/>
    <xf numFmtId="0" fontId="5" fillId="25" borderId="31" xfId="17" applyFont="1" applyBorder="1" applyAlignment="1">
      <alignment horizontal="center" vertical="center"/>
    </xf>
    <xf numFmtId="0" fontId="5" fillId="25" borderId="28" xfId="17" applyFont="1" applyBorder="1" applyAlignment="1">
      <alignment horizontal="center" vertical="center"/>
    </xf>
    <xf numFmtId="178" fontId="3" fillId="0" borderId="11" xfId="0" applyNumberFormat="1" applyFont="1" applyBorder="1"/>
    <xf numFmtId="197" fontId="3" fillId="0" borderId="0" xfId="0" applyNumberFormat="1" applyFont="1"/>
    <xf numFmtId="0" fontId="3" fillId="17" borderId="6" xfId="0" applyFont="1" applyFill="1" applyBorder="1"/>
    <xf numFmtId="197" fontId="3" fillId="17" borderId="37" xfId="0" applyNumberFormat="1" applyFont="1" applyFill="1" applyBorder="1"/>
    <xf numFmtId="0" fontId="5" fillId="25" borderId="6" xfId="17" applyFont="1" applyBorder="1" applyAlignment="1">
      <alignment horizontal="center" vertical="center"/>
    </xf>
    <xf numFmtId="197" fontId="3" fillId="25" borderId="8" xfId="17" applyNumberFormat="1" applyFont="1" applyBorder="1" applyAlignment="1">
      <alignment horizontal="center" vertical="center"/>
    </xf>
    <xf numFmtId="197" fontId="3" fillId="25" borderId="37" xfId="17" applyNumberFormat="1" applyFont="1" applyBorder="1" applyAlignment="1">
      <alignment horizontal="center" vertical="center"/>
    </xf>
    <xf numFmtId="0" fontId="3" fillId="17" borderId="29" xfId="0" applyFont="1" applyFill="1" applyBorder="1"/>
    <xf numFmtId="0" fontId="3" fillId="25" borderId="0" xfId="17" applyFont="1"/>
    <xf numFmtId="0" fontId="3" fillId="25" borderId="29" xfId="17" applyFont="1" applyBorder="1"/>
    <xf numFmtId="9" fontId="3" fillId="17" borderId="37" xfId="1" applyFont="1" applyFill="1" applyBorder="1"/>
    <xf numFmtId="173" fontId="3" fillId="17" borderId="37" xfId="1" applyNumberFormat="1" applyFont="1" applyFill="1" applyBorder="1"/>
    <xf numFmtId="0" fontId="3" fillId="25" borderId="6" xfId="17" applyFont="1" applyBorder="1"/>
    <xf numFmtId="0" fontId="3" fillId="25" borderId="0" xfId="17" applyFont="1" applyAlignment="1">
      <alignment horizontal="center" vertical="center"/>
    </xf>
    <xf numFmtId="0" fontId="5" fillId="5" borderId="7" xfId="0" applyFont="1" applyFill="1" applyBorder="1"/>
    <xf numFmtId="197" fontId="3" fillId="5" borderId="39" xfId="0" applyNumberFormat="1" applyFont="1" applyFill="1" applyBorder="1" applyAlignment="1">
      <alignment horizontal="center" vertical="center"/>
    </xf>
    <xf numFmtId="0" fontId="3" fillId="5" borderId="32" xfId="0" applyFont="1" applyFill="1" applyBorder="1"/>
    <xf numFmtId="0" fontId="3" fillId="5" borderId="30" xfId="0" applyFont="1" applyFill="1" applyBorder="1"/>
    <xf numFmtId="0" fontId="3" fillId="0" borderId="78" xfId="0" applyFont="1" applyBorder="1"/>
    <xf numFmtId="9" fontId="3" fillId="0" borderId="74" xfId="0" applyNumberFormat="1" applyFont="1" applyBorder="1"/>
    <xf numFmtId="178" fontId="3" fillId="0" borderId="79" xfId="0" applyNumberFormat="1" applyFont="1" applyBorder="1"/>
    <xf numFmtId="9" fontId="3" fillId="0" borderId="62" xfId="1" applyFont="1" applyBorder="1"/>
    <xf numFmtId="178" fontId="3" fillId="0" borderId="26" xfId="0" applyNumberFormat="1" applyFont="1" applyBorder="1"/>
    <xf numFmtId="9" fontId="3" fillId="17" borderId="37" xfId="0" applyNumberFormat="1" applyFont="1" applyFill="1" applyBorder="1"/>
    <xf numFmtId="43" fontId="3" fillId="0" borderId="0" xfId="2" applyFont="1"/>
    <xf numFmtId="22" fontId="5" fillId="0" borderId="84" xfId="0" applyNumberFormat="1" applyFont="1" applyBorder="1"/>
    <xf numFmtId="9" fontId="3" fillId="0" borderId="77" xfId="1" applyFont="1" applyBorder="1"/>
    <xf numFmtId="178" fontId="3" fillId="0" borderId="85" xfId="0" applyNumberFormat="1" applyFont="1" applyBorder="1"/>
    <xf numFmtId="22" fontId="5" fillId="0" borderId="82" xfId="0" applyNumberFormat="1" applyFont="1" applyBorder="1"/>
    <xf numFmtId="9" fontId="3" fillId="0" borderId="32" xfId="0" applyNumberFormat="1" applyFont="1" applyBorder="1"/>
    <xf numFmtId="178" fontId="53" fillId="0" borderId="83" xfId="0" applyNumberFormat="1" applyFont="1" applyBorder="1"/>
    <xf numFmtId="22" fontId="3" fillId="0" borderId="0" xfId="0" applyNumberFormat="1" applyFont="1"/>
    <xf numFmtId="22" fontId="3" fillId="0" borderId="6" xfId="0" applyNumberFormat="1" applyFont="1" applyBorder="1"/>
    <xf numFmtId="178" fontId="3" fillId="0" borderId="29" xfId="0" applyNumberFormat="1" applyFont="1" applyBorder="1"/>
    <xf numFmtId="0" fontId="3" fillId="17" borderId="7" xfId="0" applyFont="1" applyFill="1" applyBorder="1"/>
    <xf numFmtId="173" fontId="3" fillId="17" borderId="40" xfId="1" applyNumberFormat="1" applyFont="1" applyFill="1" applyBorder="1"/>
    <xf numFmtId="22" fontId="3" fillId="0" borderId="75" xfId="0" applyNumberFormat="1" applyFont="1" applyBorder="1"/>
    <xf numFmtId="0" fontId="3" fillId="0" borderId="74" xfId="0" applyFont="1" applyBorder="1"/>
    <xf numFmtId="178" fontId="3" fillId="0" borderId="73" xfId="0" applyNumberFormat="1" applyFont="1" applyBorder="1"/>
    <xf numFmtId="0" fontId="3" fillId="26" borderId="6" xfId="18" applyFont="1" applyBorder="1"/>
    <xf numFmtId="22" fontId="5" fillId="0" borderId="7" xfId="0" applyNumberFormat="1" applyFont="1" applyBorder="1"/>
    <xf numFmtId="9" fontId="5" fillId="0" borderId="32" xfId="0" applyNumberFormat="1" applyFont="1" applyBorder="1"/>
    <xf numFmtId="178" fontId="5" fillId="0" borderId="30" xfId="0" applyNumberFormat="1" applyFont="1" applyBorder="1"/>
    <xf numFmtId="1" fontId="3" fillId="26" borderId="37" xfId="18" applyNumberFormat="1" applyFont="1" applyBorder="1"/>
    <xf numFmtId="0" fontId="3" fillId="26" borderId="7" xfId="18" applyFont="1" applyBorder="1"/>
    <xf numFmtId="16" fontId="3" fillId="21" borderId="0" xfId="0" applyNumberFormat="1" applyFont="1" applyFill="1"/>
    <xf numFmtId="0" fontId="3" fillId="21" borderId="0" xfId="0" applyFont="1" applyFill="1"/>
    <xf numFmtId="0" fontId="3" fillId="16" borderId="0" xfId="0" applyFont="1" applyFill="1"/>
    <xf numFmtId="0" fontId="54" fillId="23" borderId="8" xfId="0" applyFont="1" applyFill="1" applyBorder="1"/>
    <xf numFmtId="0" fontId="3" fillId="23" borderId="8" xfId="0" applyFont="1" applyFill="1" applyBorder="1" applyAlignment="1">
      <alignment horizontal="center"/>
    </xf>
    <xf numFmtId="0" fontId="55" fillId="23" borderId="8" xfId="0" applyFont="1" applyFill="1" applyBorder="1"/>
    <xf numFmtId="9" fontId="3" fillId="23" borderId="8" xfId="0" applyNumberFormat="1" applyFont="1" applyFill="1" applyBorder="1" applyAlignment="1">
      <alignment horizontal="center"/>
    </xf>
    <xf numFmtId="173" fontId="3" fillId="23" borderId="8" xfId="0" applyNumberFormat="1" applyFont="1" applyFill="1" applyBorder="1" applyAlignment="1">
      <alignment horizontal="center"/>
    </xf>
    <xf numFmtId="10" fontId="3" fillId="0" borderId="8" xfId="0" applyNumberFormat="1" applyFont="1" applyBorder="1" applyAlignment="1">
      <alignment horizontal="center"/>
    </xf>
    <xf numFmtId="0" fontId="55" fillId="0" borderId="0" xfId="0" applyFont="1" applyAlignment="1">
      <alignment horizontal="left" indent="2"/>
    </xf>
    <xf numFmtId="177" fontId="34" fillId="6" borderId="8" xfId="2" applyNumberFormat="1" applyFont="1" applyFill="1" applyBorder="1" applyAlignment="1">
      <alignment horizontal="center" vertical="center"/>
    </xf>
    <xf numFmtId="180" fontId="3" fillId="0" borderId="8" xfId="0" applyNumberFormat="1" applyFont="1" applyBorder="1" applyAlignment="1">
      <alignment horizontal="center"/>
    </xf>
    <xf numFmtId="0" fontId="5" fillId="0" borderId="8" xfId="0" applyFont="1" applyBorder="1" applyAlignment="1">
      <alignment horizontal="center"/>
    </xf>
    <xf numFmtId="1" fontId="3" fillId="0" borderId="8" xfId="0" applyNumberFormat="1" applyFont="1" applyBorder="1" applyAlignment="1">
      <alignment horizontal="center"/>
    </xf>
    <xf numFmtId="210" fontId="3" fillId="0" borderId="8" xfId="0" applyNumberFormat="1" applyFont="1" applyBorder="1" applyAlignment="1">
      <alignment horizontal="center"/>
    </xf>
    <xf numFmtId="9" fontId="3" fillId="0" borderId="46" xfId="1" applyFont="1" applyFill="1" applyBorder="1" applyAlignment="1">
      <alignment horizontal="center"/>
    </xf>
    <xf numFmtId="1" fontId="5" fillId="0" borderId="8" xfId="0" applyNumberFormat="1" applyFont="1" applyBorder="1" applyAlignment="1">
      <alignment horizontal="center"/>
    </xf>
    <xf numFmtId="0" fontId="5" fillId="0" borderId="48" xfId="0" applyFont="1" applyBorder="1" applyAlignment="1">
      <alignment horizontal="center"/>
    </xf>
    <xf numFmtId="0" fontId="5" fillId="0" borderId="52" xfId="0" applyFont="1" applyBorder="1" applyAlignment="1">
      <alignment horizontal="center"/>
    </xf>
    <xf numFmtId="181" fontId="5" fillId="0" borderId="8" xfId="0" applyNumberFormat="1" applyFont="1" applyBorder="1" applyAlignment="1">
      <alignment horizontal="center"/>
    </xf>
    <xf numFmtId="180" fontId="5" fillId="0" borderId="8" xfId="0" applyNumberFormat="1" applyFont="1" applyBorder="1" applyAlignment="1">
      <alignment horizontal="center"/>
    </xf>
    <xf numFmtId="0" fontId="5" fillId="0" borderId="8" xfId="0" applyFont="1" applyBorder="1"/>
    <xf numFmtId="0" fontId="41" fillId="32" borderId="8" xfId="22" applyFont="1" applyBorder="1" applyAlignment="1">
      <alignment horizontal="center" vertical="center"/>
    </xf>
    <xf numFmtId="1" fontId="34" fillId="32" borderId="8" xfId="22" applyNumberFormat="1" applyFont="1" applyBorder="1" applyAlignment="1">
      <alignment horizontal="center" vertical="center"/>
    </xf>
    <xf numFmtId="0" fontId="34" fillId="6" borderId="0" xfId="22" applyFont="1" applyFill="1" applyAlignment="1">
      <alignment horizontal="center" vertical="center"/>
    </xf>
    <xf numFmtId="0" fontId="34" fillId="6" borderId="0" xfId="22" applyFont="1" applyFill="1"/>
    <xf numFmtId="1" fontId="34" fillId="32" borderId="8" xfId="22" applyNumberFormat="1" applyFont="1" applyBorder="1" applyAlignment="1">
      <alignment horizontal="center"/>
    </xf>
    <xf numFmtId="1" fontId="34" fillId="36" borderId="10" xfId="0" applyNumberFormat="1" applyFont="1" applyFill="1" applyBorder="1"/>
    <xf numFmtId="9" fontId="34" fillId="0" borderId="8" xfId="0" applyNumberFormat="1" applyFont="1" applyBorder="1"/>
    <xf numFmtId="166" fontId="3" fillId="0" borderId="8" xfId="13" applyNumberFormat="1" applyFont="1" applyFill="1" applyBorder="1"/>
    <xf numFmtId="166" fontId="3" fillId="6" borderId="8" xfId="13" applyNumberFormat="1" applyFont="1" applyFill="1" applyBorder="1"/>
    <xf numFmtId="186" fontId="41" fillId="0" borderId="50" xfId="9" applyNumberFormat="1" applyFont="1" applyFill="1" applyBorder="1" applyAlignment="1">
      <alignment horizontal="center" vertical="center"/>
    </xf>
    <xf numFmtId="186" fontId="41" fillId="0" borderId="51" xfId="9" applyNumberFormat="1" applyFont="1" applyFill="1" applyBorder="1" applyAlignment="1">
      <alignment horizontal="center" vertical="center"/>
    </xf>
    <xf numFmtId="0" fontId="34" fillId="6" borderId="8" xfId="16" applyFont="1" applyFill="1" applyBorder="1"/>
    <xf numFmtId="198" fontId="5" fillId="0" borderId="0" xfId="0" applyNumberFormat="1" applyFont="1"/>
    <xf numFmtId="0" fontId="3" fillId="0" borderId="32" xfId="0" applyFont="1" applyBorder="1"/>
    <xf numFmtId="198" fontId="3" fillId="0" borderId="32" xfId="0" applyNumberFormat="1" applyFont="1" applyBorder="1"/>
    <xf numFmtId="198" fontId="3" fillId="0" borderId="0" xfId="0" applyNumberFormat="1" applyFont="1"/>
    <xf numFmtId="0" fontId="10" fillId="0" borderId="0" xfId="0" applyFont="1"/>
    <xf numFmtId="1" fontId="10" fillId="0" borderId="0" xfId="0" applyNumberFormat="1" applyFont="1"/>
    <xf numFmtId="0" fontId="50" fillId="0" borderId="0" xfId="0" applyFont="1"/>
    <xf numFmtId="0" fontId="26" fillId="34" borderId="0" xfId="0" applyFont="1" applyFill="1" applyAlignment="1">
      <alignment horizontal="center"/>
    </xf>
    <xf numFmtId="0" fontId="56" fillId="34" borderId="90" xfId="0" applyFont="1" applyFill="1" applyBorder="1" applyAlignment="1">
      <alignment horizontal="left" vertical="center" wrapText="1" indent="1" readingOrder="1"/>
    </xf>
    <xf numFmtId="0" fontId="56" fillId="34" borderId="91" xfId="0" applyFont="1" applyFill="1" applyBorder="1" applyAlignment="1">
      <alignment horizontal="center" vertical="center" wrapText="1" readingOrder="1"/>
    </xf>
    <xf numFmtId="0" fontId="57" fillId="34" borderId="0" xfId="0" applyFont="1" applyFill="1"/>
    <xf numFmtId="0" fontId="26" fillId="28" borderId="0" xfId="0" applyFont="1" applyFill="1"/>
    <xf numFmtId="0" fontId="26" fillId="6" borderId="0" xfId="0" applyFont="1" applyFill="1"/>
    <xf numFmtId="0" fontId="56" fillId="34" borderId="95" xfId="0" applyFont="1" applyFill="1" applyBorder="1" applyAlignment="1">
      <alignment horizontal="left" vertical="center" wrapText="1" readingOrder="1"/>
    </xf>
    <xf numFmtId="0" fontId="56" fillId="34" borderId="97" xfId="0" applyFont="1" applyFill="1" applyBorder="1" applyAlignment="1">
      <alignment horizontal="left" vertical="center" wrapText="1" readingOrder="1"/>
    </xf>
    <xf numFmtId="0" fontId="58" fillId="34" borderId="95" xfId="0" applyFont="1" applyFill="1" applyBorder="1" applyAlignment="1">
      <alignment horizontal="left" vertical="center" wrapText="1" readingOrder="1"/>
    </xf>
    <xf numFmtId="178" fontId="32" fillId="0" borderId="89" xfId="0" applyNumberFormat="1" applyFont="1" applyBorder="1" applyAlignment="1">
      <alignment horizontal="right" vertical="center" wrapText="1" readingOrder="1"/>
    </xf>
    <xf numFmtId="178" fontId="32" fillId="0" borderId="96" xfId="0" applyNumberFormat="1" applyFont="1" applyBorder="1" applyAlignment="1">
      <alignment horizontal="right" vertical="center" wrapText="1" readingOrder="1"/>
    </xf>
    <xf numFmtId="166" fontId="3" fillId="0" borderId="8" xfId="15" applyFont="1" applyFill="1" applyBorder="1"/>
    <xf numFmtId="2" fontId="3" fillId="0" borderId="8" xfId="0" applyNumberFormat="1" applyFont="1" applyBorder="1"/>
    <xf numFmtId="178" fontId="59" fillId="34" borderId="0" xfId="0" applyNumberFormat="1" applyFont="1" applyFill="1"/>
    <xf numFmtId="0" fontId="3" fillId="0" borderId="0" xfId="0" applyFont="1" applyAlignment="1">
      <alignment wrapText="1"/>
    </xf>
    <xf numFmtId="0" fontId="60" fillId="0" borderId="0" xfId="0" applyFont="1" applyAlignment="1">
      <alignment vertical="center"/>
    </xf>
    <xf numFmtId="0" fontId="16" fillId="0" borderId="113" xfId="0" applyFont="1" applyBorder="1" applyAlignment="1">
      <alignment vertical="center" wrapText="1"/>
    </xf>
    <xf numFmtId="0" fontId="62" fillId="0" borderId="113" xfId="0" applyFont="1" applyBorder="1" applyAlignment="1">
      <alignment horizontal="right" vertical="center" wrapText="1"/>
    </xf>
    <xf numFmtId="0" fontId="16" fillId="0" borderId="106" xfId="0" applyFont="1" applyBorder="1" applyAlignment="1">
      <alignment vertical="center" wrapText="1"/>
    </xf>
    <xf numFmtId="0" fontId="63" fillId="0" borderId="106" xfId="0" applyFont="1" applyBorder="1" applyAlignment="1">
      <alignment horizontal="right" vertical="center" wrapText="1"/>
    </xf>
    <xf numFmtId="0" fontId="64" fillId="0" borderId="106" xfId="0" applyFont="1" applyBorder="1" applyAlignment="1">
      <alignment horizontal="right" vertical="center" wrapText="1"/>
    </xf>
    <xf numFmtId="0" fontId="65" fillId="0" borderId="0" xfId="0" applyFont="1" applyAlignment="1">
      <alignment vertical="center" wrapText="1"/>
    </xf>
    <xf numFmtId="0" fontId="18" fillId="0" borderId="0" xfId="0" applyFont="1" applyAlignment="1">
      <alignment vertical="center" wrapText="1"/>
    </xf>
    <xf numFmtId="0" fontId="19" fillId="0" borderId="0" xfId="0" applyFont="1" applyAlignment="1">
      <alignment horizontal="right" vertical="center" wrapText="1"/>
    </xf>
    <xf numFmtId="0" fontId="67" fillId="0" borderId="0" xfId="0" applyFont="1" applyAlignment="1">
      <alignment vertical="center"/>
    </xf>
    <xf numFmtId="0" fontId="0" fillId="0" borderId="114" xfId="0" applyBorder="1" applyAlignment="1">
      <alignment vertical="center" wrapText="1"/>
    </xf>
    <xf numFmtId="0" fontId="68" fillId="0" borderId="114" xfId="0" applyFont="1" applyBorder="1" applyAlignment="1">
      <alignment vertical="center" wrapText="1"/>
    </xf>
    <xf numFmtId="165" fontId="69" fillId="0" borderId="114" xfId="0" applyNumberFormat="1" applyFont="1" applyBorder="1" applyAlignment="1">
      <alignment horizontal="right" vertical="center" wrapText="1"/>
    </xf>
    <xf numFmtId="164" fontId="69" fillId="0" borderId="114" xfId="0" applyNumberFormat="1" applyFont="1" applyBorder="1" applyAlignment="1">
      <alignment horizontal="right" vertical="center" wrapText="1"/>
    </xf>
    <xf numFmtId="191" fontId="69" fillId="0" borderId="114" xfId="0" applyNumberFormat="1" applyFont="1" applyBorder="1" applyAlignment="1">
      <alignment horizontal="right" vertical="center" wrapText="1"/>
    </xf>
    <xf numFmtId="178" fontId="69" fillId="0" borderId="114" xfId="0" applyNumberFormat="1" applyFont="1" applyBorder="1" applyAlignment="1">
      <alignment horizontal="right" vertical="center" wrapText="1"/>
    </xf>
    <xf numFmtId="0" fontId="71" fillId="0" borderId="0" xfId="0" applyFont="1" applyAlignment="1">
      <alignment horizontal="left" vertical="center" indent="4"/>
    </xf>
    <xf numFmtId="0" fontId="74" fillId="0" borderId="0" xfId="0" applyFont="1" applyAlignment="1">
      <alignment horizontal="left" vertical="center" indent="4"/>
    </xf>
    <xf numFmtId="0" fontId="75" fillId="0" borderId="114" xfId="0" applyFont="1" applyBorder="1" applyAlignment="1">
      <alignment vertical="center" wrapText="1"/>
    </xf>
    <xf numFmtId="10" fontId="76" fillId="0" borderId="114" xfId="0" applyNumberFormat="1" applyFont="1" applyBorder="1" applyAlignment="1">
      <alignment horizontal="right" vertical="center" wrapText="1"/>
    </xf>
    <xf numFmtId="0" fontId="77" fillId="0" borderId="114" xfId="0" applyFont="1" applyBorder="1" applyAlignment="1">
      <alignment horizontal="right" vertical="center" wrapText="1"/>
    </xf>
    <xf numFmtId="1" fontId="76" fillId="0" borderId="114" xfId="0" applyNumberFormat="1" applyFont="1" applyBorder="1" applyAlignment="1">
      <alignment horizontal="right" vertical="center" wrapText="1"/>
    </xf>
    <xf numFmtId="178" fontId="76" fillId="0" borderId="114" xfId="0" applyNumberFormat="1" applyFont="1" applyBorder="1" applyAlignment="1">
      <alignment horizontal="right" vertical="center" wrapText="1"/>
    </xf>
    <xf numFmtId="3" fontId="76" fillId="0" borderId="114" xfId="0" applyNumberFormat="1" applyFont="1" applyBorder="1" applyAlignment="1">
      <alignment horizontal="right" vertical="center" wrapText="1"/>
    </xf>
    <xf numFmtId="0" fontId="78" fillId="0" borderId="0" xfId="0" applyFont="1" applyAlignment="1">
      <alignment horizontal="left" vertical="center" indent="2"/>
    </xf>
    <xf numFmtId="0" fontId="80" fillId="0" borderId="0" xfId="0" applyFont="1" applyAlignment="1">
      <alignment horizontal="left" vertical="center" indent="2"/>
    </xf>
    <xf numFmtId="0" fontId="81" fillId="0" borderId="114" xfId="0" applyFont="1" applyBorder="1" applyAlignment="1">
      <alignment vertical="center" wrapText="1"/>
    </xf>
    <xf numFmtId="0" fontId="82" fillId="0" borderId="114" xfId="0" applyFont="1" applyBorder="1" applyAlignment="1">
      <alignment vertical="center" wrapText="1"/>
    </xf>
    <xf numFmtId="0" fontId="75" fillId="0" borderId="115" xfId="0" applyFont="1" applyBorder="1" applyAlignment="1">
      <alignment vertical="center" wrapText="1"/>
    </xf>
    <xf numFmtId="0" fontId="88" fillId="40" borderId="0" xfId="0" applyFont="1" applyFill="1" applyAlignment="1">
      <alignment vertical="center" wrapText="1"/>
    </xf>
    <xf numFmtId="0" fontId="88" fillId="40" borderId="114" xfId="0" applyFont="1" applyFill="1" applyBorder="1" applyAlignment="1">
      <alignment vertical="center" wrapText="1"/>
    </xf>
    <xf numFmtId="0" fontId="90" fillId="40" borderId="100" xfId="0" applyFont="1" applyFill="1" applyBorder="1" applyAlignment="1">
      <alignment vertical="center" wrapText="1"/>
    </xf>
    <xf numFmtId="0" fontId="88" fillId="40" borderId="106" xfId="0" applyFont="1" applyFill="1" applyBorder="1" applyAlignment="1">
      <alignment vertical="center" wrapText="1"/>
    </xf>
    <xf numFmtId="0" fontId="89" fillId="40" borderId="106" xfId="0" applyFont="1" applyFill="1" applyBorder="1" applyAlignment="1">
      <alignment vertical="center" wrapText="1"/>
    </xf>
    <xf numFmtId="0" fontId="89" fillId="40" borderId="100" xfId="0" applyFont="1" applyFill="1" applyBorder="1" applyAlignment="1">
      <alignment vertical="center" wrapText="1"/>
    </xf>
    <xf numFmtId="9" fontId="89" fillId="40" borderId="100" xfId="0" applyNumberFormat="1" applyFont="1" applyFill="1" applyBorder="1" applyAlignment="1">
      <alignment horizontal="left" vertical="center" wrapText="1"/>
    </xf>
    <xf numFmtId="164" fontId="89" fillId="40" borderId="100" xfId="0" applyNumberFormat="1" applyFont="1" applyFill="1" applyBorder="1" applyAlignment="1">
      <alignment horizontal="left" vertical="center" wrapText="1"/>
    </xf>
    <xf numFmtId="0" fontId="90" fillId="40" borderId="100" xfId="0" applyFont="1" applyFill="1" applyBorder="1" applyAlignment="1">
      <alignment horizontal="left" vertical="center" wrapText="1"/>
    </xf>
    <xf numFmtId="0" fontId="88" fillId="40" borderId="106" xfId="0" applyFont="1" applyFill="1" applyBorder="1" applyAlignment="1">
      <alignment horizontal="left" vertical="center" wrapText="1"/>
    </xf>
    <xf numFmtId="165" fontId="91" fillId="40" borderId="100" xfId="0" applyNumberFormat="1" applyFont="1" applyFill="1" applyBorder="1" applyAlignment="1">
      <alignment horizontal="left" vertical="center" wrapText="1"/>
    </xf>
    <xf numFmtId="10" fontId="93" fillId="41" borderId="100" xfId="0" applyNumberFormat="1" applyFont="1" applyFill="1" applyBorder="1" applyAlignment="1">
      <alignment horizontal="left" vertical="center" wrapText="1"/>
    </xf>
    <xf numFmtId="0" fontId="88" fillId="41" borderId="0" xfId="0" applyFont="1" applyFill="1" applyAlignment="1">
      <alignment horizontal="left" vertical="center" wrapText="1"/>
    </xf>
    <xf numFmtId="164" fontId="94" fillId="41" borderId="100" xfId="0" applyNumberFormat="1" applyFont="1" applyFill="1" applyBorder="1" applyAlignment="1">
      <alignment horizontal="left" vertical="center" wrapText="1"/>
    </xf>
    <xf numFmtId="0" fontId="90" fillId="41" borderId="100" xfId="0" applyFont="1" applyFill="1" applyBorder="1" applyAlignment="1">
      <alignment horizontal="left" vertical="center" wrapText="1"/>
    </xf>
    <xf numFmtId="0" fontId="89" fillId="41" borderId="103" xfId="0" applyFont="1" applyFill="1" applyBorder="1" applyAlignment="1">
      <alignment horizontal="left" vertical="center" wrapText="1"/>
    </xf>
    <xf numFmtId="0" fontId="88" fillId="41" borderId="103" xfId="0" applyFont="1" applyFill="1" applyBorder="1" applyAlignment="1">
      <alignment horizontal="left" vertical="center" wrapText="1"/>
    </xf>
    <xf numFmtId="0" fontId="93" fillId="41" borderId="100" xfId="0" applyFont="1" applyFill="1" applyBorder="1" applyAlignment="1">
      <alignment horizontal="left" vertical="center" wrapText="1"/>
    </xf>
    <xf numFmtId="165" fontId="95" fillId="41" borderId="100" xfId="0" applyNumberFormat="1" applyFont="1" applyFill="1" applyBorder="1" applyAlignment="1">
      <alignment horizontal="left" vertical="center" wrapText="1"/>
    </xf>
    <xf numFmtId="164" fontId="94" fillId="42" borderId="103" xfId="0" applyNumberFormat="1" applyFont="1" applyFill="1" applyBorder="1" applyAlignment="1">
      <alignment horizontal="left" vertical="center" wrapText="1"/>
    </xf>
    <xf numFmtId="0" fontId="88" fillId="42" borderId="0" xfId="0" applyFont="1" applyFill="1" applyAlignment="1">
      <alignment horizontal="left" vertical="center" wrapText="1"/>
    </xf>
    <xf numFmtId="0" fontId="97" fillId="42" borderId="118" xfId="0" applyFont="1" applyFill="1" applyBorder="1" applyAlignment="1">
      <alignment horizontal="left" vertical="center" wrapText="1"/>
    </xf>
    <xf numFmtId="0" fontId="98" fillId="42" borderId="0" xfId="0" applyFont="1" applyFill="1" applyAlignment="1">
      <alignment horizontal="left" vertical="center" wrapText="1"/>
    </xf>
    <xf numFmtId="0" fontId="89" fillId="42" borderId="0" xfId="0" applyFont="1" applyFill="1" applyAlignment="1">
      <alignment horizontal="left" vertical="center" wrapText="1"/>
    </xf>
    <xf numFmtId="165" fontId="94" fillId="42" borderId="103" xfId="0" applyNumberFormat="1" applyFont="1" applyFill="1" applyBorder="1" applyAlignment="1">
      <alignment horizontal="left" vertical="center" wrapText="1"/>
    </xf>
    <xf numFmtId="0" fontId="95" fillId="42" borderId="103" xfId="0" applyFont="1" applyFill="1" applyBorder="1" applyAlignment="1">
      <alignment horizontal="left" vertical="center" wrapText="1"/>
    </xf>
    <xf numFmtId="0" fontId="97" fillId="42" borderId="103" xfId="0" applyFont="1" applyFill="1" applyBorder="1" applyAlignment="1">
      <alignment horizontal="left" vertical="center" wrapText="1"/>
    </xf>
    <xf numFmtId="0" fontId="100" fillId="0" borderId="0" xfId="0" applyFont="1" applyAlignment="1">
      <alignment vertical="center"/>
    </xf>
    <xf numFmtId="0" fontId="101" fillId="0" borderId="0" xfId="0" applyFont="1" applyAlignment="1">
      <alignment horizontal="justify" vertical="center"/>
    </xf>
    <xf numFmtId="0" fontId="102" fillId="0" borderId="106" xfId="0" applyFont="1" applyBorder="1" applyAlignment="1">
      <alignment vertical="center" wrapText="1"/>
    </xf>
    <xf numFmtId="0" fontId="102" fillId="0" borderId="106" xfId="0" applyFont="1" applyBorder="1" applyAlignment="1">
      <alignment horizontal="center" vertical="center" wrapText="1"/>
    </xf>
    <xf numFmtId="0" fontId="75" fillId="0" borderId="119" xfId="0" applyFont="1" applyBorder="1" applyAlignment="1">
      <alignment vertical="center" wrapText="1"/>
    </xf>
    <xf numFmtId="0" fontId="84" fillId="0" borderId="119" xfId="0" applyFont="1" applyBorder="1" applyAlignment="1">
      <alignment vertical="center" wrapText="1"/>
    </xf>
    <xf numFmtId="9" fontId="83" fillId="0" borderId="119" xfId="0" applyNumberFormat="1" applyFont="1" applyBorder="1" applyAlignment="1">
      <alignment horizontal="center" vertical="center" wrapText="1"/>
    </xf>
    <xf numFmtId="165" fontId="103" fillId="0" borderId="119" xfId="0" applyNumberFormat="1" applyFont="1" applyBorder="1" applyAlignment="1">
      <alignment horizontal="center" vertical="center" wrapText="1"/>
    </xf>
    <xf numFmtId="2" fontId="105" fillId="0" borderId="16" xfId="0" applyNumberFormat="1" applyFont="1" applyBorder="1"/>
    <xf numFmtId="2" fontId="105" fillId="0" borderId="29" xfId="0" applyNumberFormat="1" applyFont="1" applyBorder="1"/>
    <xf numFmtId="2" fontId="105" fillId="0" borderId="17" xfId="0" applyNumberFormat="1" applyFont="1" applyBorder="1"/>
    <xf numFmtId="2" fontId="105" fillId="0" borderId="30" xfId="0" applyNumberFormat="1" applyFont="1" applyBorder="1"/>
    <xf numFmtId="2" fontId="105" fillId="0" borderId="15" xfId="0" applyNumberFormat="1" applyFont="1" applyBorder="1"/>
    <xf numFmtId="180" fontId="0" fillId="0" borderId="0" xfId="0" applyNumberFormat="1"/>
    <xf numFmtId="0" fontId="3" fillId="0" borderId="48" xfId="0" applyFont="1" applyBorder="1"/>
    <xf numFmtId="0" fontId="10" fillId="0" borderId="0" xfId="11" applyFont="1"/>
    <xf numFmtId="0" fontId="3" fillId="21" borderId="20" xfId="0" applyFont="1" applyFill="1" applyBorder="1"/>
    <xf numFmtId="0" fontId="3" fillId="0" borderId="33" xfId="0" applyFont="1" applyBorder="1"/>
    <xf numFmtId="0" fontId="3" fillId="0" borderId="37" xfId="0" applyFont="1" applyBorder="1"/>
    <xf numFmtId="0" fontId="3" fillId="0" borderId="36" xfId="0" applyFont="1" applyBorder="1"/>
    <xf numFmtId="0" fontId="3" fillId="0" borderId="39" xfId="0" applyFont="1" applyBorder="1"/>
    <xf numFmtId="0" fontId="3" fillId="0" borderId="40" xfId="0" applyFont="1" applyBorder="1"/>
    <xf numFmtId="0" fontId="3" fillId="0" borderId="38" xfId="0" applyFont="1" applyBorder="1"/>
    <xf numFmtId="0" fontId="5" fillId="0" borderId="0" xfId="0" applyFont="1" applyAlignment="1">
      <alignment horizontal="center" vertical="center"/>
    </xf>
    <xf numFmtId="0" fontId="3" fillId="0" borderId="0" xfId="0" applyFont="1" applyAlignment="1">
      <alignment horizontal="center" vertical="center"/>
    </xf>
    <xf numFmtId="0" fontId="3" fillId="0" borderId="14" xfId="0" applyFont="1" applyBorder="1"/>
    <xf numFmtId="0" fontId="3" fillId="0" borderId="28" xfId="0" applyFont="1" applyBorder="1"/>
    <xf numFmtId="0" fontId="3" fillId="0" borderId="15" xfId="0" applyFont="1" applyBorder="1"/>
    <xf numFmtId="0" fontId="3" fillId="0" borderId="6" xfId="0" applyFont="1" applyBorder="1"/>
    <xf numFmtId="0" fontId="3" fillId="0" borderId="29" xfId="0" applyFont="1" applyBorder="1"/>
    <xf numFmtId="0" fontId="3" fillId="0" borderId="7" xfId="0" applyFont="1" applyBorder="1"/>
    <xf numFmtId="0" fontId="3" fillId="0" borderId="17" xfId="0" applyFont="1" applyBorder="1"/>
    <xf numFmtId="0" fontId="3" fillId="0" borderId="16" xfId="0" applyFont="1" applyBorder="1"/>
    <xf numFmtId="0" fontId="3" fillId="0" borderId="30" xfId="0" applyFont="1" applyBorder="1"/>
    <xf numFmtId="0" fontId="5" fillId="0" borderId="1" xfId="0" applyFont="1" applyBorder="1" applyAlignment="1">
      <alignment horizontal="center"/>
    </xf>
    <xf numFmtId="0" fontId="5" fillId="0" borderId="5" xfId="0" applyFont="1" applyBorder="1" applyAlignment="1">
      <alignment horizontal="center"/>
    </xf>
    <xf numFmtId="0" fontId="5" fillId="0" borderId="2" xfId="0" applyFont="1" applyBorder="1" applyAlignment="1">
      <alignment horizontal="center"/>
    </xf>
    <xf numFmtId="0" fontId="3" fillId="0" borderId="31" xfId="0" applyFont="1" applyBorder="1" applyAlignment="1">
      <alignment horizontal="center" vertical="center"/>
    </xf>
    <xf numFmtId="0" fontId="3" fillId="0" borderId="28" xfId="0" applyFont="1" applyBorder="1" applyAlignment="1">
      <alignment horizontal="center" vertical="center"/>
    </xf>
    <xf numFmtId="176" fontId="3" fillId="3" borderId="0" xfId="0" applyNumberFormat="1" applyFont="1" applyFill="1"/>
    <xf numFmtId="166" fontId="3" fillId="3" borderId="0" xfId="15" applyFont="1" applyFill="1"/>
    <xf numFmtId="0" fontId="3" fillId="3" borderId="29" xfId="0" applyFont="1" applyFill="1" applyBorder="1"/>
    <xf numFmtId="176" fontId="3" fillId="3" borderId="32" xfId="0" applyNumberFormat="1" applyFont="1" applyFill="1" applyBorder="1"/>
    <xf numFmtId="0" fontId="3" fillId="3" borderId="32" xfId="0" applyFont="1" applyFill="1" applyBorder="1"/>
    <xf numFmtId="0" fontId="3" fillId="3" borderId="30" xfId="0" applyFont="1" applyFill="1" applyBorder="1"/>
    <xf numFmtId="170" fontId="3" fillId="0" borderId="31" xfId="0" applyNumberFormat="1" applyFont="1" applyBorder="1"/>
    <xf numFmtId="169" fontId="3" fillId="0" borderId="0" xfId="0" applyNumberFormat="1" applyFont="1"/>
    <xf numFmtId="169" fontId="3" fillId="0" borderId="32" xfId="0" applyNumberFormat="1" applyFont="1" applyBorder="1"/>
    <xf numFmtId="0" fontId="5" fillId="0" borderId="14" xfId="0" applyFont="1" applyBorder="1" applyAlignment="1">
      <alignment horizontal="center"/>
    </xf>
    <xf numFmtId="0" fontId="5" fillId="0" borderId="31" xfId="0" applyFont="1" applyBorder="1" applyAlignment="1">
      <alignment horizontal="center"/>
    </xf>
    <xf numFmtId="0" fontId="5" fillId="0" borderId="28" xfId="0" applyFont="1" applyBorder="1" applyAlignment="1">
      <alignment horizontal="center"/>
    </xf>
    <xf numFmtId="0" fontId="3" fillId="0" borderId="6" xfId="0" applyFont="1" applyBorder="1" applyAlignment="1">
      <alignment horizontal="center"/>
    </xf>
    <xf numFmtId="2" fontId="3" fillId="0" borderId="0" xfId="0" applyNumberFormat="1" applyFont="1" applyAlignment="1">
      <alignment horizontal="center"/>
    </xf>
    <xf numFmtId="1" fontId="3" fillId="0" borderId="0" xfId="0" applyNumberFormat="1" applyFont="1" applyAlignment="1">
      <alignment horizontal="center"/>
    </xf>
    <xf numFmtId="0" fontId="3" fillId="0" borderId="7" xfId="0" applyFont="1" applyBorder="1" applyAlignment="1">
      <alignment horizontal="center"/>
    </xf>
    <xf numFmtId="0" fontId="3" fillId="0" borderId="32" xfId="0" applyFont="1" applyBorder="1" applyAlignment="1">
      <alignment horizontal="center"/>
    </xf>
    <xf numFmtId="1" fontId="3" fillId="0" borderId="0" xfId="0" applyNumberFormat="1" applyFont="1"/>
    <xf numFmtId="220" fontId="3" fillId="17" borderId="35" xfId="0" applyNumberFormat="1" applyFont="1" applyFill="1" applyBorder="1"/>
    <xf numFmtId="177" fontId="3" fillId="17" borderId="37" xfId="2" applyNumberFormat="1" applyFont="1" applyFill="1" applyBorder="1"/>
    <xf numFmtId="9" fontId="3" fillId="0" borderId="8" xfId="0" applyNumberFormat="1" applyFont="1" applyBorder="1" applyAlignment="1">
      <alignment horizontal="center"/>
    </xf>
    <xf numFmtId="0" fontId="108" fillId="0" borderId="0" xfId="0" applyFont="1"/>
    <xf numFmtId="221" fontId="0" fillId="3" borderId="0" xfId="0" applyNumberFormat="1" applyFill="1"/>
    <xf numFmtId="2" fontId="105" fillId="0" borderId="28" xfId="0" applyNumberFormat="1" applyFont="1" applyBorder="1"/>
    <xf numFmtId="222" fontId="0" fillId="3" borderId="0" xfId="0" applyNumberFormat="1" applyFill="1"/>
    <xf numFmtId="222" fontId="0" fillId="0" borderId="0" xfId="0" applyNumberFormat="1"/>
    <xf numFmtId="223" fontId="0" fillId="0" borderId="0" xfId="0" applyNumberFormat="1"/>
    <xf numFmtId="1" fontId="0" fillId="0" borderId="0" xfId="0" applyNumberFormat="1"/>
    <xf numFmtId="0" fontId="110" fillId="0" borderId="107" xfId="0" applyFont="1" applyBorder="1" applyAlignment="1">
      <alignment horizontal="left" vertical="center" wrapText="1" readingOrder="1"/>
    </xf>
    <xf numFmtId="0" fontId="111" fillId="0" borderId="107" xfId="0" applyFont="1" applyBorder="1" applyAlignment="1">
      <alignment horizontal="left" vertical="center" wrapText="1" readingOrder="1"/>
    </xf>
    <xf numFmtId="3" fontId="111" fillId="0" borderId="107" xfId="0" applyNumberFormat="1" applyFont="1" applyBorder="1" applyAlignment="1">
      <alignment horizontal="left" vertical="center" wrapText="1" readingOrder="1"/>
    </xf>
    <xf numFmtId="0" fontId="110" fillId="0" borderId="121" xfId="0" applyFont="1" applyBorder="1" applyAlignment="1">
      <alignment horizontal="left" vertical="center" wrapText="1" readingOrder="1"/>
    </xf>
    <xf numFmtId="0" fontId="110" fillId="0" borderId="122" xfId="0" applyFont="1" applyBorder="1" applyAlignment="1">
      <alignment horizontal="left" vertical="center" wrapText="1" readingOrder="1"/>
    </xf>
    <xf numFmtId="3" fontId="111" fillId="0" borderId="122" xfId="0" applyNumberFormat="1" applyFont="1" applyBorder="1" applyAlignment="1">
      <alignment horizontal="left" vertical="center" wrapText="1" readingOrder="1"/>
    </xf>
    <xf numFmtId="165" fontId="111" fillId="0" borderId="122" xfId="0" applyNumberFormat="1" applyFont="1" applyBorder="1" applyAlignment="1">
      <alignment horizontal="left" vertical="center" wrapText="1" readingOrder="1"/>
    </xf>
    <xf numFmtId="1" fontId="111" fillId="0" borderId="122" xfId="0" applyNumberFormat="1" applyFont="1" applyBorder="1" applyAlignment="1">
      <alignment horizontal="left" vertical="center" wrapText="1" readingOrder="1"/>
    </xf>
    <xf numFmtId="0" fontId="112" fillId="0" borderId="107" xfId="0" applyFont="1" applyBorder="1" applyAlignment="1">
      <alignment horizontal="right" vertical="center" wrapText="1" readingOrder="1"/>
    </xf>
    <xf numFmtId="0" fontId="112" fillId="0" borderId="121" xfId="0" applyFont="1" applyBorder="1" applyAlignment="1">
      <alignment horizontal="right" vertical="center" wrapText="1" readingOrder="1"/>
    </xf>
    <xf numFmtId="0" fontId="14" fillId="0" borderId="122" xfId="0" applyFont="1" applyBorder="1" applyAlignment="1">
      <alignment horizontal="right" vertical="center" wrapText="1"/>
    </xf>
    <xf numFmtId="0" fontId="112" fillId="0" borderId="122" xfId="0" applyFont="1" applyBorder="1" applyAlignment="1">
      <alignment horizontal="right" vertical="center" wrapText="1" readingOrder="1"/>
    </xf>
    <xf numFmtId="189" fontId="34" fillId="38" borderId="34" xfId="0" applyNumberFormat="1" applyFont="1" applyFill="1" applyBorder="1" applyAlignment="1">
      <alignment horizontal="center"/>
    </xf>
    <xf numFmtId="0" fontId="34" fillId="36" borderId="8" xfId="0" applyFont="1" applyFill="1" applyBorder="1" applyAlignment="1">
      <alignment horizontal="center"/>
    </xf>
    <xf numFmtId="166" fontId="3" fillId="35" borderId="8" xfId="13" applyNumberFormat="1" applyFont="1" applyFill="1" applyBorder="1"/>
    <xf numFmtId="166" fontId="3" fillId="35" borderId="63" xfId="13" applyNumberFormat="1" applyFont="1" applyFill="1" applyBorder="1"/>
    <xf numFmtId="166" fontId="3" fillId="35" borderId="0" xfId="13" applyNumberFormat="1" applyFont="1" applyFill="1"/>
    <xf numFmtId="0" fontId="3" fillId="35" borderId="8" xfId="0" applyFont="1" applyFill="1" applyBorder="1"/>
    <xf numFmtId="178" fontId="3" fillId="35" borderId="8" xfId="0" applyNumberFormat="1" applyFont="1" applyFill="1" applyBorder="1"/>
    <xf numFmtId="166" fontId="3" fillId="35" borderId="72" xfId="13" applyNumberFormat="1" applyFont="1" applyFill="1" applyBorder="1"/>
    <xf numFmtId="0" fontId="3" fillId="3" borderId="9" xfId="14" applyFont="1" applyFill="1" applyBorder="1" applyAlignment="1">
      <alignment horizontal="center" vertical="center"/>
    </xf>
    <xf numFmtId="0" fontId="3" fillId="3" borderId="56" xfId="14" applyFont="1" applyFill="1" applyBorder="1" applyAlignment="1">
      <alignment horizontal="center" vertical="center"/>
    </xf>
    <xf numFmtId="10" fontId="5" fillId="16" borderId="37" xfId="1" applyNumberFormat="1" applyFont="1" applyFill="1" applyBorder="1"/>
    <xf numFmtId="0" fontId="34" fillId="38" borderId="0" xfId="0" applyFont="1" applyFill="1"/>
    <xf numFmtId="9" fontId="34" fillId="38" borderId="0" xfId="0" applyNumberFormat="1" applyFont="1" applyFill="1" applyAlignment="1">
      <alignment horizontal="center"/>
    </xf>
    <xf numFmtId="0" fontId="34" fillId="38" borderId="7" xfId="0" applyFont="1" applyFill="1" applyBorder="1" applyAlignment="1">
      <alignment horizontal="right"/>
    </xf>
    <xf numFmtId="0" fontId="34" fillId="38" borderId="32" xfId="0" applyFont="1" applyFill="1" applyBorder="1"/>
    <xf numFmtId="0" fontId="34" fillId="38" borderId="30" xfId="0" applyFont="1" applyFill="1" applyBorder="1"/>
    <xf numFmtId="0" fontId="44" fillId="36" borderId="0" xfId="0" applyFont="1" applyFill="1" applyAlignment="1">
      <alignment horizontal="center"/>
    </xf>
    <xf numFmtId="0" fontId="34" fillId="36" borderId="0" xfId="0" applyFont="1" applyFill="1" applyAlignment="1">
      <alignment horizontal="right"/>
    </xf>
    <xf numFmtId="0" fontId="42" fillId="36" borderId="0" xfId="0" applyFont="1" applyFill="1"/>
    <xf numFmtId="0" fontId="34" fillId="36" borderId="0" xfId="0" applyFont="1" applyFill="1" applyAlignment="1">
      <alignment horizontal="center"/>
    </xf>
    <xf numFmtId="0" fontId="44" fillId="36" borderId="6" xfId="0" applyFont="1" applyFill="1" applyBorder="1"/>
    <xf numFmtId="0" fontId="44" fillId="36" borderId="0" xfId="0" applyFont="1" applyFill="1"/>
    <xf numFmtId="0" fontId="44" fillId="36" borderId="29" xfId="0" applyFont="1" applyFill="1" applyBorder="1"/>
    <xf numFmtId="0" fontId="41" fillId="36" borderId="0" xfId="0" applyFont="1" applyFill="1"/>
    <xf numFmtId="0" fontId="41" fillId="36" borderId="7" xfId="0" applyFont="1" applyFill="1" applyBorder="1" applyAlignment="1">
      <alignment horizontal="center"/>
    </xf>
    <xf numFmtId="0" fontId="41" fillId="36" borderId="32" xfId="0" applyFont="1" applyFill="1" applyBorder="1"/>
    <xf numFmtId="189" fontId="34" fillId="36" borderId="32" xfId="0" applyNumberFormat="1" applyFont="1" applyFill="1" applyBorder="1"/>
    <xf numFmtId="0" fontId="34" fillId="36" borderId="32" xfId="0" applyFont="1" applyFill="1" applyBorder="1"/>
    <xf numFmtId="0" fontId="34" fillId="36" borderId="30" xfId="0" applyFont="1" applyFill="1" applyBorder="1"/>
    <xf numFmtId="0" fontId="3" fillId="0" borderId="28" xfId="0" applyFont="1" applyBorder="1" applyAlignment="1">
      <alignment horizontal="center" vertical="center" wrapText="1"/>
    </xf>
    <xf numFmtId="0" fontId="3" fillId="0" borderId="29" xfId="0" applyFont="1" applyBorder="1" applyAlignment="1">
      <alignment horizontal="center" vertical="center" wrapText="1"/>
    </xf>
    <xf numFmtId="0" fontId="3" fillId="0" borderId="30" xfId="0" applyFont="1" applyBorder="1" applyAlignment="1">
      <alignment horizontal="center" vertical="center" wrapText="1"/>
    </xf>
    <xf numFmtId="1" fontId="41" fillId="6" borderId="8" xfId="16" applyNumberFormat="1" applyFont="1" applyFill="1" applyBorder="1" applyAlignment="1">
      <alignment horizontal="center" vertical="center"/>
    </xf>
    <xf numFmtId="0" fontId="3" fillId="9" borderId="50" xfId="0" applyFont="1" applyFill="1" applyBorder="1"/>
    <xf numFmtId="198" fontId="3" fillId="9" borderId="50" xfId="0" applyNumberFormat="1" applyFont="1" applyFill="1" applyBorder="1"/>
    <xf numFmtId="198" fontId="5" fillId="9" borderId="50" xfId="0" applyNumberFormat="1" applyFont="1" applyFill="1" applyBorder="1"/>
    <xf numFmtId="198" fontId="5" fillId="9" borderId="59" xfId="0" applyNumberFormat="1" applyFont="1" applyFill="1" applyBorder="1"/>
    <xf numFmtId="0" fontId="50" fillId="9" borderId="18" xfId="0" applyFont="1" applyFill="1" applyBorder="1"/>
    <xf numFmtId="0" fontId="3" fillId="6" borderId="67" xfId="0" applyFont="1" applyFill="1" applyBorder="1"/>
    <xf numFmtId="0" fontId="3" fillId="6" borderId="62" xfId="0" applyFont="1" applyFill="1" applyBorder="1"/>
    <xf numFmtId="198" fontId="3" fillId="6" borderId="62" xfId="0" applyNumberFormat="1" applyFont="1" applyFill="1" applyBorder="1"/>
    <xf numFmtId="198" fontId="3" fillId="6" borderId="108" xfId="0" applyNumberFormat="1" applyFont="1" applyFill="1" applyBorder="1"/>
    <xf numFmtId="0" fontId="3" fillId="6" borderId="6" xfId="0" applyFont="1" applyFill="1" applyBorder="1"/>
    <xf numFmtId="198" fontId="3" fillId="6" borderId="0" xfId="0" applyNumberFormat="1" applyFont="1" applyFill="1"/>
    <xf numFmtId="198" fontId="3" fillId="6" borderId="29" xfId="0" applyNumberFormat="1" applyFont="1" applyFill="1" applyBorder="1"/>
    <xf numFmtId="0" fontId="3" fillId="6" borderId="7" xfId="0" applyFont="1" applyFill="1" applyBorder="1"/>
    <xf numFmtId="0" fontId="3" fillId="6" borderId="32" xfId="0" applyFont="1" applyFill="1" applyBorder="1"/>
    <xf numFmtId="198" fontId="3" fillId="6" borderId="32" xfId="0" applyNumberFormat="1" applyFont="1" applyFill="1" applyBorder="1"/>
    <xf numFmtId="190" fontId="3" fillId="6" borderId="32" xfId="0" applyNumberFormat="1" applyFont="1" applyFill="1" applyBorder="1"/>
    <xf numFmtId="198" fontId="3" fillId="6" borderId="30" xfId="0" applyNumberFormat="1" applyFont="1" applyFill="1" applyBorder="1"/>
    <xf numFmtId="190" fontId="3" fillId="6" borderId="0" xfId="0" applyNumberFormat="1" applyFont="1" applyFill="1"/>
    <xf numFmtId="9" fontId="3" fillId="6" borderId="63" xfId="13" applyNumberFormat="1" applyFont="1" applyFill="1" applyBorder="1" applyAlignment="1">
      <alignment horizontal="center" vertical="center"/>
    </xf>
    <xf numFmtId="9" fontId="3" fillId="6" borderId="25" xfId="13" applyNumberFormat="1" applyFont="1" applyFill="1" applyBorder="1" applyAlignment="1">
      <alignment horizontal="center" vertical="center"/>
    </xf>
    <xf numFmtId="9" fontId="3" fillId="6" borderId="48" xfId="13" applyNumberFormat="1" applyFont="1" applyFill="1" applyBorder="1" applyAlignment="1">
      <alignment horizontal="center" vertical="center"/>
    </xf>
    <xf numFmtId="166" fontId="3" fillId="14" borderId="0" xfId="13" applyNumberFormat="1" applyFont="1" applyAlignment="1">
      <alignment horizontal="center"/>
    </xf>
    <xf numFmtId="206" fontId="5" fillId="14" borderId="71" xfId="13" applyNumberFormat="1" applyFont="1" applyBorder="1" applyAlignment="1">
      <alignment vertical="center"/>
    </xf>
    <xf numFmtId="206" fontId="5" fillId="14" borderId="50" xfId="13" applyNumberFormat="1" applyFont="1" applyBorder="1" applyAlignment="1">
      <alignment vertical="center"/>
    </xf>
    <xf numFmtId="206" fontId="5" fillId="14" borderId="59" xfId="13" applyNumberFormat="1" applyFont="1" applyBorder="1" applyAlignment="1">
      <alignment vertical="center"/>
    </xf>
    <xf numFmtId="224" fontId="3" fillId="0" borderId="56" xfId="0" applyNumberFormat="1" applyFont="1" applyBorder="1"/>
    <xf numFmtId="203" fontId="3" fillId="6" borderId="8" xfId="0" applyNumberFormat="1" applyFont="1" applyFill="1" applyBorder="1"/>
    <xf numFmtId="1" fontId="3" fillId="6" borderId="0" xfId="0" applyNumberFormat="1" applyFont="1" applyFill="1"/>
    <xf numFmtId="202" fontId="3" fillId="6" borderId="0" xfId="0" applyNumberFormat="1" applyFont="1" applyFill="1"/>
    <xf numFmtId="0" fontId="5" fillId="6" borderId="6" xfId="0" applyFont="1" applyFill="1" applyBorder="1"/>
    <xf numFmtId="201" fontId="3" fillId="6" borderId="0" xfId="0" applyNumberFormat="1" applyFont="1" applyFill="1"/>
    <xf numFmtId="0" fontId="5" fillId="6" borderId="0" xfId="0" applyFont="1" applyFill="1"/>
    <xf numFmtId="0" fontId="5" fillId="6" borderId="7" xfId="0" applyFont="1" applyFill="1" applyBorder="1"/>
    <xf numFmtId="201" fontId="3" fillId="6" borderId="32" xfId="0" applyNumberFormat="1" applyFont="1" applyFill="1" applyBorder="1"/>
    <xf numFmtId="0" fontId="5" fillId="6" borderId="32" xfId="0" applyFont="1" applyFill="1" applyBorder="1"/>
    <xf numFmtId="0" fontId="50" fillId="20" borderId="18" xfId="0" applyFont="1" applyFill="1" applyBorder="1"/>
    <xf numFmtId="0" fontId="3" fillId="20" borderId="50" xfId="0" applyFont="1" applyFill="1" applyBorder="1"/>
    <xf numFmtId="198" fontId="3" fillId="20" borderId="50" xfId="0" applyNumberFormat="1" applyFont="1" applyFill="1" applyBorder="1"/>
    <xf numFmtId="198" fontId="5" fillId="20" borderId="50" xfId="0" applyNumberFormat="1" applyFont="1" applyFill="1" applyBorder="1"/>
    <xf numFmtId="198" fontId="5" fillId="20" borderId="59" xfId="0" applyNumberFormat="1" applyFont="1" applyFill="1" applyBorder="1"/>
    <xf numFmtId="0" fontId="49" fillId="0" borderId="0" xfId="0" applyFont="1"/>
    <xf numFmtId="0" fontId="3" fillId="6" borderId="29" xfId="0" applyFont="1" applyFill="1" applyBorder="1"/>
    <xf numFmtId="198" fontId="5" fillId="6" borderId="29" xfId="0" applyNumberFormat="1" applyFont="1" applyFill="1" applyBorder="1"/>
    <xf numFmtId="0" fontId="3" fillId="6" borderId="30" xfId="0" applyFont="1" applyFill="1" applyBorder="1"/>
    <xf numFmtId="0" fontId="50" fillId="6" borderId="7" xfId="0" applyFont="1" applyFill="1" applyBorder="1"/>
    <xf numFmtId="0" fontId="50" fillId="43" borderId="1" xfId="0" applyFont="1" applyFill="1" applyBorder="1"/>
    <xf numFmtId="0" fontId="3" fillId="43" borderId="5" xfId="0" applyFont="1" applyFill="1" applyBorder="1"/>
    <xf numFmtId="198" fontId="3" fillId="43" borderId="5" xfId="0" applyNumberFormat="1" applyFont="1" applyFill="1" applyBorder="1"/>
    <xf numFmtId="200" fontId="3" fillId="43" borderId="2" xfId="0" applyNumberFormat="1" applyFont="1" applyFill="1" applyBorder="1"/>
    <xf numFmtId="0" fontId="50" fillId="9" borderId="3" xfId="0" applyFont="1" applyFill="1" applyBorder="1"/>
    <xf numFmtId="0" fontId="3" fillId="9" borderId="5" xfId="0" applyFont="1" applyFill="1" applyBorder="1"/>
    <xf numFmtId="198" fontId="3" fillId="9" borderId="5" xfId="0" applyNumberFormat="1" applyFont="1" applyFill="1" applyBorder="1"/>
    <xf numFmtId="198" fontId="5" fillId="9" borderId="5" xfId="0" applyNumberFormat="1" applyFont="1" applyFill="1" applyBorder="1"/>
    <xf numFmtId="198" fontId="5" fillId="9" borderId="2" xfId="0" applyNumberFormat="1" applyFont="1" applyFill="1" applyBorder="1"/>
    <xf numFmtId="2" fontId="3" fillId="6" borderId="0" xfId="0" applyNumberFormat="1" applyFont="1" applyFill="1"/>
    <xf numFmtId="203" fontId="3" fillId="6" borderId="56" xfId="0" applyNumberFormat="1" applyFont="1" applyFill="1" applyBorder="1"/>
    <xf numFmtId="0" fontId="5" fillId="9" borderId="3" xfId="0" applyFont="1" applyFill="1" applyBorder="1"/>
    <xf numFmtId="0" fontId="50" fillId="43" borderId="3" xfId="0" applyFont="1" applyFill="1" applyBorder="1"/>
    <xf numFmtId="198" fontId="5" fillId="43" borderId="5" xfId="0" applyNumberFormat="1" applyFont="1" applyFill="1" applyBorder="1"/>
    <xf numFmtId="198" fontId="5" fillId="43" borderId="2" xfId="0" applyNumberFormat="1" applyFont="1" applyFill="1" applyBorder="1"/>
    <xf numFmtId="0" fontId="3" fillId="6" borderId="22" xfId="0" applyFont="1" applyFill="1" applyBorder="1"/>
    <xf numFmtId="0" fontId="50" fillId="6" borderId="6" xfId="0" applyFont="1" applyFill="1" applyBorder="1"/>
    <xf numFmtId="0" fontId="5" fillId="44" borderId="0" xfId="0" applyFont="1" applyFill="1"/>
    <xf numFmtId="198" fontId="5" fillId="44" borderId="0" xfId="0" applyNumberFormat="1" applyFont="1" applyFill="1"/>
    <xf numFmtId="0" fontId="3" fillId="44" borderId="0" xfId="0" applyFont="1" applyFill="1"/>
    <xf numFmtId="0" fontId="49" fillId="44" borderId="32" xfId="0" applyFont="1" applyFill="1" applyBorder="1"/>
    <xf numFmtId="184" fontId="34" fillId="6" borderId="63" xfId="0" applyNumberFormat="1" applyFont="1" applyFill="1" applyBorder="1" applyAlignment="1">
      <alignment horizontal="center" vertical="center"/>
    </xf>
    <xf numFmtId="0" fontId="111" fillId="0" borderId="121" xfId="0" applyFont="1" applyBorder="1" applyAlignment="1">
      <alignment horizontal="left" vertical="center" wrapText="1" readingOrder="1"/>
    </xf>
    <xf numFmtId="0" fontId="34" fillId="6" borderId="8" xfId="0" applyFont="1" applyFill="1" applyBorder="1" applyAlignment="1">
      <alignment horizontal="center" vertical="center"/>
    </xf>
    <xf numFmtId="0" fontId="34" fillId="0" borderId="8" xfId="16" applyNumberFormat="1" applyFont="1" applyFill="1" applyBorder="1" applyAlignment="1">
      <alignment horizontal="center"/>
    </xf>
    <xf numFmtId="0" fontId="34" fillId="0" borderId="8" xfId="16" quotePrefix="1" applyNumberFormat="1" applyFont="1" applyFill="1" applyBorder="1" applyAlignment="1">
      <alignment horizontal="center"/>
    </xf>
    <xf numFmtId="219" fontId="3" fillId="0" borderId="8" xfId="15" applyNumberFormat="1" applyFont="1" applyBorder="1" applyAlignment="1">
      <alignment horizontal="right" vertical="center"/>
    </xf>
    <xf numFmtId="219" fontId="3" fillId="0" borderId="36" xfId="15" applyNumberFormat="1" applyFont="1" applyBorder="1" applyAlignment="1">
      <alignment horizontal="right" vertical="center"/>
    </xf>
    <xf numFmtId="219" fontId="5" fillId="16" borderId="37" xfId="15" applyNumberFormat="1" applyFont="1" applyFill="1" applyBorder="1" applyAlignment="1">
      <alignment horizontal="right" vertical="center"/>
    </xf>
    <xf numFmtId="219" fontId="3" fillId="6" borderId="37" xfId="12" applyNumberFormat="1" applyFont="1" applyFill="1" applyBorder="1"/>
    <xf numFmtId="212" fontId="3" fillId="0" borderId="8" xfId="15" applyNumberFormat="1" applyFont="1" applyBorder="1"/>
    <xf numFmtId="178" fontId="3" fillId="0" borderId="8" xfId="0" applyNumberFormat="1" applyFont="1" applyBorder="1"/>
    <xf numFmtId="0" fontId="5" fillId="0" borderId="8" xfId="0" applyFont="1" applyBorder="1" applyAlignment="1">
      <alignment horizontal="right"/>
    </xf>
    <xf numFmtId="178" fontId="3" fillId="0" borderId="13" xfId="0" applyNumberFormat="1" applyFont="1" applyBorder="1"/>
    <xf numFmtId="178" fontId="3" fillId="0" borderId="56" xfId="0" applyNumberFormat="1" applyFont="1" applyBorder="1"/>
    <xf numFmtId="178" fontId="3" fillId="0" borderId="12" xfId="0" applyNumberFormat="1" applyFont="1" applyBorder="1"/>
    <xf numFmtId="0" fontId="3" fillId="6" borderId="29" xfId="14" applyFont="1" applyFill="1" applyBorder="1"/>
    <xf numFmtId="0" fontId="3" fillId="6" borderId="8" xfId="14" applyFont="1" applyFill="1" applyBorder="1" applyAlignment="1">
      <alignment horizontal="center" vertical="center"/>
    </xf>
    <xf numFmtId="0" fontId="3" fillId="6" borderId="6" xfId="14" applyFont="1" applyFill="1" applyBorder="1"/>
    <xf numFmtId="0" fontId="3" fillId="6" borderId="38" xfId="14" applyFont="1" applyFill="1" applyBorder="1"/>
    <xf numFmtId="166" fontId="5" fillId="6" borderId="40" xfId="14" applyNumberFormat="1" applyFont="1" applyFill="1" applyBorder="1"/>
    <xf numFmtId="0" fontId="3" fillId="6" borderId="7" xfId="14" applyFont="1" applyFill="1" applyBorder="1"/>
    <xf numFmtId="0" fontId="3" fillId="6" borderId="32" xfId="14" applyFont="1" applyFill="1" applyBorder="1"/>
    <xf numFmtId="0" fontId="3" fillId="6" borderId="30" xfId="14" applyFont="1" applyFill="1" applyBorder="1"/>
    <xf numFmtId="178" fontId="3" fillId="6" borderId="8" xfId="14" applyNumberFormat="1" applyFont="1" applyFill="1" applyBorder="1" applyAlignment="1">
      <alignment horizontal="center" vertical="center"/>
    </xf>
    <xf numFmtId="0" fontId="5" fillId="0" borderId="33" xfId="0" applyFont="1" applyBorder="1"/>
    <xf numFmtId="0" fontId="5" fillId="0" borderId="34" xfId="0" applyFont="1" applyBorder="1"/>
    <xf numFmtId="0" fontId="5" fillId="0" borderId="35" xfId="0" applyFont="1" applyBorder="1"/>
    <xf numFmtId="166" fontId="3" fillId="0" borderId="37" xfId="15" applyFont="1" applyFill="1" applyBorder="1"/>
    <xf numFmtId="0" fontId="5" fillId="0" borderId="36" xfId="0" applyFont="1" applyBorder="1"/>
    <xf numFmtId="0" fontId="3" fillId="0" borderId="123" xfId="0" applyFont="1" applyBorder="1"/>
    <xf numFmtId="0" fontId="3" fillId="6" borderId="36" xfId="14" applyFont="1" applyFill="1" applyBorder="1" applyAlignment="1">
      <alignment horizontal="right"/>
    </xf>
    <xf numFmtId="178" fontId="3" fillId="6" borderId="37" xfId="14" applyNumberFormat="1" applyFont="1" applyFill="1" applyBorder="1" applyAlignment="1">
      <alignment horizontal="center" vertical="center"/>
    </xf>
    <xf numFmtId="0" fontId="3" fillId="6" borderId="0" xfId="14" applyFont="1" applyFill="1" applyBorder="1"/>
    <xf numFmtId="0" fontId="3" fillId="3" borderId="0" xfId="0" applyFont="1" applyFill="1"/>
    <xf numFmtId="0" fontId="34" fillId="36" borderId="0" xfId="0" applyFont="1" applyFill="1" applyAlignment="1">
      <alignment horizontal="center" wrapText="1"/>
    </xf>
    <xf numFmtId="225" fontId="3" fillId="3" borderId="8" xfId="0" applyNumberFormat="1" applyFont="1" applyFill="1" applyBorder="1" applyAlignment="1">
      <alignment horizontal="center"/>
    </xf>
    <xf numFmtId="187" fontId="34" fillId="0" borderId="8" xfId="0" applyNumberFormat="1" applyFont="1" applyBorder="1" applyAlignment="1">
      <alignment horizontal="center" vertical="center"/>
    </xf>
    <xf numFmtId="166" fontId="3" fillId="0" borderId="0" xfId="15" applyFont="1" applyFill="1" applyBorder="1"/>
    <xf numFmtId="203" fontId="3" fillId="0" borderId="0" xfId="0" applyNumberFormat="1" applyFont="1"/>
    <xf numFmtId="11" fontId="3" fillId="0" borderId="0" xfId="0" applyNumberFormat="1" applyFont="1"/>
    <xf numFmtId="10" fontId="3" fillId="0" borderId="0" xfId="1" applyNumberFormat="1" applyFont="1" applyBorder="1"/>
    <xf numFmtId="166" fontId="3" fillId="0" borderId="0" xfId="15" applyFont="1" applyBorder="1"/>
    <xf numFmtId="202" fontId="3" fillId="0" borderId="0" xfId="0" applyNumberFormat="1" applyFont="1"/>
    <xf numFmtId="226" fontId="5" fillId="0" borderId="0" xfId="0" applyNumberFormat="1" applyFont="1"/>
    <xf numFmtId="0" fontId="3" fillId="0" borderId="63" xfId="0" applyFont="1" applyBorder="1"/>
    <xf numFmtId="227" fontId="3" fillId="0" borderId="8" xfId="0" applyNumberFormat="1" applyFont="1" applyBorder="1"/>
    <xf numFmtId="166" fontId="3" fillId="0" borderId="29" xfId="15" applyFont="1" applyBorder="1"/>
    <xf numFmtId="205" fontId="3" fillId="0" borderId="6" xfId="0" applyNumberFormat="1" applyFont="1" applyBorder="1"/>
    <xf numFmtId="166" fontId="3" fillId="0" borderId="6" xfId="15" applyFont="1" applyFill="1" applyBorder="1"/>
    <xf numFmtId="166" fontId="3" fillId="0" borderId="6" xfId="15" applyFont="1" applyBorder="1"/>
    <xf numFmtId="202" fontId="3" fillId="0" borderId="6" xfId="0" applyNumberFormat="1" applyFont="1" applyBorder="1"/>
    <xf numFmtId="205" fontId="3" fillId="0" borderId="29" xfId="0" applyNumberFormat="1" applyFont="1" applyBorder="1"/>
    <xf numFmtId="166" fontId="3" fillId="0" borderId="29" xfId="15" applyFont="1" applyFill="1" applyBorder="1"/>
    <xf numFmtId="0" fontId="3" fillId="15" borderId="87" xfId="14" applyFont="1" applyBorder="1" applyAlignment="1">
      <alignment horizontal="center" vertical="center"/>
    </xf>
    <xf numFmtId="0" fontId="3" fillId="15" borderId="12" xfId="14" applyFont="1" applyBorder="1" applyAlignment="1">
      <alignment horizontal="center" vertical="center"/>
    </xf>
    <xf numFmtId="166" fontId="3" fillId="15" borderId="71" xfId="14" applyNumberFormat="1" applyFont="1" applyBorder="1"/>
    <xf numFmtId="0" fontId="3" fillId="15" borderId="48" xfId="14" applyFont="1" applyBorder="1" applyAlignment="1">
      <alignment horizontal="center" vertical="center"/>
    </xf>
    <xf numFmtId="0" fontId="3" fillId="15" borderId="110" xfId="14" applyFont="1" applyBorder="1" applyAlignment="1">
      <alignment horizontal="center" vertical="center"/>
    </xf>
    <xf numFmtId="203" fontId="5" fillId="20" borderId="0" xfId="0" applyNumberFormat="1" applyFont="1" applyFill="1"/>
    <xf numFmtId="227" fontId="3" fillId="0" borderId="0" xfId="0" applyNumberFormat="1" applyFont="1"/>
    <xf numFmtId="0" fontId="3" fillId="0" borderId="31" xfId="0" applyFont="1" applyBorder="1" applyAlignment="1">
      <alignment horizontal="left"/>
    </xf>
    <xf numFmtId="0" fontId="3" fillId="0" borderId="32" xfId="0" applyFont="1" applyBorder="1" applyAlignment="1">
      <alignment horizontal="left"/>
    </xf>
    <xf numFmtId="166" fontId="5" fillId="0" borderId="28" xfId="15" applyFont="1" applyBorder="1"/>
    <xf numFmtId="202" fontId="5" fillId="0" borderId="30" xfId="0" applyNumberFormat="1" applyFont="1" applyBorder="1"/>
    <xf numFmtId="228" fontId="34" fillId="0" borderId="8" xfId="0" applyNumberFormat="1" applyFont="1" applyBorder="1" applyAlignment="1">
      <alignment horizontal="center" vertical="center"/>
    </xf>
    <xf numFmtId="200" fontId="3" fillId="0" borderId="63" xfId="0" applyNumberFormat="1" applyFont="1" applyBorder="1"/>
    <xf numFmtId="229" fontId="3" fillId="0" borderId="8" xfId="0" applyNumberFormat="1" applyFont="1" applyBorder="1"/>
    <xf numFmtId="9" fontId="3" fillId="0" borderId="8" xfId="1" applyFont="1" applyFill="1" applyBorder="1"/>
    <xf numFmtId="230" fontId="3" fillId="0" borderId="8" xfId="0" applyNumberFormat="1" applyFont="1" applyBorder="1"/>
    <xf numFmtId="203" fontId="5" fillId="20" borderId="8" xfId="0" applyNumberFormat="1" applyFont="1" applyFill="1" applyBorder="1" applyAlignment="1">
      <alignment wrapText="1"/>
    </xf>
    <xf numFmtId="9" fontId="3" fillId="0" borderId="8" xfId="1" applyFont="1" applyBorder="1"/>
    <xf numFmtId="200" fontId="3" fillId="0" borderId="72" xfId="0" applyNumberFormat="1" applyFont="1" applyBorder="1"/>
    <xf numFmtId="230" fontId="3" fillId="0" borderId="37" xfId="0" applyNumberFormat="1" applyFont="1" applyBorder="1"/>
    <xf numFmtId="227" fontId="3" fillId="0" borderId="37" xfId="0" applyNumberFormat="1" applyFont="1" applyBorder="1"/>
    <xf numFmtId="0" fontId="3" fillId="0" borderId="72" xfId="0" applyFont="1" applyBorder="1"/>
    <xf numFmtId="0" fontId="75" fillId="0" borderId="0" xfId="0" applyFont="1" applyAlignment="1">
      <alignment vertical="center" wrapText="1"/>
    </xf>
    <xf numFmtId="10" fontId="76" fillId="0" borderId="0" xfId="0" applyNumberFormat="1" applyFont="1" applyAlignment="1">
      <alignment horizontal="right" vertical="center" wrapText="1"/>
    </xf>
    <xf numFmtId="0" fontId="119" fillId="0" borderId="114" xfId="0" applyFont="1" applyBorder="1" applyAlignment="1">
      <alignment vertical="center" wrapText="1"/>
    </xf>
    <xf numFmtId="197" fontId="3" fillId="3" borderId="37" xfId="0" applyNumberFormat="1" applyFont="1" applyFill="1" applyBorder="1"/>
    <xf numFmtId="0" fontId="34" fillId="3" borderId="0" xfId="0" applyFont="1" applyFill="1"/>
    <xf numFmtId="171" fontId="34" fillId="0" borderId="0" xfId="6" applyFont="1"/>
    <xf numFmtId="0" fontId="117" fillId="0" borderId="0" xfId="0" applyFont="1"/>
    <xf numFmtId="0" fontId="34" fillId="8" borderId="0" xfId="0" applyFont="1" applyFill="1"/>
    <xf numFmtId="190" fontId="34" fillId="0" borderId="0" xfId="0" applyNumberFormat="1" applyFont="1"/>
    <xf numFmtId="9" fontId="34" fillId="3" borderId="0" xfId="0" applyNumberFormat="1" applyFont="1" applyFill="1"/>
    <xf numFmtId="1" fontId="34" fillId="3" borderId="0" xfId="0" applyNumberFormat="1" applyFont="1" applyFill="1"/>
    <xf numFmtId="43" fontId="34" fillId="3" borderId="0" xfId="0" applyNumberFormat="1" applyFont="1" applyFill="1"/>
    <xf numFmtId="0" fontId="121" fillId="23" borderId="8" xfId="0" applyFont="1" applyFill="1" applyBorder="1"/>
    <xf numFmtId="173" fontId="8" fillId="23" borderId="8" xfId="0" applyNumberFormat="1" applyFont="1" applyFill="1" applyBorder="1" applyAlignment="1">
      <alignment horizontal="center"/>
    </xf>
    <xf numFmtId="0" fontId="125" fillId="0" borderId="129" xfId="0" applyFont="1" applyBorder="1" applyAlignment="1">
      <alignment horizontal="justify" vertical="center" wrapText="1"/>
    </xf>
    <xf numFmtId="0" fontId="35" fillId="0" borderId="129" xfId="0" applyFont="1" applyBorder="1" applyAlignment="1">
      <alignment horizontal="justify" vertical="center" wrapText="1"/>
    </xf>
    <xf numFmtId="0" fontId="35" fillId="0" borderId="129" xfId="0" applyFont="1" applyBorder="1" applyAlignment="1">
      <alignment vertical="center" wrapText="1"/>
    </xf>
    <xf numFmtId="0" fontId="123" fillId="0" borderId="0" xfId="0" applyFont="1" applyAlignment="1">
      <alignment vertical="center"/>
    </xf>
    <xf numFmtId="0" fontId="11" fillId="0" borderId="0" xfId="0" applyFont="1" applyAlignment="1">
      <alignment vertical="center"/>
    </xf>
    <xf numFmtId="0" fontId="11" fillId="0" borderId="0" xfId="0" applyFont="1" applyAlignment="1">
      <alignment horizontal="left" vertical="center" indent="1"/>
    </xf>
    <xf numFmtId="0" fontId="11" fillId="0" borderId="0" xfId="0" applyFont="1" applyAlignment="1">
      <alignment horizontal="left" vertical="center" indent="2"/>
    </xf>
    <xf numFmtId="0" fontId="11" fillId="0" borderId="0" xfId="0" applyFont="1" applyAlignment="1">
      <alignment horizontal="left" vertical="center" indent="3"/>
    </xf>
    <xf numFmtId="231" fontId="34" fillId="0" borderId="8" xfId="19" applyNumberFormat="1" applyFont="1" applyFill="1" applyBorder="1" applyAlignment="1">
      <alignment horizontal="center"/>
    </xf>
    <xf numFmtId="171" fontId="3" fillId="0" borderId="0" xfId="6" applyFont="1"/>
    <xf numFmtId="218" fontId="3" fillId="0" borderId="0" xfId="6" applyNumberFormat="1" applyFont="1"/>
    <xf numFmtId="0" fontId="127" fillId="34" borderId="25" xfId="0" applyFont="1" applyFill="1" applyBorder="1" applyAlignment="1">
      <alignment horizontal="right"/>
    </xf>
    <xf numFmtId="190" fontId="128" fillId="34" borderId="62" xfId="0" applyNumberFormat="1" applyFont="1" applyFill="1" applyBorder="1" applyAlignment="1">
      <alignment horizontal="center"/>
    </xf>
    <xf numFmtId="9" fontId="127" fillId="34" borderId="26" xfId="1" applyFont="1" applyFill="1" applyBorder="1"/>
    <xf numFmtId="177" fontId="34" fillId="32" borderId="8" xfId="2" applyNumberFormat="1" applyFont="1" applyFill="1" applyBorder="1" applyAlignment="1">
      <alignment horizontal="center" vertical="center"/>
    </xf>
    <xf numFmtId="179" fontId="34" fillId="47" borderId="8" xfId="0" applyNumberFormat="1" applyFont="1" applyFill="1" applyBorder="1"/>
    <xf numFmtId="218" fontId="34" fillId="32" borderId="8" xfId="6" applyNumberFormat="1" applyFont="1" applyFill="1" applyBorder="1" applyAlignment="1">
      <alignment horizontal="center"/>
    </xf>
    <xf numFmtId="0" fontId="34" fillId="6" borderId="0" xfId="0" applyFont="1" applyFill="1"/>
    <xf numFmtId="233" fontId="34" fillId="0" borderId="45" xfId="10" applyNumberFormat="1" applyFont="1" applyFill="1" applyAlignment="1">
      <alignment horizontal="center" vertical="center"/>
    </xf>
    <xf numFmtId="1" fontId="34" fillId="0" borderId="8" xfId="22" applyNumberFormat="1" applyFont="1" applyFill="1" applyBorder="1" applyAlignment="1">
      <alignment horizontal="center" vertical="center"/>
    </xf>
    <xf numFmtId="179" fontId="34" fillId="0" borderId="10" xfId="0" applyNumberFormat="1" applyFont="1" applyBorder="1"/>
    <xf numFmtId="179" fontId="34" fillId="0" borderId="63" xfId="0" applyNumberFormat="1" applyFont="1" applyBorder="1"/>
    <xf numFmtId="179" fontId="34" fillId="0" borderId="20" xfId="0" applyNumberFormat="1" applyFont="1" applyBorder="1"/>
    <xf numFmtId="179" fontId="34" fillId="0" borderId="12" xfId="0" applyNumberFormat="1" applyFont="1" applyBorder="1"/>
    <xf numFmtId="179" fontId="34" fillId="0" borderId="56" xfId="0" applyNumberFormat="1" applyFont="1" applyBorder="1"/>
    <xf numFmtId="1" fontId="34" fillId="48" borderId="8" xfId="22" applyNumberFormat="1" applyFont="1" applyFill="1" applyBorder="1" applyAlignment="1">
      <alignment horizontal="center" vertical="center"/>
    </xf>
    <xf numFmtId="179" fontId="34" fillId="48" borderId="10" xfId="0" applyNumberFormat="1" applyFont="1" applyFill="1" applyBorder="1"/>
    <xf numFmtId="179" fontId="34" fillId="48" borderId="20" xfId="0" applyNumberFormat="1" applyFont="1" applyFill="1" applyBorder="1"/>
    <xf numFmtId="218" fontId="41" fillId="32" borderId="8" xfId="6" applyNumberFormat="1" applyFont="1" applyFill="1" applyBorder="1" applyAlignment="1">
      <alignment horizontal="center"/>
    </xf>
    <xf numFmtId="0" fontId="34" fillId="0" borderId="6" xfId="0" applyFont="1" applyBorder="1"/>
    <xf numFmtId="232" fontId="34" fillId="0" borderId="29" xfId="0" applyNumberFormat="1" applyFont="1" applyBorder="1"/>
    <xf numFmtId="0" fontId="34" fillId="48" borderId="6" xfId="0" applyFont="1" applyFill="1" applyBorder="1"/>
    <xf numFmtId="232" fontId="34" fillId="48" borderId="29" xfId="0" applyNumberFormat="1" applyFont="1" applyFill="1" applyBorder="1"/>
    <xf numFmtId="0" fontId="34" fillId="0" borderId="7" xfId="0" applyFont="1" applyBorder="1"/>
    <xf numFmtId="179" fontId="34" fillId="0" borderId="23" xfId="0" applyNumberFormat="1" applyFont="1" applyBorder="1"/>
    <xf numFmtId="232" fontId="34" fillId="0" borderId="30" xfId="0" applyNumberFormat="1" applyFont="1" applyBorder="1"/>
    <xf numFmtId="179" fontId="34" fillId="0" borderId="39" xfId="0" applyNumberFormat="1" applyFont="1" applyBorder="1"/>
    <xf numFmtId="1" fontId="34" fillId="0" borderId="56" xfId="22" applyNumberFormat="1" applyFont="1" applyFill="1" applyBorder="1" applyAlignment="1">
      <alignment horizontal="center" vertical="center"/>
    </xf>
    <xf numFmtId="0" fontId="41" fillId="0" borderId="38" xfId="22" applyFont="1" applyFill="1" applyBorder="1" applyAlignment="1">
      <alignment horizontal="center" vertical="center" wrapText="1"/>
    </xf>
    <xf numFmtId="0" fontId="41" fillId="0" borderId="39" xfId="22" applyFont="1" applyFill="1" applyBorder="1" applyAlignment="1">
      <alignment horizontal="center" vertical="center" wrapText="1"/>
    </xf>
    <xf numFmtId="0" fontId="41" fillId="6" borderId="110" xfId="0" applyFont="1" applyFill="1" applyBorder="1" applyAlignment="1">
      <alignment wrapText="1"/>
    </xf>
    <xf numFmtId="0" fontId="41" fillId="6" borderId="39" xfId="0" applyFont="1" applyFill="1" applyBorder="1" applyAlignment="1">
      <alignment wrapText="1"/>
    </xf>
    <xf numFmtId="0" fontId="41" fillId="6" borderId="51" xfId="0" applyFont="1" applyFill="1" applyBorder="1" applyAlignment="1">
      <alignment wrapText="1"/>
    </xf>
    <xf numFmtId="0" fontId="41" fillId="6" borderId="38" xfId="0" applyFont="1" applyFill="1" applyBorder="1" applyAlignment="1">
      <alignment wrapText="1"/>
    </xf>
    <xf numFmtId="0" fontId="41" fillId="6" borderId="40" xfId="0" applyFont="1" applyFill="1" applyBorder="1" applyAlignment="1">
      <alignment wrapText="1"/>
    </xf>
    <xf numFmtId="218" fontId="34" fillId="0" borderId="56" xfId="6" applyNumberFormat="1" applyFont="1" applyFill="1" applyBorder="1" applyAlignment="1">
      <alignment horizontal="center" vertical="center"/>
    </xf>
    <xf numFmtId="0" fontId="129" fillId="0" borderId="0" xfId="0" applyFont="1"/>
    <xf numFmtId="9" fontId="34" fillId="0" borderId="56" xfId="1" applyFont="1" applyFill="1" applyBorder="1" applyAlignment="1">
      <alignment horizontal="center" vertical="center"/>
    </xf>
    <xf numFmtId="0" fontId="32" fillId="34" borderId="95" xfId="0" applyFont="1" applyFill="1" applyBorder="1" applyAlignment="1">
      <alignment horizontal="right" vertical="center" wrapText="1" readingOrder="1"/>
    </xf>
    <xf numFmtId="0" fontId="128" fillId="3" borderId="0" xfId="0" applyFont="1" applyFill="1"/>
    <xf numFmtId="0" fontId="128" fillId="34" borderId="8" xfId="0" applyFont="1" applyFill="1" applyBorder="1"/>
    <xf numFmtId="177" fontId="128" fillId="34" borderId="46" xfId="2" applyNumberFormat="1" applyFont="1" applyFill="1" applyBorder="1"/>
    <xf numFmtId="177" fontId="128" fillId="34" borderId="8" xfId="2" applyNumberFormat="1" applyFont="1" applyFill="1" applyBorder="1"/>
    <xf numFmtId="9" fontId="128" fillId="34" borderId="8" xfId="1" applyFont="1" applyFill="1" applyBorder="1"/>
    <xf numFmtId="10" fontId="3" fillId="26" borderId="72" xfId="18" applyNumberFormat="1" applyFont="1" applyBorder="1"/>
    <xf numFmtId="209" fontId="3" fillId="0" borderId="0" xfId="0" applyNumberFormat="1" applyFont="1"/>
    <xf numFmtId="10" fontId="3" fillId="0" borderId="0" xfId="1" applyNumberFormat="1" applyFont="1"/>
    <xf numFmtId="175" fontId="3" fillId="0" borderId="0" xfId="1" applyNumberFormat="1" applyFont="1"/>
    <xf numFmtId="177" fontId="3" fillId="0" borderId="0" xfId="2" applyNumberFormat="1" applyFont="1"/>
    <xf numFmtId="43" fontId="22" fillId="34" borderId="0" xfId="2" applyFont="1" applyFill="1"/>
    <xf numFmtId="0" fontId="5" fillId="26" borderId="6" xfId="18" applyFont="1" applyBorder="1"/>
    <xf numFmtId="1" fontId="3" fillId="26" borderId="40" xfId="18" applyNumberFormat="1" applyFont="1" applyBorder="1"/>
    <xf numFmtId="10" fontId="20" fillId="34" borderId="0" xfId="1" applyNumberFormat="1" applyFont="1" applyFill="1" applyBorder="1"/>
    <xf numFmtId="10" fontId="20" fillId="34" borderId="62" xfId="1" applyNumberFormat="1" applyFont="1" applyFill="1" applyBorder="1"/>
    <xf numFmtId="0" fontId="3" fillId="26" borderId="21" xfId="18" applyFont="1" applyBorder="1"/>
    <xf numFmtId="10" fontId="3" fillId="26" borderId="21" xfId="18" applyNumberFormat="1" applyFont="1" applyBorder="1"/>
    <xf numFmtId="9" fontId="3" fillId="26" borderId="68" xfId="18" applyNumberFormat="1" applyFont="1" applyBorder="1"/>
    <xf numFmtId="171" fontId="125" fillId="0" borderId="129" xfId="6" applyFont="1" applyBorder="1" applyAlignment="1">
      <alignment horizontal="justify" vertical="center" wrapText="1"/>
    </xf>
    <xf numFmtId="44" fontId="125" fillId="0" borderId="129" xfId="0" applyNumberFormat="1" applyFont="1" applyBorder="1" applyAlignment="1">
      <alignment horizontal="justify" vertical="center" wrapText="1"/>
    </xf>
    <xf numFmtId="1" fontId="35" fillId="0" borderId="129" xfId="2" applyNumberFormat="1" applyFont="1" applyBorder="1" applyAlignment="1">
      <alignment horizontal="center" vertical="center" wrapText="1"/>
    </xf>
    <xf numFmtId="0" fontId="0" fillId="0" borderId="0" xfId="0" applyAlignment="1">
      <alignment horizontal="center"/>
    </xf>
    <xf numFmtId="9" fontId="34" fillId="6" borderId="8" xfId="1" applyFont="1" applyFill="1" applyBorder="1" applyAlignment="1">
      <alignment horizontal="center" vertical="center"/>
    </xf>
    <xf numFmtId="3" fontId="41" fillId="0" borderId="63" xfId="16" applyNumberFormat="1" applyFont="1" applyFill="1" applyBorder="1" applyAlignment="1">
      <alignment horizontal="center"/>
    </xf>
    <xf numFmtId="3" fontId="34" fillId="0" borderId="56" xfId="16" applyNumberFormat="1" applyFont="1" applyFill="1" applyBorder="1" applyAlignment="1">
      <alignment horizontal="center"/>
    </xf>
    <xf numFmtId="197" fontId="3" fillId="0" borderId="8" xfId="17" applyNumberFormat="1" applyFont="1" applyFill="1" applyBorder="1" applyAlignment="1">
      <alignment horizontal="center" vertical="center"/>
    </xf>
    <xf numFmtId="197" fontId="3" fillId="0" borderId="37" xfId="17" applyNumberFormat="1" applyFont="1" applyFill="1" applyBorder="1" applyAlignment="1">
      <alignment horizontal="center" vertical="center"/>
    </xf>
    <xf numFmtId="0" fontId="8" fillId="25" borderId="0" xfId="17" applyFont="1"/>
    <xf numFmtId="0" fontId="5" fillId="25" borderId="0" xfId="17" applyFont="1" applyBorder="1" applyAlignment="1">
      <alignment horizontal="center" vertical="center"/>
    </xf>
    <xf numFmtId="197" fontId="3" fillId="5" borderId="8" xfId="0" applyNumberFormat="1" applyFont="1" applyFill="1" applyBorder="1" applyAlignment="1">
      <alignment horizontal="center" vertical="center"/>
    </xf>
    <xf numFmtId="173" fontId="3" fillId="3" borderId="8" xfId="0" applyNumberFormat="1" applyFont="1" applyFill="1" applyBorder="1" applyAlignment="1">
      <alignment horizontal="center"/>
    </xf>
    <xf numFmtId="234" fontId="5" fillId="0" borderId="29" xfId="0" applyNumberFormat="1" applyFont="1" applyBorder="1"/>
    <xf numFmtId="235" fontId="5" fillId="0" borderId="29" xfId="0" applyNumberFormat="1" applyFont="1" applyBorder="1"/>
    <xf numFmtId="166" fontId="3" fillId="0" borderId="30" xfId="15" applyFont="1" applyBorder="1"/>
    <xf numFmtId="178" fontId="3" fillId="3" borderId="8" xfId="0" applyNumberFormat="1" applyFont="1" applyFill="1" applyBorder="1"/>
    <xf numFmtId="0" fontId="34" fillId="37" borderId="14" xfId="0" applyFont="1" applyFill="1" applyBorder="1"/>
    <xf numFmtId="0" fontId="34" fillId="37" borderId="31" xfId="0" applyFont="1" applyFill="1" applyBorder="1" applyAlignment="1">
      <alignment horizontal="right"/>
    </xf>
    <xf numFmtId="0" fontId="33" fillId="37" borderId="28" xfId="0" applyFont="1" applyFill="1" applyBorder="1"/>
    <xf numFmtId="0" fontId="34" fillId="37" borderId="6" xfId="13" applyFont="1" applyFill="1" applyBorder="1"/>
    <xf numFmtId="0" fontId="33" fillId="37" borderId="29" xfId="0" applyFont="1" applyFill="1" applyBorder="1"/>
    <xf numFmtId="0" fontId="34" fillId="37" borderId="7" xfId="13" applyFont="1" applyFill="1" applyBorder="1"/>
    <xf numFmtId="0" fontId="34" fillId="37" borderId="32" xfId="0" applyFont="1" applyFill="1" applyBorder="1" applyAlignment="1">
      <alignment horizontal="right"/>
    </xf>
    <xf numFmtId="0" fontId="34" fillId="37" borderId="30" xfId="13" applyFont="1" applyFill="1" applyBorder="1"/>
    <xf numFmtId="0" fontId="34" fillId="47" borderId="34" xfId="0" applyFont="1" applyFill="1" applyBorder="1" applyAlignment="1">
      <alignment horizontal="center"/>
    </xf>
    <xf numFmtId="0" fontId="34" fillId="47" borderId="8" xfId="0" applyFont="1" applyFill="1" applyBorder="1" applyAlignment="1">
      <alignment horizontal="center"/>
    </xf>
    <xf numFmtId="0" fontId="34" fillId="47" borderId="39" xfId="0" applyFont="1" applyFill="1" applyBorder="1" applyAlignment="1">
      <alignment horizontal="center"/>
    </xf>
    <xf numFmtId="9" fontId="128" fillId="3" borderId="8" xfId="1" applyFont="1" applyFill="1" applyBorder="1"/>
    <xf numFmtId="0" fontId="128" fillId="3" borderId="8" xfId="0" applyFont="1" applyFill="1" applyBorder="1"/>
    <xf numFmtId="0" fontId="131" fillId="34" borderId="95" xfId="0" applyFont="1" applyFill="1" applyBorder="1" applyAlignment="1">
      <alignment horizontal="left" vertical="center" wrapText="1" readingOrder="1"/>
    </xf>
    <xf numFmtId="1" fontId="34" fillId="0" borderId="8" xfId="0" applyNumberFormat="1" applyFont="1" applyBorder="1" applyAlignment="1">
      <alignment horizontal="center" vertical="center"/>
    </xf>
    <xf numFmtId="1" fontId="3" fillId="49" borderId="8" xfId="13" applyNumberFormat="1" applyFont="1" applyFill="1" applyBorder="1" applyAlignment="1">
      <alignment horizontal="center" vertical="center"/>
    </xf>
    <xf numFmtId="0" fontId="5" fillId="6" borderId="14" xfId="0" applyFont="1" applyFill="1" applyBorder="1"/>
    <xf numFmtId="0" fontId="3" fillId="6" borderId="31" xfId="0" applyFont="1" applyFill="1" applyBorder="1"/>
    <xf numFmtId="201" fontId="3" fillId="6" borderId="31" xfId="0" applyNumberFormat="1" applyFont="1" applyFill="1" applyBorder="1"/>
    <xf numFmtId="198" fontId="3" fillId="6" borderId="28" xfId="0" applyNumberFormat="1" applyFont="1" applyFill="1" applyBorder="1"/>
    <xf numFmtId="203" fontId="3" fillId="6" borderId="39" xfId="0" applyNumberFormat="1" applyFont="1" applyFill="1" applyBorder="1"/>
    <xf numFmtId="236" fontId="3" fillId="6" borderId="32" xfId="0" applyNumberFormat="1" applyFont="1" applyFill="1" applyBorder="1"/>
    <xf numFmtId="198" fontId="3" fillId="6" borderId="31" xfId="0" applyNumberFormat="1" applyFont="1" applyFill="1" applyBorder="1"/>
    <xf numFmtId="236" fontId="3" fillId="6" borderId="0" xfId="0" applyNumberFormat="1" applyFont="1" applyFill="1"/>
    <xf numFmtId="237" fontId="3" fillId="6" borderId="0" xfId="0" applyNumberFormat="1" applyFont="1" applyFill="1"/>
    <xf numFmtId="237" fontId="3" fillId="6" borderId="8" xfId="0" applyNumberFormat="1" applyFont="1" applyFill="1" applyBorder="1"/>
    <xf numFmtId="226" fontId="3" fillId="6" borderId="8" xfId="0" applyNumberFormat="1" applyFont="1" applyFill="1" applyBorder="1"/>
    <xf numFmtId="236" fontId="3" fillId="6" borderId="8" xfId="0" applyNumberFormat="1" applyFont="1" applyFill="1" applyBorder="1"/>
    <xf numFmtId="236" fontId="3" fillId="6" borderId="39" xfId="0" applyNumberFormat="1" applyFont="1" applyFill="1" applyBorder="1"/>
    <xf numFmtId="0" fontId="32" fillId="34" borderId="95" xfId="0" applyFont="1" applyFill="1" applyBorder="1" applyAlignment="1">
      <alignment horizontal="left" vertical="center" wrapText="1" readingOrder="1"/>
    </xf>
    <xf numFmtId="0" fontId="125" fillId="0" borderId="0" xfId="0" applyFont="1" applyAlignment="1">
      <alignment horizontal="justify" vertical="center" wrapText="1"/>
    </xf>
    <xf numFmtId="0" fontId="132" fillId="0" borderId="27" xfId="0" applyFont="1" applyBorder="1" applyAlignment="1">
      <alignment horizontal="justify" vertical="center" wrapText="1"/>
    </xf>
    <xf numFmtId="0" fontId="132" fillId="0" borderId="17" xfId="0" applyFont="1" applyBorder="1" applyAlignment="1">
      <alignment horizontal="justify" vertical="center" wrapText="1"/>
    </xf>
    <xf numFmtId="0" fontId="133" fillId="0" borderId="0" xfId="0" applyFont="1" applyAlignment="1">
      <alignment horizontal="justify" vertical="center"/>
    </xf>
    <xf numFmtId="0" fontId="133" fillId="0" borderId="17" xfId="0" applyFont="1" applyBorder="1" applyAlignment="1">
      <alignment horizontal="justify" vertical="center" wrapText="1"/>
    </xf>
    <xf numFmtId="0" fontId="132" fillId="0" borderId="27" xfId="0" applyFont="1" applyBorder="1" applyAlignment="1">
      <alignment vertical="center" wrapText="1"/>
    </xf>
    <xf numFmtId="0" fontId="132" fillId="0" borderId="17" xfId="0" applyFont="1" applyBorder="1" applyAlignment="1">
      <alignment vertical="center" wrapText="1"/>
    </xf>
    <xf numFmtId="1" fontId="19" fillId="0" borderId="0" xfId="0" applyNumberFormat="1" applyFont="1" applyAlignment="1">
      <alignment horizontal="right" vertical="center" wrapText="1"/>
    </xf>
    <xf numFmtId="3" fontId="19" fillId="0" borderId="0" xfId="0" applyNumberFormat="1" applyFont="1" applyAlignment="1">
      <alignment horizontal="right" vertical="center" wrapText="1"/>
    </xf>
    <xf numFmtId="0" fontId="66" fillId="0" borderId="0" xfId="0" applyFont="1" applyAlignment="1">
      <alignment horizontal="right" vertical="center" wrapText="1"/>
    </xf>
    <xf numFmtId="1" fontId="41" fillId="36" borderId="33" xfId="0" applyNumberFormat="1" applyFont="1" applyFill="1" applyBorder="1" applyAlignment="1">
      <alignment horizontal="center"/>
    </xf>
    <xf numFmtId="196" fontId="41" fillId="36" borderId="38" xfId="0" applyNumberFormat="1" applyFont="1" applyFill="1" applyBorder="1" applyAlignment="1">
      <alignment horizontal="center"/>
    </xf>
    <xf numFmtId="0" fontId="34" fillId="36" borderId="33" xfId="0" applyFont="1" applyFill="1" applyBorder="1" applyAlignment="1">
      <alignment horizontal="center"/>
    </xf>
    <xf numFmtId="0" fontId="34" fillId="36" borderId="36" xfId="0" applyFont="1" applyFill="1" applyBorder="1" applyAlignment="1">
      <alignment horizontal="center"/>
    </xf>
    <xf numFmtId="1" fontId="41" fillId="36" borderId="38" xfId="0" applyNumberFormat="1" applyFont="1" applyFill="1" applyBorder="1" applyAlignment="1">
      <alignment horizontal="center"/>
    </xf>
    <xf numFmtId="1" fontId="34" fillId="6" borderId="8" xfId="16" applyNumberFormat="1" applyFont="1" applyFill="1" applyBorder="1" applyAlignment="1">
      <alignment horizontal="center" vertical="center"/>
    </xf>
    <xf numFmtId="3" fontId="34" fillId="0" borderId="63" xfId="16" applyNumberFormat="1" applyFont="1" applyFill="1" applyBorder="1" applyAlignment="1">
      <alignment horizontal="center"/>
    </xf>
    <xf numFmtId="178" fontId="5" fillId="6" borderId="40" xfId="14" applyNumberFormat="1" applyFont="1" applyFill="1" applyBorder="1"/>
    <xf numFmtId="0" fontId="34" fillId="0" borderId="60" xfId="0" applyFont="1" applyBorder="1" applyAlignment="1">
      <alignment horizontal="center" vertical="center"/>
    </xf>
    <xf numFmtId="0" fontId="34" fillId="0" borderId="58" xfId="0" applyFont="1" applyBorder="1" applyAlignment="1">
      <alignment horizontal="center" vertical="center"/>
    </xf>
    <xf numFmtId="0" fontId="34" fillId="0" borderId="65" xfId="0" applyFont="1" applyBorder="1" applyAlignment="1">
      <alignment horizontal="center" vertical="center"/>
    </xf>
    <xf numFmtId="187" fontId="34" fillId="0" borderId="33" xfId="0" applyNumberFormat="1" applyFont="1" applyBorder="1" applyAlignment="1">
      <alignment horizontal="center" vertical="center"/>
    </xf>
    <xf numFmtId="187" fontId="34" fillId="0" borderId="35" xfId="0" applyNumberFormat="1" applyFont="1" applyBorder="1" applyAlignment="1">
      <alignment horizontal="center" vertical="center"/>
    </xf>
    <xf numFmtId="188" fontId="34" fillId="0" borderId="33" xfId="0" applyNumberFormat="1" applyFont="1" applyBorder="1" applyAlignment="1">
      <alignment horizontal="center" vertical="center"/>
    </xf>
    <xf numFmtId="185" fontId="34" fillId="0" borderId="34" xfId="0" applyNumberFormat="1" applyFont="1" applyBorder="1" applyAlignment="1">
      <alignment horizontal="center" vertical="center"/>
    </xf>
    <xf numFmtId="180" fontId="34" fillId="0" borderId="112" xfId="0" applyNumberFormat="1" applyFont="1" applyBorder="1" applyAlignment="1">
      <alignment horizontal="center" vertical="center"/>
    </xf>
    <xf numFmtId="181" fontId="34" fillId="0" borderId="71" xfId="0" applyNumberFormat="1" applyFont="1" applyBorder="1" applyAlignment="1">
      <alignment horizontal="center" vertical="center"/>
    </xf>
    <xf numFmtId="0" fontId="34" fillId="0" borderId="58" xfId="0" applyFont="1" applyBorder="1" applyAlignment="1">
      <alignment horizontal="center" vertical="center" wrapText="1"/>
    </xf>
    <xf numFmtId="0" fontId="34" fillId="0" borderId="55" xfId="0" applyFont="1" applyBorder="1" applyAlignment="1">
      <alignment horizontal="center" vertical="center"/>
    </xf>
    <xf numFmtId="187" fontId="34" fillId="0" borderId="36" xfId="0" applyNumberFormat="1" applyFont="1" applyBorder="1" applyAlignment="1">
      <alignment horizontal="center" vertical="center"/>
    </xf>
    <xf numFmtId="187" fontId="34" fillId="0" borderId="37" xfId="0" applyNumberFormat="1" applyFont="1" applyBorder="1" applyAlignment="1">
      <alignment horizontal="center" vertical="center"/>
    </xf>
    <xf numFmtId="188" fontId="34" fillId="0" borderId="36" xfId="0" applyNumberFormat="1" applyFont="1" applyBorder="1" applyAlignment="1">
      <alignment horizontal="center" vertical="center"/>
    </xf>
    <xf numFmtId="185" fontId="34" fillId="0" borderId="8" xfId="0" applyNumberFormat="1" applyFont="1" applyBorder="1" applyAlignment="1">
      <alignment horizontal="center" vertical="center"/>
    </xf>
    <xf numFmtId="180" fontId="34" fillId="0" borderId="46" xfId="0" applyNumberFormat="1" applyFont="1" applyBorder="1" applyAlignment="1">
      <alignment horizontal="center" vertical="center"/>
    </xf>
    <xf numFmtId="181" fontId="34" fillId="0" borderId="48" xfId="0" applyNumberFormat="1" applyFont="1" applyBorder="1" applyAlignment="1">
      <alignment horizontal="center" vertical="center"/>
    </xf>
    <xf numFmtId="188" fontId="34" fillId="0" borderId="57" xfId="0" applyNumberFormat="1" applyFont="1" applyBorder="1" applyAlignment="1">
      <alignment horizontal="center" vertical="center"/>
    </xf>
    <xf numFmtId="0" fontId="34" fillId="0" borderId="54" xfId="0" applyFont="1" applyBorder="1" applyAlignment="1">
      <alignment horizontal="center" vertical="center"/>
    </xf>
    <xf numFmtId="187" fontId="34" fillId="0" borderId="38" xfId="0" applyNumberFormat="1" applyFont="1" applyBorder="1" applyAlignment="1">
      <alignment horizontal="center" vertical="center"/>
    </xf>
    <xf numFmtId="187" fontId="34" fillId="0" borderId="40" xfId="0" applyNumberFormat="1" applyFont="1" applyBorder="1" applyAlignment="1">
      <alignment horizontal="center" vertical="center"/>
    </xf>
    <xf numFmtId="188" fontId="34" fillId="0" borderId="38" xfId="0" applyNumberFormat="1" applyFont="1" applyBorder="1" applyAlignment="1">
      <alignment horizontal="center" vertical="center"/>
    </xf>
    <xf numFmtId="185" fontId="34" fillId="0" borderId="39" xfId="0" applyNumberFormat="1" applyFont="1" applyBorder="1" applyAlignment="1">
      <alignment horizontal="center" vertical="center"/>
    </xf>
    <xf numFmtId="180" fontId="34" fillId="0" borderId="53" xfId="0" applyNumberFormat="1" applyFont="1" applyBorder="1" applyAlignment="1">
      <alignment horizontal="center" vertical="center"/>
    </xf>
    <xf numFmtId="181" fontId="34" fillId="0" borderId="110" xfId="0" applyNumberFormat="1" applyFont="1" applyBorder="1" applyAlignment="1">
      <alignment horizontal="center" vertical="center"/>
    </xf>
    <xf numFmtId="0" fontId="34" fillId="51" borderId="0" xfId="0" applyFont="1" applyFill="1"/>
    <xf numFmtId="0" fontId="41" fillId="51" borderId="48" xfId="0" applyFont="1" applyFill="1" applyBorder="1" applyAlignment="1">
      <alignment horizontal="center" vertical="center"/>
    </xf>
    <xf numFmtId="0" fontId="41" fillId="51" borderId="63" xfId="0" applyFont="1" applyFill="1" applyBorder="1" applyAlignment="1">
      <alignment horizontal="center" vertical="center"/>
    </xf>
    <xf numFmtId="0" fontId="41" fillId="51" borderId="20" xfId="0" applyFont="1" applyFill="1" applyBorder="1" applyAlignment="1">
      <alignment horizontal="center" vertical="center"/>
    </xf>
    <xf numFmtId="0" fontId="41" fillId="51" borderId="63" xfId="0" applyFont="1" applyFill="1" applyBorder="1" applyAlignment="1">
      <alignment horizontal="center"/>
    </xf>
    <xf numFmtId="0" fontId="41" fillId="51" borderId="48" xfId="0" applyFont="1" applyFill="1" applyBorder="1" applyAlignment="1">
      <alignment horizontal="center" vertical="center" wrapText="1"/>
    </xf>
    <xf numFmtId="0" fontId="34" fillId="51" borderId="8" xfId="0" applyFont="1" applyFill="1" applyBorder="1"/>
    <xf numFmtId="0" fontId="41" fillId="51" borderId="0" xfId="0" applyFont="1" applyFill="1" applyAlignment="1">
      <alignment horizontal="center" vertical="center" wrapText="1"/>
    </xf>
    <xf numFmtId="0" fontId="34" fillId="51" borderId="0" xfId="18" applyFont="1" applyFill="1"/>
    <xf numFmtId="0" fontId="34" fillId="51" borderId="0" xfId="0" applyFont="1" applyFill="1" applyAlignment="1">
      <alignment horizontal="center"/>
    </xf>
    <xf numFmtId="0" fontId="34" fillId="51" borderId="0" xfId="0" applyFont="1" applyFill="1" applyAlignment="1">
      <alignment horizontal="center" vertical="center" wrapText="1"/>
    </xf>
    <xf numFmtId="186" fontId="41" fillId="51" borderId="0" xfId="0" applyNumberFormat="1" applyFont="1" applyFill="1" applyAlignment="1">
      <alignment horizontal="center"/>
    </xf>
    <xf numFmtId="0" fontId="41" fillId="51" borderId="0" xfId="0" applyFont="1" applyFill="1" applyAlignment="1">
      <alignment horizontal="right" vertical="center"/>
    </xf>
    <xf numFmtId="180" fontId="41" fillId="51" borderId="56" xfId="0" applyNumberFormat="1" applyFont="1" applyFill="1" applyBorder="1" applyAlignment="1">
      <alignment horizontal="center" vertical="center"/>
    </xf>
    <xf numFmtId="181" fontId="41" fillId="51" borderId="56" xfId="0" applyNumberFormat="1" applyFont="1" applyFill="1" applyBorder="1" applyAlignment="1">
      <alignment horizontal="center" vertical="center"/>
    </xf>
    <xf numFmtId="0" fontId="114" fillId="51" borderId="0" xfId="0" applyFont="1" applyFill="1"/>
    <xf numFmtId="0" fontId="11" fillId="50" borderId="0" xfId="0" applyFont="1" applyFill="1"/>
    <xf numFmtId="0" fontId="36" fillId="50" borderId="0" xfId="0" applyFont="1" applyFill="1"/>
    <xf numFmtId="0" fontId="36" fillId="50" borderId="0" xfId="16" applyFont="1" applyFill="1" applyAlignment="1"/>
    <xf numFmtId="0" fontId="36" fillId="50" borderId="0" xfId="16" applyFont="1" applyFill="1"/>
    <xf numFmtId="0" fontId="36" fillId="50" borderId="0" xfId="0" applyFont="1" applyFill="1" applyAlignment="1">
      <alignment horizontal="center"/>
    </xf>
    <xf numFmtId="0" fontId="36" fillId="50" borderId="0" xfId="0" applyFont="1" applyFill="1" applyAlignment="1">
      <alignment horizontal="right"/>
    </xf>
    <xf numFmtId="234" fontId="36" fillId="50" borderId="0" xfId="0" applyNumberFormat="1" applyFont="1" applyFill="1"/>
    <xf numFmtId="0" fontId="33" fillId="50" borderId="0" xfId="0" applyFont="1" applyFill="1"/>
    <xf numFmtId="0" fontId="36" fillId="50" borderId="0" xfId="16" applyFont="1" applyFill="1" applyAlignment="1">
      <alignment horizontal="right"/>
    </xf>
    <xf numFmtId="234" fontId="115" fillId="50" borderId="1" xfId="16" applyNumberFormat="1" applyFont="1" applyFill="1" applyBorder="1"/>
    <xf numFmtId="0" fontId="39" fillId="50" borderId="5" xfId="16" applyFont="1" applyFill="1" applyBorder="1"/>
    <xf numFmtId="0" fontId="39" fillId="50" borderId="2" xfId="0" applyFont="1" applyFill="1" applyBorder="1"/>
    <xf numFmtId="3" fontId="36" fillId="50" borderId="56" xfId="16" applyNumberFormat="1" applyFont="1" applyFill="1" applyBorder="1" applyAlignment="1">
      <alignment horizontal="center"/>
    </xf>
    <xf numFmtId="177" fontId="36" fillId="50" borderId="0" xfId="0" applyNumberFormat="1" applyFont="1" applyFill="1"/>
    <xf numFmtId="3" fontId="36" fillId="50" borderId="8" xfId="16" applyNumberFormat="1" applyFont="1" applyFill="1" applyBorder="1" applyAlignment="1">
      <alignment horizontal="center"/>
    </xf>
    <xf numFmtId="0" fontId="36" fillId="50" borderId="0" xfId="16" applyFont="1" applyFill="1" applyAlignment="1">
      <alignment horizontal="center"/>
    </xf>
    <xf numFmtId="0" fontId="33" fillId="50" borderId="0" xfId="16" applyFont="1" applyFill="1"/>
    <xf numFmtId="0" fontId="33" fillId="50" borderId="0" xfId="16" applyFont="1" applyFill="1" applyBorder="1" applyAlignment="1">
      <alignment horizontal="right"/>
    </xf>
    <xf numFmtId="3" fontId="36" fillId="50" borderId="0" xfId="16" applyNumberFormat="1" applyFont="1" applyFill="1" applyBorder="1" applyAlignment="1">
      <alignment horizontal="center"/>
    </xf>
    <xf numFmtId="0" fontId="36" fillId="50" borderId="0" xfId="16" applyFont="1" applyFill="1" applyBorder="1"/>
    <xf numFmtId="234" fontId="115" fillId="50" borderId="0" xfId="16" applyNumberFormat="1" applyFont="1" applyFill="1"/>
    <xf numFmtId="235" fontId="115" fillId="50" borderId="1" xfId="16" applyNumberFormat="1" applyFont="1" applyFill="1" applyBorder="1"/>
    <xf numFmtId="0" fontId="39" fillId="50" borderId="2" xfId="16" applyFont="1" applyFill="1" applyBorder="1"/>
    <xf numFmtId="0" fontId="39" fillId="50" borderId="0" xfId="16" applyFont="1" applyFill="1" applyBorder="1" applyAlignment="1">
      <alignment horizontal="right"/>
    </xf>
    <xf numFmtId="0" fontId="36" fillId="52" borderId="0" xfId="16" applyFont="1" applyFill="1"/>
    <xf numFmtId="0" fontId="36" fillId="52" borderId="0" xfId="16" applyFont="1" applyFill="1" applyAlignment="1">
      <alignment horizontal="center"/>
    </xf>
    <xf numFmtId="0" fontId="38" fillId="52" borderId="0" xfId="16" applyFont="1" applyFill="1" applyAlignment="1">
      <alignment vertical="center"/>
    </xf>
    <xf numFmtId="0" fontId="39" fillId="52" borderId="0" xfId="16" applyFont="1" applyFill="1"/>
    <xf numFmtId="0" fontId="39" fillId="52" borderId="3" xfId="16" applyFont="1" applyFill="1" applyBorder="1" applyAlignment="1">
      <alignment horizontal="center" vertical="center"/>
    </xf>
    <xf numFmtId="1" fontId="39" fillId="52" borderId="4" xfId="16" applyNumberFormat="1" applyFont="1" applyFill="1" applyBorder="1" applyAlignment="1">
      <alignment horizontal="center" vertical="center"/>
    </xf>
    <xf numFmtId="0" fontId="39" fillId="52" borderId="8" xfId="16" applyFont="1" applyFill="1" applyBorder="1" applyAlignment="1">
      <alignment horizontal="center" vertical="center"/>
    </xf>
    <xf numFmtId="1" fontId="39" fillId="52" borderId="8" xfId="16" applyNumberFormat="1" applyFont="1" applyFill="1" applyBorder="1" applyAlignment="1">
      <alignment horizontal="center" vertical="center"/>
    </xf>
    <xf numFmtId="0" fontId="36" fillId="52" borderId="0" xfId="16" applyFont="1" applyFill="1" applyAlignment="1">
      <alignment horizontal="center" vertical="center"/>
    </xf>
    <xf numFmtId="0" fontId="39" fillId="52" borderId="56" xfId="16" applyFont="1" applyFill="1" applyBorder="1" applyAlignment="1">
      <alignment horizontal="center"/>
    </xf>
    <xf numFmtId="9" fontId="36" fillId="52" borderId="56" xfId="1" applyFont="1" applyFill="1" applyBorder="1" applyAlignment="1">
      <alignment horizontal="center" vertical="center"/>
    </xf>
    <xf numFmtId="0" fontId="36" fillId="52" borderId="10" xfId="16" applyFont="1" applyFill="1" applyBorder="1" applyAlignment="1"/>
    <xf numFmtId="0" fontId="39" fillId="52" borderId="8" xfId="16" applyFont="1" applyFill="1" applyBorder="1" applyAlignment="1">
      <alignment horizontal="center"/>
    </xf>
    <xf numFmtId="9" fontId="36" fillId="52" borderId="8" xfId="1" applyFont="1" applyFill="1" applyBorder="1" applyAlignment="1">
      <alignment horizontal="center" vertical="center"/>
    </xf>
    <xf numFmtId="1" fontId="36" fillId="52" borderId="8" xfId="16" applyNumberFormat="1" applyFont="1" applyFill="1" applyBorder="1" applyAlignment="1">
      <alignment horizontal="center" vertical="center"/>
    </xf>
    <xf numFmtId="0" fontId="38" fillId="52" borderId="0" xfId="16" applyFont="1" applyFill="1"/>
    <xf numFmtId="177" fontId="36" fillId="52" borderId="46" xfId="2" applyNumberFormat="1" applyFont="1" applyFill="1" applyBorder="1" applyAlignment="1">
      <alignment horizontal="center" vertical="center"/>
    </xf>
    <xf numFmtId="0" fontId="36" fillId="52" borderId="48" xfId="16" applyFont="1" applyFill="1" applyBorder="1" applyAlignment="1">
      <alignment horizontal="center" vertical="center"/>
    </xf>
    <xf numFmtId="0" fontId="38" fillId="52" borderId="0" xfId="16" applyFont="1" applyFill="1" applyBorder="1" applyAlignment="1">
      <alignment vertical="center"/>
    </xf>
    <xf numFmtId="0" fontId="36" fillId="52" borderId="0" xfId="16" applyFont="1" applyFill="1" applyAlignment="1">
      <alignment vertical="center"/>
    </xf>
    <xf numFmtId="0" fontId="38" fillId="52" borderId="0" xfId="16" applyFont="1" applyFill="1" applyBorder="1" applyAlignment="1">
      <alignment vertical="center" wrapText="1"/>
    </xf>
    <xf numFmtId="17" fontId="36" fillId="52" borderId="0" xfId="16" applyNumberFormat="1" applyFont="1" applyFill="1"/>
    <xf numFmtId="0" fontId="39" fillId="52" borderId="48" xfId="16" applyFont="1" applyFill="1" applyBorder="1" applyAlignment="1">
      <alignment horizontal="center"/>
    </xf>
    <xf numFmtId="17" fontId="36" fillId="52" borderId="48" xfId="16" applyNumberFormat="1" applyFont="1" applyFill="1" applyBorder="1" applyAlignment="1">
      <alignment horizontal="center" vertical="center"/>
    </xf>
    <xf numFmtId="0" fontId="36" fillId="52" borderId="8" xfId="16" applyFont="1" applyFill="1" applyBorder="1" applyAlignment="1">
      <alignment horizontal="center" vertical="center"/>
    </xf>
    <xf numFmtId="177" fontId="36" fillId="52" borderId="8" xfId="2" applyNumberFormat="1" applyFont="1" applyFill="1" applyBorder="1" applyAlignment="1">
      <alignment horizontal="center" vertical="center"/>
    </xf>
    <xf numFmtId="0" fontId="39" fillId="52" borderId="56" xfId="16" applyFont="1" applyFill="1" applyBorder="1" applyAlignment="1">
      <alignment horizontal="center" vertical="center"/>
    </xf>
    <xf numFmtId="0" fontId="39" fillId="52" borderId="63" xfId="16" applyFont="1" applyFill="1" applyBorder="1" applyAlignment="1">
      <alignment horizontal="center" vertical="center"/>
    </xf>
    <xf numFmtId="177" fontId="36" fillId="52" borderId="63" xfId="2" applyNumberFormat="1" applyFont="1" applyFill="1" applyBorder="1" applyAlignment="1">
      <alignment horizontal="center" vertical="center"/>
    </xf>
    <xf numFmtId="0" fontId="116" fillId="52" borderId="0" xfId="16" applyFont="1" applyFill="1"/>
    <xf numFmtId="0" fontId="39" fillId="52" borderId="8" xfId="16" applyFont="1" applyFill="1" applyBorder="1" applyAlignment="1">
      <alignment horizontal="right"/>
    </xf>
    <xf numFmtId="0" fontId="39" fillId="52" borderId="48" xfId="16" applyFont="1" applyFill="1" applyBorder="1" applyAlignment="1">
      <alignment horizontal="center" vertical="center"/>
    </xf>
    <xf numFmtId="0" fontId="36" fillId="52" borderId="27" xfId="0" applyFont="1" applyFill="1" applyBorder="1" applyAlignment="1">
      <alignment horizontal="center"/>
    </xf>
    <xf numFmtId="0" fontId="36" fillId="52" borderId="61" xfId="16" applyFont="1" applyFill="1" applyBorder="1"/>
    <xf numFmtId="0" fontId="41" fillId="51" borderId="8" xfId="0" applyFont="1" applyFill="1" applyBorder="1" applyAlignment="1">
      <alignment horizontal="center" vertical="center"/>
    </xf>
    <xf numFmtId="0" fontId="34" fillId="51" borderId="8" xfId="0" applyFont="1" applyFill="1" applyBorder="1" applyAlignment="1">
      <alignment horizontal="center" vertical="center"/>
    </xf>
    <xf numFmtId="0" fontId="41" fillId="51" borderId="8" xfId="19" applyFont="1" applyFill="1" applyBorder="1" applyAlignment="1">
      <alignment horizontal="center"/>
    </xf>
    <xf numFmtId="0" fontId="34" fillId="51" borderId="8" xfId="19" applyFont="1" applyFill="1" applyBorder="1" applyAlignment="1">
      <alignment horizontal="center"/>
    </xf>
    <xf numFmtId="0" fontId="42" fillId="51" borderId="0" xfId="0" applyFont="1" applyFill="1"/>
    <xf numFmtId="0" fontId="41" fillId="51" borderId="8" xfId="0" applyFont="1" applyFill="1" applyBorder="1" applyAlignment="1">
      <alignment horizontal="center"/>
    </xf>
    <xf numFmtId="0" fontId="41" fillId="51" borderId="8" xfId="0" applyFont="1" applyFill="1" applyBorder="1" applyAlignment="1">
      <alignment horizontal="right"/>
    </xf>
    <xf numFmtId="0" fontId="42" fillId="51" borderId="0" xfId="19" applyFont="1" applyFill="1"/>
    <xf numFmtId="0" fontId="34" fillId="51" borderId="8" xfId="0" applyFont="1" applyFill="1" applyBorder="1" applyAlignment="1">
      <alignment horizontal="center"/>
    </xf>
    <xf numFmtId="10" fontId="34" fillId="51" borderId="0" xfId="1" applyNumberFormat="1" applyFont="1" applyFill="1"/>
    <xf numFmtId="1" fontId="34" fillId="51" borderId="0" xfId="0" applyNumberFormat="1" applyFont="1" applyFill="1"/>
    <xf numFmtId="0" fontId="33" fillId="51" borderId="0" xfId="0" applyFont="1" applyFill="1"/>
    <xf numFmtId="175" fontId="34" fillId="51" borderId="0" xfId="1" applyNumberFormat="1" applyFont="1" applyFill="1"/>
    <xf numFmtId="0" fontId="34" fillId="51" borderId="0" xfId="19" applyFont="1" applyFill="1"/>
    <xf numFmtId="179" fontId="34" fillId="51" borderId="45" xfId="19" applyNumberFormat="1" applyFont="1" applyFill="1" applyBorder="1" applyAlignment="1">
      <alignment horizontal="center" vertical="center"/>
    </xf>
    <xf numFmtId="0" fontId="11" fillId="53" borderId="0" xfId="0" applyFont="1" applyFill="1"/>
    <xf numFmtId="0" fontId="11" fillId="53" borderId="0" xfId="0" applyFont="1" applyFill="1" applyAlignment="1">
      <alignment horizontal="center"/>
    </xf>
    <xf numFmtId="9" fontId="11" fillId="53" borderId="0" xfId="1" applyFont="1" applyFill="1"/>
    <xf numFmtId="0" fontId="34" fillId="53" borderId="0" xfId="22" applyFont="1" applyFill="1" applyAlignment="1">
      <alignment horizontal="center" vertical="center"/>
    </xf>
    <xf numFmtId="0" fontId="34" fillId="53" borderId="0" xfId="22" applyFont="1" applyFill="1"/>
    <xf numFmtId="2" fontId="11" fillId="53" borderId="0" xfId="0" applyNumberFormat="1" applyFont="1" applyFill="1"/>
    <xf numFmtId="0" fontId="11" fillId="53" borderId="0" xfId="0" applyFont="1" applyFill="1" applyAlignment="1">
      <alignment horizontal="center" wrapText="1"/>
    </xf>
    <xf numFmtId="0" fontId="34" fillId="10" borderId="0" xfId="0" applyFont="1" applyFill="1"/>
    <xf numFmtId="0" fontId="34" fillId="10" borderId="0" xfId="20" applyFont="1" applyFill="1"/>
    <xf numFmtId="216" fontId="41" fillId="10" borderId="49" xfId="10" applyNumberFormat="1" applyFont="1" applyFill="1" applyBorder="1" applyAlignment="1">
      <alignment horizontal="center"/>
    </xf>
    <xf numFmtId="0" fontId="117" fillId="10" borderId="0" xfId="0" applyFont="1" applyFill="1"/>
    <xf numFmtId="180" fontId="41" fillId="10" borderId="0" xfId="10" applyNumberFormat="1" applyFont="1" applyFill="1" applyBorder="1" applyAlignment="1">
      <alignment horizontal="center" vertical="center"/>
    </xf>
    <xf numFmtId="0" fontId="41" fillId="10" borderId="0" xfId="0" applyFont="1" applyFill="1"/>
    <xf numFmtId="0" fontId="113" fillId="10" borderId="0" xfId="0" applyFont="1" applyFill="1"/>
    <xf numFmtId="181" fontId="41" fillId="10" borderId="45" xfId="10" applyNumberFormat="1" applyFont="1" applyFill="1" applyAlignment="1">
      <alignment horizontal="center" vertical="center"/>
    </xf>
    <xf numFmtId="0" fontId="34" fillId="10" borderId="0" xfId="0" applyFont="1" applyFill="1" applyAlignment="1">
      <alignment horizontal="center"/>
    </xf>
    <xf numFmtId="9" fontId="34" fillId="10" borderId="0" xfId="1" applyFont="1" applyFill="1" applyAlignment="1">
      <alignment horizontal="center"/>
    </xf>
    <xf numFmtId="217" fontId="41" fillId="10" borderId="49" xfId="10" applyNumberFormat="1" applyFont="1" applyFill="1" applyBorder="1" applyAlignment="1">
      <alignment horizontal="center"/>
    </xf>
    <xf numFmtId="182" fontId="41" fillId="10" borderId="0" xfId="10" applyNumberFormat="1" applyFont="1" applyFill="1" applyBorder="1" applyAlignment="1">
      <alignment horizontal="center" vertical="center"/>
    </xf>
    <xf numFmtId="0" fontId="41" fillId="10" borderId="0" xfId="10" applyFont="1" applyFill="1" applyBorder="1" applyAlignment="1">
      <alignment horizontal="center" vertical="center"/>
    </xf>
    <xf numFmtId="9" fontId="41" fillId="10" borderId="0" xfId="10" applyNumberFormat="1" applyFont="1" applyFill="1" applyBorder="1" applyAlignment="1">
      <alignment horizontal="center" vertical="center"/>
    </xf>
    <xf numFmtId="0" fontId="34" fillId="10" borderId="0" xfId="0" quotePrefix="1" applyFont="1" applyFill="1"/>
    <xf numFmtId="0" fontId="34" fillId="10" borderId="0" xfId="0" applyFont="1" applyFill="1" applyAlignment="1">
      <alignment horizontal="center" vertical="center"/>
    </xf>
    <xf numFmtId="0" fontId="34" fillId="10" borderId="0" xfId="0" applyFont="1" applyFill="1" applyAlignment="1">
      <alignment horizontal="center" wrapText="1"/>
    </xf>
    <xf numFmtId="0" fontId="37" fillId="10" borderId="0" xfId="0" applyFont="1" applyFill="1" applyAlignment="1">
      <alignment vertical="center"/>
    </xf>
    <xf numFmtId="0" fontId="42" fillId="10" borderId="0" xfId="11" applyFont="1" applyFill="1"/>
    <xf numFmtId="0" fontId="37" fillId="10" borderId="0" xfId="0" applyFont="1" applyFill="1" applyAlignment="1">
      <alignment horizontal="center" vertical="center"/>
    </xf>
    <xf numFmtId="179" fontId="134" fillId="51" borderId="8" xfId="0" applyNumberFormat="1" applyFont="1" applyFill="1" applyBorder="1" applyAlignment="1">
      <alignment horizontal="center" vertical="center"/>
    </xf>
    <xf numFmtId="0" fontId="31" fillId="34" borderId="97" xfId="0" applyFont="1" applyFill="1" applyBorder="1" applyAlignment="1">
      <alignment horizontal="left" vertical="center" wrapText="1" readingOrder="1"/>
    </xf>
    <xf numFmtId="178" fontId="31" fillId="34" borderId="98" xfId="0" applyNumberFormat="1" applyFont="1" applyFill="1" applyBorder="1" applyAlignment="1">
      <alignment horizontal="center" vertical="center" wrapText="1" readingOrder="1"/>
    </xf>
    <xf numFmtId="178" fontId="31" fillId="34" borderId="99" xfId="0" applyNumberFormat="1" applyFont="1" applyFill="1" applyBorder="1" applyAlignment="1">
      <alignment horizontal="center" vertical="center" wrapText="1" readingOrder="1"/>
    </xf>
    <xf numFmtId="0" fontId="25" fillId="34" borderId="0" xfId="0" applyFont="1" applyFill="1" applyAlignment="1">
      <alignment horizontal="center"/>
    </xf>
    <xf numFmtId="0" fontId="58" fillId="34" borderId="97" xfId="0" applyFont="1" applyFill="1" applyBorder="1" applyAlignment="1">
      <alignment horizontal="left" vertical="center" wrapText="1" readingOrder="1"/>
    </xf>
    <xf numFmtId="178" fontId="32" fillId="0" borderId="98" xfId="0" applyNumberFormat="1" applyFont="1" applyBorder="1" applyAlignment="1">
      <alignment horizontal="right" vertical="center" wrapText="1" readingOrder="1"/>
    </xf>
    <xf numFmtId="178" fontId="32" fillId="0" borderId="99" xfId="0" applyNumberFormat="1" applyFont="1" applyBorder="1" applyAlignment="1">
      <alignment horizontal="right" vertical="center" wrapText="1" readingOrder="1"/>
    </xf>
    <xf numFmtId="0" fontId="55" fillId="23" borderId="63" xfId="0" applyFont="1" applyFill="1" applyBorder="1"/>
    <xf numFmtId="3" fontId="32" fillId="0" borderId="88" xfId="0" applyNumberFormat="1" applyFont="1" applyBorder="1" applyAlignment="1">
      <alignment horizontal="center" vertical="center" wrapText="1" readingOrder="1"/>
    </xf>
    <xf numFmtId="3" fontId="32" fillId="0" borderId="94" xfId="0" applyNumberFormat="1" applyFont="1" applyBorder="1" applyAlignment="1">
      <alignment horizontal="center" vertical="center" wrapText="1" readingOrder="1"/>
    </xf>
    <xf numFmtId="3" fontId="32" fillId="0" borderId="89" xfId="0" applyNumberFormat="1" applyFont="1" applyBorder="1" applyAlignment="1">
      <alignment horizontal="center" vertical="center" wrapText="1" readingOrder="1"/>
    </xf>
    <xf numFmtId="3" fontId="32" fillId="0" borderId="96" xfId="0" applyNumberFormat="1" applyFont="1" applyBorder="1" applyAlignment="1">
      <alignment horizontal="center" vertical="center" wrapText="1" readingOrder="1"/>
    </xf>
    <xf numFmtId="3" fontId="32" fillId="0" borderId="124" xfId="0" applyNumberFormat="1" applyFont="1" applyBorder="1" applyAlignment="1">
      <alignment horizontal="center" vertical="center" wrapText="1" readingOrder="1"/>
    </xf>
    <xf numFmtId="3" fontId="122" fillId="0" borderId="126" xfId="0" applyNumberFormat="1" applyFont="1" applyBorder="1" applyAlignment="1">
      <alignment horizontal="right" vertical="center" wrapText="1" readingOrder="1"/>
    </xf>
    <xf numFmtId="3" fontId="122" fillId="0" borderId="127" xfId="0" applyNumberFormat="1" applyFont="1" applyBorder="1" applyAlignment="1">
      <alignment horizontal="right" vertical="center" wrapText="1" readingOrder="1"/>
    </xf>
    <xf numFmtId="3" fontId="122" fillId="0" borderId="128" xfId="0" applyNumberFormat="1" applyFont="1" applyBorder="1" applyAlignment="1">
      <alignment horizontal="right" vertical="center" wrapText="1" readingOrder="1"/>
    </xf>
    <xf numFmtId="3" fontId="122" fillId="0" borderId="97" xfId="0" applyNumberFormat="1" applyFont="1" applyBorder="1" applyAlignment="1">
      <alignment horizontal="right" vertical="center" wrapText="1" readingOrder="1"/>
    </xf>
    <xf numFmtId="3" fontId="122" fillId="0" borderId="98" xfId="0" applyNumberFormat="1" applyFont="1" applyBorder="1" applyAlignment="1">
      <alignment horizontal="right" vertical="center" wrapText="1" readingOrder="1"/>
    </xf>
    <xf numFmtId="3" fontId="122" fillId="0" borderId="99" xfId="0" applyNumberFormat="1" applyFont="1" applyBorder="1" applyAlignment="1">
      <alignment horizontal="right" vertical="center" wrapText="1" readingOrder="1"/>
    </xf>
    <xf numFmtId="3" fontId="32" fillId="0" borderId="125" xfId="0" applyNumberFormat="1" applyFont="1" applyBorder="1" applyAlignment="1">
      <alignment horizontal="center" vertical="center" wrapText="1" readingOrder="1"/>
    </xf>
    <xf numFmtId="3" fontId="32" fillId="33" borderId="89" xfId="0" applyNumberFormat="1" applyFont="1" applyFill="1" applyBorder="1" applyAlignment="1">
      <alignment horizontal="center" vertical="center" wrapText="1" readingOrder="1"/>
    </xf>
    <xf numFmtId="3" fontId="32" fillId="33" borderId="96" xfId="0" applyNumberFormat="1" applyFont="1" applyFill="1" applyBorder="1" applyAlignment="1">
      <alignment horizontal="center" vertical="center" wrapText="1" readingOrder="1"/>
    </xf>
    <xf numFmtId="3" fontId="32" fillId="33" borderId="98" xfId="0" applyNumberFormat="1" applyFont="1" applyFill="1" applyBorder="1" applyAlignment="1">
      <alignment horizontal="center" vertical="center" wrapText="1" readingOrder="1"/>
    </xf>
    <xf numFmtId="3" fontId="32" fillId="33" borderId="99" xfId="0" applyNumberFormat="1" applyFont="1" applyFill="1" applyBorder="1" applyAlignment="1">
      <alignment horizontal="center" vertical="center" wrapText="1" readingOrder="1"/>
    </xf>
    <xf numFmtId="3" fontId="32" fillId="3" borderId="1" xfId="6" applyNumberFormat="1" applyFont="1" applyFill="1" applyBorder="1" applyAlignment="1">
      <alignment horizontal="center" vertical="center" wrapText="1" readingOrder="1"/>
    </xf>
    <xf numFmtId="3" fontId="122" fillId="0" borderId="89" xfId="0" applyNumberFormat="1" applyFont="1" applyBorder="1" applyAlignment="1">
      <alignment horizontal="right" vertical="center" wrapText="1" readingOrder="1"/>
    </xf>
    <xf numFmtId="3" fontId="32" fillId="0" borderId="0" xfId="0" applyNumberFormat="1" applyFont="1" applyAlignment="1">
      <alignment horizontal="center" vertical="center" wrapText="1" readingOrder="1"/>
    </xf>
    <xf numFmtId="3" fontId="31" fillId="0" borderId="89" xfId="0" applyNumberFormat="1" applyFont="1" applyBorder="1" applyAlignment="1">
      <alignment horizontal="center" vertical="center" wrapText="1" readingOrder="1"/>
    </xf>
    <xf numFmtId="3" fontId="31" fillId="0" borderId="96" xfId="0" applyNumberFormat="1" applyFont="1" applyBorder="1" applyAlignment="1">
      <alignment horizontal="center" vertical="center" wrapText="1" readingOrder="1"/>
    </xf>
    <xf numFmtId="3" fontId="31" fillId="33" borderId="98" xfId="0" applyNumberFormat="1" applyFont="1" applyFill="1" applyBorder="1" applyAlignment="1">
      <alignment horizontal="center" vertical="center" wrapText="1" readingOrder="1"/>
    </xf>
    <xf numFmtId="3" fontId="31" fillId="33" borderId="99" xfId="0" applyNumberFormat="1" applyFont="1" applyFill="1" applyBorder="1" applyAlignment="1">
      <alignment horizontal="center" vertical="center" wrapText="1" readingOrder="1"/>
    </xf>
    <xf numFmtId="3" fontId="32" fillId="33" borderId="89" xfId="0" applyNumberFormat="1" applyFont="1" applyFill="1" applyBorder="1" applyAlignment="1">
      <alignment horizontal="right" vertical="center" wrapText="1" readingOrder="1"/>
    </xf>
    <xf numFmtId="3" fontId="32" fillId="33" borderId="96" xfId="0" applyNumberFormat="1" applyFont="1" applyFill="1" applyBorder="1" applyAlignment="1">
      <alignment horizontal="right" vertical="center" wrapText="1" readingOrder="1"/>
    </xf>
    <xf numFmtId="3" fontId="32" fillId="33" borderId="98" xfId="0" applyNumberFormat="1" applyFont="1" applyFill="1" applyBorder="1" applyAlignment="1">
      <alignment horizontal="right" vertical="center" wrapText="1" readingOrder="1"/>
    </xf>
    <xf numFmtId="3" fontId="32" fillId="33" borderId="99" xfId="0" applyNumberFormat="1" applyFont="1" applyFill="1" applyBorder="1" applyAlignment="1">
      <alignment horizontal="right" vertical="center" wrapText="1" readingOrder="1"/>
    </xf>
    <xf numFmtId="3" fontId="32" fillId="33" borderId="124" xfId="0" applyNumberFormat="1" applyFont="1" applyFill="1" applyBorder="1" applyAlignment="1">
      <alignment horizontal="right" vertical="center" wrapText="1" readingOrder="1"/>
    </xf>
    <xf numFmtId="3" fontId="122" fillId="0" borderId="95" xfId="0" applyNumberFormat="1" applyFont="1" applyBorder="1" applyAlignment="1">
      <alignment horizontal="right" vertical="center" wrapText="1" readingOrder="1"/>
    </xf>
    <xf numFmtId="3" fontId="122" fillId="0" borderId="96" xfId="0" applyNumberFormat="1" applyFont="1" applyBorder="1" applyAlignment="1">
      <alignment horizontal="right" vertical="center" wrapText="1" readingOrder="1"/>
    </xf>
    <xf numFmtId="3" fontId="122" fillId="0" borderId="0" xfId="0" applyNumberFormat="1" applyFont="1" applyAlignment="1">
      <alignment horizontal="right" vertical="center" wrapText="1" readingOrder="1"/>
    </xf>
    <xf numFmtId="1" fontId="26" fillId="28" borderId="0" xfId="0" applyNumberFormat="1" applyFont="1" applyFill="1"/>
    <xf numFmtId="0" fontId="5" fillId="26" borderId="27" xfId="18" applyFont="1" applyBorder="1" applyAlignment="1"/>
    <xf numFmtId="10" fontId="3" fillId="26" borderId="16" xfId="18" applyNumberFormat="1" applyFont="1" applyBorder="1"/>
    <xf numFmtId="1" fontId="3" fillId="26" borderId="58" xfId="18" applyNumberFormat="1" applyFont="1" applyBorder="1"/>
    <xf numFmtId="10" fontId="3" fillId="26" borderId="66" xfId="18" applyNumberFormat="1" applyFont="1" applyBorder="1"/>
    <xf numFmtId="1" fontId="3" fillId="26" borderId="57" xfId="18" applyNumberFormat="1" applyFont="1" applyBorder="1"/>
    <xf numFmtId="175" fontId="20" fillId="34" borderId="0" xfId="1" applyNumberFormat="1" applyFont="1" applyFill="1"/>
    <xf numFmtId="2" fontId="105" fillId="0" borderId="0" xfId="0" applyNumberFormat="1" applyFont="1"/>
    <xf numFmtId="0" fontId="0" fillId="0" borderId="25" xfId="0" applyBorder="1" applyAlignment="1">
      <alignment horizontal="center"/>
    </xf>
    <xf numFmtId="2" fontId="105" fillId="0" borderId="62" xfId="0" applyNumberFormat="1" applyFont="1" applyBorder="1"/>
    <xf numFmtId="2" fontId="105" fillId="0" borderId="26" xfId="0" applyNumberFormat="1" applyFont="1" applyBorder="1" applyAlignment="1">
      <alignment horizontal="center"/>
    </xf>
    <xf numFmtId="0" fontId="0" fillId="0" borderId="10" xfId="0" applyBorder="1" applyAlignment="1">
      <alignment horizontal="center"/>
    </xf>
    <xf numFmtId="2" fontId="105" fillId="0" borderId="11" xfId="0" applyNumberFormat="1" applyFont="1" applyBorder="1" applyAlignment="1">
      <alignment horizontal="center"/>
    </xf>
    <xf numFmtId="0" fontId="0" fillId="0" borderId="12" xfId="0" applyBorder="1" applyAlignment="1">
      <alignment horizontal="center"/>
    </xf>
    <xf numFmtId="2" fontId="105" fillId="0" borderId="61" xfId="0" applyNumberFormat="1" applyFont="1" applyBorder="1"/>
    <xf numFmtId="2" fontId="105" fillId="0" borderId="13" xfId="0" applyNumberFormat="1" applyFont="1" applyBorder="1" applyAlignment="1">
      <alignment horizontal="center"/>
    </xf>
    <xf numFmtId="9" fontId="111" fillId="0" borderId="122" xfId="1" applyFont="1" applyBorder="1" applyAlignment="1">
      <alignment horizontal="left" vertical="center" wrapText="1" readingOrder="1"/>
    </xf>
    <xf numFmtId="2" fontId="17" fillId="0" borderId="0" xfId="0" applyNumberFormat="1" applyFont="1" applyAlignment="1">
      <alignment horizontal="right" vertical="center" wrapText="1" readingOrder="1"/>
    </xf>
    <xf numFmtId="2" fontId="135" fillId="0" borderId="106" xfId="0" applyNumberFormat="1" applyFont="1" applyBorder="1" applyAlignment="1">
      <alignment horizontal="right" vertical="center" wrapText="1" readingOrder="1"/>
    </xf>
    <xf numFmtId="0" fontId="136" fillId="3" borderId="107" xfId="0" applyFont="1" applyFill="1" applyBorder="1" applyAlignment="1">
      <alignment horizontal="right" vertical="center" wrapText="1" readingOrder="1"/>
    </xf>
    <xf numFmtId="186" fontId="137" fillId="0" borderId="0" xfId="0" applyNumberFormat="1" applyFont="1" applyAlignment="1">
      <alignment horizontal="right" vertical="center"/>
    </xf>
    <xf numFmtId="0" fontId="137" fillId="0" borderId="0" xfId="0" applyFont="1" applyAlignment="1">
      <alignment horizontal="right" vertical="center" wrapText="1" readingOrder="1"/>
    </xf>
    <xf numFmtId="181" fontId="137" fillId="0" borderId="0" xfId="10" applyNumberFormat="1" applyFont="1" applyFill="1" applyBorder="1" applyAlignment="1">
      <alignment horizontal="right" vertical="center"/>
    </xf>
    <xf numFmtId="177" fontId="137" fillId="0" borderId="0" xfId="2" applyNumberFormat="1" applyFont="1" applyAlignment="1">
      <alignment horizontal="right" vertical="center" wrapText="1" readingOrder="1"/>
    </xf>
    <xf numFmtId="177" fontId="137" fillId="0" borderId="0" xfId="2" applyNumberFormat="1" applyFont="1" applyFill="1" applyAlignment="1">
      <alignment horizontal="right" vertical="center" wrapText="1" readingOrder="1"/>
    </xf>
    <xf numFmtId="217" fontId="137" fillId="0" borderId="0" xfId="10" applyNumberFormat="1" applyFont="1" applyFill="1" applyBorder="1" applyAlignment="1">
      <alignment horizontal="right" vertical="center"/>
    </xf>
    <xf numFmtId="181" fontId="137" fillId="0" borderId="0" xfId="10" applyNumberFormat="1" applyFont="1" applyFill="1" applyBorder="1" applyAlignment="1">
      <alignment horizontal="left" vertical="center"/>
    </xf>
    <xf numFmtId="181" fontId="138" fillId="0" borderId="0" xfId="10" applyNumberFormat="1" applyFont="1" applyFill="1" applyBorder="1" applyAlignment="1">
      <alignment horizontal="left" vertical="center"/>
    </xf>
    <xf numFmtId="6" fontId="139" fillId="0" borderId="0" xfId="0" applyNumberFormat="1" applyFont="1" applyAlignment="1">
      <alignment horizontal="right" vertical="center" wrapText="1" readingOrder="1"/>
    </xf>
    <xf numFmtId="9" fontId="139" fillId="0" borderId="0" xfId="0" applyNumberFormat="1" applyFont="1" applyAlignment="1">
      <alignment horizontal="right" vertical="center" wrapText="1" readingOrder="1"/>
    </xf>
    <xf numFmtId="8" fontId="139" fillId="0" borderId="0" xfId="0" applyNumberFormat="1" applyFont="1" applyAlignment="1">
      <alignment horizontal="right" vertical="center" wrapText="1" readingOrder="1"/>
    </xf>
    <xf numFmtId="2" fontId="140" fillId="0" borderId="0" xfId="0" applyNumberFormat="1" applyFont="1" applyAlignment="1">
      <alignment horizontal="right" vertical="center" wrapText="1" readingOrder="1"/>
    </xf>
    <xf numFmtId="1" fontId="140" fillId="0" borderId="0" xfId="0" applyNumberFormat="1" applyFont="1" applyAlignment="1">
      <alignment horizontal="right" vertical="center" wrapText="1" readingOrder="1"/>
    </xf>
    <xf numFmtId="0" fontId="5" fillId="0" borderId="0" xfId="0" applyFont="1" applyAlignment="1">
      <alignment vertical="center"/>
    </xf>
    <xf numFmtId="0" fontId="58" fillId="34" borderId="0" xfId="0" applyFont="1" applyFill="1" applyAlignment="1">
      <alignment horizontal="left" vertical="center" wrapText="1" readingOrder="1"/>
    </xf>
    <xf numFmtId="0" fontId="20" fillId="9" borderId="0" xfId="0" applyFont="1" applyFill="1" applyAlignment="1">
      <alignment horizontal="center"/>
    </xf>
    <xf numFmtId="171" fontId="20" fillId="9" borderId="0" xfId="6" applyFont="1" applyFill="1"/>
    <xf numFmtId="0" fontId="22" fillId="9" borderId="0" xfId="0" applyFont="1" applyFill="1"/>
    <xf numFmtId="0" fontId="21" fillId="9" borderId="0" xfId="0" applyFont="1" applyFill="1"/>
    <xf numFmtId="176" fontId="21" fillId="9" borderId="61" xfId="0" applyNumberFormat="1" applyFont="1" applyFill="1" applyBorder="1"/>
    <xf numFmtId="0" fontId="26" fillId="9" borderId="0" xfId="0" applyFont="1" applyFill="1" applyAlignment="1">
      <alignment horizontal="center"/>
    </xf>
    <xf numFmtId="0" fontId="56" fillId="34" borderId="92" xfId="0" applyFont="1" applyFill="1" applyBorder="1" applyAlignment="1">
      <alignment horizontal="center" vertical="center" wrapText="1" readingOrder="1"/>
    </xf>
    <xf numFmtId="0" fontId="57" fillId="9" borderId="0" xfId="0" applyFont="1" applyFill="1"/>
    <xf numFmtId="1" fontId="32" fillId="33" borderId="89" xfId="0" applyNumberFormat="1" applyFont="1" applyFill="1" applyBorder="1" applyAlignment="1">
      <alignment horizontal="right" vertical="center" wrapText="1" readingOrder="1"/>
    </xf>
    <xf numFmtId="1" fontId="32" fillId="33" borderId="98" xfId="0" applyNumberFormat="1" applyFont="1" applyFill="1" applyBorder="1" applyAlignment="1">
      <alignment horizontal="right" vertical="center" wrapText="1" readingOrder="1"/>
    </xf>
    <xf numFmtId="178" fontId="32" fillId="3" borderId="89" xfId="0" applyNumberFormat="1" applyFont="1" applyFill="1" applyBorder="1" applyAlignment="1">
      <alignment horizontal="right" vertical="center" wrapText="1" readingOrder="1"/>
    </xf>
    <xf numFmtId="176" fontId="21" fillId="9" borderId="0" xfId="0" applyNumberFormat="1" applyFont="1" applyFill="1"/>
    <xf numFmtId="0" fontId="20" fillId="9" borderId="0" xfId="0" applyFont="1" applyFill="1"/>
    <xf numFmtId="9" fontId="21" fillId="9" borderId="0" xfId="0" applyNumberFormat="1" applyFont="1" applyFill="1" applyAlignment="1">
      <alignment horizontal="center"/>
    </xf>
    <xf numFmtId="0" fontId="130" fillId="9" borderId="0" xfId="0" applyFont="1" applyFill="1" applyAlignment="1">
      <alignment horizontal="center"/>
    </xf>
    <xf numFmtId="10" fontId="21" fillId="9" borderId="0" xfId="0" applyNumberFormat="1" applyFont="1" applyFill="1" applyAlignment="1">
      <alignment horizontal="center"/>
    </xf>
    <xf numFmtId="190" fontId="3" fillId="3" borderId="0" xfId="0" applyNumberFormat="1" applyFont="1" applyFill="1"/>
    <xf numFmtId="0" fontId="141" fillId="0" borderId="0" xfId="0" applyFont="1"/>
    <xf numFmtId="0" fontId="142" fillId="0" borderId="0" xfId="0" applyFont="1"/>
    <xf numFmtId="0" fontId="143" fillId="0" borderId="0" xfId="0" applyFont="1"/>
    <xf numFmtId="0" fontId="142" fillId="0" borderId="61" xfId="0" applyFont="1" applyBorder="1"/>
    <xf numFmtId="171" fontId="144" fillId="0" borderId="13" xfId="0" applyNumberFormat="1" applyFont="1" applyBorder="1"/>
    <xf numFmtId="9" fontId="143" fillId="0" borderId="61" xfId="0" applyNumberFormat="1" applyFont="1" applyBorder="1"/>
    <xf numFmtId="9" fontId="143" fillId="0" borderId="11" xfId="0" applyNumberFormat="1" applyFont="1" applyBorder="1"/>
    <xf numFmtId="218" fontId="142" fillId="0" borderId="0" xfId="6" applyNumberFormat="1" applyFont="1"/>
    <xf numFmtId="9" fontId="142" fillId="0" borderId="11" xfId="0" applyNumberFormat="1" applyFont="1" applyBorder="1"/>
    <xf numFmtId="10" fontId="144" fillId="0" borderId="13" xfId="0" applyNumberFormat="1" applyFont="1" applyBorder="1"/>
    <xf numFmtId="173" fontId="142" fillId="0" borderId="0" xfId="1" applyNumberFormat="1" applyFont="1"/>
    <xf numFmtId="9" fontId="142" fillId="0" borderId="0" xfId="1" applyFont="1"/>
    <xf numFmtId="0" fontId="145" fillId="5" borderId="48" xfId="0" applyFont="1" applyFill="1" applyBorder="1"/>
    <xf numFmtId="0" fontId="145" fillId="5" borderId="46" xfId="0" applyFont="1" applyFill="1" applyBorder="1"/>
    <xf numFmtId="218" fontId="146" fillId="5" borderId="46" xfId="6" applyNumberFormat="1" applyFont="1" applyFill="1" applyBorder="1"/>
    <xf numFmtId="171" fontId="142" fillId="0" borderId="0" xfId="0" applyNumberFormat="1" applyFont="1"/>
    <xf numFmtId="9" fontId="146" fillId="5" borderId="8" xfId="1" applyFont="1" applyFill="1" applyBorder="1"/>
    <xf numFmtId="0" fontId="145" fillId="0" borderId="48" xfId="0" applyFont="1" applyBorder="1"/>
    <xf numFmtId="0" fontId="145" fillId="0" borderId="52" xfId="0" applyFont="1" applyBorder="1"/>
    <xf numFmtId="16" fontId="145" fillId="0" borderId="46" xfId="0" quotePrefix="1" applyNumberFormat="1" applyFont="1" applyBorder="1" applyAlignment="1">
      <alignment horizontal="center"/>
    </xf>
    <xf numFmtId="0" fontId="146" fillId="0" borderId="0" xfId="0" applyFont="1"/>
    <xf numFmtId="16" fontId="145" fillId="0" borderId="8" xfId="0" quotePrefix="1" applyNumberFormat="1" applyFont="1" applyBorder="1" applyAlignment="1">
      <alignment horizontal="center"/>
    </xf>
    <xf numFmtId="0" fontId="146" fillId="0" borderId="10" xfId="0" applyFont="1" applyBorder="1"/>
    <xf numFmtId="172" fontId="146" fillId="0" borderId="0" xfId="0" applyNumberFormat="1" applyFont="1"/>
    <xf numFmtId="0" fontId="146" fillId="0" borderId="11" xfId="0" applyFont="1" applyBorder="1"/>
    <xf numFmtId="0" fontId="146" fillId="0" borderId="20" xfId="0" applyFont="1" applyBorder="1"/>
    <xf numFmtId="0" fontId="145" fillId="0" borderId="10" xfId="0" applyFont="1" applyBorder="1"/>
    <xf numFmtId="0" fontId="145" fillId="0" borderId="0" xfId="0" applyFont="1"/>
    <xf numFmtId="177" fontId="146" fillId="0" borderId="0" xfId="7" applyNumberFormat="1" applyFont="1" applyBorder="1"/>
    <xf numFmtId="177" fontId="146" fillId="0" borderId="11" xfId="7" applyNumberFormat="1" applyFont="1" applyBorder="1"/>
    <xf numFmtId="177" fontId="146" fillId="0" borderId="20" xfId="7" applyNumberFormat="1" applyFont="1" applyBorder="1"/>
    <xf numFmtId="9" fontId="146" fillId="0" borderId="0" xfId="1" applyFont="1" applyBorder="1"/>
    <xf numFmtId="171" fontId="146" fillId="0" borderId="0" xfId="6" applyFont="1" applyBorder="1"/>
    <xf numFmtId="171" fontId="146" fillId="0" borderId="11" xfId="6" applyFont="1" applyBorder="1"/>
    <xf numFmtId="171" fontId="146" fillId="0" borderId="20" xfId="6" applyFont="1" applyBorder="1"/>
    <xf numFmtId="9" fontId="146" fillId="7" borderId="0" xfId="0" applyNumberFormat="1" applyFont="1" applyFill="1"/>
    <xf numFmtId="9" fontId="146" fillId="0" borderId="0" xfId="0" applyNumberFormat="1" applyFont="1"/>
    <xf numFmtId="9" fontId="146" fillId="0" borderId="11" xfId="0" applyNumberFormat="1" applyFont="1" applyBorder="1"/>
    <xf numFmtId="9" fontId="146" fillId="0" borderId="20" xfId="0" applyNumberFormat="1" applyFont="1" applyBorder="1"/>
    <xf numFmtId="218" fontId="146" fillId="0" borderId="0" xfId="6" applyNumberFormat="1" applyFont="1" applyBorder="1"/>
    <xf numFmtId="218" fontId="146" fillId="0" borderId="20" xfId="6" applyNumberFormat="1" applyFont="1" applyBorder="1"/>
    <xf numFmtId="10" fontId="146" fillId="0" borderId="0" xfId="1" applyNumberFormat="1" applyFont="1" applyBorder="1"/>
    <xf numFmtId="218" fontId="146" fillId="0" borderId="11" xfId="0" applyNumberFormat="1" applyFont="1" applyBorder="1"/>
    <xf numFmtId="218" fontId="146" fillId="0" borderId="20" xfId="0" applyNumberFormat="1" applyFont="1" applyBorder="1"/>
    <xf numFmtId="0" fontId="145" fillId="0" borderId="12" xfId="0" applyFont="1" applyBorder="1"/>
    <xf numFmtId="0" fontId="145" fillId="0" borderId="61" xfId="0" applyFont="1" applyBorder="1"/>
    <xf numFmtId="0" fontId="146" fillId="0" borderId="61" xfId="0" applyFont="1" applyBorder="1"/>
    <xf numFmtId="10" fontId="146" fillId="7" borderId="61" xfId="0" applyNumberFormat="1" applyFont="1" applyFill="1" applyBorder="1"/>
    <xf numFmtId="9" fontId="146" fillId="0" borderId="61" xfId="0" applyNumberFormat="1" applyFont="1" applyBorder="1"/>
    <xf numFmtId="9" fontId="146" fillId="0" borderId="13" xfId="0" applyNumberFormat="1" applyFont="1" applyBorder="1"/>
    <xf numFmtId="9" fontId="146" fillId="0" borderId="56" xfId="0" applyNumberFormat="1" applyFont="1" applyBorder="1"/>
    <xf numFmtId="218" fontId="142" fillId="0" borderId="0" xfId="0" applyNumberFormat="1" applyFont="1"/>
    <xf numFmtId="0" fontId="145" fillId="5" borderId="8" xfId="0" applyFont="1" applyFill="1" applyBorder="1" applyAlignment="1">
      <alignment horizontal="center"/>
    </xf>
    <xf numFmtId="171" fontId="146" fillId="0" borderId="0" xfId="0" applyNumberFormat="1" applyFont="1"/>
    <xf numFmtId="218" fontId="146" fillId="5" borderId="8" xfId="6" applyNumberFormat="1" applyFont="1" applyFill="1" applyBorder="1" applyAlignment="1">
      <alignment horizontal="center"/>
    </xf>
    <xf numFmtId="0" fontId="145" fillId="11" borderId="1" xfId="0" applyFont="1" applyFill="1" applyBorder="1"/>
    <xf numFmtId="0" fontId="145" fillId="11" borderId="5" xfId="0" applyFont="1" applyFill="1" applyBorder="1"/>
    <xf numFmtId="16" fontId="145" fillId="11" borderId="5" xfId="0" quotePrefix="1" applyNumberFormat="1" applyFont="1" applyFill="1" applyBorder="1" applyAlignment="1">
      <alignment horizontal="center"/>
    </xf>
    <xf numFmtId="0" fontId="145" fillId="11" borderId="2" xfId="0" applyFont="1" applyFill="1" applyBorder="1" applyAlignment="1">
      <alignment horizontal="center"/>
    </xf>
    <xf numFmtId="16" fontId="145" fillId="11" borderId="27" xfId="0" quotePrefix="1" applyNumberFormat="1" applyFont="1" applyFill="1" applyBorder="1" applyAlignment="1">
      <alignment horizontal="center"/>
    </xf>
    <xf numFmtId="0" fontId="146" fillId="6" borderId="6" xfId="0" applyFont="1" applyFill="1" applyBorder="1"/>
    <xf numFmtId="0" fontId="146" fillId="6" borderId="0" xfId="0" applyFont="1" applyFill="1"/>
    <xf numFmtId="0" fontId="146" fillId="6" borderId="29" xfId="0" applyFont="1" applyFill="1" applyBorder="1"/>
    <xf numFmtId="0" fontId="146" fillId="6" borderId="16" xfId="0" applyFont="1" applyFill="1" applyBorder="1"/>
    <xf numFmtId="0" fontId="145" fillId="6" borderId="6" xfId="0" applyFont="1" applyFill="1" applyBorder="1"/>
    <xf numFmtId="0" fontId="145" fillId="6" borderId="0" xfId="0" applyFont="1" applyFill="1"/>
    <xf numFmtId="177" fontId="146" fillId="6" borderId="0" xfId="0" applyNumberFormat="1" applyFont="1" applyFill="1"/>
    <xf numFmtId="177" fontId="146" fillId="6" borderId="16" xfId="0" applyNumberFormat="1" applyFont="1" applyFill="1" applyBorder="1"/>
    <xf numFmtId="171" fontId="146" fillId="6" borderId="0" xfId="0" applyNumberFormat="1" applyFont="1" applyFill="1"/>
    <xf numFmtId="171" fontId="146" fillId="6" borderId="16" xfId="0" applyNumberFormat="1" applyFont="1" applyFill="1" applyBorder="1"/>
    <xf numFmtId="0" fontId="147" fillId="54" borderId="6" xfId="0" applyFont="1" applyFill="1" applyBorder="1"/>
    <xf numFmtId="0" fontId="147" fillId="54" borderId="0" xfId="0" applyFont="1" applyFill="1"/>
    <xf numFmtId="0" fontId="144" fillId="54" borderId="0" xfId="0" applyFont="1" applyFill="1"/>
    <xf numFmtId="0" fontId="144" fillId="54" borderId="29" xfId="0" applyFont="1" applyFill="1" applyBorder="1"/>
    <xf numFmtId="0" fontId="144" fillId="0" borderId="0" xfId="0" applyFont="1"/>
    <xf numFmtId="0" fontId="144" fillId="54" borderId="16" xfId="0" applyFont="1" applyFill="1" applyBorder="1"/>
    <xf numFmtId="218" fontId="146" fillId="6" borderId="0" xfId="6" applyNumberFormat="1" applyFont="1" applyFill="1" applyBorder="1"/>
    <xf numFmtId="218" fontId="146" fillId="6" borderId="29" xfId="6" applyNumberFormat="1" applyFont="1" applyFill="1" applyBorder="1"/>
    <xf numFmtId="218" fontId="146" fillId="6" borderId="16" xfId="6" applyNumberFormat="1" applyFont="1" applyFill="1" applyBorder="1"/>
    <xf numFmtId="238" fontId="146" fillId="6" borderId="0" xfId="6" applyNumberFormat="1" applyFont="1" applyFill="1" applyBorder="1"/>
    <xf numFmtId="218" fontId="146" fillId="6" borderId="62" xfId="6" applyNumberFormat="1" applyFont="1" applyFill="1" applyBorder="1"/>
    <xf numFmtId="218" fontId="146" fillId="6" borderId="66" xfId="6" applyNumberFormat="1" applyFont="1" applyFill="1" applyBorder="1"/>
    <xf numFmtId="171" fontId="146" fillId="6" borderId="29" xfId="0" applyNumberFormat="1" applyFont="1" applyFill="1" applyBorder="1"/>
    <xf numFmtId="218" fontId="146" fillId="6" borderId="0" xfId="0" applyNumberFormat="1" applyFont="1" applyFill="1"/>
    <xf numFmtId="239" fontId="146" fillId="6" borderId="0" xfId="0" applyNumberFormat="1" applyFont="1" applyFill="1"/>
    <xf numFmtId="218" fontId="146" fillId="6" borderId="16" xfId="0" applyNumberFormat="1" applyFont="1" applyFill="1" applyBorder="1"/>
    <xf numFmtId="10" fontId="141" fillId="11" borderId="8" xfId="0" applyNumberFormat="1" applyFont="1" applyFill="1" applyBorder="1"/>
    <xf numFmtId="171" fontId="141" fillId="11" borderId="8" xfId="6" applyFont="1" applyFill="1" applyBorder="1"/>
    <xf numFmtId="10" fontId="145" fillId="6" borderId="0" xfId="0" applyNumberFormat="1" applyFont="1" applyFill="1"/>
    <xf numFmtId="218" fontId="146" fillId="6" borderId="61" xfId="6" applyNumberFormat="1" applyFont="1" applyFill="1" applyBorder="1"/>
    <xf numFmtId="218" fontId="146" fillId="6" borderId="132" xfId="6" applyNumberFormat="1" applyFont="1" applyFill="1" applyBorder="1"/>
    <xf numFmtId="177" fontId="146" fillId="6" borderId="74" xfId="7" applyNumberFormat="1" applyFont="1" applyFill="1" applyBorder="1"/>
    <xf numFmtId="177" fontId="146" fillId="6" borderId="133" xfId="7" applyNumberFormat="1" applyFont="1" applyFill="1" applyBorder="1"/>
    <xf numFmtId="177" fontId="146" fillId="6" borderId="0" xfId="7" applyNumberFormat="1" applyFont="1" applyFill="1" applyBorder="1"/>
    <xf numFmtId="177" fontId="146" fillId="6" borderId="16" xfId="7" applyNumberFormat="1" applyFont="1" applyFill="1" applyBorder="1"/>
    <xf numFmtId="0" fontId="145" fillId="6" borderId="7" xfId="0" applyFont="1" applyFill="1" applyBorder="1"/>
    <xf numFmtId="0" fontId="145" fillId="6" borderId="32" xfId="0" applyFont="1" applyFill="1" applyBorder="1"/>
    <xf numFmtId="10" fontId="145" fillId="6" borderId="32" xfId="0" applyNumberFormat="1" applyFont="1" applyFill="1" applyBorder="1"/>
    <xf numFmtId="177" fontId="146" fillId="6" borderId="32" xfId="7" applyNumberFormat="1" applyFont="1" applyFill="1" applyBorder="1"/>
    <xf numFmtId="0" fontId="146" fillId="6" borderId="30" xfId="0" applyFont="1" applyFill="1" applyBorder="1"/>
    <xf numFmtId="177" fontId="146" fillId="6" borderId="17" xfId="7" applyNumberFormat="1" applyFont="1" applyFill="1" applyBorder="1"/>
    <xf numFmtId="218" fontId="148" fillId="0" borderId="0" xfId="0" applyNumberFormat="1" applyFont="1"/>
    <xf numFmtId="177" fontId="146" fillId="0" borderId="0" xfId="23" applyNumberFormat="1" applyFont="1" applyFill="1" applyBorder="1"/>
    <xf numFmtId="0" fontId="142" fillId="6" borderId="0" xfId="0" applyFont="1" applyFill="1"/>
    <xf numFmtId="171" fontId="142" fillId="6" borderId="0" xfId="0" applyNumberFormat="1" applyFont="1" applyFill="1"/>
    <xf numFmtId="240" fontId="148" fillId="6" borderId="0" xfId="7" applyNumberFormat="1" applyFont="1" applyFill="1" applyBorder="1"/>
    <xf numFmtId="0" fontId="145" fillId="0" borderId="14" xfId="0" applyFont="1" applyBorder="1"/>
    <xf numFmtId="0" fontId="145" fillId="0" borderId="31" xfId="0" applyFont="1" applyBorder="1"/>
    <xf numFmtId="218" fontId="145" fillId="0" borderId="31" xfId="0" applyNumberFormat="1" applyFont="1" applyBorder="1"/>
    <xf numFmtId="218" fontId="145" fillId="0" borderId="28" xfId="0" applyNumberFormat="1" applyFont="1" applyBorder="1"/>
    <xf numFmtId="0" fontId="146" fillId="0" borderId="6" xfId="0" applyFont="1" applyBorder="1"/>
    <xf numFmtId="0" fontId="146" fillId="0" borderId="29" xfId="0" applyFont="1" applyBorder="1"/>
    <xf numFmtId="16" fontId="145" fillId="6" borderId="0" xfId="0" quotePrefix="1" applyNumberFormat="1" applyFont="1" applyFill="1" applyAlignment="1">
      <alignment horizontal="center"/>
    </xf>
    <xf numFmtId="0" fontId="146" fillId="0" borderId="6" xfId="0" applyFont="1" applyBorder="1" applyAlignment="1">
      <alignment horizontal="center"/>
    </xf>
    <xf numFmtId="10" fontId="146" fillId="0" borderId="0" xfId="0" applyNumberFormat="1" applyFont="1" applyAlignment="1">
      <alignment horizontal="center"/>
    </xf>
    <xf numFmtId="218" fontId="146" fillId="0" borderId="0" xfId="0" applyNumberFormat="1" applyFont="1"/>
    <xf numFmtId="218" fontId="146" fillId="55" borderId="0" xfId="0" applyNumberFormat="1" applyFont="1" applyFill="1"/>
    <xf numFmtId="218" fontId="146" fillId="0" borderId="29" xfId="0" applyNumberFormat="1" applyFont="1" applyBorder="1"/>
    <xf numFmtId="0" fontId="148" fillId="6" borderId="0" xfId="0" applyFont="1" applyFill="1"/>
    <xf numFmtId="0" fontId="146" fillId="0" borderId="7" xfId="0" applyFont="1" applyBorder="1" applyAlignment="1">
      <alignment horizontal="center"/>
    </xf>
    <xf numFmtId="10" fontId="146" fillId="0" borderId="32" xfId="0" applyNumberFormat="1" applyFont="1" applyBorder="1" applyAlignment="1">
      <alignment horizontal="center"/>
    </xf>
    <xf numFmtId="218" fontId="146" fillId="0" borderId="32" xfId="0" applyNumberFormat="1" applyFont="1" applyBorder="1"/>
    <xf numFmtId="218" fontId="146" fillId="55" borderId="32" xfId="0" applyNumberFormat="1" applyFont="1" applyFill="1" applyBorder="1"/>
    <xf numFmtId="169" fontId="141" fillId="6" borderId="0" xfId="0" applyNumberFormat="1" applyFont="1" applyFill="1"/>
    <xf numFmtId="0" fontId="141" fillId="6" borderId="0" xfId="0" applyFont="1" applyFill="1"/>
    <xf numFmtId="171" fontId="146" fillId="6" borderId="0" xfId="6" applyFont="1" applyFill="1" applyBorder="1"/>
    <xf numFmtId="0" fontId="145" fillId="6" borderId="0" xfId="0" applyFont="1" applyFill="1" applyAlignment="1">
      <alignment horizontal="center"/>
    </xf>
    <xf numFmtId="10" fontId="141" fillId="6" borderId="0" xfId="0" applyNumberFormat="1" applyFont="1" applyFill="1"/>
    <xf numFmtId="0" fontId="149" fillId="6" borderId="0" xfId="0" applyFont="1" applyFill="1"/>
    <xf numFmtId="10" fontId="149" fillId="6" borderId="0" xfId="0" applyNumberFormat="1" applyFont="1" applyFill="1"/>
    <xf numFmtId="218" fontId="145" fillId="6" borderId="0" xfId="0" applyNumberFormat="1" applyFont="1" applyFill="1"/>
    <xf numFmtId="173" fontId="146" fillId="5" borderId="8" xfId="1" applyNumberFormat="1" applyFont="1" applyFill="1" applyBorder="1"/>
    <xf numFmtId="10" fontId="146" fillId="7" borderId="0" xfId="1" applyNumberFormat="1" applyFont="1" applyFill="1" applyBorder="1"/>
    <xf numFmtId="9" fontId="146" fillId="0" borderId="0" xfId="1" applyFont="1" applyFill="1" applyBorder="1"/>
    <xf numFmtId="171" fontId="146" fillId="7" borderId="8" xfId="6" applyFont="1" applyFill="1" applyBorder="1"/>
    <xf numFmtId="9" fontId="146" fillId="7" borderId="8" xfId="6" applyNumberFormat="1" applyFont="1" applyFill="1" applyBorder="1"/>
    <xf numFmtId="0" fontId="55" fillId="23" borderId="63" xfId="0" applyFont="1" applyFill="1" applyBorder="1" applyAlignment="1">
      <alignment vertical="center"/>
    </xf>
    <xf numFmtId="10" fontId="3" fillId="23" borderId="8" xfId="0" applyNumberFormat="1" applyFont="1" applyFill="1" applyBorder="1" applyAlignment="1">
      <alignment horizontal="center"/>
    </xf>
    <xf numFmtId="0" fontId="0" fillId="0" borderId="1" xfId="0" applyBorder="1"/>
    <xf numFmtId="10" fontId="0" fillId="0" borderId="2" xfId="1" applyNumberFormat="1" applyFont="1" applyBorder="1"/>
    <xf numFmtId="0" fontId="0" fillId="0" borderId="8" xfId="0" applyBorder="1"/>
    <xf numFmtId="241" fontId="0" fillId="6" borderId="8" xfId="0" applyNumberFormat="1" applyFill="1" applyBorder="1"/>
    <xf numFmtId="171" fontId="0" fillId="0" borderId="0" xfId="0" applyNumberFormat="1"/>
    <xf numFmtId="14" fontId="0" fillId="0" borderId="8" xfId="0" applyNumberFormat="1" applyBorder="1"/>
    <xf numFmtId="10" fontId="0" fillId="0" borderId="8" xfId="0" applyNumberFormat="1" applyBorder="1"/>
    <xf numFmtId="170" fontId="0" fillId="0" borderId="8" xfId="0" applyNumberFormat="1" applyBorder="1"/>
    <xf numFmtId="171" fontId="0" fillId="0" borderId="8" xfId="0" applyNumberFormat="1" applyBorder="1"/>
    <xf numFmtId="0" fontId="6" fillId="56" borderId="0" xfId="0" applyFont="1" applyFill="1"/>
    <xf numFmtId="0" fontId="6" fillId="56" borderId="8" xfId="0" applyFont="1" applyFill="1" applyBorder="1" applyAlignment="1">
      <alignment horizontal="center"/>
    </xf>
    <xf numFmtId="0" fontId="6" fillId="56" borderId="8" xfId="0" applyFont="1" applyFill="1" applyBorder="1"/>
    <xf numFmtId="0" fontId="6" fillId="56" borderId="10" xfId="0" applyFont="1" applyFill="1" applyBorder="1"/>
    <xf numFmtId="0" fontId="0" fillId="2" borderId="8" xfId="0" applyFill="1" applyBorder="1"/>
    <xf numFmtId="171" fontId="0" fillId="0" borderId="8" xfId="6" applyFont="1" applyBorder="1"/>
    <xf numFmtId="170" fontId="0" fillId="0" borderId="8" xfId="6" applyNumberFormat="1" applyFont="1" applyBorder="1"/>
    <xf numFmtId="0" fontId="0" fillId="0" borderId="74" xfId="0" applyBorder="1"/>
    <xf numFmtId="170" fontId="0" fillId="0" borderId="74" xfId="0" applyNumberFormat="1" applyBorder="1"/>
    <xf numFmtId="171" fontId="0" fillId="0" borderId="74" xfId="0" applyNumberFormat="1" applyBorder="1"/>
    <xf numFmtId="0" fontId="151" fillId="0" borderId="0" xfId="0" applyFont="1" applyAlignment="1">
      <alignment horizontal="center"/>
    </xf>
    <xf numFmtId="186" fontId="34" fillId="0" borderId="45" xfId="10" applyNumberFormat="1" applyFont="1" applyFill="1" applyAlignment="1">
      <alignment horizontal="center" vertical="center"/>
    </xf>
    <xf numFmtId="186" fontId="21" fillId="34" borderId="0" xfId="2" applyNumberFormat="1" applyFont="1" applyFill="1"/>
    <xf numFmtId="1" fontId="34" fillId="0" borderId="0" xfId="16" applyNumberFormat="1" applyFont="1" applyFill="1"/>
    <xf numFmtId="3" fontId="31" fillId="3" borderId="89" xfId="0" applyNumberFormat="1" applyFont="1" applyFill="1" applyBorder="1" applyAlignment="1">
      <alignment horizontal="center" vertical="center" wrapText="1" readingOrder="1"/>
    </xf>
    <xf numFmtId="3" fontId="31" fillId="6" borderId="98" xfId="0" applyNumberFormat="1" applyFont="1" applyFill="1" applyBorder="1" applyAlignment="1">
      <alignment horizontal="center" vertical="center" wrapText="1" readingOrder="1"/>
    </xf>
    <xf numFmtId="177" fontId="34" fillId="3" borderId="8" xfId="2" applyNumberFormat="1" applyFont="1" applyFill="1" applyBorder="1" applyAlignment="1">
      <alignment horizontal="center" vertical="center"/>
    </xf>
    <xf numFmtId="0" fontId="34" fillId="3" borderId="8" xfId="0" applyFont="1" applyFill="1" applyBorder="1" applyAlignment="1">
      <alignment horizontal="center" vertical="center"/>
    </xf>
    <xf numFmtId="184" fontId="152" fillId="6" borderId="8" xfId="0" applyNumberFormat="1" applyFont="1" applyFill="1" applyBorder="1" applyAlignment="1">
      <alignment horizontal="center" vertical="center"/>
    </xf>
    <xf numFmtId="0" fontId="152" fillId="3" borderId="8" xfId="0" applyFont="1" applyFill="1" applyBorder="1" applyAlignment="1">
      <alignment horizontal="center" vertical="center"/>
    </xf>
    <xf numFmtId="179" fontId="34" fillId="3" borderId="8" xfId="0" applyNumberFormat="1" applyFont="1" applyFill="1" applyBorder="1" applyAlignment="1">
      <alignment horizontal="center" vertical="center"/>
    </xf>
    <xf numFmtId="178" fontId="3" fillId="0" borderId="0" xfId="0" applyNumberFormat="1" applyFont="1"/>
    <xf numFmtId="10" fontId="3" fillId="3" borderId="8" xfId="0" applyNumberFormat="1" applyFont="1" applyFill="1" applyBorder="1" applyAlignment="1">
      <alignment horizontal="center"/>
    </xf>
    <xf numFmtId="0" fontId="3" fillId="3" borderId="6" xfId="0" applyFont="1" applyFill="1" applyBorder="1"/>
    <xf numFmtId="0" fontId="5" fillId="3" borderId="14" xfId="0" applyFont="1" applyFill="1" applyBorder="1"/>
    <xf numFmtId="0" fontId="3" fillId="3" borderId="31" xfId="0" applyFont="1" applyFill="1" applyBorder="1"/>
    <xf numFmtId="201" fontId="3" fillId="3" borderId="31" xfId="0" applyNumberFormat="1" applyFont="1" applyFill="1" applyBorder="1"/>
    <xf numFmtId="198" fontId="3" fillId="3" borderId="0" xfId="0" applyNumberFormat="1" applyFont="1" applyFill="1"/>
    <xf numFmtId="10" fontId="3" fillId="3" borderId="0" xfId="1" applyNumberFormat="1" applyFont="1" applyFill="1"/>
    <xf numFmtId="172" fontId="3" fillId="3" borderId="0" xfId="0" quotePrefix="1" applyNumberFormat="1" applyFont="1" applyFill="1"/>
    <xf numFmtId="0" fontId="10" fillId="3" borderId="0" xfId="0" applyFont="1" applyFill="1"/>
    <xf numFmtId="198" fontId="5" fillId="3" borderId="5" xfId="0" applyNumberFormat="1" applyFont="1" applyFill="1" applyBorder="1"/>
    <xf numFmtId="201" fontId="3" fillId="3" borderId="0" xfId="0" applyNumberFormat="1" applyFont="1" applyFill="1"/>
    <xf numFmtId="0" fontId="5" fillId="3" borderId="0" xfId="0" applyFont="1" applyFill="1"/>
    <xf numFmtId="0" fontId="34" fillId="48" borderId="0" xfId="0" applyFont="1" applyFill="1"/>
    <xf numFmtId="0" fontId="34" fillId="22" borderId="0" xfId="0" applyFont="1" applyFill="1"/>
    <xf numFmtId="44" fontId="34" fillId="0" borderId="0" xfId="0" applyNumberFormat="1" applyFont="1"/>
    <xf numFmtId="178" fontId="34" fillId="0" borderId="0" xfId="0" applyNumberFormat="1" applyFont="1"/>
    <xf numFmtId="180" fontId="41" fillId="3" borderId="45" xfId="10" applyNumberFormat="1" applyFont="1" applyFill="1" applyAlignment="1">
      <alignment horizontal="center" vertical="center"/>
    </xf>
    <xf numFmtId="183" fontId="34" fillId="3" borderId="45" xfId="10" applyNumberFormat="1" applyFont="1" applyFill="1" applyAlignment="1">
      <alignment horizontal="center" vertical="center"/>
    </xf>
    <xf numFmtId="9" fontId="34" fillId="10" borderId="0" xfId="0" applyNumberFormat="1" applyFont="1" applyFill="1"/>
    <xf numFmtId="9" fontId="34" fillId="10" borderId="0" xfId="1" applyFont="1" applyFill="1"/>
    <xf numFmtId="3" fontId="34" fillId="3" borderId="63" xfId="16" applyNumberFormat="1" applyFont="1" applyFill="1" applyBorder="1" applyAlignment="1">
      <alignment horizontal="center"/>
    </xf>
    <xf numFmtId="0" fontId="5" fillId="3" borderId="6" xfId="0" applyFont="1" applyFill="1" applyBorder="1"/>
    <xf numFmtId="187" fontId="34" fillId="6" borderId="8" xfId="0" applyNumberFormat="1" applyFont="1" applyFill="1" applyBorder="1" applyAlignment="1">
      <alignment horizontal="center" vertical="center"/>
    </xf>
    <xf numFmtId="166" fontId="3" fillId="3" borderId="0" xfId="15" applyFont="1" applyFill="1" applyBorder="1"/>
    <xf numFmtId="1" fontId="3" fillId="3" borderId="0" xfId="0" applyNumberFormat="1" applyFont="1" applyFill="1"/>
    <xf numFmtId="198" fontId="3" fillId="3" borderId="62" xfId="0" applyNumberFormat="1" applyFont="1" applyFill="1" applyBorder="1"/>
    <xf numFmtId="0" fontId="3" fillId="3" borderId="62" xfId="0" applyFont="1" applyFill="1" applyBorder="1"/>
    <xf numFmtId="9" fontId="34" fillId="3" borderId="8" xfId="0" applyNumberFormat="1" applyFont="1" applyFill="1" applyBorder="1"/>
    <xf numFmtId="0" fontId="37" fillId="50" borderId="1" xfId="16" applyFont="1" applyFill="1" applyBorder="1" applyAlignment="1">
      <alignment horizontal="center" vertical="center"/>
    </xf>
    <xf numFmtId="0" fontId="37" fillId="50" borderId="5" xfId="16" applyFont="1" applyFill="1" applyBorder="1" applyAlignment="1">
      <alignment horizontal="center" vertical="center"/>
    </xf>
    <xf numFmtId="0" fontId="37" fillId="50" borderId="2" xfId="16" applyFont="1" applyFill="1" applyBorder="1" applyAlignment="1">
      <alignment horizontal="center" vertical="center"/>
    </xf>
    <xf numFmtId="0" fontId="39" fillId="50" borderId="1" xfId="16" applyFont="1" applyFill="1" applyBorder="1" applyAlignment="1">
      <alignment horizontal="center" vertical="center" wrapText="1"/>
    </xf>
    <xf numFmtId="0" fontId="39" fillId="50" borderId="5" xfId="16" applyFont="1" applyFill="1" applyBorder="1" applyAlignment="1">
      <alignment horizontal="center" vertical="center" wrapText="1"/>
    </xf>
    <xf numFmtId="0" fontId="37" fillId="51" borderId="1" xfId="0" applyFont="1" applyFill="1" applyBorder="1" applyAlignment="1">
      <alignment horizontal="center"/>
    </xf>
    <xf numFmtId="0" fontId="37" fillId="51" borderId="5" xfId="0" applyFont="1" applyFill="1" applyBorder="1" applyAlignment="1">
      <alignment horizontal="center"/>
    </xf>
    <xf numFmtId="0" fontId="37" fillId="51" borderId="2" xfId="0" applyFont="1" applyFill="1" applyBorder="1" applyAlignment="1">
      <alignment horizontal="center"/>
    </xf>
    <xf numFmtId="0" fontId="42" fillId="10" borderId="0" xfId="11" applyFont="1" applyFill="1" applyAlignment="1">
      <alignment horizontal="center"/>
    </xf>
    <xf numFmtId="0" fontId="42" fillId="51" borderId="50" xfId="11" applyFont="1" applyFill="1" applyBorder="1" applyAlignment="1">
      <alignment horizontal="center"/>
    </xf>
    <xf numFmtId="0" fontId="42" fillId="51" borderId="31" xfId="11" applyFont="1" applyFill="1" applyBorder="1" applyAlignment="1">
      <alignment horizontal="center"/>
    </xf>
    <xf numFmtId="0" fontId="42" fillId="10" borderId="31" xfId="11" applyFont="1" applyFill="1" applyBorder="1" applyAlignment="1">
      <alignment horizontal="center"/>
    </xf>
    <xf numFmtId="0" fontId="37" fillId="10" borderId="1" xfId="0" applyFont="1" applyFill="1" applyBorder="1" applyAlignment="1">
      <alignment horizontal="center" vertical="center"/>
    </xf>
    <xf numFmtId="0" fontId="37" fillId="10" borderId="5" xfId="0" applyFont="1" applyFill="1" applyBorder="1" applyAlignment="1">
      <alignment horizontal="center" vertical="center"/>
    </xf>
    <xf numFmtId="0" fontId="37" fillId="10" borderId="2" xfId="0" applyFont="1" applyFill="1" applyBorder="1" applyAlignment="1">
      <alignment horizontal="center" vertical="center"/>
    </xf>
    <xf numFmtId="0" fontId="41" fillId="51" borderId="48" xfId="19" applyFont="1" applyFill="1" applyBorder="1" applyAlignment="1">
      <alignment horizontal="center"/>
    </xf>
    <xf numFmtId="0" fontId="41" fillId="51" borderId="52" xfId="19" applyFont="1" applyFill="1" applyBorder="1" applyAlignment="1">
      <alignment horizontal="center"/>
    </xf>
    <xf numFmtId="0" fontId="39" fillId="52" borderId="3" xfId="16" applyFont="1" applyFill="1" applyBorder="1" applyAlignment="1">
      <alignment horizontal="center" vertical="center"/>
    </xf>
    <xf numFmtId="0" fontId="39" fillId="52" borderId="9" xfId="16" applyFont="1" applyFill="1" applyBorder="1" applyAlignment="1">
      <alignment horizontal="center" vertical="center"/>
    </xf>
    <xf numFmtId="0" fontId="39" fillId="52" borderId="4" xfId="16" applyFont="1" applyFill="1" applyBorder="1" applyAlignment="1">
      <alignment horizontal="center" vertical="center"/>
    </xf>
    <xf numFmtId="0" fontId="36" fillId="50" borderId="8" xfId="16" applyFont="1" applyFill="1" applyBorder="1" applyAlignment="1">
      <alignment horizontal="left"/>
    </xf>
    <xf numFmtId="0" fontId="36" fillId="50" borderId="48" xfId="16" applyFont="1" applyFill="1" applyBorder="1" applyAlignment="1">
      <alignment horizontal="left"/>
    </xf>
    <xf numFmtId="0" fontId="36" fillId="50" borderId="52" xfId="16" applyFont="1" applyFill="1" applyBorder="1" applyAlignment="1">
      <alignment horizontal="left"/>
    </xf>
    <xf numFmtId="0" fontId="36" fillId="50" borderId="46" xfId="16" applyFont="1" applyFill="1" applyBorder="1" applyAlignment="1">
      <alignment horizontal="left"/>
    </xf>
    <xf numFmtId="0" fontId="36" fillId="50" borderId="63" xfId="16" applyFont="1" applyFill="1" applyBorder="1" applyAlignment="1">
      <alignment horizontal="left"/>
    </xf>
    <xf numFmtId="0" fontId="34" fillId="10" borderId="48" xfId="0" applyFont="1" applyFill="1" applyBorder="1" applyAlignment="1">
      <alignment horizontal="center"/>
    </xf>
    <xf numFmtId="0" fontId="34" fillId="10" borderId="47" xfId="0" applyFont="1" applyFill="1" applyBorder="1" applyAlignment="1">
      <alignment horizontal="center"/>
    </xf>
    <xf numFmtId="0" fontId="39" fillId="52" borderId="48" xfId="16" applyFont="1" applyFill="1" applyBorder="1" applyAlignment="1">
      <alignment horizontal="center"/>
    </xf>
    <xf numFmtId="0" fontId="39" fillId="52" borderId="52" xfId="16" applyFont="1" applyFill="1" applyBorder="1" applyAlignment="1">
      <alignment horizontal="center"/>
    </xf>
    <xf numFmtId="0" fontId="39" fillId="52" borderId="46" xfId="16" applyFont="1" applyFill="1" applyBorder="1" applyAlignment="1">
      <alignment horizontal="center"/>
    </xf>
    <xf numFmtId="0" fontId="41" fillId="32" borderId="48" xfId="22" applyFont="1" applyBorder="1" applyAlignment="1">
      <alignment horizontal="center" vertical="center"/>
    </xf>
    <xf numFmtId="0" fontId="41" fillId="32" borderId="46" xfId="22" applyFont="1" applyBorder="1" applyAlignment="1">
      <alignment horizontal="center" vertical="center"/>
    </xf>
    <xf numFmtId="0" fontId="37" fillId="52" borderId="1" xfId="16" applyFont="1" applyFill="1" applyBorder="1" applyAlignment="1">
      <alignment horizontal="center" vertical="center"/>
    </xf>
    <xf numFmtId="0" fontId="37" fillId="52" borderId="5" xfId="16" applyFont="1" applyFill="1" applyBorder="1" applyAlignment="1">
      <alignment horizontal="center" vertical="center"/>
    </xf>
    <xf numFmtId="0" fontId="37" fillId="52" borderId="2" xfId="16" applyFont="1" applyFill="1" applyBorder="1" applyAlignment="1">
      <alignment horizontal="center" vertical="center"/>
    </xf>
    <xf numFmtId="0" fontId="34" fillId="10" borderId="52" xfId="0" applyFont="1" applyFill="1" applyBorder="1" applyAlignment="1">
      <alignment horizontal="center"/>
    </xf>
    <xf numFmtId="0" fontId="115" fillId="10" borderId="0" xfId="16" applyFont="1" applyFill="1" applyBorder="1" applyAlignment="1">
      <alignment horizontal="center"/>
    </xf>
    <xf numFmtId="0" fontId="39" fillId="50" borderId="8" xfId="16" applyFont="1" applyFill="1" applyBorder="1" applyAlignment="1">
      <alignment horizontal="right"/>
    </xf>
    <xf numFmtId="0" fontId="36" fillId="50" borderId="56" xfId="16" applyFont="1" applyFill="1" applyBorder="1" applyAlignment="1">
      <alignment horizontal="left"/>
    </xf>
    <xf numFmtId="0" fontId="39" fillId="50" borderId="2" xfId="16" applyFont="1" applyFill="1" applyBorder="1" applyAlignment="1">
      <alignment horizontal="center" vertical="center" wrapText="1"/>
    </xf>
    <xf numFmtId="178" fontId="34" fillId="38" borderId="31" xfId="0" applyNumberFormat="1" applyFont="1" applyFill="1" applyBorder="1" applyAlignment="1">
      <alignment horizontal="center"/>
    </xf>
    <xf numFmtId="0" fontId="34" fillId="18" borderId="51" xfId="0" applyFont="1" applyFill="1" applyBorder="1" applyAlignment="1">
      <alignment horizontal="right"/>
    </xf>
    <xf numFmtId="0" fontId="34" fillId="38" borderId="0" xfId="0" applyFont="1" applyFill="1" applyAlignment="1">
      <alignment horizontal="right"/>
    </xf>
    <xf numFmtId="0" fontId="42" fillId="0" borderId="48" xfId="0" applyFont="1" applyBorder="1" applyAlignment="1">
      <alignment horizontal="center"/>
    </xf>
    <xf numFmtId="0" fontId="42" fillId="0" borderId="52" xfId="0" applyFont="1" applyBorder="1" applyAlignment="1">
      <alignment horizontal="center"/>
    </xf>
    <xf numFmtId="0" fontId="42" fillId="0" borderId="46" xfId="0" applyFont="1" applyBorder="1" applyAlignment="1">
      <alignment horizontal="center"/>
    </xf>
    <xf numFmtId="178" fontId="34" fillId="0" borderId="48" xfId="0" applyNumberFormat="1" applyFont="1" applyBorder="1" applyAlignment="1">
      <alignment horizontal="center"/>
    </xf>
    <xf numFmtId="178" fontId="34" fillId="0" borderId="46" xfId="0" applyNumberFormat="1" applyFont="1" applyBorder="1" applyAlignment="1">
      <alignment horizontal="center"/>
    </xf>
    <xf numFmtId="178" fontId="34" fillId="0" borderId="52" xfId="0" applyNumberFormat="1" applyFont="1" applyBorder="1" applyAlignment="1">
      <alignment horizontal="center"/>
    </xf>
    <xf numFmtId="0" fontId="42" fillId="3" borderId="48" xfId="0" applyFont="1" applyFill="1" applyBorder="1" applyAlignment="1">
      <alignment horizontal="center"/>
    </xf>
    <xf numFmtId="0" fontId="42" fillId="3" borderId="52" xfId="0" applyFont="1" applyFill="1" applyBorder="1" applyAlignment="1">
      <alignment horizontal="center"/>
    </xf>
    <xf numFmtId="0" fontId="42" fillId="3" borderId="46" xfId="0" applyFont="1" applyFill="1" applyBorder="1" applyAlignment="1">
      <alignment horizontal="center"/>
    </xf>
    <xf numFmtId="0" fontId="34" fillId="38" borderId="32" xfId="0" applyFont="1" applyFill="1" applyBorder="1" applyAlignment="1">
      <alignment horizontal="right"/>
    </xf>
    <xf numFmtId="0" fontId="34" fillId="38" borderId="31" xfId="0" applyFont="1" applyFill="1" applyBorder="1" applyAlignment="1">
      <alignment horizontal="center"/>
    </xf>
    <xf numFmtId="189" fontId="34" fillId="38" borderId="33" xfId="0" applyNumberFormat="1" applyFont="1" applyFill="1" applyBorder="1" applyAlignment="1">
      <alignment horizontal="center"/>
    </xf>
    <xf numFmtId="189" fontId="34" fillId="38" borderId="34" xfId="0" applyNumberFormat="1" applyFont="1" applyFill="1" applyBorder="1" applyAlignment="1">
      <alignment horizontal="center"/>
    </xf>
    <xf numFmtId="0" fontId="34" fillId="35" borderId="9" xfId="0" applyFont="1" applyFill="1" applyBorder="1" applyAlignment="1">
      <alignment horizontal="center"/>
    </xf>
    <xf numFmtId="0" fontId="44" fillId="38" borderId="1" xfId="0" applyFont="1" applyFill="1" applyBorder="1" applyAlignment="1">
      <alignment horizontal="center"/>
    </xf>
    <xf numFmtId="0" fontId="44" fillId="38" borderId="5" xfId="0" applyFont="1" applyFill="1" applyBorder="1" applyAlignment="1">
      <alignment horizontal="center"/>
    </xf>
    <xf numFmtId="0" fontId="44" fillId="38" borderId="2" xfId="0" applyFont="1" applyFill="1" applyBorder="1" applyAlignment="1">
      <alignment horizontal="center"/>
    </xf>
    <xf numFmtId="0" fontId="44" fillId="37" borderId="1" xfId="0" applyFont="1" applyFill="1" applyBorder="1" applyAlignment="1">
      <alignment horizontal="center"/>
    </xf>
    <xf numFmtId="0" fontId="44" fillId="37" borderId="5" xfId="0" applyFont="1" applyFill="1" applyBorder="1" applyAlignment="1">
      <alignment horizontal="center"/>
    </xf>
    <xf numFmtId="0" fontId="42" fillId="36" borderId="25" xfId="0" applyFont="1" applyFill="1" applyBorder="1" applyAlignment="1">
      <alignment horizontal="right"/>
    </xf>
    <xf numFmtId="0" fontId="42" fillId="36" borderId="26" xfId="0" applyFont="1" applyFill="1" applyBorder="1" applyAlignment="1">
      <alignment horizontal="right"/>
    </xf>
    <xf numFmtId="0" fontId="34" fillId="36" borderId="26" xfId="0" applyFont="1" applyFill="1" applyBorder="1" applyAlignment="1">
      <alignment horizontal="center" wrapText="1"/>
    </xf>
    <xf numFmtId="0" fontId="34" fillId="36" borderId="11" xfId="0" applyFont="1" applyFill="1" applyBorder="1" applyAlignment="1">
      <alignment horizontal="center" wrapText="1"/>
    </xf>
    <xf numFmtId="0" fontId="34" fillId="36" borderId="13" xfId="0" applyFont="1" applyFill="1" applyBorder="1" applyAlignment="1">
      <alignment horizontal="center" wrapText="1"/>
    </xf>
    <xf numFmtId="0" fontId="44" fillId="36" borderId="1" xfId="0" applyFont="1" applyFill="1" applyBorder="1" applyAlignment="1">
      <alignment horizontal="center"/>
    </xf>
    <xf numFmtId="0" fontId="44" fillId="36" borderId="5" xfId="0" applyFont="1" applyFill="1" applyBorder="1" applyAlignment="1">
      <alignment horizontal="center"/>
    </xf>
    <xf numFmtId="0" fontId="44" fillId="36" borderId="2" xfId="0" applyFont="1" applyFill="1" applyBorder="1" applyAlignment="1">
      <alignment horizontal="center"/>
    </xf>
    <xf numFmtId="0" fontId="42" fillId="36" borderId="63" xfId="0" applyFont="1" applyFill="1" applyBorder="1" applyAlignment="1">
      <alignment horizontal="right"/>
    </xf>
    <xf numFmtId="0" fontId="41" fillId="36" borderId="48" xfId="0" applyFont="1" applyFill="1" applyBorder="1" applyAlignment="1">
      <alignment horizontal="center"/>
    </xf>
    <xf numFmtId="0" fontId="41" fillId="36" borderId="52" xfId="0" applyFont="1" applyFill="1" applyBorder="1" applyAlignment="1">
      <alignment horizontal="center"/>
    </xf>
    <xf numFmtId="0" fontId="41" fillId="36" borderId="80" xfId="0" applyFont="1" applyFill="1" applyBorder="1" applyAlignment="1">
      <alignment horizontal="center" vertical="center"/>
    </xf>
    <xf numFmtId="0" fontId="41" fillId="36" borderId="28" xfId="0" applyFont="1" applyFill="1" applyBorder="1" applyAlignment="1">
      <alignment horizontal="center" vertical="center"/>
    </xf>
    <xf numFmtId="0" fontId="41" fillId="36" borderId="82" xfId="0" applyFont="1" applyFill="1" applyBorder="1" applyAlignment="1">
      <alignment horizontal="center" vertical="center"/>
    </xf>
    <xf numFmtId="0" fontId="41" fillId="36" borderId="30" xfId="0" applyFont="1" applyFill="1" applyBorder="1" applyAlignment="1">
      <alignment horizontal="center" vertical="center"/>
    </xf>
    <xf numFmtId="0" fontId="34" fillId="36" borderId="80" xfId="0" applyFont="1" applyFill="1" applyBorder="1" applyAlignment="1">
      <alignment horizontal="center" vertical="center"/>
    </xf>
    <xf numFmtId="0" fontId="34" fillId="36" borderId="28" xfId="0" applyFont="1" applyFill="1" applyBorder="1" applyAlignment="1">
      <alignment horizontal="center" vertical="center"/>
    </xf>
    <xf numFmtId="0" fontId="34" fillId="36" borderId="10" xfId="0" applyFont="1" applyFill="1" applyBorder="1" applyAlignment="1">
      <alignment horizontal="center" vertical="center"/>
    </xf>
    <xf numFmtId="0" fontId="34" fillId="36" borderId="29" xfId="0" applyFont="1" applyFill="1" applyBorder="1" applyAlignment="1">
      <alignment horizontal="center" vertical="center"/>
    </xf>
    <xf numFmtId="0" fontId="34" fillId="36" borderId="82" xfId="0" applyFont="1" applyFill="1" applyBorder="1" applyAlignment="1">
      <alignment horizontal="center" vertical="center"/>
    </xf>
    <xf numFmtId="0" fontId="34" fillId="36" borderId="30" xfId="0" applyFont="1" applyFill="1" applyBorder="1" applyAlignment="1">
      <alignment horizontal="center" vertical="center"/>
    </xf>
    <xf numFmtId="0" fontId="41" fillId="36" borderId="48" xfId="0" applyFont="1" applyFill="1" applyBorder="1" applyAlignment="1">
      <alignment horizontal="right"/>
    </xf>
    <xf numFmtId="0" fontId="41" fillId="36" borderId="52" xfId="0" applyFont="1" applyFill="1" applyBorder="1" applyAlignment="1">
      <alignment horizontal="right"/>
    </xf>
    <xf numFmtId="0" fontId="34" fillId="35" borderId="87" xfId="0" applyFont="1" applyFill="1" applyBorder="1" applyAlignment="1">
      <alignment horizontal="center"/>
    </xf>
    <xf numFmtId="0" fontId="34" fillId="35" borderId="5" xfId="0" applyFont="1" applyFill="1" applyBorder="1" applyAlignment="1">
      <alignment horizontal="center"/>
    </xf>
    <xf numFmtId="0" fontId="42" fillId="36" borderId="48" xfId="0" applyFont="1" applyFill="1" applyBorder="1" applyAlignment="1">
      <alignment horizontal="center" vertical="center"/>
    </xf>
    <xf numFmtId="0" fontId="42" fillId="36" borderId="46" xfId="0" applyFont="1" applyFill="1" applyBorder="1" applyAlignment="1">
      <alignment horizontal="center" vertical="center"/>
    </xf>
    <xf numFmtId="0" fontId="34" fillId="36" borderId="48" xfId="0" applyFont="1" applyFill="1" applyBorder="1" applyAlignment="1">
      <alignment horizontal="center" wrapText="1"/>
    </xf>
    <xf numFmtId="0" fontId="34" fillId="36" borderId="46" xfId="0" applyFont="1" applyFill="1" applyBorder="1" applyAlignment="1">
      <alignment horizontal="center" wrapText="1"/>
    </xf>
    <xf numFmtId="0" fontId="34" fillId="36" borderId="48" xfId="0" applyFont="1" applyFill="1" applyBorder="1" applyAlignment="1">
      <alignment horizontal="center"/>
    </xf>
    <xf numFmtId="0" fontId="34" fillId="36" borderId="46" xfId="0" applyFont="1" applyFill="1" applyBorder="1" applyAlignment="1">
      <alignment horizontal="center"/>
    </xf>
    <xf numFmtId="0" fontId="34" fillId="38" borderId="55" xfId="0" applyFont="1" applyFill="1" applyBorder="1" applyAlignment="1">
      <alignment horizontal="right"/>
    </xf>
    <xf numFmtId="0" fontId="34" fillId="38" borderId="46" xfId="0" applyFont="1" applyFill="1" applyBorder="1" applyAlignment="1">
      <alignment horizontal="right"/>
    </xf>
    <xf numFmtId="0" fontId="41" fillId="9" borderId="8" xfId="0" applyFont="1" applyFill="1" applyBorder="1" applyAlignment="1">
      <alignment horizontal="center" vertical="center"/>
    </xf>
    <xf numFmtId="0" fontId="34" fillId="9" borderId="8" xfId="0" applyFont="1" applyFill="1" applyBorder="1" applyAlignment="1">
      <alignment horizontal="center"/>
    </xf>
    <xf numFmtId="191" fontId="41" fillId="38" borderId="48" xfId="21" applyNumberFormat="1" applyFont="1" applyFill="1" applyBorder="1" applyAlignment="1">
      <alignment horizontal="center" vertical="center"/>
    </xf>
    <xf numFmtId="191" fontId="41" fillId="38" borderId="52" xfId="21" applyNumberFormat="1" applyFont="1" applyFill="1" applyBorder="1" applyAlignment="1">
      <alignment horizontal="center" vertical="center"/>
    </xf>
    <xf numFmtId="191" fontId="41" fillId="38" borderId="46" xfId="21" applyNumberFormat="1" applyFont="1" applyFill="1" applyBorder="1" applyAlignment="1">
      <alignment horizontal="center" vertical="center"/>
    </xf>
    <xf numFmtId="189" fontId="34" fillId="38" borderId="71" xfId="0" applyNumberFormat="1" applyFont="1" applyFill="1" applyBorder="1" applyAlignment="1">
      <alignment horizontal="center"/>
    </xf>
    <xf numFmtId="189" fontId="34" fillId="38" borderId="59" xfId="0" applyNumberFormat="1" applyFont="1" applyFill="1" applyBorder="1" applyAlignment="1">
      <alignment horizontal="center"/>
    </xf>
    <xf numFmtId="178" fontId="34" fillId="38" borderId="48" xfId="0" applyNumberFormat="1" applyFont="1" applyFill="1" applyBorder="1" applyAlignment="1">
      <alignment horizontal="center"/>
    </xf>
    <xf numFmtId="178" fontId="34" fillId="38" borderId="109" xfId="0" applyNumberFormat="1" applyFont="1" applyFill="1" applyBorder="1" applyAlignment="1">
      <alignment horizontal="center"/>
    </xf>
    <xf numFmtId="0" fontId="41" fillId="38" borderId="48" xfId="21" applyFont="1" applyFill="1" applyBorder="1" applyAlignment="1">
      <alignment horizontal="center" vertical="center"/>
    </xf>
    <xf numFmtId="0" fontId="41" fillId="38" borderId="46" xfId="21" applyFont="1" applyFill="1" applyBorder="1" applyAlignment="1">
      <alignment horizontal="center" vertical="center"/>
    </xf>
    <xf numFmtId="178" fontId="33" fillId="0" borderId="48" xfId="0" applyNumberFormat="1" applyFont="1" applyBorder="1" applyAlignment="1">
      <alignment horizontal="center"/>
    </xf>
    <xf numFmtId="178" fontId="33" fillId="0" borderId="46" xfId="0" applyNumberFormat="1" applyFont="1" applyBorder="1" applyAlignment="1">
      <alignment horizontal="center"/>
    </xf>
    <xf numFmtId="0" fontId="41" fillId="18" borderId="48" xfId="0" applyFont="1" applyFill="1" applyBorder="1" applyAlignment="1">
      <alignment horizontal="center"/>
    </xf>
    <xf numFmtId="0" fontId="41" fillId="18" borderId="52" xfId="0" applyFont="1" applyFill="1" applyBorder="1" applyAlignment="1">
      <alignment horizontal="center"/>
    </xf>
    <xf numFmtId="0" fontId="41" fillId="18" borderId="46" xfId="0" applyFont="1" applyFill="1" applyBorder="1" applyAlignment="1">
      <alignment horizontal="center"/>
    </xf>
    <xf numFmtId="178" fontId="118" fillId="0" borderId="48" xfId="0" applyNumberFormat="1" applyFont="1" applyBorder="1" applyAlignment="1">
      <alignment horizontal="center"/>
    </xf>
    <xf numFmtId="178" fontId="118" fillId="0" borderId="52" xfId="0" applyNumberFormat="1" applyFont="1" applyBorder="1" applyAlignment="1">
      <alignment horizontal="center"/>
    </xf>
    <xf numFmtId="178" fontId="118" fillId="0" borderId="46" xfId="0" applyNumberFormat="1" applyFont="1" applyBorder="1" applyAlignment="1">
      <alignment horizontal="center"/>
    </xf>
    <xf numFmtId="0" fontId="41" fillId="35" borderId="9" xfId="0" applyFont="1" applyFill="1" applyBorder="1" applyAlignment="1">
      <alignment horizontal="right"/>
    </xf>
    <xf numFmtId="178" fontId="34" fillId="38" borderId="110" xfId="0" applyNumberFormat="1" applyFont="1" applyFill="1" applyBorder="1" applyAlignment="1">
      <alignment horizontal="center"/>
    </xf>
    <xf numFmtId="178" fontId="34" fillId="38" borderId="111" xfId="0" applyNumberFormat="1" applyFont="1" applyFill="1" applyBorder="1" applyAlignment="1">
      <alignment horizontal="center"/>
    </xf>
    <xf numFmtId="0" fontId="34" fillId="38" borderId="54" xfId="0" applyFont="1" applyFill="1" applyBorder="1" applyAlignment="1">
      <alignment horizontal="right"/>
    </xf>
    <xf numFmtId="0" fontId="34" fillId="38" borderId="53" xfId="0" applyFont="1" applyFill="1" applyBorder="1" applyAlignment="1">
      <alignment horizontal="right"/>
    </xf>
    <xf numFmtId="0" fontId="34" fillId="39" borderId="0" xfId="0" applyFont="1" applyFill="1"/>
    <xf numFmtId="0" fontId="41" fillId="39" borderId="65" xfId="0" applyFont="1" applyFill="1" applyBorder="1" applyAlignment="1">
      <alignment horizontal="center" vertical="center"/>
    </xf>
    <xf numFmtId="0" fontId="41" fillId="39" borderId="31" xfId="0" applyFont="1" applyFill="1" applyBorder="1" applyAlignment="1">
      <alignment horizontal="center" vertical="center"/>
    </xf>
    <xf numFmtId="0" fontId="41" fillId="39" borderId="50" xfId="0" applyFont="1" applyFill="1" applyBorder="1" applyAlignment="1">
      <alignment horizontal="center" vertical="center"/>
    </xf>
    <xf numFmtId="0" fontId="41" fillId="39" borderId="28" xfId="0" applyFont="1" applyFill="1" applyBorder="1" applyAlignment="1">
      <alignment horizontal="center" vertical="center"/>
    </xf>
    <xf numFmtId="0" fontId="6" fillId="56" borderId="48" xfId="0" applyFont="1" applyFill="1" applyBorder="1" applyAlignment="1">
      <alignment horizontal="center"/>
    </xf>
    <xf numFmtId="0" fontId="6" fillId="56" borderId="46" xfId="0" applyFont="1" applyFill="1" applyBorder="1" applyAlignment="1">
      <alignment horizontal="center"/>
    </xf>
    <xf numFmtId="0" fontId="6" fillId="56" borderId="8" xfId="0" applyFont="1" applyFill="1" applyBorder="1" applyAlignment="1">
      <alignment horizontal="center"/>
    </xf>
    <xf numFmtId="0" fontId="6" fillId="56" borderId="12" xfId="0" applyFont="1" applyFill="1" applyBorder="1" applyAlignment="1">
      <alignment horizontal="center"/>
    </xf>
    <xf numFmtId="0" fontId="6" fillId="56" borderId="61" xfId="0" applyFont="1" applyFill="1" applyBorder="1" applyAlignment="1">
      <alignment horizontal="center"/>
    </xf>
    <xf numFmtId="0" fontId="5" fillId="14" borderId="1" xfId="13" applyFont="1" applyBorder="1" applyAlignment="1">
      <alignment horizontal="center"/>
    </xf>
    <xf numFmtId="0" fontId="5" fillId="14" borderId="5" xfId="13" applyFont="1" applyBorder="1" applyAlignment="1">
      <alignment horizontal="center"/>
    </xf>
    <xf numFmtId="0" fontId="5" fillId="14" borderId="2" xfId="13" applyFont="1" applyBorder="1" applyAlignment="1">
      <alignment horizontal="center"/>
    </xf>
    <xf numFmtId="2" fontId="5" fillId="3" borderId="14" xfId="0" applyNumberFormat="1" applyFont="1" applyFill="1" applyBorder="1" applyAlignment="1">
      <alignment horizontal="center" vertical="center" wrapText="1"/>
    </xf>
    <xf numFmtId="2" fontId="5" fillId="3" borderId="6" xfId="0" applyNumberFormat="1" applyFont="1" applyFill="1" applyBorder="1" applyAlignment="1">
      <alignment horizontal="center" vertical="center" wrapText="1"/>
    </xf>
    <xf numFmtId="2" fontId="5" fillId="3" borderId="7" xfId="0" applyNumberFormat="1" applyFont="1" applyFill="1" applyBorder="1" applyAlignment="1">
      <alignment horizontal="center" vertical="center" wrapText="1"/>
    </xf>
    <xf numFmtId="0" fontId="3" fillId="14" borderId="14" xfId="13" applyFont="1" applyBorder="1" applyAlignment="1">
      <alignment horizontal="right"/>
    </xf>
    <xf numFmtId="0" fontId="3" fillId="14" borderId="31" xfId="13" applyFont="1" applyBorder="1" applyAlignment="1">
      <alignment horizontal="right"/>
    </xf>
    <xf numFmtId="0" fontId="5" fillId="14" borderId="50" xfId="13" applyFont="1" applyBorder="1" applyAlignment="1">
      <alignment horizontal="center"/>
    </xf>
    <xf numFmtId="0" fontId="5" fillId="14" borderId="59" xfId="13" applyFont="1" applyBorder="1" applyAlignment="1">
      <alignment horizontal="center"/>
    </xf>
    <xf numFmtId="0" fontId="5" fillId="23" borderId="8" xfId="0" applyFont="1" applyFill="1" applyBorder="1" applyAlignment="1">
      <alignment horizontal="center"/>
    </xf>
    <xf numFmtId="0" fontId="27" fillId="22" borderId="31" xfId="0" applyFont="1" applyFill="1" applyBorder="1" applyAlignment="1">
      <alignment horizontal="center"/>
    </xf>
    <xf numFmtId="0" fontId="21" fillId="34" borderId="1" xfId="0" applyFont="1" applyFill="1" applyBorder="1" applyAlignment="1">
      <alignment horizontal="center"/>
    </xf>
    <xf numFmtId="0" fontId="21" fillId="34" borderId="2" xfId="0" applyFont="1" applyFill="1" applyBorder="1" applyAlignment="1">
      <alignment horizontal="center"/>
    </xf>
    <xf numFmtId="0" fontId="23" fillId="29" borderId="52" xfId="0" applyFont="1" applyFill="1" applyBorder="1" applyAlignment="1">
      <alignment horizontal="center"/>
    </xf>
    <xf numFmtId="0" fontId="23" fillId="28" borderId="52" xfId="0" applyFont="1" applyFill="1" applyBorder="1" applyAlignment="1">
      <alignment horizontal="center"/>
    </xf>
    <xf numFmtId="0" fontId="25" fillId="34" borderId="42" xfId="0" applyFont="1" applyFill="1" applyBorder="1" applyAlignment="1">
      <alignment horizontal="center"/>
    </xf>
    <xf numFmtId="0" fontId="25" fillId="34" borderId="43" xfId="0" applyFont="1" applyFill="1" applyBorder="1" applyAlignment="1">
      <alignment horizontal="center"/>
    </xf>
    <xf numFmtId="0" fontId="25" fillId="34" borderId="44" xfId="0" applyFont="1" applyFill="1" applyBorder="1" applyAlignment="1">
      <alignment horizontal="center"/>
    </xf>
    <xf numFmtId="171" fontId="21" fillId="9" borderId="42" xfId="6" applyFont="1" applyFill="1" applyBorder="1" applyAlignment="1">
      <alignment horizontal="center"/>
    </xf>
    <xf numFmtId="171" fontId="21" fillId="9" borderId="43" xfId="6" applyFont="1" applyFill="1" applyBorder="1" applyAlignment="1">
      <alignment horizontal="center"/>
    </xf>
    <xf numFmtId="171" fontId="21" fillId="9" borderId="44" xfId="6" applyFont="1" applyFill="1" applyBorder="1" applyAlignment="1">
      <alignment horizontal="center"/>
    </xf>
    <xf numFmtId="0" fontId="29" fillId="28" borderId="52" xfId="0" applyFont="1" applyFill="1" applyBorder="1" applyAlignment="1">
      <alignment horizontal="center"/>
    </xf>
    <xf numFmtId="0" fontId="5" fillId="5" borderId="3" xfId="0" applyFont="1" applyFill="1" applyBorder="1" applyAlignment="1">
      <alignment horizontal="center"/>
    </xf>
    <xf numFmtId="0" fontId="5" fillId="5" borderId="9" xfId="0" applyFont="1" applyFill="1" applyBorder="1" applyAlignment="1">
      <alignment horizontal="center"/>
    </xf>
    <xf numFmtId="0" fontId="5" fillId="5" borderId="4" xfId="0" applyFont="1" applyFill="1" applyBorder="1" applyAlignment="1">
      <alignment horizontal="center"/>
    </xf>
    <xf numFmtId="0" fontId="3" fillId="0" borderId="0" xfId="0" applyFont="1" applyAlignment="1">
      <alignment horizontal="center"/>
    </xf>
    <xf numFmtId="0" fontId="5" fillId="0" borderId="65" xfId="0" applyFont="1" applyBorder="1" applyAlignment="1">
      <alignment horizontal="center"/>
    </xf>
    <xf numFmtId="0" fontId="5" fillId="0" borderId="50" xfId="0" applyFont="1" applyBorder="1" applyAlignment="1">
      <alignment horizontal="center"/>
    </xf>
    <xf numFmtId="0" fontId="5" fillId="0" borderId="59" xfId="0" applyFont="1" applyBorder="1" applyAlignment="1">
      <alignment horizontal="center"/>
    </xf>
    <xf numFmtId="0" fontId="5" fillId="17" borderId="1" xfId="0" applyFont="1" applyFill="1" applyBorder="1" applyAlignment="1">
      <alignment horizontal="center"/>
    </xf>
    <xf numFmtId="0" fontId="5" fillId="17" borderId="2" xfId="0" applyFont="1" applyFill="1" applyBorder="1" applyAlignment="1">
      <alignment horizontal="center"/>
    </xf>
    <xf numFmtId="0" fontId="3" fillId="0" borderId="0" xfId="0" applyFont="1"/>
    <xf numFmtId="0" fontId="5" fillId="17" borderId="6" xfId="0" applyFont="1" applyFill="1" applyBorder="1" applyAlignment="1">
      <alignment horizontal="center"/>
    </xf>
    <xf numFmtId="0" fontId="5" fillId="17" borderId="29" xfId="0" applyFont="1" applyFill="1" applyBorder="1" applyAlignment="1">
      <alignment horizontal="center"/>
    </xf>
    <xf numFmtId="0" fontId="12" fillId="5" borderId="3" xfId="0" applyFont="1" applyFill="1" applyBorder="1" applyAlignment="1">
      <alignment horizontal="center"/>
    </xf>
    <xf numFmtId="0" fontId="12" fillId="5" borderId="9" xfId="0" applyFont="1" applyFill="1" applyBorder="1" applyAlignment="1">
      <alignment horizontal="center"/>
    </xf>
    <xf numFmtId="0" fontId="12" fillId="5" borderId="4" xfId="0" applyFont="1" applyFill="1" applyBorder="1" applyAlignment="1">
      <alignment horizontal="center"/>
    </xf>
    <xf numFmtId="0" fontId="5" fillId="26" borderId="1" xfId="18" applyFont="1" applyBorder="1" applyAlignment="1">
      <alignment horizontal="center"/>
    </xf>
    <xf numFmtId="0" fontId="5" fillId="26" borderId="2" xfId="18" applyFont="1" applyBorder="1" applyAlignment="1">
      <alignment horizontal="center"/>
    </xf>
    <xf numFmtId="0" fontId="5" fillId="0" borderId="1" xfId="0" applyFont="1" applyBorder="1" applyAlignment="1">
      <alignment horizontal="center"/>
    </xf>
    <xf numFmtId="0" fontId="5" fillId="0" borderId="5" xfId="0" applyFont="1" applyBorder="1" applyAlignment="1">
      <alignment horizontal="center"/>
    </xf>
    <xf numFmtId="0" fontId="5" fillId="0" borderId="2" xfId="0" applyFont="1" applyBorder="1" applyAlignment="1">
      <alignment horizontal="center"/>
    </xf>
    <xf numFmtId="0" fontId="41" fillId="0" borderId="33" xfId="22" applyFont="1" applyFill="1" applyBorder="1" applyAlignment="1">
      <alignment horizontal="center" vertical="center"/>
    </xf>
    <xf numFmtId="0" fontId="41" fillId="0" borderId="34" xfId="22" applyFont="1" applyFill="1" applyBorder="1" applyAlignment="1">
      <alignment horizontal="center" vertical="center"/>
    </xf>
    <xf numFmtId="0" fontId="41" fillId="6" borderId="33" xfId="0" applyFont="1" applyFill="1" applyBorder="1" applyAlignment="1">
      <alignment horizontal="center"/>
    </xf>
    <xf numFmtId="0" fontId="41" fillId="6" borderId="34" xfId="0" applyFont="1" applyFill="1" applyBorder="1" applyAlignment="1">
      <alignment horizontal="center"/>
    </xf>
    <xf numFmtId="0" fontId="41" fillId="6" borderId="35" xfId="0" applyFont="1" applyFill="1" applyBorder="1" applyAlignment="1">
      <alignment horizontal="center"/>
    </xf>
    <xf numFmtId="0" fontId="5" fillId="11" borderId="0" xfId="0" applyFont="1" applyFill="1" applyAlignment="1">
      <alignment horizontal="center" wrapText="1"/>
    </xf>
    <xf numFmtId="0" fontId="41" fillId="6" borderId="71" xfId="0" applyFont="1" applyFill="1" applyBorder="1" applyAlignment="1">
      <alignment horizontal="center"/>
    </xf>
    <xf numFmtId="0" fontId="41" fillId="6" borderId="50" xfId="0" applyFont="1" applyFill="1" applyBorder="1" applyAlignment="1">
      <alignment horizontal="center"/>
    </xf>
    <xf numFmtId="0" fontId="3" fillId="0" borderId="0" xfId="0" applyFont="1" applyAlignment="1">
      <alignment wrapText="1"/>
    </xf>
    <xf numFmtId="0" fontId="41" fillId="6" borderId="65" xfId="0" applyFont="1" applyFill="1" applyBorder="1" applyAlignment="1">
      <alignment horizontal="center"/>
    </xf>
    <xf numFmtId="0" fontId="41" fillId="6" borderId="59" xfId="0" applyFont="1" applyFill="1" applyBorder="1" applyAlignment="1">
      <alignment horizontal="center"/>
    </xf>
    <xf numFmtId="0" fontId="5" fillId="0" borderId="14" xfId="0" applyFont="1" applyBorder="1" applyAlignment="1">
      <alignment horizontal="center"/>
    </xf>
    <xf numFmtId="0" fontId="5" fillId="0" borderId="31" xfId="0" applyFont="1" applyBorder="1" applyAlignment="1">
      <alignment horizontal="center"/>
    </xf>
    <xf numFmtId="0" fontId="5" fillId="0" borderId="28" xfId="0" applyFont="1" applyBorder="1" applyAlignment="1">
      <alignment horizontal="center"/>
    </xf>
    <xf numFmtId="0" fontId="0" fillId="35" borderId="0" xfId="0" applyFill="1" applyAlignment="1">
      <alignment horizontal="center" vertical="center"/>
    </xf>
    <xf numFmtId="0" fontId="5" fillId="38" borderId="0" xfId="0" applyFont="1" applyFill="1" applyAlignment="1">
      <alignment horizontal="center"/>
    </xf>
    <xf numFmtId="0" fontId="53" fillId="38" borderId="0" xfId="0" applyFont="1" applyFill="1" applyAlignment="1">
      <alignment horizontal="center"/>
    </xf>
    <xf numFmtId="0" fontId="81" fillId="0" borderId="114" xfId="0" applyFont="1" applyBorder="1" applyAlignment="1">
      <alignment vertical="center" wrapText="1"/>
    </xf>
    <xf numFmtId="191" fontId="85" fillId="0" borderId="116" xfId="0" applyNumberFormat="1" applyFont="1" applyBorder="1" applyAlignment="1">
      <alignment horizontal="right" vertical="center" wrapText="1"/>
    </xf>
    <xf numFmtId="0" fontId="85" fillId="0" borderId="116" xfId="0" applyFont="1" applyBorder="1" applyAlignment="1">
      <alignment horizontal="right" vertical="center" wrapText="1"/>
    </xf>
    <xf numFmtId="9" fontId="85" fillId="0" borderId="117" xfId="0" applyNumberFormat="1" applyFont="1" applyBorder="1" applyAlignment="1">
      <alignment horizontal="right" vertical="center" wrapText="1"/>
    </xf>
    <xf numFmtId="0" fontId="85" fillId="0" borderId="117" xfId="0" applyFont="1" applyBorder="1" applyAlignment="1">
      <alignment horizontal="right" vertical="center" wrapText="1"/>
    </xf>
    <xf numFmtId="165" fontId="85" fillId="0" borderId="117" xfId="0" applyNumberFormat="1" applyFont="1" applyBorder="1" applyAlignment="1">
      <alignment horizontal="right" vertical="center" wrapText="1"/>
    </xf>
    <xf numFmtId="0" fontId="75" fillId="0" borderId="116" xfId="0" applyFont="1" applyBorder="1" applyAlignment="1">
      <alignment vertical="center" wrapText="1"/>
    </xf>
    <xf numFmtId="164" fontId="76" fillId="0" borderId="116" xfId="0" applyNumberFormat="1" applyFont="1" applyBorder="1" applyAlignment="1">
      <alignment horizontal="right" vertical="center" wrapText="1"/>
    </xf>
    <xf numFmtId="0" fontId="82" fillId="0" borderId="114" xfId="0" applyFont="1" applyBorder="1" applyAlignment="1">
      <alignment vertical="center" wrapText="1"/>
    </xf>
    <xf numFmtId="0" fontId="120" fillId="0" borderId="114" xfId="0" applyFont="1" applyBorder="1" applyAlignment="1">
      <alignment vertical="center" wrapText="1"/>
    </xf>
    <xf numFmtId="0" fontId="75" fillId="0" borderId="117" xfId="0" applyFont="1" applyBorder="1" applyAlignment="1">
      <alignment vertical="center" wrapText="1"/>
    </xf>
    <xf numFmtId="191" fontId="76" fillId="6" borderId="117" xfId="0" applyNumberFormat="1" applyFont="1" applyFill="1" applyBorder="1" applyAlignment="1">
      <alignment horizontal="right" vertical="center" wrapText="1"/>
    </xf>
    <xf numFmtId="0" fontId="76" fillId="6" borderId="117" xfId="0" applyFont="1" applyFill="1" applyBorder="1" applyAlignment="1">
      <alignment horizontal="right" vertical="center" wrapText="1"/>
    </xf>
    <xf numFmtId="164" fontId="76" fillId="6" borderId="117" xfId="0" applyNumberFormat="1" applyFont="1" applyFill="1" applyBorder="1" applyAlignment="1">
      <alignment horizontal="right" vertical="center" wrapText="1"/>
    </xf>
    <xf numFmtId="9" fontId="76" fillId="6" borderId="116" xfId="1" applyFont="1" applyFill="1" applyBorder="1" applyAlignment="1">
      <alignment horizontal="right" vertical="center" wrapText="1"/>
    </xf>
    <xf numFmtId="0" fontId="86" fillId="0" borderId="117" xfId="0" applyFont="1" applyBorder="1" applyAlignment="1">
      <alignment vertical="center" wrapText="1"/>
    </xf>
    <xf numFmtId="164" fontId="87" fillId="0" borderId="117" xfId="0" applyNumberFormat="1" applyFont="1" applyBorder="1" applyAlignment="1">
      <alignment horizontal="right" vertical="center" wrapText="1"/>
    </xf>
    <xf numFmtId="0" fontId="87" fillId="0" borderId="117" xfId="0" applyFont="1" applyBorder="1" applyAlignment="1">
      <alignment horizontal="right" vertical="center" wrapText="1"/>
    </xf>
    <xf numFmtId="165" fontId="76" fillId="0" borderId="117" xfId="0" applyNumberFormat="1" applyFont="1" applyBorder="1" applyAlignment="1">
      <alignment horizontal="right" vertical="center" wrapText="1"/>
    </xf>
    <xf numFmtId="164" fontId="76" fillId="0" borderId="117" xfId="0" applyNumberFormat="1" applyFont="1" applyBorder="1" applyAlignment="1">
      <alignment horizontal="right" vertical="center" wrapText="1"/>
    </xf>
    <xf numFmtId="0" fontId="76" fillId="0" borderId="117" xfId="0" applyFont="1" applyBorder="1" applyAlignment="1">
      <alignment horizontal="right" vertical="center" wrapText="1"/>
    </xf>
    <xf numFmtId="0" fontId="86" fillId="0" borderId="116" xfId="0" applyFont="1" applyBorder="1" applyAlignment="1">
      <alignment vertical="center" wrapText="1"/>
    </xf>
    <xf numFmtId="164" fontId="87" fillId="0" borderId="116" xfId="0" applyNumberFormat="1" applyFont="1" applyBorder="1" applyAlignment="1">
      <alignment horizontal="right" vertical="center" wrapText="1"/>
    </xf>
    <xf numFmtId="165" fontId="87" fillId="0" borderId="117" xfId="0" applyNumberFormat="1" applyFont="1" applyBorder="1" applyAlignment="1">
      <alignment horizontal="right" vertical="center" wrapText="1"/>
    </xf>
    <xf numFmtId="0" fontId="75" fillId="0" borderId="120" xfId="0" applyFont="1" applyBorder="1" applyAlignment="1">
      <alignment vertical="center" wrapText="1"/>
    </xf>
    <xf numFmtId="0" fontId="92" fillId="0" borderId="0" xfId="0" applyFont="1" applyAlignment="1">
      <alignment horizontal="center" vertical="center"/>
    </xf>
    <xf numFmtId="0" fontId="96" fillId="0" borderId="0" xfId="0" applyFont="1" applyAlignment="1">
      <alignment horizontal="center" vertical="center"/>
    </xf>
    <xf numFmtId="0" fontId="99" fillId="0" borderId="0" xfId="0" applyFont="1" applyAlignment="1">
      <alignment horizontal="center" vertical="center"/>
    </xf>
    <xf numFmtId="0" fontId="0" fillId="0" borderId="0" xfId="0"/>
    <xf numFmtId="0" fontId="5" fillId="0" borderId="48" xfId="0" applyFont="1" applyBorder="1" applyAlignment="1">
      <alignment horizontal="center"/>
    </xf>
    <xf numFmtId="0" fontId="5" fillId="0" borderId="52" xfId="0" applyFont="1" applyBorder="1" applyAlignment="1">
      <alignment horizontal="center"/>
    </xf>
    <xf numFmtId="0" fontId="5" fillId="0" borderId="46" xfId="0" applyFont="1" applyBorder="1" applyAlignment="1">
      <alignment horizontal="center"/>
    </xf>
    <xf numFmtId="0" fontId="106" fillId="0" borderId="8" xfId="0" applyFont="1" applyBorder="1" applyAlignment="1">
      <alignment horizontal="center"/>
    </xf>
    <xf numFmtId="0" fontId="106" fillId="0" borderId="63" xfId="0" applyFont="1" applyBorder="1" applyAlignment="1">
      <alignment horizontal="center"/>
    </xf>
    <xf numFmtId="0" fontId="132" fillId="0" borderId="15" xfId="0" applyFont="1" applyBorder="1" applyAlignment="1">
      <alignment horizontal="left" vertical="center" wrapText="1"/>
    </xf>
    <xf numFmtId="0" fontId="132" fillId="0" borderId="17" xfId="0" applyFont="1" applyBorder="1" applyAlignment="1">
      <alignment horizontal="left" vertical="center" wrapText="1"/>
    </xf>
    <xf numFmtId="0" fontId="124" fillId="46" borderId="130" xfId="0" applyFont="1" applyFill="1" applyBorder="1" applyAlignment="1">
      <alignment horizontal="justify" vertical="center" wrapText="1"/>
    </xf>
    <xf numFmtId="0" fontId="124" fillId="46" borderId="131" xfId="0" applyFont="1" applyFill="1" applyBorder="1" applyAlignment="1">
      <alignment horizontal="justify" vertical="center" wrapText="1"/>
    </xf>
    <xf numFmtId="0" fontId="124" fillId="45" borderId="130" xfId="0" applyFont="1" applyFill="1" applyBorder="1" applyAlignment="1">
      <alignment horizontal="justify" vertical="center" wrapText="1"/>
    </xf>
    <xf numFmtId="0" fontId="124" fillId="45" borderId="131" xfId="0" applyFont="1" applyFill="1" applyBorder="1" applyAlignment="1">
      <alignment horizontal="justify" vertical="center" wrapText="1"/>
    </xf>
    <xf numFmtId="0" fontId="107" fillId="0" borderId="15" xfId="0" applyFont="1" applyBorder="1" applyAlignment="1">
      <alignment horizontal="center" wrapText="1"/>
    </xf>
    <xf numFmtId="0" fontId="107" fillId="0" borderId="17" xfId="0" applyFont="1" applyBorder="1" applyAlignment="1">
      <alignment horizontal="center" wrapText="1"/>
    </xf>
    <xf numFmtId="0" fontId="104" fillId="0" borderId="14" xfId="0" applyFont="1" applyBorder="1" applyAlignment="1">
      <alignment horizontal="center" wrapText="1"/>
    </xf>
    <xf numFmtId="0" fontId="104" fillId="0" borderId="6" xfId="0" applyFont="1" applyBorder="1" applyAlignment="1">
      <alignment horizontal="center" wrapText="1"/>
    </xf>
    <xf numFmtId="0" fontId="104" fillId="0" borderId="15" xfId="0" applyFont="1" applyBorder="1" applyAlignment="1">
      <alignment horizontal="center" wrapText="1"/>
    </xf>
    <xf numFmtId="0" fontId="104" fillId="0" borderId="16" xfId="0" applyFont="1" applyBorder="1" applyAlignment="1">
      <alignment horizontal="center" wrapText="1"/>
    </xf>
    <xf numFmtId="0" fontId="104" fillId="0" borderId="28" xfId="0" applyFont="1" applyBorder="1" applyAlignment="1">
      <alignment horizontal="center" wrapText="1"/>
    </xf>
    <xf numFmtId="0" fontId="104" fillId="0" borderId="30" xfId="0" applyFont="1" applyBorder="1" applyAlignment="1">
      <alignment horizontal="center" wrapText="1"/>
    </xf>
    <xf numFmtId="0" fontId="109" fillId="0" borderId="0" xfId="0" applyFont="1" applyAlignment="1">
      <alignment horizontal="center" vertical="center" wrapText="1"/>
    </xf>
    <xf numFmtId="0" fontId="108" fillId="0" borderId="0" xfId="0" applyFont="1" applyAlignment="1">
      <alignment horizontal="left" wrapText="1"/>
    </xf>
    <xf numFmtId="223" fontId="0" fillId="0" borderId="0" xfId="0" applyNumberFormat="1" applyAlignment="1">
      <alignment horizontal="right" vertical="center"/>
    </xf>
  </cellXfs>
  <cellStyles count="24">
    <cellStyle name="20% - Accent1" xfId="12" builtinId="30"/>
    <cellStyle name="20% - Accent2" xfId="13" builtinId="34"/>
    <cellStyle name="20% - Accent3" xfId="14" builtinId="38"/>
    <cellStyle name="20% - Accent4" xfId="22" builtinId="42"/>
    <cellStyle name="40% - Accent3" xfId="21" builtinId="39"/>
    <cellStyle name="40% - Accent4" xfId="20" builtinId="43"/>
    <cellStyle name="40% - Accent5" xfId="18" builtinId="47"/>
    <cellStyle name="40% - Accent6" xfId="19" builtinId="51"/>
    <cellStyle name="60% - Accent2" xfId="17" builtinId="36"/>
    <cellStyle name="Accent2" xfId="16" builtinId="33"/>
    <cellStyle name="Check Cell" xfId="10" builtinId="23"/>
    <cellStyle name="Comma" xfId="2" builtinId="3"/>
    <cellStyle name="Comma 2" xfId="3" xr:uid="{00000000-0005-0000-0000-00000D000000}"/>
    <cellStyle name="Comma 2 2" xfId="7" xr:uid="{00000000-0005-0000-0000-00000E000000}"/>
    <cellStyle name="Comma 4" xfId="23" xr:uid="{C87D3B6F-8AD7-6343-8997-525C594C1175}"/>
    <cellStyle name="Currency" xfId="6" builtinId="4"/>
    <cellStyle name="Currency 2" xfId="5" xr:uid="{00000000-0005-0000-0000-000010000000}"/>
    <cellStyle name="Currency 3" xfId="8" xr:uid="{00000000-0005-0000-0000-000011000000}"/>
    <cellStyle name="Currency 4" xfId="15" xr:uid="{00000000-0005-0000-0000-000012000000}"/>
    <cellStyle name="Explanatory Text" xfId="11" builtinId="53"/>
    <cellStyle name="Normal" xfId="0" builtinId="0"/>
    <cellStyle name="Output" xfId="9" builtinId="21"/>
    <cellStyle name="Output 2" xfId="4" xr:uid="{00000000-0005-0000-0000-000017000000}"/>
    <cellStyle name="Percent" xfId="1" builtinId="5"/>
  </cellStyles>
  <dxfs count="31">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FF0000"/>
      </font>
    </dxf>
    <dxf>
      <font>
        <b/>
        <i val="0"/>
        <color rgb="FFFF0000"/>
      </font>
      <fill>
        <patternFill>
          <bgColor rgb="FFFFC000"/>
        </patternFill>
      </fill>
    </dxf>
    <dxf>
      <font>
        <color rgb="FFFF0000"/>
      </font>
      <fill>
        <patternFill>
          <bgColor rgb="FFFFC000"/>
        </patternFill>
      </fill>
    </dxf>
    <dxf>
      <fill>
        <patternFill>
          <bgColor rgb="FFFF0000"/>
        </patternFill>
      </fill>
    </dxf>
    <dxf>
      <font>
        <color theme="0" tint="-0.24994659260841701"/>
      </font>
      <fill>
        <patternFill>
          <bgColor theme="0" tint="-0.24994659260841701"/>
        </patternFill>
      </fill>
    </dxf>
    <dxf>
      <fill>
        <patternFill>
          <bgColor rgb="FFFFC000"/>
        </patternFill>
      </fill>
    </dxf>
    <dxf>
      <font>
        <color auto="1"/>
      </font>
      <fill>
        <patternFill>
          <bgColor rgb="FFFF0000"/>
        </patternFill>
      </fill>
    </dxf>
    <dxf>
      <font>
        <color theme="5"/>
      </font>
      <fill>
        <patternFill>
          <bgColor theme="1"/>
        </patternFill>
      </fill>
    </dxf>
    <dxf>
      <font>
        <color theme="1"/>
      </font>
      <fill>
        <patternFill>
          <bgColor theme="3"/>
        </patternFill>
      </fill>
    </dxf>
    <dxf>
      <font>
        <color theme="8" tint="0.59996337778862885"/>
      </font>
      <fill>
        <patternFill>
          <bgColor theme="8" tint="0.59996337778862885"/>
        </patternFill>
      </fill>
    </dxf>
    <dxf>
      <font>
        <color auto="1"/>
      </font>
      <fill>
        <patternFill>
          <bgColor theme="0"/>
        </patternFill>
      </fill>
    </dxf>
    <dxf>
      <font>
        <color rgb="FFA1AFA0"/>
      </font>
      <fill>
        <patternFill>
          <bgColor rgb="FFA1AFA0"/>
        </patternFill>
      </fill>
    </dxf>
    <dxf>
      <font>
        <color auto="1"/>
      </font>
      <fill>
        <patternFill>
          <bgColor theme="0"/>
        </patternFill>
      </fill>
    </dxf>
    <dxf>
      <font>
        <color rgb="FFA1AFA0"/>
      </font>
      <fill>
        <patternFill>
          <bgColor rgb="FFA1AFA0"/>
        </patternFill>
      </fill>
    </dxf>
    <dxf>
      <font>
        <color rgb="FFA1AFA0"/>
      </font>
      <fill>
        <patternFill>
          <bgColor rgb="FFA1AFA0"/>
        </patternFill>
      </fill>
    </dxf>
    <dxf>
      <font>
        <color rgb="FFA1AFA0"/>
      </font>
      <fill>
        <patternFill>
          <bgColor rgb="FFA1AFA0"/>
        </patternFill>
      </fill>
    </dxf>
    <dxf>
      <font>
        <color rgb="FFA1AFA0"/>
      </font>
      <fill>
        <patternFill>
          <bgColor rgb="FFA1AFA0"/>
        </patternFill>
      </fill>
    </dxf>
    <dxf>
      <font>
        <color rgb="FFA1AFA0"/>
      </font>
      <fill>
        <patternFill>
          <bgColor rgb="FFA1AFA0"/>
        </patternFill>
      </fill>
    </dxf>
    <dxf>
      <font>
        <color rgb="FFA1AFA0"/>
      </font>
      <fill>
        <patternFill>
          <bgColor rgb="FFA1AFA0"/>
        </patternFill>
      </fill>
    </dxf>
    <dxf>
      <font>
        <color rgb="FFA1AFA0"/>
      </font>
      <fill>
        <patternFill>
          <bgColor rgb="FFA1AFA0"/>
        </patternFill>
      </fill>
    </dxf>
    <dxf>
      <font>
        <color rgb="FFA1AFA0"/>
      </font>
      <numFmt numFmtId="0" formatCode="General"/>
      <fill>
        <patternFill>
          <bgColor rgb="FFA1AFA0"/>
        </patternFill>
      </fill>
    </dxf>
    <dxf>
      <font>
        <color rgb="FFA1AFA0"/>
      </font>
      <numFmt numFmtId="0" formatCode="General"/>
      <fill>
        <patternFill>
          <bgColor rgb="FFA1AFA0"/>
        </patternFill>
      </fill>
    </dxf>
  </dxfs>
  <tableStyles count="0" defaultTableStyle="TableStyleMedium2" defaultPivotStyle="PivotStyleLight16"/>
  <colors>
    <mruColors>
      <color rgb="FFFFB9B9"/>
      <color rgb="FF000000"/>
      <color rgb="FFA1AFA0"/>
      <color rgb="FF1A9939"/>
      <color rgb="FFF4F8F4"/>
      <color rgb="FFFAF4EF"/>
      <color rgb="FF3D4A3C"/>
      <color rgb="FF54AF18"/>
      <color rgb="FFFF0000"/>
      <color rgb="FF121B4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tyles" Target="styles.xml"/><Relationship Id="rId30" Type="http://schemas.microsoft.com/office/2017/10/relationships/person" Target="persons/person.xml"/><Relationship Id="rId35" Type="http://schemas.microsoft.com/office/2006/relationships/vbaProject" Target="vbaProject.bin"/><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2"/>
                </a:solidFill>
                <a:latin typeface="+mn-lt"/>
                <a:ea typeface="+mn-ea"/>
                <a:cs typeface="+mn-cs"/>
              </a:defRPr>
            </a:pPr>
            <a:r>
              <a:rPr lang="en-ZA" sz="1800"/>
              <a:t>Solar PV</a:t>
            </a:r>
            <a:r>
              <a:rPr lang="en-ZA" sz="1800" baseline="0"/>
              <a:t> vs Customer Consumption </a:t>
            </a:r>
            <a:endParaRPr lang="en-ZA" sz="1800"/>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2"/>
              </a:solidFill>
              <a:latin typeface="+mn-lt"/>
              <a:ea typeface="+mn-ea"/>
              <a:cs typeface="+mn-cs"/>
            </a:defRPr>
          </a:pPr>
          <a:endParaRPr lang="en-ZA"/>
        </a:p>
      </c:txPr>
    </c:title>
    <c:autoTitleDeleted val="0"/>
    <c:plotArea>
      <c:layout/>
      <c:barChart>
        <c:barDir val="col"/>
        <c:grouping val="clustered"/>
        <c:varyColors val="0"/>
        <c:ser>
          <c:idx val="0"/>
          <c:order val="0"/>
          <c:tx>
            <c:v>Client Consumption Load</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'Design Inputs'!$C$22:$C$33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'Design Inputs'!$C$78:$C$89</c:f>
              <c:numCache>
                <c:formatCode>0</c:formatCode>
                <c:ptCount val="12"/>
                <c:pt idx="0">
                  <c:v>49340.32</c:v>
                </c:pt>
                <c:pt idx="1">
                  <c:v>55321.440000000002</c:v>
                </c:pt>
                <c:pt idx="2">
                  <c:v>50704.32</c:v>
                </c:pt>
                <c:pt idx="3">
                  <c:v>48446.400000000001</c:v>
                </c:pt>
                <c:pt idx="4">
                  <c:v>50376.480000000003</c:v>
                </c:pt>
                <c:pt idx="5">
                  <c:v>52984</c:v>
                </c:pt>
                <c:pt idx="6">
                  <c:v>51941.919999999998</c:v>
                </c:pt>
                <c:pt idx="7">
                  <c:v>57959.839999999997</c:v>
                </c:pt>
                <c:pt idx="8">
                  <c:v>50066.879999999997</c:v>
                </c:pt>
                <c:pt idx="9">
                  <c:v>44910.080000000002</c:v>
                </c:pt>
                <c:pt idx="10">
                  <c:v>51417.120000000003</c:v>
                </c:pt>
                <c:pt idx="11">
                  <c:v>42398.879999999997</c:v>
                </c:pt>
              </c:numCache>
            </c:numRef>
          </c:val>
          <c:extLst>
            <c:ext xmlns:c16="http://schemas.microsoft.com/office/drawing/2014/chart" uri="{C3380CC4-5D6E-409C-BE32-E72D297353CC}">
              <c16:uniqueId val="{00000000-FC4B-4DD5-BDCF-E6B9A49B4B77}"/>
            </c:ext>
          </c:extLst>
        </c:ser>
        <c:ser>
          <c:idx val="1"/>
          <c:order val="1"/>
          <c:tx>
            <c:v>Solar PV Production</c:v>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cat>
            <c:strRef>
              <c:f>'Design Inputs'!$C$22:$C$33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'Design Inputs'!$D$78:$D$89</c:f>
              <c:numCache>
                <c:formatCode>0</c:formatCode>
                <c:ptCount val="12"/>
                <c:pt idx="0">
                  <c:v>84596.543010617708</c:v>
                </c:pt>
                <c:pt idx="1">
                  <c:v>71688.707399836348</c:v>
                </c:pt>
                <c:pt idx="2">
                  <c:v>72499.688659293955</c:v>
                </c:pt>
                <c:pt idx="3">
                  <c:v>59931.175751214534</c:v>
                </c:pt>
                <c:pt idx="4">
                  <c:v>56619.386172843719</c:v>
                </c:pt>
                <c:pt idx="5">
                  <c:v>50535.330113398151</c:v>
                </c:pt>
                <c:pt idx="6">
                  <c:v>56174.873432304194</c:v>
                </c:pt>
                <c:pt idx="7">
                  <c:v>65930.401134984641</c:v>
                </c:pt>
                <c:pt idx="8">
                  <c:v>73795.901383615332</c:v>
                </c:pt>
                <c:pt idx="9">
                  <c:v>80694.331929545515</c:v>
                </c:pt>
                <c:pt idx="10">
                  <c:v>82587.752610622279</c:v>
                </c:pt>
                <c:pt idx="11">
                  <c:v>88318.913059257844</c:v>
                </c:pt>
              </c:numCache>
            </c:numRef>
          </c:val>
          <c:extLst>
            <c:ext xmlns:c16="http://schemas.microsoft.com/office/drawing/2014/chart" uri="{C3380CC4-5D6E-409C-BE32-E72D297353CC}">
              <c16:uniqueId val="{00000001-FC4B-4DD5-BDCF-E6B9A49B4B77}"/>
            </c:ext>
          </c:extLst>
        </c:ser>
        <c:dLbls>
          <c:showLegendKey val="0"/>
          <c:showVal val="0"/>
          <c:showCatName val="0"/>
          <c:showSerName val="0"/>
          <c:showPercent val="0"/>
          <c:showBubbleSize val="0"/>
        </c:dLbls>
        <c:gapWidth val="150"/>
        <c:axId val="1572237872"/>
        <c:axId val="1572250928"/>
      </c:barChart>
      <c:catAx>
        <c:axId val="157223787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572250928"/>
        <c:crosses val="autoZero"/>
        <c:auto val="1"/>
        <c:lblAlgn val="ctr"/>
        <c:lblOffset val="100"/>
        <c:noMultiLvlLbl val="1"/>
      </c:catAx>
      <c:valAx>
        <c:axId val="1572250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ZA" sz="1200"/>
                  <a:t>Energy</a:t>
                </a:r>
                <a:r>
                  <a:rPr lang="en-ZA" sz="1200" baseline="0"/>
                  <a:t> (kWh)</a:t>
                </a:r>
                <a:endParaRPr lang="en-ZA" sz="1200"/>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ZA"/>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572237872"/>
        <c:crosses val="autoZero"/>
        <c:crossBetween val="between"/>
        <c:dispUnits>
          <c:builtInUnit val="thousands"/>
          <c:dispUnitsLbl>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ZA">
                <a:solidFill>
                  <a:sysClr val="windowText" lastClr="000000"/>
                </a:solidFill>
              </a:rPr>
              <a:t>ISA Comparing</a:t>
            </a:r>
            <a:r>
              <a:rPr lang="en-ZA" baseline="0">
                <a:solidFill>
                  <a:sysClr val="windowText" lastClr="000000"/>
                </a:solidFill>
              </a:rPr>
              <a:t> Term Lengths over 15 Years </a:t>
            </a:r>
            <a:endParaRPr lang="en-ZA">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ZA"/>
        </a:p>
      </c:txPr>
    </c:title>
    <c:autoTitleDeleted val="0"/>
    <c:plotArea>
      <c:layout>
        <c:manualLayout>
          <c:layoutTarget val="inner"/>
          <c:xMode val="edge"/>
          <c:yMode val="edge"/>
          <c:x val="0.11699355782919561"/>
          <c:y val="9.5399566645107833E-2"/>
          <c:w val="0.74545758114265637"/>
          <c:h val="0.87624992364438603"/>
        </c:manualLayout>
      </c:layout>
      <c:lineChart>
        <c:grouping val="standard"/>
        <c:varyColors val="0"/>
        <c:ser>
          <c:idx val="0"/>
          <c:order val="0"/>
          <c:tx>
            <c:v>10 Year ISA</c:v>
          </c:tx>
          <c:spPr>
            <a:ln w="28575" cap="rnd">
              <a:solidFill>
                <a:schemeClr val="accent1"/>
              </a:solidFill>
              <a:round/>
            </a:ln>
            <a:effectLst/>
          </c:spPr>
          <c:marker>
            <c:symbol val="none"/>
          </c:marker>
          <c:val>
            <c:numRef>
              <c:f>Cashflows!$C$51:$W$51</c:f>
              <c:numCache>
                <c:formatCode>#,##0</c:formatCode>
                <c:ptCount val="21"/>
                <c:pt idx="1">
                  <c:v>2172.4151176388559</c:v>
                </c:pt>
                <c:pt idx="2">
                  <c:v>2366.3016791181799</c:v>
                </c:pt>
                <c:pt idx="3">
                  <c:v>2726.9986804333657</c:v>
                </c:pt>
                <c:pt idx="4">
                  <c:v>3266.8603773081163</c:v>
                </c:pt>
                <c:pt idx="5">
                  <c:v>3999.151117390682</c:v>
                </c:pt>
                <c:pt idx="6">
                  <c:v>6994.5352022888928</c:v>
                </c:pt>
                <c:pt idx="7">
                  <c:v>10210.529391819713</c:v>
                </c:pt>
                <c:pt idx="8">
                  <c:v>13663.380203545496</c:v>
                </c:pt>
                <c:pt idx="9">
                  <c:v>17370.530507386658</c:v>
                </c:pt>
                <c:pt idx="10">
                  <c:v>21350.707615034138</c:v>
                </c:pt>
                <c:pt idx="11">
                  <c:v>25624.017855046528</c:v>
                </c:pt>
                <c:pt idx="12">
                  <c:v>30212.04811111404</c:v>
                </c:pt>
                <c:pt idx="13">
                  <c:v>35137.974836121706</c:v>
                </c:pt>
                <c:pt idx="14">
                  <c:v>40426.681092381994</c:v>
                </c:pt>
                <c:pt idx="15">
                  <c:v>46104.882208922703</c:v>
                </c:pt>
                <c:pt idx="16">
                  <c:v>52201.260690214054</c:v>
                </c:pt>
                <c:pt idx="17">
                  <c:v>58746.611057418901</c:v>
                </c:pt>
                <c:pt idx="18">
                  <c:v>65773.995353387436</c:v>
                </c:pt>
                <c:pt idx="19">
                  <c:v>73318.910096446023</c:v>
                </c:pt>
                <c:pt idx="20">
                  <c:v>81419.465525820269</c:v>
                </c:pt>
              </c:numCache>
            </c:numRef>
          </c:val>
          <c:smooth val="0"/>
          <c:extLst>
            <c:ext xmlns:c16="http://schemas.microsoft.com/office/drawing/2014/chart" uri="{C3380CC4-5D6E-409C-BE32-E72D297353CC}">
              <c16:uniqueId val="{00000000-912F-49AF-BAD7-1155BB1A9FB7}"/>
            </c:ext>
          </c:extLst>
        </c:ser>
        <c:ser>
          <c:idx val="1"/>
          <c:order val="1"/>
          <c:tx>
            <c:v>7 year ISA</c:v>
          </c:tx>
          <c:spPr>
            <a:ln w="28575" cap="rnd">
              <a:solidFill>
                <a:schemeClr val="accent2"/>
              </a:solidFill>
              <a:round/>
            </a:ln>
            <a:effectLst/>
          </c:spPr>
          <c:marker>
            <c:symbol val="none"/>
          </c:marker>
          <c:val>
            <c:numRef>
              <c:f>Cashflows!#REF!</c:f>
              <c:numCache>
                <c:formatCode>General</c:formatCode>
                <c:ptCount val="1"/>
                <c:pt idx="0">
                  <c:v>1</c:v>
                </c:pt>
              </c:numCache>
            </c:numRef>
          </c:val>
          <c:smooth val="0"/>
          <c:extLst>
            <c:ext xmlns:c16="http://schemas.microsoft.com/office/drawing/2014/chart" uri="{C3380CC4-5D6E-409C-BE32-E72D297353CC}">
              <c16:uniqueId val="{00000001-912F-49AF-BAD7-1155BB1A9FB7}"/>
            </c:ext>
          </c:extLst>
        </c:ser>
        <c:ser>
          <c:idx val="2"/>
          <c:order val="2"/>
          <c:tx>
            <c:v>5 year ISA</c:v>
          </c:tx>
          <c:spPr>
            <a:ln w="28575" cap="rnd">
              <a:solidFill>
                <a:schemeClr val="accent3"/>
              </a:solidFill>
              <a:round/>
            </a:ln>
            <a:effectLst/>
          </c:spPr>
          <c:marker>
            <c:symbol val="none"/>
          </c:marker>
          <c:val>
            <c:numRef>
              <c:f>Cashflows!#REF!</c:f>
              <c:numCache>
                <c:formatCode>General</c:formatCode>
                <c:ptCount val="1"/>
                <c:pt idx="0">
                  <c:v>1</c:v>
                </c:pt>
              </c:numCache>
            </c:numRef>
          </c:val>
          <c:smooth val="0"/>
          <c:extLst>
            <c:ext xmlns:c16="http://schemas.microsoft.com/office/drawing/2014/chart" uri="{C3380CC4-5D6E-409C-BE32-E72D297353CC}">
              <c16:uniqueId val="{00000002-912F-49AF-BAD7-1155BB1A9FB7}"/>
            </c:ext>
          </c:extLst>
        </c:ser>
        <c:dLbls>
          <c:showLegendKey val="0"/>
          <c:showVal val="0"/>
          <c:showCatName val="0"/>
          <c:showSerName val="0"/>
          <c:showPercent val="0"/>
          <c:showBubbleSize val="0"/>
        </c:dLbls>
        <c:smooth val="0"/>
        <c:axId val="4050191"/>
        <c:axId val="4050671"/>
      </c:lineChart>
      <c:catAx>
        <c:axId val="4050191"/>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4050671"/>
        <c:crosses val="autoZero"/>
        <c:auto val="1"/>
        <c:lblAlgn val="ctr"/>
        <c:lblOffset val="100"/>
        <c:noMultiLvlLbl val="0"/>
      </c:catAx>
      <c:valAx>
        <c:axId val="4050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ZA"/>
                  <a:t>Rands</a:t>
                </a:r>
                <a:r>
                  <a:rPr lang="en-ZA" baseline="0"/>
                  <a:t> </a:t>
                </a:r>
                <a:r>
                  <a:rPr lang="en-ZA"/>
                  <a:t>(R1000)</a:t>
                </a:r>
              </a:p>
            </c:rich>
          </c:tx>
          <c:layout>
            <c:manualLayout>
              <c:xMode val="edge"/>
              <c:yMode val="edge"/>
              <c:x val="2.1789884603687894E-2"/>
              <c:y val="0.4172293982406448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4050191"/>
        <c:crosses val="autoZero"/>
        <c:crossBetween val="between"/>
        <c:majorUnit val="2000"/>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a:solidFill>
                  <a:srgbClr val="000000"/>
                </a:solidFill>
              </a:rPr>
              <a:t>(Insert</a:t>
            </a:r>
            <a:r>
              <a:rPr lang="en-US" sz="1600" baseline="0">
                <a:solidFill>
                  <a:srgbClr val="000000"/>
                </a:solidFill>
              </a:rPr>
              <a:t> Client Name) Consumption Profile - Before and After Solar Intstallation</a:t>
            </a:r>
            <a:endParaRPr lang="en-US" sz="1600">
              <a:solidFill>
                <a:srgbClr val="000000"/>
              </a:solidFill>
            </a:endParaRPr>
          </a:p>
        </c:rich>
      </c:tx>
      <c:layout>
        <c:manualLayout>
          <c:xMode val="edge"/>
          <c:yMode val="edge"/>
          <c:x val="0.11935944119873887"/>
          <c:y val="2.864721246081058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22610922040724"/>
          <c:y val="0.15074373727573781"/>
          <c:w val="0.83638816156426077"/>
          <c:h val="0.69313346618488558"/>
        </c:manualLayout>
      </c:layout>
      <c:areaChart>
        <c:grouping val="standard"/>
        <c:varyColors val="0"/>
        <c:ser>
          <c:idx val="1"/>
          <c:order val="1"/>
          <c:tx>
            <c:strRef>
              <c:f>'Consumption curve '!$D$1:$D$2</c:f>
              <c:strCache>
                <c:ptCount val="2"/>
                <c:pt idx="0">
                  <c:v>Solar production</c:v>
                </c:pt>
              </c:strCache>
            </c:strRef>
          </c:tx>
          <c:spPr>
            <a:solidFill>
              <a:srgbClr val="1A9939">
                <a:alpha val="50196"/>
              </a:srgbClr>
            </a:solidFill>
            <a:ln>
              <a:solidFill>
                <a:schemeClr val="tx2"/>
              </a:solidFill>
            </a:ln>
            <a:effectLst/>
          </c:spPr>
          <c:cat>
            <c:strRef>
              <c:f>'Consumption curve '!$A$3:$A$170</c:f>
              <c:strCache>
                <c:ptCount val="157"/>
                <c:pt idx="12">
                  <c:v>Mon</c:v>
                </c:pt>
                <c:pt idx="36">
                  <c:v>Tue</c:v>
                </c:pt>
                <c:pt idx="60">
                  <c:v>Wed</c:v>
                </c:pt>
                <c:pt idx="84">
                  <c:v>Thu</c:v>
                </c:pt>
                <c:pt idx="108">
                  <c:v>Fri</c:v>
                </c:pt>
                <c:pt idx="132">
                  <c:v>Sat</c:v>
                </c:pt>
                <c:pt idx="156">
                  <c:v>Sun</c:v>
                </c:pt>
              </c:strCache>
            </c:strRef>
          </c:cat>
          <c:val>
            <c:numRef>
              <c:f>'Consumption curve '!$D$3:$D$170</c:f>
              <c:numCache>
                <c:formatCode>0.00</c:formatCode>
                <c:ptCount val="168"/>
                <c:pt idx="0">
                  <c:v>0</c:v>
                </c:pt>
                <c:pt idx="1">
                  <c:v>0</c:v>
                </c:pt>
                <c:pt idx="2">
                  <c:v>0</c:v>
                </c:pt>
                <c:pt idx="3">
                  <c:v>0</c:v>
                </c:pt>
                <c:pt idx="4">
                  <c:v>0</c:v>
                </c:pt>
                <c:pt idx="5">
                  <c:v>0</c:v>
                </c:pt>
                <c:pt idx="6">
                  <c:v>4.7616516102941188E-4</c:v>
                </c:pt>
                <c:pt idx="7">
                  <c:v>58.907310808823532</c:v>
                </c:pt>
                <c:pt idx="8">
                  <c:v>153.80986176470589</c:v>
                </c:pt>
                <c:pt idx="9">
                  <c:v>243.09423147058828</c:v>
                </c:pt>
                <c:pt idx="10">
                  <c:v>318.76666169117647</c:v>
                </c:pt>
                <c:pt idx="11">
                  <c:v>369.19032441176478</c:v>
                </c:pt>
                <c:pt idx="12">
                  <c:v>391.71748161764714</c:v>
                </c:pt>
                <c:pt idx="13">
                  <c:v>387.53397779411767</c:v>
                </c:pt>
                <c:pt idx="14">
                  <c:v>355.7455695588236</c:v>
                </c:pt>
                <c:pt idx="15">
                  <c:v>300.09641507352944</c:v>
                </c:pt>
                <c:pt idx="16">
                  <c:v>224.87110654411768</c:v>
                </c:pt>
                <c:pt idx="17">
                  <c:v>134.27258786764705</c:v>
                </c:pt>
                <c:pt idx="18">
                  <c:v>50.380894558823535</c:v>
                </c:pt>
                <c:pt idx="19">
                  <c:v>0</c:v>
                </c:pt>
                <c:pt idx="20">
                  <c:v>0</c:v>
                </c:pt>
                <c:pt idx="21">
                  <c:v>0</c:v>
                </c:pt>
                <c:pt idx="22">
                  <c:v>0</c:v>
                </c:pt>
                <c:pt idx="23">
                  <c:v>0</c:v>
                </c:pt>
                <c:pt idx="24">
                  <c:v>0</c:v>
                </c:pt>
                <c:pt idx="25">
                  <c:v>0</c:v>
                </c:pt>
                <c:pt idx="26">
                  <c:v>0</c:v>
                </c:pt>
                <c:pt idx="27">
                  <c:v>0</c:v>
                </c:pt>
                <c:pt idx="28">
                  <c:v>0</c:v>
                </c:pt>
                <c:pt idx="29">
                  <c:v>0</c:v>
                </c:pt>
                <c:pt idx="30">
                  <c:v>4.7616516102941188E-4</c:v>
                </c:pt>
                <c:pt idx="31">
                  <c:v>58.907310808823532</c:v>
                </c:pt>
                <c:pt idx="32">
                  <c:v>153.80986176470589</c:v>
                </c:pt>
                <c:pt idx="33">
                  <c:v>243.09423147058828</c:v>
                </c:pt>
                <c:pt idx="34">
                  <c:v>318.76666169117647</c:v>
                </c:pt>
                <c:pt idx="35">
                  <c:v>369.19032441176478</c:v>
                </c:pt>
                <c:pt idx="36">
                  <c:v>391.71748161764714</c:v>
                </c:pt>
                <c:pt idx="37">
                  <c:v>387.53397779411767</c:v>
                </c:pt>
                <c:pt idx="38">
                  <c:v>355.7455695588236</c:v>
                </c:pt>
                <c:pt idx="39">
                  <c:v>300.09641507352944</c:v>
                </c:pt>
                <c:pt idx="40">
                  <c:v>224.87110654411768</c:v>
                </c:pt>
                <c:pt idx="41">
                  <c:v>134.27258786764705</c:v>
                </c:pt>
                <c:pt idx="42">
                  <c:v>50.380894558823535</c:v>
                </c:pt>
                <c:pt idx="43">
                  <c:v>0</c:v>
                </c:pt>
                <c:pt idx="44">
                  <c:v>0</c:v>
                </c:pt>
                <c:pt idx="45">
                  <c:v>0</c:v>
                </c:pt>
                <c:pt idx="46">
                  <c:v>0</c:v>
                </c:pt>
                <c:pt idx="47">
                  <c:v>0</c:v>
                </c:pt>
                <c:pt idx="48">
                  <c:v>0</c:v>
                </c:pt>
                <c:pt idx="49">
                  <c:v>0</c:v>
                </c:pt>
                <c:pt idx="50">
                  <c:v>0</c:v>
                </c:pt>
                <c:pt idx="51">
                  <c:v>0</c:v>
                </c:pt>
                <c:pt idx="52">
                  <c:v>0</c:v>
                </c:pt>
                <c:pt idx="53">
                  <c:v>0</c:v>
                </c:pt>
                <c:pt idx="54">
                  <c:v>4.7616516102941188E-4</c:v>
                </c:pt>
                <c:pt idx="55">
                  <c:v>58.907310808823532</c:v>
                </c:pt>
                <c:pt idx="56">
                  <c:v>153.80986176470589</c:v>
                </c:pt>
                <c:pt idx="57">
                  <c:v>243.09423147058828</c:v>
                </c:pt>
                <c:pt idx="58">
                  <c:v>318.76666169117647</c:v>
                </c:pt>
                <c:pt idx="59">
                  <c:v>369.19032441176478</c:v>
                </c:pt>
                <c:pt idx="60">
                  <c:v>391.71748161764714</c:v>
                </c:pt>
                <c:pt idx="61">
                  <c:v>387.53397779411767</c:v>
                </c:pt>
                <c:pt idx="62">
                  <c:v>355.7455695588236</c:v>
                </c:pt>
                <c:pt idx="63">
                  <c:v>300.09641507352944</c:v>
                </c:pt>
                <c:pt idx="64">
                  <c:v>224.87110654411768</c:v>
                </c:pt>
                <c:pt idx="65">
                  <c:v>134.27258786764705</c:v>
                </c:pt>
                <c:pt idx="66">
                  <c:v>50.380894558823535</c:v>
                </c:pt>
                <c:pt idx="67">
                  <c:v>0</c:v>
                </c:pt>
                <c:pt idx="68">
                  <c:v>0</c:v>
                </c:pt>
                <c:pt idx="69">
                  <c:v>0</c:v>
                </c:pt>
                <c:pt idx="70">
                  <c:v>0</c:v>
                </c:pt>
                <c:pt idx="71">
                  <c:v>0</c:v>
                </c:pt>
                <c:pt idx="72">
                  <c:v>0</c:v>
                </c:pt>
                <c:pt idx="73">
                  <c:v>0</c:v>
                </c:pt>
                <c:pt idx="74">
                  <c:v>0</c:v>
                </c:pt>
                <c:pt idx="75">
                  <c:v>0</c:v>
                </c:pt>
                <c:pt idx="76">
                  <c:v>0</c:v>
                </c:pt>
                <c:pt idx="77">
                  <c:v>0</c:v>
                </c:pt>
                <c:pt idx="78">
                  <c:v>4.7616516102941188E-4</c:v>
                </c:pt>
                <c:pt idx="79">
                  <c:v>58.907310808823532</c:v>
                </c:pt>
                <c:pt idx="80">
                  <c:v>153.80986176470589</c:v>
                </c:pt>
                <c:pt idx="81">
                  <c:v>243.09423147058828</c:v>
                </c:pt>
                <c:pt idx="82">
                  <c:v>318.76666169117647</c:v>
                </c:pt>
                <c:pt idx="83">
                  <c:v>369.19032441176478</c:v>
                </c:pt>
                <c:pt idx="84">
                  <c:v>391.71748161764714</c:v>
                </c:pt>
                <c:pt idx="85">
                  <c:v>387.53397779411767</c:v>
                </c:pt>
                <c:pt idx="86">
                  <c:v>355.7455695588236</c:v>
                </c:pt>
                <c:pt idx="87">
                  <c:v>300.09641507352944</c:v>
                </c:pt>
                <c:pt idx="88">
                  <c:v>224.87110654411768</c:v>
                </c:pt>
                <c:pt idx="89">
                  <c:v>134.27258786764705</c:v>
                </c:pt>
                <c:pt idx="90">
                  <c:v>50.380894558823535</c:v>
                </c:pt>
                <c:pt idx="91">
                  <c:v>0</c:v>
                </c:pt>
                <c:pt idx="92">
                  <c:v>0</c:v>
                </c:pt>
                <c:pt idx="93">
                  <c:v>0</c:v>
                </c:pt>
                <c:pt idx="94">
                  <c:v>0</c:v>
                </c:pt>
                <c:pt idx="95">
                  <c:v>0</c:v>
                </c:pt>
                <c:pt idx="96">
                  <c:v>0</c:v>
                </c:pt>
                <c:pt idx="97">
                  <c:v>0</c:v>
                </c:pt>
                <c:pt idx="98">
                  <c:v>0</c:v>
                </c:pt>
                <c:pt idx="99">
                  <c:v>0</c:v>
                </c:pt>
                <c:pt idx="100">
                  <c:v>0</c:v>
                </c:pt>
                <c:pt idx="101">
                  <c:v>0</c:v>
                </c:pt>
                <c:pt idx="102">
                  <c:v>4.7616516102941188E-4</c:v>
                </c:pt>
                <c:pt idx="103">
                  <c:v>58.907310808823532</c:v>
                </c:pt>
                <c:pt idx="104">
                  <c:v>153.80986176470589</c:v>
                </c:pt>
                <c:pt idx="105">
                  <c:v>243.09423147058828</c:v>
                </c:pt>
                <c:pt idx="106">
                  <c:v>318.76666169117647</c:v>
                </c:pt>
                <c:pt idx="107">
                  <c:v>369.19032441176478</c:v>
                </c:pt>
                <c:pt idx="108">
                  <c:v>391.71748161764714</c:v>
                </c:pt>
                <c:pt idx="109">
                  <c:v>387.53397779411767</c:v>
                </c:pt>
                <c:pt idx="110">
                  <c:v>355.7455695588236</c:v>
                </c:pt>
                <c:pt idx="111">
                  <c:v>300.09641507352944</c:v>
                </c:pt>
                <c:pt idx="112">
                  <c:v>224.87110654411768</c:v>
                </c:pt>
                <c:pt idx="113">
                  <c:v>134.27258786764705</c:v>
                </c:pt>
                <c:pt idx="114">
                  <c:v>50.380894558823535</c:v>
                </c:pt>
                <c:pt idx="115">
                  <c:v>0</c:v>
                </c:pt>
                <c:pt idx="116">
                  <c:v>0</c:v>
                </c:pt>
                <c:pt idx="117">
                  <c:v>0</c:v>
                </c:pt>
                <c:pt idx="118">
                  <c:v>0</c:v>
                </c:pt>
                <c:pt idx="119">
                  <c:v>0</c:v>
                </c:pt>
                <c:pt idx="120">
                  <c:v>0</c:v>
                </c:pt>
                <c:pt idx="121">
                  <c:v>0</c:v>
                </c:pt>
                <c:pt idx="122">
                  <c:v>0</c:v>
                </c:pt>
                <c:pt idx="123">
                  <c:v>0</c:v>
                </c:pt>
                <c:pt idx="124">
                  <c:v>0</c:v>
                </c:pt>
                <c:pt idx="125">
                  <c:v>0</c:v>
                </c:pt>
                <c:pt idx="126">
                  <c:v>4.7616516102941188E-4</c:v>
                </c:pt>
                <c:pt idx="127">
                  <c:v>58.907310808823532</c:v>
                </c:pt>
                <c:pt idx="128">
                  <c:v>153.80986176470589</c:v>
                </c:pt>
                <c:pt idx="129">
                  <c:v>243.09423147058828</c:v>
                </c:pt>
                <c:pt idx="130">
                  <c:v>318.76666169117647</c:v>
                </c:pt>
                <c:pt idx="131">
                  <c:v>369.19032441176478</c:v>
                </c:pt>
                <c:pt idx="132">
                  <c:v>391.71748161764714</c:v>
                </c:pt>
                <c:pt idx="133">
                  <c:v>387.53397779411767</c:v>
                </c:pt>
                <c:pt idx="134">
                  <c:v>355.7455695588236</c:v>
                </c:pt>
                <c:pt idx="135">
                  <c:v>300.09641507352944</c:v>
                </c:pt>
                <c:pt idx="136">
                  <c:v>224.87110654411768</c:v>
                </c:pt>
                <c:pt idx="137">
                  <c:v>134.27258786764705</c:v>
                </c:pt>
                <c:pt idx="138">
                  <c:v>50.380894558823535</c:v>
                </c:pt>
                <c:pt idx="139">
                  <c:v>0</c:v>
                </c:pt>
                <c:pt idx="140">
                  <c:v>0</c:v>
                </c:pt>
                <c:pt idx="141">
                  <c:v>0</c:v>
                </c:pt>
                <c:pt idx="142">
                  <c:v>0</c:v>
                </c:pt>
                <c:pt idx="143">
                  <c:v>0</c:v>
                </c:pt>
                <c:pt idx="144">
                  <c:v>0</c:v>
                </c:pt>
                <c:pt idx="145">
                  <c:v>0</c:v>
                </c:pt>
                <c:pt idx="146">
                  <c:v>0</c:v>
                </c:pt>
                <c:pt idx="147">
                  <c:v>0</c:v>
                </c:pt>
                <c:pt idx="148">
                  <c:v>0</c:v>
                </c:pt>
                <c:pt idx="149">
                  <c:v>0</c:v>
                </c:pt>
                <c:pt idx="150">
                  <c:v>4.7616516102941188E-4</c:v>
                </c:pt>
                <c:pt idx="151">
                  <c:v>58.907310808823532</c:v>
                </c:pt>
                <c:pt idx="152">
                  <c:v>153.80986176470589</c:v>
                </c:pt>
                <c:pt idx="153">
                  <c:v>243.09423147058828</c:v>
                </c:pt>
                <c:pt idx="154">
                  <c:v>318.76666169117647</c:v>
                </c:pt>
                <c:pt idx="155">
                  <c:v>369.19032441176478</c:v>
                </c:pt>
                <c:pt idx="156">
                  <c:v>391.71748161764714</c:v>
                </c:pt>
                <c:pt idx="157">
                  <c:v>387.53397779411767</c:v>
                </c:pt>
                <c:pt idx="158">
                  <c:v>355.7455695588236</c:v>
                </c:pt>
                <c:pt idx="159">
                  <c:v>300.09641507352944</c:v>
                </c:pt>
                <c:pt idx="160">
                  <c:v>224.87110654411768</c:v>
                </c:pt>
                <c:pt idx="161">
                  <c:v>134.27258786764705</c:v>
                </c:pt>
                <c:pt idx="162">
                  <c:v>50.380894558823535</c:v>
                </c:pt>
                <c:pt idx="163">
                  <c:v>0</c:v>
                </c:pt>
                <c:pt idx="164">
                  <c:v>0</c:v>
                </c:pt>
                <c:pt idx="165">
                  <c:v>0</c:v>
                </c:pt>
                <c:pt idx="166">
                  <c:v>0</c:v>
                </c:pt>
                <c:pt idx="167">
                  <c:v>0</c:v>
                </c:pt>
              </c:numCache>
            </c:numRef>
          </c:val>
          <c:extLst>
            <c:ext xmlns:c16="http://schemas.microsoft.com/office/drawing/2014/chart" uri="{C3380CC4-5D6E-409C-BE32-E72D297353CC}">
              <c16:uniqueId val="{00000000-C444-4C79-A682-4B32D8B6ACAE}"/>
            </c:ext>
          </c:extLst>
        </c:ser>
        <c:ser>
          <c:idx val="2"/>
          <c:order val="2"/>
          <c:tx>
            <c:strRef>
              <c:f>'Consumption curve '!$E$1:$E$2</c:f>
              <c:strCache>
                <c:ptCount val="2"/>
                <c:pt idx="0">
                  <c:v>Consumption After Solar </c:v>
                </c:pt>
              </c:strCache>
            </c:strRef>
          </c:tx>
          <c:spPr>
            <a:solidFill>
              <a:srgbClr val="A1AFA0"/>
            </a:solidFill>
            <a:ln>
              <a:solidFill>
                <a:schemeClr val="accent2"/>
              </a:solidFill>
            </a:ln>
            <a:effectLst/>
          </c:spPr>
          <c:cat>
            <c:strRef>
              <c:f>'Consumption curve '!$A$3:$A$170</c:f>
              <c:strCache>
                <c:ptCount val="157"/>
                <c:pt idx="12">
                  <c:v>Mon</c:v>
                </c:pt>
                <c:pt idx="36">
                  <c:v>Tue</c:v>
                </c:pt>
                <c:pt idx="60">
                  <c:v>Wed</c:v>
                </c:pt>
                <c:pt idx="84">
                  <c:v>Thu</c:v>
                </c:pt>
                <c:pt idx="108">
                  <c:v>Fri</c:v>
                </c:pt>
                <c:pt idx="132">
                  <c:v>Sat</c:v>
                </c:pt>
                <c:pt idx="156">
                  <c:v>Sun</c:v>
                </c:pt>
              </c:strCache>
            </c:strRef>
          </c:cat>
          <c:val>
            <c:numRef>
              <c:f>'Consumption curve '!$E$3:$E$170</c:f>
              <c:numCache>
                <c:formatCode>0.00</c:formatCode>
                <c:ptCount val="168"/>
                <c:pt idx="0">
                  <c:v>4.561672043010752</c:v>
                </c:pt>
                <c:pt idx="1">
                  <c:v>4.561672043010752</c:v>
                </c:pt>
                <c:pt idx="2">
                  <c:v>4.561672043010752</c:v>
                </c:pt>
                <c:pt idx="3">
                  <c:v>4.561672043010752</c:v>
                </c:pt>
                <c:pt idx="4">
                  <c:v>4.561672043010752</c:v>
                </c:pt>
                <c:pt idx="5">
                  <c:v>4.561672043010752</c:v>
                </c:pt>
                <c:pt idx="6">
                  <c:v>4.5611958778497224</c:v>
                </c:pt>
                <c:pt idx="7">
                  <c:v>0</c:v>
                </c:pt>
                <c:pt idx="8">
                  <c:v>19.533675869702677</c:v>
                </c:pt>
                <c:pt idx="9">
                  <c:v>0</c:v>
                </c:pt>
                <c:pt idx="10">
                  <c:v>0</c:v>
                </c:pt>
                <c:pt idx="11">
                  <c:v>0</c:v>
                </c:pt>
                <c:pt idx="12">
                  <c:v>0</c:v>
                </c:pt>
                <c:pt idx="13">
                  <c:v>0</c:v>
                </c:pt>
                <c:pt idx="14">
                  <c:v>0</c:v>
                </c:pt>
                <c:pt idx="15">
                  <c:v>0</c:v>
                </c:pt>
                <c:pt idx="16">
                  <c:v>0</c:v>
                </c:pt>
                <c:pt idx="17">
                  <c:v>0</c:v>
                </c:pt>
                <c:pt idx="18">
                  <c:v>0</c:v>
                </c:pt>
                <c:pt idx="19">
                  <c:v>4.561672043010752</c:v>
                </c:pt>
                <c:pt idx="20">
                  <c:v>4.561672043010752</c:v>
                </c:pt>
                <c:pt idx="21">
                  <c:v>4.561672043010752</c:v>
                </c:pt>
                <c:pt idx="22">
                  <c:v>4.561672043010752</c:v>
                </c:pt>
                <c:pt idx="23">
                  <c:v>4.561672043010752</c:v>
                </c:pt>
                <c:pt idx="24">
                  <c:v>4.561672043010752</c:v>
                </c:pt>
                <c:pt idx="25">
                  <c:v>4.561672043010752</c:v>
                </c:pt>
                <c:pt idx="26">
                  <c:v>4.561672043010752</c:v>
                </c:pt>
                <c:pt idx="27">
                  <c:v>4.561672043010752</c:v>
                </c:pt>
                <c:pt idx="28">
                  <c:v>4.561672043010752</c:v>
                </c:pt>
                <c:pt idx="29">
                  <c:v>4.561672043010752</c:v>
                </c:pt>
                <c:pt idx="30">
                  <c:v>4.5611958778497224</c:v>
                </c:pt>
                <c:pt idx="31">
                  <c:v>0</c:v>
                </c:pt>
                <c:pt idx="32">
                  <c:v>19.533675869702677</c:v>
                </c:pt>
                <c:pt idx="33">
                  <c:v>0</c:v>
                </c:pt>
                <c:pt idx="34">
                  <c:v>0</c:v>
                </c:pt>
                <c:pt idx="35">
                  <c:v>0</c:v>
                </c:pt>
                <c:pt idx="36">
                  <c:v>0</c:v>
                </c:pt>
                <c:pt idx="37">
                  <c:v>0</c:v>
                </c:pt>
                <c:pt idx="38">
                  <c:v>0</c:v>
                </c:pt>
                <c:pt idx="39">
                  <c:v>0</c:v>
                </c:pt>
                <c:pt idx="40">
                  <c:v>0</c:v>
                </c:pt>
                <c:pt idx="41">
                  <c:v>0</c:v>
                </c:pt>
                <c:pt idx="42">
                  <c:v>0</c:v>
                </c:pt>
                <c:pt idx="43">
                  <c:v>4.561672043010752</c:v>
                </c:pt>
                <c:pt idx="44">
                  <c:v>4.561672043010752</c:v>
                </c:pt>
                <c:pt idx="45">
                  <c:v>4.561672043010752</c:v>
                </c:pt>
                <c:pt idx="46">
                  <c:v>4.561672043010752</c:v>
                </c:pt>
                <c:pt idx="47">
                  <c:v>4.561672043010752</c:v>
                </c:pt>
                <c:pt idx="48">
                  <c:v>4.561672043010752</c:v>
                </c:pt>
                <c:pt idx="49">
                  <c:v>4.561672043010752</c:v>
                </c:pt>
                <c:pt idx="50">
                  <c:v>4.561672043010752</c:v>
                </c:pt>
                <c:pt idx="51">
                  <c:v>4.561672043010752</c:v>
                </c:pt>
                <c:pt idx="52">
                  <c:v>4.561672043010752</c:v>
                </c:pt>
                <c:pt idx="53">
                  <c:v>4.561672043010752</c:v>
                </c:pt>
                <c:pt idx="54">
                  <c:v>4.5611958778497224</c:v>
                </c:pt>
                <c:pt idx="55">
                  <c:v>0</c:v>
                </c:pt>
                <c:pt idx="56">
                  <c:v>19.533675869702677</c:v>
                </c:pt>
                <c:pt idx="57">
                  <c:v>0</c:v>
                </c:pt>
                <c:pt idx="58">
                  <c:v>0</c:v>
                </c:pt>
                <c:pt idx="59">
                  <c:v>0</c:v>
                </c:pt>
                <c:pt idx="60">
                  <c:v>0</c:v>
                </c:pt>
                <c:pt idx="61">
                  <c:v>0</c:v>
                </c:pt>
                <c:pt idx="62">
                  <c:v>0</c:v>
                </c:pt>
                <c:pt idx="63">
                  <c:v>0</c:v>
                </c:pt>
                <c:pt idx="64">
                  <c:v>0</c:v>
                </c:pt>
                <c:pt idx="65">
                  <c:v>0</c:v>
                </c:pt>
                <c:pt idx="66">
                  <c:v>0</c:v>
                </c:pt>
                <c:pt idx="67">
                  <c:v>4.561672043010752</c:v>
                </c:pt>
                <c:pt idx="68">
                  <c:v>4.561672043010752</c:v>
                </c:pt>
                <c:pt idx="69">
                  <c:v>4.561672043010752</c:v>
                </c:pt>
                <c:pt idx="70">
                  <c:v>4.561672043010752</c:v>
                </c:pt>
                <c:pt idx="71">
                  <c:v>4.561672043010752</c:v>
                </c:pt>
                <c:pt idx="72">
                  <c:v>4.561672043010752</c:v>
                </c:pt>
                <c:pt idx="73">
                  <c:v>4.561672043010752</c:v>
                </c:pt>
                <c:pt idx="74">
                  <c:v>4.561672043010752</c:v>
                </c:pt>
                <c:pt idx="75">
                  <c:v>4.561672043010752</c:v>
                </c:pt>
                <c:pt idx="76">
                  <c:v>4.561672043010752</c:v>
                </c:pt>
                <c:pt idx="77">
                  <c:v>4.561672043010752</c:v>
                </c:pt>
                <c:pt idx="78">
                  <c:v>4.5611958778497224</c:v>
                </c:pt>
                <c:pt idx="79">
                  <c:v>0</c:v>
                </c:pt>
                <c:pt idx="80">
                  <c:v>19.533675869702677</c:v>
                </c:pt>
                <c:pt idx="81">
                  <c:v>0</c:v>
                </c:pt>
                <c:pt idx="82">
                  <c:v>0</c:v>
                </c:pt>
                <c:pt idx="83">
                  <c:v>0</c:v>
                </c:pt>
                <c:pt idx="84">
                  <c:v>0</c:v>
                </c:pt>
                <c:pt idx="85">
                  <c:v>0</c:v>
                </c:pt>
                <c:pt idx="86">
                  <c:v>0</c:v>
                </c:pt>
                <c:pt idx="87">
                  <c:v>0</c:v>
                </c:pt>
                <c:pt idx="88">
                  <c:v>0</c:v>
                </c:pt>
                <c:pt idx="89">
                  <c:v>0</c:v>
                </c:pt>
                <c:pt idx="90">
                  <c:v>0</c:v>
                </c:pt>
                <c:pt idx="91">
                  <c:v>4.561672043010752</c:v>
                </c:pt>
                <c:pt idx="92">
                  <c:v>4.561672043010752</c:v>
                </c:pt>
                <c:pt idx="93">
                  <c:v>4.561672043010752</c:v>
                </c:pt>
                <c:pt idx="94">
                  <c:v>4.561672043010752</c:v>
                </c:pt>
                <c:pt idx="95">
                  <c:v>4.561672043010752</c:v>
                </c:pt>
                <c:pt idx="96">
                  <c:v>4.561672043010752</c:v>
                </c:pt>
                <c:pt idx="97">
                  <c:v>4.561672043010752</c:v>
                </c:pt>
                <c:pt idx="98">
                  <c:v>4.561672043010752</c:v>
                </c:pt>
                <c:pt idx="99">
                  <c:v>4.561672043010752</c:v>
                </c:pt>
                <c:pt idx="100">
                  <c:v>4.561672043010752</c:v>
                </c:pt>
                <c:pt idx="101">
                  <c:v>4.561672043010752</c:v>
                </c:pt>
                <c:pt idx="102">
                  <c:v>4.5611958778497224</c:v>
                </c:pt>
                <c:pt idx="103">
                  <c:v>0</c:v>
                </c:pt>
                <c:pt idx="104">
                  <c:v>19.533675869702677</c:v>
                </c:pt>
                <c:pt idx="105">
                  <c:v>0</c:v>
                </c:pt>
                <c:pt idx="106">
                  <c:v>0</c:v>
                </c:pt>
                <c:pt idx="107">
                  <c:v>0</c:v>
                </c:pt>
                <c:pt idx="108">
                  <c:v>0</c:v>
                </c:pt>
                <c:pt idx="109">
                  <c:v>0</c:v>
                </c:pt>
                <c:pt idx="110">
                  <c:v>0</c:v>
                </c:pt>
                <c:pt idx="111">
                  <c:v>0</c:v>
                </c:pt>
                <c:pt idx="112">
                  <c:v>0</c:v>
                </c:pt>
                <c:pt idx="113">
                  <c:v>0</c:v>
                </c:pt>
                <c:pt idx="114">
                  <c:v>0</c:v>
                </c:pt>
                <c:pt idx="115">
                  <c:v>4.561672043010752</c:v>
                </c:pt>
                <c:pt idx="116">
                  <c:v>4.561672043010752</c:v>
                </c:pt>
                <c:pt idx="117">
                  <c:v>4.561672043010752</c:v>
                </c:pt>
                <c:pt idx="118">
                  <c:v>4.561672043010752</c:v>
                </c:pt>
                <c:pt idx="119">
                  <c:v>4.561672043010752</c:v>
                </c:pt>
                <c:pt idx="120">
                  <c:v>4.561672043010752</c:v>
                </c:pt>
                <c:pt idx="121">
                  <c:v>4.561672043010752</c:v>
                </c:pt>
                <c:pt idx="122">
                  <c:v>4.561672043010752</c:v>
                </c:pt>
                <c:pt idx="123">
                  <c:v>4.561672043010752</c:v>
                </c:pt>
                <c:pt idx="124">
                  <c:v>4.561672043010752</c:v>
                </c:pt>
                <c:pt idx="125">
                  <c:v>4.561672043010752</c:v>
                </c:pt>
                <c:pt idx="126">
                  <c:v>4.5611958778497224</c:v>
                </c:pt>
                <c:pt idx="127">
                  <c:v>0</c:v>
                </c:pt>
                <c:pt idx="128">
                  <c:v>19.533675869702677</c:v>
                </c:pt>
                <c:pt idx="129">
                  <c:v>0</c:v>
                </c:pt>
                <c:pt idx="130">
                  <c:v>0</c:v>
                </c:pt>
                <c:pt idx="131">
                  <c:v>0</c:v>
                </c:pt>
                <c:pt idx="132">
                  <c:v>0</c:v>
                </c:pt>
                <c:pt idx="133">
                  <c:v>0</c:v>
                </c:pt>
                <c:pt idx="134">
                  <c:v>0</c:v>
                </c:pt>
                <c:pt idx="135">
                  <c:v>0</c:v>
                </c:pt>
                <c:pt idx="136">
                  <c:v>0</c:v>
                </c:pt>
                <c:pt idx="137">
                  <c:v>0</c:v>
                </c:pt>
                <c:pt idx="138">
                  <c:v>0</c:v>
                </c:pt>
                <c:pt idx="139">
                  <c:v>4.561672043010752</c:v>
                </c:pt>
                <c:pt idx="140">
                  <c:v>4.561672043010752</c:v>
                </c:pt>
                <c:pt idx="141">
                  <c:v>4.561672043010752</c:v>
                </c:pt>
                <c:pt idx="142">
                  <c:v>4.561672043010752</c:v>
                </c:pt>
                <c:pt idx="143">
                  <c:v>4.561672043010752</c:v>
                </c:pt>
                <c:pt idx="144">
                  <c:v>4.561672043010752</c:v>
                </c:pt>
                <c:pt idx="145">
                  <c:v>4.561672043010752</c:v>
                </c:pt>
                <c:pt idx="146">
                  <c:v>4.561672043010752</c:v>
                </c:pt>
                <c:pt idx="147">
                  <c:v>4.561672043010752</c:v>
                </c:pt>
                <c:pt idx="148">
                  <c:v>4.561672043010752</c:v>
                </c:pt>
                <c:pt idx="149">
                  <c:v>4.561672043010752</c:v>
                </c:pt>
                <c:pt idx="150">
                  <c:v>4.5611958778497224</c:v>
                </c:pt>
                <c:pt idx="151">
                  <c:v>0</c:v>
                </c:pt>
                <c:pt idx="152">
                  <c:v>19.533675869702677</c:v>
                </c:pt>
                <c:pt idx="153">
                  <c:v>0</c:v>
                </c:pt>
                <c:pt idx="154">
                  <c:v>0</c:v>
                </c:pt>
                <c:pt idx="155">
                  <c:v>0</c:v>
                </c:pt>
                <c:pt idx="156">
                  <c:v>0</c:v>
                </c:pt>
                <c:pt idx="157">
                  <c:v>0</c:v>
                </c:pt>
                <c:pt idx="158">
                  <c:v>0</c:v>
                </c:pt>
                <c:pt idx="159">
                  <c:v>0</c:v>
                </c:pt>
                <c:pt idx="160">
                  <c:v>0</c:v>
                </c:pt>
                <c:pt idx="161">
                  <c:v>0</c:v>
                </c:pt>
                <c:pt idx="162">
                  <c:v>0</c:v>
                </c:pt>
                <c:pt idx="163">
                  <c:v>4.561672043010752</c:v>
                </c:pt>
                <c:pt idx="164">
                  <c:v>4.561672043010752</c:v>
                </c:pt>
                <c:pt idx="165">
                  <c:v>4.561672043010752</c:v>
                </c:pt>
                <c:pt idx="166">
                  <c:v>4.561672043010752</c:v>
                </c:pt>
                <c:pt idx="167">
                  <c:v>4.561672043010752</c:v>
                </c:pt>
              </c:numCache>
            </c:numRef>
          </c:val>
          <c:extLst>
            <c:ext xmlns:c16="http://schemas.microsoft.com/office/drawing/2014/chart" uri="{C3380CC4-5D6E-409C-BE32-E72D297353CC}">
              <c16:uniqueId val="{00000001-C444-4C79-A682-4B32D8B6ACAE}"/>
            </c:ext>
          </c:extLst>
        </c:ser>
        <c:dLbls>
          <c:showLegendKey val="0"/>
          <c:showVal val="0"/>
          <c:showCatName val="0"/>
          <c:showSerName val="0"/>
          <c:showPercent val="0"/>
          <c:showBubbleSize val="0"/>
        </c:dLbls>
        <c:axId val="634503056"/>
        <c:axId val="634502400"/>
      </c:areaChart>
      <c:lineChart>
        <c:grouping val="standard"/>
        <c:varyColors val="0"/>
        <c:ser>
          <c:idx val="0"/>
          <c:order val="0"/>
          <c:tx>
            <c:strRef>
              <c:f>'Consumption curve '!$C$1:$C$2</c:f>
              <c:strCache>
                <c:ptCount val="2"/>
                <c:pt idx="0">
                  <c:v>Consumption Before Solar</c:v>
                </c:pt>
              </c:strCache>
            </c:strRef>
          </c:tx>
          <c:spPr>
            <a:ln w="28575" cap="rnd">
              <a:solidFill>
                <a:schemeClr val="accent1"/>
              </a:solidFill>
              <a:prstDash val="sysDash"/>
              <a:round/>
            </a:ln>
            <a:effectLst/>
          </c:spPr>
          <c:marker>
            <c:symbol val="none"/>
          </c:marker>
          <c:cat>
            <c:strRef>
              <c:f>'Consumption curve '!$A$3:$A$170</c:f>
              <c:strCache>
                <c:ptCount val="157"/>
                <c:pt idx="12">
                  <c:v>Mon</c:v>
                </c:pt>
                <c:pt idx="36">
                  <c:v>Tue</c:v>
                </c:pt>
                <c:pt idx="60">
                  <c:v>Wed</c:v>
                </c:pt>
                <c:pt idx="84">
                  <c:v>Thu</c:v>
                </c:pt>
                <c:pt idx="108">
                  <c:v>Fri</c:v>
                </c:pt>
                <c:pt idx="132">
                  <c:v>Sat</c:v>
                </c:pt>
                <c:pt idx="156">
                  <c:v>Sun</c:v>
                </c:pt>
              </c:strCache>
            </c:strRef>
          </c:cat>
          <c:val>
            <c:numRef>
              <c:f>'Consumption curve '!$C$3:$C$170</c:f>
              <c:numCache>
                <c:formatCode>0.00</c:formatCode>
                <c:ptCount val="168"/>
                <c:pt idx="0">
                  <c:v>4.561672043010752</c:v>
                </c:pt>
                <c:pt idx="1">
                  <c:v>4.561672043010752</c:v>
                </c:pt>
                <c:pt idx="2">
                  <c:v>4.561672043010752</c:v>
                </c:pt>
                <c:pt idx="3">
                  <c:v>4.561672043010752</c:v>
                </c:pt>
                <c:pt idx="4">
                  <c:v>4.561672043010752</c:v>
                </c:pt>
                <c:pt idx="5">
                  <c:v>4.561672043010752</c:v>
                </c:pt>
                <c:pt idx="6">
                  <c:v>4.561672043010752</c:v>
                </c:pt>
                <c:pt idx="7">
                  <c:v>4.561672043010752</c:v>
                </c:pt>
                <c:pt idx="8">
                  <c:v>173.34353763440856</c:v>
                </c:pt>
                <c:pt idx="9">
                  <c:v>173.34353763440856</c:v>
                </c:pt>
                <c:pt idx="10">
                  <c:v>173.34353763440856</c:v>
                </c:pt>
                <c:pt idx="11">
                  <c:v>173.34353763440856</c:v>
                </c:pt>
                <c:pt idx="12">
                  <c:v>173.34353763440856</c:v>
                </c:pt>
                <c:pt idx="13">
                  <c:v>173.34353763440856</c:v>
                </c:pt>
                <c:pt idx="14">
                  <c:v>173.34353763440856</c:v>
                </c:pt>
                <c:pt idx="15">
                  <c:v>173.34353763440856</c:v>
                </c:pt>
                <c:pt idx="16">
                  <c:v>173.34353763440856</c:v>
                </c:pt>
                <c:pt idx="17">
                  <c:v>4.561672043010752</c:v>
                </c:pt>
                <c:pt idx="18">
                  <c:v>4.561672043010752</c:v>
                </c:pt>
                <c:pt idx="19">
                  <c:v>4.561672043010752</c:v>
                </c:pt>
                <c:pt idx="20">
                  <c:v>4.561672043010752</c:v>
                </c:pt>
                <c:pt idx="21">
                  <c:v>4.561672043010752</c:v>
                </c:pt>
                <c:pt idx="22">
                  <c:v>4.561672043010752</c:v>
                </c:pt>
                <c:pt idx="23">
                  <c:v>4.561672043010752</c:v>
                </c:pt>
                <c:pt idx="24">
                  <c:v>4.561672043010752</c:v>
                </c:pt>
                <c:pt idx="25">
                  <c:v>4.561672043010752</c:v>
                </c:pt>
                <c:pt idx="26">
                  <c:v>4.561672043010752</c:v>
                </c:pt>
                <c:pt idx="27">
                  <c:v>4.561672043010752</c:v>
                </c:pt>
                <c:pt idx="28">
                  <c:v>4.561672043010752</c:v>
                </c:pt>
                <c:pt idx="29">
                  <c:v>4.561672043010752</c:v>
                </c:pt>
                <c:pt idx="30">
                  <c:v>4.561672043010752</c:v>
                </c:pt>
                <c:pt idx="31">
                  <c:v>4.561672043010752</c:v>
                </c:pt>
                <c:pt idx="32">
                  <c:v>173.34353763440856</c:v>
                </c:pt>
                <c:pt idx="33">
                  <c:v>173.34353763440856</c:v>
                </c:pt>
                <c:pt idx="34">
                  <c:v>173.34353763440856</c:v>
                </c:pt>
                <c:pt idx="35">
                  <c:v>173.34353763440856</c:v>
                </c:pt>
                <c:pt idx="36">
                  <c:v>173.34353763440856</c:v>
                </c:pt>
                <c:pt idx="37">
                  <c:v>173.34353763440856</c:v>
                </c:pt>
                <c:pt idx="38">
                  <c:v>173.34353763440856</c:v>
                </c:pt>
                <c:pt idx="39">
                  <c:v>173.34353763440856</c:v>
                </c:pt>
                <c:pt idx="40">
                  <c:v>173.34353763440856</c:v>
                </c:pt>
                <c:pt idx="41">
                  <c:v>4.561672043010752</c:v>
                </c:pt>
                <c:pt idx="42">
                  <c:v>4.561672043010752</c:v>
                </c:pt>
                <c:pt idx="43">
                  <c:v>4.561672043010752</c:v>
                </c:pt>
                <c:pt idx="44">
                  <c:v>4.561672043010752</c:v>
                </c:pt>
                <c:pt idx="45">
                  <c:v>4.561672043010752</c:v>
                </c:pt>
                <c:pt idx="46">
                  <c:v>4.561672043010752</c:v>
                </c:pt>
                <c:pt idx="47">
                  <c:v>4.561672043010752</c:v>
                </c:pt>
                <c:pt idx="48">
                  <c:v>4.561672043010752</c:v>
                </c:pt>
                <c:pt idx="49">
                  <c:v>4.561672043010752</c:v>
                </c:pt>
                <c:pt idx="50">
                  <c:v>4.561672043010752</c:v>
                </c:pt>
                <c:pt idx="51">
                  <c:v>4.561672043010752</c:v>
                </c:pt>
                <c:pt idx="52">
                  <c:v>4.561672043010752</c:v>
                </c:pt>
                <c:pt idx="53">
                  <c:v>4.561672043010752</c:v>
                </c:pt>
                <c:pt idx="54">
                  <c:v>4.561672043010752</c:v>
                </c:pt>
                <c:pt idx="55">
                  <c:v>4.561672043010752</c:v>
                </c:pt>
                <c:pt idx="56">
                  <c:v>173.34353763440856</c:v>
                </c:pt>
                <c:pt idx="57">
                  <c:v>173.34353763440856</c:v>
                </c:pt>
                <c:pt idx="58">
                  <c:v>173.34353763440856</c:v>
                </c:pt>
                <c:pt idx="59">
                  <c:v>173.34353763440856</c:v>
                </c:pt>
                <c:pt idx="60">
                  <c:v>173.34353763440856</c:v>
                </c:pt>
                <c:pt idx="61">
                  <c:v>173.34353763440856</c:v>
                </c:pt>
                <c:pt idx="62">
                  <c:v>173.34353763440856</c:v>
                </c:pt>
                <c:pt idx="63">
                  <c:v>173.34353763440856</c:v>
                </c:pt>
                <c:pt idx="64">
                  <c:v>173.34353763440856</c:v>
                </c:pt>
                <c:pt idx="65">
                  <c:v>4.561672043010752</c:v>
                </c:pt>
                <c:pt idx="66">
                  <c:v>4.561672043010752</c:v>
                </c:pt>
                <c:pt idx="67">
                  <c:v>4.561672043010752</c:v>
                </c:pt>
                <c:pt idx="68">
                  <c:v>4.561672043010752</c:v>
                </c:pt>
                <c:pt idx="69">
                  <c:v>4.561672043010752</c:v>
                </c:pt>
                <c:pt idx="70">
                  <c:v>4.561672043010752</c:v>
                </c:pt>
                <c:pt idx="71">
                  <c:v>4.561672043010752</c:v>
                </c:pt>
                <c:pt idx="72">
                  <c:v>4.561672043010752</c:v>
                </c:pt>
                <c:pt idx="73">
                  <c:v>4.561672043010752</c:v>
                </c:pt>
                <c:pt idx="74">
                  <c:v>4.561672043010752</c:v>
                </c:pt>
                <c:pt idx="75">
                  <c:v>4.561672043010752</c:v>
                </c:pt>
                <c:pt idx="76">
                  <c:v>4.561672043010752</c:v>
                </c:pt>
                <c:pt idx="77">
                  <c:v>4.561672043010752</c:v>
                </c:pt>
                <c:pt idx="78">
                  <c:v>4.561672043010752</c:v>
                </c:pt>
                <c:pt idx="79">
                  <c:v>4.561672043010752</c:v>
                </c:pt>
                <c:pt idx="80">
                  <c:v>173.34353763440856</c:v>
                </c:pt>
                <c:pt idx="81">
                  <c:v>173.34353763440856</c:v>
                </c:pt>
                <c:pt idx="82">
                  <c:v>173.34353763440856</c:v>
                </c:pt>
                <c:pt idx="83">
                  <c:v>173.34353763440856</c:v>
                </c:pt>
                <c:pt idx="84">
                  <c:v>173.34353763440856</c:v>
                </c:pt>
                <c:pt idx="85">
                  <c:v>173.34353763440856</c:v>
                </c:pt>
                <c:pt idx="86">
                  <c:v>173.34353763440856</c:v>
                </c:pt>
                <c:pt idx="87">
                  <c:v>173.34353763440856</c:v>
                </c:pt>
                <c:pt idx="88">
                  <c:v>173.34353763440856</c:v>
                </c:pt>
                <c:pt idx="89">
                  <c:v>4.561672043010752</c:v>
                </c:pt>
                <c:pt idx="90">
                  <c:v>4.561672043010752</c:v>
                </c:pt>
                <c:pt idx="91">
                  <c:v>4.561672043010752</c:v>
                </c:pt>
                <c:pt idx="92">
                  <c:v>4.561672043010752</c:v>
                </c:pt>
                <c:pt idx="93">
                  <c:v>4.561672043010752</c:v>
                </c:pt>
                <c:pt idx="94">
                  <c:v>4.561672043010752</c:v>
                </c:pt>
                <c:pt idx="95">
                  <c:v>4.561672043010752</c:v>
                </c:pt>
                <c:pt idx="96">
                  <c:v>4.561672043010752</c:v>
                </c:pt>
                <c:pt idx="97">
                  <c:v>4.561672043010752</c:v>
                </c:pt>
                <c:pt idx="98">
                  <c:v>4.561672043010752</c:v>
                </c:pt>
                <c:pt idx="99">
                  <c:v>4.561672043010752</c:v>
                </c:pt>
                <c:pt idx="100">
                  <c:v>4.561672043010752</c:v>
                </c:pt>
                <c:pt idx="101">
                  <c:v>4.561672043010752</c:v>
                </c:pt>
                <c:pt idx="102">
                  <c:v>4.561672043010752</c:v>
                </c:pt>
                <c:pt idx="103">
                  <c:v>4.561672043010752</c:v>
                </c:pt>
                <c:pt idx="104">
                  <c:v>173.34353763440856</c:v>
                </c:pt>
                <c:pt idx="105">
                  <c:v>173.34353763440856</c:v>
                </c:pt>
                <c:pt idx="106">
                  <c:v>173.34353763440856</c:v>
                </c:pt>
                <c:pt idx="107">
                  <c:v>173.34353763440856</c:v>
                </c:pt>
                <c:pt idx="108">
                  <c:v>173.34353763440856</c:v>
                </c:pt>
                <c:pt idx="109">
                  <c:v>173.34353763440856</c:v>
                </c:pt>
                <c:pt idx="110">
                  <c:v>173.34353763440856</c:v>
                </c:pt>
                <c:pt idx="111">
                  <c:v>173.34353763440856</c:v>
                </c:pt>
                <c:pt idx="112">
                  <c:v>173.34353763440856</c:v>
                </c:pt>
                <c:pt idx="113">
                  <c:v>4.561672043010752</c:v>
                </c:pt>
                <c:pt idx="114">
                  <c:v>4.561672043010752</c:v>
                </c:pt>
                <c:pt idx="115">
                  <c:v>4.561672043010752</c:v>
                </c:pt>
                <c:pt idx="116">
                  <c:v>4.561672043010752</c:v>
                </c:pt>
                <c:pt idx="117">
                  <c:v>4.561672043010752</c:v>
                </c:pt>
                <c:pt idx="118">
                  <c:v>4.561672043010752</c:v>
                </c:pt>
                <c:pt idx="119">
                  <c:v>4.561672043010752</c:v>
                </c:pt>
                <c:pt idx="120">
                  <c:v>4.561672043010752</c:v>
                </c:pt>
                <c:pt idx="121">
                  <c:v>4.561672043010752</c:v>
                </c:pt>
                <c:pt idx="122">
                  <c:v>4.561672043010752</c:v>
                </c:pt>
                <c:pt idx="123">
                  <c:v>4.561672043010752</c:v>
                </c:pt>
                <c:pt idx="124">
                  <c:v>4.561672043010752</c:v>
                </c:pt>
                <c:pt idx="125">
                  <c:v>4.561672043010752</c:v>
                </c:pt>
                <c:pt idx="126">
                  <c:v>4.561672043010752</c:v>
                </c:pt>
                <c:pt idx="127">
                  <c:v>4.561672043010752</c:v>
                </c:pt>
                <c:pt idx="128">
                  <c:v>173.34353763440856</c:v>
                </c:pt>
                <c:pt idx="129">
                  <c:v>173.34353763440856</c:v>
                </c:pt>
                <c:pt idx="130">
                  <c:v>173.34353763440856</c:v>
                </c:pt>
                <c:pt idx="131">
                  <c:v>173.34353763440856</c:v>
                </c:pt>
                <c:pt idx="132">
                  <c:v>173.34353763440856</c:v>
                </c:pt>
                <c:pt idx="133">
                  <c:v>173.34353763440856</c:v>
                </c:pt>
                <c:pt idx="134">
                  <c:v>173.34353763440856</c:v>
                </c:pt>
                <c:pt idx="135">
                  <c:v>173.34353763440856</c:v>
                </c:pt>
                <c:pt idx="136">
                  <c:v>173.34353763440856</c:v>
                </c:pt>
                <c:pt idx="137">
                  <c:v>4.561672043010752</c:v>
                </c:pt>
                <c:pt idx="138">
                  <c:v>4.561672043010752</c:v>
                </c:pt>
                <c:pt idx="139">
                  <c:v>4.561672043010752</c:v>
                </c:pt>
                <c:pt idx="140">
                  <c:v>4.561672043010752</c:v>
                </c:pt>
                <c:pt idx="141">
                  <c:v>4.561672043010752</c:v>
                </c:pt>
                <c:pt idx="142">
                  <c:v>4.561672043010752</c:v>
                </c:pt>
                <c:pt idx="143">
                  <c:v>4.561672043010752</c:v>
                </c:pt>
                <c:pt idx="144">
                  <c:v>4.561672043010752</c:v>
                </c:pt>
                <c:pt idx="145">
                  <c:v>4.561672043010752</c:v>
                </c:pt>
                <c:pt idx="146">
                  <c:v>4.561672043010752</c:v>
                </c:pt>
                <c:pt idx="147">
                  <c:v>4.561672043010752</c:v>
                </c:pt>
                <c:pt idx="148">
                  <c:v>4.561672043010752</c:v>
                </c:pt>
                <c:pt idx="149">
                  <c:v>4.561672043010752</c:v>
                </c:pt>
                <c:pt idx="150">
                  <c:v>4.561672043010752</c:v>
                </c:pt>
                <c:pt idx="151">
                  <c:v>4.561672043010752</c:v>
                </c:pt>
                <c:pt idx="152">
                  <c:v>173.34353763440856</c:v>
                </c:pt>
                <c:pt idx="153">
                  <c:v>173.34353763440856</c:v>
                </c:pt>
                <c:pt idx="154">
                  <c:v>173.34353763440856</c:v>
                </c:pt>
                <c:pt idx="155">
                  <c:v>173.34353763440856</c:v>
                </c:pt>
                <c:pt idx="156">
                  <c:v>173.34353763440856</c:v>
                </c:pt>
                <c:pt idx="157">
                  <c:v>173.34353763440856</c:v>
                </c:pt>
                <c:pt idx="158">
                  <c:v>173.34353763440856</c:v>
                </c:pt>
                <c:pt idx="159">
                  <c:v>173.34353763440856</c:v>
                </c:pt>
                <c:pt idx="160">
                  <c:v>173.34353763440856</c:v>
                </c:pt>
                <c:pt idx="161">
                  <c:v>4.561672043010752</c:v>
                </c:pt>
                <c:pt idx="162">
                  <c:v>4.561672043010752</c:v>
                </c:pt>
                <c:pt idx="163">
                  <c:v>4.561672043010752</c:v>
                </c:pt>
                <c:pt idx="164">
                  <c:v>4.561672043010752</c:v>
                </c:pt>
                <c:pt idx="165">
                  <c:v>4.561672043010752</c:v>
                </c:pt>
                <c:pt idx="166">
                  <c:v>4.561672043010752</c:v>
                </c:pt>
                <c:pt idx="167">
                  <c:v>4.561672043010752</c:v>
                </c:pt>
              </c:numCache>
            </c:numRef>
          </c:val>
          <c:smooth val="0"/>
          <c:extLst>
            <c:ext xmlns:c16="http://schemas.microsoft.com/office/drawing/2014/chart" uri="{C3380CC4-5D6E-409C-BE32-E72D297353CC}">
              <c16:uniqueId val="{00000002-C444-4C79-A682-4B32D8B6ACAE}"/>
            </c:ext>
          </c:extLst>
        </c:ser>
        <c:dLbls>
          <c:showLegendKey val="0"/>
          <c:showVal val="0"/>
          <c:showCatName val="0"/>
          <c:showSerName val="0"/>
          <c:showPercent val="0"/>
          <c:showBubbleSize val="0"/>
        </c:dLbls>
        <c:marker val="1"/>
        <c:smooth val="0"/>
        <c:axId val="634503056"/>
        <c:axId val="634502400"/>
      </c:lineChart>
      <c:catAx>
        <c:axId val="634503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34502400"/>
        <c:crosses val="autoZero"/>
        <c:auto val="1"/>
        <c:lblAlgn val="ctr"/>
        <c:lblOffset val="100"/>
        <c:noMultiLvlLbl val="0"/>
      </c:catAx>
      <c:valAx>
        <c:axId val="634502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ZA">
                    <a:solidFill>
                      <a:sysClr val="windowText" lastClr="000000"/>
                    </a:solidFill>
                  </a:rPr>
                  <a:t>Power (kW)</a:t>
                </a:r>
              </a:p>
            </c:rich>
          </c:tx>
          <c:layout>
            <c:manualLayout>
              <c:xMode val="edge"/>
              <c:yMode val="edge"/>
              <c:x val="2.6738501885929862E-2"/>
              <c:y val="0.3672723269258016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34503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rgbClr val="000000"/>
                </a:solidFill>
                <a:latin typeface="+mn-lt"/>
                <a:ea typeface="+mn-ea"/>
                <a:cs typeface="+mn-cs"/>
              </a:defRPr>
            </a:pPr>
            <a:r>
              <a:rPr lang="en-ZA">
                <a:solidFill>
                  <a:srgbClr val="000000"/>
                </a:solidFill>
              </a:rPr>
              <a:t>PPA Comparing Escalations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000000"/>
              </a:solidFill>
              <a:latin typeface="+mn-lt"/>
              <a:ea typeface="+mn-ea"/>
              <a:cs typeface="+mn-cs"/>
            </a:defRPr>
          </a:pPr>
          <a:endParaRPr lang="en-US"/>
        </a:p>
      </c:txPr>
    </c:title>
    <c:autoTitleDeleted val="0"/>
    <c:plotArea>
      <c:layout/>
      <c:lineChart>
        <c:grouping val="standard"/>
        <c:varyColors val="0"/>
        <c:ser>
          <c:idx val="0"/>
          <c:order val="0"/>
          <c:tx>
            <c:strRef>
              <c:f>Cashflows!$B$91</c:f>
              <c:strCache>
                <c:ptCount val="1"/>
                <c:pt idx="0">
                  <c:v>Effective PPA Rate (R/kWh)</c:v>
                </c:pt>
              </c:strCache>
            </c:strRef>
          </c:tx>
          <c:spPr>
            <a:ln w="28575" cap="rnd">
              <a:solidFill>
                <a:schemeClr val="accent1"/>
              </a:solidFill>
              <a:round/>
            </a:ln>
            <a:effectLst/>
          </c:spPr>
          <c:marker>
            <c:symbol val="none"/>
          </c:marker>
          <c:val>
            <c:numRef>
              <c:f>Cashflows!$C$91:$W$91</c:f>
              <c:numCache>
                <c:formatCode>"R"#\ ##0.00</c:formatCode>
                <c:ptCount val="21"/>
                <c:pt idx="1">
                  <c:v>0.92819319477283313</c:v>
                </c:pt>
                <c:pt idx="2">
                  <c:v>0.99316671840693149</c:v>
                </c:pt>
                <c:pt idx="3">
                  <c:v>1.0626883886954168</c:v>
                </c:pt>
                <c:pt idx="4">
                  <c:v>1.1370765759040962</c:v>
                </c:pt>
                <c:pt idx="5">
                  <c:v>1.216671936217383</c:v>
                </c:pt>
                <c:pt idx="6">
                  <c:v>1.3018389717526</c:v>
                </c:pt>
                <c:pt idx="7">
                  <c:v>1.392967699775282</c:v>
                </c:pt>
                <c:pt idx="8">
                  <c:v>1.4904754387595518</c:v>
                </c:pt>
                <c:pt idx="9">
                  <c:v>1.5948087194727205</c:v>
                </c:pt>
                <c:pt idx="10">
                  <c:v>1.7064453298358111</c:v>
                </c:pt>
                <c:pt idx="11">
                  <c:v>1.8258965029243179</c:v>
                </c:pt>
                <c:pt idx="12">
                  <c:v>1.9537092581290203</c:v>
                </c:pt>
                <c:pt idx="13">
                  <c:v>2.0904689061980517</c:v>
                </c:pt>
                <c:pt idx="14">
                  <c:v>2.2368017296319156</c:v>
                </c:pt>
                <c:pt idx="15">
                  <c:v>2.3933778507061496</c:v>
                </c:pt>
                <c:pt idx="16">
                  <c:v>2.5609143002555803</c:v>
                </c:pt>
                <c:pt idx="17">
                  <c:v>2.7401783012734713</c:v>
                </c:pt>
                <c:pt idx="18">
                  <c:v>2.9319907823626146</c:v>
                </c:pt>
                <c:pt idx="19">
                  <c:v>3.1372301371279976</c:v>
                </c:pt>
                <c:pt idx="20">
                  <c:v>3.3568362467269575</c:v>
                </c:pt>
              </c:numCache>
            </c:numRef>
          </c:val>
          <c:smooth val="0"/>
          <c:extLst>
            <c:ext xmlns:c16="http://schemas.microsoft.com/office/drawing/2014/chart" uri="{C3380CC4-5D6E-409C-BE32-E72D297353CC}">
              <c16:uniqueId val="{00000000-6E64-4669-AA40-4B8B1C212A00}"/>
            </c:ext>
          </c:extLst>
        </c:ser>
        <c:ser>
          <c:idx val="1"/>
          <c:order val="1"/>
          <c:tx>
            <c:strRef>
              <c:f>Cashflows!$B$92</c:f>
              <c:strCache>
                <c:ptCount val="1"/>
                <c:pt idx="0">
                  <c:v>Utility Import Tariff (R/kWh)</c:v>
                </c:pt>
              </c:strCache>
            </c:strRef>
          </c:tx>
          <c:spPr>
            <a:ln w="28575" cap="rnd">
              <a:solidFill>
                <a:schemeClr val="accent2"/>
              </a:solidFill>
              <a:round/>
            </a:ln>
            <a:effectLst/>
          </c:spPr>
          <c:marker>
            <c:symbol val="none"/>
          </c:marker>
          <c:val>
            <c:numRef>
              <c:f>Cashflows!$C$92:$W$92</c:f>
              <c:numCache>
                <c:formatCode>"R"#\ ##0.00</c:formatCode>
                <c:ptCount val="21"/>
                <c:pt idx="1">
                  <c:v>2.6492952499999998</c:v>
                </c:pt>
                <c:pt idx="2">
                  <c:v>2.8612388699999998</c:v>
                </c:pt>
                <c:pt idx="3">
                  <c:v>3.0901379796000001</c:v>
                </c:pt>
                <c:pt idx="4">
                  <c:v>3.3373490179680005</c:v>
                </c:pt>
                <c:pt idx="5">
                  <c:v>3.604336939405441</c:v>
                </c:pt>
                <c:pt idx="6">
                  <c:v>3.8926838945578766</c:v>
                </c:pt>
                <c:pt idx="7">
                  <c:v>4.204098606122507</c:v>
                </c:pt>
                <c:pt idx="8">
                  <c:v>4.5404264946123076</c:v>
                </c:pt>
                <c:pt idx="9">
                  <c:v>4.9036606141812928</c:v>
                </c:pt>
                <c:pt idx="10">
                  <c:v>5.2959534633157963</c:v>
                </c:pt>
                <c:pt idx="11">
                  <c:v>5.7196297403810608</c:v>
                </c:pt>
                <c:pt idx="12">
                  <c:v>6.1772001196115456</c:v>
                </c:pt>
                <c:pt idx="13">
                  <c:v>6.6713761291804694</c:v>
                </c:pt>
                <c:pt idx="14">
                  <c:v>7.2050862195149072</c:v>
                </c:pt>
                <c:pt idx="15">
                  <c:v>7.7814931170761001</c:v>
                </c:pt>
                <c:pt idx="16">
                  <c:v>8.404012566442189</c:v>
                </c:pt>
                <c:pt idx="17">
                  <c:v>9.0763335717575639</c:v>
                </c:pt>
                <c:pt idx="18">
                  <c:v>9.8024402574981693</c:v>
                </c:pt>
                <c:pt idx="19">
                  <c:v>10.586635478098023</c:v>
                </c:pt>
                <c:pt idx="20">
                  <c:v>11.433566316345866</c:v>
                </c:pt>
              </c:numCache>
            </c:numRef>
          </c:val>
          <c:smooth val="0"/>
          <c:extLst>
            <c:ext xmlns:c16="http://schemas.microsoft.com/office/drawing/2014/chart" uri="{C3380CC4-5D6E-409C-BE32-E72D297353CC}">
              <c16:uniqueId val="{00000001-6E64-4669-AA40-4B8B1C212A00}"/>
            </c:ext>
          </c:extLst>
        </c:ser>
        <c:dLbls>
          <c:showLegendKey val="0"/>
          <c:showVal val="0"/>
          <c:showCatName val="0"/>
          <c:showSerName val="0"/>
          <c:showPercent val="0"/>
          <c:showBubbleSize val="0"/>
        </c:dLbls>
        <c:smooth val="0"/>
        <c:axId val="661084847"/>
        <c:axId val="1171163007"/>
      </c:lineChart>
      <c:catAx>
        <c:axId val="66108484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0000"/>
                </a:solidFill>
                <a:latin typeface="+mn-lt"/>
                <a:ea typeface="+mn-ea"/>
                <a:cs typeface="+mn-cs"/>
              </a:defRPr>
            </a:pPr>
            <a:endParaRPr lang="en-US"/>
          </a:p>
        </c:txPr>
        <c:crossAx val="1171163007"/>
        <c:crosses val="autoZero"/>
        <c:auto val="1"/>
        <c:lblAlgn val="ctr"/>
        <c:lblOffset val="100"/>
        <c:noMultiLvlLbl val="0"/>
      </c:catAx>
      <c:valAx>
        <c:axId val="1171163007"/>
        <c:scaling>
          <c:orientation val="minMax"/>
        </c:scaling>
        <c:delete val="0"/>
        <c:axPos val="l"/>
        <c:majorGridlines>
          <c:spPr>
            <a:ln w="9525" cap="flat" cmpd="sng" algn="ctr">
              <a:solidFill>
                <a:schemeClr val="tx1">
                  <a:lumMod val="15000"/>
                  <a:lumOff val="85000"/>
                </a:schemeClr>
              </a:solidFill>
              <a:round/>
            </a:ln>
            <a:effectLst/>
          </c:spPr>
        </c:majorGridlines>
        <c:numFmt formatCode="&quot;R&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0000"/>
                </a:solidFill>
                <a:latin typeface="+mn-lt"/>
                <a:ea typeface="+mn-ea"/>
                <a:cs typeface="+mn-cs"/>
              </a:defRPr>
            </a:pPr>
            <a:endParaRPr lang="en-US"/>
          </a:p>
        </c:txPr>
        <c:crossAx val="6610848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600" b="1" i="0" u="none" strike="noStrike" kern="1200" cap="none" spc="0" normalizeH="0" baseline="0">
                <a:solidFill>
                  <a:schemeClr val="accent6"/>
                </a:solidFill>
                <a:latin typeface="+mj-lt"/>
                <a:ea typeface="+mj-ea"/>
                <a:cs typeface="+mj-cs"/>
              </a:defRPr>
            </a:pPr>
            <a:r>
              <a:rPr lang="en-GB" sz="1200" b="1" i="0">
                <a:latin typeface="Proxima Nova Th" panose="02000506030000020004" pitchFamily="2" charset="0"/>
              </a:rPr>
              <a:t>Comparative </a:t>
            </a:r>
            <a:r>
              <a:rPr lang="en-GB" sz="1200" b="1" i="0" baseline="0">
                <a:latin typeface="Proxima Nova Th" panose="02000506030000020004" pitchFamily="2" charset="0"/>
              </a:rPr>
              <a:t>Cashflows</a:t>
            </a:r>
            <a:endParaRPr lang="en-GB" sz="1200" b="1" i="0">
              <a:latin typeface="Proxima Nova Th" panose="02000506030000020004" pitchFamily="2" charset="0"/>
            </a:endParaRPr>
          </a:p>
        </c:rich>
      </c:tx>
      <c:layout>
        <c:manualLayout>
          <c:xMode val="edge"/>
          <c:yMode val="edge"/>
          <c:x val="0.35968903343603786"/>
          <c:y val="4.0722830236701452E-2"/>
        </c:manualLayout>
      </c:layout>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accent6"/>
              </a:solidFill>
              <a:latin typeface="+mj-lt"/>
              <a:ea typeface="+mj-ea"/>
              <a:cs typeface="+mj-cs"/>
            </a:defRPr>
          </a:pPr>
          <a:endParaRPr lang="en-GB"/>
        </a:p>
      </c:txPr>
    </c:title>
    <c:autoTitleDeleted val="0"/>
    <c:plotArea>
      <c:layout>
        <c:manualLayout>
          <c:layoutTarget val="inner"/>
          <c:xMode val="edge"/>
          <c:yMode val="edge"/>
          <c:x val="0.13013078635628245"/>
          <c:y val="0.17976791056920749"/>
          <c:w val="0.85382018611309951"/>
          <c:h val="0.69796200848028322"/>
        </c:manualLayout>
      </c:layout>
      <c:lineChart>
        <c:grouping val="standard"/>
        <c:varyColors val="0"/>
        <c:ser>
          <c:idx val="0"/>
          <c:order val="0"/>
          <c:tx>
            <c:v>Bank Financed</c:v>
          </c:tx>
          <c:spPr>
            <a:ln w="22225" cap="rnd">
              <a:solidFill>
                <a:schemeClr val="accent1"/>
              </a:solidFill>
              <a:round/>
            </a:ln>
            <a:effectLst/>
          </c:spPr>
          <c:marker>
            <c:symbol val="none"/>
          </c:marker>
          <c:val>
            <c:numRef>
              <c:f>Cashflows!#REF!</c:f>
              <c:numCache>
                <c:formatCode>General</c:formatCode>
                <c:ptCount val="1"/>
                <c:pt idx="0">
                  <c:v>1</c:v>
                </c:pt>
              </c:numCache>
            </c:numRef>
          </c:val>
          <c:smooth val="1"/>
          <c:extLst>
            <c:ext xmlns:c16="http://schemas.microsoft.com/office/drawing/2014/chart" uri="{C3380CC4-5D6E-409C-BE32-E72D297353CC}">
              <c16:uniqueId val="{00000000-F546-D24F-9C1E-3552792F1EC8}"/>
            </c:ext>
          </c:extLst>
        </c:ser>
        <c:ser>
          <c:idx val="1"/>
          <c:order val="1"/>
          <c:tx>
            <c:v>Self Funded </c:v>
          </c:tx>
          <c:spPr>
            <a:ln w="22225" cap="rnd">
              <a:solidFill>
                <a:schemeClr val="accent2"/>
              </a:solidFill>
              <a:round/>
              <a:tailEnd type="triangle"/>
            </a:ln>
            <a:effectLst/>
          </c:spPr>
          <c:marker>
            <c:symbol val="none"/>
          </c:marker>
          <c:val>
            <c:numRef>
              <c:f>Cashflows!$C$25:$W$25</c:f>
              <c:numCache>
                <c:formatCode>#,##0</c:formatCode>
                <c:ptCount val="21"/>
                <c:pt idx="0">
                  <c:v>-7888.760858973922</c:v>
                </c:pt>
                <c:pt idx="1">
                  <c:v>-3502.7672526604447</c:v>
                </c:pt>
                <c:pt idx="2">
                  <c:v>-1095.3022025064984</c:v>
                </c:pt>
                <c:pt idx="3">
                  <c:v>1474.7528004237579</c:v>
                </c:pt>
                <c:pt idx="4">
                  <c:v>4219.3721680186682</c:v>
                </c:pt>
                <c:pt idx="5">
                  <c:v>7151.412126827825</c:v>
                </c:pt>
                <c:pt idx="6">
                  <c:v>10146.796211726036</c:v>
                </c:pt>
                <c:pt idx="7">
                  <c:v>13362.790401256856</c:v>
                </c:pt>
                <c:pt idx="8">
                  <c:v>16815.641212982639</c:v>
                </c:pt>
                <c:pt idx="9">
                  <c:v>20522.791516823803</c:v>
                </c:pt>
                <c:pt idx="10">
                  <c:v>24502.968624471279</c:v>
                </c:pt>
                <c:pt idx="11">
                  <c:v>28776.278864483669</c:v>
                </c:pt>
                <c:pt idx="12">
                  <c:v>33364.309120551181</c:v>
                </c:pt>
                <c:pt idx="13">
                  <c:v>38290.235845558847</c:v>
                </c:pt>
                <c:pt idx="14">
                  <c:v>43578.942101819135</c:v>
                </c:pt>
                <c:pt idx="15">
                  <c:v>49257.143218359844</c:v>
                </c:pt>
                <c:pt idx="16">
                  <c:v>55353.521699651203</c:v>
                </c:pt>
                <c:pt idx="17">
                  <c:v>61898.872066856049</c:v>
                </c:pt>
                <c:pt idx="18">
                  <c:v>68926.256362824584</c:v>
                </c:pt>
                <c:pt idx="19">
                  <c:v>76471.171105883172</c:v>
                </c:pt>
                <c:pt idx="20">
                  <c:v>84571.726535257418</c:v>
                </c:pt>
              </c:numCache>
            </c:numRef>
          </c:val>
          <c:smooth val="0"/>
          <c:extLst>
            <c:ext xmlns:c16="http://schemas.microsoft.com/office/drawing/2014/chart" uri="{C3380CC4-5D6E-409C-BE32-E72D297353CC}">
              <c16:uniqueId val="{00000007-F546-D24F-9C1E-3552792F1EC8}"/>
            </c:ext>
          </c:extLst>
        </c:ser>
        <c:ser>
          <c:idx val="2"/>
          <c:order val="2"/>
          <c:tx>
            <c:v>PPA</c:v>
          </c:tx>
          <c:spPr>
            <a:ln w="22225" cap="rnd">
              <a:solidFill>
                <a:srgbClr val="1EA349"/>
              </a:solidFill>
              <a:round/>
              <a:tailEnd type="triangle"/>
            </a:ln>
            <a:effectLst/>
          </c:spPr>
          <c:marker>
            <c:symbol val="none"/>
          </c:marker>
          <c:val>
            <c:numRef>
              <c:f>Cashflows!$C$90:$W$90</c:f>
              <c:numCache>
                <c:formatCode>#,##0</c:formatCode>
                <c:ptCount val="21"/>
                <c:pt idx="1">
                  <c:v>1386.9378816212488</c:v>
                </c:pt>
                <c:pt idx="2">
                  <c:v>2883.2783366388003</c:v>
                </c:pt>
                <c:pt idx="3">
                  <c:v>4497.5373532123376</c:v>
                </c:pt>
                <c:pt idx="4">
                  <c:v>6238.8870699141062</c:v>
                </c:pt>
                <c:pt idx="5">
                  <c:v>8117.2059268018011</c:v>
                </c:pt>
                <c:pt idx="6">
                  <c:v>10184.478067915272</c:v>
                </c:pt>
                <c:pt idx="7">
                  <c:v>12414.061290447091</c:v>
                </c:pt>
                <c:pt idx="8">
                  <c:v>14818.545183455659</c:v>
                </c:pt>
                <c:pt idx="9">
                  <c:v>17411.486661480601</c:v>
                </c:pt>
                <c:pt idx="10">
                  <c:v>20207.483736071008</c:v>
                </c:pt>
                <c:pt idx="11">
                  <c:v>23222.254879722423</c:v>
                </c:pt>
                <c:pt idx="12">
                  <c:v>26472.724404104043</c:v>
                </c:pt>
                <c:pt idx="13">
                  <c:v>29977.114306156465</c:v>
                </c:pt>
                <c:pt idx="14">
                  <c:v>33755.043069712832</c:v>
                </c:pt>
                <c:pt idx="15">
                  <c:v>37827.631946920163</c:v>
                </c:pt>
                <c:pt idx="16">
                  <c:v>42217.619283102948</c:v>
                </c:pt>
                <c:pt idx="17">
                  <c:v>46949.483491022955</c:v>
                </c:pt>
                <c:pt idx="18">
                  <c:v>52049.575325967133</c:v>
                </c:pt>
                <c:pt idx="19">
                  <c:v>57546.26016197601</c:v>
                </c:pt>
                <c:pt idx="20">
                  <c:v>63470.071022062148</c:v>
                </c:pt>
              </c:numCache>
            </c:numRef>
          </c:val>
          <c:smooth val="0"/>
          <c:extLst>
            <c:ext xmlns:c16="http://schemas.microsoft.com/office/drawing/2014/chart" uri="{C3380CC4-5D6E-409C-BE32-E72D297353CC}">
              <c16:uniqueId val="{00000008-F546-D24F-9C1E-3552792F1EC8}"/>
            </c:ext>
          </c:extLst>
        </c:ser>
        <c:dLbls>
          <c:showLegendKey val="0"/>
          <c:showVal val="0"/>
          <c:showCatName val="0"/>
          <c:showSerName val="0"/>
          <c:showPercent val="0"/>
          <c:showBubbleSize val="0"/>
        </c:dLbls>
        <c:smooth val="0"/>
        <c:axId val="262504655"/>
        <c:axId val="266778367"/>
      </c:lineChart>
      <c:catAx>
        <c:axId val="262504655"/>
        <c:scaling>
          <c:orientation val="minMax"/>
        </c:scaling>
        <c:delete val="0"/>
        <c:axPos val="b"/>
        <c:numFmt formatCode="General" sourceLinked="1"/>
        <c:majorTickMark val="out"/>
        <c:minorTickMark val="none"/>
        <c:tickLblPos val="nextTo"/>
        <c:spPr>
          <a:noFill/>
          <a:ln w="3175" cap="flat" cmpd="sng" algn="ctr">
            <a:solidFill>
              <a:srgbClr val="A7A9AC"/>
            </a:solidFill>
            <a:round/>
          </a:ln>
          <a:effectLst/>
        </c:spPr>
        <c:txPr>
          <a:bodyPr rot="-60000000" spcFirstLastPara="1" vertOverflow="ellipsis" vert="horz" wrap="square" anchor="ctr" anchorCtr="1"/>
          <a:lstStyle/>
          <a:p>
            <a:pPr>
              <a:defRPr sz="500" b="0" i="0" u="none" strike="noStrike" kern="1200" cap="none" spc="0" normalizeH="0" baseline="0">
                <a:solidFill>
                  <a:schemeClr val="accent6">
                    <a:lumMod val="50000"/>
                  </a:schemeClr>
                </a:solidFill>
                <a:latin typeface="+mn-lt"/>
                <a:ea typeface="+mn-ea"/>
                <a:cs typeface="+mn-cs"/>
              </a:defRPr>
            </a:pPr>
            <a:endParaRPr lang="en-US"/>
          </a:p>
        </c:txPr>
        <c:crossAx val="266778367"/>
        <c:crosses val="autoZero"/>
        <c:auto val="1"/>
        <c:lblAlgn val="ctr"/>
        <c:lblOffset val="100"/>
        <c:noMultiLvlLbl val="0"/>
      </c:catAx>
      <c:valAx>
        <c:axId val="266778367"/>
        <c:scaling>
          <c:orientation val="minMax"/>
        </c:scaling>
        <c:delete val="0"/>
        <c:axPos val="l"/>
        <c:majorGridlines>
          <c:spPr>
            <a:ln w="9525" cap="flat" cmpd="sng" algn="ctr">
              <a:solidFill>
                <a:srgbClr val="FFFFFF">
                  <a:lumMod val="85000"/>
                </a:srgbClr>
              </a:solidFill>
              <a:round/>
            </a:ln>
            <a:effectLst/>
          </c:spPr>
        </c:majorGridlines>
        <c:numFmt formatCode="General" sourceLinked="1"/>
        <c:majorTickMark val="out"/>
        <c:minorTickMark val="none"/>
        <c:tickLblPos val="nextTo"/>
        <c:spPr>
          <a:noFill/>
          <a:ln w="3175" cap="flat" cmpd="sng" algn="ctr">
            <a:solidFill>
              <a:srgbClr val="414241">
                <a:lumMod val="40000"/>
                <a:lumOff val="60000"/>
              </a:srgbClr>
            </a:solidFill>
            <a:round/>
          </a:ln>
          <a:effectLst/>
        </c:spPr>
        <c:txPr>
          <a:bodyPr rot="-60000000" spcFirstLastPara="1" vertOverflow="ellipsis" vert="horz" wrap="square" anchor="ctr" anchorCtr="1"/>
          <a:lstStyle/>
          <a:p>
            <a:pPr>
              <a:defRPr sz="500" b="0" i="0" u="none" strike="noStrike" kern="1200" baseline="0">
                <a:solidFill>
                  <a:schemeClr val="accent6">
                    <a:lumMod val="50000"/>
                  </a:schemeClr>
                </a:solidFill>
                <a:latin typeface="+mn-lt"/>
                <a:ea typeface="+mn-ea"/>
                <a:cs typeface="+mn-cs"/>
              </a:defRPr>
            </a:pPr>
            <a:endParaRPr lang="en-US"/>
          </a:p>
        </c:txPr>
        <c:crossAx val="262504655"/>
        <c:crosses val="autoZero"/>
        <c:crossBetween val="between"/>
      </c:valAx>
      <c:spPr>
        <a:noFill/>
        <a:ln w="25400">
          <a:noFill/>
        </a:ln>
        <a:effectLst/>
      </c:spPr>
    </c:plotArea>
    <c:legend>
      <c:legendPos val="t"/>
      <c:legendEntry>
        <c:idx val="0"/>
        <c:delete val="1"/>
      </c:legendEntry>
      <c:layout>
        <c:manualLayout>
          <c:xMode val="edge"/>
          <c:yMode val="edge"/>
          <c:x val="0.14593155051180323"/>
          <c:y val="0.89425981873111771"/>
          <c:w val="0.5469159177323546"/>
          <c:h val="8.7517520702375937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accent6"/>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accent6"/>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8159373679611783E-2"/>
          <c:y val="5.1194932335156922E-2"/>
          <c:w val="0.89230400823717149"/>
          <c:h val="0.78929628563201848"/>
        </c:manualLayout>
      </c:layout>
      <c:lineChart>
        <c:grouping val="standard"/>
        <c:varyColors val="0"/>
        <c:ser>
          <c:idx val="0"/>
          <c:order val="0"/>
          <c:tx>
            <c:strRef>
              <c:f>[3]Sheet1!$A$2</c:f>
              <c:strCache>
                <c:ptCount val="1"/>
                <c:pt idx="0">
                  <c:v>#REF!</c:v>
                </c:pt>
              </c:strCache>
            </c:strRef>
          </c:tx>
          <c:spPr>
            <a:ln w="28575" cap="rnd">
              <a:solidFill>
                <a:schemeClr val="tx1"/>
              </a:solidFill>
              <a:round/>
            </a:ln>
            <a:effectLst/>
          </c:spPr>
          <c:marker>
            <c:symbol val="none"/>
          </c:marker>
          <c:cat>
            <c:numRef>
              <c:f>Cashflows!$D$2:$W$2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Cashflows!$D$3:$W$3</c:f>
              <c:numCache>
                <c:formatCode>_-* #\ ##0_-;\-* #\ ##0_-;_-* "-"??_-;_-@_-</c:formatCode>
                <c:ptCount val="20"/>
                <c:pt idx="0">
                  <c:v>822288.67954109586</c:v>
                </c:pt>
                <c:pt idx="1">
                  <c:v>817354.94746384933</c:v>
                </c:pt>
                <c:pt idx="2">
                  <c:v>812450.81777906627</c:v>
                </c:pt>
                <c:pt idx="3">
                  <c:v>807576.11287239182</c:v>
                </c:pt>
                <c:pt idx="4">
                  <c:v>802730.65619515744</c:v>
                </c:pt>
                <c:pt idx="5">
                  <c:v>797914.27225798648</c:v>
                </c:pt>
                <c:pt idx="6">
                  <c:v>793126.7866244386</c:v>
                </c:pt>
                <c:pt idx="7">
                  <c:v>788368.02590469201</c:v>
                </c:pt>
                <c:pt idx="8">
                  <c:v>783637.81774926384</c:v>
                </c:pt>
                <c:pt idx="9">
                  <c:v>778935.99084276822</c:v>
                </c:pt>
                <c:pt idx="10">
                  <c:v>774262.37489771156</c:v>
                </c:pt>
                <c:pt idx="11">
                  <c:v>769616.80064832524</c:v>
                </c:pt>
                <c:pt idx="12">
                  <c:v>764999.09984443523</c:v>
                </c:pt>
                <c:pt idx="13">
                  <c:v>760409.10524536867</c:v>
                </c:pt>
                <c:pt idx="14">
                  <c:v>755846.65061389643</c:v>
                </c:pt>
                <c:pt idx="15">
                  <c:v>751311.57071021304</c:v>
                </c:pt>
                <c:pt idx="16">
                  <c:v>746803.70128595177</c:v>
                </c:pt>
                <c:pt idx="17">
                  <c:v>742322.87907823606</c:v>
                </c:pt>
                <c:pt idx="18">
                  <c:v>737868.94180376665</c:v>
                </c:pt>
                <c:pt idx="19">
                  <c:v>733441.72815294401</c:v>
                </c:pt>
              </c:numCache>
            </c:numRef>
          </c:val>
          <c:smooth val="0"/>
          <c:extLst>
            <c:ext xmlns:c16="http://schemas.microsoft.com/office/drawing/2014/chart" uri="{C3380CC4-5D6E-409C-BE32-E72D297353CC}">
              <c16:uniqueId val="{00000000-A9D6-7640-B0CA-D370E9EE6B47}"/>
            </c:ext>
          </c:extLst>
        </c:ser>
        <c:dLbls>
          <c:showLegendKey val="0"/>
          <c:showVal val="0"/>
          <c:showCatName val="0"/>
          <c:showSerName val="0"/>
          <c:showPercent val="0"/>
          <c:showBubbleSize val="0"/>
        </c:dLbls>
        <c:dropLines>
          <c:spPr>
            <a:ln w="9525" cap="flat" cmpd="sng" algn="ctr">
              <a:solidFill>
                <a:schemeClr val="accent2">
                  <a:lumMod val="40000"/>
                  <a:lumOff val="60000"/>
                </a:schemeClr>
              </a:solidFill>
              <a:round/>
            </a:ln>
            <a:effectLst/>
          </c:spPr>
        </c:dropLines>
        <c:smooth val="0"/>
        <c:axId val="1934969424"/>
        <c:axId val="1839848944"/>
      </c:lineChart>
      <c:catAx>
        <c:axId val="1934969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bg2"/>
                </a:solidFill>
                <a:latin typeface="+mn-lt"/>
                <a:ea typeface="+mn-ea"/>
                <a:cs typeface="+mn-cs"/>
              </a:defRPr>
            </a:pPr>
            <a:endParaRPr lang="en-US"/>
          </a:p>
        </c:txPr>
        <c:crossAx val="1839848944"/>
        <c:crosses val="autoZero"/>
        <c:auto val="1"/>
        <c:lblAlgn val="ctr"/>
        <c:lblOffset val="100"/>
        <c:noMultiLvlLbl val="0"/>
      </c:catAx>
      <c:valAx>
        <c:axId val="1839848944"/>
        <c:scaling>
          <c:orientation val="minMax"/>
          <c:min val="2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r>
                  <a:rPr lang="en-GB">
                    <a:solidFill>
                      <a:schemeClr val="bg2"/>
                    </a:solidFill>
                  </a:rPr>
                  <a:t>kWh</a:t>
                </a:r>
              </a:p>
            </c:rich>
          </c:tx>
          <c:overlay val="0"/>
          <c:spPr>
            <a:noFill/>
            <a:ln>
              <a:noFill/>
            </a:ln>
            <a:effectLst/>
          </c:spPr>
          <c:txPr>
            <a:bodyPr rot="-54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title>
        <c:numFmt formatCode="_-* #\ ##0_-;\-* #\ ##0_-;_-* &quot;-&quot;??_-;_-@_-"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2"/>
                </a:solidFill>
                <a:latin typeface="+mn-lt"/>
                <a:ea typeface="+mn-ea"/>
                <a:cs typeface="+mn-cs"/>
              </a:defRPr>
            </a:pPr>
            <a:endParaRPr lang="en-US"/>
          </a:p>
        </c:txPr>
        <c:crossAx val="19349694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6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Consumption </c:v>
          </c:tx>
          <c:spPr>
            <a:solidFill>
              <a:schemeClr val="tx1"/>
            </a:solidFill>
            <a:ln>
              <a:noFill/>
            </a:ln>
            <a:effectLst/>
          </c:spPr>
          <c:invertIfNegative val="0"/>
          <c:cat>
            <c:strRef>
              <c:f>'Design Inputs'!$C$22:$C$33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'Design Inputs'!$C$78:$C$89</c:f>
              <c:numCache>
                <c:formatCode>0</c:formatCode>
                <c:ptCount val="12"/>
                <c:pt idx="0">
                  <c:v>49340.32</c:v>
                </c:pt>
                <c:pt idx="1">
                  <c:v>55321.440000000002</c:v>
                </c:pt>
                <c:pt idx="2">
                  <c:v>50704.32</c:v>
                </c:pt>
                <c:pt idx="3">
                  <c:v>48446.400000000001</c:v>
                </c:pt>
                <c:pt idx="4">
                  <c:v>50376.480000000003</c:v>
                </c:pt>
                <c:pt idx="5">
                  <c:v>52984</c:v>
                </c:pt>
                <c:pt idx="6">
                  <c:v>51941.919999999998</c:v>
                </c:pt>
                <c:pt idx="7">
                  <c:v>57959.839999999997</c:v>
                </c:pt>
                <c:pt idx="8">
                  <c:v>50066.879999999997</c:v>
                </c:pt>
                <c:pt idx="9">
                  <c:v>44910.080000000002</c:v>
                </c:pt>
                <c:pt idx="10">
                  <c:v>51417.120000000003</c:v>
                </c:pt>
                <c:pt idx="11">
                  <c:v>42398.879999999997</c:v>
                </c:pt>
              </c:numCache>
            </c:numRef>
          </c:val>
          <c:extLst>
            <c:ext xmlns:c16="http://schemas.microsoft.com/office/drawing/2014/chart" uri="{C3380CC4-5D6E-409C-BE32-E72D297353CC}">
              <c16:uniqueId val="{00000000-EE02-2A47-9C0E-2D4E497BB617}"/>
            </c:ext>
          </c:extLst>
        </c:ser>
        <c:ser>
          <c:idx val="1"/>
          <c:order val="1"/>
          <c:tx>
            <c:v>PV Generation</c:v>
          </c:tx>
          <c:spPr>
            <a:solidFill>
              <a:schemeClr val="accent2"/>
            </a:solidFill>
            <a:ln>
              <a:noFill/>
            </a:ln>
            <a:effectLst/>
          </c:spPr>
          <c:invertIfNegative val="0"/>
          <c:cat>
            <c:strRef>
              <c:f>'Design Inputs'!$C$22:$C$33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'Design Inputs'!$D$78:$D$89</c:f>
              <c:numCache>
                <c:formatCode>0</c:formatCode>
                <c:ptCount val="12"/>
                <c:pt idx="0">
                  <c:v>84596.543010617708</c:v>
                </c:pt>
                <c:pt idx="1">
                  <c:v>71688.707399836348</c:v>
                </c:pt>
                <c:pt idx="2">
                  <c:v>72499.688659293955</c:v>
                </c:pt>
                <c:pt idx="3">
                  <c:v>59931.175751214534</c:v>
                </c:pt>
                <c:pt idx="4">
                  <c:v>56619.386172843719</c:v>
                </c:pt>
                <c:pt idx="5">
                  <c:v>50535.330113398151</c:v>
                </c:pt>
                <c:pt idx="6">
                  <c:v>56174.873432304194</c:v>
                </c:pt>
                <c:pt idx="7">
                  <c:v>65930.401134984641</c:v>
                </c:pt>
                <c:pt idx="8">
                  <c:v>73795.901383615332</c:v>
                </c:pt>
                <c:pt idx="9">
                  <c:v>80694.331929545515</c:v>
                </c:pt>
                <c:pt idx="10">
                  <c:v>82587.752610622279</c:v>
                </c:pt>
                <c:pt idx="11">
                  <c:v>88318.913059257844</c:v>
                </c:pt>
              </c:numCache>
            </c:numRef>
          </c:val>
          <c:extLst>
            <c:ext xmlns:c16="http://schemas.microsoft.com/office/drawing/2014/chart" uri="{C3380CC4-5D6E-409C-BE32-E72D297353CC}">
              <c16:uniqueId val="{00000001-EE02-2A47-9C0E-2D4E497BB617}"/>
            </c:ext>
          </c:extLst>
        </c:ser>
        <c:dLbls>
          <c:showLegendKey val="0"/>
          <c:showVal val="0"/>
          <c:showCatName val="0"/>
          <c:showSerName val="0"/>
          <c:showPercent val="0"/>
          <c:showBubbleSize val="0"/>
        </c:dLbls>
        <c:gapWidth val="150"/>
        <c:axId val="1917491776"/>
        <c:axId val="1941134816"/>
      </c:barChart>
      <c:catAx>
        <c:axId val="1917491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bg2"/>
                </a:solidFill>
                <a:latin typeface="+mn-lt"/>
                <a:ea typeface="+mn-ea"/>
                <a:cs typeface="+mn-cs"/>
              </a:defRPr>
            </a:pPr>
            <a:endParaRPr lang="en-US"/>
          </a:p>
        </c:txPr>
        <c:crossAx val="1941134816"/>
        <c:crosses val="autoZero"/>
        <c:auto val="1"/>
        <c:lblAlgn val="ctr"/>
        <c:lblOffset val="100"/>
        <c:noMultiLvlLbl val="0"/>
      </c:catAx>
      <c:valAx>
        <c:axId val="19411348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2"/>
                </a:solidFill>
                <a:latin typeface="+mn-lt"/>
                <a:ea typeface="+mn-ea"/>
                <a:cs typeface="+mn-cs"/>
              </a:defRPr>
            </a:pPr>
            <a:endParaRPr lang="en-US"/>
          </a:p>
        </c:txPr>
        <c:crossAx val="1917491776"/>
        <c:crosses val="autoZero"/>
        <c:crossBetween val="between"/>
      </c:valAx>
      <c:spPr>
        <a:noFill/>
        <a:ln>
          <a:noFill/>
        </a:ln>
        <a:effectLst/>
      </c:spPr>
    </c:plotArea>
    <c:legend>
      <c:legendPos val="b"/>
      <c:legendEntry>
        <c:idx val="0"/>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2113220075426305E-2"/>
          <c:y val="0.19327891271886327"/>
          <c:w val="0.89578942108703885"/>
          <c:h val="0.78600823045267487"/>
        </c:manualLayout>
      </c:layout>
      <c:areaChart>
        <c:grouping val="standard"/>
        <c:varyColors val="0"/>
        <c:ser>
          <c:idx val="0"/>
          <c:order val="0"/>
          <c:tx>
            <c:strRef>
              <c:f>[3]Sheet1!$A$2</c:f>
              <c:strCache>
                <c:ptCount val="1"/>
                <c:pt idx="0">
                  <c:v>#REF!</c:v>
                </c:pt>
              </c:strCache>
            </c:strRef>
          </c:tx>
          <c:spPr>
            <a:noFill/>
            <a:ln>
              <a:solidFill>
                <a:schemeClr val="tx1"/>
              </a:solidFill>
              <a:prstDash val="dash"/>
            </a:ln>
            <a:effectLst/>
          </c:spPr>
          <c:cat>
            <c:numRef>
              <c:f>Cashflows!$C$2:$W$2</c:f>
              <c:numCache>
                <c:formatCode>General</c:formatCode>
                <c:ptCount val="21"/>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Cashflows!$C$25:$W$25</c:f>
              <c:numCache>
                <c:formatCode>#,##0</c:formatCode>
                <c:ptCount val="21"/>
                <c:pt idx="0">
                  <c:v>-7888.760858973922</c:v>
                </c:pt>
                <c:pt idx="1">
                  <c:v>-3502.7672526604447</c:v>
                </c:pt>
                <c:pt idx="2">
                  <c:v>-1095.3022025064984</c:v>
                </c:pt>
                <c:pt idx="3">
                  <c:v>1474.7528004237579</c:v>
                </c:pt>
                <c:pt idx="4">
                  <c:v>4219.3721680186682</c:v>
                </c:pt>
                <c:pt idx="5">
                  <c:v>7151.412126827825</c:v>
                </c:pt>
                <c:pt idx="6">
                  <c:v>10146.796211726036</c:v>
                </c:pt>
                <c:pt idx="7">
                  <c:v>13362.790401256856</c:v>
                </c:pt>
                <c:pt idx="8">
                  <c:v>16815.641212982639</c:v>
                </c:pt>
                <c:pt idx="9">
                  <c:v>20522.791516823803</c:v>
                </c:pt>
                <c:pt idx="10">
                  <c:v>24502.968624471279</c:v>
                </c:pt>
                <c:pt idx="11">
                  <c:v>28776.278864483669</c:v>
                </c:pt>
                <c:pt idx="12">
                  <c:v>33364.309120551181</c:v>
                </c:pt>
                <c:pt idx="13">
                  <c:v>38290.235845558847</c:v>
                </c:pt>
                <c:pt idx="14">
                  <c:v>43578.942101819135</c:v>
                </c:pt>
                <c:pt idx="15">
                  <c:v>49257.143218359844</c:v>
                </c:pt>
                <c:pt idx="16">
                  <c:v>55353.521699651203</c:v>
                </c:pt>
                <c:pt idx="17">
                  <c:v>61898.872066856049</c:v>
                </c:pt>
                <c:pt idx="18">
                  <c:v>68926.256362824584</c:v>
                </c:pt>
                <c:pt idx="19">
                  <c:v>76471.171105883172</c:v>
                </c:pt>
                <c:pt idx="20">
                  <c:v>84571.726535257418</c:v>
                </c:pt>
              </c:numCache>
            </c:numRef>
          </c:val>
          <c:extLst>
            <c:ext xmlns:c16="http://schemas.microsoft.com/office/drawing/2014/chart" uri="{C3380CC4-5D6E-409C-BE32-E72D297353CC}">
              <c16:uniqueId val="{00000000-8F57-6248-8890-3135BE5A2702}"/>
            </c:ext>
          </c:extLst>
        </c:ser>
        <c:dLbls>
          <c:showLegendKey val="0"/>
          <c:showVal val="0"/>
          <c:showCatName val="0"/>
          <c:showSerName val="0"/>
          <c:showPercent val="0"/>
          <c:showBubbleSize val="0"/>
        </c:dLbls>
        <c:axId val="818329759"/>
        <c:axId val="818331439"/>
      </c:areaChart>
      <c:catAx>
        <c:axId val="81832975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500" b="0" i="0" u="none" strike="noStrike" kern="1200" baseline="0">
                <a:solidFill>
                  <a:schemeClr val="bg2"/>
                </a:solidFill>
                <a:latin typeface="+mn-lt"/>
                <a:ea typeface="+mn-ea"/>
                <a:cs typeface="+mn-cs"/>
              </a:defRPr>
            </a:pPr>
            <a:endParaRPr lang="en-US"/>
          </a:p>
        </c:txPr>
        <c:crossAx val="818331439"/>
        <c:crossesAt val="0"/>
        <c:auto val="1"/>
        <c:lblAlgn val="ctr"/>
        <c:lblOffset val="100"/>
        <c:noMultiLvlLbl val="0"/>
      </c:catAx>
      <c:valAx>
        <c:axId val="818331439"/>
        <c:scaling>
          <c:orientation val="minMax"/>
        </c:scaling>
        <c:delete val="0"/>
        <c:axPos val="l"/>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500" b="0" i="0" u="none" strike="noStrike" kern="1200" baseline="0">
                <a:solidFill>
                  <a:schemeClr val="bg2"/>
                </a:solidFill>
                <a:latin typeface="+mn-lt"/>
                <a:ea typeface="+mn-ea"/>
                <a:cs typeface="+mn-cs"/>
              </a:defRPr>
            </a:pPr>
            <a:endParaRPr lang="en-US"/>
          </a:p>
        </c:txPr>
        <c:crossAx val="818329759"/>
        <c:crosses val="autoZero"/>
        <c:crossBetween val="midCat"/>
        <c:majorUnit val="10000"/>
        <c:minorUnit val="10000"/>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2113220075426305E-2"/>
          <c:y val="0.19327891271886327"/>
          <c:w val="0.89578942108703885"/>
          <c:h val="0.78600823045267487"/>
        </c:manualLayout>
      </c:layout>
      <c:areaChart>
        <c:grouping val="standard"/>
        <c:varyColors val="0"/>
        <c:ser>
          <c:idx val="0"/>
          <c:order val="0"/>
          <c:tx>
            <c:strRef>
              <c:f>[3]Sheet1!$A$2</c:f>
              <c:strCache>
                <c:ptCount val="1"/>
                <c:pt idx="0">
                  <c:v>#REF!</c:v>
                </c:pt>
              </c:strCache>
            </c:strRef>
          </c:tx>
          <c:spPr>
            <a:solidFill>
              <a:schemeClr val="accent1"/>
            </a:solidFill>
            <a:ln w="25400">
              <a:noFill/>
            </a:ln>
            <a:effectLst/>
          </c:spPr>
          <c:cat>
            <c:numRef>
              <c:f>Cashflows!$C$2:$W$2</c:f>
              <c:numCache>
                <c:formatCode>General</c:formatCode>
                <c:ptCount val="21"/>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Cashflows!#REF!</c:f>
              <c:numCache>
                <c:formatCode>General</c:formatCode>
                <c:ptCount val="1"/>
                <c:pt idx="0">
                  <c:v>1</c:v>
                </c:pt>
              </c:numCache>
            </c:numRef>
          </c:val>
          <c:extLst>
            <c:ext xmlns:c16="http://schemas.microsoft.com/office/drawing/2014/chart" uri="{C3380CC4-5D6E-409C-BE32-E72D297353CC}">
              <c16:uniqueId val="{00000000-8F57-6248-8890-3135BE5A2702}"/>
            </c:ext>
          </c:extLst>
        </c:ser>
        <c:dLbls>
          <c:showLegendKey val="0"/>
          <c:showVal val="0"/>
          <c:showCatName val="0"/>
          <c:showSerName val="0"/>
          <c:showPercent val="0"/>
          <c:showBubbleSize val="0"/>
        </c:dLbls>
        <c:axId val="818329759"/>
        <c:axId val="818331439"/>
      </c:areaChart>
      <c:catAx>
        <c:axId val="81832975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500" b="0" i="0" u="none" strike="noStrike" kern="1200" baseline="0">
                <a:solidFill>
                  <a:schemeClr val="bg2"/>
                </a:solidFill>
                <a:latin typeface="+mn-lt"/>
                <a:ea typeface="+mn-ea"/>
                <a:cs typeface="+mn-cs"/>
              </a:defRPr>
            </a:pPr>
            <a:endParaRPr lang="en-US"/>
          </a:p>
        </c:txPr>
        <c:crossAx val="818331439"/>
        <c:crossesAt val="0"/>
        <c:auto val="1"/>
        <c:lblAlgn val="ctr"/>
        <c:lblOffset val="100"/>
        <c:noMultiLvlLbl val="0"/>
      </c:catAx>
      <c:valAx>
        <c:axId val="818331439"/>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500" b="0" i="0" u="none" strike="noStrike" kern="1200" baseline="0">
                <a:solidFill>
                  <a:schemeClr val="bg2"/>
                </a:solidFill>
                <a:latin typeface="+mn-lt"/>
                <a:ea typeface="+mn-ea"/>
                <a:cs typeface="+mn-cs"/>
              </a:defRPr>
            </a:pPr>
            <a:endParaRPr lang="en-US"/>
          </a:p>
        </c:txPr>
        <c:crossAx val="818329759"/>
        <c:crosses val="autoZero"/>
        <c:crossBetween val="midCat"/>
        <c:majorUnit val="10000"/>
        <c:minorUnit val="10000"/>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2113220075426305E-2"/>
          <c:y val="0.19327891271886327"/>
          <c:w val="0.89578942108703885"/>
          <c:h val="0.78600823045267487"/>
        </c:manualLayout>
      </c:layout>
      <c:areaChart>
        <c:grouping val="standard"/>
        <c:varyColors val="0"/>
        <c:ser>
          <c:idx val="0"/>
          <c:order val="0"/>
          <c:tx>
            <c:strRef>
              <c:f>[3]Sheet1!$A$2</c:f>
              <c:strCache>
                <c:ptCount val="1"/>
                <c:pt idx="0">
                  <c:v>#REF!</c:v>
                </c:pt>
              </c:strCache>
            </c:strRef>
          </c:tx>
          <c:spPr>
            <a:solidFill>
              <a:schemeClr val="accent1"/>
            </a:solidFill>
            <a:ln>
              <a:noFill/>
            </a:ln>
            <a:effectLst/>
          </c:spPr>
          <c:cat>
            <c:numRef>
              <c:f>Cashflows!$C$2:$W$2</c:f>
              <c:numCache>
                <c:formatCode>General</c:formatCode>
                <c:ptCount val="21"/>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Cashflows!$C$78:$W$78</c:f>
              <c:numCache>
                <c:formatCode>#,##0</c:formatCode>
                <c:ptCount val="21"/>
                <c:pt idx="1">
                  <c:v>1386.9378816212488</c:v>
                </c:pt>
                <c:pt idx="2">
                  <c:v>2883.2783366388003</c:v>
                </c:pt>
                <c:pt idx="3">
                  <c:v>4497.5373532123376</c:v>
                </c:pt>
                <c:pt idx="4">
                  <c:v>6238.8870699141062</c:v>
                </c:pt>
                <c:pt idx="5">
                  <c:v>8117.2059268018011</c:v>
                </c:pt>
                <c:pt idx="6">
                  <c:v>10184.478067915272</c:v>
                </c:pt>
                <c:pt idx="7">
                  <c:v>12414.061290447091</c:v>
                </c:pt>
                <c:pt idx="8">
                  <c:v>14818.545183455659</c:v>
                </c:pt>
                <c:pt idx="9">
                  <c:v>17411.486661480601</c:v>
                </c:pt>
                <c:pt idx="10">
                  <c:v>20207.483736071008</c:v>
                </c:pt>
                <c:pt idx="11">
                  <c:v>23222.254879722423</c:v>
                </c:pt>
                <c:pt idx="12">
                  <c:v>26472.724404104043</c:v>
                </c:pt>
                <c:pt idx="13">
                  <c:v>29977.114306156465</c:v>
                </c:pt>
                <c:pt idx="14">
                  <c:v>33755.043069712832</c:v>
                </c:pt>
                <c:pt idx="15">
                  <c:v>37827.631946920163</c:v>
                </c:pt>
                <c:pt idx="16">
                  <c:v>42217.619283102948</c:v>
                </c:pt>
                <c:pt idx="17">
                  <c:v>46949.483491022955</c:v>
                </c:pt>
                <c:pt idx="18">
                  <c:v>52049.575325967133</c:v>
                </c:pt>
                <c:pt idx="19">
                  <c:v>57546.26016197601</c:v>
                </c:pt>
                <c:pt idx="20">
                  <c:v>63470.071022062148</c:v>
                </c:pt>
              </c:numCache>
            </c:numRef>
          </c:val>
          <c:extLst>
            <c:ext xmlns:c16="http://schemas.microsoft.com/office/drawing/2014/chart" uri="{C3380CC4-5D6E-409C-BE32-E72D297353CC}">
              <c16:uniqueId val="{00000000-8F57-6248-8890-3135BE5A2702}"/>
            </c:ext>
          </c:extLst>
        </c:ser>
        <c:dLbls>
          <c:showLegendKey val="0"/>
          <c:showVal val="0"/>
          <c:showCatName val="0"/>
          <c:showSerName val="0"/>
          <c:showPercent val="0"/>
          <c:showBubbleSize val="0"/>
        </c:dLbls>
        <c:axId val="818329759"/>
        <c:axId val="818331439"/>
      </c:areaChart>
      <c:catAx>
        <c:axId val="81832975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500" b="0" i="0" u="none" strike="noStrike" kern="1200" baseline="0">
                <a:solidFill>
                  <a:schemeClr val="bg2"/>
                </a:solidFill>
                <a:latin typeface="+mn-lt"/>
                <a:ea typeface="+mn-ea"/>
                <a:cs typeface="+mn-cs"/>
              </a:defRPr>
            </a:pPr>
            <a:endParaRPr lang="en-US"/>
          </a:p>
        </c:txPr>
        <c:crossAx val="818331439"/>
        <c:crossesAt val="0"/>
        <c:auto val="1"/>
        <c:lblAlgn val="ctr"/>
        <c:lblOffset val="100"/>
        <c:noMultiLvlLbl val="0"/>
      </c:catAx>
      <c:valAx>
        <c:axId val="818331439"/>
        <c:scaling>
          <c:orientation val="minMax"/>
          <c:max val="70000"/>
        </c:scaling>
        <c:delete val="0"/>
        <c:axPos val="l"/>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500" b="0" i="0" u="none" strike="noStrike" kern="1200" baseline="0">
                <a:solidFill>
                  <a:schemeClr val="bg2"/>
                </a:solidFill>
                <a:latin typeface="+mn-lt"/>
                <a:ea typeface="+mn-ea"/>
                <a:cs typeface="+mn-cs"/>
              </a:defRPr>
            </a:pPr>
            <a:endParaRPr lang="en-US"/>
          </a:p>
        </c:txPr>
        <c:crossAx val="818329759"/>
        <c:crosses val="autoZero"/>
        <c:crossBetween val="midCat"/>
        <c:majorUnit val="10000"/>
        <c:minorUnit val="10000"/>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963485379000299E-2"/>
          <c:y val="0.1367747231456366"/>
          <c:w val="0.89578942108703885"/>
          <c:h val="0.78600823045267487"/>
        </c:manualLayout>
      </c:layout>
      <c:areaChart>
        <c:grouping val="standard"/>
        <c:varyColors val="0"/>
        <c:ser>
          <c:idx val="0"/>
          <c:order val="0"/>
          <c:tx>
            <c:strRef>
              <c:f>[3]Sheet1!$A$2</c:f>
              <c:strCache>
                <c:ptCount val="1"/>
                <c:pt idx="0">
                  <c:v>#REF!</c:v>
                </c:pt>
              </c:strCache>
            </c:strRef>
          </c:tx>
          <c:spPr>
            <a:solidFill>
              <a:schemeClr val="accent1"/>
            </a:solidFill>
            <a:ln>
              <a:noFill/>
            </a:ln>
            <a:effectLst/>
          </c:spPr>
          <c:cat>
            <c:numRef>
              <c:f>Cashflows!$C$2:$W$2</c:f>
              <c:numCache>
                <c:formatCode>General</c:formatCode>
                <c:ptCount val="21"/>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Cashflows!$C$78:$W$78</c:f>
              <c:numCache>
                <c:formatCode>#,##0</c:formatCode>
                <c:ptCount val="21"/>
                <c:pt idx="1">
                  <c:v>1386.9378816212488</c:v>
                </c:pt>
                <c:pt idx="2">
                  <c:v>2883.2783366388003</c:v>
                </c:pt>
                <c:pt idx="3">
                  <c:v>4497.5373532123376</c:v>
                </c:pt>
                <c:pt idx="4">
                  <c:v>6238.8870699141062</c:v>
                </c:pt>
                <c:pt idx="5">
                  <c:v>8117.2059268018011</c:v>
                </c:pt>
                <c:pt idx="6">
                  <c:v>10184.478067915272</c:v>
                </c:pt>
                <c:pt idx="7">
                  <c:v>12414.061290447091</c:v>
                </c:pt>
                <c:pt idx="8">
                  <c:v>14818.545183455659</c:v>
                </c:pt>
                <c:pt idx="9">
                  <c:v>17411.486661480601</c:v>
                </c:pt>
                <c:pt idx="10">
                  <c:v>20207.483736071008</c:v>
                </c:pt>
                <c:pt idx="11">
                  <c:v>23222.254879722423</c:v>
                </c:pt>
                <c:pt idx="12">
                  <c:v>26472.724404104043</c:v>
                </c:pt>
                <c:pt idx="13">
                  <c:v>29977.114306156465</c:v>
                </c:pt>
                <c:pt idx="14">
                  <c:v>33755.043069712832</c:v>
                </c:pt>
                <c:pt idx="15">
                  <c:v>37827.631946920163</c:v>
                </c:pt>
                <c:pt idx="16">
                  <c:v>42217.619283102948</c:v>
                </c:pt>
                <c:pt idx="17">
                  <c:v>46949.483491022955</c:v>
                </c:pt>
                <c:pt idx="18">
                  <c:v>52049.575325967133</c:v>
                </c:pt>
                <c:pt idx="19">
                  <c:v>57546.26016197601</c:v>
                </c:pt>
                <c:pt idx="20">
                  <c:v>63470.071022062148</c:v>
                </c:pt>
              </c:numCache>
            </c:numRef>
          </c:val>
          <c:extLst>
            <c:ext xmlns:c16="http://schemas.microsoft.com/office/drawing/2014/chart" uri="{C3380CC4-5D6E-409C-BE32-E72D297353CC}">
              <c16:uniqueId val="{00000000-8F57-6248-8890-3135BE5A2702}"/>
            </c:ext>
          </c:extLst>
        </c:ser>
        <c:dLbls>
          <c:showLegendKey val="0"/>
          <c:showVal val="0"/>
          <c:showCatName val="0"/>
          <c:showSerName val="0"/>
          <c:showPercent val="0"/>
          <c:showBubbleSize val="0"/>
        </c:dLbls>
        <c:axId val="818329759"/>
        <c:axId val="818331439"/>
      </c:areaChart>
      <c:catAx>
        <c:axId val="81832975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500" b="0" i="0" u="none" strike="noStrike" kern="1200" baseline="0">
                <a:solidFill>
                  <a:schemeClr val="bg2"/>
                </a:solidFill>
                <a:latin typeface="+mn-lt"/>
                <a:ea typeface="+mn-ea"/>
                <a:cs typeface="+mn-cs"/>
              </a:defRPr>
            </a:pPr>
            <a:endParaRPr lang="en-US"/>
          </a:p>
        </c:txPr>
        <c:crossAx val="818331439"/>
        <c:crossesAt val="0"/>
        <c:auto val="1"/>
        <c:lblAlgn val="ctr"/>
        <c:lblOffset val="100"/>
        <c:noMultiLvlLbl val="0"/>
      </c:catAx>
      <c:valAx>
        <c:axId val="818331439"/>
        <c:scaling>
          <c:orientation val="minMax"/>
          <c:max val="70000"/>
        </c:scaling>
        <c:delete val="0"/>
        <c:axPos val="l"/>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500" b="0" i="0" u="none" strike="noStrike" kern="1200" baseline="0">
                <a:solidFill>
                  <a:schemeClr val="bg2"/>
                </a:solidFill>
                <a:latin typeface="+mn-lt"/>
                <a:ea typeface="+mn-ea"/>
                <a:cs typeface="+mn-cs"/>
              </a:defRPr>
            </a:pPr>
            <a:endParaRPr lang="en-US"/>
          </a:p>
        </c:txPr>
        <c:crossAx val="818329759"/>
        <c:crosses val="autoZero"/>
        <c:crossBetween val="midCat"/>
        <c:majorUnit val="10000"/>
        <c:minorUnit val="10000"/>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1"/>
          <c:order val="1"/>
          <c:tx>
            <c:strRef>
              <c:f>'Consumption curve '!$D$1:$D$2</c:f>
              <c:strCache>
                <c:ptCount val="2"/>
                <c:pt idx="0">
                  <c:v>Solar production</c:v>
                </c:pt>
              </c:strCache>
            </c:strRef>
          </c:tx>
          <c:spPr>
            <a:solidFill>
              <a:schemeClr val="tx1"/>
            </a:solidFill>
            <a:ln w="25400">
              <a:noFill/>
            </a:ln>
            <a:effectLst/>
          </c:spPr>
          <c:cat>
            <c:numRef>
              <c:f>'Consumption curve '!$B$3:$B$26</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'Consumption curve '!$D$3:$D$26</c:f>
              <c:numCache>
                <c:formatCode>0.00</c:formatCode>
                <c:ptCount val="24"/>
                <c:pt idx="0">
                  <c:v>0</c:v>
                </c:pt>
                <c:pt idx="1">
                  <c:v>0</c:v>
                </c:pt>
                <c:pt idx="2">
                  <c:v>0</c:v>
                </c:pt>
                <c:pt idx="3">
                  <c:v>0</c:v>
                </c:pt>
                <c:pt idx="4">
                  <c:v>0</c:v>
                </c:pt>
                <c:pt idx="5">
                  <c:v>0</c:v>
                </c:pt>
                <c:pt idx="6">
                  <c:v>4.7616516102941188E-4</c:v>
                </c:pt>
                <c:pt idx="7">
                  <c:v>58.907310808823532</c:v>
                </c:pt>
                <c:pt idx="8">
                  <c:v>153.80986176470589</c:v>
                </c:pt>
                <c:pt idx="9">
                  <c:v>243.09423147058828</c:v>
                </c:pt>
                <c:pt idx="10">
                  <c:v>318.76666169117647</c:v>
                </c:pt>
                <c:pt idx="11">
                  <c:v>369.19032441176478</c:v>
                </c:pt>
                <c:pt idx="12">
                  <c:v>391.71748161764714</c:v>
                </c:pt>
                <c:pt idx="13">
                  <c:v>387.53397779411767</c:v>
                </c:pt>
                <c:pt idx="14">
                  <c:v>355.7455695588236</c:v>
                </c:pt>
                <c:pt idx="15">
                  <c:v>300.09641507352944</c:v>
                </c:pt>
                <c:pt idx="16">
                  <c:v>224.87110654411768</c:v>
                </c:pt>
                <c:pt idx="17">
                  <c:v>134.27258786764705</c:v>
                </c:pt>
                <c:pt idx="18">
                  <c:v>50.380894558823535</c:v>
                </c:pt>
                <c:pt idx="19">
                  <c:v>0</c:v>
                </c:pt>
                <c:pt idx="20">
                  <c:v>0</c:v>
                </c:pt>
                <c:pt idx="21">
                  <c:v>0</c:v>
                </c:pt>
                <c:pt idx="22">
                  <c:v>0</c:v>
                </c:pt>
                <c:pt idx="23">
                  <c:v>0</c:v>
                </c:pt>
              </c:numCache>
            </c:numRef>
          </c:val>
          <c:extLst>
            <c:ext xmlns:c16="http://schemas.microsoft.com/office/drawing/2014/chart" uri="{C3380CC4-5D6E-409C-BE32-E72D297353CC}">
              <c16:uniqueId val="{00000001-69D1-8140-A825-D643185D004A}"/>
            </c:ext>
          </c:extLst>
        </c:ser>
        <c:ser>
          <c:idx val="2"/>
          <c:order val="2"/>
          <c:tx>
            <c:strRef>
              <c:f>'Consumption curve '!$E$1:$E$2</c:f>
              <c:strCache>
                <c:ptCount val="2"/>
                <c:pt idx="0">
                  <c:v>Consumption After Solar </c:v>
                </c:pt>
              </c:strCache>
            </c:strRef>
          </c:tx>
          <c:spPr>
            <a:solidFill>
              <a:schemeClr val="accent6">
                <a:lumMod val="40000"/>
                <a:lumOff val="60000"/>
                <a:alpha val="44084"/>
              </a:schemeClr>
            </a:solidFill>
            <a:ln w="25400">
              <a:noFill/>
            </a:ln>
            <a:effectLst/>
          </c:spPr>
          <c:cat>
            <c:numRef>
              <c:f>'Consumption curve '!$B$3:$B$26</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'Consumption curve '!$E$3:$E$26</c:f>
              <c:numCache>
                <c:formatCode>0.00</c:formatCode>
                <c:ptCount val="24"/>
                <c:pt idx="0">
                  <c:v>4.561672043010752</c:v>
                </c:pt>
                <c:pt idx="1">
                  <c:v>4.561672043010752</c:v>
                </c:pt>
                <c:pt idx="2">
                  <c:v>4.561672043010752</c:v>
                </c:pt>
                <c:pt idx="3">
                  <c:v>4.561672043010752</c:v>
                </c:pt>
                <c:pt idx="4">
                  <c:v>4.561672043010752</c:v>
                </c:pt>
                <c:pt idx="5">
                  <c:v>4.561672043010752</c:v>
                </c:pt>
                <c:pt idx="6">
                  <c:v>4.5611958778497224</c:v>
                </c:pt>
                <c:pt idx="7">
                  <c:v>0</c:v>
                </c:pt>
                <c:pt idx="8">
                  <c:v>19.533675869702677</c:v>
                </c:pt>
                <c:pt idx="9">
                  <c:v>0</c:v>
                </c:pt>
                <c:pt idx="10">
                  <c:v>0</c:v>
                </c:pt>
                <c:pt idx="11">
                  <c:v>0</c:v>
                </c:pt>
                <c:pt idx="12">
                  <c:v>0</c:v>
                </c:pt>
                <c:pt idx="13">
                  <c:v>0</c:v>
                </c:pt>
                <c:pt idx="14">
                  <c:v>0</c:v>
                </c:pt>
                <c:pt idx="15">
                  <c:v>0</c:v>
                </c:pt>
                <c:pt idx="16">
                  <c:v>0</c:v>
                </c:pt>
                <c:pt idx="17">
                  <c:v>0</c:v>
                </c:pt>
                <c:pt idx="18">
                  <c:v>0</c:v>
                </c:pt>
                <c:pt idx="19">
                  <c:v>4.561672043010752</c:v>
                </c:pt>
                <c:pt idx="20">
                  <c:v>4.561672043010752</c:v>
                </c:pt>
                <c:pt idx="21">
                  <c:v>4.561672043010752</c:v>
                </c:pt>
                <c:pt idx="22">
                  <c:v>4.561672043010752</c:v>
                </c:pt>
                <c:pt idx="23">
                  <c:v>4.561672043010752</c:v>
                </c:pt>
              </c:numCache>
            </c:numRef>
          </c:val>
          <c:extLst>
            <c:ext xmlns:c16="http://schemas.microsoft.com/office/drawing/2014/chart" uri="{C3380CC4-5D6E-409C-BE32-E72D297353CC}">
              <c16:uniqueId val="{00000002-69D1-8140-A825-D643185D004A}"/>
            </c:ext>
          </c:extLst>
        </c:ser>
        <c:dLbls>
          <c:showLegendKey val="0"/>
          <c:showVal val="0"/>
          <c:showCatName val="0"/>
          <c:showSerName val="0"/>
          <c:showPercent val="0"/>
          <c:showBubbleSize val="0"/>
        </c:dLbls>
        <c:axId val="600020608"/>
        <c:axId val="600027168"/>
      </c:areaChart>
      <c:lineChart>
        <c:grouping val="stacked"/>
        <c:varyColors val="0"/>
        <c:ser>
          <c:idx val="0"/>
          <c:order val="0"/>
          <c:tx>
            <c:strRef>
              <c:f>'Consumption curve '!$C$1:$C$2</c:f>
              <c:strCache>
                <c:ptCount val="2"/>
                <c:pt idx="0">
                  <c:v>Consumption Before Solar</c:v>
                </c:pt>
              </c:strCache>
            </c:strRef>
          </c:tx>
          <c:spPr>
            <a:ln w="28575" cap="rnd">
              <a:solidFill>
                <a:schemeClr val="accent1"/>
              </a:solidFill>
              <a:prstDash val="sysDot"/>
              <a:round/>
            </a:ln>
            <a:effectLst/>
          </c:spPr>
          <c:marker>
            <c:symbol val="none"/>
          </c:marker>
          <c:val>
            <c:numRef>
              <c:f>'Consumption curve '!$C$3:$C$26</c:f>
              <c:numCache>
                <c:formatCode>0.00</c:formatCode>
                <c:ptCount val="24"/>
                <c:pt idx="0">
                  <c:v>4.561672043010752</c:v>
                </c:pt>
                <c:pt idx="1">
                  <c:v>4.561672043010752</c:v>
                </c:pt>
                <c:pt idx="2">
                  <c:v>4.561672043010752</c:v>
                </c:pt>
                <c:pt idx="3">
                  <c:v>4.561672043010752</c:v>
                </c:pt>
                <c:pt idx="4">
                  <c:v>4.561672043010752</c:v>
                </c:pt>
                <c:pt idx="5">
                  <c:v>4.561672043010752</c:v>
                </c:pt>
                <c:pt idx="6">
                  <c:v>4.561672043010752</c:v>
                </c:pt>
                <c:pt idx="7">
                  <c:v>4.561672043010752</c:v>
                </c:pt>
                <c:pt idx="8">
                  <c:v>173.34353763440856</c:v>
                </c:pt>
                <c:pt idx="9">
                  <c:v>173.34353763440856</c:v>
                </c:pt>
                <c:pt idx="10">
                  <c:v>173.34353763440856</c:v>
                </c:pt>
                <c:pt idx="11">
                  <c:v>173.34353763440856</c:v>
                </c:pt>
                <c:pt idx="12">
                  <c:v>173.34353763440856</c:v>
                </c:pt>
                <c:pt idx="13">
                  <c:v>173.34353763440856</c:v>
                </c:pt>
                <c:pt idx="14">
                  <c:v>173.34353763440856</c:v>
                </c:pt>
                <c:pt idx="15">
                  <c:v>173.34353763440856</c:v>
                </c:pt>
                <c:pt idx="16">
                  <c:v>173.34353763440856</c:v>
                </c:pt>
                <c:pt idx="17">
                  <c:v>4.561672043010752</c:v>
                </c:pt>
                <c:pt idx="18">
                  <c:v>4.561672043010752</c:v>
                </c:pt>
                <c:pt idx="19">
                  <c:v>4.561672043010752</c:v>
                </c:pt>
                <c:pt idx="20">
                  <c:v>4.561672043010752</c:v>
                </c:pt>
                <c:pt idx="21">
                  <c:v>4.561672043010752</c:v>
                </c:pt>
                <c:pt idx="22">
                  <c:v>4.561672043010752</c:v>
                </c:pt>
                <c:pt idx="23">
                  <c:v>4.561672043010752</c:v>
                </c:pt>
              </c:numCache>
            </c:numRef>
          </c:val>
          <c:smooth val="0"/>
          <c:extLst>
            <c:ext xmlns:c16="http://schemas.microsoft.com/office/drawing/2014/chart" uri="{C3380CC4-5D6E-409C-BE32-E72D297353CC}">
              <c16:uniqueId val="{00000000-69D1-8140-A825-D643185D004A}"/>
            </c:ext>
          </c:extLst>
        </c:ser>
        <c:dLbls>
          <c:showLegendKey val="0"/>
          <c:showVal val="0"/>
          <c:showCatName val="0"/>
          <c:showSerName val="0"/>
          <c:showPercent val="0"/>
          <c:showBubbleSize val="0"/>
        </c:dLbls>
        <c:marker val="1"/>
        <c:smooth val="0"/>
        <c:axId val="600020608"/>
        <c:axId val="600027168"/>
      </c:lineChart>
      <c:catAx>
        <c:axId val="60002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600027168"/>
        <c:crosses val="autoZero"/>
        <c:auto val="1"/>
        <c:lblAlgn val="ctr"/>
        <c:lblOffset val="100"/>
        <c:noMultiLvlLbl val="0"/>
      </c:catAx>
      <c:valAx>
        <c:axId val="600027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bg2"/>
                    </a:solidFill>
                    <a:latin typeface="+mn-lt"/>
                    <a:ea typeface="+mn-ea"/>
                    <a:cs typeface="+mn-cs"/>
                  </a:defRPr>
                </a:pPr>
                <a:r>
                  <a:rPr lang="en-ZA">
                    <a:solidFill>
                      <a:schemeClr val="bg2"/>
                    </a:solidFill>
                  </a:rPr>
                  <a:t>Power (kW)</a:t>
                </a:r>
              </a:p>
            </c:rich>
          </c:tx>
          <c:layout>
            <c:manualLayout>
              <c:xMode val="edge"/>
              <c:yMode val="edge"/>
              <c:x val="1.2480620993022223E-2"/>
              <c:y val="0.2698883844898272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bg2"/>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600020608"/>
        <c:crosses val="autoZero"/>
        <c:crossBetween val="between"/>
      </c:valAx>
      <c:spPr>
        <a:noFill/>
        <a:ln>
          <a:noFill/>
        </a:ln>
        <a:effectLst/>
      </c:spPr>
    </c:plotArea>
    <c:legend>
      <c:legendPos val="b"/>
      <c:legendEntry>
        <c:idx val="0"/>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legendEntry>
      <c:layout>
        <c:manualLayout>
          <c:xMode val="edge"/>
          <c:yMode val="edge"/>
          <c:x val="0.207378791599301"/>
          <c:y val="0.8913630499935743"/>
          <c:w val="0.70518603640833821"/>
          <c:h val="8.008653548213294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767904710615694"/>
          <c:y val="0.10299839140171778"/>
          <c:w val="0.74628423035781788"/>
          <c:h val="0.65030919291772649"/>
        </c:manualLayout>
      </c:layout>
      <c:lineChart>
        <c:grouping val="standard"/>
        <c:varyColors val="0"/>
        <c:ser>
          <c:idx val="0"/>
          <c:order val="0"/>
          <c:tx>
            <c:strRef>
              <c:f>'Consumption curve '!$C$1:$C$2</c:f>
              <c:strCache>
                <c:ptCount val="2"/>
                <c:pt idx="0">
                  <c:v>Consumption Before Solar</c:v>
                </c:pt>
              </c:strCache>
            </c:strRef>
          </c:tx>
          <c:spPr>
            <a:ln w="28575" cap="rnd">
              <a:solidFill>
                <a:schemeClr val="accent1"/>
              </a:solidFill>
              <a:round/>
            </a:ln>
            <a:effectLst/>
          </c:spPr>
          <c:marker>
            <c:symbol val="none"/>
          </c:marker>
          <c:cat>
            <c:numRef>
              <c:f>'Consumption curve '!$B$3:$B$26</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'Consumption curve '!$C$3:$C$26</c:f>
              <c:numCache>
                <c:formatCode>0.00</c:formatCode>
                <c:ptCount val="24"/>
                <c:pt idx="0">
                  <c:v>4.561672043010752</c:v>
                </c:pt>
                <c:pt idx="1">
                  <c:v>4.561672043010752</c:v>
                </c:pt>
                <c:pt idx="2">
                  <c:v>4.561672043010752</c:v>
                </c:pt>
                <c:pt idx="3">
                  <c:v>4.561672043010752</c:v>
                </c:pt>
                <c:pt idx="4">
                  <c:v>4.561672043010752</c:v>
                </c:pt>
                <c:pt idx="5">
                  <c:v>4.561672043010752</c:v>
                </c:pt>
                <c:pt idx="6">
                  <c:v>4.561672043010752</c:v>
                </c:pt>
                <c:pt idx="7">
                  <c:v>4.561672043010752</c:v>
                </c:pt>
                <c:pt idx="8">
                  <c:v>173.34353763440856</c:v>
                </c:pt>
                <c:pt idx="9">
                  <c:v>173.34353763440856</c:v>
                </c:pt>
                <c:pt idx="10">
                  <c:v>173.34353763440856</c:v>
                </c:pt>
                <c:pt idx="11">
                  <c:v>173.34353763440856</c:v>
                </c:pt>
                <c:pt idx="12">
                  <c:v>173.34353763440856</c:v>
                </c:pt>
                <c:pt idx="13">
                  <c:v>173.34353763440856</c:v>
                </c:pt>
                <c:pt idx="14">
                  <c:v>173.34353763440856</c:v>
                </c:pt>
                <c:pt idx="15">
                  <c:v>173.34353763440856</c:v>
                </c:pt>
                <c:pt idx="16">
                  <c:v>173.34353763440856</c:v>
                </c:pt>
                <c:pt idx="17">
                  <c:v>4.561672043010752</c:v>
                </c:pt>
                <c:pt idx="18">
                  <c:v>4.561672043010752</c:v>
                </c:pt>
                <c:pt idx="19">
                  <c:v>4.561672043010752</c:v>
                </c:pt>
                <c:pt idx="20">
                  <c:v>4.561672043010752</c:v>
                </c:pt>
                <c:pt idx="21">
                  <c:v>4.561672043010752</c:v>
                </c:pt>
                <c:pt idx="22">
                  <c:v>4.561672043010752</c:v>
                </c:pt>
                <c:pt idx="23">
                  <c:v>4.561672043010752</c:v>
                </c:pt>
              </c:numCache>
            </c:numRef>
          </c:val>
          <c:smooth val="0"/>
          <c:extLst>
            <c:ext xmlns:c16="http://schemas.microsoft.com/office/drawing/2014/chart" uri="{C3380CC4-5D6E-409C-BE32-E72D297353CC}">
              <c16:uniqueId val="{00000000-C56C-4384-9292-A19445E6543C}"/>
            </c:ext>
          </c:extLst>
        </c:ser>
        <c:ser>
          <c:idx val="1"/>
          <c:order val="1"/>
          <c:tx>
            <c:strRef>
              <c:f>'Consumption curve '!$D$1:$D$2</c:f>
              <c:strCache>
                <c:ptCount val="2"/>
                <c:pt idx="0">
                  <c:v>Solar production</c:v>
                </c:pt>
              </c:strCache>
            </c:strRef>
          </c:tx>
          <c:spPr>
            <a:ln w="28575" cap="rnd">
              <a:solidFill>
                <a:schemeClr val="accent2"/>
              </a:solidFill>
              <a:round/>
            </a:ln>
            <a:effectLst/>
          </c:spPr>
          <c:marker>
            <c:symbol val="none"/>
          </c:marker>
          <c:val>
            <c:numRef>
              <c:f>'Consumption curve '!$D$3:$D$26</c:f>
              <c:numCache>
                <c:formatCode>0.00</c:formatCode>
                <c:ptCount val="24"/>
                <c:pt idx="0">
                  <c:v>0</c:v>
                </c:pt>
                <c:pt idx="1">
                  <c:v>0</c:v>
                </c:pt>
                <c:pt idx="2">
                  <c:v>0</c:v>
                </c:pt>
                <c:pt idx="3">
                  <c:v>0</c:v>
                </c:pt>
                <c:pt idx="4">
                  <c:v>0</c:v>
                </c:pt>
                <c:pt idx="5">
                  <c:v>0</c:v>
                </c:pt>
                <c:pt idx="6">
                  <c:v>4.7616516102941188E-4</c:v>
                </c:pt>
                <c:pt idx="7">
                  <c:v>58.907310808823532</c:v>
                </c:pt>
                <c:pt idx="8">
                  <c:v>153.80986176470589</c:v>
                </c:pt>
                <c:pt idx="9">
                  <c:v>243.09423147058828</c:v>
                </c:pt>
                <c:pt idx="10">
                  <c:v>318.76666169117647</c:v>
                </c:pt>
                <c:pt idx="11">
                  <c:v>369.19032441176478</c:v>
                </c:pt>
                <c:pt idx="12">
                  <c:v>391.71748161764714</c:v>
                </c:pt>
                <c:pt idx="13">
                  <c:v>387.53397779411767</c:v>
                </c:pt>
                <c:pt idx="14">
                  <c:v>355.7455695588236</c:v>
                </c:pt>
                <c:pt idx="15">
                  <c:v>300.09641507352944</c:v>
                </c:pt>
                <c:pt idx="16">
                  <c:v>224.87110654411768</c:v>
                </c:pt>
                <c:pt idx="17">
                  <c:v>134.27258786764705</c:v>
                </c:pt>
                <c:pt idx="18">
                  <c:v>50.380894558823535</c:v>
                </c:pt>
                <c:pt idx="19">
                  <c:v>0</c:v>
                </c:pt>
                <c:pt idx="20">
                  <c:v>0</c:v>
                </c:pt>
                <c:pt idx="21">
                  <c:v>0</c:v>
                </c:pt>
                <c:pt idx="22">
                  <c:v>0</c:v>
                </c:pt>
                <c:pt idx="23">
                  <c:v>0</c:v>
                </c:pt>
              </c:numCache>
            </c:numRef>
          </c:val>
          <c:smooth val="0"/>
          <c:extLst>
            <c:ext xmlns:c16="http://schemas.microsoft.com/office/drawing/2014/chart" uri="{C3380CC4-5D6E-409C-BE32-E72D297353CC}">
              <c16:uniqueId val="{00000001-C56C-4384-9292-A19445E6543C}"/>
            </c:ext>
          </c:extLst>
        </c:ser>
        <c:ser>
          <c:idx val="2"/>
          <c:order val="2"/>
          <c:tx>
            <c:strRef>
              <c:f>'Consumption curve '!$E$1:$E$2</c:f>
              <c:strCache>
                <c:ptCount val="2"/>
                <c:pt idx="0">
                  <c:v>Consumption After Solar </c:v>
                </c:pt>
              </c:strCache>
            </c:strRef>
          </c:tx>
          <c:spPr>
            <a:ln w="28575" cap="rnd">
              <a:solidFill>
                <a:schemeClr val="accent3"/>
              </a:solidFill>
              <a:round/>
            </a:ln>
            <a:effectLst/>
          </c:spPr>
          <c:marker>
            <c:symbol val="none"/>
          </c:marker>
          <c:val>
            <c:numRef>
              <c:f>'Consumption curve '!$E$3:$E$26</c:f>
              <c:numCache>
                <c:formatCode>0.00</c:formatCode>
                <c:ptCount val="24"/>
                <c:pt idx="0">
                  <c:v>4.561672043010752</c:v>
                </c:pt>
                <c:pt idx="1">
                  <c:v>4.561672043010752</c:v>
                </c:pt>
                <c:pt idx="2">
                  <c:v>4.561672043010752</c:v>
                </c:pt>
                <c:pt idx="3">
                  <c:v>4.561672043010752</c:v>
                </c:pt>
                <c:pt idx="4">
                  <c:v>4.561672043010752</c:v>
                </c:pt>
                <c:pt idx="5">
                  <c:v>4.561672043010752</c:v>
                </c:pt>
                <c:pt idx="6">
                  <c:v>4.5611958778497224</c:v>
                </c:pt>
                <c:pt idx="7">
                  <c:v>0</c:v>
                </c:pt>
                <c:pt idx="8">
                  <c:v>19.533675869702677</c:v>
                </c:pt>
                <c:pt idx="9">
                  <c:v>0</c:v>
                </c:pt>
                <c:pt idx="10">
                  <c:v>0</c:v>
                </c:pt>
                <c:pt idx="11">
                  <c:v>0</c:v>
                </c:pt>
                <c:pt idx="12">
                  <c:v>0</c:v>
                </c:pt>
                <c:pt idx="13">
                  <c:v>0</c:v>
                </c:pt>
                <c:pt idx="14">
                  <c:v>0</c:v>
                </c:pt>
                <c:pt idx="15">
                  <c:v>0</c:v>
                </c:pt>
                <c:pt idx="16">
                  <c:v>0</c:v>
                </c:pt>
                <c:pt idx="17">
                  <c:v>0</c:v>
                </c:pt>
                <c:pt idx="18">
                  <c:v>0</c:v>
                </c:pt>
                <c:pt idx="19">
                  <c:v>4.561672043010752</c:v>
                </c:pt>
                <c:pt idx="20">
                  <c:v>4.561672043010752</c:v>
                </c:pt>
                <c:pt idx="21">
                  <c:v>4.561672043010752</c:v>
                </c:pt>
                <c:pt idx="22">
                  <c:v>4.561672043010752</c:v>
                </c:pt>
                <c:pt idx="23">
                  <c:v>4.561672043010752</c:v>
                </c:pt>
              </c:numCache>
            </c:numRef>
          </c:val>
          <c:smooth val="0"/>
          <c:extLst>
            <c:ext xmlns:c16="http://schemas.microsoft.com/office/drawing/2014/chart" uri="{C3380CC4-5D6E-409C-BE32-E72D297353CC}">
              <c16:uniqueId val="{00000002-C56C-4384-9292-A19445E6543C}"/>
            </c:ext>
          </c:extLst>
        </c:ser>
        <c:dLbls>
          <c:showLegendKey val="0"/>
          <c:showVal val="0"/>
          <c:showCatName val="0"/>
          <c:showSerName val="0"/>
          <c:showPercent val="0"/>
          <c:showBubbleSize val="0"/>
        </c:dLbls>
        <c:smooth val="0"/>
        <c:axId val="634503056"/>
        <c:axId val="634502400"/>
      </c:lineChart>
      <c:catAx>
        <c:axId val="634503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4502400"/>
        <c:crosses val="autoZero"/>
        <c:auto val="1"/>
        <c:lblAlgn val="ctr"/>
        <c:lblOffset val="100"/>
        <c:noMultiLvlLbl val="0"/>
      </c:catAx>
      <c:valAx>
        <c:axId val="634502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Power (kW)</a:t>
                </a:r>
              </a:p>
            </c:rich>
          </c:tx>
          <c:layout>
            <c:manualLayout>
              <c:xMode val="edge"/>
              <c:yMode val="edge"/>
              <c:x val="2.6738501885929862E-2"/>
              <c:y val="0.3672723269258016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4503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33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1197"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330" kern="1200"/>
  </cs:chartArea>
  <cs:dataLabel>
    <cs:lnRef idx="0"/>
    <cs:fillRef idx="0"/>
    <cs:effectRef idx="0"/>
    <cs:fontRef idx="minor">
      <a:schemeClr val="tx1">
        <a:lumMod val="75000"/>
        <a:lumOff val="25000"/>
      </a:schemeClr>
    </cs:fontRef>
    <cs:defRPr sz="1197"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197"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1197"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1197"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1197"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62"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1197"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1197"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33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1197"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330" kern="1200"/>
  </cs:chartArea>
  <cs:dataLabel>
    <cs:lnRef idx="0"/>
    <cs:fillRef idx="0"/>
    <cs:effectRef idx="0"/>
    <cs:fontRef idx="minor">
      <a:schemeClr val="tx1">
        <a:lumMod val="75000"/>
        <a:lumOff val="25000"/>
      </a:schemeClr>
    </cs:fontRef>
    <cs:defRPr sz="1197"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197"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1197"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1197"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1197"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62"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1197"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1197"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33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1197"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330" kern="1200"/>
  </cs:chartArea>
  <cs:dataLabel>
    <cs:lnRef idx="0"/>
    <cs:fillRef idx="0"/>
    <cs:effectRef idx="0"/>
    <cs:fontRef idx="minor">
      <a:schemeClr val="tx1">
        <a:lumMod val="75000"/>
        <a:lumOff val="25000"/>
      </a:schemeClr>
    </cs:fontRef>
    <cs:defRPr sz="1197"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197"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1197"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1197"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1197"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62"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1197"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1197"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33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1197"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330" kern="1200"/>
  </cs:chartArea>
  <cs:dataLabel>
    <cs:lnRef idx="0"/>
    <cs:fillRef idx="0"/>
    <cs:effectRef idx="0"/>
    <cs:fontRef idx="minor">
      <a:schemeClr val="tx1">
        <a:lumMod val="75000"/>
        <a:lumOff val="25000"/>
      </a:schemeClr>
    </cs:fontRef>
    <cs:defRPr sz="1197"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197"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1197"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1197"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1197"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62"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1197"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1197"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E$9" lockText="1" noThreeD="1"/>
</file>

<file path=xl/ctrlProps/ctrlProp3.xml><?xml version="1.0" encoding="utf-8"?>
<formControlPr xmlns="http://schemas.microsoft.com/office/spreadsheetml/2009/9/main" objectType="CheckBox" fmlaLink="$I$9" lockText="1" noThreeD="1"/>
</file>

<file path=xl/ctrlProps/ctrlProp4.xml><?xml version="1.0" encoding="utf-8"?>
<formControlPr xmlns="http://schemas.microsoft.com/office/spreadsheetml/2009/9/main" objectType="CheckBox" fmlaLink="$M$9" lockText="1" noThreeD="1"/>
</file>

<file path=xl/ctrlProps/ctrlProp5.xml><?xml version="1.0" encoding="utf-8"?>
<formControlPr xmlns="http://schemas.microsoft.com/office/spreadsheetml/2009/9/main" objectType="CheckBox" checked="Checked" fmlaLink="$M$17" lockText="1" noThreeD="1"/>
</file>

<file path=xl/ctrlProps/ctrlProp6.xml><?xml version="1.0" encoding="utf-8"?>
<formControlPr xmlns="http://schemas.microsoft.com/office/spreadsheetml/2009/9/main" objectType="CheckBox" fmlaLink="Y23" lockText="1" noThreeD="1"/>
</file>

<file path=xl/ctrlProps/ctrlProp7.xml><?xml version="1.0" encoding="utf-8"?>
<formControlPr xmlns="http://schemas.microsoft.com/office/spreadsheetml/2009/9/main" objectType="CheckBox" checked="Checked" fmlaLink="#REF!" lockText="1" noThreeD="1"/>
</file>

<file path=xl/ctrlProps/ctrlProp8.xml><?xml version="1.0" encoding="utf-8"?>
<formControlPr xmlns="http://schemas.microsoft.com/office/spreadsheetml/2009/9/main" objectType="CheckBox" fmlaLink="#REF!" lockText="1" noThreeD="1"/>
</file>

<file path=xl/ctrlProps/ctrlProp9.xml><?xml version="1.0" encoding="utf-8"?>
<formControlPr xmlns="http://schemas.microsoft.com/office/spreadsheetml/2009/9/main" objectType="CheckBox" fmlaLink="#REF!" lockText="1" noThreeD="1"/>
</file>

<file path=xl/ctrlProps/ctrlProp10.xml><?xml version="1.0" encoding="utf-8"?>
<formControlPr xmlns="http://schemas.microsoft.com/office/spreadsheetml/2009/9/main" objectType="CheckBox" fmlaLink="#REF!" lockText="1" noThreeD="1"/>
</file>

<file path=xl/ctrlProps/ctrlProp11.xml><?xml version="1.0" encoding="utf-8"?>
<formControlPr xmlns="http://schemas.microsoft.com/office/spreadsheetml/2009/9/main" objectType="CheckBox" fmlaLink="#REF!" lockText="1" noThreeD="1"/>
</file>

<file path=xl/ctrlProps/ctrlProp12.xml><?xml version="1.0" encoding="utf-8"?>
<formControlPr xmlns="http://schemas.microsoft.com/office/spreadsheetml/2009/9/main" objectType="CheckBox" fmlaLink="#REF!" lockText="1" noThreeD="1"/>
</file>

<file path=xl/ctrlProps/ctrlProp13.xml><?xml version="1.0" encoding="utf-8"?>
<formControlPr xmlns="http://schemas.microsoft.com/office/spreadsheetml/2009/9/main" objectType="CheckBox" fmlaLink="#REF!" lockText="1" noThreeD="1"/>
</file>

<file path=xl/ctrlProps/ctrlProp14.xml><?xml version="1.0" encoding="utf-8"?>
<formControlPr xmlns="http://schemas.microsoft.com/office/spreadsheetml/2009/9/main" objectType="CheckBox" fmlaLink="#REF!" lockText="1" noThreeD="1"/>
</file>

<file path=xl/ctrlProps/ctrlProp15.xml><?xml version="1.0" encoding="utf-8"?>
<formControlPr xmlns="http://schemas.microsoft.com/office/spreadsheetml/2009/9/main" objectType="CheckBox" fmlaLink="#REF!" lockText="1" noThreeD="1"/>
</file>

<file path=xl/ctrlProps/ctrlProp16.xml><?xml version="1.0" encoding="utf-8"?>
<formControlPr xmlns="http://schemas.microsoft.com/office/spreadsheetml/2009/9/main" objectType="CheckBox" checked="Checked" fmlaLink="#REF!" lockText="1" noThreeD="1"/>
</file>

<file path=xl/ctrlProps/ctrlProp17.xml><?xml version="1.0" encoding="utf-8"?>
<formControlPr xmlns="http://schemas.microsoft.com/office/spreadsheetml/2009/9/main" objectType="CheckBox" fmlaLink="Y78" lockText="1" noThreeD="1"/>
</file>

<file path=xl/ctrlProps/ctrlProp18.xml><?xml version="1.0" encoding="utf-8"?>
<formControlPr xmlns="http://schemas.microsoft.com/office/spreadsheetml/2009/9/main" objectType="CheckBox" fmlaLink="Y90" lockText="1" noThreeD="1"/>
</file>

<file path=xl/ctrlProps/ctrlProp19.xml><?xml version="1.0" encoding="utf-8"?>
<formControlPr xmlns="http://schemas.microsoft.com/office/spreadsheetml/2009/9/main" objectType="CheckBox" fmlaLink="#REF!" lockText="1" noThreeD="1"/>
</file>

<file path=xl/ctrlProps/ctrlProp20.xml><?xml version="1.0" encoding="utf-8"?>
<formControlPr xmlns="http://schemas.microsoft.com/office/spreadsheetml/2009/9/main" objectType="CheckBox" checked="Checked" fmlaLink="#REF!" lockText="1" noThreeD="1"/>
</file>

<file path=xl/ctrlProps/ctrlProp21.xml><?xml version="1.0" encoding="utf-8"?>
<formControlPr xmlns="http://schemas.microsoft.com/office/spreadsheetml/2009/9/main" objectType="CheckBox" fmlaLink="Y23" lockText="1" noThreeD="1"/>
</file>

<file path=xl/ctrlProps/ctrlProp22.xml><?xml version="1.0" encoding="utf-8"?>
<formControlPr xmlns="http://schemas.microsoft.com/office/spreadsheetml/2009/9/main" objectType="CheckBox" fmlaLink="Y23" lockText="1" noThreeD="1"/>
</file>

<file path=xl/ctrlProps/ctrlProp23.xml><?xml version="1.0" encoding="utf-8"?>
<formControlPr xmlns="http://schemas.microsoft.com/office/spreadsheetml/2009/9/main" objectType="CheckBox" fmlaLink="Y23" lockText="1" noThreeD="1"/>
</file>

<file path=xl/ctrlProps/ctrlProp24.xml><?xml version="1.0" encoding="utf-8"?>
<formControlPr xmlns="http://schemas.microsoft.com/office/spreadsheetml/2009/9/main" objectType="CheckBox" fmlaLink="Y23" lockText="1" noThreeD="1"/>
</file>

<file path=xl/ctrlProps/ctrlProp25.xml><?xml version="1.0" encoding="utf-8"?>
<formControlPr xmlns="http://schemas.microsoft.com/office/spreadsheetml/2009/9/main" objectType="CheckBox" fmlaLink="Y23" lockText="1" noThreeD="1"/>
</file>

<file path=xl/ctrlProps/ctrlProp26.xml><?xml version="1.0" encoding="utf-8"?>
<formControlPr xmlns="http://schemas.microsoft.com/office/spreadsheetml/2009/9/main" objectType="CheckBox" fmlaLink="#REF!"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12.xml"/><Relationship Id="rId3" Type="http://schemas.openxmlformats.org/officeDocument/2006/relationships/chart" Target="../charts/chart7.xml"/><Relationship Id="rId7" Type="http://schemas.openxmlformats.org/officeDocument/2006/relationships/chart" Target="../charts/chart11.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4</xdr:col>
      <xdr:colOff>150586</xdr:colOff>
      <xdr:row>74</xdr:row>
      <xdr:rowOff>31749</xdr:rowOff>
    </xdr:from>
    <xdr:to>
      <xdr:col>13</xdr:col>
      <xdr:colOff>1463676</xdr:colOff>
      <xdr:row>91</xdr:row>
      <xdr:rowOff>155423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12700</xdr:colOff>
          <xdr:row>53</xdr:row>
          <xdr:rowOff>50800</xdr:rowOff>
        </xdr:from>
        <xdr:to>
          <xdr:col>10</xdr:col>
          <xdr:colOff>1295400</xdr:colOff>
          <xdr:row>60</xdr:row>
          <xdr:rowOff>152400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91440" tIns="59436" rIns="91440" bIns="59436" anchor="ctr" upright="1"/>
            <a:lstStyle/>
            <a:p>
              <a:pPr algn="ctr" rtl="0">
                <a:defRPr sz="1000"/>
              </a:pPr>
              <a:r>
                <a:rPr lang="en-ZA" sz="2400" b="1" i="0" u="none" strike="noStrike" baseline="0">
                  <a:solidFill>
                    <a:srgbClr val="1EA349"/>
                  </a:solidFill>
                  <a:latin typeface="Verdana"/>
                  <a:ea typeface="Verdana"/>
                </a:rPr>
                <a:t>Fresh and Clean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952500</xdr:colOff>
          <xdr:row>8</xdr:row>
          <xdr:rowOff>0</xdr:rowOff>
        </xdr:from>
        <xdr:to>
          <xdr:col>3</xdr:col>
          <xdr:colOff>1143000</xdr:colOff>
          <xdr:row>8</xdr:row>
          <xdr:rowOff>266700</xdr:rowOff>
        </xdr:to>
        <xdr:sp macro="" textlink="">
          <xdr:nvSpPr>
            <xdr:cNvPr id="8194" name="Check Box 2" hidden="1">
              <a:extLst>
                <a:ext uri="{63B3BB69-23CF-44E3-9099-C40C66FF867C}">
                  <a14:compatExt spid="_x0000_s8194"/>
                </a:ext>
                <a:ext uri="{FF2B5EF4-FFF2-40B4-BE49-F238E27FC236}">
                  <a16:creationId xmlns:a16="http://schemas.microsoft.com/office/drawing/2014/main" id="{00000000-0008-0000-0100-00000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101600</xdr:colOff>
          <xdr:row>7</xdr:row>
          <xdr:rowOff>177800</xdr:rowOff>
        </xdr:from>
        <xdr:to>
          <xdr:col>8</xdr:col>
          <xdr:colOff>304800</xdr:colOff>
          <xdr:row>8</xdr:row>
          <xdr:rowOff>228600</xdr:rowOff>
        </xdr:to>
        <xdr:sp macro="" textlink="">
          <xdr:nvSpPr>
            <xdr:cNvPr id="8195" name="Check Box 3"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xdr:row>
          <xdr:rowOff>177800</xdr:rowOff>
        </xdr:from>
        <xdr:to>
          <xdr:col>12</xdr:col>
          <xdr:colOff>190500</xdr:colOff>
          <xdr:row>8</xdr:row>
          <xdr:rowOff>228600</xdr:rowOff>
        </xdr:to>
        <xdr:sp macro="" textlink="">
          <xdr:nvSpPr>
            <xdr:cNvPr id="8196" name="Check Box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431800</xdr:colOff>
          <xdr:row>15</xdr:row>
          <xdr:rowOff>177800</xdr:rowOff>
        </xdr:from>
        <xdr:to>
          <xdr:col>12</xdr:col>
          <xdr:colOff>38100</xdr:colOff>
          <xdr:row>16</xdr:row>
          <xdr:rowOff>203200</xdr:rowOff>
        </xdr:to>
        <xdr:sp macro="" textlink="">
          <xdr:nvSpPr>
            <xdr:cNvPr id="8224" name="Check Box 32" hidden="1">
              <a:extLst>
                <a:ext uri="{63B3BB69-23CF-44E3-9099-C40C66FF867C}">
                  <a14:compatExt spid="_x0000_s8224"/>
                </a:ext>
                <a:ext uri="{FF2B5EF4-FFF2-40B4-BE49-F238E27FC236}">
                  <a16:creationId xmlns:a16="http://schemas.microsoft.com/office/drawing/2014/main" id="{00000000-0008-0000-0100-00002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24</xdr:col>
          <xdr:colOff>190500</xdr:colOff>
          <xdr:row>17</xdr:row>
          <xdr:rowOff>190500</xdr:rowOff>
        </xdr:from>
        <xdr:to>
          <xdr:col>24</xdr:col>
          <xdr:colOff>952500</xdr:colOff>
          <xdr:row>19</xdr:row>
          <xdr:rowOff>38100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800-0000037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36</xdr:row>
          <xdr:rowOff>0</xdr:rowOff>
        </xdr:from>
        <xdr:to>
          <xdr:col>24</xdr:col>
          <xdr:colOff>977900</xdr:colOff>
          <xdr:row>36</xdr:row>
          <xdr:rowOff>0</xdr:rowOff>
        </xdr:to>
        <xdr:sp macro="" textlink="">
          <xdr:nvSpPr>
            <xdr:cNvPr id="28690" name="Check Box 18" hidden="1">
              <a:extLst>
                <a:ext uri="{63B3BB69-23CF-44E3-9099-C40C66FF867C}">
                  <a14:compatExt spid="_x0000_s28690"/>
                </a:ext>
                <a:ext uri="{FF2B5EF4-FFF2-40B4-BE49-F238E27FC236}">
                  <a16:creationId xmlns:a16="http://schemas.microsoft.com/office/drawing/2014/main" id="{00000000-0008-0000-0800-0000127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36</xdr:row>
          <xdr:rowOff>0</xdr:rowOff>
        </xdr:from>
        <xdr:to>
          <xdr:col>24</xdr:col>
          <xdr:colOff>977900</xdr:colOff>
          <xdr:row>36</xdr:row>
          <xdr:rowOff>0</xdr:rowOff>
        </xdr:to>
        <xdr:sp macro="" textlink="">
          <xdr:nvSpPr>
            <xdr:cNvPr id="28691" name="Check Box 19" hidden="1">
              <a:extLst>
                <a:ext uri="{63B3BB69-23CF-44E3-9099-C40C66FF867C}">
                  <a14:compatExt spid="_x0000_s28691"/>
                </a:ext>
                <a:ext uri="{FF2B5EF4-FFF2-40B4-BE49-F238E27FC236}">
                  <a16:creationId xmlns:a16="http://schemas.microsoft.com/office/drawing/2014/main" id="{00000000-0008-0000-0800-0000137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36</xdr:row>
          <xdr:rowOff>0</xdr:rowOff>
        </xdr:from>
        <xdr:to>
          <xdr:col>24</xdr:col>
          <xdr:colOff>977900</xdr:colOff>
          <xdr:row>36</xdr:row>
          <xdr:rowOff>0</xdr:rowOff>
        </xdr:to>
        <xdr:sp macro="" textlink="">
          <xdr:nvSpPr>
            <xdr:cNvPr id="28692" name="Check Box 20" hidden="1">
              <a:extLst>
                <a:ext uri="{63B3BB69-23CF-44E3-9099-C40C66FF867C}">
                  <a14:compatExt spid="_x0000_s28692"/>
                </a:ext>
                <a:ext uri="{FF2B5EF4-FFF2-40B4-BE49-F238E27FC236}">
                  <a16:creationId xmlns:a16="http://schemas.microsoft.com/office/drawing/2014/main" id="{00000000-0008-0000-0800-0000147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36</xdr:row>
          <xdr:rowOff>0</xdr:rowOff>
        </xdr:from>
        <xdr:to>
          <xdr:col>24</xdr:col>
          <xdr:colOff>977900</xdr:colOff>
          <xdr:row>36</xdr:row>
          <xdr:rowOff>0</xdr:rowOff>
        </xdr:to>
        <xdr:sp macro="" textlink="">
          <xdr:nvSpPr>
            <xdr:cNvPr id="28693" name="Check Box 21" hidden="1">
              <a:extLst>
                <a:ext uri="{63B3BB69-23CF-44E3-9099-C40C66FF867C}">
                  <a14:compatExt spid="_x0000_s28693"/>
                </a:ext>
                <a:ext uri="{FF2B5EF4-FFF2-40B4-BE49-F238E27FC236}">
                  <a16:creationId xmlns:a16="http://schemas.microsoft.com/office/drawing/2014/main" id="{00000000-0008-0000-0800-0000157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36</xdr:row>
          <xdr:rowOff>0</xdr:rowOff>
        </xdr:from>
        <xdr:to>
          <xdr:col>24</xdr:col>
          <xdr:colOff>977900</xdr:colOff>
          <xdr:row>36</xdr:row>
          <xdr:rowOff>0</xdr:rowOff>
        </xdr:to>
        <xdr:sp macro="" textlink="">
          <xdr:nvSpPr>
            <xdr:cNvPr id="28694" name="Check Box 22" hidden="1">
              <a:extLst>
                <a:ext uri="{63B3BB69-23CF-44E3-9099-C40C66FF867C}">
                  <a14:compatExt spid="_x0000_s28694"/>
                </a:ext>
                <a:ext uri="{FF2B5EF4-FFF2-40B4-BE49-F238E27FC236}">
                  <a16:creationId xmlns:a16="http://schemas.microsoft.com/office/drawing/2014/main" id="{00000000-0008-0000-0800-0000167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49</xdr:row>
          <xdr:rowOff>0</xdr:rowOff>
        </xdr:from>
        <xdr:to>
          <xdr:col>24</xdr:col>
          <xdr:colOff>977900</xdr:colOff>
          <xdr:row>50</xdr:row>
          <xdr:rowOff>38100</xdr:rowOff>
        </xdr:to>
        <xdr:sp macro="" textlink="">
          <xdr:nvSpPr>
            <xdr:cNvPr id="28695" name="Check Box 23" hidden="1">
              <a:extLst>
                <a:ext uri="{63B3BB69-23CF-44E3-9099-C40C66FF867C}">
                  <a14:compatExt spid="_x0000_s28695"/>
                </a:ext>
                <a:ext uri="{FF2B5EF4-FFF2-40B4-BE49-F238E27FC236}">
                  <a16:creationId xmlns:a16="http://schemas.microsoft.com/office/drawing/2014/main" id="{00000000-0008-0000-0800-0000177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65</xdr:row>
          <xdr:rowOff>0</xdr:rowOff>
        </xdr:from>
        <xdr:to>
          <xdr:col>24</xdr:col>
          <xdr:colOff>977900</xdr:colOff>
          <xdr:row>71</xdr:row>
          <xdr:rowOff>12700</xdr:rowOff>
        </xdr:to>
        <xdr:sp macro="" textlink="">
          <xdr:nvSpPr>
            <xdr:cNvPr id="28696" name="Check Box 24" hidden="1">
              <a:extLst>
                <a:ext uri="{63B3BB69-23CF-44E3-9099-C40C66FF867C}">
                  <a14:compatExt spid="_x0000_s28696"/>
                </a:ext>
                <a:ext uri="{FF2B5EF4-FFF2-40B4-BE49-F238E27FC236}">
                  <a16:creationId xmlns:a16="http://schemas.microsoft.com/office/drawing/2014/main" id="{00000000-0008-0000-0800-0000187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70</xdr:row>
          <xdr:rowOff>0</xdr:rowOff>
        </xdr:from>
        <xdr:to>
          <xdr:col>24</xdr:col>
          <xdr:colOff>977900</xdr:colOff>
          <xdr:row>114</xdr:row>
          <xdr:rowOff>165100</xdr:rowOff>
        </xdr:to>
        <xdr:sp macro="" textlink="">
          <xdr:nvSpPr>
            <xdr:cNvPr id="28697" name="Check Box 25" hidden="1">
              <a:extLst>
                <a:ext uri="{63B3BB69-23CF-44E3-9099-C40C66FF867C}">
                  <a14:compatExt spid="_x0000_s28697"/>
                </a:ext>
                <a:ext uri="{FF2B5EF4-FFF2-40B4-BE49-F238E27FC236}">
                  <a16:creationId xmlns:a16="http://schemas.microsoft.com/office/drawing/2014/main" id="{00000000-0008-0000-0800-0000197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70</xdr:row>
          <xdr:rowOff>0</xdr:rowOff>
        </xdr:from>
        <xdr:to>
          <xdr:col>24</xdr:col>
          <xdr:colOff>977900</xdr:colOff>
          <xdr:row>92</xdr:row>
          <xdr:rowOff>127000</xdr:rowOff>
        </xdr:to>
        <xdr:sp macro="" textlink="">
          <xdr:nvSpPr>
            <xdr:cNvPr id="28698" name="Check Box 26" hidden="1">
              <a:extLst>
                <a:ext uri="{63B3BB69-23CF-44E3-9099-C40C66FF867C}">
                  <a14:compatExt spid="_x0000_s28698"/>
                </a:ext>
                <a:ext uri="{FF2B5EF4-FFF2-40B4-BE49-F238E27FC236}">
                  <a16:creationId xmlns:a16="http://schemas.microsoft.com/office/drawing/2014/main" id="{00000000-0008-0000-0800-00001A7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70</xdr:row>
          <xdr:rowOff>0</xdr:rowOff>
        </xdr:from>
        <xdr:to>
          <xdr:col>24</xdr:col>
          <xdr:colOff>977900</xdr:colOff>
          <xdr:row>80</xdr:row>
          <xdr:rowOff>114300</xdr:rowOff>
        </xdr:to>
        <xdr:sp macro="" textlink="">
          <xdr:nvSpPr>
            <xdr:cNvPr id="28699" name="Check Box 27" hidden="1">
              <a:extLst>
                <a:ext uri="{63B3BB69-23CF-44E3-9099-C40C66FF867C}">
                  <a14:compatExt spid="_x0000_s28699"/>
                </a:ext>
                <a:ext uri="{FF2B5EF4-FFF2-40B4-BE49-F238E27FC236}">
                  <a16:creationId xmlns:a16="http://schemas.microsoft.com/office/drawing/2014/main" id="{00000000-0008-0000-0800-00001B7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77</xdr:row>
          <xdr:rowOff>0</xdr:rowOff>
        </xdr:from>
        <xdr:to>
          <xdr:col>24</xdr:col>
          <xdr:colOff>977900</xdr:colOff>
          <xdr:row>79</xdr:row>
          <xdr:rowOff>50800</xdr:rowOff>
        </xdr:to>
        <xdr:sp macro="" textlink="">
          <xdr:nvSpPr>
            <xdr:cNvPr id="28700" name="Check Box 28" hidden="1">
              <a:extLst>
                <a:ext uri="{63B3BB69-23CF-44E3-9099-C40C66FF867C}">
                  <a14:compatExt spid="_x0000_s28700"/>
                </a:ext>
                <a:ext uri="{FF2B5EF4-FFF2-40B4-BE49-F238E27FC236}">
                  <a16:creationId xmlns:a16="http://schemas.microsoft.com/office/drawing/2014/main" id="{00000000-0008-0000-0800-00001C7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89</xdr:row>
          <xdr:rowOff>0</xdr:rowOff>
        </xdr:from>
        <xdr:to>
          <xdr:col>24</xdr:col>
          <xdr:colOff>977900</xdr:colOff>
          <xdr:row>90</xdr:row>
          <xdr:rowOff>50800</xdr:rowOff>
        </xdr:to>
        <xdr:sp macro="" textlink="">
          <xdr:nvSpPr>
            <xdr:cNvPr id="28701" name="Check Box 29" hidden="1">
              <a:extLst>
                <a:ext uri="{63B3BB69-23CF-44E3-9099-C40C66FF867C}">
                  <a14:compatExt spid="_x0000_s28701"/>
                </a:ext>
                <a:ext uri="{FF2B5EF4-FFF2-40B4-BE49-F238E27FC236}">
                  <a16:creationId xmlns:a16="http://schemas.microsoft.com/office/drawing/2014/main" id="{00000000-0008-0000-0800-00001D7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104</xdr:row>
          <xdr:rowOff>0</xdr:rowOff>
        </xdr:from>
        <xdr:to>
          <xdr:col>24</xdr:col>
          <xdr:colOff>977900</xdr:colOff>
          <xdr:row>112</xdr:row>
          <xdr:rowOff>0</xdr:rowOff>
        </xdr:to>
        <xdr:sp macro="" textlink="">
          <xdr:nvSpPr>
            <xdr:cNvPr id="28702" name="Check Box 30" hidden="1">
              <a:extLst>
                <a:ext uri="{63B3BB69-23CF-44E3-9099-C40C66FF867C}">
                  <a14:compatExt spid="_x0000_s28702"/>
                </a:ext>
                <a:ext uri="{FF2B5EF4-FFF2-40B4-BE49-F238E27FC236}">
                  <a16:creationId xmlns:a16="http://schemas.microsoft.com/office/drawing/2014/main" id="{00000000-0008-0000-0800-00001E7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36</xdr:row>
          <xdr:rowOff>0</xdr:rowOff>
        </xdr:from>
        <xdr:to>
          <xdr:col>24</xdr:col>
          <xdr:colOff>977900</xdr:colOff>
          <xdr:row>36</xdr:row>
          <xdr:rowOff>0</xdr:rowOff>
        </xdr:to>
        <xdr:sp macro="" textlink="">
          <xdr:nvSpPr>
            <xdr:cNvPr id="28703" name="Check Box 31" hidden="1">
              <a:extLst>
                <a:ext uri="{63B3BB69-23CF-44E3-9099-C40C66FF867C}">
                  <a14:compatExt spid="_x0000_s28703"/>
                </a:ext>
                <a:ext uri="{FF2B5EF4-FFF2-40B4-BE49-F238E27FC236}">
                  <a16:creationId xmlns:a16="http://schemas.microsoft.com/office/drawing/2014/main" id="{00000000-0008-0000-0800-00001F7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34</xdr:row>
          <xdr:rowOff>190500</xdr:rowOff>
        </xdr:from>
        <xdr:to>
          <xdr:col>24</xdr:col>
          <xdr:colOff>952500</xdr:colOff>
          <xdr:row>35</xdr:row>
          <xdr:rowOff>0</xdr:rowOff>
        </xdr:to>
        <xdr:sp macro="" textlink="">
          <xdr:nvSpPr>
            <xdr:cNvPr id="28704" name="Check Box 32" hidden="1">
              <a:extLst>
                <a:ext uri="{63B3BB69-23CF-44E3-9099-C40C66FF867C}">
                  <a14:compatExt spid="_x0000_s28704"/>
                </a:ext>
                <a:ext uri="{FF2B5EF4-FFF2-40B4-BE49-F238E27FC236}">
                  <a16:creationId xmlns:a16="http://schemas.microsoft.com/office/drawing/2014/main" id="{00000000-0008-0000-0800-0000207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36</xdr:row>
          <xdr:rowOff>0</xdr:rowOff>
        </xdr:from>
        <xdr:to>
          <xdr:col>24</xdr:col>
          <xdr:colOff>952500</xdr:colOff>
          <xdr:row>36</xdr:row>
          <xdr:rowOff>0</xdr:rowOff>
        </xdr:to>
        <xdr:sp macro="" textlink="">
          <xdr:nvSpPr>
            <xdr:cNvPr id="28717" name="Check Box 45" hidden="1">
              <a:extLst>
                <a:ext uri="{63B3BB69-23CF-44E3-9099-C40C66FF867C}">
                  <a14:compatExt spid="_x0000_s28717"/>
                </a:ext>
                <a:ext uri="{FF2B5EF4-FFF2-40B4-BE49-F238E27FC236}">
                  <a16:creationId xmlns:a16="http://schemas.microsoft.com/office/drawing/2014/main" id="{00000000-0008-0000-0800-00002D7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36</xdr:row>
          <xdr:rowOff>0</xdr:rowOff>
        </xdr:from>
        <xdr:to>
          <xdr:col>24</xdr:col>
          <xdr:colOff>952500</xdr:colOff>
          <xdr:row>36</xdr:row>
          <xdr:rowOff>0</xdr:rowOff>
        </xdr:to>
        <xdr:sp macro="" textlink="">
          <xdr:nvSpPr>
            <xdr:cNvPr id="28719" name="Check Box 47" hidden="1">
              <a:extLst>
                <a:ext uri="{63B3BB69-23CF-44E3-9099-C40C66FF867C}">
                  <a14:compatExt spid="_x0000_s28719"/>
                </a:ext>
                <a:ext uri="{FF2B5EF4-FFF2-40B4-BE49-F238E27FC236}">
                  <a16:creationId xmlns:a16="http://schemas.microsoft.com/office/drawing/2014/main" id="{00000000-0008-0000-0800-00002F7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36</xdr:row>
          <xdr:rowOff>0</xdr:rowOff>
        </xdr:from>
        <xdr:to>
          <xdr:col>24</xdr:col>
          <xdr:colOff>952500</xdr:colOff>
          <xdr:row>36</xdr:row>
          <xdr:rowOff>0</xdr:rowOff>
        </xdr:to>
        <xdr:sp macro="" textlink="">
          <xdr:nvSpPr>
            <xdr:cNvPr id="28721" name="Check Box 49" hidden="1">
              <a:extLst>
                <a:ext uri="{63B3BB69-23CF-44E3-9099-C40C66FF867C}">
                  <a14:compatExt spid="_x0000_s28721"/>
                </a:ext>
                <a:ext uri="{FF2B5EF4-FFF2-40B4-BE49-F238E27FC236}">
                  <a16:creationId xmlns:a16="http://schemas.microsoft.com/office/drawing/2014/main" id="{00000000-0008-0000-0800-0000317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62</xdr:row>
          <xdr:rowOff>190500</xdr:rowOff>
        </xdr:from>
        <xdr:to>
          <xdr:col>24</xdr:col>
          <xdr:colOff>952500</xdr:colOff>
          <xdr:row>71</xdr:row>
          <xdr:rowOff>12700</xdr:rowOff>
        </xdr:to>
        <xdr:sp macro="" textlink="">
          <xdr:nvSpPr>
            <xdr:cNvPr id="28723" name="Check Box 51" hidden="1">
              <a:extLst>
                <a:ext uri="{63B3BB69-23CF-44E3-9099-C40C66FF867C}">
                  <a14:compatExt spid="_x0000_s28723"/>
                </a:ext>
                <a:ext uri="{FF2B5EF4-FFF2-40B4-BE49-F238E27FC236}">
                  <a16:creationId xmlns:a16="http://schemas.microsoft.com/office/drawing/2014/main" id="{00000000-0008-0000-0800-0000337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96</xdr:row>
          <xdr:rowOff>0</xdr:rowOff>
        </xdr:from>
        <xdr:to>
          <xdr:col>24</xdr:col>
          <xdr:colOff>977900</xdr:colOff>
          <xdr:row>110</xdr:row>
          <xdr:rowOff>114300</xdr:rowOff>
        </xdr:to>
        <xdr:sp macro="" textlink="">
          <xdr:nvSpPr>
            <xdr:cNvPr id="28725" name="Check Box 53" hidden="1">
              <a:extLst>
                <a:ext uri="{63B3BB69-23CF-44E3-9099-C40C66FF867C}">
                  <a14:compatExt spid="_x0000_s28725"/>
                </a:ext>
                <a:ext uri="{FF2B5EF4-FFF2-40B4-BE49-F238E27FC236}">
                  <a16:creationId xmlns:a16="http://schemas.microsoft.com/office/drawing/2014/main" id="{00000000-0008-0000-0800-0000357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1367692</xdr:colOff>
      <xdr:row>104</xdr:row>
      <xdr:rowOff>48846</xdr:rowOff>
    </xdr:from>
    <xdr:to>
      <xdr:col>3</xdr:col>
      <xdr:colOff>213179</xdr:colOff>
      <xdr:row>124</xdr:row>
      <xdr:rowOff>146377</xdr:rowOff>
    </xdr:to>
    <xdr:graphicFrame macro="">
      <xdr:nvGraphicFramePr>
        <xdr:cNvPr id="2" name="Chart 1">
          <a:extLst>
            <a:ext uri="{FF2B5EF4-FFF2-40B4-BE49-F238E27FC236}">
              <a16:creationId xmlns:a16="http://schemas.microsoft.com/office/drawing/2014/main" id="{1D605CFD-E9BC-4DBC-9CF7-389A0CE569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201082</xdr:colOff>
      <xdr:row>75</xdr:row>
      <xdr:rowOff>10583</xdr:rowOff>
    </xdr:from>
    <xdr:to>
      <xdr:col>3</xdr:col>
      <xdr:colOff>1947332</xdr:colOff>
      <xdr:row>98</xdr:row>
      <xdr:rowOff>105833</xdr:rowOff>
    </xdr:to>
    <xdr:graphicFrame macro="">
      <xdr:nvGraphicFramePr>
        <xdr:cNvPr id="4" name="Chart 3">
          <a:extLst>
            <a:ext uri="{FF2B5EF4-FFF2-40B4-BE49-F238E27FC236}">
              <a16:creationId xmlns:a16="http://schemas.microsoft.com/office/drawing/2014/main" id="{3A63DFAA-5B89-4DF6-8A69-57A8EF4302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1514231</xdr:colOff>
      <xdr:row>129</xdr:row>
      <xdr:rowOff>105833</xdr:rowOff>
    </xdr:from>
    <xdr:to>
      <xdr:col>3</xdr:col>
      <xdr:colOff>32564</xdr:colOff>
      <xdr:row>151</xdr:row>
      <xdr:rowOff>162820</xdr:rowOff>
    </xdr:to>
    <xdr:graphicFrame macro="">
      <xdr:nvGraphicFramePr>
        <xdr:cNvPr id="9" name="Chart 8">
          <a:extLst>
            <a:ext uri="{FF2B5EF4-FFF2-40B4-BE49-F238E27FC236}">
              <a16:creationId xmlns:a16="http://schemas.microsoft.com/office/drawing/2014/main" id="{1A0FD72E-D8B9-4352-B7D8-97B7941552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1260397</xdr:colOff>
      <xdr:row>12</xdr:row>
      <xdr:rowOff>17965</xdr:rowOff>
    </xdr:from>
    <xdr:to>
      <xdr:col>5</xdr:col>
      <xdr:colOff>188021</xdr:colOff>
      <xdr:row>21</xdr:row>
      <xdr:rowOff>164790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38</xdr:row>
      <xdr:rowOff>0</xdr:rowOff>
    </xdr:from>
    <xdr:to>
      <xdr:col>2</xdr:col>
      <xdr:colOff>2923396</xdr:colOff>
      <xdr:row>47</xdr:row>
      <xdr:rowOff>155755</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71</xdr:row>
      <xdr:rowOff>0</xdr:rowOff>
    </xdr:from>
    <xdr:to>
      <xdr:col>2</xdr:col>
      <xdr:colOff>2912240</xdr:colOff>
      <xdr:row>85</xdr:row>
      <xdr:rowOff>12700</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889000</xdr:colOff>
      <xdr:row>115</xdr:row>
      <xdr:rowOff>63500</xdr:rowOff>
    </xdr:from>
    <xdr:to>
      <xdr:col>8</xdr:col>
      <xdr:colOff>826135</xdr:colOff>
      <xdr:row>122</xdr:row>
      <xdr:rowOff>104775</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0</xdr:colOff>
      <xdr:row>123</xdr:row>
      <xdr:rowOff>0</xdr:rowOff>
    </xdr:from>
    <xdr:to>
      <xdr:col>8</xdr:col>
      <xdr:colOff>895626</xdr:colOff>
      <xdr:row>129</xdr:row>
      <xdr:rowOff>65237</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0</xdr:colOff>
      <xdr:row>129</xdr:row>
      <xdr:rowOff>150933</xdr:rowOff>
    </xdr:from>
    <xdr:to>
      <xdr:col>8</xdr:col>
      <xdr:colOff>895626</xdr:colOff>
      <xdr:row>136</xdr:row>
      <xdr:rowOff>54042</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0</xdr:colOff>
      <xdr:row>137</xdr:row>
      <xdr:rowOff>0</xdr:rowOff>
    </xdr:from>
    <xdr:to>
      <xdr:col>8</xdr:col>
      <xdr:colOff>895626</xdr:colOff>
      <xdr:row>143</xdr:row>
      <xdr:rowOff>42809</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55217</xdr:colOff>
      <xdr:row>51</xdr:row>
      <xdr:rowOff>55219</xdr:rowOff>
    </xdr:from>
    <xdr:to>
      <xdr:col>2</xdr:col>
      <xdr:colOff>3009348</xdr:colOff>
      <xdr:row>66</xdr:row>
      <xdr:rowOff>73747</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549519</xdr:colOff>
      <xdr:row>10</xdr:row>
      <xdr:rowOff>61059</xdr:rowOff>
    </xdr:from>
    <xdr:to>
      <xdr:col>9</xdr:col>
      <xdr:colOff>1320800</xdr:colOff>
      <xdr:row>23</xdr:row>
      <xdr:rowOff>158750</xdr:rowOff>
    </xdr:to>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Isaac\Desktop\Lockdown%20exercise\Norm%20dist\YYMMDD_Client_Size_FA_V25.5%20CP%20review.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emergy.sharepoint.com/sites/Emergent_Energy/Shared%20Documents/Emergent%20Energy%20Team%20Folder/05%20-%20Templates/PRE_First%20Assessment/Costing/In%20progress/Fedgroup%20Sheets.xlsm" TargetMode="External"/><Relationship Id="rId1" Type="http://schemas.openxmlformats.org/officeDocument/2006/relationships/externalLinkPath" Target="file:///C:\Users\emara\OneDrive%20-%20Emergent%20Energy%20(Pty)%20Ltd\Emergent%20Energy%20Team%20Folder\05%20-%20Templates\PRE_First%20Assessment\Costing\In%20progress\Fedgroup%20Sheets.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Sheet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V Sim"/>
      <sheetName val="Design Inputs"/>
      <sheetName val="Costing Inputs"/>
      <sheetName val="Cost Summary"/>
      <sheetName val="2.1 Sizing Data"/>
      <sheetName val="Cost Detail"/>
      <sheetName val="Supplier database"/>
      <sheetName val="Ref 1"/>
      <sheetName val="4.3 Emergent Data"/>
      <sheetName val="2 Sizing"/>
      <sheetName val="Financial Inputs"/>
      <sheetName val="Buy-Back"/>
      <sheetName val="Cashflows&amp;Sensitivities LTO"/>
      <sheetName val="Cashflows&amp;Sensitivities LTORRI"/>
      <sheetName val="Cashflows"/>
      <sheetName val="Updates"/>
      <sheetName val="12J"/>
      <sheetName val="Proposal"/>
      <sheetName val="FA_Data"/>
      <sheetName val="CP_data"/>
      <sheetName val="Consumption curve 2"/>
      <sheetName val="Input Page"/>
      <sheetName val="EPC&amp;Platform rates"/>
      <sheetName val="Lease to Own"/>
      <sheetName val="Lease to Own (Variable)"/>
      <sheetName val="LTO Outputs"/>
      <sheetName val="Production Model"/>
      <sheetName val="Solar Model - DO"/>
      <sheetName val="Investor Cashflows"/>
      <sheetName val="Landlord table"/>
      <sheetName val="Curve"/>
      <sheetName val="Validations"/>
    </sheetNames>
    <sheetDataSet>
      <sheetData sheetId="0"/>
      <sheetData sheetId="1">
        <row r="56">
          <cell r="K56">
            <v>18</v>
          </cell>
        </row>
      </sheetData>
      <sheetData sheetId="2">
        <row r="4">
          <cell r="K4">
            <v>466</v>
          </cell>
          <cell r="S4" t="str">
            <v>Cape Town</v>
          </cell>
          <cell r="V4" t="str">
            <v>Y</v>
          </cell>
        </row>
        <row r="5">
          <cell r="K5">
            <v>167.76</v>
          </cell>
          <cell r="S5">
            <v>50</v>
          </cell>
        </row>
        <row r="6">
          <cell r="D6">
            <v>360</v>
          </cell>
          <cell r="S6">
            <v>50</v>
          </cell>
          <cell r="V6" t="str">
            <v>Y</v>
          </cell>
        </row>
        <row r="7">
          <cell r="V7" t="str">
            <v>Y</v>
          </cell>
        </row>
        <row r="8">
          <cell r="V8" t="str">
            <v>Y</v>
          </cell>
        </row>
        <row r="13">
          <cell r="V13" t="str">
            <v>Y</v>
          </cell>
        </row>
        <row r="18">
          <cell r="D18">
            <v>50</v>
          </cell>
          <cell r="H18" t="str">
            <v>Pitch Roof</v>
          </cell>
          <cell r="AB18">
            <v>0.26</v>
          </cell>
        </row>
        <row r="19">
          <cell r="D19">
            <v>932</v>
          </cell>
          <cell r="H19" t="str">
            <v>IBR</v>
          </cell>
          <cell r="AB19">
            <v>0.5</v>
          </cell>
        </row>
        <row r="20">
          <cell r="D20">
            <v>1500</v>
          </cell>
          <cell r="AB20">
            <v>0.15</v>
          </cell>
        </row>
        <row r="21">
          <cell r="AB21">
            <v>0.15</v>
          </cell>
        </row>
      </sheetData>
      <sheetData sheetId="3">
        <row r="35">
          <cell r="C35">
            <v>1679882.1</v>
          </cell>
        </row>
      </sheetData>
      <sheetData sheetId="4">
        <row r="2">
          <cell r="A2">
            <v>5</v>
          </cell>
          <cell r="B2">
            <v>0</v>
          </cell>
          <cell r="C2" t="str">
            <v>Western Cape</v>
          </cell>
        </row>
        <row r="3">
          <cell r="A3">
            <v>10</v>
          </cell>
          <cell r="B3">
            <v>15</v>
          </cell>
          <cell r="C3" t="str">
            <v>Northern Cape</v>
          </cell>
        </row>
        <row r="4">
          <cell r="A4">
            <v>15</v>
          </cell>
          <cell r="B4">
            <v>30</v>
          </cell>
          <cell r="C4" t="str">
            <v>Gauteng</v>
          </cell>
        </row>
        <row r="5">
          <cell r="A5">
            <v>25</v>
          </cell>
          <cell r="B5">
            <v>45</v>
          </cell>
          <cell r="C5" t="str">
            <v>Kwazulu Natal</v>
          </cell>
        </row>
        <row r="6">
          <cell r="B6">
            <v>60</v>
          </cell>
          <cell r="C6" t="str">
            <v>Limpopo</v>
          </cell>
        </row>
        <row r="7">
          <cell r="B7">
            <v>75</v>
          </cell>
          <cell r="C7" t="str">
            <v>Mpumalanga</v>
          </cell>
        </row>
        <row r="8">
          <cell r="B8">
            <v>90</v>
          </cell>
          <cell r="C8" t="str">
            <v>North West</v>
          </cell>
        </row>
        <row r="9">
          <cell r="B9">
            <v>115</v>
          </cell>
          <cell r="C9" t="str">
            <v>Eastern Cape</v>
          </cell>
        </row>
        <row r="10">
          <cell r="B10">
            <v>130</v>
          </cell>
        </row>
        <row r="11">
          <cell r="B11">
            <v>145</v>
          </cell>
        </row>
        <row r="12">
          <cell r="B12">
            <v>165</v>
          </cell>
        </row>
        <row r="13">
          <cell r="B13">
            <v>180</v>
          </cell>
        </row>
        <row r="14">
          <cell r="B14">
            <v>195</v>
          </cell>
        </row>
        <row r="15">
          <cell r="B15">
            <v>210</v>
          </cell>
        </row>
        <row r="16">
          <cell r="B16">
            <v>225</v>
          </cell>
        </row>
        <row r="17">
          <cell r="B17">
            <v>240</v>
          </cell>
        </row>
        <row r="18">
          <cell r="B18">
            <v>255</v>
          </cell>
        </row>
        <row r="19">
          <cell r="B19">
            <v>270</v>
          </cell>
        </row>
        <row r="20">
          <cell r="B20">
            <v>285</v>
          </cell>
        </row>
        <row r="21">
          <cell r="B21">
            <v>300</v>
          </cell>
        </row>
        <row r="22">
          <cell r="B22">
            <v>315</v>
          </cell>
        </row>
        <row r="23">
          <cell r="B23">
            <v>330</v>
          </cell>
        </row>
        <row r="24">
          <cell r="B24">
            <v>345</v>
          </cell>
        </row>
        <row r="31">
          <cell r="A31">
            <v>0</v>
          </cell>
          <cell r="B31">
            <v>1678</v>
          </cell>
          <cell r="C31">
            <v>1720</v>
          </cell>
          <cell r="D31">
            <v>1751</v>
          </cell>
          <cell r="E31">
            <v>1784</v>
          </cell>
          <cell r="F31">
            <v>1865</v>
          </cell>
          <cell r="G31">
            <v>1915</v>
          </cell>
          <cell r="H31">
            <v>1953</v>
          </cell>
          <cell r="I31">
            <v>1994</v>
          </cell>
          <cell r="J31">
            <v>1744</v>
          </cell>
          <cell r="K31">
            <v>1784</v>
          </cell>
          <cell r="L31">
            <v>1814</v>
          </cell>
          <cell r="M31">
            <v>1843</v>
          </cell>
          <cell r="N31">
            <v>1420</v>
          </cell>
          <cell r="O31">
            <v>1454</v>
          </cell>
          <cell r="P31">
            <v>1479</v>
          </cell>
          <cell r="Q31">
            <v>1507</v>
          </cell>
          <cell r="R31">
            <v>1789</v>
          </cell>
          <cell r="S31">
            <v>1826</v>
          </cell>
          <cell r="T31">
            <v>1853</v>
          </cell>
          <cell r="U31">
            <v>1874</v>
          </cell>
          <cell r="V31">
            <v>1628</v>
          </cell>
          <cell r="W31">
            <v>1663</v>
          </cell>
          <cell r="X31">
            <v>1689</v>
          </cell>
          <cell r="Y31">
            <v>1713</v>
          </cell>
          <cell r="Z31">
            <v>1795</v>
          </cell>
          <cell r="AA31">
            <v>1833</v>
          </cell>
          <cell r="AB31">
            <v>1861</v>
          </cell>
          <cell r="AC31">
            <v>1885</v>
          </cell>
          <cell r="AD31">
            <v>1579</v>
          </cell>
          <cell r="AE31">
            <v>1623</v>
          </cell>
          <cell r="AF31">
            <v>1658</v>
          </cell>
          <cell r="AG31">
            <v>1698</v>
          </cell>
        </row>
        <row r="32">
          <cell r="A32">
            <v>15</v>
          </cell>
          <cell r="B32">
            <v>1677</v>
          </cell>
          <cell r="C32">
            <v>1718</v>
          </cell>
          <cell r="D32">
            <v>1749</v>
          </cell>
          <cell r="E32">
            <v>1781</v>
          </cell>
          <cell r="F32">
            <v>1864</v>
          </cell>
          <cell r="G32">
            <v>1912</v>
          </cell>
          <cell r="H32">
            <v>1949</v>
          </cell>
          <cell r="I32">
            <v>1991</v>
          </cell>
          <cell r="J32">
            <v>1744</v>
          </cell>
          <cell r="K32">
            <v>1784</v>
          </cell>
          <cell r="L32">
            <v>1813</v>
          </cell>
          <cell r="M32">
            <v>1842</v>
          </cell>
          <cell r="N32">
            <v>1419</v>
          </cell>
          <cell r="O32">
            <v>1452</v>
          </cell>
          <cell r="P32">
            <v>1476</v>
          </cell>
          <cell r="Q32">
            <v>1501</v>
          </cell>
          <cell r="R32">
            <v>1788</v>
          </cell>
          <cell r="S32">
            <v>1825</v>
          </cell>
          <cell r="T32">
            <v>1851</v>
          </cell>
          <cell r="U32">
            <v>1872</v>
          </cell>
          <cell r="V32">
            <v>1627</v>
          </cell>
          <cell r="W32">
            <v>1662</v>
          </cell>
          <cell r="X32">
            <v>1687</v>
          </cell>
          <cell r="Y32">
            <v>1709</v>
          </cell>
          <cell r="Z32">
            <v>1794</v>
          </cell>
          <cell r="AA32">
            <v>1832</v>
          </cell>
          <cell r="AB32">
            <v>1860</v>
          </cell>
          <cell r="AC32">
            <v>1883</v>
          </cell>
          <cell r="AD32">
            <v>1577</v>
          </cell>
          <cell r="AE32">
            <v>1620</v>
          </cell>
          <cell r="AF32">
            <v>1653</v>
          </cell>
          <cell r="AG32">
            <v>1692</v>
          </cell>
        </row>
        <row r="33">
          <cell r="A33">
            <v>30</v>
          </cell>
          <cell r="B33">
            <v>1673</v>
          </cell>
          <cell r="C33">
            <v>1709</v>
          </cell>
          <cell r="D33">
            <v>1736</v>
          </cell>
          <cell r="E33">
            <v>1762</v>
          </cell>
          <cell r="F33">
            <v>1853</v>
          </cell>
          <cell r="G33">
            <v>1900</v>
          </cell>
          <cell r="H33">
            <v>1933</v>
          </cell>
          <cell r="I33">
            <v>1965</v>
          </cell>
          <cell r="J33">
            <v>1740</v>
          </cell>
          <cell r="K33">
            <v>1776</v>
          </cell>
          <cell r="L33">
            <v>1801</v>
          </cell>
          <cell r="M33">
            <v>1824</v>
          </cell>
          <cell r="N33">
            <v>1415</v>
          </cell>
          <cell r="O33">
            <v>1443</v>
          </cell>
          <cell r="P33">
            <v>1464</v>
          </cell>
          <cell r="Q33">
            <v>1483</v>
          </cell>
          <cell r="R33">
            <v>1784</v>
          </cell>
          <cell r="S33">
            <v>1816</v>
          </cell>
          <cell r="T33">
            <v>1838</v>
          </cell>
          <cell r="U33">
            <v>1853</v>
          </cell>
          <cell r="V33">
            <v>1623</v>
          </cell>
          <cell r="W33">
            <v>1653</v>
          </cell>
          <cell r="X33">
            <v>1674</v>
          </cell>
          <cell r="Y33">
            <v>1692</v>
          </cell>
          <cell r="Z33">
            <v>1789</v>
          </cell>
          <cell r="AA33">
            <v>1823</v>
          </cell>
          <cell r="AB33">
            <v>1846</v>
          </cell>
          <cell r="AC33">
            <v>1864</v>
          </cell>
          <cell r="AD33">
            <v>1572</v>
          </cell>
          <cell r="AE33">
            <v>1609</v>
          </cell>
          <cell r="AF33">
            <v>1637</v>
          </cell>
          <cell r="AG33">
            <v>1667</v>
          </cell>
        </row>
        <row r="34">
          <cell r="A34">
            <v>45</v>
          </cell>
          <cell r="B34">
            <v>1665</v>
          </cell>
          <cell r="C34">
            <v>1693</v>
          </cell>
          <cell r="D34">
            <v>1712</v>
          </cell>
          <cell r="E34">
            <v>1726</v>
          </cell>
          <cell r="F34">
            <v>1848</v>
          </cell>
          <cell r="G34">
            <v>1880</v>
          </cell>
          <cell r="H34">
            <v>1904</v>
          </cell>
          <cell r="I34">
            <v>1922</v>
          </cell>
          <cell r="J34">
            <v>1732</v>
          </cell>
          <cell r="K34">
            <v>1760</v>
          </cell>
          <cell r="L34">
            <v>1779</v>
          </cell>
          <cell r="M34">
            <v>1791</v>
          </cell>
          <cell r="N34">
            <v>1408</v>
          </cell>
          <cell r="O34">
            <v>1430</v>
          </cell>
          <cell r="P34">
            <v>1444</v>
          </cell>
          <cell r="Q34">
            <v>1452</v>
          </cell>
          <cell r="R34">
            <v>1776</v>
          </cell>
          <cell r="S34">
            <v>1800</v>
          </cell>
          <cell r="T34">
            <v>1815</v>
          </cell>
          <cell r="U34">
            <v>1818</v>
          </cell>
          <cell r="V34">
            <v>1616</v>
          </cell>
          <cell r="W34">
            <v>1639</v>
          </cell>
          <cell r="X34">
            <v>1653</v>
          </cell>
          <cell r="Y34">
            <v>1658</v>
          </cell>
          <cell r="Z34">
            <v>1781</v>
          </cell>
          <cell r="AA34">
            <v>1807</v>
          </cell>
          <cell r="AB34">
            <v>1824</v>
          </cell>
          <cell r="AC34">
            <v>1831</v>
          </cell>
          <cell r="AD34">
            <v>1563</v>
          </cell>
          <cell r="AE34">
            <v>1591</v>
          </cell>
          <cell r="AF34">
            <v>1611</v>
          </cell>
          <cell r="AG34">
            <v>1627</v>
          </cell>
        </row>
        <row r="35">
          <cell r="A35">
            <v>60</v>
          </cell>
          <cell r="B35">
            <v>1653</v>
          </cell>
          <cell r="C35">
            <v>1671</v>
          </cell>
          <cell r="D35">
            <v>1680</v>
          </cell>
          <cell r="E35">
            <v>1677</v>
          </cell>
          <cell r="F35">
            <v>1834</v>
          </cell>
          <cell r="G35">
            <v>1853</v>
          </cell>
          <cell r="H35">
            <v>1866</v>
          </cell>
          <cell r="I35">
            <v>1863</v>
          </cell>
          <cell r="J35">
            <v>1722</v>
          </cell>
          <cell r="K35">
            <v>1740</v>
          </cell>
          <cell r="L35">
            <v>1748</v>
          </cell>
          <cell r="M35">
            <v>1744</v>
          </cell>
          <cell r="N35">
            <v>1399</v>
          </cell>
          <cell r="O35">
            <v>1411</v>
          </cell>
          <cell r="P35">
            <v>1418</v>
          </cell>
          <cell r="Q35">
            <v>1413</v>
          </cell>
          <cell r="R35">
            <v>1765</v>
          </cell>
          <cell r="S35">
            <v>1780</v>
          </cell>
          <cell r="T35">
            <v>1785</v>
          </cell>
          <cell r="U35">
            <v>1772</v>
          </cell>
          <cell r="V35">
            <v>1606</v>
          </cell>
          <cell r="W35">
            <v>1619</v>
          </cell>
          <cell r="X35">
            <v>1625</v>
          </cell>
          <cell r="Y35">
            <v>1618</v>
          </cell>
          <cell r="Z35">
            <v>1771</v>
          </cell>
          <cell r="AA35">
            <v>1786</v>
          </cell>
          <cell r="AB35">
            <v>1794</v>
          </cell>
          <cell r="AC35">
            <v>1783</v>
          </cell>
          <cell r="AD35">
            <v>1551</v>
          </cell>
          <cell r="AE35">
            <v>1567</v>
          </cell>
          <cell r="AF35">
            <v>1577</v>
          </cell>
          <cell r="AG35">
            <v>1575</v>
          </cell>
        </row>
        <row r="36">
          <cell r="A36">
            <v>75</v>
          </cell>
          <cell r="B36">
            <v>1640</v>
          </cell>
          <cell r="C36">
            <v>1645</v>
          </cell>
          <cell r="D36">
            <v>1641</v>
          </cell>
          <cell r="E36">
            <v>1618</v>
          </cell>
          <cell r="F36">
            <v>1818</v>
          </cell>
          <cell r="G36">
            <v>1822</v>
          </cell>
          <cell r="H36">
            <v>1819</v>
          </cell>
          <cell r="I36">
            <v>1795</v>
          </cell>
          <cell r="J36">
            <v>1709</v>
          </cell>
          <cell r="K36">
            <v>1714</v>
          </cell>
          <cell r="L36">
            <v>1711</v>
          </cell>
          <cell r="M36">
            <v>1690</v>
          </cell>
          <cell r="N36">
            <v>1388</v>
          </cell>
          <cell r="O36">
            <v>1390</v>
          </cell>
          <cell r="P36">
            <v>1387</v>
          </cell>
          <cell r="Q36">
            <v>1365</v>
          </cell>
          <cell r="R36">
            <v>1753</v>
          </cell>
          <cell r="S36">
            <v>1755</v>
          </cell>
          <cell r="T36">
            <v>1748</v>
          </cell>
          <cell r="U36">
            <v>1720</v>
          </cell>
          <cell r="V36">
            <v>1594</v>
          </cell>
          <cell r="W36">
            <v>1596</v>
          </cell>
          <cell r="X36">
            <v>1592</v>
          </cell>
          <cell r="Y36">
            <v>1568</v>
          </cell>
          <cell r="Z36">
            <v>1758</v>
          </cell>
          <cell r="AA36">
            <v>1761</v>
          </cell>
          <cell r="AB36">
            <v>1756</v>
          </cell>
          <cell r="AC36">
            <v>1729</v>
          </cell>
          <cell r="AD36">
            <v>1537</v>
          </cell>
          <cell r="AE36">
            <v>1537</v>
          </cell>
          <cell r="AF36">
            <v>1537</v>
          </cell>
          <cell r="AG36">
            <v>1514</v>
          </cell>
        </row>
        <row r="37">
          <cell r="A37">
            <v>90</v>
          </cell>
          <cell r="B37">
            <v>1625</v>
          </cell>
          <cell r="C37">
            <v>1616</v>
          </cell>
          <cell r="D37">
            <v>1599</v>
          </cell>
          <cell r="E37">
            <v>1551</v>
          </cell>
          <cell r="F37">
            <v>1801</v>
          </cell>
          <cell r="G37">
            <v>1787</v>
          </cell>
          <cell r="H37">
            <v>1769</v>
          </cell>
          <cell r="I37">
            <v>1717</v>
          </cell>
          <cell r="J37">
            <v>1695</v>
          </cell>
          <cell r="K37">
            <v>1686</v>
          </cell>
          <cell r="L37">
            <v>1671</v>
          </cell>
          <cell r="M37">
            <v>1627</v>
          </cell>
          <cell r="N37">
            <v>1376</v>
          </cell>
          <cell r="O37">
            <v>1367</v>
          </cell>
          <cell r="P37">
            <v>1354</v>
          </cell>
          <cell r="Q37">
            <v>1313</v>
          </cell>
          <cell r="R37">
            <v>1739</v>
          </cell>
          <cell r="S37">
            <v>1727</v>
          </cell>
          <cell r="T37">
            <v>1709</v>
          </cell>
          <cell r="U37">
            <v>1658</v>
          </cell>
          <cell r="V37">
            <v>1581</v>
          </cell>
          <cell r="W37">
            <v>1571</v>
          </cell>
          <cell r="X37">
            <v>1549</v>
          </cell>
          <cell r="Y37">
            <v>1510</v>
          </cell>
          <cell r="Z37">
            <v>1744</v>
          </cell>
          <cell r="AA37">
            <v>1733</v>
          </cell>
          <cell r="AB37">
            <v>1715</v>
          </cell>
          <cell r="AC37">
            <v>1666</v>
          </cell>
          <cell r="AD37">
            <v>1521</v>
          </cell>
          <cell r="AE37">
            <v>1510</v>
          </cell>
          <cell r="AF37">
            <v>1493</v>
          </cell>
          <cell r="AG37">
            <v>1446</v>
          </cell>
        </row>
        <row r="38">
          <cell r="A38">
            <v>115</v>
          </cell>
          <cell r="B38">
            <v>1601</v>
          </cell>
          <cell r="C38">
            <v>1567</v>
          </cell>
          <cell r="D38">
            <v>1526</v>
          </cell>
          <cell r="E38">
            <v>1431</v>
          </cell>
          <cell r="F38">
            <v>1772</v>
          </cell>
          <cell r="G38">
            <v>1730</v>
          </cell>
          <cell r="H38">
            <v>1683</v>
          </cell>
          <cell r="I38">
            <v>1577</v>
          </cell>
          <cell r="J38">
            <v>1671</v>
          </cell>
          <cell r="K38">
            <v>1639</v>
          </cell>
          <cell r="L38">
            <v>1601</v>
          </cell>
          <cell r="M38">
            <v>1512</v>
          </cell>
          <cell r="N38">
            <v>1357</v>
          </cell>
          <cell r="O38">
            <v>1329</v>
          </cell>
          <cell r="P38">
            <v>1296</v>
          </cell>
          <cell r="Q38">
            <v>1221</v>
          </cell>
          <cell r="R38">
            <v>1717</v>
          </cell>
          <cell r="S38">
            <v>1682</v>
          </cell>
          <cell r="T38">
            <v>1643</v>
          </cell>
          <cell r="U38">
            <v>1549</v>
          </cell>
          <cell r="V38">
            <v>1560</v>
          </cell>
          <cell r="W38">
            <v>1529</v>
          </cell>
          <cell r="X38">
            <v>1494</v>
          </cell>
          <cell r="Y38">
            <v>1410</v>
          </cell>
          <cell r="Z38">
            <v>1720</v>
          </cell>
          <cell r="AA38">
            <v>1685</v>
          </cell>
          <cell r="AB38">
            <v>1645</v>
          </cell>
          <cell r="AC38">
            <v>1550</v>
          </cell>
          <cell r="AD38">
            <v>1497</v>
          </cell>
          <cell r="AE38">
            <v>1460</v>
          </cell>
          <cell r="AF38">
            <v>1419</v>
          </cell>
          <cell r="AG38">
            <v>1326</v>
          </cell>
        </row>
        <row r="39">
          <cell r="A39">
            <v>130</v>
          </cell>
          <cell r="B39">
            <v>1588</v>
          </cell>
          <cell r="C39">
            <v>1540</v>
          </cell>
          <cell r="D39">
            <v>1485</v>
          </cell>
          <cell r="E39">
            <v>1362</v>
          </cell>
          <cell r="F39">
            <v>1757</v>
          </cell>
          <cell r="G39">
            <v>1699</v>
          </cell>
          <cell r="H39">
            <v>1635</v>
          </cell>
          <cell r="I39">
            <v>1495</v>
          </cell>
          <cell r="J39">
            <v>1658</v>
          </cell>
          <cell r="K39">
            <v>1612</v>
          </cell>
          <cell r="L39">
            <v>1561</v>
          </cell>
          <cell r="M39">
            <v>1444</v>
          </cell>
          <cell r="N39">
            <v>1347</v>
          </cell>
          <cell r="O39">
            <v>1308</v>
          </cell>
          <cell r="P39">
            <v>1265</v>
          </cell>
          <cell r="Q39">
            <v>1167</v>
          </cell>
          <cell r="R39">
            <v>1704</v>
          </cell>
          <cell r="S39">
            <v>1658</v>
          </cell>
          <cell r="T39">
            <v>1605</v>
          </cell>
          <cell r="U39">
            <v>1484</v>
          </cell>
          <cell r="V39">
            <v>1549</v>
          </cell>
          <cell r="W39">
            <v>1507</v>
          </cell>
          <cell r="X39">
            <v>1459</v>
          </cell>
          <cell r="Y39">
            <v>1349</v>
          </cell>
          <cell r="Z39">
            <v>1708</v>
          </cell>
          <cell r="AA39">
            <v>1660</v>
          </cell>
          <cell r="AB39">
            <v>1606</v>
          </cell>
          <cell r="AC39">
            <v>1483</v>
          </cell>
          <cell r="AD39">
            <v>1484</v>
          </cell>
          <cell r="AE39">
            <v>1430</v>
          </cell>
          <cell r="AF39">
            <v>1379</v>
          </cell>
          <cell r="AG39">
            <v>1258</v>
          </cell>
        </row>
        <row r="40">
          <cell r="A40">
            <v>145</v>
          </cell>
          <cell r="B40">
            <v>1577</v>
          </cell>
          <cell r="C40">
            <v>1518</v>
          </cell>
          <cell r="D40">
            <v>1452</v>
          </cell>
          <cell r="E40">
            <v>1302</v>
          </cell>
          <cell r="F40">
            <v>1744</v>
          </cell>
          <cell r="G40">
            <v>1673</v>
          </cell>
          <cell r="H40">
            <v>1596</v>
          </cell>
          <cell r="I40">
            <v>1422</v>
          </cell>
          <cell r="J40">
            <v>1647</v>
          </cell>
          <cell r="K40">
            <v>1590</v>
          </cell>
          <cell r="L40">
            <v>1527</v>
          </cell>
          <cell r="M40">
            <v>1382</v>
          </cell>
          <cell r="N40">
            <v>1338</v>
          </cell>
          <cell r="O40">
            <v>1291</v>
          </cell>
          <cell r="P40">
            <v>1239</v>
          </cell>
          <cell r="Q40">
            <v>1121</v>
          </cell>
          <cell r="R40">
            <v>1694</v>
          </cell>
          <cell r="S40">
            <v>1637</v>
          </cell>
          <cell r="T40">
            <v>1573</v>
          </cell>
          <cell r="U40">
            <v>1426</v>
          </cell>
          <cell r="V40">
            <v>1540</v>
          </cell>
          <cell r="W40">
            <v>1488</v>
          </cell>
          <cell r="X40">
            <v>1429</v>
          </cell>
          <cell r="Y40">
            <v>1296</v>
          </cell>
          <cell r="Z40">
            <v>1698</v>
          </cell>
          <cell r="AA40">
            <v>1639</v>
          </cell>
          <cell r="AB40">
            <v>1573</v>
          </cell>
          <cell r="AC40">
            <v>1422</v>
          </cell>
          <cell r="AD40">
            <v>1473</v>
          </cell>
          <cell r="AE40">
            <v>1407</v>
          </cell>
          <cell r="AF40">
            <v>1346</v>
          </cell>
          <cell r="AG40">
            <v>1199</v>
          </cell>
        </row>
        <row r="41">
          <cell r="A41">
            <v>165</v>
          </cell>
          <cell r="B41">
            <v>1567</v>
          </cell>
          <cell r="C41">
            <v>1498</v>
          </cell>
          <cell r="D41">
            <v>1420</v>
          </cell>
          <cell r="E41">
            <v>1245</v>
          </cell>
          <cell r="F41">
            <v>1733</v>
          </cell>
          <cell r="G41">
            <v>1651</v>
          </cell>
          <cell r="H41">
            <v>1560</v>
          </cell>
          <cell r="I41">
            <v>1354</v>
          </cell>
          <cell r="J41">
            <v>1637</v>
          </cell>
          <cell r="K41">
            <v>1570</v>
          </cell>
          <cell r="L41">
            <v>1494</v>
          </cell>
          <cell r="M41">
            <v>1321</v>
          </cell>
          <cell r="N41">
            <v>1331</v>
          </cell>
          <cell r="O41">
            <v>1276</v>
          </cell>
          <cell r="P41">
            <v>1220</v>
          </cell>
          <cell r="Q41">
            <v>1077</v>
          </cell>
          <cell r="R41">
            <v>1685</v>
          </cell>
          <cell r="S41">
            <v>1620</v>
          </cell>
          <cell r="T41">
            <v>1550</v>
          </cell>
          <cell r="U41">
            <v>1370</v>
          </cell>
          <cell r="V41">
            <v>1531</v>
          </cell>
          <cell r="W41">
            <v>1470</v>
          </cell>
          <cell r="X41">
            <v>1402</v>
          </cell>
          <cell r="Y41">
            <v>1245</v>
          </cell>
          <cell r="Z41">
            <v>1688</v>
          </cell>
          <cell r="AA41">
            <v>1621</v>
          </cell>
          <cell r="AB41">
            <v>1542</v>
          </cell>
          <cell r="AC41">
            <v>1364</v>
          </cell>
          <cell r="AD41">
            <v>1466</v>
          </cell>
          <cell r="AE41">
            <v>1394</v>
          </cell>
          <cell r="AF41">
            <v>1317</v>
          </cell>
          <cell r="AG41">
            <v>1156</v>
          </cell>
        </row>
        <row r="42">
          <cell r="A42">
            <v>180</v>
          </cell>
          <cell r="B42">
            <v>1564</v>
          </cell>
          <cell r="C42">
            <v>1491</v>
          </cell>
          <cell r="D42">
            <v>1411</v>
          </cell>
          <cell r="E42">
            <v>1227</v>
          </cell>
          <cell r="F42">
            <v>1730</v>
          </cell>
          <cell r="G42">
            <v>1645</v>
          </cell>
          <cell r="H42">
            <v>1549</v>
          </cell>
          <cell r="I42">
            <v>1332</v>
          </cell>
          <cell r="J42">
            <v>1634</v>
          </cell>
          <cell r="K42">
            <v>1563</v>
          </cell>
          <cell r="L42">
            <v>1483</v>
          </cell>
          <cell r="M42">
            <v>1301</v>
          </cell>
          <cell r="N42">
            <v>1329</v>
          </cell>
          <cell r="O42">
            <v>1272</v>
          </cell>
          <cell r="P42">
            <v>1208</v>
          </cell>
          <cell r="Q42">
            <v>1064</v>
          </cell>
          <cell r="R42">
            <v>1683</v>
          </cell>
          <cell r="S42">
            <v>1614</v>
          </cell>
          <cell r="T42">
            <v>1535</v>
          </cell>
          <cell r="U42">
            <v>1353</v>
          </cell>
          <cell r="V42">
            <v>1529</v>
          </cell>
          <cell r="W42">
            <v>1465</v>
          </cell>
          <cell r="X42">
            <v>1393</v>
          </cell>
          <cell r="Y42">
            <v>1229</v>
          </cell>
          <cell r="Z42">
            <v>1685</v>
          </cell>
          <cell r="AA42">
            <v>1615</v>
          </cell>
          <cell r="AB42">
            <v>1534</v>
          </cell>
          <cell r="AC42">
            <v>1345</v>
          </cell>
          <cell r="AD42">
            <v>1462</v>
          </cell>
          <cell r="AE42">
            <v>1390</v>
          </cell>
          <cell r="AF42">
            <v>1309</v>
          </cell>
          <cell r="AG42">
            <v>1130</v>
          </cell>
        </row>
        <row r="43">
          <cell r="A43">
            <v>195</v>
          </cell>
          <cell r="B43">
            <v>1564</v>
          </cell>
          <cell r="C43">
            <v>1493</v>
          </cell>
          <cell r="D43">
            <v>1413</v>
          </cell>
          <cell r="E43">
            <v>1233</v>
          </cell>
          <cell r="F43">
            <v>1731</v>
          </cell>
          <cell r="G43">
            <v>1648</v>
          </cell>
          <cell r="H43">
            <v>1553</v>
          </cell>
          <cell r="I43">
            <v>1343</v>
          </cell>
          <cell r="J43">
            <v>1634</v>
          </cell>
          <cell r="K43">
            <v>1564</v>
          </cell>
          <cell r="L43">
            <v>1486</v>
          </cell>
          <cell r="M43">
            <v>1307</v>
          </cell>
          <cell r="N43">
            <v>1330</v>
          </cell>
          <cell r="O43">
            <v>1274</v>
          </cell>
          <cell r="P43">
            <v>1212</v>
          </cell>
          <cell r="Q43">
            <v>1072</v>
          </cell>
          <cell r="R43">
            <v>1683</v>
          </cell>
          <cell r="S43">
            <v>1615</v>
          </cell>
          <cell r="T43">
            <v>1538</v>
          </cell>
          <cell r="U43">
            <v>1360</v>
          </cell>
          <cell r="V43">
            <v>1529</v>
          </cell>
          <cell r="W43">
            <v>1467</v>
          </cell>
          <cell r="X43">
            <v>1396</v>
          </cell>
          <cell r="Y43">
            <v>1235</v>
          </cell>
          <cell r="Z43">
            <v>1686</v>
          </cell>
          <cell r="AA43">
            <v>1616</v>
          </cell>
          <cell r="AB43">
            <v>1536</v>
          </cell>
          <cell r="AC43">
            <v>1353</v>
          </cell>
          <cell r="AD43">
            <v>1464</v>
          </cell>
          <cell r="AE43">
            <v>1393</v>
          </cell>
          <cell r="AF43">
            <v>1315</v>
          </cell>
          <cell r="AG43">
            <v>1141</v>
          </cell>
        </row>
        <row r="44">
          <cell r="A44">
            <v>210</v>
          </cell>
          <cell r="B44">
            <v>1568</v>
          </cell>
          <cell r="C44">
            <v>1502</v>
          </cell>
          <cell r="D44">
            <v>1428</v>
          </cell>
          <cell r="E44">
            <v>1262</v>
          </cell>
          <cell r="F44">
            <v>1737</v>
          </cell>
          <cell r="G44">
            <v>1659</v>
          </cell>
          <cell r="H44">
            <v>1572</v>
          </cell>
          <cell r="I44">
            <v>1382</v>
          </cell>
          <cell r="J44">
            <v>1637</v>
          </cell>
          <cell r="K44">
            <v>1572</v>
          </cell>
          <cell r="L44">
            <v>1500</v>
          </cell>
          <cell r="M44">
            <v>1336</v>
          </cell>
          <cell r="N44">
            <v>1334</v>
          </cell>
          <cell r="O44">
            <v>1283</v>
          </cell>
          <cell r="P44">
            <v>1226</v>
          </cell>
          <cell r="Q44">
            <v>1099</v>
          </cell>
          <cell r="R44">
            <v>1687</v>
          </cell>
          <cell r="S44">
            <v>1623</v>
          </cell>
          <cell r="T44">
            <v>1552</v>
          </cell>
          <cell r="U44">
            <v>1390</v>
          </cell>
          <cell r="V44">
            <v>1533</v>
          </cell>
          <cell r="W44">
            <v>1475</v>
          </cell>
          <cell r="X44">
            <v>1410</v>
          </cell>
          <cell r="Y44">
            <v>1263</v>
          </cell>
          <cell r="Z44">
            <v>1690</v>
          </cell>
          <cell r="AA44">
            <v>1625</v>
          </cell>
          <cell r="AB44">
            <v>1550</v>
          </cell>
          <cell r="AC44">
            <v>1383</v>
          </cell>
          <cell r="AD44">
            <v>1469</v>
          </cell>
          <cell r="AE44">
            <v>1404</v>
          </cell>
          <cell r="AF44">
            <v>1333</v>
          </cell>
          <cell r="AG44">
            <v>1176</v>
          </cell>
        </row>
        <row r="45">
          <cell r="A45">
            <v>225</v>
          </cell>
          <cell r="B45">
            <v>1576</v>
          </cell>
          <cell r="C45">
            <v>1518</v>
          </cell>
          <cell r="D45">
            <v>1453</v>
          </cell>
          <cell r="E45">
            <v>1310</v>
          </cell>
          <cell r="F45">
            <v>1747</v>
          </cell>
          <cell r="G45">
            <v>1679</v>
          </cell>
          <cell r="H45">
            <v>1604</v>
          </cell>
          <cell r="I45">
            <v>1441</v>
          </cell>
          <cell r="J45">
            <v>1644</v>
          </cell>
          <cell r="K45">
            <v>1588</v>
          </cell>
          <cell r="L45">
            <v>1523</v>
          </cell>
          <cell r="M45">
            <v>1382</v>
          </cell>
          <cell r="N45">
            <v>1341</v>
          </cell>
          <cell r="O45">
            <v>1297</v>
          </cell>
          <cell r="P45">
            <v>1248</v>
          </cell>
          <cell r="Q45">
            <v>1138</v>
          </cell>
          <cell r="R45">
            <v>1695</v>
          </cell>
          <cell r="S45">
            <v>1639</v>
          </cell>
          <cell r="T45">
            <v>1576</v>
          </cell>
          <cell r="U45">
            <v>1435</v>
          </cell>
          <cell r="V45">
            <v>1540</v>
          </cell>
          <cell r="W45">
            <v>1489</v>
          </cell>
          <cell r="X45">
            <v>1433</v>
          </cell>
          <cell r="Y45">
            <v>1305</v>
          </cell>
          <cell r="Z45">
            <v>1698</v>
          </cell>
          <cell r="AA45">
            <v>1640</v>
          </cell>
          <cell r="AB45">
            <v>1574</v>
          </cell>
          <cell r="AC45">
            <v>1429</v>
          </cell>
          <cell r="AD45">
            <v>1478</v>
          </cell>
          <cell r="AE45">
            <v>1422</v>
          </cell>
          <cell r="AF45">
            <v>1361</v>
          </cell>
          <cell r="AG45">
            <v>1226</v>
          </cell>
        </row>
        <row r="46">
          <cell r="A46">
            <v>240</v>
          </cell>
          <cell r="B46">
            <v>1587</v>
          </cell>
          <cell r="C46">
            <v>1541</v>
          </cell>
          <cell r="D46">
            <v>1488</v>
          </cell>
          <cell r="E46">
            <v>1370</v>
          </cell>
          <cell r="F46">
            <v>1760</v>
          </cell>
          <cell r="G46">
            <v>1705</v>
          </cell>
          <cell r="H46">
            <v>1645</v>
          </cell>
          <cell r="I46">
            <v>1516</v>
          </cell>
          <cell r="J46">
            <v>1655</v>
          </cell>
          <cell r="K46">
            <v>1608</v>
          </cell>
          <cell r="L46">
            <v>1556</v>
          </cell>
          <cell r="M46">
            <v>1441</v>
          </cell>
          <cell r="N46">
            <v>1350</v>
          </cell>
          <cell r="O46">
            <v>1316</v>
          </cell>
          <cell r="P46">
            <v>1277</v>
          </cell>
          <cell r="Q46">
            <v>1187</v>
          </cell>
          <cell r="R46">
            <v>1705</v>
          </cell>
          <cell r="S46">
            <v>1659</v>
          </cell>
          <cell r="T46">
            <v>1608</v>
          </cell>
          <cell r="U46">
            <v>1493</v>
          </cell>
          <cell r="V46">
            <v>1550</v>
          </cell>
          <cell r="W46">
            <v>1509</v>
          </cell>
          <cell r="X46">
            <v>1463</v>
          </cell>
          <cell r="Y46">
            <v>1358</v>
          </cell>
          <cell r="Z46">
            <v>1708</v>
          </cell>
          <cell r="AA46">
            <v>1661</v>
          </cell>
          <cell r="AB46">
            <v>1607</v>
          </cell>
          <cell r="AC46">
            <v>1490</v>
          </cell>
          <cell r="AD46">
            <v>1490</v>
          </cell>
          <cell r="AE46">
            <v>1446</v>
          </cell>
          <cell r="AF46">
            <v>1397</v>
          </cell>
          <cell r="AG46">
            <v>1290</v>
          </cell>
        </row>
        <row r="47">
          <cell r="A47">
            <v>255</v>
          </cell>
          <cell r="B47">
            <v>1600</v>
          </cell>
          <cell r="C47">
            <v>1567</v>
          </cell>
          <cell r="D47">
            <v>1529</v>
          </cell>
          <cell r="E47">
            <v>1439</v>
          </cell>
          <cell r="F47">
            <v>1776</v>
          </cell>
          <cell r="G47">
            <v>1737</v>
          </cell>
          <cell r="H47">
            <v>1694</v>
          </cell>
          <cell r="I47">
            <v>1597</v>
          </cell>
          <cell r="J47">
            <v>1667</v>
          </cell>
          <cell r="K47">
            <v>1634</v>
          </cell>
          <cell r="L47">
            <v>1594</v>
          </cell>
          <cell r="M47">
            <v>1506</v>
          </cell>
          <cell r="N47">
            <v>1361</v>
          </cell>
          <cell r="O47">
            <v>1337</v>
          </cell>
          <cell r="P47">
            <v>1309</v>
          </cell>
          <cell r="Q47">
            <v>1242</v>
          </cell>
          <cell r="R47">
            <v>1717</v>
          </cell>
          <cell r="S47">
            <v>1683</v>
          </cell>
          <cell r="T47">
            <v>1645</v>
          </cell>
          <cell r="U47">
            <v>1556</v>
          </cell>
          <cell r="V47">
            <v>1562</v>
          </cell>
          <cell r="W47">
            <v>1532</v>
          </cell>
          <cell r="X47">
            <v>1497</v>
          </cell>
          <cell r="Y47">
            <v>1417</v>
          </cell>
          <cell r="Z47">
            <v>1721</v>
          </cell>
          <cell r="AA47">
            <v>1687</v>
          </cell>
          <cell r="AB47">
            <v>1646</v>
          </cell>
          <cell r="AC47">
            <v>1556</v>
          </cell>
          <cell r="AD47">
            <v>1504</v>
          </cell>
          <cell r="AE47">
            <v>1474</v>
          </cell>
          <cell r="AF47">
            <v>1439</v>
          </cell>
          <cell r="AG47">
            <v>1359</v>
          </cell>
        </row>
        <row r="48">
          <cell r="A48">
            <v>270</v>
          </cell>
          <cell r="B48">
            <v>1615</v>
          </cell>
          <cell r="C48">
            <v>1596</v>
          </cell>
          <cell r="D48">
            <v>1572</v>
          </cell>
          <cell r="E48">
            <v>1510</v>
          </cell>
          <cell r="F48">
            <v>1793</v>
          </cell>
          <cell r="G48">
            <v>1772</v>
          </cell>
          <cell r="H48">
            <v>1746</v>
          </cell>
          <cell r="I48">
            <v>1680</v>
          </cell>
          <cell r="J48">
            <v>1681</v>
          </cell>
          <cell r="K48">
            <v>1661</v>
          </cell>
          <cell r="L48">
            <v>1635</v>
          </cell>
          <cell r="M48">
            <v>1571</v>
          </cell>
          <cell r="N48">
            <v>1377</v>
          </cell>
          <cell r="O48">
            <v>1361</v>
          </cell>
          <cell r="P48">
            <v>1344</v>
          </cell>
          <cell r="Q48">
            <v>1297</v>
          </cell>
          <cell r="R48">
            <v>1731</v>
          </cell>
          <cell r="S48">
            <v>1710</v>
          </cell>
          <cell r="T48">
            <v>1685</v>
          </cell>
          <cell r="U48">
            <v>1619</v>
          </cell>
          <cell r="V48">
            <v>1574</v>
          </cell>
          <cell r="W48">
            <v>1557</v>
          </cell>
          <cell r="X48">
            <v>1534</v>
          </cell>
          <cell r="Y48">
            <v>1476</v>
          </cell>
          <cell r="Z48">
            <v>1735</v>
          </cell>
          <cell r="AA48">
            <v>1714</v>
          </cell>
          <cell r="AB48">
            <v>1689</v>
          </cell>
          <cell r="AC48">
            <v>1623</v>
          </cell>
          <cell r="AD48">
            <v>1519</v>
          </cell>
          <cell r="AE48">
            <v>1514</v>
          </cell>
          <cell r="AF48">
            <v>1483</v>
          </cell>
          <cell r="AG48">
            <v>1454</v>
          </cell>
        </row>
        <row r="49">
          <cell r="A49">
            <v>285</v>
          </cell>
          <cell r="B49">
            <v>1630</v>
          </cell>
          <cell r="C49">
            <v>1626</v>
          </cell>
          <cell r="D49">
            <v>1616</v>
          </cell>
          <cell r="E49">
            <v>1578</v>
          </cell>
          <cell r="F49">
            <v>1811</v>
          </cell>
          <cell r="G49">
            <v>1807</v>
          </cell>
          <cell r="H49">
            <v>1797</v>
          </cell>
          <cell r="I49">
            <v>1760</v>
          </cell>
          <cell r="J49">
            <v>1696</v>
          </cell>
          <cell r="K49">
            <v>1689</v>
          </cell>
          <cell r="L49">
            <v>1676</v>
          </cell>
          <cell r="M49">
            <v>1635</v>
          </cell>
          <cell r="N49">
            <v>1385</v>
          </cell>
          <cell r="O49">
            <v>1384</v>
          </cell>
          <cell r="P49">
            <v>1378</v>
          </cell>
          <cell r="Q49">
            <v>1350</v>
          </cell>
          <cell r="R49">
            <v>1745</v>
          </cell>
          <cell r="S49">
            <v>1737</v>
          </cell>
          <cell r="T49">
            <v>1724</v>
          </cell>
          <cell r="U49">
            <v>1682</v>
          </cell>
          <cell r="V49">
            <v>1587</v>
          </cell>
          <cell r="W49">
            <v>1582</v>
          </cell>
          <cell r="X49">
            <v>1571</v>
          </cell>
          <cell r="Y49">
            <v>1535</v>
          </cell>
          <cell r="Z49">
            <v>1749</v>
          </cell>
          <cell r="AA49">
            <v>1743</v>
          </cell>
          <cell r="AB49">
            <v>1731</v>
          </cell>
          <cell r="AC49">
            <v>1687</v>
          </cell>
          <cell r="AD49">
            <v>1534</v>
          </cell>
          <cell r="AE49">
            <v>1534</v>
          </cell>
          <cell r="AF49">
            <v>1527</v>
          </cell>
          <cell r="AG49">
            <v>1499</v>
          </cell>
        </row>
        <row r="50">
          <cell r="A50">
            <v>300</v>
          </cell>
          <cell r="B50">
            <v>1645</v>
          </cell>
          <cell r="C50">
            <v>1654</v>
          </cell>
          <cell r="D50">
            <v>1657</v>
          </cell>
          <cell r="E50">
            <v>1641</v>
          </cell>
          <cell r="F50">
            <v>1828</v>
          </cell>
          <cell r="G50">
            <v>1840</v>
          </cell>
          <cell r="H50">
            <v>1846</v>
          </cell>
          <cell r="I50">
            <v>1832</v>
          </cell>
          <cell r="J50">
            <v>1710</v>
          </cell>
          <cell r="K50">
            <v>1716</v>
          </cell>
          <cell r="L50">
            <v>1715</v>
          </cell>
          <cell r="M50">
            <v>1695</v>
          </cell>
          <cell r="N50">
            <v>1396</v>
          </cell>
          <cell r="O50">
            <v>1406</v>
          </cell>
          <cell r="P50">
            <v>1409</v>
          </cell>
          <cell r="Q50">
            <v>1399</v>
          </cell>
          <cell r="R50">
            <v>1758</v>
          </cell>
          <cell r="S50">
            <v>1764</v>
          </cell>
          <cell r="T50">
            <v>1761</v>
          </cell>
          <cell r="U50">
            <v>1738</v>
          </cell>
          <cell r="V50">
            <v>1600</v>
          </cell>
          <cell r="W50">
            <v>1607</v>
          </cell>
          <cell r="X50">
            <v>1606</v>
          </cell>
          <cell r="Y50">
            <v>1587</v>
          </cell>
          <cell r="Z50">
            <v>1763</v>
          </cell>
          <cell r="AA50">
            <v>1770</v>
          </cell>
          <cell r="AB50">
            <v>1769</v>
          </cell>
          <cell r="AC50">
            <v>1748</v>
          </cell>
          <cell r="AD50">
            <v>1548</v>
          </cell>
          <cell r="AE50">
            <v>1562</v>
          </cell>
          <cell r="AF50">
            <v>1569</v>
          </cell>
          <cell r="AG50">
            <v>1562</v>
          </cell>
        </row>
        <row r="51">
          <cell r="A51">
            <v>315</v>
          </cell>
          <cell r="B51">
            <v>1657</v>
          </cell>
          <cell r="C51">
            <v>1679</v>
          </cell>
          <cell r="D51">
            <v>1693</v>
          </cell>
          <cell r="E51">
            <v>1695</v>
          </cell>
          <cell r="F51">
            <v>1842</v>
          </cell>
          <cell r="G51">
            <v>1870</v>
          </cell>
          <cell r="H51">
            <v>1887</v>
          </cell>
          <cell r="I51">
            <v>1896</v>
          </cell>
          <cell r="J51">
            <v>1723</v>
          </cell>
          <cell r="K51">
            <v>1742</v>
          </cell>
          <cell r="L51">
            <v>1751</v>
          </cell>
          <cell r="M51">
            <v>1746</v>
          </cell>
          <cell r="N51">
            <v>1406</v>
          </cell>
          <cell r="O51">
            <v>1425</v>
          </cell>
          <cell r="P51">
            <v>1437</v>
          </cell>
          <cell r="Q51">
            <v>1441</v>
          </cell>
          <cell r="R51">
            <v>1770</v>
          </cell>
          <cell r="S51">
            <v>1788</v>
          </cell>
          <cell r="T51">
            <v>1797</v>
          </cell>
          <cell r="U51">
            <v>1787</v>
          </cell>
          <cell r="V51">
            <v>1611</v>
          </cell>
          <cell r="W51">
            <v>1629</v>
          </cell>
          <cell r="X51">
            <v>1638</v>
          </cell>
          <cell r="Y51">
            <v>1634</v>
          </cell>
          <cell r="Z51">
            <v>1775</v>
          </cell>
          <cell r="AA51">
            <v>1794</v>
          </cell>
          <cell r="AB51">
            <v>1804</v>
          </cell>
          <cell r="AC51">
            <v>1799</v>
          </cell>
          <cell r="AD51">
            <v>1561</v>
          </cell>
          <cell r="AE51">
            <v>1587</v>
          </cell>
          <cell r="AF51">
            <v>1604</v>
          </cell>
          <cell r="AG51">
            <v>1617</v>
          </cell>
        </row>
        <row r="52">
          <cell r="A52">
            <v>330</v>
          </cell>
          <cell r="B52">
            <v>1668</v>
          </cell>
          <cell r="C52">
            <v>1699</v>
          </cell>
          <cell r="D52">
            <v>1722</v>
          </cell>
          <cell r="E52">
            <v>1740</v>
          </cell>
          <cell r="F52">
            <v>1854</v>
          </cell>
          <cell r="G52">
            <v>1893</v>
          </cell>
          <cell r="H52">
            <v>1921</v>
          </cell>
          <cell r="I52">
            <v>1946</v>
          </cell>
          <cell r="J52">
            <v>1733</v>
          </cell>
          <cell r="K52">
            <v>1762</v>
          </cell>
          <cell r="L52">
            <v>1782</v>
          </cell>
          <cell r="M52">
            <v>1793</v>
          </cell>
          <cell r="N52">
            <v>1413</v>
          </cell>
          <cell r="O52">
            <v>1440</v>
          </cell>
          <cell r="P52">
            <v>1459</v>
          </cell>
          <cell r="Q52">
            <v>1475</v>
          </cell>
          <cell r="R52">
            <v>1779</v>
          </cell>
          <cell r="S52">
            <v>1807</v>
          </cell>
          <cell r="T52">
            <v>1824</v>
          </cell>
          <cell r="U52">
            <v>1831</v>
          </cell>
          <cell r="V52">
            <v>1619</v>
          </cell>
          <cell r="W52">
            <v>1646</v>
          </cell>
          <cell r="X52">
            <v>1664</v>
          </cell>
          <cell r="Y52">
            <v>1674</v>
          </cell>
          <cell r="Z52">
            <v>1785</v>
          </cell>
          <cell r="AA52">
            <v>1814</v>
          </cell>
          <cell r="AB52">
            <v>1832</v>
          </cell>
          <cell r="AC52">
            <v>1842</v>
          </cell>
          <cell r="AD52">
            <v>1570</v>
          </cell>
          <cell r="AE52">
            <v>1606</v>
          </cell>
          <cell r="AF52">
            <v>1632</v>
          </cell>
          <cell r="AG52">
            <v>1659</v>
          </cell>
        </row>
        <row r="53">
          <cell r="A53">
            <v>345</v>
          </cell>
          <cell r="B53">
            <v>1675</v>
          </cell>
          <cell r="C53">
            <v>1713</v>
          </cell>
          <cell r="D53">
            <v>1742</v>
          </cell>
          <cell r="E53">
            <v>1771</v>
          </cell>
          <cell r="F53">
            <v>1862</v>
          </cell>
          <cell r="G53">
            <v>1902</v>
          </cell>
          <cell r="H53">
            <v>1943</v>
          </cell>
          <cell r="I53">
            <v>1980</v>
          </cell>
          <cell r="J53">
            <v>1740</v>
          </cell>
          <cell r="K53">
            <v>1777</v>
          </cell>
          <cell r="L53">
            <v>1803</v>
          </cell>
          <cell r="M53">
            <v>1826</v>
          </cell>
          <cell r="N53">
            <v>1418</v>
          </cell>
          <cell r="O53">
            <v>1450</v>
          </cell>
          <cell r="P53">
            <v>1474</v>
          </cell>
          <cell r="Q53">
            <v>1497</v>
          </cell>
          <cell r="R53">
            <v>1786</v>
          </cell>
          <cell r="S53">
            <v>1820</v>
          </cell>
          <cell r="T53">
            <v>1844</v>
          </cell>
          <cell r="U53">
            <v>1860</v>
          </cell>
          <cell r="V53">
            <v>1625</v>
          </cell>
          <cell r="W53">
            <v>1658</v>
          </cell>
          <cell r="X53">
            <v>1681</v>
          </cell>
          <cell r="Y53">
            <v>1700</v>
          </cell>
          <cell r="Z53">
            <v>1792</v>
          </cell>
          <cell r="AA53">
            <v>1827</v>
          </cell>
          <cell r="AB53">
            <v>1852</v>
          </cell>
          <cell r="AC53">
            <v>1871</v>
          </cell>
          <cell r="AD53">
            <v>1577</v>
          </cell>
          <cell r="AE53">
            <v>1618</v>
          </cell>
          <cell r="AF53">
            <v>1651</v>
          </cell>
          <cell r="AG53">
            <v>1687</v>
          </cell>
        </row>
      </sheetData>
      <sheetData sheetId="5">
        <row r="5">
          <cell r="A5" t="str">
            <v>PV Modules Product</v>
          </cell>
        </row>
        <row r="10">
          <cell r="G10">
            <v>835025.4</v>
          </cell>
        </row>
        <row r="18">
          <cell r="G18">
            <v>312392.69999999995</v>
          </cell>
        </row>
        <row r="23">
          <cell r="G23">
            <v>0</v>
          </cell>
        </row>
        <row r="25">
          <cell r="A25" t="str">
            <v>Mounting Structures Product</v>
          </cell>
        </row>
        <row r="31">
          <cell r="G31">
            <v>63748.800000000003</v>
          </cell>
        </row>
        <row r="34">
          <cell r="A34" t="str">
            <v>DC Equipment Product</v>
          </cell>
        </row>
        <row r="42">
          <cell r="G42">
            <v>45606.240000000005</v>
          </cell>
        </row>
        <row r="44">
          <cell r="A44" t="str">
            <v>AC Equipment Product</v>
          </cell>
        </row>
        <row r="53">
          <cell r="G53">
            <v>102507.32</v>
          </cell>
        </row>
        <row r="60">
          <cell r="G60">
            <v>5165</v>
          </cell>
        </row>
        <row r="77">
          <cell r="A77" t="str">
            <v>AC Installation Services</v>
          </cell>
        </row>
        <row r="81">
          <cell r="G81">
            <v>41940</v>
          </cell>
        </row>
        <row r="84">
          <cell r="A84" t="str">
            <v>Structural &amp; DC Installation Services</v>
          </cell>
        </row>
        <row r="88">
          <cell r="G88">
            <v>148304.5</v>
          </cell>
        </row>
        <row r="90">
          <cell r="A90" t="str">
            <v>Engineering &amp; Project Management Services</v>
          </cell>
        </row>
        <row r="97">
          <cell r="G97">
            <v>50501.440000000002</v>
          </cell>
        </row>
        <row r="100">
          <cell r="A100" t="str">
            <v>Civil &amp; Electrical Due Dilligence Services</v>
          </cell>
        </row>
        <row r="106">
          <cell r="G106">
            <v>23000</v>
          </cell>
        </row>
        <row r="108">
          <cell r="A108" t="str">
            <v>Offloading</v>
          </cell>
        </row>
        <row r="111">
          <cell r="G111">
            <v>8500</v>
          </cell>
        </row>
        <row r="113">
          <cell r="A113" t="str">
            <v>Roof material access</v>
          </cell>
        </row>
        <row r="116">
          <cell r="G116">
            <v>0</v>
          </cell>
        </row>
        <row r="117">
          <cell r="A117" t="str">
            <v>Site storage</v>
          </cell>
        </row>
        <row r="120">
          <cell r="G120">
            <v>0</v>
          </cell>
        </row>
        <row r="130">
          <cell r="G130">
            <v>13200</v>
          </cell>
        </row>
        <row r="141">
          <cell r="A141" t="str">
            <v>Travel</v>
          </cell>
        </row>
        <row r="146">
          <cell r="G146">
            <v>1925</v>
          </cell>
        </row>
        <row r="148">
          <cell r="A148" t="str">
            <v>Food</v>
          </cell>
        </row>
        <row r="154">
          <cell r="G154">
            <v>0</v>
          </cell>
        </row>
        <row r="157">
          <cell r="A157" t="str">
            <v xml:space="preserve">Accomodation </v>
          </cell>
        </row>
        <row r="163">
          <cell r="G163">
            <v>0</v>
          </cell>
        </row>
      </sheetData>
      <sheetData sheetId="6">
        <row r="13">
          <cell r="C13">
            <v>0.27500000000000002</v>
          </cell>
        </row>
        <row r="56">
          <cell r="A56" t="str">
            <v>SolarEdge</v>
          </cell>
          <cell r="C56">
            <v>27.6</v>
          </cell>
          <cell r="D56">
            <v>5</v>
          </cell>
        </row>
        <row r="74">
          <cell r="B74" t="str">
            <v>Lumax</v>
          </cell>
        </row>
        <row r="96">
          <cell r="C96">
            <v>6246.55</v>
          </cell>
        </row>
        <row r="100">
          <cell r="C100">
            <v>8787.5499999999993</v>
          </cell>
        </row>
        <row r="104">
          <cell r="C104">
            <v>9000</v>
          </cell>
        </row>
        <row r="141">
          <cell r="A141" t="str">
            <v>Varies</v>
          </cell>
        </row>
        <row r="165">
          <cell r="A165" t="str">
            <v>NSE / BARA</v>
          </cell>
        </row>
      </sheetData>
      <sheetData sheetId="7">
        <row r="5">
          <cell r="D5">
            <v>16.978831</v>
          </cell>
        </row>
        <row r="17">
          <cell r="C17">
            <v>550</v>
          </cell>
          <cell r="D17">
            <v>450</v>
          </cell>
          <cell r="E17">
            <v>400</v>
          </cell>
        </row>
        <row r="18">
          <cell r="C18">
            <v>4400</v>
          </cell>
        </row>
        <row r="38">
          <cell r="C38">
            <v>11</v>
          </cell>
        </row>
        <row r="39">
          <cell r="C39">
            <v>3.6776</v>
          </cell>
        </row>
        <row r="40">
          <cell r="C40">
            <v>0</v>
          </cell>
        </row>
        <row r="41">
          <cell r="C41">
            <v>1</v>
          </cell>
        </row>
        <row r="42">
          <cell r="C42">
            <v>1</v>
          </cell>
        </row>
        <row r="43">
          <cell r="C43">
            <v>2</v>
          </cell>
        </row>
        <row r="44">
          <cell r="C44">
            <v>5</v>
          </cell>
        </row>
        <row r="45">
          <cell r="C45">
            <v>8.3879999999999999</v>
          </cell>
        </row>
      </sheetData>
      <sheetData sheetId="8">
        <row r="3">
          <cell r="G3">
            <v>2257760.7321462631</v>
          </cell>
        </row>
        <row r="4">
          <cell r="J4">
            <v>1.1000000000000001</v>
          </cell>
          <cell r="K4">
            <v>1.1000000000000001</v>
          </cell>
          <cell r="L4">
            <v>1.1000000000000001</v>
          </cell>
        </row>
        <row r="5">
          <cell r="J5">
            <v>1.1000000000000001</v>
          </cell>
          <cell r="K5">
            <v>1.1000000000000001</v>
          </cell>
          <cell r="L5">
            <v>1.1000000000000001</v>
          </cell>
        </row>
        <row r="6">
          <cell r="J6">
            <v>0</v>
          </cell>
        </row>
        <row r="7">
          <cell r="G7">
            <v>0.28000000000000003</v>
          </cell>
        </row>
        <row r="14">
          <cell r="G14">
            <v>632173.00500095368</v>
          </cell>
        </row>
      </sheetData>
      <sheetData sheetId="9"/>
      <sheetData sheetId="10"/>
      <sheetData sheetId="11"/>
      <sheetData sheetId="12"/>
      <sheetData sheetId="13"/>
      <sheetData sheetId="14"/>
      <sheetData sheetId="15"/>
      <sheetData sheetId="16"/>
      <sheetData sheetId="17"/>
      <sheetData sheetId="18"/>
      <sheetData sheetId="19"/>
      <sheetData sheetId="20">
        <row r="1">
          <cell r="C1" t="str">
            <v>Initial load profile</v>
          </cell>
        </row>
      </sheetData>
      <sheetData sheetId="21"/>
      <sheetData sheetId="22"/>
      <sheetData sheetId="23"/>
      <sheetData sheetId="24"/>
      <sheetData sheetId="25"/>
      <sheetData sheetId="26"/>
      <sheetData sheetId="27"/>
      <sheetData sheetId="28"/>
      <sheetData sheetId="29"/>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edgroup Model"/>
      <sheetName val="Fedgroup Amort"/>
      <sheetName val="BuyOut Value"/>
      <sheetName val="Design Inputs"/>
      <sheetName val="Costing Inputs"/>
      <sheetName val="Hybrid PPA Amortisation"/>
      <sheetName val="Lease to Own (Variable)"/>
      <sheetName val="Input Page"/>
      <sheetName val="Solar Model - DO"/>
      <sheetName val="Cashflows"/>
      <sheetName val="Cost Detail"/>
      <sheetName val="Cost Summary"/>
      <sheetName val="Financial Inputs"/>
      <sheetName val="Supplier database"/>
      <sheetName val="4.3 Emergent Data"/>
      <sheetName val="Ref 1"/>
      <sheetName val="4.4 BESS Data"/>
      <sheetName val="CP_data"/>
      <sheetName val="FA_Data"/>
      <sheetName val="2 Sizing"/>
      <sheetName val="2.1 Sizing Data"/>
      <sheetName val="CIC Pack Outputs"/>
      <sheetName val="Curve"/>
      <sheetName val="Production Model"/>
      <sheetName val="PV Sim"/>
      <sheetName val="Buy-Back"/>
      <sheetName val="Cashflows&amp;Sensitivities LTO"/>
      <sheetName val="Cashflows&amp;Sensitivities LTORRI"/>
      <sheetName val="Updates"/>
      <sheetName val="Consumption curve "/>
      <sheetName val="EPC&amp;Platform rates"/>
      <sheetName val="Lease to Own"/>
      <sheetName val="LTO Outputs"/>
      <sheetName val="Investor Cashflows"/>
      <sheetName val="Landlord table"/>
      <sheetName val="Validations"/>
      <sheetName val="Proposal"/>
      <sheetName val="12J"/>
    </sheetNames>
    <sheetDataSet>
      <sheetData sheetId="0"/>
      <sheetData sheetId="1"/>
      <sheetData sheetId="2">
        <row r="2">
          <cell r="B2" t="str">
            <v>Year</v>
          </cell>
          <cell r="C2" t="str">
            <v>Cost</v>
          </cell>
          <cell r="D2" t="str">
            <v>Depreciated Value</v>
          </cell>
          <cell r="E2" t="str">
            <v>Targeted IRR Value</v>
          </cell>
          <cell r="F2" t="str">
            <v>Buyout Value</v>
          </cell>
        </row>
        <row r="3">
          <cell r="B3">
            <v>0</v>
          </cell>
          <cell r="C3">
            <v>16398009.32817352</v>
          </cell>
          <cell r="D3">
            <v>16398009.328173522</v>
          </cell>
          <cell r="E3">
            <v>16398009.32817352</v>
          </cell>
          <cell r="F3">
            <v>16398009.328173522</v>
          </cell>
        </row>
        <row r="4">
          <cell r="B4">
            <v>1</v>
          </cell>
          <cell r="C4">
            <v>16398009.32817352</v>
          </cell>
          <cell r="D4">
            <v>15578108.861764845</v>
          </cell>
          <cell r="E4">
            <v>18857710.727399547</v>
          </cell>
          <cell r="F4">
            <v>17914825.191029571</v>
          </cell>
        </row>
        <row r="5">
          <cell r="B5">
            <v>2</v>
          </cell>
          <cell r="C5">
            <v>16398009.32817352</v>
          </cell>
          <cell r="D5">
            <v>14758208.395356169</v>
          </cell>
          <cell r="E5">
            <v>21317412.126625575</v>
          </cell>
          <cell r="F5">
            <v>19185670.913963016</v>
          </cell>
        </row>
        <row r="6">
          <cell r="B6">
            <v>3</v>
          </cell>
          <cell r="C6">
            <v>16398009.32817352</v>
          </cell>
          <cell r="D6">
            <v>13938307.928947493</v>
          </cell>
          <cell r="E6">
            <v>23777113.525851604</v>
          </cell>
          <cell r="F6">
            <v>20210546.496973865</v>
          </cell>
        </row>
        <row r="7">
          <cell r="B7">
            <v>4</v>
          </cell>
          <cell r="C7">
            <v>16398009.32817352</v>
          </cell>
          <cell r="D7">
            <v>13118407.462538816</v>
          </cell>
          <cell r="E7">
            <v>26236814.925077632</v>
          </cell>
          <cell r="F7">
            <v>20989451.940062106</v>
          </cell>
        </row>
        <row r="8">
          <cell r="B8">
            <v>5</v>
          </cell>
          <cell r="C8">
            <v>16398009.32817352</v>
          </cell>
          <cell r="D8">
            <v>12298506.99613014</v>
          </cell>
          <cell r="E8">
            <v>28696516.324303661</v>
          </cell>
          <cell r="F8">
            <v>21522387.243227743</v>
          </cell>
        </row>
        <row r="9">
          <cell r="B9">
            <v>6</v>
          </cell>
          <cell r="C9">
            <v>16398009.32817352</v>
          </cell>
          <cell r="D9">
            <v>11478606.529721465</v>
          </cell>
          <cell r="E9">
            <v>31156217.723529689</v>
          </cell>
          <cell r="F9">
            <v>21809352.406470783</v>
          </cell>
        </row>
        <row r="10">
          <cell r="B10">
            <v>7</v>
          </cell>
          <cell r="C10">
            <v>16398009.32817352</v>
          </cell>
          <cell r="D10">
            <v>10658706.063312788</v>
          </cell>
          <cell r="E10">
            <v>33615919.122755714</v>
          </cell>
          <cell r="F10">
            <v>21850347.429791216</v>
          </cell>
        </row>
        <row r="11">
          <cell r="B11">
            <v>8</v>
          </cell>
          <cell r="C11">
            <v>16398009.32817352</v>
          </cell>
          <cell r="D11">
            <v>9838805.596904112</v>
          </cell>
          <cell r="E11">
            <v>36075620.521981739</v>
          </cell>
          <cell r="F11">
            <v>21645372.313189041</v>
          </cell>
        </row>
        <row r="12">
          <cell r="B12">
            <v>9</v>
          </cell>
          <cell r="C12">
            <v>16398009.32817352</v>
          </cell>
          <cell r="D12">
            <v>9018905.1304954365</v>
          </cell>
          <cell r="E12">
            <v>38535321.921207763</v>
          </cell>
          <cell r="F12">
            <v>21194427.056664269</v>
          </cell>
        </row>
        <row r="13">
          <cell r="B13">
            <v>10</v>
          </cell>
          <cell r="C13">
            <v>16398009.32817352</v>
          </cell>
          <cell r="D13">
            <v>8199004.664086761</v>
          </cell>
          <cell r="E13">
            <v>40995023.320433788</v>
          </cell>
          <cell r="F13">
            <v>20497511.660216894</v>
          </cell>
        </row>
        <row r="14">
          <cell r="B14">
            <v>11</v>
          </cell>
          <cell r="C14">
            <v>16398009.32817352</v>
          </cell>
          <cell r="D14">
            <v>7379104.1976780845</v>
          </cell>
          <cell r="E14">
            <v>43454724.719659813</v>
          </cell>
          <cell r="F14">
            <v>19554626.123846915</v>
          </cell>
        </row>
        <row r="15">
          <cell r="B15">
            <v>12</v>
          </cell>
          <cell r="C15">
            <v>16398009.32817352</v>
          </cell>
          <cell r="D15">
            <v>6559203.731269408</v>
          </cell>
          <cell r="E15">
            <v>45914426.118885837</v>
          </cell>
          <cell r="F15">
            <v>18365770.447554335</v>
          </cell>
        </row>
        <row r="16">
          <cell r="B16">
            <v>13</v>
          </cell>
          <cell r="C16">
            <v>16398009.32817352</v>
          </cell>
          <cell r="D16">
            <v>5739303.2648607325</v>
          </cell>
          <cell r="E16">
            <v>48374127.518111862</v>
          </cell>
          <cell r="F16">
            <v>16930944.631339151</v>
          </cell>
        </row>
        <row r="17">
          <cell r="B17">
            <v>14</v>
          </cell>
          <cell r="C17">
            <v>16398009.32817352</v>
          </cell>
          <cell r="D17">
            <v>4919402.798452056</v>
          </cell>
          <cell r="E17">
            <v>50833828.917337887</v>
          </cell>
          <cell r="F17">
            <v>15250148.675201366</v>
          </cell>
        </row>
        <row r="18">
          <cell r="B18">
            <v>15</v>
          </cell>
          <cell r="C18">
            <v>16398009.32817352</v>
          </cell>
          <cell r="D18">
            <v>4099502.3320433805</v>
          </cell>
          <cell r="E18">
            <v>53293530.316563912</v>
          </cell>
          <cell r="F18">
            <v>13323382.579140978</v>
          </cell>
        </row>
        <row r="19">
          <cell r="B19">
            <v>16</v>
          </cell>
          <cell r="C19">
            <v>16398009.32817352</v>
          </cell>
          <cell r="D19">
            <v>3279601.865634704</v>
          </cell>
          <cell r="E19">
            <v>55753231.715789936</v>
          </cell>
          <cell r="F19">
            <v>11150646.343157988</v>
          </cell>
        </row>
        <row r="20">
          <cell r="B20">
            <v>17</v>
          </cell>
          <cell r="C20">
            <v>16398009.32817352</v>
          </cell>
          <cell r="D20">
            <v>2459701.399226028</v>
          </cell>
          <cell r="E20">
            <v>58212933.115015961</v>
          </cell>
          <cell r="F20">
            <v>8731939.9672523942</v>
          </cell>
        </row>
        <row r="21">
          <cell r="B21">
            <v>18</v>
          </cell>
          <cell r="C21">
            <v>16398009.32817352</v>
          </cell>
          <cell r="D21">
            <v>1639800.932817352</v>
          </cell>
          <cell r="E21">
            <v>60672634.514241986</v>
          </cell>
          <cell r="F21">
            <v>6067263.4514241982</v>
          </cell>
        </row>
        <row r="22">
          <cell r="B22">
            <v>19</v>
          </cell>
          <cell r="C22">
            <v>16398009.32817352</v>
          </cell>
          <cell r="D22">
            <v>819900.466408676</v>
          </cell>
          <cell r="E22">
            <v>63132335.913468011</v>
          </cell>
          <cell r="F22">
            <v>3156616.7956734006</v>
          </cell>
        </row>
        <row r="23">
          <cell r="B23">
            <v>20</v>
          </cell>
          <cell r="C23">
            <v>16398009.32817352</v>
          </cell>
          <cell r="D23">
            <v>0</v>
          </cell>
          <cell r="E23">
            <v>65592037.312694035</v>
          </cell>
          <cell r="F23">
            <v>0</v>
          </cell>
        </row>
      </sheetData>
      <sheetData sheetId="3"/>
      <sheetData sheetId="4"/>
      <sheetData sheetId="5"/>
      <sheetData sheetId="6"/>
      <sheetData sheetId="7"/>
      <sheetData sheetId="8"/>
      <sheetData sheetId="9">
        <row r="89">
          <cell r="D89">
            <v>2.2075069959118792</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s>
    <sheetDataSet>
      <sheetData sheetId="0" refreshError="1"/>
    </sheetDataSet>
  </externalBook>
</externalLink>
</file>

<file path=xl/persons/person.xml><?xml version="1.0" encoding="utf-8"?>
<personList xmlns="http://schemas.microsoft.com/office/spreadsheetml/2018/threadedcomments" xmlns:x="http://schemas.openxmlformats.org/spreadsheetml/2006/main">
  <person displayName="Robert Timmis" id="{0C670B4B-18BA-4A5A-9917-16A9CDF567BC}" userId="S::robert@emergy.co.za::23b8272c-73ae-4b9d-a192-11fe7b9d94df" providerId="AD"/>
  <person displayName="Gerhard Laubscher" id="{D7D2D31A-31EF-4886-BD99-86BB50BB8BD3}" userId="S::Gerhardl@emergentenergy.co.za::f9dcfbb4-0203-4077-906f-6b2b767dcd1e"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from=ZAR&amp;amount=1" connectionId="1" xr16:uid="{00000000-0016-0000-0700-000000000000}" autoFormatId="16" applyNumberFormats="0" applyBorderFormats="0" applyFontFormats="1" applyPatternFormats="1" applyAlignmentFormats="0" applyWidthHeightFormats="0"/>
</file>

<file path=xl/theme/theme1.xml><?xml version="1.0" encoding="utf-8"?>
<a:theme xmlns:a="http://schemas.openxmlformats.org/drawingml/2006/main" name="Theme1 test">
  <a:themeElements>
    <a:clrScheme name="Emergent_Energy">
      <a:dk1>
        <a:srgbClr val="1EA349"/>
      </a:dk1>
      <a:lt1>
        <a:srgbClr val="FFFFFF"/>
      </a:lt1>
      <a:dk2>
        <a:srgbClr val="1DA349"/>
      </a:dk2>
      <a:lt2>
        <a:srgbClr val="414241"/>
      </a:lt2>
      <a:accent1>
        <a:srgbClr val="C3D945"/>
      </a:accent1>
      <a:accent2>
        <a:srgbClr val="A7A9AC"/>
      </a:accent2>
      <a:accent3>
        <a:srgbClr val="006838"/>
      </a:accent3>
      <a:accent4>
        <a:srgbClr val="1DA349"/>
      </a:accent4>
      <a:accent5>
        <a:srgbClr val="CBD697"/>
      </a:accent5>
      <a:accent6>
        <a:srgbClr val="414241"/>
      </a:accent6>
      <a:hlink>
        <a:srgbClr val="1DA349"/>
      </a:hlink>
      <a:folHlink>
        <a:srgbClr val="414241"/>
      </a:folHlink>
    </a:clrScheme>
    <a:fontScheme name="Consolas-Verdana">
      <a:majorFont>
        <a:latin typeface="Consolas" panose="020B0609020204030204"/>
        <a:ea typeface=""/>
        <a:cs typeface=""/>
        <a:font script="Jpan" typeface="HG丸ｺﾞｼｯｸM-PRO"/>
        <a:font script="Hang" typeface="HY중고딕"/>
        <a:font script="Hans" typeface="华文楷体"/>
        <a:font script="Hant" typeface="新細明體"/>
        <a:font script="Arab" typeface="Tahoma"/>
        <a:font script="Hebr" typeface="Levenim MT"/>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Verdana" panose="020B0604030504040204"/>
        <a:ea typeface=""/>
        <a:cs typeface=""/>
        <a:font script="Jpan" typeface="ＭＳ ゴシック"/>
        <a:font script="Hang" typeface="굴림"/>
        <a:font script="Hans" typeface="微软雅黑"/>
        <a:font script="Hant" typeface="微軟正黑體"/>
        <a:font script="Arab" typeface="Tahoma"/>
        <a:font script="Hebr" typeface="Tahoma"/>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Office Them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ln>
          <a:noFill/>
        </a:ln>
      </a:spPr>
      <a:bodyPr rtlCol="0" anchor="ctr"/>
      <a:lstStyle>
        <a:defPPr algn="ctr">
          <a:defRPr/>
        </a:defPPr>
      </a:lstStyle>
      <a:style>
        <a:lnRef idx="2">
          <a:schemeClr val="accent1">
            <a:shade val="50000"/>
          </a:schemeClr>
        </a:lnRef>
        <a:fillRef idx="1">
          <a:schemeClr val="accent1"/>
        </a:fillRef>
        <a:effectRef idx="0">
          <a:schemeClr val="accent1"/>
        </a:effectRef>
        <a:fontRef idx="minor">
          <a:schemeClr val="lt1"/>
        </a:fontRef>
      </a:style>
    </a:spDef>
    <a:lnDef>
      <a:spPr>
        <a:ln w="12700"/>
      </a:spPr>
      <a:bodyPr/>
      <a:lstStyle/>
      <a:style>
        <a:lnRef idx="1">
          <a:schemeClr val="accent1"/>
        </a:lnRef>
        <a:fillRef idx="0">
          <a:schemeClr val="accent1"/>
        </a:fillRef>
        <a:effectRef idx="0">
          <a:schemeClr val="accent1"/>
        </a:effectRef>
        <a:fontRef idx="minor">
          <a:schemeClr val="tx1"/>
        </a:fontRef>
      </a:style>
    </a:lnDef>
  </a:objectDefaults>
  <a:extraClrSchemeLst/>
  <a:extLst>
    <a:ext uri="{05A4C25C-085E-4340-85A3-A5531E510DB2}">
      <thm15:themeFamily xmlns:thm15="http://schemas.microsoft.com/office/thememl/2012/main" name="Theme1 test" id="{497846F5-E791-4AB1-90B2-5807F2F6E21D}" vid="{A93EA25B-8D48-4AE5-8F18-BF9BF983330D}"/>
    </a:ext>
  </a:extLst>
</a:theme>
</file>

<file path=xl/theme/themeOverride1.xml><?xml version="1.0" encoding="utf-8"?>
<a:themeOverride xmlns:a="http://schemas.openxmlformats.org/drawingml/2006/main">
  <a:clrScheme name="Emergent_Energy">
    <a:dk1>
      <a:srgbClr val="1EA349"/>
    </a:dk1>
    <a:lt1>
      <a:srgbClr val="FFFFFF"/>
    </a:lt1>
    <a:dk2>
      <a:srgbClr val="1DA349"/>
    </a:dk2>
    <a:lt2>
      <a:srgbClr val="414241"/>
    </a:lt2>
    <a:accent1>
      <a:srgbClr val="C3D945"/>
    </a:accent1>
    <a:accent2>
      <a:srgbClr val="A7A9AC"/>
    </a:accent2>
    <a:accent3>
      <a:srgbClr val="006838"/>
    </a:accent3>
    <a:accent4>
      <a:srgbClr val="1DA349"/>
    </a:accent4>
    <a:accent5>
      <a:srgbClr val="CBD697"/>
    </a:accent5>
    <a:accent6>
      <a:srgbClr val="414241"/>
    </a:accent6>
    <a:hlink>
      <a:srgbClr val="1DA349"/>
    </a:hlink>
    <a:folHlink>
      <a:srgbClr val="414241"/>
    </a:folHlink>
  </a:clrScheme>
  <a:fontScheme name="Consolas-Verdana">
    <a:majorFont>
      <a:latin typeface="Consolas" panose="020B0609020204030204"/>
      <a:ea typeface=""/>
      <a:cs typeface=""/>
      <a:font script="Jpan" typeface="HG丸ｺﾞｼｯｸM-PRO"/>
      <a:font script="Hang" typeface="HY중고딕"/>
      <a:font script="Hans" typeface="华文楷体"/>
      <a:font script="Hant" typeface="新細明體"/>
      <a:font script="Arab" typeface="Tahoma"/>
      <a:font script="Hebr" typeface="Levenim MT"/>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Verdana" panose="020B0604030504040204"/>
      <a:ea typeface=""/>
      <a:cs typeface=""/>
      <a:font script="Jpan" typeface="ＭＳ ゴシック"/>
      <a:font script="Hang" typeface="굴림"/>
      <a:font script="Hans" typeface="微软雅黑"/>
      <a:font script="Hant" typeface="微軟正黑體"/>
      <a:font script="Arab" typeface="Tahoma"/>
      <a:font script="Hebr" typeface="Tahoma"/>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Office Them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Emergent_Energy">
    <a:dk1>
      <a:srgbClr val="1EA349"/>
    </a:dk1>
    <a:lt1>
      <a:srgbClr val="FFFFFF"/>
    </a:lt1>
    <a:dk2>
      <a:srgbClr val="1DA349"/>
    </a:dk2>
    <a:lt2>
      <a:srgbClr val="414241"/>
    </a:lt2>
    <a:accent1>
      <a:srgbClr val="C3D945"/>
    </a:accent1>
    <a:accent2>
      <a:srgbClr val="A7A9AC"/>
    </a:accent2>
    <a:accent3>
      <a:srgbClr val="006838"/>
    </a:accent3>
    <a:accent4>
      <a:srgbClr val="1DA349"/>
    </a:accent4>
    <a:accent5>
      <a:srgbClr val="CBD697"/>
    </a:accent5>
    <a:accent6>
      <a:srgbClr val="414241"/>
    </a:accent6>
    <a:hlink>
      <a:srgbClr val="1DA349"/>
    </a:hlink>
    <a:folHlink>
      <a:srgbClr val="414241"/>
    </a:folHlink>
  </a:clrScheme>
  <a:fontScheme name="Consolas-Verdana">
    <a:majorFont>
      <a:latin typeface="Consolas" panose="020B0609020204030204"/>
      <a:ea typeface=""/>
      <a:cs typeface=""/>
      <a:font script="Jpan" typeface="HG丸ｺﾞｼｯｸM-PRO"/>
      <a:font script="Hang" typeface="HY중고딕"/>
      <a:font script="Hans" typeface="华文楷体"/>
      <a:font script="Hant" typeface="新細明體"/>
      <a:font script="Arab" typeface="Tahoma"/>
      <a:font script="Hebr" typeface="Levenim MT"/>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Verdana" panose="020B0604030504040204"/>
      <a:ea typeface=""/>
      <a:cs typeface=""/>
      <a:font script="Jpan" typeface="ＭＳ ゴシック"/>
      <a:font script="Hang" typeface="굴림"/>
      <a:font script="Hans" typeface="微软雅黑"/>
      <a:font script="Hant" typeface="微軟正黑體"/>
      <a:font script="Arab" typeface="Tahoma"/>
      <a:font script="Hebr" typeface="Tahoma"/>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Office Them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Emergent_Energy">
    <a:dk1>
      <a:srgbClr val="1EA349"/>
    </a:dk1>
    <a:lt1>
      <a:srgbClr val="FFFFFF"/>
    </a:lt1>
    <a:dk2>
      <a:srgbClr val="1DA349"/>
    </a:dk2>
    <a:lt2>
      <a:srgbClr val="414241"/>
    </a:lt2>
    <a:accent1>
      <a:srgbClr val="C3D945"/>
    </a:accent1>
    <a:accent2>
      <a:srgbClr val="A7A9AC"/>
    </a:accent2>
    <a:accent3>
      <a:srgbClr val="006838"/>
    </a:accent3>
    <a:accent4>
      <a:srgbClr val="1DA349"/>
    </a:accent4>
    <a:accent5>
      <a:srgbClr val="CBD697"/>
    </a:accent5>
    <a:accent6>
      <a:srgbClr val="414241"/>
    </a:accent6>
    <a:hlink>
      <a:srgbClr val="1DA349"/>
    </a:hlink>
    <a:folHlink>
      <a:srgbClr val="414241"/>
    </a:folHlink>
  </a:clrScheme>
  <a:fontScheme name="Consolas-Verdana">
    <a:majorFont>
      <a:latin typeface="Consolas" panose="020B0609020204030204"/>
      <a:ea typeface=""/>
      <a:cs typeface=""/>
      <a:font script="Jpan" typeface="HG丸ｺﾞｼｯｸM-PRO"/>
      <a:font script="Hang" typeface="HY중고딕"/>
      <a:font script="Hans" typeface="华文楷体"/>
      <a:font script="Hant" typeface="新細明體"/>
      <a:font script="Arab" typeface="Tahoma"/>
      <a:font script="Hebr" typeface="Levenim MT"/>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Verdana" panose="020B0604030504040204"/>
      <a:ea typeface=""/>
      <a:cs typeface=""/>
      <a:font script="Jpan" typeface="ＭＳ ゴシック"/>
      <a:font script="Hang" typeface="굴림"/>
      <a:font script="Hans" typeface="微软雅黑"/>
      <a:font script="Hant" typeface="微軟正黑體"/>
      <a:font script="Arab" typeface="Tahoma"/>
      <a:font script="Hebr" typeface="Tahoma"/>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Office Them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Z153" dT="2024-11-06T08:51:11.33" personId="{D7D2D31A-31EF-4886-BD99-86BB50BB8BD3}" id="{0E1CB023-E3B2-4225-9A38-63FDBD7BDD3E}">
    <text xml:space="preserve">We do not have a large enough Gateway, I doubled up on the 1200kW on eto get the costs </text>
  </threadedComment>
  <threadedComment ref="A154" dT="2024-11-06T08:58:11.41" personId="{D7D2D31A-31EF-4886-BD99-86BB50BB8BD3}" id="{96A9C75C-F6DE-4C5C-BB4C-96218A3428C7}">
    <text>CT’s not accounted for yet</text>
  </threadedComment>
  <threadedComment ref="A154" dT="2024-11-06T08:58:31.77" personId="{D7D2D31A-31EF-4886-BD99-86BB50BB8BD3}" id="{8CD140BE-C27C-44F9-BF45-695FC23E5784}" parentId="{96A9C75C-F6DE-4C5C-BB4C-96218A3428C7}">
    <text>Require assistance on sizing</text>
  </threadedComment>
</ThreadedComments>
</file>

<file path=xl/threadedComments/threadedComment2.xml><?xml version="1.0" encoding="utf-8"?>
<ThreadedComments xmlns="http://schemas.microsoft.com/office/spreadsheetml/2018/threadedcomments" xmlns:x="http://schemas.openxmlformats.org/spreadsheetml/2006/main">
  <threadedComment ref="B22" dT="2023-06-07T10:40:58.11" personId="{0C670B4B-18BA-4A5A-9917-16A9CDF567BC}" id="{21B413F0-309A-4AF2-99BE-A66E16161CAD}" done="1">
    <text xml:space="preserve">Need to incorporate into DO model </text>
  </threadedComment>
  <threadedComment ref="B65" dT="2023-06-07T10:40:58.11" personId="{0C670B4B-18BA-4A5A-9917-16A9CDF567BC}" id="{2B80E6AB-8C08-450A-AC8E-CD85B1E539EF}">
    <text xml:space="preserve">Need to incorporate into DO model </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microsoft.com/office/2017/10/relationships/threadedComment" Target="../threadedComments/threadedComment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ctrlProp" Target="../ctrlProps/ctrlProp20.xml"/><Relationship Id="rId26" Type="http://schemas.microsoft.com/office/2017/10/relationships/threadedComment" Target="../threadedComments/threadedComment2.xml"/><Relationship Id="rId3" Type="http://schemas.openxmlformats.org/officeDocument/2006/relationships/vmlDrawing" Target="../drawings/vmlDrawing4.vml"/><Relationship Id="rId21" Type="http://schemas.openxmlformats.org/officeDocument/2006/relationships/ctrlProp" Target="../ctrlProps/ctrlProp23.x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omments" Target="../comments2.xml"/><Relationship Id="rId2" Type="http://schemas.openxmlformats.org/officeDocument/2006/relationships/drawing" Target="../drawings/drawing3.xml"/><Relationship Id="rId16" Type="http://schemas.openxmlformats.org/officeDocument/2006/relationships/ctrlProp" Target="../ctrlProps/ctrlProp18.xml"/><Relationship Id="rId20" Type="http://schemas.openxmlformats.org/officeDocument/2006/relationships/ctrlProp" Target="../ctrlProps/ctrlProp22.xml"/><Relationship Id="rId1" Type="http://schemas.openxmlformats.org/officeDocument/2006/relationships/printerSettings" Target="../printerSettings/printerSettings6.bin"/><Relationship Id="rId6" Type="http://schemas.openxmlformats.org/officeDocument/2006/relationships/ctrlProp" Target="../ctrlProps/ctrlProp8.xml"/><Relationship Id="rId11" Type="http://schemas.openxmlformats.org/officeDocument/2006/relationships/ctrlProp" Target="../ctrlProps/ctrlProp13.xml"/><Relationship Id="rId24" Type="http://schemas.openxmlformats.org/officeDocument/2006/relationships/ctrlProp" Target="../ctrlProps/ctrlProp26.xml"/><Relationship Id="rId5" Type="http://schemas.openxmlformats.org/officeDocument/2006/relationships/ctrlProp" Target="../ctrlProps/ctrlProp7.xml"/><Relationship Id="rId15" Type="http://schemas.openxmlformats.org/officeDocument/2006/relationships/ctrlProp" Target="../ctrlProps/ctrlProp17.xml"/><Relationship Id="rId23" Type="http://schemas.openxmlformats.org/officeDocument/2006/relationships/ctrlProp" Target="../ctrlProps/ctrlProp25.xml"/><Relationship Id="rId10" Type="http://schemas.openxmlformats.org/officeDocument/2006/relationships/ctrlProp" Target="../ctrlProps/ctrlProp12.xml"/><Relationship Id="rId19" Type="http://schemas.openxmlformats.org/officeDocument/2006/relationships/ctrlProp" Target="../ctrlProps/ctrlProp21.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 Id="rId22"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6">
    <tabColor rgb="FF00B050"/>
  </sheetPr>
  <dimension ref="A1:AP95"/>
  <sheetViews>
    <sheetView topLeftCell="A45" zoomScale="72" zoomScaleNormal="100" workbookViewId="0">
      <selection activeCell="K67" sqref="K67"/>
    </sheetView>
  </sheetViews>
  <sheetFormatPr defaultColWidth="9.140625" defaultRowHeight="14.5"/>
  <cols>
    <col min="1" max="1" width="3" style="97" customWidth="1"/>
    <col min="2" max="2" width="2.42578125" style="97" customWidth="1"/>
    <col min="3" max="3" width="16.140625" style="102" customWidth="1"/>
    <col min="4" max="4" width="12.7109375" style="97" customWidth="1"/>
    <col min="5" max="6" width="11.140625" style="97" customWidth="1"/>
    <col min="7" max="7" width="11" style="97" customWidth="1"/>
    <col min="8" max="8" width="10.140625" style="97" customWidth="1"/>
    <col min="9" max="9" width="12.42578125" style="97" customWidth="1"/>
    <col min="10" max="10" width="13.28515625" style="97" customWidth="1"/>
    <col min="11" max="11" width="21.140625" style="97" customWidth="1"/>
    <col min="12" max="12" width="13.42578125" style="97" customWidth="1"/>
    <col min="13" max="13" width="14.140625" style="97" customWidth="1"/>
    <col min="14" max="14" width="20.7109375" style="97" customWidth="1"/>
    <col min="15" max="15" width="11.42578125" style="97" customWidth="1"/>
    <col min="16" max="16" width="31.140625" style="97" customWidth="1"/>
    <col min="17" max="17" width="5.42578125" style="97" customWidth="1"/>
    <col min="18" max="42" width="9.140625" style="97"/>
    <col min="43" max="16384" width="9.140625" style="98"/>
  </cols>
  <sheetData>
    <row r="1" spans="1:20" ht="15" thickBot="1">
      <c r="A1" s="103"/>
      <c r="B1" s="103"/>
      <c r="C1" s="104"/>
      <c r="D1" s="103"/>
      <c r="E1" s="103"/>
      <c r="F1" s="103"/>
      <c r="G1" s="103"/>
      <c r="H1" s="103"/>
      <c r="I1" s="103"/>
      <c r="J1" s="103"/>
      <c r="K1" s="103"/>
      <c r="L1" s="103"/>
      <c r="M1" s="103"/>
      <c r="N1" s="103"/>
      <c r="O1" s="103"/>
      <c r="P1" s="103"/>
      <c r="Q1" s="103"/>
    </row>
    <row r="2" spans="1:20" ht="24" thickBot="1">
      <c r="A2" s="103"/>
      <c r="B2" s="1011"/>
      <c r="C2" s="1421" t="s">
        <v>0</v>
      </c>
      <c r="D2" s="1422"/>
      <c r="E2" s="1422"/>
      <c r="F2" s="1422"/>
      <c r="G2" s="1422"/>
      <c r="H2" s="1422"/>
      <c r="I2" s="1422"/>
      <c r="J2" s="1422"/>
      <c r="K2" s="1422"/>
      <c r="L2" s="1422"/>
      <c r="M2" s="1422"/>
      <c r="N2" s="1423"/>
      <c r="O2" s="1011"/>
      <c r="P2" s="1011"/>
      <c r="Q2" s="103"/>
    </row>
    <row r="3" spans="1:20" ht="15" thickBot="1">
      <c r="A3" s="103"/>
      <c r="B3" s="1011"/>
      <c r="C3" s="1425" t="s">
        <v>1</v>
      </c>
      <c r="D3" s="1426"/>
      <c r="E3" s="1011"/>
      <c r="F3" s="1425" t="s">
        <v>2</v>
      </c>
      <c r="G3" s="1425"/>
      <c r="H3" s="1425"/>
      <c r="I3" s="1425"/>
      <c r="J3" s="1425"/>
      <c r="K3" s="1425"/>
      <c r="L3" s="1425"/>
      <c r="M3" s="1425"/>
      <c r="N3" s="1011"/>
      <c r="O3" s="1011"/>
      <c r="P3" s="1011"/>
      <c r="Q3" s="103"/>
    </row>
    <row r="4" spans="1:20" ht="15" thickBot="1">
      <c r="A4" s="105"/>
      <c r="B4" s="1011"/>
      <c r="C4" s="1012" t="s">
        <v>3</v>
      </c>
      <c r="D4" s="986" t="s">
        <v>4</v>
      </c>
      <c r="E4" s="1011"/>
      <c r="F4" s="1013" t="s">
        <v>5</v>
      </c>
      <c r="G4" s="1013" t="s">
        <v>6</v>
      </c>
      <c r="H4" s="1013" t="s">
        <v>7</v>
      </c>
      <c r="I4" s="1013" t="s">
        <v>8</v>
      </c>
      <c r="J4" s="1014" t="s">
        <v>9</v>
      </c>
      <c r="K4" s="1013" t="s">
        <v>10</v>
      </c>
      <c r="L4" s="1013" t="s">
        <v>11</v>
      </c>
      <c r="M4" s="1015" t="s">
        <v>12</v>
      </c>
      <c r="N4" s="1015" t="s">
        <v>13</v>
      </c>
      <c r="O4" s="1015" t="s">
        <v>14</v>
      </c>
      <c r="P4" s="1011"/>
      <c r="Q4" s="105"/>
    </row>
    <row r="5" spans="1:20">
      <c r="A5" s="106">
        <f t="shared" ref="A5:A12" si="0">IF(F5&lt;=$D$5,IF(F5&lt;&gt;0,1,0),0)</f>
        <v>1</v>
      </c>
      <c r="B5" s="1011"/>
      <c r="C5" s="1016" t="s">
        <v>15</v>
      </c>
      <c r="D5" s="987">
        <v>1</v>
      </c>
      <c r="E5" s="1011"/>
      <c r="F5" s="988">
        <f>IF($D$5&gt;=1,1,0)</f>
        <v>1</v>
      </c>
      <c r="G5" s="989">
        <v>224.32</v>
      </c>
      <c r="H5" s="990">
        <v>96.77</v>
      </c>
      <c r="I5" s="506">
        <f>G5*H5*A5</f>
        <v>21707.446399999997</v>
      </c>
      <c r="J5" s="991">
        <f>D8</f>
        <v>5</v>
      </c>
      <c r="K5" s="992">
        <v>15</v>
      </c>
      <c r="L5" s="111">
        <v>1</v>
      </c>
      <c r="M5" s="993">
        <f>'2 Sizing'!G4</f>
        <v>4621.7308725590838</v>
      </c>
      <c r="N5" s="994">
        <f>'2 Sizing'!F4*A5</f>
        <v>1569.6000000000001</v>
      </c>
      <c r="O5" s="1017" t="s">
        <v>1139</v>
      </c>
      <c r="P5" s="1011"/>
      <c r="Q5" s="106">
        <f>N5*M5*A5/$M$13</f>
        <v>1569.6000000000001</v>
      </c>
    </row>
    <row r="6" spans="1:20">
      <c r="A6" s="106">
        <f t="shared" si="0"/>
        <v>0</v>
      </c>
      <c r="B6" s="1011"/>
      <c r="C6" s="1016" t="s">
        <v>16</v>
      </c>
      <c r="D6" s="995" t="s">
        <v>17</v>
      </c>
      <c r="E6" s="1018"/>
      <c r="F6" s="996">
        <f t="shared" ref="F6:F12" si="1">IF($D$5&gt;=F5+1,IF(F5&lt;&gt;0,F5+1,0),0)</f>
        <v>0</v>
      </c>
      <c r="G6" s="997">
        <v>19.559999999999999</v>
      </c>
      <c r="H6" s="998">
        <v>12.55</v>
      </c>
      <c r="I6" s="110">
        <f t="shared" ref="I6:I12" si="2">G6*H6*A6</f>
        <v>0</v>
      </c>
      <c r="J6" s="999">
        <f>D8</f>
        <v>5</v>
      </c>
      <c r="K6" s="1000">
        <v>145</v>
      </c>
      <c r="L6" s="112">
        <v>0.9</v>
      </c>
      <c r="M6" s="1001">
        <f>'2 Sizing'!G5</f>
        <v>0</v>
      </c>
      <c r="N6" s="1002">
        <f>'2 Sizing'!F5*A6</f>
        <v>0</v>
      </c>
      <c r="O6" s="1017"/>
      <c r="P6" s="1011"/>
      <c r="Q6" s="106">
        <f t="shared" ref="Q6:Q12" si="3">N6*M6*A6/$M$13</f>
        <v>0</v>
      </c>
    </row>
    <row r="7" spans="1:20">
      <c r="A7" s="106">
        <f t="shared" si="0"/>
        <v>0</v>
      </c>
      <c r="B7" s="1011"/>
      <c r="C7" s="1016" t="s">
        <v>18</v>
      </c>
      <c r="D7" s="987" t="s">
        <v>19</v>
      </c>
      <c r="E7" s="1018"/>
      <c r="F7" s="996">
        <f t="shared" si="1"/>
        <v>0</v>
      </c>
      <c r="G7" s="997">
        <v>29.12</v>
      </c>
      <c r="H7" s="998">
        <v>12.74</v>
      </c>
      <c r="I7" s="110">
        <f t="shared" si="2"/>
        <v>0</v>
      </c>
      <c r="J7" s="999">
        <f>D8</f>
        <v>5</v>
      </c>
      <c r="K7" s="1000">
        <v>145</v>
      </c>
      <c r="L7" s="112">
        <v>1</v>
      </c>
      <c r="M7" s="1001">
        <f>'2 Sizing'!G6</f>
        <v>0</v>
      </c>
      <c r="N7" s="1002">
        <f>'2 Sizing'!F6*A7</f>
        <v>0</v>
      </c>
      <c r="O7" s="1017"/>
      <c r="P7" s="1011"/>
      <c r="Q7" s="106">
        <f t="shared" si="3"/>
        <v>0</v>
      </c>
    </row>
    <row r="8" spans="1:20" ht="15" thickBot="1">
      <c r="A8" s="106">
        <f t="shared" si="0"/>
        <v>0</v>
      </c>
      <c r="B8" s="1011"/>
      <c r="C8" s="1016" t="s">
        <v>20</v>
      </c>
      <c r="D8" s="1003">
        <v>5</v>
      </c>
      <c r="E8" s="1018"/>
      <c r="F8" s="996">
        <f t="shared" si="1"/>
        <v>0</v>
      </c>
      <c r="G8" s="997">
        <v>250</v>
      </c>
      <c r="H8" s="998">
        <v>13</v>
      </c>
      <c r="I8" s="110">
        <f t="shared" si="2"/>
        <v>0</v>
      </c>
      <c r="J8" s="999">
        <f>D8</f>
        <v>5</v>
      </c>
      <c r="K8" s="1000">
        <v>15</v>
      </c>
      <c r="L8" s="112">
        <v>0.9</v>
      </c>
      <c r="M8" s="1001">
        <f>'2 Sizing'!G7</f>
        <v>0</v>
      </c>
      <c r="N8" s="1002">
        <f>'2 Sizing'!F7*A8</f>
        <v>0</v>
      </c>
      <c r="O8" s="1017"/>
      <c r="P8" s="1011"/>
      <c r="Q8" s="106">
        <f t="shared" si="3"/>
        <v>0</v>
      </c>
    </row>
    <row r="9" spans="1:20">
      <c r="A9" s="106">
        <f t="shared" si="0"/>
        <v>0</v>
      </c>
      <c r="B9" s="1011"/>
      <c r="C9" s="1019"/>
      <c r="D9" s="1019"/>
      <c r="E9" s="1018"/>
      <c r="F9" s="996">
        <f t="shared" si="1"/>
        <v>0</v>
      </c>
      <c r="G9" s="997">
        <v>250</v>
      </c>
      <c r="H9" s="998">
        <v>13</v>
      </c>
      <c r="I9" s="110">
        <f t="shared" si="2"/>
        <v>0</v>
      </c>
      <c r="J9" s="999">
        <f>D8</f>
        <v>5</v>
      </c>
      <c r="K9" s="1000">
        <v>15</v>
      </c>
      <c r="L9" s="112">
        <v>0.9</v>
      </c>
      <c r="M9" s="1001">
        <f>'2 Sizing'!G8</f>
        <v>0</v>
      </c>
      <c r="N9" s="1002">
        <f>'2 Sizing'!F8*A9</f>
        <v>0</v>
      </c>
      <c r="O9" s="1017"/>
      <c r="P9" s="1011"/>
      <c r="Q9" s="106">
        <f t="shared" si="3"/>
        <v>0</v>
      </c>
    </row>
    <row r="10" spans="1:20">
      <c r="A10" s="106">
        <f t="shared" si="0"/>
        <v>0</v>
      </c>
      <c r="B10" s="1011"/>
      <c r="C10" s="1020"/>
      <c r="D10" s="1011"/>
      <c r="E10" s="1018"/>
      <c r="F10" s="996">
        <f t="shared" si="1"/>
        <v>0</v>
      </c>
      <c r="G10" s="997">
        <v>50</v>
      </c>
      <c r="H10" s="998">
        <v>25</v>
      </c>
      <c r="I10" s="110">
        <f t="shared" si="2"/>
        <v>0</v>
      </c>
      <c r="J10" s="999">
        <v>10</v>
      </c>
      <c r="K10" s="1000">
        <v>45</v>
      </c>
      <c r="L10" s="112">
        <v>0.9</v>
      </c>
      <c r="M10" s="1001">
        <f>'2 Sizing'!G9</f>
        <v>0</v>
      </c>
      <c r="N10" s="1002">
        <f>'2 Sizing'!F9*A10</f>
        <v>0</v>
      </c>
      <c r="O10" s="1017"/>
      <c r="P10" s="1011"/>
      <c r="Q10" s="106">
        <f t="shared" si="3"/>
        <v>0</v>
      </c>
    </row>
    <row r="11" spans="1:20">
      <c r="A11" s="106">
        <f t="shared" si="0"/>
        <v>0</v>
      </c>
      <c r="B11" s="1011"/>
      <c r="C11" s="1020"/>
      <c r="D11" s="1011"/>
      <c r="E11" s="1018"/>
      <c r="F11" s="996">
        <f t="shared" si="1"/>
        <v>0</v>
      </c>
      <c r="G11" s="997">
        <v>1</v>
      </c>
      <c r="H11" s="998">
        <v>65</v>
      </c>
      <c r="I11" s="110">
        <f t="shared" si="2"/>
        <v>0</v>
      </c>
      <c r="J11" s="999">
        <v>10</v>
      </c>
      <c r="K11" s="1000">
        <v>60</v>
      </c>
      <c r="L11" s="112">
        <v>1</v>
      </c>
      <c r="M11" s="1001">
        <f>'2 Sizing'!G10</f>
        <v>0</v>
      </c>
      <c r="N11" s="1002">
        <f>'2 Sizing'!F10*A11</f>
        <v>0</v>
      </c>
      <c r="O11" s="1017"/>
      <c r="P11" s="1011"/>
      <c r="Q11" s="106">
        <f t="shared" si="3"/>
        <v>0</v>
      </c>
      <c r="T11" s="99"/>
    </row>
    <row r="12" spans="1:20" ht="15" thickBot="1">
      <c r="A12" s="106">
        <f t="shared" si="0"/>
        <v>0</v>
      </c>
      <c r="B12" s="1011"/>
      <c r="C12" s="1018"/>
      <c r="D12" s="1011"/>
      <c r="E12" s="1018"/>
      <c r="F12" s="1004">
        <f t="shared" si="1"/>
        <v>0</v>
      </c>
      <c r="G12" s="1005">
        <v>15</v>
      </c>
      <c r="H12" s="1006">
        <v>25</v>
      </c>
      <c r="I12" s="507">
        <f t="shared" si="2"/>
        <v>0</v>
      </c>
      <c r="J12" s="1007">
        <v>10</v>
      </c>
      <c r="K12" s="1008">
        <v>330</v>
      </c>
      <c r="L12" s="113">
        <v>1</v>
      </c>
      <c r="M12" s="1009">
        <f>'2 Sizing'!G11</f>
        <v>0</v>
      </c>
      <c r="N12" s="1010">
        <f>'2 Sizing'!F11*A12</f>
        <v>0</v>
      </c>
      <c r="O12" s="1017"/>
      <c r="P12" s="1011"/>
      <c r="Q12" s="106">
        <f t="shared" si="3"/>
        <v>0</v>
      </c>
    </row>
    <row r="13" spans="1:20" ht="15.5">
      <c r="A13" s="105"/>
      <c r="B13" s="1011"/>
      <c r="C13" s="1018"/>
      <c r="D13" s="1021"/>
      <c r="E13" s="1018"/>
      <c r="F13" s="1011"/>
      <c r="G13" s="1011"/>
      <c r="H13" s="1011"/>
      <c r="I13" s="1022">
        <f>SUM(I5:I12)</f>
        <v>21707.446399999997</v>
      </c>
      <c r="J13" s="1019"/>
      <c r="K13" s="1011"/>
      <c r="L13" s="1023" t="s">
        <v>21</v>
      </c>
      <c r="M13" s="1024">
        <f>SUM(M5:M12)</f>
        <v>4621.7308725590838</v>
      </c>
      <c r="N13" s="1025">
        <f>SUM(Q5:Q12)*0.98*0+1867</f>
        <v>1867</v>
      </c>
      <c r="O13" s="1026" t="s">
        <v>22</v>
      </c>
      <c r="P13" s="1011"/>
      <c r="Q13" s="105"/>
    </row>
    <row r="14" spans="1:20">
      <c r="A14" s="105"/>
      <c r="B14" s="1011"/>
      <c r="C14" s="1020"/>
      <c r="D14" s="1011"/>
      <c r="E14" s="1011"/>
      <c r="F14" s="1011"/>
      <c r="G14" s="1011"/>
      <c r="H14" s="1011"/>
      <c r="I14" s="1020"/>
      <c r="J14" s="1011"/>
      <c r="K14" s="1011"/>
      <c r="L14" s="1011"/>
      <c r="M14" s="1011"/>
      <c r="N14" s="1011"/>
      <c r="O14" s="1011"/>
      <c r="P14" s="1011"/>
      <c r="Q14" s="105"/>
    </row>
    <row r="15" spans="1:20" ht="15" thickBot="1">
      <c r="A15" s="103"/>
      <c r="B15" s="103"/>
      <c r="C15" s="104"/>
      <c r="D15" s="103"/>
      <c r="E15" s="103"/>
      <c r="F15" s="103"/>
      <c r="G15" s="103"/>
      <c r="H15" s="103"/>
      <c r="I15" s="103"/>
      <c r="J15" s="103"/>
      <c r="K15" s="103"/>
      <c r="L15" s="103"/>
      <c r="M15" s="103"/>
      <c r="N15" s="103"/>
      <c r="O15" s="103"/>
      <c r="P15" s="103"/>
      <c r="Q15" s="103"/>
    </row>
    <row r="16" spans="1:20" ht="24" thickBot="1">
      <c r="A16" s="103"/>
      <c r="B16" s="1051"/>
      <c r="C16" s="1448" t="s">
        <v>23</v>
      </c>
      <c r="D16" s="1449"/>
      <c r="E16" s="1449"/>
      <c r="F16" s="1449"/>
      <c r="G16" s="1449"/>
      <c r="H16" s="1449"/>
      <c r="I16" s="1449"/>
      <c r="J16" s="1449"/>
      <c r="K16" s="1449"/>
      <c r="L16" s="1449"/>
      <c r="M16" s="1449"/>
      <c r="N16" s="1450"/>
      <c r="O16" s="1051"/>
      <c r="P16" s="1051"/>
      <c r="Q16" s="103"/>
    </row>
    <row r="17" spans="1:17" ht="15" thickBot="1">
      <c r="A17" s="103"/>
      <c r="B17" s="1051"/>
      <c r="C17" s="1066"/>
      <c r="D17" s="1051"/>
      <c r="E17" s="1051"/>
      <c r="F17" s="1084"/>
      <c r="G17" s="1051"/>
      <c r="H17" s="1051"/>
      <c r="I17" s="1051"/>
      <c r="J17" s="1051"/>
      <c r="K17" s="1051"/>
      <c r="L17" s="1051"/>
      <c r="M17" s="1051"/>
      <c r="N17" s="1051"/>
      <c r="O17" s="1051"/>
      <c r="P17" s="1051"/>
      <c r="Q17" s="103"/>
    </row>
    <row r="18" spans="1:17" ht="21.5" thickBot="1">
      <c r="A18" s="103"/>
      <c r="B18" s="1051"/>
      <c r="C18" s="1082" t="s">
        <v>3</v>
      </c>
      <c r="D18" s="1083" t="str">
        <f>D4</f>
        <v>Gauteng</v>
      </c>
      <c r="E18" s="1051"/>
      <c r="F18" s="1073" t="s">
        <v>24</v>
      </c>
      <c r="G18" s="109" t="s">
        <v>1094</v>
      </c>
      <c r="H18" s="1051"/>
      <c r="I18" s="1051"/>
      <c r="J18" s="1051"/>
      <c r="K18" s="1081" t="s">
        <v>25</v>
      </c>
      <c r="L18" s="508" t="s">
        <v>1128</v>
      </c>
      <c r="M18" s="1080" t="s">
        <v>26</v>
      </c>
      <c r="N18" s="1051"/>
      <c r="O18" s="1051"/>
      <c r="P18" s="1051"/>
      <c r="Q18" s="103"/>
    </row>
    <row r="19" spans="1:17">
      <c r="A19" s="103"/>
      <c r="B19" s="1072"/>
      <c r="C19" s="1052"/>
      <c r="D19" s="1051"/>
      <c r="E19" s="1051"/>
      <c r="F19" s="1051"/>
      <c r="G19" s="1051"/>
      <c r="H19" s="1051"/>
      <c r="I19" s="1051"/>
      <c r="J19" s="1051"/>
      <c r="K19" s="1051"/>
      <c r="L19" s="1051"/>
      <c r="M19" s="1051"/>
      <c r="N19" s="1051"/>
      <c r="O19" s="1072"/>
      <c r="P19" s="1051"/>
      <c r="Q19" s="103"/>
    </row>
    <row r="20" spans="1:17">
      <c r="A20" s="103"/>
      <c r="B20" s="1072"/>
      <c r="C20" s="1443" t="s">
        <v>27</v>
      </c>
      <c r="D20" s="1444"/>
      <c r="E20" s="1444"/>
      <c r="F20" s="1444"/>
      <c r="G20" s="1445"/>
      <c r="H20" s="1051"/>
      <c r="I20" s="1057" t="s">
        <v>28</v>
      </c>
      <c r="J20" s="1051"/>
      <c r="K20" s="1075" t="s">
        <v>29</v>
      </c>
      <c r="L20" s="1076">
        <f>SUM(SMALL(G22:G33,COUNTIF(G22:G33,0)+1),IF(ISNUMBER(SMALL(G22:G33,COUNTIF(G22:G33,0)+2)),SMALL(G22:G33,COUNTIF(G22:G33,0)+2),0),IF(ISNUMBER(SMALL(G22:G33,COUNTIF(G22:G33,0)+3)),SMALL(G22:G33,COUNTIF(G22:G33,0)+3),0))/IF(ISNUMBER(SMALL(G22:G33,COUNTIF(G22:G33,0)+3)),3,IF(ISNUMBER(SMALL(G22:G33,COUNTIF(G22:G33,0)+2)),2,1))</f>
        <v>45251.78666666666</v>
      </c>
      <c r="M20" s="1051"/>
      <c r="N20" s="1051"/>
      <c r="O20" s="1051"/>
      <c r="P20" s="1051"/>
      <c r="Q20" s="103"/>
    </row>
    <row r="21" spans="1:17">
      <c r="A21" s="103"/>
      <c r="B21" s="1051"/>
      <c r="C21" s="1077" t="s">
        <v>30</v>
      </c>
      <c r="D21" s="1078" t="s">
        <v>31</v>
      </c>
      <c r="E21" s="1078" t="s">
        <v>32</v>
      </c>
      <c r="F21" s="1078" t="s">
        <v>33</v>
      </c>
      <c r="G21" s="1057" t="s">
        <v>34</v>
      </c>
      <c r="H21" s="1057" t="s">
        <v>35</v>
      </c>
      <c r="I21" s="1078" t="s">
        <v>36</v>
      </c>
      <c r="J21" s="1051"/>
      <c r="K21" s="1075" t="s">
        <v>37</v>
      </c>
      <c r="L21" s="1079">
        <f>SUM(SMALL(D22:D33,COUNTIF(D22:D33,0)+1),IF(ISNUMBER(SMALL(D22:D33,COUNTIF(D22:D33,0)+2)),SMALL(D22:D33,COUNTIF(D22:D33,0)+2),0),IF(ISNUMBER(SMALL(D22:D33,COUNTIF(D22:D33,0)+3)),SMALL(D22:D33,COUNTIF(D22:D33,0)+3),0))/IF(ISNUMBER(SMALL(D22:D33,COUNTIF(D22:D33,0)+3)),3,IF(ISNUMBER(SMALL(D22:D33,COUNTIF(D22:D33,0)+2)),2,1))</f>
        <v>45251.78666666666</v>
      </c>
      <c r="M21" s="1051"/>
      <c r="N21" s="1051"/>
      <c r="O21" s="1051"/>
      <c r="P21" s="1051"/>
      <c r="Q21" s="103"/>
    </row>
    <row r="22" spans="1:17">
      <c r="A22" s="103"/>
      <c r="B22" s="1051"/>
      <c r="C22" s="1074" t="s">
        <v>38</v>
      </c>
      <c r="D22" s="485">
        <v>49340.32</v>
      </c>
      <c r="E22" s="485"/>
      <c r="F22" s="485"/>
      <c r="G22" s="1067">
        <f>IF($G$18="Time of Use",SUM(D22:F22),D22)</f>
        <v>49340.32</v>
      </c>
      <c r="H22" s="769">
        <v>2025</v>
      </c>
      <c r="I22" s="983">
        <v>175.74600000000001</v>
      </c>
      <c r="J22" s="1072"/>
      <c r="K22" s="1073" t="s">
        <v>39</v>
      </c>
      <c r="L22" s="767">
        <v>8</v>
      </c>
      <c r="M22" s="1051"/>
      <c r="N22" s="1051"/>
      <c r="O22" s="1051"/>
      <c r="P22" s="1051"/>
      <c r="Q22" s="103"/>
    </row>
    <row r="23" spans="1:17">
      <c r="A23" s="103"/>
      <c r="B23" s="1051"/>
      <c r="C23" s="1068" t="s">
        <v>40</v>
      </c>
      <c r="D23" s="485">
        <v>55321.440000000002</v>
      </c>
      <c r="E23" s="485"/>
      <c r="F23" s="485"/>
      <c r="G23" s="1067">
        <f t="shared" ref="G23:G33" si="4">SUM(D23:F23)</f>
        <v>55321.440000000002</v>
      </c>
      <c r="H23" s="769">
        <v>2024</v>
      </c>
      <c r="I23" s="983">
        <v>189.46199999999999</v>
      </c>
      <c r="J23" s="1051"/>
      <c r="K23" s="1073" t="s">
        <v>41</v>
      </c>
      <c r="L23" s="925" t="s">
        <v>42</v>
      </c>
      <c r="M23" s="1069" t="s">
        <v>43</v>
      </c>
      <c r="N23" s="1070"/>
      <c r="O23" s="1070"/>
      <c r="P23" s="1070"/>
      <c r="Q23" s="107"/>
    </row>
    <row r="24" spans="1:17" ht="14.5" customHeight="1">
      <c r="A24" s="103"/>
      <c r="B24" s="1051"/>
      <c r="C24" s="1068" t="s">
        <v>44</v>
      </c>
      <c r="D24" s="485">
        <v>50704.32</v>
      </c>
      <c r="E24" s="485"/>
      <c r="F24" s="485"/>
      <c r="G24" s="1067">
        <f t="shared" si="4"/>
        <v>50704.32</v>
      </c>
      <c r="H24" s="768">
        <v>2024</v>
      </c>
      <c r="I24" s="983">
        <v>189.44</v>
      </c>
      <c r="J24" s="1051"/>
      <c r="K24" s="1073" t="s">
        <v>45</v>
      </c>
      <c r="L24" s="925" t="s">
        <v>42</v>
      </c>
      <c r="M24" s="1071"/>
      <c r="N24" s="1071"/>
      <c r="O24" s="1053"/>
      <c r="P24" s="1053"/>
      <c r="Q24" s="107"/>
    </row>
    <row r="25" spans="1:17">
      <c r="A25" s="103"/>
      <c r="B25" s="1051"/>
      <c r="C25" s="1068" t="s">
        <v>46</v>
      </c>
      <c r="D25" s="485">
        <v>48446.400000000001</v>
      </c>
      <c r="E25" s="485"/>
      <c r="F25" s="485"/>
      <c r="G25" s="1067">
        <f t="shared" si="4"/>
        <v>48446.400000000001</v>
      </c>
      <c r="H25" s="768">
        <v>2024</v>
      </c>
      <c r="I25" s="983">
        <v>186.762</v>
      </c>
      <c r="J25" s="1051"/>
      <c r="K25" s="1063" t="s">
        <v>47</v>
      </c>
      <c r="L25" s="1383">
        <v>15</v>
      </c>
      <c r="M25" s="1069" t="s">
        <v>48</v>
      </c>
      <c r="N25" s="1071"/>
      <c r="O25" s="1053"/>
      <c r="P25" s="1053"/>
      <c r="Q25" s="103"/>
    </row>
    <row r="26" spans="1:17" ht="15" thickBot="1">
      <c r="A26" s="103"/>
      <c r="B26" s="1051"/>
      <c r="C26" s="1068" t="s">
        <v>49</v>
      </c>
      <c r="D26" s="485">
        <v>50376.480000000003</v>
      </c>
      <c r="E26" s="485"/>
      <c r="F26" s="485"/>
      <c r="G26" s="1067">
        <f t="shared" si="4"/>
        <v>50376.480000000003</v>
      </c>
      <c r="H26" s="768">
        <v>2024</v>
      </c>
      <c r="I26" s="983">
        <v>189.184</v>
      </c>
      <c r="J26" s="1051"/>
      <c r="K26" s="1051"/>
      <c r="L26" s="1051"/>
      <c r="M26" s="1051"/>
      <c r="N26" s="1053"/>
      <c r="O26" s="1053"/>
      <c r="P26" s="1053"/>
      <c r="Q26" s="103"/>
    </row>
    <row r="27" spans="1:17" ht="15" thickBot="1">
      <c r="A27" s="103"/>
      <c r="B27" s="1051"/>
      <c r="C27" s="1068" t="s">
        <v>50</v>
      </c>
      <c r="D27" s="1382">
        <f>33556.533+19427.467</f>
        <v>52984</v>
      </c>
      <c r="E27" s="485"/>
      <c r="F27" s="485"/>
      <c r="G27" s="1067">
        <f t="shared" si="4"/>
        <v>52984</v>
      </c>
      <c r="H27" s="768">
        <v>2024</v>
      </c>
      <c r="I27" s="983">
        <v>187.29</v>
      </c>
      <c r="J27" s="1051"/>
      <c r="K27" s="1433" t="s">
        <v>51</v>
      </c>
      <c r="L27" s="1434"/>
      <c r="M27" s="1435"/>
      <c r="N27" s="1053"/>
      <c r="O27" s="1053"/>
      <c r="P27" s="1053"/>
      <c r="Q27" s="103"/>
    </row>
    <row r="28" spans="1:17">
      <c r="A28" s="103"/>
      <c r="B28" s="1051"/>
      <c r="C28" s="1068" t="s">
        <v>52</v>
      </c>
      <c r="D28" s="1382">
        <f>34030.913+17911.007</f>
        <v>51941.919999999998</v>
      </c>
      <c r="E28" s="485"/>
      <c r="F28" s="485"/>
      <c r="G28" s="1067">
        <f t="shared" si="4"/>
        <v>51941.919999999998</v>
      </c>
      <c r="H28" s="768">
        <v>2024</v>
      </c>
      <c r="I28" s="983">
        <v>123.995</v>
      </c>
      <c r="J28" s="1051"/>
      <c r="K28" s="1060" t="s">
        <v>53</v>
      </c>
      <c r="L28" s="1061">
        <f>D91/C91</f>
        <v>1.3920085729899541</v>
      </c>
      <c r="M28" s="1062"/>
      <c r="N28" s="1053"/>
      <c r="O28" s="1053"/>
      <c r="P28" s="1053"/>
      <c r="Q28" s="103"/>
    </row>
    <row r="29" spans="1:17">
      <c r="A29" s="103"/>
      <c r="B29" s="1051"/>
      <c r="C29" s="1068" t="s">
        <v>54</v>
      </c>
      <c r="D29" s="485">
        <v>57959.839999999997</v>
      </c>
      <c r="E29" s="485"/>
      <c r="F29" s="485"/>
      <c r="G29" s="1067">
        <f t="shared" si="4"/>
        <v>57959.839999999997</v>
      </c>
      <c r="H29" s="768">
        <v>2024</v>
      </c>
      <c r="I29" s="983">
        <v>190.136</v>
      </c>
      <c r="J29" s="1051"/>
      <c r="K29" s="1063" t="s">
        <v>55</v>
      </c>
      <c r="L29" s="1064">
        <f>(Inverter_Quantity*Inverter_Capacity)/(MIN(I35,L32))</f>
        <v>2.6882804414156483</v>
      </c>
      <c r="M29" s="1062" t="str">
        <f>IF(L29&gt;90%, "CHECK SIZING","" )</f>
        <v>CHECK SIZING</v>
      </c>
      <c r="N29" s="1053">
        <v>45000</v>
      </c>
      <c r="O29" s="1053"/>
      <c r="P29" s="1053"/>
      <c r="Q29" s="103"/>
    </row>
    <row r="30" spans="1:17">
      <c r="A30" s="103"/>
      <c r="B30" s="1051"/>
      <c r="C30" s="1068" t="s">
        <v>56</v>
      </c>
      <c r="D30" s="485">
        <f>32802.439+17264.441</f>
        <v>50066.879999999997</v>
      </c>
      <c r="E30" s="485"/>
      <c r="F30" s="485"/>
      <c r="G30" s="1067">
        <f t="shared" si="4"/>
        <v>50066.879999999997</v>
      </c>
      <c r="H30" s="768">
        <v>2024</v>
      </c>
      <c r="I30" s="983">
        <v>192.72200000000001</v>
      </c>
      <c r="J30" s="1051"/>
      <c r="K30" s="1051"/>
      <c r="L30" s="1051"/>
      <c r="M30" s="1051"/>
      <c r="N30" s="1053"/>
      <c r="O30" s="1053"/>
      <c r="P30" s="1053"/>
      <c r="Q30" s="103"/>
    </row>
    <row r="31" spans="1:17">
      <c r="A31" s="103"/>
      <c r="B31" s="1051"/>
      <c r="C31" s="1068" t="s">
        <v>57</v>
      </c>
      <c r="D31" s="485">
        <v>44910.080000000002</v>
      </c>
      <c r="E31" s="485"/>
      <c r="F31" s="485"/>
      <c r="G31" s="1067">
        <f t="shared" si="4"/>
        <v>44910.080000000002</v>
      </c>
      <c r="H31" s="768">
        <v>2024</v>
      </c>
      <c r="I31" s="983">
        <v>202.23599999999999</v>
      </c>
      <c r="J31" s="1051"/>
      <c r="K31" s="1057" t="s">
        <v>58</v>
      </c>
      <c r="L31" s="1065">
        <f>I35*0.8*1.2</f>
        <v>142.84224</v>
      </c>
      <c r="M31" s="1066" t="s">
        <v>59</v>
      </c>
      <c r="N31" s="1053"/>
      <c r="O31" s="1053"/>
      <c r="P31" s="1053"/>
      <c r="Q31" s="103"/>
    </row>
    <row r="32" spans="1:17">
      <c r="A32" s="103"/>
      <c r="B32" s="1051"/>
      <c r="C32" s="1068" t="s">
        <v>60</v>
      </c>
      <c r="D32" s="485">
        <v>51417.120000000003</v>
      </c>
      <c r="E32" s="485"/>
      <c r="F32" s="485"/>
      <c r="G32" s="1067">
        <f t="shared" si="4"/>
        <v>51417.120000000003</v>
      </c>
      <c r="H32" s="768">
        <v>2024</v>
      </c>
      <c r="I32" s="983">
        <v>179.52</v>
      </c>
      <c r="J32" s="1051"/>
      <c r="K32" s="1063" t="s">
        <v>61</v>
      </c>
      <c r="L32" s="1065">
        <f>L21*IF(L23="Y", 1/(4*57), 1/(4*50))*1.25</f>
        <v>248.09093567251455</v>
      </c>
      <c r="M32" s="1066" t="s">
        <v>62</v>
      </c>
      <c r="N32" s="1053"/>
      <c r="O32" s="1053"/>
      <c r="P32" s="1053"/>
      <c r="Q32" s="103"/>
    </row>
    <row r="33" spans="1:17">
      <c r="A33" s="103"/>
      <c r="B33" s="1051"/>
      <c r="C33" s="1068" t="s">
        <v>63</v>
      </c>
      <c r="D33" s="485">
        <v>42398.879999999997</v>
      </c>
      <c r="E33" s="485"/>
      <c r="F33" s="485"/>
      <c r="G33" s="1067">
        <f t="shared" si="4"/>
        <v>42398.879999999997</v>
      </c>
      <c r="H33" s="768">
        <v>2023</v>
      </c>
      <c r="I33" s="983">
        <v>183.75800000000001</v>
      </c>
      <c r="J33" s="1051"/>
      <c r="K33" s="1063" t="s">
        <v>64</v>
      </c>
      <c r="L33" s="1065">
        <f>(L20/(31-4*IF(AND(L23="Y",L24="Y"),0,IF(OR(L23="Y",L24="Y"),1,2)))/L22)*1.25</f>
        <v>228.08360215053762</v>
      </c>
      <c r="M33" s="1066" t="s">
        <v>62</v>
      </c>
      <c r="N33" s="1053"/>
      <c r="O33" s="1053"/>
      <c r="P33" s="1053"/>
      <c r="Q33" s="103"/>
    </row>
    <row r="34" spans="1:17" ht="15" thickBot="1">
      <c r="A34" s="103"/>
      <c r="B34" s="1051"/>
      <c r="C34" s="1052"/>
      <c r="D34" s="1059"/>
      <c r="E34" s="1059"/>
      <c r="F34" s="1059"/>
      <c r="G34" s="1051"/>
      <c r="H34" s="1051"/>
      <c r="I34" s="1059"/>
      <c r="J34" s="1051"/>
      <c r="K34" s="1051"/>
      <c r="L34" s="1051"/>
      <c r="M34" s="1051"/>
      <c r="N34" s="1053"/>
      <c r="O34" s="1053"/>
      <c r="P34" s="1053"/>
      <c r="Q34" s="103"/>
    </row>
    <row r="35" spans="1:17" ht="15" thickBot="1">
      <c r="A35" s="103"/>
      <c r="B35" s="1051"/>
      <c r="C35" s="1057" t="s">
        <v>34</v>
      </c>
      <c r="D35" s="1058">
        <f>SUM(D22:D33)</f>
        <v>605867.68000000005</v>
      </c>
      <c r="E35" s="1058">
        <f>SUM(E22:E33)</f>
        <v>0</v>
      </c>
      <c r="F35" s="1058">
        <f>SUM(F22:F33)</f>
        <v>0</v>
      </c>
      <c r="G35" s="1058">
        <f>SUM(G22:G33)</f>
        <v>605867.68000000005</v>
      </c>
      <c r="H35" s="1054"/>
      <c r="I35" s="698" cm="1">
        <f t="array" ref="I35">MIN(IF(I22:I25&gt;0,I22:I25,""),IF(I30:I33&gt;0,I30:I33,""),IF(I26:I29&gt;0,(I26:I29)*1.2,""))</f>
        <v>148.79400000000001</v>
      </c>
      <c r="J35" s="1054"/>
      <c r="K35" s="1055" t="s">
        <v>65</v>
      </c>
      <c r="L35" s="1056">
        <f>IF(L31=0,MIN(L32:L33),MIN(L31:L33))</f>
        <v>142.84224</v>
      </c>
      <c r="M35" s="1054" t="s">
        <v>66</v>
      </c>
      <c r="N35" s="1053"/>
      <c r="O35" s="1053"/>
      <c r="P35" s="1053"/>
      <c r="Q35" s="103"/>
    </row>
    <row r="36" spans="1:17">
      <c r="A36" s="103"/>
      <c r="B36" s="1051"/>
      <c r="C36" s="1052"/>
      <c r="D36" s="1051"/>
      <c r="E36" s="1051"/>
      <c r="F36" s="1051"/>
      <c r="G36" s="1051"/>
      <c r="H36" s="1051"/>
      <c r="I36" s="1051"/>
      <c r="J36" s="1051"/>
      <c r="K36" s="1051"/>
      <c r="L36" s="1051"/>
      <c r="M36" s="1051"/>
      <c r="N36" s="1053"/>
      <c r="O36" s="1053"/>
      <c r="P36" s="1053"/>
      <c r="Q36" s="103"/>
    </row>
    <row r="37" spans="1:17" ht="15" thickBot="1">
      <c r="A37" s="103"/>
      <c r="B37" s="103"/>
      <c r="C37" s="104"/>
      <c r="D37" s="103"/>
      <c r="E37" s="103"/>
      <c r="F37" s="103"/>
      <c r="G37" s="103"/>
      <c r="H37" s="103"/>
      <c r="I37" s="103"/>
      <c r="J37" s="103"/>
      <c r="K37" s="103"/>
      <c r="L37" s="103"/>
      <c r="M37" s="103"/>
      <c r="N37" s="103"/>
      <c r="O37" s="103"/>
      <c r="P37" s="103"/>
      <c r="Q37" s="103"/>
    </row>
    <row r="38" spans="1:17" ht="24" thickBot="1">
      <c r="A38" s="103"/>
      <c r="B38" s="1027"/>
      <c r="C38" s="1416" t="s">
        <v>67</v>
      </c>
      <c r="D38" s="1417"/>
      <c r="E38" s="1417"/>
      <c r="F38" s="1417"/>
      <c r="G38" s="1417"/>
      <c r="H38" s="1417"/>
      <c r="I38" s="1417"/>
      <c r="J38" s="1417"/>
      <c r="K38" s="1417"/>
      <c r="L38" s="1417"/>
      <c r="M38" s="1417"/>
      <c r="N38" s="1418"/>
      <c r="O38" s="1027"/>
      <c r="P38" s="1027"/>
      <c r="Q38" s="103"/>
    </row>
    <row r="39" spans="1:17" ht="15" thickBot="1">
      <c r="A39" s="103"/>
      <c r="B39" s="1027"/>
      <c r="C39" s="1419" t="s">
        <v>68</v>
      </c>
      <c r="D39" s="1420"/>
      <c r="E39" s="1420"/>
      <c r="F39" s="1420"/>
      <c r="G39" s="1420"/>
      <c r="H39" s="1420"/>
      <c r="I39" s="1455"/>
      <c r="J39" s="1028"/>
      <c r="K39" s="1419" t="s">
        <v>69</v>
      </c>
      <c r="L39" s="1420"/>
      <c r="M39" s="1420"/>
      <c r="N39" s="1420"/>
      <c r="O39" s="1028"/>
      <c r="P39" s="1027"/>
      <c r="Q39" s="103"/>
    </row>
    <row r="40" spans="1:17">
      <c r="A40" s="103"/>
      <c r="B40" s="1027"/>
      <c r="C40" s="925" t="s">
        <v>42</v>
      </c>
      <c r="D40" s="1029"/>
      <c r="E40" s="927">
        <v>2</v>
      </c>
      <c r="F40" s="1030" t="s">
        <v>70</v>
      </c>
      <c r="G40" s="1028"/>
      <c r="H40" s="1028"/>
      <c r="I40" s="1028"/>
      <c r="J40" s="1028"/>
      <c r="K40" s="925" t="s">
        <v>1136</v>
      </c>
      <c r="L40" s="1028"/>
      <c r="M40" s="1028"/>
      <c r="N40" s="1028"/>
      <c r="O40" s="1028"/>
      <c r="P40" s="1027"/>
      <c r="Q40" s="103"/>
    </row>
    <row r="41" spans="1:17" ht="15" thickBot="1">
      <c r="A41" s="103"/>
      <c r="B41" s="1027"/>
      <c r="C41" s="1031"/>
      <c r="D41" s="1029"/>
      <c r="E41" s="984" cm="1">
        <f t="array" ref="E41">MAX(MAX(IF(I22:I25&gt;0,I22:I25,""),IF(I30:I33&gt;0,I30:I33,""),IF(I26:I29&gt;0,(I26:I29),"")),L32,L33)</f>
        <v>248.09093567251455</v>
      </c>
      <c r="F41" s="1030" t="s">
        <v>71</v>
      </c>
      <c r="G41" s="1028"/>
      <c r="H41" s="1028"/>
      <c r="I41" s="1028"/>
      <c r="J41" s="1028"/>
      <c r="K41" s="1032" t="s">
        <v>72</v>
      </c>
      <c r="L41" s="1033" cm="1">
        <f t="array" ref="L41">MAX(MAX(IF(I22:I25&gt;0,I22:I25,""),IF(I30:I33&gt;0,I30:I33,""),IF(I26:I29&gt;0,(I26:I29),"")),L32,L33)/$L$42</f>
        <v>367.54212692224377</v>
      </c>
      <c r="M41" s="1030" t="s">
        <v>73</v>
      </c>
      <c r="N41" s="1034"/>
      <c r="O41" s="1028"/>
      <c r="P41" s="1027"/>
      <c r="Q41" s="103"/>
    </row>
    <row r="42" spans="1:17" ht="16" thickBot="1">
      <c r="A42" s="103"/>
      <c r="B42" s="1027"/>
      <c r="C42" s="1031"/>
      <c r="D42" s="1035" t="s">
        <v>74</v>
      </c>
      <c r="E42" s="1036">
        <f>'Supplier database'!BC158</f>
        <v>250</v>
      </c>
      <c r="F42" s="1037" t="s">
        <v>969</v>
      </c>
      <c r="G42" s="1038"/>
      <c r="H42" s="1028"/>
      <c r="I42" s="1028"/>
      <c r="J42" s="1028"/>
      <c r="K42" s="1028" t="s">
        <v>75</v>
      </c>
      <c r="L42" s="1028">
        <f>IF(OR(D18='2.1 Sizing Data'!C4,'Design Inputs'!D18='2.1 Sizing Data'!C6,'Design Inputs'!D18='2.1 Sizing Data'!C7,'Design Inputs'!D18='2.1 Sizing Data'!C6)=TRUE,0.675,0.75)</f>
        <v>0.67500000000000004</v>
      </c>
      <c r="M42" s="1028"/>
      <c r="N42" s="1028"/>
      <c r="O42" s="1028"/>
      <c r="P42" s="1027"/>
      <c r="Q42" s="103"/>
    </row>
    <row r="43" spans="1:17">
      <c r="A43" s="103"/>
      <c r="B43" s="1027"/>
      <c r="C43" s="1453" t="s">
        <v>76</v>
      </c>
      <c r="D43" s="1453"/>
      <c r="E43" s="1039">
        <f>AVERAGE(G22:G33)*IF(L23="Y", 1/(4*57), 1/(4*50))</f>
        <v>221.44286549707601</v>
      </c>
      <c r="F43" s="1454" t="s">
        <v>77</v>
      </c>
      <c r="G43" s="1454"/>
      <c r="H43" s="1436"/>
      <c r="I43" s="1436"/>
      <c r="J43" s="1028"/>
      <c r="K43" s="1032" t="s">
        <v>78</v>
      </c>
      <c r="L43" s="1040">
        <f>MAX(G22:G33)*IF(L23="Y", 1/(4*57), 1/(4*50))/L42</f>
        <v>376.60714749837553</v>
      </c>
      <c r="M43" s="1028" t="s">
        <v>36</v>
      </c>
      <c r="N43" s="1034"/>
      <c r="O43" s="1028"/>
      <c r="P43" s="1027"/>
      <c r="Q43" s="103"/>
    </row>
    <row r="44" spans="1:17">
      <c r="A44" s="103"/>
      <c r="B44" s="1027"/>
      <c r="C44" s="1453" t="s">
        <v>79</v>
      </c>
      <c r="D44" s="1453"/>
      <c r="E44" s="1041">
        <f>MAX(D22:D33) *IF(L23="Y", 1/(4*57), 1/(4*50))</f>
        <v>254.20982456140348</v>
      </c>
      <c r="F44" s="1436" t="s">
        <v>80</v>
      </c>
      <c r="G44" s="1436"/>
      <c r="H44" s="1436"/>
      <c r="I44" s="1436"/>
      <c r="J44" s="1028"/>
      <c r="K44" s="1032" t="s">
        <v>81</v>
      </c>
      <c r="L44" s="1040">
        <f>MAX(D22:D33) *IF(L23="Y", 1/(4*57), 1/(4*50))/L42</f>
        <v>376.60714749837553</v>
      </c>
      <c r="M44" s="1028" t="s">
        <v>36</v>
      </c>
      <c r="N44" s="1034"/>
      <c r="O44" s="1028"/>
      <c r="P44" s="1027"/>
      <c r="Q44" s="103"/>
    </row>
    <row r="45" spans="1:17">
      <c r="A45" s="103"/>
      <c r="B45" s="1027"/>
      <c r="C45" s="1453" t="s">
        <v>82</v>
      </c>
      <c r="D45" s="1453"/>
      <c r="E45" s="1041">
        <f>MAX(G22:G33)/ ('Costing Inputs'!AF6*4.25*'Design Inputs'!L22)</f>
        <v>340.9402352941176</v>
      </c>
      <c r="F45" s="1436" t="s">
        <v>83</v>
      </c>
      <c r="G45" s="1436"/>
      <c r="H45" s="1436"/>
      <c r="I45" s="1436"/>
      <c r="J45" s="1028"/>
      <c r="K45" s="1032" t="s">
        <v>84</v>
      </c>
      <c r="L45" s="1040">
        <f>MAX(G22:G33)/ ('Costing Inputs'!AF6*4.25*'Design Inputs'!L22)/L42</f>
        <v>505.09664488017421</v>
      </c>
      <c r="M45" s="1028" t="s">
        <v>36</v>
      </c>
      <c r="N45" s="1034"/>
      <c r="O45" s="1028"/>
      <c r="P45" s="1027"/>
      <c r="Q45" s="103"/>
    </row>
    <row r="46" spans="1:17">
      <c r="A46" s="103"/>
      <c r="B46" s="1027"/>
      <c r="C46" s="1031"/>
      <c r="D46" s="1030"/>
      <c r="E46" s="1030"/>
      <c r="F46" s="1030"/>
      <c r="G46" s="1028"/>
      <c r="H46" s="1028"/>
      <c r="I46" s="1028"/>
      <c r="J46" s="1028"/>
      <c r="K46" s="1028"/>
      <c r="L46" s="1028"/>
      <c r="M46" s="1028"/>
      <c r="N46" s="1028"/>
      <c r="O46" s="1028"/>
      <c r="P46" s="1027"/>
      <c r="Q46" s="103"/>
    </row>
    <row r="47" spans="1:17">
      <c r="A47" s="103"/>
      <c r="B47" s="1030"/>
      <c r="C47" s="1042"/>
      <c r="D47" s="1030"/>
      <c r="E47" s="926" t="s">
        <v>85</v>
      </c>
      <c r="F47" s="1437" t="s">
        <v>86</v>
      </c>
      <c r="G47" s="1438"/>
      <c r="H47" s="1438"/>
      <c r="I47" s="1439"/>
      <c r="J47" s="1043"/>
      <c r="K47" s="1035" t="s">
        <v>87</v>
      </c>
      <c r="L47" s="1379">
        <f>(MAX(L41:L45))</f>
        <v>505.09664488017421</v>
      </c>
      <c r="M47" s="1030" t="s">
        <v>88</v>
      </c>
      <c r="N47" s="1050" t="s">
        <v>1092</v>
      </c>
      <c r="O47" s="1045"/>
      <c r="P47" s="1046"/>
      <c r="Q47" s="103"/>
    </row>
    <row r="48" spans="1:17" ht="16" thickBot="1">
      <c r="A48" s="103"/>
      <c r="B48" s="1030"/>
      <c r="C48" s="1453" t="s">
        <v>89</v>
      </c>
      <c r="D48" s="1453"/>
      <c r="E48" s="1408">
        <v>600</v>
      </c>
      <c r="F48" s="1440" t="s">
        <v>90</v>
      </c>
      <c r="G48" s="1440"/>
      <c r="H48" s="1436"/>
      <c r="I48" s="1436"/>
      <c r="J48" s="1030"/>
      <c r="K48" s="1035" t="s">
        <v>91</v>
      </c>
      <c r="L48" s="1047">
        <f>IFERROR('Supplier database'!BC176,0)</f>
        <v>600</v>
      </c>
      <c r="M48" s="1030"/>
      <c r="N48" s="1044"/>
      <c r="O48" s="1045"/>
      <c r="P48" s="1046"/>
      <c r="Q48" s="103"/>
    </row>
    <row r="49" spans="1:17" ht="16" thickBot="1">
      <c r="A49" s="103"/>
      <c r="B49" s="1030"/>
      <c r="C49" s="1042"/>
      <c r="D49" s="1035" t="s">
        <v>91</v>
      </c>
      <c r="E49" s="1048">
        <f>IFERROR('Supplier database'!BC159,0)</f>
        <v>624</v>
      </c>
      <c r="F49" s="1037" t="s">
        <v>969</v>
      </c>
      <c r="G49" s="1049"/>
      <c r="H49" s="1030"/>
      <c r="I49" s="1030"/>
      <c r="J49" s="1030"/>
      <c r="K49" s="1043"/>
      <c r="L49" s="1043"/>
      <c r="M49" s="1030"/>
      <c r="N49" s="1050"/>
      <c r="O49" s="1045"/>
      <c r="P49" s="1046"/>
      <c r="Q49" s="103"/>
    </row>
    <row r="50" spans="1:17">
      <c r="A50" s="103"/>
      <c r="B50" s="1030"/>
      <c r="C50" s="1042"/>
      <c r="D50" s="1030"/>
      <c r="E50" s="1030"/>
      <c r="F50" s="1030"/>
      <c r="G50" s="1030"/>
      <c r="H50" s="1030"/>
      <c r="I50" s="1030"/>
      <c r="J50" s="1030"/>
      <c r="K50" s="1030"/>
      <c r="L50" s="1030"/>
      <c r="M50" s="1030"/>
      <c r="N50" s="1050"/>
      <c r="O50" s="1045"/>
      <c r="P50" s="1046"/>
      <c r="Q50" s="103"/>
    </row>
    <row r="51" spans="1:17" ht="15" thickBot="1">
      <c r="A51" s="103"/>
      <c r="B51" s="103"/>
      <c r="C51" s="104"/>
      <c r="D51" s="103"/>
      <c r="E51" s="103"/>
      <c r="F51" s="103"/>
      <c r="G51" s="103"/>
      <c r="H51" s="103"/>
      <c r="I51" s="103"/>
      <c r="J51" s="103"/>
      <c r="K51" s="103"/>
      <c r="L51" s="103"/>
      <c r="M51" s="103"/>
      <c r="N51" s="103"/>
      <c r="O51" s="103"/>
      <c r="P51" s="103"/>
      <c r="Q51" s="103"/>
    </row>
    <row r="52" spans="1:17" ht="24" thickBot="1">
      <c r="A52" s="103"/>
      <c r="B52" s="1011"/>
      <c r="C52" s="1421" t="s">
        <v>92</v>
      </c>
      <c r="D52" s="1422"/>
      <c r="E52" s="1422"/>
      <c r="F52" s="1422"/>
      <c r="G52" s="1422"/>
      <c r="H52" s="1422"/>
      <c r="I52" s="1422"/>
      <c r="J52" s="1422"/>
      <c r="K52" s="1422"/>
      <c r="L52" s="1422"/>
      <c r="M52" s="1422"/>
      <c r="N52" s="1423"/>
      <c r="O52" s="1011"/>
      <c r="P52" s="1011"/>
      <c r="Q52" s="103"/>
    </row>
    <row r="53" spans="1:17">
      <c r="A53" s="103"/>
      <c r="B53" s="1011"/>
      <c r="C53" s="1425"/>
      <c r="D53" s="1425"/>
      <c r="E53" s="1425"/>
      <c r="F53" s="1425"/>
      <c r="G53" s="1011"/>
      <c r="H53" s="1011"/>
      <c r="I53" s="1011"/>
      <c r="J53" s="1011"/>
      <c r="K53" s="1011"/>
      <c r="L53" s="1011"/>
      <c r="M53" s="1011"/>
      <c r="N53" s="1011"/>
      <c r="O53" s="1011"/>
      <c r="P53" s="1011"/>
      <c r="Q53" s="103"/>
    </row>
    <row r="54" spans="1:17">
      <c r="A54" s="103"/>
      <c r="B54" s="1011"/>
      <c r="C54" s="1085" t="s">
        <v>24</v>
      </c>
      <c r="D54" s="1086" t="s">
        <v>1094</v>
      </c>
      <c r="E54" s="1087" t="s">
        <v>93</v>
      </c>
      <c r="F54" s="114" t="s">
        <v>571</v>
      </c>
      <c r="G54" s="1089"/>
      <c r="H54" s="1011"/>
      <c r="I54" s="1011"/>
      <c r="J54" s="1011"/>
      <c r="K54" s="1011"/>
      <c r="L54" s="1011"/>
      <c r="M54" s="1011"/>
      <c r="N54" s="1011"/>
      <c r="O54" s="1011"/>
      <c r="P54" s="1011"/>
      <c r="Q54" s="103"/>
    </row>
    <row r="55" spans="1:17">
      <c r="A55" s="103"/>
      <c r="B55" s="1011"/>
      <c r="C55" s="1090"/>
      <c r="D55" s="1386">
        <f>2.35075*1.127</f>
        <v>2.6492952500000002</v>
      </c>
      <c r="E55" s="1091"/>
      <c r="F55" s="1088"/>
      <c r="G55" s="1092"/>
      <c r="H55" s="1011"/>
      <c r="I55" s="1011"/>
      <c r="J55" s="1011"/>
      <c r="K55" s="1011"/>
      <c r="L55" s="1011"/>
      <c r="M55" s="1011"/>
      <c r="N55" s="1011"/>
      <c r="O55" s="1011"/>
      <c r="P55" s="1011"/>
      <c r="Q55" s="103"/>
    </row>
    <row r="56" spans="1:17">
      <c r="A56" s="103"/>
      <c r="B56" s="1011"/>
      <c r="C56" s="1093"/>
      <c r="D56" s="1085" t="s">
        <v>32</v>
      </c>
      <c r="E56" s="1085" t="s">
        <v>95</v>
      </c>
      <c r="F56" s="1085" t="s">
        <v>31</v>
      </c>
      <c r="G56" s="1085" t="s">
        <v>96</v>
      </c>
      <c r="H56" s="1085" t="s">
        <v>97</v>
      </c>
      <c r="I56" s="1011"/>
      <c r="J56" s="1011"/>
      <c r="K56" s="1011"/>
      <c r="L56" s="1011"/>
      <c r="M56" s="1011"/>
      <c r="N56" s="1094"/>
      <c r="O56" s="1011"/>
      <c r="P56" s="1011"/>
      <c r="Q56" s="103"/>
    </row>
    <row r="57" spans="1:17">
      <c r="A57" s="103"/>
      <c r="B57" s="1011"/>
      <c r="C57" s="1085" t="s">
        <v>98</v>
      </c>
      <c r="D57" s="1127">
        <v>2.39</v>
      </c>
      <c r="E57" s="1127">
        <v>1.0658000000000001</v>
      </c>
      <c r="F57" s="1127">
        <v>1.5052000000000001</v>
      </c>
      <c r="G57" s="765"/>
      <c r="H57" s="1011" t="s">
        <v>623</v>
      </c>
      <c r="I57" s="1011"/>
      <c r="J57" s="1011"/>
      <c r="K57" s="1011"/>
      <c r="L57" s="1011"/>
      <c r="M57" s="1011"/>
      <c r="N57" s="1011"/>
      <c r="O57" s="1011"/>
      <c r="P57" s="1011"/>
      <c r="Q57" s="103"/>
    </row>
    <row r="58" spans="1:17">
      <c r="A58" s="103"/>
      <c r="B58" s="1011"/>
      <c r="C58" s="1085" t="s">
        <v>100</v>
      </c>
      <c r="D58" s="1127">
        <v>5.8186999999999998</v>
      </c>
      <c r="E58" s="1127">
        <v>1.27</v>
      </c>
      <c r="F58" s="1127">
        <v>2.23</v>
      </c>
      <c r="G58" s="1384" t="s">
        <v>1129</v>
      </c>
      <c r="H58" s="1011" t="s">
        <v>101</v>
      </c>
      <c r="I58" s="1011"/>
      <c r="J58" s="1011"/>
      <c r="K58" s="1011"/>
      <c r="L58" s="1011"/>
      <c r="M58" s="1011"/>
      <c r="N58" s="1011"/>
      <c r="O58" s="1011"/>
      <c r="P58" s="1011"/>
      <c r="Q58" s="103"/>
    </row>
    <row r="59" spans="1:17">
      <c r="A59" s="103"/>
      <c r="B59" s="1011"/>
      <c r="C59" s="1085" t="s">
        <v>102</v>
      </c>
      <c r="D59" s="115">
        <v>0</v>
      </c>
      <c r="E59" s="1011" t="s">
        <v>103</v>
      </c>
      <c r="F59" s="1011"/>
      <c r="G59" s="1385" t="s">
        <v>1130</v>
      </c>
      <c r="H59" s="1011" t="s">
        <v>104</v>
      </c>
      <c r="I59" s="1011"/>
      <c r="J59" s="1011"/>
      <c r="K59" s="1011"/>
      <c r="L59" s="1011"/>
      <c r="M59" s="1011"/>
      <c r="N59" s="1095"/>
      <c r="O59" s="1011"/>
      <c r="P59" s="1011"/>
      <c r="Q59" s="103"/>
    </row>
    <row r="60" spans="1:17">
      <c r="A60" s="103"/>
      <c r="B60" s="1011"/>
      <c r="C60" s="1085" t="s">
        <v>105</v>
      </c>
      <c r="D60" s="116">
        <v>0.78</v>
      </c>
      <c r="E60" s="1096" t="s">
        <v>106</v>
      </c>
      <c r="F60" s="1011"/>
      <c r="G60" s="1011"/>
      <c r="H60" s="1011"/>
      <c r="I60" s="1011"/>
      <c r="J60" s="1011"/>
      <c r="K60" s="1011"/>
      <c r="L60" s="1097"/>
      <c r="M60" s="1011"/>
      <c r="N60" s="1011"/>
      <c r="O60" s="1011"/>
      <c r="P60" s="1011"/>
      <c r="Q60" s="103"/>
    </row>
    <row r="61" spans="1:17">
      <c r="A61" s="103"/>
      <c r="B61" s="1011"/>
      <c r="C61" s="1085" t="s">
        <v>107</v>
      </c>
      <c r="D61" s="862">
        <v>235</v>
      </c>
      <c r="E61" s="1098" t="s">
        <v>107</v>
      </c>
      <c r="F61" s="1098"/>
      <c r="G61" s="1098"/>
      <c r="H61" s="1098"/>
      <c r="I61" s="1011"/>
      <c r="J61" s="1011"/>
      <c r="K61" s="1011"/>
      <c r="L61" s="1011"/>
      <c r="M61" s="1011"/>
      <c r="N61" s="1011"/>
      <c r="O61" s="1011"/>
      <c r="P61" s="1011"/>
      <c r="Q61" s="103"/>
    </row>
    <row r="62" spans="1:17" ht="15.5" hidden="1" thickTop="1" thickBot="1">
      <c r="A62" s="103"/>
      <c r="B62" s="1011"/>
      <c r="C62" s="1431" t="s">
        <v>108</v>
      </c>
      <c r="D62" s="1432"/>
      <c r="E62" s="1099">
        <f>'4.3 Emergent Data'!J9</f>
        <v>2.6492952500000007</v>
      </c>
      <c r="F62" s="1098" t="s">
        <v>109</v>
      </c>
      <c r="G62" s="1098"/>
      <c r="H62" s="1098"/>
      <c r="I62" s="1098"/>
      <c r="J62" s="1098"/>
      <c r="K62" s="1011"/>
      <c r="L62" s="1011"/>
      <c r="M62" s="1011"/>
      <c r="N62" s="1011"/>
      <c r="O62" s="1011"/>
      <c r="P62" s="1011"/>
      <c r="Q62" s="103"/>
    </row>
    <row r="63" spans="1:17">
      <c r="A63" s="103"/>
      <c r="B63" s="1011"/>
      <c r="C63" s="1098"/>
      <c r="D63" s="1098"/>
      <c r="E63" s="1098"/>
      <c r="F63" s="1098"/>
      <c r="G63" s="1098"/>
      <c r="H63" s="1098"/>
      <c r="I63" s="1098"/>
      <c r="J63" s="1098"/>
      <c r="K63" s="1011"/>
      <c r="L63" s="1011"/>
      <c r="M63" s="1011"/>
      <c r="N63" s="1095"/>
      <c r="O63" s="1011"/>
      <c r="P63" s="1011"/>
      <c r="Q63" s="103"/>
    </row>
    <row r="64" spans="1:17" ht="15" thickBot="1">
      <c r="A64" s="103"/>
      <c r="B64" s="103"/>
      <c r="C64" s="104"/>
      <c r="D64" s="103"/>
      <c r="E64" s="103"/>
      <c r="F64" s="103"/>
      <c r="G64" s="103"/>
      <c r="H64" s="103"/>
      <c r="I64" s="103"/>
      <c r="J64" s="103"/>
      <c r="K64" s="103"/>
      <c r="L64" s="103"/>
      <c r="M64" s="103"/>
      <c r="N64" s="103"/>
      <c r="O64" s="103"/>
      <c r="P64" s="103"/>
      <c r="Q64" s="103"/>
    </row>
    <row r="65" spans="1:17" ht="24" thickBot="1">
      <c r="A65" s="103"/>
      <c r="B65" s="1107"/>
      <c r="C65" s="1428" t="s">
        <v>110</v>
      </c>
      <c r="D65" s="1429"/>
      <c r="E65" s="1429"/>
      <c r="F65" s="1429"/>
      <c r="G65" s="1429"/>
      <c r="H65" s="1429"/>
      <c r="I65" s="1429"/>
      <c r="J65" s="1429"/>
      <c r="K65" s="1429"/>
      <c r="L65" s="1429"/>
      <c r="M65" s="1429"/>
      <c r="N65" s="1430"/>
      <c r="O65" s="1124"/>
      <c r="P65" s="1107"/>
      <c r="Q65" s="103"/>
    </row>
    <row r="66" spans="1:17" ht="24" thickBot="1">
      <c r="A66" s="103"/>
      <c r="B66" s="1107"/>
      <c r="C66" s="1424"/>
      <c r="D66" s="1424"/>
      <c r="E66" s="1424"/>
      <c r="F66" s="1424"/>
      <c r="G66" s="1107"/>
      <c r="H66" s="1125"/>
      <c r="I66" s="1427"/>
      <c r="J66" s="1427"/>
      <c r="K66" s="1427"/>
      <c r="L66" s="1125"/>
      <c r="M66" s="1125"/>
      <c r="N66" s="1125"/>
      <c r="O66" s="1125"/>
      <c r="P66" s="1126"/>
      <c r="Q66" s="103"/>
    </row>
    <row r="67" spans="1:17" ht="16.5" thickTop="1" thickBot="1">
      <c r="A67" s="103"/>
      <c r="B67" s="1107"/>
      <c r="C67" s="1122" t="s">
        <v>111</v>
      </c>
      <c r="D67" s="100" t="s">
        <v>112</v>
      </c>
      <c r="E67" s="1112" t="s">
        <v>113</v>
      </c>
      <c r="F67" s="1107"/>
      <c r="G67" s="1107"/>
      <c r="H67" s="1107"/>
      <c r="I67" s="1441" t="s">
        <v>114</v>
      </c>
      <c r="J67" s="1451"/>
      <c r="K67" s="1404">
        <f>MIN(L35,M13)*0+480.7</f>
        <v>480.7</v>
      </c>
      <c r="L67" s="1121" t="s">
        <v>115</v>
      </c>
      <c r="M67" s="1112"/>
      <c r="N67" s="1452"/>
      <c r="O67" s="1452"/>
      <c r="P67" s="1452"/>
      <c r="Q67" s="103"/>
    </row>
    <row r="68" spans="1:17" ht="19.5" thickTop="1" thickBot="1">
      <c r="A68" s="103"/>
      <c r="B68" s="1107"/>
      <c r="C68" s="1115" t="s">
        <v>116</v>
      </c>
      <c r="D68" s="1405">
        <v>550</v>
      </c>
      <c r="E68" s="1112" t="s">
        <v>117</v>
      </c>
      <c r="F68" s="1113"/>
      <c r="G68" s="1107"/>
      <c r="H68" s="1107"/>
      <c r="I68" s="1441" t="s">
        <v>13</v>
      </c>
      <c r="J68" s="1442"/>
      <c r="K68" s="1114">
        <f>(IF('Design Inputs'!F54="Yes",N13,IF(AND(L23="Y",L24="Y"),(1-L25/365)*N13,IF(OR(L23="Y",L24="Y"),(1-(L25-ROUNDDOWN(L25/7,0)+52)/365)*N13,(1-(L25-ROUNDDOWN(L25/7*2,0)+2*52)/365)*N13)))*0.98)</f>
        <v>1754.4684931506849</v>
      </c>
      <c r="L68" s="1110" t="s">
        <v>118</v>
      </c>
      <c r="M68" s="1115"/>
      <c r="N68" s="1116"/>
      <c r="O68" s="1107"/>
      <c r="P68" s="1107"/>
      <c r="Q68" s="103"/>
    </row>
    <row r="69" spans="1:17" ht="19.5" thickTop="1" thickBot="1">
      <c r="A69" s="103"/>
      <c r="B69" s="1107"/>
      <c r="C69" s="1115" t="s">
        <v>119</v>
      </c>
      <c r="D69" s="872">
        <f>2.278*1.134</f>
        <v>2.5832519999999999</v>
      </c>
      <c r="E69" s="1112" t="s">
        <v>120</v>
      </c>
      <c r="F69" s="1107"/>
      <c r="G69" s="1107"/>
      <c r="H69" s="1107"/>
      <c r="I69" s="1441" t="s">
        <v>121</v>
      </c>
      <c r="J69" s="1442"/>
      <c r="K69" s="1117">
        <f>'4.3 Emergent Data'!D17/'4.3 Emergent Data'!G19</f>
        <v>2.6492952500000007</v>
      </c>
      <c r="L69" s="1110" t="s">
        <v>109</v>
      </c>
      <c r="M69" s="1118"/>
      <c r="N69" s="1119"/>
      <c r="O69" s="1120"/>
      <c r="P69" s="1107"/>
      <c r="Q69" s="103"/>
    </row>
    <row r="70" spans="1:17" ht="15.5" thickTop="1" thickBot="1">
      <c r="A70" s="103"/>
      <c r="B70" s="1107"/>
      <c r="C70" s="1123" t="s">
        <v>122</v>
      </c>
      <c r="D70" s="100" t="s">
        <v>974</v>
      </c>
      <c r="E70" s="1108"/>
      <c r="F70" s="1108"/>
      <c r="G70" s="1107"/>
      <c r="H70" s="1107"/>
      <c r="I70" s="1441" t="s">
        <v>123</v>
      </c>
      <c r="J70" s="1442"/>
      <c r="K70" s="101">
        <v>19</v>
      </c>
      <c r="L70" s="1107"/>
      <c r="M70" s="1107"/>
      <c r="N70" s="1107"/>
      <c r="O70" s="1111"/>
      <c r="P70" s="1107"/>
      <c r="Q70" s="103"/>
    </row>
    <row r="71" spans="1:17" ht="19.5" thickTop="1" thickBot="1">
      <c r="A71" s="103"/>
      <c r="B71" s="1107"/>
      <c r="C71" s="1123" t="s">
        <v>1083</v>
      </c>
      <c r="D71" s="1377">
        <f>ROUND(Module_Quantity*'Design Inputs'!D69/0.8,0)</f>
        <v>2822</v>
      </c>
      <c r="E71" s="1108"/>
      <c r="F71" s="1108"/>
      <c r="G71" s="1107"/>
      <c r="H71" s="1107"/>
      <c r="I71" s="1441" t="s">
        <v>124</v>
      </c>
      <c r="J71" s="1442"/>
      <c r="K71" s="1109">
        <f>'Cost Summary'!H35/(Projectsize*1000)</f>
        <v>16.410985768616438</v>
      </c>
      <c r="L71" s="1110" t="s">
        <v>109</v>
      </c>
      <c r="M71" s="1107"/>
      <c r="N71" s="1107"/>
      <c r="O71" s="1107"/>
      <c r="P71" s="1107"/>
      <c r="Q71" s="103"/>
    </row>
    <row r="72" spans="1:17" ht="15" thickTop="1">
      <c r="A72" s="103"/>
      <c r="B72" s="1107"/>
      <c r="C72" s="1108"/>
      <c r="D72" s="1108"/>
      <c r="E72" s="1108"/>
      <c r="F72" s="1108"/>
      <c r="G72" s="1108"/>
      <c r="H72" s="1108"/>
      <c r="I72" s="1108"/>
      <c r="J72" s="1108"/>
      <c r="K72" s="1108"/>
      <c r="L72" s="1108"/>
      <c r="M72" s="1108"/>
      <c r="N72" s="1108"/>
      <c r="O72" s="1108"/>
      <c r="P72" s="1107"/>
      <c r="Q72" s="103"/>
    </row>
    <row r="73" spans="1:17">
      <c r="A73" s="103"/>
      <c r="B73" s="103"/>
      <c r="C73" s="108"/>
      <c r="D73" s="103"/>
      <c r="E73" s="103"/>
      <c r="F73" s="103"/>
      <c r="G73" s="103"/>
      <c r="H73" s="103"/>
      <c r="I73" s="103"/>
      <c r="J73" s="103"/>
      <c r="K73" s="103"/>
      <c r="L73" s="103"/>
      <c r="M73" s="103"/>
      <c r="N73" s="103"/>
      <c r="O73" s="103"/>
      <c r="P73" s="103"/>
      <c r="Q73" s="103"/>
    </row>
    <row r="74" spans="1:17">
      <c r="A74" s="103"/>
      <c r="B74" s="1100"/>
      <c r="C74" s="1106"/>
      <c r="D74" s="1100"/>
      <c r="E74" s="1100"/>
      <c r="F74" s="1100"/>
      <c r="G74" s="1100"/>
      <c r="H74" s="1100"/>
      <c r="I74" s="1100"/>
      <c r="J74" s="1100"/>
      <c r="K74" s="1100"/>
      <c r="L74" s="1100"/>
      <c r="M74" s="1100"/>
      <c r="N74" s="1100"/>
      <c r="O74" s="1100"/>
      <c r="P74" s="1100"/>
      <c r="Q74" s="103"/>
    </row>
    <row r="75" spans="1:17">
      <c r="A75" s="103"/>
      <c r="B75" s="1100"/>
      <c r="C75" s="1106"/>
      <c r="D75" s="1100"/>
      <c r="E75" s="1100"/>
      <c r="F75" s="1100"/>
      <c r="G75" s="1100"/>
      <c r="H75" s="1100"/>
      <c r="I75" s="1100"/>
      <c r="J75" s="1100"/>
      <c r="K75" s="1100"/>
      <c r="L75" s="1100"/>
      <c r="M75" s="1100"/>
      <c r="N75" s="1100"/>
      <c r="O75" s="1100"/>
      <c r="P75" s="1100"/>
      <c r="Q75" s="103"/>
    </row>
    <row r="76" spans="1:17">
      <c r="A76" s="103"/>
      <c r="B76" s="1100"/>
      <c r="C76" s="1446" t="s">
        <v>125</v>
      </c>
      <c r="D76" s="1447"/>
      <c r="E76" s="1100"/>
      <c r="F76" s="1105"/>
      <c r="G76" s="1100"/>
      <c r="H76" s="1100"/>
      <c r="I76" s="1100"/>
      <c r="J76" s="1100"/>
      <c r="K76" s="1100"/>
      <c r="L76" s="1100"/>
      <c r="M76" s="1100"/>
      <c r="N76" s="1100"/>
      <c r="O76" s="1100"/>
      <c r="P76" s="1100"/>
      <c r="Q76" s="103"/>
    </row>
    <row r="77" spans="1:17">
      <c r="A77" s="103"/>
      <c r="B77" s="1100"/>
      <c r="C77" s="497" t="s">
        <v>126</v>
      </c>
      <c r="D77" s="497" t="s">
        <v>127</v>
      </c>
      <c r="E77" s="1100"/>
      <c r="F77" s="1100"/>
      <c r="G77" s="1100"/>
      <c r="H77" s="1100"/>
      <c r="I77" s="1100"/>
      <c r="J77" s="1100"/>
      <c r="K77" s="1100"/>
      <c r="L77" s="1100"/>
      <c r="M77" s="1100"/>
      <c r="N77" s="1100"/>
      <c r="O77" s="1100"/>
      <c r="P77" s="1100"/>
      <c r="Q77" s="103"/>
    </row>
    <row r="78" spans="1:17">
      <c r="A78" s="103"/>
      <c r="B78" s="1100"/>
      <c r="C78" s="498">
        <f t="shared" ref="C78:C89" si="5">IF(G22&lt;&gt;0,G22,$L$20)</f>
        <v>49340.32</v>
      </c>
      <c r="D78" s="498">
        <f>'PV Sim'!I5</f>
        <v>84596.543010617708</v>
      </c>
      <c r="E78" s="1100"/>
      <c r="F78" s="1100"/>
      <c r="G78" s="1100"/>
      <c r="H78" s="1100"/>
      <c r="I78" s="1100"/>
      <c r="J78" s="1100"/>
      <c r="K78" s="1100"/>
      <c r="L78" s="1100"/>
      <c r="M78" s="1100"/>
      <c r="N78" s="1100"/>
      <c r="O78" s="1100"/>
      <c r="P78" s="1100"/>
      <c r="Q78" s="103"/>
    </row>
    <row r="79" spans="1:17">
      <c r="A79" s="103"/>
      <c r="B79" s="1100"/>
      <c r="C79" s="498">
        <f t="shared" si="5"/>
        <v>55321.440000000002</v>
      </c>
      <c r="D79" s="498">
        <f>'PV Sim'!I6</f>
        <v>71688.707399836348</v>
      </c>
      <c r="E79" s="1100"/>
      <c r="F79" s="1100"/>
      <c r="G79" s="1100"/>
      <c r="H79" s="1100"/>
      <c r="I79" s="1100"/>
      <c r="J79" s="1100"/>
      <c r="K79" s="1100"/>
      <c r="L79" s="1100"/>
      <c r="M79" s="1100"/>
      <c r="N79" s="1100"/>
      <c r="O79" s="1100"/>
      <c r="P79" s="1100"/>
      <c r="Q79" s="103"/>
    </row>
    <row r="80" spans="1:17">
      <c r="A80" s="103"/>
      <c r="B80" s="1100"/>
      <c r="C80" s="498">
        <f t="shared" si="5"/>
        <v>50704.32</v>
      </c>
      <c r="D80" s="498">
        <f>'PV Sim'!I7</f>
        <v>72499.688659293955</v>
      </c>
      <c r="E80" s="1100"/>
      <c r="F80" s="1100"/>
      <c r="G80" s="1100"/>
      <c r="H80" s="1100"/>
      <c r="I80" s="1100"/>
      <c r="J80" s="1100"/>
      <c r="K80" s="1100"/>
      <c r="L80" s="1100"/>
      <c r="M80" s="1100"/>
      <c r="N80" s="1100"/>
      <c r="O80" s="1100"/>
      <c r="P80" s="1100"/>
      <c r="Q80" s="103"/>
    </row>
    <row r="81" spans="1:17">
      <c r="A81" s="103"/>
      <c r="B81" s="1100"/>
      <c r="C81" s="498">
        <f>IF(G25&lt;&gt;0,G25,$L$20)</f>
        <v>48446.400000000001</v>
      </c>
      <c r="D81" s="498">
        <f>'PV Sim'!I8</f>
        <v>59931.175751214534</v>
      </c>
      <c r="E81" s="1100"/>
      <c r="F81" s="1100"/>
      <c r="G81" s="1100"/>
      <c r="H81" s="1100"/>
      <c r="I81" s="1100"/>
      <c r="J81" s="1100"/>
      <c r="K81" s="1100"/>
      <c r="L81" s="1100"/>
      <c r="M81" s="1100"/>
      <c r="N81" s="1100"/>
      <c r="O81" s="1100"/>
      <c r="P81" s="1100"/>
      <c r="Q81" s="103"/>
    </row>
    <row r="82" spans="1:17">
      <c r="A82" s="103"/>
      <c r="B82" s="1100"/>
      <c r="C82" s="498">
        <f t="shared" si="5"/>
        <v>50376.480000000003</v>
      </c>
      <c r="D82" s="498">
        <f>'PV Sim'!I9</f>
        <v>56619.386172843719</v>
      </c>
      <c r="E82" s="1100"/>
      <c r="F82" s="1100"/>
      <c r="G82" s="1100"/>
      <c r="H82" s="1100"/>
      <c r="I82" s="1100"/>
      <c r="J82" s="1100"/>
      <c r="K82" s="1100"/>
      <c r="L82" s="1100"/>
      <c r="M82" s="1100"/>
      <c r="N82" s="1100"/>
      <c r="O82" s="1100"/>
      <c r="P82" s="1100"/>
      <c r="Q82" s="103"/>
    </row>
    <row r="83" spans="1:17">
      <c r="A83" s="103"/>
      <c r="B83" s="1100"/>
      <c r="C83" s="498">
        <f t="shared" si="5"/>
        <v>52984</v>
      </c>
      <c r="D83" s="498">
        <f>'PV Sim'!I10</f>
        <v>50535.330113398151</v>
      </c>
      <c r="E83" s="1100"/>
      <c r="F83" s="1100"/>
      <c r="G83" s="1100"/>
      <c r="H83" s="1100"/>
      <c r="I83" s="1100"/>
      <c r="J83" s="1100"/>
      <c r="K83" s="1100"/>
      <c r="L83" s="1100"/>
      <c r="M83" s="1100"/>
      <c r="N83" s="1100"/>
      <c r="O83" s="1100"/>
      <c r="P83" s="1100"/>
      <c r="Q83" s="103"/>
    </row>
    <row r="84" spans="1:17">
      <c r="A84" s="103"/>
      <c r="B84" s="1100"/>
      <c r="C84" s="498">
        <f t="shared" si="5"/>
        <v>51941.919999999998</v>
      </c>
      <c r="D84" s="498">
        <f>'PV Sim'!I11</f>
        <v>56174.873432304194</v>
      </c>
      <c r="E84" s="1100"/>
      <c r="F84" s="1100"/>
      <c r="G84" s="1100"/>
      <c r="H84" s="1100"/>
      <c r="I84" s="1100"/>
      <c r="J84" s="1100"/>
      <c r="K84" s="1100"/>
      <c r="L84" s="1100"/>
      <c r="M84" s="1100"/>
      <c r="N84" s="1100"/>
      <c r="O84" s="1100"/>
      <c r="P84" s="1100"/>
      <c r="Q84" s="103"/>
    </row>
    <row r="85" spans="1:17">
      <c r="A85" s="103"/>
      <c r="B85" s="1100"/>
      <c r="C85" s="498">
        <f t="shared" si="5"/>
        <v>57959.839999999997</v>
      </c>
      <c r="D85" s="498">
        <f>'PV Sim'!I12</f>
        <v>65930.401134984641</v>
      </c>
      <c r="E85" s="1100"/>
      <c r="F85" s="1100"/>
      <c r="G85" s="1100"/>
      <c r="H85" s="1100"/>
      <c r="I85" s="1100"/>
      <c r="J85" s="1100"/>
      <c r="K85" s="1100"/>
      <c r="L85" s="1100"/>
      <c r="M85" s="1100"/>
      <c r="N85" s="1100"/>
      <c r="O85" s="1100"/>
      <c r="P85" s="1100"/>
      <c r="Q85" s="103"/>
    </row>
    <row r="86" spans="1:17">
      <c r="A86" s="103"/>
      <c r="B86" s="1100"/>
      <c r="C86" s="498">
        <f t="shared" si="5"/>
        <v>50066.879999999997</v>
      </c>
      <c r="D86" s="498">
        <f>'PV Sim'!I13</f>
        <v>73795.901383615332</v>
      </c>
      <c r="E86" s="1100"/>
      <c r="F86" s="1100"/>
      <c r="G86" s="1100"/>
      <c r="H86" s="1100"/>
      <c r="I86" s="1100"/>
      <c r="J86" s="1100"/>
      <c r="K86" s="1100"/>
      <c r="L86" s="1100"/>
      <c r="M86" s="1100"/>
      <c r="N86" s="1100"/>
      <c r="O86" s="1100"/>
      <c r="P86" s="1100"/>
      <c r="Q86" s="103"/>
    </row>
    <row r="87" spans="1:17">
      <c r="A87" s="103"/>
      <c r="B87" s="1100"/>
      <c r="C87" s="498">
        <f t="shared" si="5"/>
        <v>44910.080000000002</v>
      </c>
      <c r="D87" s="498">
        <f>'PV Sim'!I14</f>
        <v>80694.331929545515</v>
      </c>
      <c r="E87" s="1100"/>
      <c r="F87" s="1100"/>
      <c r="G87" s="1100"/>
      <c r="H87" s="1100"/>
      <c r="I87" s="1100"/>
      <c r="J87" s="1100"/>
      <c r="K87" s="1100"/>
      <c r="L87" s="1100"/>
      <c r="M87" s="1100"/>
      <c r="N87" s="1100"/>
      <c r="O87" s="1100"/>
      <c r="P87" s="1100"/>
      <c r="Q87" s="103"/>
    </row>
    <row r="88" spans="1:17">
      <c r="A88" s="103"/>
      <c r="B88" s="1100"/>
      <c r="C88" s="498">
        <f t="shared" si="5"/>
        <v>51417.120000000003</v>
      </c>
      <c r="D88" s="498">
        <f>'PV Sim'!I15</f>
        <v>82587.752610622279</v>
      </c>
      <c r="E88" s="1100"/>
      <c r="F88" s="1100"/>
      <c r="G88" s="1100"/>
      <c r="H88" s="1100"/>
      <c r="I88" s="1100"/>
      <c r="J88" s="1100"/>
      <c r="K88" s="1100"/>
      <c r="L88" s="1100"/>
      <c r="M88" s="1100"/>
      <c r="N88" s="1100"/>
      <c r="O88" s="1100"/>
      <c r="P88" s="1100"/>
      <c r="Q88" s="103"/>
    </row>
    <row r="89" spans="1:17">
      <c r="A89" s="103"/>
      <c r="B89" s="1100"/>
      <c r="C89" s="498">
        <f t="shared" si="5"/>
        <v>42398.879999999997</v>
      </c>
      <c r="D89" s="498">
        <f>'PV Sim'!I16</f>
        <v>88318.913059257844</v>
      </c>
      <c r="E89" s="1100"/>
      <c r="F89" s="1100"/>
      <c r="G89" s="1100"/>
      <c r="H89" s="1100"/>
      <c r="I89" s="1100"/>
      <c r="J89" s="1100"/>
      <c r="K89" s="1100"/>
      <c r="L89" s="1100"/>
      <c r="M89" s="1100"/>
      <c r="N89" s="1100"/>
      <c r="O89" s="1100"/>
      <c r="P89" s="1100"/>
      <c r="Q89" s="103"/>
    </row>
    <row r="90" spans="1:17">
      <c r="A90" s="103"/>
      <c r="B90" s="1100"/>
      <c r="C90" s="1103"/>
      <c r="D90" s="1104"/>
      <c r="E90" s="1100"/>
      <c r="F90" s="1100"/>
      <c r="G90" s="1100"/>
      <c r="H90" s="1100"/>
      <c r="I90" s="1100"/>
      <c r="J90" s="1100"/>
      <c r="K90" s="1100"/>
      <c r="L90" s="1100"/>
      <c r="M90" s="1100"/>
      <c r="N90" s="1100"/>
      <c r="O90" s="1100"/>
      <c r="P90" s="1100"/>
      <c r="Q90" s="103"/>
    </row>
    <row r="91" spans="1:17">
      <c r="A91" s="103"/>
      <c r="B91" s="1100"/>
      <c r="C91" s="498">
        <f>SUM(C78:C89)</f>
        <v>605867.68000000005</v>
      </c>
      <c r="D91" s="501">
        <f>SUM(D78:D89)</f>
        <v>843373.00465753418</v>
      </c>
      <c r="E91" s="1100"/>
      <c r="F91" s="1100"/>
      <c r="G91" s="1100"/>
      <c r="H91" s="1100"/>
      <c r="I91" s="1100"/>
      <c r="J91" s="1100"/>
      <c r="K91" s="1100"/>
      <c r="L91" s="1100"/>
      <c r="M91" s="1100"/>
      <c r="N91" s="1100"/>
      <c r="O91" s="1100"/>
      <c r="P91" s="1100"/>
      <c r="Q91" s="103"/>
    </row>
    <row r="92" spans="1:17">
      <c r="A92" s="103"/>
      <c r="B92" s="1100"/>
      <c r="C92" s="1101"/>
      <c r="D92" s="1100"/>
      <c r="E92" s="1102"/>
      <c r="F92" s="1100"/>
      <c r="G92" s="1100"/>
      <c r="H92" s="1100"/>
      <c r="I92" s="1100"/>
      <c r="J92" s="1100"/>
      <c r="K92" s="1100"/>
      <c r="L92" s="1100"/>
      <c r="M92" s="1100"/>
      <c r="N92" s="1100"/>
      <c r="O92" s="1100"/>
      <c r="P92" s="1100"/>
      <c r="Q92" s="103"/>
    </row>
    <row r="93" spans="1:17">
      <c r="A93" s="103"/>
      <c r="B93" s="1100"/>
      <c r="C93" s="1101"/>
      <c r="D93" s="1100"/>
      <c r="E93" s="1100"/>
      <c r="F93" s="1100"/>
      <c r="G93" s="1100"/>
      <c r="H93" s="1100"/>
      <c r="I93" s="1100"/>
      <c r="J93" s="1100"/>
      <c r="K93" s="1100"/>
      <c r="L93" s="1100"/>
      <c r="M93" s="1100"/>
      <c r="N93" s="1100"/>
      <c r="O93" s="1100"/>
      <c r="P93" s="1100"/>
      <c r="Q93" s="103"/>
    </row>
    <row r="94" spans="1:17">
      <c r="A94" s="103"/>
      <c r="B94" s="103"/>
      <c r="C94" s="104"/>
      <c r="D94" s="103"/>
      <c r="E94" s="103"/>
      <c r="F94" s="103"/>
      <c r="G94" s="103"/>
      <c r="H94" s="103"/>
      <c r="I94" s="103"/>
      <c r="J94" s="103"/>
      <c r="K94" s="103"/>
      <c r="L94" s="103"/>
      <c r="M94" s="103"/>
      <c r="N94" s="103"/>
      <c r="O94" s="103"/>
      <c r="P94" s="103"/>
      <c r="Q94" s="103"/>
    </row>
    <row r="95" spans="1:17" ht="12.75" customHeight="1">
      <c r="A95" s="103"/>
      <c r="B95" s="103"/>
      <c r="C95" s="104"/>
      <c r="D95" s="103"/>
      <c r="E95" s="103"/>
      <c r="F95" s="103"/>
      <c r="G95" s="103"/>
      <c r="H95" s="103"/>
      <c r="I95" s="103"/>
      <c r="J95" s="103"/>
      <c r="K95" s="103"/>
      <c r="L95" s="103"/>
      <c r="M95" s="103"/>
      <c r="N95" s="103"/>
      <c r="O95" s="103"/>
      <c r="P95" s="103"/>
      <c r="Q95" s="103"/>
    </row>
  </sheetData>
  <mergeCells count="31">
    <mergeCell ref="I71:J71"/>
    <mergeCell ref="C20:G20"/>
    <mergeCell ref="C76:D76"/>
    <mergeCell ref="C16:N16"/>
    <mergeCell ref="I67:J67"/>
    <mergeCell ref="I68:J68"/>
    <mergeCell ref="I69:J69"/>
    <mergeCell ref="I70:J70"/>
    <mergeCell ref="N67:P67"/>
    <mergeCell ref="C43:D43"/>
    <mergeCell ref="C44:D44"/>
    <mergeCell ref="C45:D45"/>
    <mergeCell ref="C48:D48"/>
    <mergeCell ref="F43:I43"/>
    <mergeCell ref="F44:I44"/>
    <mergeCell ref="C39:I39"/>
    <mergeCell ref="C38:N38"/>
    <mergeCell ref="K39:N39"/>
    <mergeCell ref="C2:N2"/>
    <mergeCell ref="C52:N52"/>
    <mergeCell ref="C66:F66"/>
    <mergeCell ref="C3:D3"/>
    <mergeCell ref="F3:M3"/>
    <mergeCell ref="C53:F53"/>
    <mergeCell ref="I66:K66"/>
    <mergeCell ref="C65:N65"/>
    <mergeCell ref="C62:D62"/>
    <mergeCell ref="K27:M27"/>
    <mergeCell ref="F45:I45"/>
    <mergeCell ref="F47:I47"/>
    <mergeCell ref="F48:I48"/>
  </mergeCells>
  <phoneticPr fontId="126" type="noConversion"/>
  <conditionalFormatting sqref="F6:N12">
    <cfRule type="expression" dxfId="30" priority="39" stopIfTrue="1">
      <formula>$A$6=0</formula>
    </cfRule>
  </conditionalFormatting>
  <conditionalFormatting sqref="G7:H12">
    <cfRule type="expression" dxfId="29" priority="37" stopIfTrue="1">
      <formula>$A$6=0</formula>
    </cfRule>
  </conditionalFormatting>
  <conditionalFormatting sqref="C8:D8 J5:J12">
    <cfRule type="expression" dxfId="28" priority="36" stopIfTrue="1">
      <formula>$D$6&lt;&gt;"Pitch roof"</formula>
    </cfRule>
  </conditionalFormatting>
  <conditionalFormatting sqref="F7:N12">
    <cfRule type="expression" dxfId="27" priority="35" stopIfTrue="1">
      <formula>$D$5=2</formula>
    </cfRule>
  </conditionalFormatting>
  <conditionalFormatting sqref="F8:N12">
    <cfRule type="expression" dxfId="26" priority="34" stopIfTrue="1">
      <formula>$D$5=3</formula>
    </cfRule>
  </conditionalFormatting>
  <conditionalFormatting sqref="F9:N12">
    <cfRule type="expression" dxfId="25" priority="33">
      <formula>$D$5=4</formula>
    </cfRule>
  </conditionalFormatting>
  <conditionalFormatting sqref="F10:N12">
    <cfRule type="expression" dxfId="24" priority="32">
      <formula>$D$5=5</formula>
    </cfRule>
  </conditionalFormatting>
  <conditionalFormatting sqref="F11:N12">
    <cfRule type="expression" dxfId="23" priority="31">
      <formula>$D$5=6</formula>
    </cfRule>
  </conditionalFormatting>
  <conditionalFormatting sqref="F12:N12">
    <cfRule type="expression" dxfId="22" priority="30">
      <formula>$D$5=7</formula>
    </cfRule>
  </conditionalFormatting>
  <conditionalFormatting sqref="D57:F58">
    <cfRule type="expression" dxfId="21" priority="29">
      <formula>$D$54="Time of Use"</formula>
    </cfRule>
  </conditionalFormatting>
  <conditionalFormatting sqref="D55">
    <cfRule type="expression" dxfId="20" priority="27">
      <formula>$D$54="Time of Use"</formula>
    </cfRule>
    <cfRule type="expression" dxfId="19" priority="28">
      <formula>$D$54="Time of Use"</formula>
    </cfRule>
  </conditionalFormatting>
  <conditionalFormatting sqref="C7:D7">
    <cfRule type="expression" dxfId="18" priority="26">
      <formula>OR($D$6=#REF!,$D$6=#REF!)</formula>
    </cfRule>
  </conditionalFormatting>
  <conditionalFormatting sqref="E21:F21 E23:F33">
    <cfRule type="expression" dxfId="17" priority="198">
      <formula>$G$18="Flat Rate"</formula>
    </cfRule>
  </conditionalFormatting>
  <conditionalFormatting sqref="E22:F22">
    <cfRule type="expression" dxfId="16" priority="6">
      <formula>$G$18="Flat Rate"</formula>
    </cfRule>
  </conditionalFormatting>
  <conditionalFormatting sqref="M28:M29">
    <cfRule type="notContainsBlanks" dxfId="15" priority="5">
      <formula>LEN(TRIM(M28))&gt;0</formula>
    </cfRule>
  </conditionalFormatting>
  <conditionalFormatting sqref="L28:L29">
    <cfRule type="cellIs" dxfId="14" priority="2" operator="greaterThanOrEqual">
      <formula>0.9</formula>
    </cfRule>
  </conditionalFormatting>
  <conditionalFormatting sqref="D60:D61">
    <cfRule type="expression" dxfId="13" priority="204">
      <formula>$F$54="No"</formula>
    </cfRule>
  </conditionalFormatting>
  <conditionalFormatting sqref="E49 L48">
    <cfRule type="cellIs" dxfId="12" priority="1" operator="equal">
      <formula>0</formula>
    </cfRule>
  </conditionalFormatting>
  <dataValidations count="14">
    <dataValidation type="list" allowBlank="1" showInputMessage="1" showErrorMessage="1" sqref="L23:L24 C40 K40" xr:uid="{70B0F3F8-A828-40B9-82BE-04D0DB10C922}">
      <formula1>"Y,N"</formula1>
    </dataValidation>
    <dataValidation type="list" allowBlank="1" showInputMessage="1" showErrorMessage="1" sqref="G66" xr:uid="{A3A8DF44-E73A-432F-8395-7C7EDA8A55B4}">
      <formula1>#REF!</formula1>
    </dataValidation>
    <dataValidation type="list" allowBlank="1" showInputMessage="1" showErrorMessage="1" sqref="K5:K12" xr:uid="{993A4F7F-B26A-402D-9DD9-43E1BC5FF51F}">
      <formula1>roof_orientation</formula1>
    </dataValidation>
    <dataValidation type="list" allowBlank="1" showInputMessage="1" showErrorMessage="1" sqref="D8 J5:J12" xr:uid="{AC1140FF-957B-4368-A5B6-EAEAF42CC8FD}">
      <formula1>roof_inclination</formula1>
    </dataValidation>
    <dataValidation type="list" allowBlank="1" showInputMessage="1" showErrorMessage="1" sqref="D5" xr:uid="{DC7B5E62-F967-4061-826A-27BB66828092}">
      <formula1>"1,2,3,4,5,6,7,8"</formula1>
    </dataValidation>
    <dataValidation type="list" allowBlank="1" showInputMessage="1" showErrorMessage="1" sqref="D54 G18" xr:uid="{1D6C5723-175D-424F-9241-DA81931E74DE}">
      <formula1>"Flat Rate, Time of Use"</formula1>
    </dataValidation>
    <dataValidation type="list" allowBlank="1" showInputMessage="1" showErrorMessage="1" sqref="D4" xr:uid="{F5E8FB9B-707E-4E1C-A452-18126B0A17FD}">
      <formula1>location</formula1>
    </dataValidation>
    <dataValidation type="list" allowBlank="1" showInputMessage="1" showErrorMessage="1" sqref="L5" xr:uid="{8D7A9CF9-6DF0-4016-AE64-17C736CF5252}">
      <formula1>"50%,60%,70%,80%,90%,100%"</formula1>
    </dataValidation>
    <dataValidation type="list" allowBlank="1" showInputMessage="1" showErrorMessage="1" sqref="L22" xr:uid="{2363A13A-D555-4ADE-A51D-2762307B3F97}">
      <formula1>"8,10,12,18,24"</formula1>
    </dataValidation>
    <dataValidation type="list" allowBlank="1" showInputMessage="1" showErrorMessage="1" sqref="D67" xr:uid="{CE34A9B3-401E-4DB6-AD37-FAD77ED73183}">
      <formula1>"Poly, Mono Perc"</formula1>
    </dataValidation>
    <dataValidation type="list" allowBlank="1" showInputMessage="1" showErrorMessage="1" sqref="G55" xr:uid="{F41909A6-5E62-40E3-8ADD-F91C6B7D18AB}">
      <formula1>"Spu1,Lpu,Ruraflex,Landrate 123,Scale,Megaflex,LpuMV,LpuLV,LpuMVtou,LpuLVtou"</formula1>
    </dataValidation>
    <dataValidation type="list" allowBlank="1" showInputMessage="1" showErrorMessage="1" sqref="G54" xr:uid="{960D51B0-3E15-4DB1-B055-C337CA12D1F5}">
      <formula1>"2018-2019,2019-2020"</formula1>
    </dataValidation>
    <dataValidation type="list" allowBlank="1" showInputMessage="1" showErrorMessage="1" sqref="E47" xr:uid="{A74FE217-A797-4283-B954-91C98FB6D592}">
      <formula1>"PEAK, AVERAGE"</formula1>
    </dataValidation>
    <dataValidation type="list" allowBlank="1" showInputMessage="1" showErrorMessage="1" sqref="F54" xr:uid="{16EE86F9-611A-4151-A4A7-E8E6BB7F0793}">
      <formula1>"Yes,No"</formula1>
    </dataValidation>
  </dataValidations>
  <pageMargins left="0.7" right="0.7" top="0.75" bottom="0.75" header="0.3" footer="0.3"/>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RunGoalSeek">
                <anchor moveWithCells="1" sizeWithCells="1">
                  <from>
                    <xdr:col>9</xdr:col>
                    <xdr:colOff>12700</xdr:colOff>
                    <xdr:row>53</xdr:row>
                    <xdr:rowOff>50800</xdr:rowOff>
                  </from>
                  <to>
                    <xdr:col>10</xdr:col>
                    <xdr:colOff>1295400</xdr:colOff>
                    <xdr:row>60</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73EA2F75-F6F0-4520-BF98-469C92DC136D}">
          <x14:formula1>
            <xm:f>'Ref 1'!$L$15:$L$16</xm:f>
          </x14:formula1>
          <xm:sqref>D70</xm:sqref>
        </x14:dataValidation>
        <x14:dataValidation type="list" allowBlank="1" showInputMessage="1" showErrorMessage="1" xr:uid="{E26636C7-104D-4479-9555-07A3FE1A44CD}">
          <x14:formula1>
            <xm:f>'2.1 Sizing Data'!$A$9:$A$14</xm:f>
          </x14:formula1>
          <xm:sqref>L6:L12</xm:sqref>
        </x14:dataValidation>
        <x14:dataValidation type="list" allowBlank="1" showInputMessage="1" showErrorMessage="1" xr:uid="{87387876-97C9-4D1E-A915-DF54A077CDE1}">
          <x14:formula1>
            <xm:f>'Ref 1'!$L$23:$L$26</xm:f>
          </x14:formula1>
          <xm:sqref>D6</xm:sqref>
        </x14:dataValidation>
        <x14:dataValidation type="list" allowBlank="1" showInputMessage="1" showErrorMessage="1" xr:uid="{F6BEF571-5E8D-4EFF-83E3-41B338BF3CBF}">
          <x14:formula1>
            <xm:f>'Ref 1'!$L$28:$L$36</xm:f>
          </x14:formula1>
          <xm:sqref>D7</xm:sqref>
        </x14:dataValidation>
        <x14:dataValidation type="list" allowBlank="1" showInputMessage="1" showErrorMessage="1" xr:uid="{2D3286B3-2DC6-4A1D-9819-F660F10EC678}">
          <x14:formula1>
            <xm:f>'Ref 1'!$L$42:$L$53</xm:f>
          </x14:formula1>
          <xm:sqref>H57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7">
    <tabColor rgb="FF00B050"/>
  </sheetPr>
  <dimension ref="A1:AM47"/>
  <sheetViews>
    <sheetView topLeftCell="E11" zoomScale="55" zoomScaleNormal="55" workbookViewId="0">
      <selection activeCell="AB23" sqref="AB23"/>
    </sheetView>
  </sheetViews>
  <sheetFormatPr defaultColWidth="9.140625" defaultRowHeight="14.5"/>
  <cols>
    <col min="1" max="1" width="4" style="117" customWidth="1"/>
    <col min="2" max="2" width="2.140625" style="117" customWidth="1"/>
    <col min="3" max="3" width="12.42578125" style="117" customWidth="1"/>
    <col min="4" max="4" width="14" style="117" customWidth="1"/>
    <col min="5" max="5" width="14.7109375" style="117" customWidth="1"/>
    <col min="6" max="6" width="6.140625" style="117" customWidth="1"/>
    <col min="7" max="7" width="10.28515625" style="117" customWidth="1"/>
    <col min="8" max="8" width="12.140625" style="117" customWidth="1"/>
    <col min="9" max="9" width="10.42578125" style="117" customWidth="1"/>
    <col min="10" max="10" width="4.7109375" style="117" customWidth="1"/>
    <col min="11" max="11" width="13.28515625" style="117" customWidth="1"/>
    <col min="12" max="12" width="7.42578125" style="117" customWidth="1"/>
    <col min="13" max="13" width="11.5703125" style="117" customWidth="1"/>
    <col min="14" max="14" width="2.42578125" style="117" customWidth="1"/>
    <col min="15" max="15" width="1.42578125" style="117" customWidth="1"/>
    <col min="16" max="16" width="4.42578125" style="117" customWidth="1"/>
    <col min="17" max="17" width="3.140625" style="117" customWidth="1"/>
    <col min="18" max="18" width="15.7109375" style="117" customWidth="1"/>
    <col min="19" max="19" width="16.7109375" style="117" customWidth="1"/>
    <col min="20" max="20" width="18.28515625" style="117" customWidth="1"/>
    <col min="21" max="21" width="13.140625" style="117" customWidth="1"/>
    <col min="22" max="22" width="13.28515625" style="117" customWidth="1"/>
    <col min="23" max="23" width="6.7109375" style="117" customWidth="1"/>
    <col min="24" max="24" width="6" style="117" customWidth="1"/>
    <col min="25" max="25" width="7.7109375" style="117" customWidth="1"/>
    <col min="26" max="26" width="4.140625" style="117" customWidth="1"/>
    <col min="27" max="27" width="2.42578125" style="117" customWidth="1"/>
    <col min="28" max="28" width="4" style="117" bestFit="1" customWidth="1"/>
    <col min="29" max="29" width="3.42578125" style="117" customWidth="1"/>
    <col min="30" max="30" width="9.140625" style="117"/>
    <col min="31" max="31" width="19.7109375" style="117" bestFit="1" customWidth="1"/>
    <col min="32" max="32" width="12.7109375" style="117" bestFit="1" customWidth="1"/>
    <col min="33" max="16384" width="9.140625" style="117"/>
  </cols>
  <sheetData>
    <row r="1" spans="1:39" ht="15" thickBot="1">
      <c r="A1" s="106"/>
      <c r="B1" s="106"/>
      <c r="C1" s="106"/>
      <c r="D1" s="106"/>
      <c r="E1" s="106"/>
      <c r="F1" s="106"/>
      <c r="G1" s="106"/>
      <c r="H1" s="106"/>
      <c r="I1" s="106"/>
      <c r="J1" s="106"/>
      <c r="K1" s="106"/>
      <c r="L1" s="106"/>
      <c r="M1" s="106"/>
      <c r="N1" s="106"/>
      <c r="O1" s="106"/>
      <c r="P1" s="106"/>
      <c r="Q1" s="106"/>
      <c r="R1" s="106"/>
      <c r="S1" s="106"/>
      <c r="T1" s="106"/>
      <c r="U1" s="106"/>
      <c r="V1" s="106"/>
      <c r="W1" s="106"/>
      <c r="X1" s="106"/>
      <c r="AD1" s="847"/>
      <c r="AE1" s="847"/>
      <c r="AF1" s="847"/>
      <c r="AG1" s="847"/>
      <c r="AH1" s="847"/>
      <c r="AI1" s="847"/>
      <c r="AJ1" s="847"/>
      <c r="AK1" s="847"/>
      <c r="AL1" s="847"/>
      <c r="AM1" s="847"/>
    </row>
    <row r="2" spans="1:39" ht="21.5" thickBot="1">
      <c r="A2" s="106"/>
      <c r="B2" s="1483" t="s">
        <v>128</v>
      </c>
      <c r="C2" s="1484"/>
      <c r="D2" s="1484"/>
      <c r="E2" s="1484"/>
      <c r="F2" s="1484"/>
      <c r="G2" s="1484"/>
      <c r="H2" s="1484"/>
      <c r="I2" s="1484"/>
      <c r="J2" s="1484"/>
      <c r="K2" s="1484"/>
      <c r="L2" s="1484"/>
      <c r="M2" s="1484"/>
      <c r="N2" s="1484"/>
      <c r="O2" s="1485"/>
      <c r="P2" s="106"/>
      <c r="Q2" s="1476" t="s">
        <v>129</v>
      </c>
      <c r="R2" s="1477"/>
      <c r="S2" s="1477"/>
      <c r="T2" s="1477"/>
      <c r="U2" s="1477"/>
      <c r="V2" s="1477"/>
      <c r="W2" s="1477"/>
      <c r="X2" s="128"/>
      <c r="AD2" s="847"/>
      <c r="AE2" s="844" t="s">
        <v>130</v>
      </c>
      <c r="AF2" s="117" t="s">
        <v>131</v>
      </c>
      <c r="AM2" s="847"/>
    </row>
    <row r="3" spans="1:39" ht="21.5" thickBot="1">
      <c r="A3" s="106"/>
      <c r="B3" s="144"/>
      <c r="C3" s="682"/>
      <c r="D3" s="682"/>
      <c r="E3" s="682"/>
      <c r="F3" s="682"/>
      <c r="G3" s="682"/>
      <c r="H3" s="682"/>
      <c r="I3" s="682"/>
      <c r="J3" s="682"/>
      <c r="K3" s="682"/>
      <c r="L3" s="682"/>
      <c r="M3" s="682"/>
      <c r="N3" s="682"/>
      <c r="O3" s="145"/>
      <c r="P3" s="106"/>
      <c r="Q3" s="133"/>
      <c r="R3" s="134"/>
      <c r="S3" s="134"/>
      <c r="T3" s="134"/>
      <c r="U3" s="134"/>
      <c r="V3" s="135" t="s">
        <v>132</v>
      </c>
      <c r="W3" s="134"/>
      <c r="X3" s="106"/>
      <c r="AD3" s="847"/>
      <c r="AE3" s="846" t="s">
        <v>133</v>
      </c>
      <c r="AM3" s="847"/>
    </row>
    <row r="4" spans="1:39">
      <c r="A4" s="106"/>
      <c r="B4" s="144"/>
      <c r="C4" s="683" t="s">
        <v>134</v>
      </c>
      <c r="D4" s="980" t="str">
        <f>'Design Inputs'!D70</f>
        <v>Q2 2025</v>
      </c>
      <c r="E4" s="1493" t="s">
        <v>968</v>
      </c>
      <c r="F4" s="1494"/>
      <c r="G4" s="156"/>
      <c r="H4" s="156"/>
      <c r="I4" s="156"/>
      <c r="J4" s="683" t="s">
        <v>135</v>
      </c>
      <c r="K4" s="978">
        <f>EVEN(ROUNDDOWN('Design Inputs'!K67*1000/Module_Capacity,0))</f>
        <v>874</v>
      </c>
      <c r="L4" s="1489" t="s">
        <v>968</v>
      </c>
      <c r="M4" s="1490"/>
      <c r="N4" s="156"/>
      <c r="O4" s="146"/>
      <c r="P4" s="106"/>
      <c r="Q4" s="136"/>
      <c r="R4" s="137" t="s">
        <v>136</v>
      </c>
      <c r="S4" s="118" t="s">
        <v>137</v>
      </c>
      <c r="T4" s="138"/>
      <c r="U4" s="137" t="s">
        <v>138</v>
      </c>
      <c r="V4" s="118" t="s">
        <v>42</v>
      </c>
      <c r="W4" s="138"/>
      <c r="X4" s="106"/>
      <c r="AD4" s="847"/>
      <c r="AE4" s="117" t="s">
        <v>139</v>
      </c>
      <c r="AF4" s="850">
        <f>'Design Inputs'!E41</f>
        <v>248.09093567251455</v>
      </c>
      <c r="AG4" s="117" t="s">
        <v>140</v>
      </c>
      <c r="AM4" s="847"/>
    </row>
    <row r="5" spans="1:39" ht="15" thickBot="1">
      <c r="A5" s="106"/>
      <c r="B5" s="144"/>
      <c r="C5" s="683" t="s">
        <v>141</v>
      </c>
      <c r="D5" s="981" t="str">
        <f>'Design Inputs'!D67</f>
        <v>Mono Perc</v>
      </c>
      <c r="E5" s="1495"/>
      <c r="F5" s="1496"/>
      <c r="G5" s="156"/>
      <c r="H5" s="156"/>
      <c r="I5" s="156"/>
      <c r="J5" s="683" t="s">
        <v>142</v>
      </c>
      <c r="K5" s="979">
        <f>IF(D6&lt;&gt;0,IF(K4&lt;&gt;0,D6*K4/1000,""),"")</f>
        <v>480.7</v>
      </c>
      <c r="L5" s="1491"/>
      <c r="M5" s="1492"/>
      <c r="N5" s="156"/>
      <c r="O5" s="146"/>
      <c r="P5" s="106"/>
      <c r="Q5" s="136" t="s">
        <v>143</v>
      </c>
      <c r="R5" s="137"/>
      <c r="S5" s="141">
        <v>25</v>
      </c>
      <c r="T5" s="138"/>
      <c r="U5" s="137" t="s">
        <v>144</v>
      </c>
      <c r="V5" s="118"/>
      <c r="W5" s="138"/>
      <c r="X5" s="106"/>
      <c r="AD5" s="847"/>
      <c r="AE5" s="117" t="s">
        <v>145</v>
      </c>
      <c r="AF5" s="851">
        <f>'Design Inputs'!E40</f>
        <v>2</v>
      </c>
      <c r="AG5" s="117" t="s">
        <v>146</v>
      </c>
      <c r="AM5" s="847"/>
    </row>
    <row r="6" spans="1:39" ht="15" thickBot="1">
      <c r="A6" s="106"/>
      <c r="B6" s="144"/>
      <c r="C6" s="683" t="s">
        <v>147</v>
      </c>
      <c r="D6" s="982">
        <f>'Design Inputs'!D68</f>
        <v>550</v>
      </c>
      <c r="E6" s="1497"/>
      <c r="F6" s="1498"/>
      <c r="G6" s="156"/>
      <c r="H6" s="156"/>
      <c r="I6" s="156"/>
      <c r="J6" s="156"/>
      <c r="K6" s="156"/>
      <c r="L6" s="156"/>
      <c r="M6" s="156"/>
      <c r="N6" s="156"/>
      <c r="O6" s="146"/>
      <c r="P6" s="106"/>
      <c r="Q6" s="136" t="s">
        <v>148</v>
      </c>
      <c r="R6" s="137"/>
      <c r="S6" s="141">
        <v>20</v>
      </c>
      <c r="T6" s="138"/>
      <c r="U6" s="137" t="s">
        <v>149</v>
      </c>
      <c r="V6" s="118" t="s">
        <v>42</v>
      </c>
      <c r="W6" s="138"/>
      <c r="X6" s="106"/>
      <c r="AD6" s="847"/>
      <c r="AE6" s="117" t="s">
        <v>150</v>
      </c>
      <c r="AF6" s="844">
        <f>7-IF('Design Inputs'!L23= "Y",1,0)-IF('Design Inputs'!L24= "Y",1,0)</f>
        <v>5</v>
      </c>
      <c r="AG6" s="117" t="s">
        <v>151</v>
      </c>
      <c r="AM6" s="847"/>
    </row>
    <row r="7" spans="1:39">
      <c r="A7" s="106"/>
      <c r="B7" s="144"/>
      <c r="C7" s="156"/>
      <c r="D7" s="156"/>
      <c r="E7" s="156"/>
      <c r="F7" s="156"/>
      <c r="G7" s="156"/>
      <c r="H7" s="156"/>
      <c r="I7" s="156"/>
      <c r="J7" s="156"/>
      <c r="K7" s="156"/>
      <c r="L7" s="156"/>
      <c r="M7" s="156"/>
      <c r="N7" s="156"/>
      <c r="O7" s="146"/>
      <c r="P7" s="106"/>
      <c r="Q7" s="136"/>
      <c r="R7" s="138"/>
      <c r="S7" s="138"/>
      <c r="T7" s="138"/>
      <c r="U7" s="137" t="s">
        <v>152</v>
      </c>
      <c r="V7" s="118" t="s">
        <v>42</v>
      </c>
      <c r="W7" s="138"/>
      <c r="X7" s="106"/>
      <c r="AD7" s="847"/>
      <c r="AE7" s="117" t="s">
        <v>153</v>
      </c>
      <c r="AF7" s="848">
        <f>'Design Inputs'!L21/('Costing Inputs'!AF6*4.25)/'Design Inputs'!L22</f>
        <v>266.18698039215684</v>
      </c>
      <c r="AG7" s="117" t="s">
        <v>154</v>
      </c>
      <c r="AM7" s="847"/>
    </row>
    <row r="8" spans="1:39">
      <c r="A8" s="106"/>
      <c r="B8" s="144"/>
      <c r="C8" s="156"/>
      <c r="D8" s="156"/>
      <c r="E8" s="156"/>
      <c r="F8" s="156"/>
      <c r="G8" s="156"/>
      <c r="H8" s="156"/>
      <c r="I8" s="156"/>
      <c r="J8" s="156"/>
      <c r="K8" s="156"/>
      <c r="L8" s="156"/>
      <c r="M8" s="156"/>
      <c r="N8" s="156"/>
      <c r="O8" s="146"/>
      <c r="P8" s="106"/>
      <c r="Q8" s="136"/>
      <c r="R8" s="137" t="s">
        <v>155</v>
      </c>
      <c r="S8" s="142">
        <v>50</v>
      </c>
      <c r="T8" s="138"/>
      <c r="U8" s="137" t="s">
        <v>156</v>
      </c>
      <c r="V8" s="118" t="s">
        <v>42</v>
      </c>
      <c r="W8" s="138"/>
      <c r="X8" s="106"/>
      <c r="AD8" s="847"/>
      <c r="AE8" s="117" t="s">
        <v>157</v>
      </c>
      <c r="AF8" s="117">
        <f>AF5*AF7</f>
        <v>532.37396078431368</v>
      </c>
      <c r="AM8" s="847"/>
    </row>
    <row r="9" spans="1:39" ht="23.25" customHeight="1">
      <c r="A9" s="106"/>
      <c r="B9" s="144"/>
      <c r="C9" s="1487" t="s">
        <v>158</v>
      </c>
      <c r="D9" s="1488"/>
      <c r="E9" s="167" t="b">
        <v>0</v>
      </c>
      <c r="F9" s="156"/>
      <c r="G9" s="1499" t="s">
        <v>159</v>
      </c>
      <c r="H9" s="1500"/>
      <c r="I9" s="167" t="b">
        <v>0</v>
      </c>
      <c r="J9" s="156"/>
      <c r="K9" s="1499" t="s">
        <v>160</v>
      </c>
      <c r="L9" s="1500"/>
      <c r="M9" s="167" t="b">
        <v>0</v>
      </c>
      <c r="N9" s="156"/>
      <c r="O9" s="146"/>
      <c r="P9" s="106"/>
      <c r="Q9" s="136"/>
      <c r="R9" s="137" t="s">
        <v>161</v>
      </c>
      <c r="S9" s="143" t="str">
        <f>ROUNDUP(Project_Size/S8,0) &amp; " Weeks"</f>
        <v>10 Weeks</v>
      </c>
      <c r="T9" s="138"/>
      <c r="U9" s="137" t="s">
        <v>162</v>
      </c>
      <c r="V9" s="118"/>
      <c r="W9" s="138"/>
      <c r="X9" s="106"/>
      <c r="AD9" s="847"/>
      <c r="AM9" s="847"/>
    </row>
    <row r="10" spans="1:39">
      <c r="A10" s="106"/>
      <c r="B10" s="144"/>
      <c r="C10" s="147" t="s">
        <v>163</v>
      </c>
      <c r="D10" s="147" t="s">
        <v>164</v>
      </c>
      <c r="E10" s="147" t="s">
        <v>165</v>
      </c>
      <c r="F10" s="156"/>
      <c r="G10" s="147" t="s">
        <v>163</v>
      </c>
      <c r="H10" s="147" t="s">
        <v>164</v>
      </c>
      <c r="I10" s="147" t="s">
        <v>165</v>
      </c>
      <c r="J10" s="156"/>
      <c r="K10" s="147" t="s">
        <v>163</v>
      </c>
      <c r="L10" s="147" t="s">
        <v>164</v>
      </c>
      <c r="M10" s="147" t="s">
        <v>165</v>
      </c>
      <c r="N10" s="156"/>
      <c r="O10" s="146"/>
      <c r="P10" s="106"/>
      <c r="Q10" s="136"/>
      <c r="R10" s="137" t="s">
        <v>166</v>
      </c>
      <c r="S10" s="143" t="str">
        <f>IF(ROUNDDOWN('Ref 1'!C49,0)&lt;2,2, ROUNDDOWN('Ref 1'!C49,0))&amp; " per week"</f>
        <v>2 per week</v>
      </c>
      <c r="T10" s="138"/>
      <c r="U10" s="137" t="s">
        <v>167</v>
      </c>
      <c r="V10" s="118"/>
      <c r="W10" s="139"/>
      <c r="X10" s="106"/>
      <c r="AD10" s="847"/>
      <c r="AE10" s="117" t="s">
        <v>168</v>
      </c>
      <c r="AF10" s="844">
        <v>4000</v>
      </c>
      <c r="AG10" s="117" t="s">
        <v>169</v>
      </c>
      <c r="AM10" s="847"/>
    </row>
    <row r="11" spans="1:39">
      <c r="A11" s="106"/>
      <c r="B11" s="144"/>
      <c r="C11" s="148">
        <f>'Supplier database'!C53</f>
        <v>110</v>
      </c>
      <c r="D11" s="149">
        <f>'Supplier database'!D53</f>
        <v>4</v>
      </c>
      <c r="E11" s="150">
        <f>Project_Size/(C11*D11)-1</f>
        <v>9.2500000000000027E-2</v>
      </c>
      <c r="F11" s="156"/>
      <c r="G11" s="148">
        <f>'Supplier database'!C54</f>
        <v>100</v>
      </c>
      <c r="H11" s="149">
        <f>'Supplier database'!D54</f>
        <v>4</v>
      </c>
      <c r="I11" s="150">
        <f>Project_Size/(G11*H11)-1</f>
        <v>0.20174999999999987</v>
      </c>
      <c r="J11" s="156"/>
      <c r="K11" s="151">
        <f>'Supplier database'!C52</f>
        <v>100</v>
      </c>
      <c r="L11" s="149">
        <f>'Supplier database'!D52</f>
        <v>4</v>
      </c>
      <c r="M11" s="150">
        <f>Project_Size/(K11*L11)-1</f>
        <v>0.20174999999999987</v>
      </c>
      <c r="N11" s="156"/>
      <c r="O11" s="146"/>
      <c r="P11" s="106"/>
      <c r="Q11" s="136"/>
      <c r="R11" s="138"/>
      <c r="S11" s="138"/>
      <c r="T11" s="138"/>
      <c r="U11" s="137" t="s">
        <v>170</v>
      </c>
      <c r="V11" s="118"/>
      <c r="W11" s="138"/>
      <c r="X11" s="106"/>
      <c r="AD11" s="847"/>
      <c r="AE11" s="117" t="s">
        <v>171</v>
      </c>
      <c r="AF11" s="117">
        <f>IFERROR(AF10*V18,0)</f>
        <v>2496000</v>
      </c>
      <c r="AM11" s="847"/>
    </row>
    <row r="12" spans="1:39">
      <c r="A12" s="106"/>
      <c r="B12" s="144"/>
      <c r="C12" s="1486" t="s">
        <v>172</v>
      </c>
      <c r="D12" s="1486"/>
      <c r="E12" s="152">
        <f>D11*C11*(1+'Supplier database'!B39)</f>
        <v>589.6</v>
      </c>
      <c r="F12" s="684"/>
      <c r="G12" s="1478" t="s">
        <v>172</v>
      </c>
      <c r="H12" s="1479"/>
      <c r="I12" s="152">
        <f>H11*G11*(1+'Supplier database'!B40)</f>
        <v>536</v>
      </c>
      <c r="J12" s="684"/>
      <c r="K12" s="1478" t="s">
        <v>172</v>
      </c>
      <c r="L12" s="1479"/>
      <c r="M12" s="152">
        <f>L11*K11*(1+'Supplier database'!B38)</f>
        <v>536</v>
      </c>
      <c r="N12" s="156"/>
      <c r="O12" s="146"/>
      <c r="P12" s="106"/>
      <c r="Q12" s="136"/>
      <c r="R12" s="138"/>
      <c r="S12" s="138"/>
      <c r="T12" s="138"/>
      <c r="U12" s="137" t="s">
        <v>173</v>
      </c>
      <c r="V12" s="118"/>
      <c r="W12" s="138"/>
      <c r="X12" s="106"/>
      <c r="AD12" s="847"/>
      <c r="AE12" s="117" t="s">
        <v>174</v>
      </c>
      <c r="AF12" s="845">
        <f>'Cost Summary'!H15</f>
        <v>3241222.222222222</v>
      </c>
      <c r="AG12" s="117" t="s">
        <v>175</v>
      </c>
      <c r="AM12" s="847"/>
    </row>
    <row r="13" spans="1:39">
      <c r="A13" s="106"/>
      <c r="B13" s="144"/>
      <c r="C13" s="153"/>
      <c r="D13" s="154"/>
      <c r="E13" s="1480"/>
      <c r="F13" s="685"/>
      <c r="G13" s="153"/>
      <c r="H13" s="154"/>
      <c r="I13" s="1480"/>
      <c r="J13" s="685"/>
      <c r="K13" s="153"/>
      <c r="L13" s="154"/>
      <c r="M13" s="1480"/>
      <c r="N13" s="156"/>
      <c r="O13" s="146"/>
      <c r="P13" s="106"/>
      <c r="Q13" s="136"/>
      <c r="R13" s="138"/>
      <c r="S13" s="138"/>
      <c r="T13" s="138"/>
      <c r="U13" s="137"/>
      <c r="V13" s="118"/>
      <c r="W13" s="138"/>
      <c r="X13" s="106"/>
      <c r="AD13" s="847"/>
      <c r="AE13" s="117" t="s">
        <v>176</v>
      </c>
      <c r="AF13" s="845">
        <f>IFERROR(AF12/AF11,0)</f>
        <v>1.2985665954415953</v>
      </c>
      <c r="AM13" s="847"/>
    </row>
    <row r="14" spans="1:39">
      <c r="A14" s="106"/>
      <c r="B14" s="144"/>
      <c r="C14" s="155">
        <f>C11*D11</f>
        <v>440</v>
      </c>
      <c r="D14" s="156" t="s">
        <v>36</v>
      </c>
      <c r="E14" s="1481"/>
      <c r="F14" s="156"/>
      <c r="G14" s="155">
        <f>G11*H11</f>
        <v>400</v>
      </c>
      <c r="H14" s="156" t="s">
        <v>36</v>
      </c>
      <c r="I14" s="1481"/>
      <c r="J14" s="156"/>
      <c r="K14" s="502">
        <f>K11*L11</f>
        <v>400</v>
      </c>
      <c r="L14" s="156" t="s">
        <v>36</v>
      </c>
      <c r="M14" s="1481"/>
      <c r="N14" s="156"/>
      <c r="O14" s="146"/>
      <c r="P14" s="106"/>
      <c r="Q14" s="136"/>
      <c r="R14" s="138"/>
      <c r="S14" s="138"/>
      <c r="T14" s="138"/>
      <c r="U14" s="137"/>
      <c r="V14" s="118"/>
      <c r="W14" s="138"/>
      <c r="X14" s="106"/>
      <c r="AD14" s="847"/>
      <c r="AM14" s="847"/>
    </row>
    <row r="15" spans="1:39" ht="15" thickBot="1">
      <c r="A15" s="106"/>
      <c r="B15" s="144"/>
      <c r="C15" s="157"/>
      <c r="D15" s="158"/>
      <c r="E15" s="1482"/>
      <c r="F15" s="156"/>
      <c r="G15" s="159"/>
      <c r="H15" s="160"/>
      <c r="I15" s="1482"/>
      <c r="J15" s="156"/>
      <c r="K15" s="159"/>
      <c r="L15" s="160"/>
      <c r="M15" s="1482"/>
      <c r="N15" s="156"/>
      <c r="O15" s="146"/>
      <c r="P15" s="106"/>
      <c r="Q15" s="136"/>
      <c r="R15" s="140"/>
      <c r="S15" s="140"/>
      <c r="T15" s="138"/>
      <c r="U15" s="137"/>
      <c r="V15" s="118"/>
      <c r="W15" s="138"/>
      <c r="X15" s="106"/>
      <c r="AD15" s="847"/>
      <c r="AE15" s="117" t="s">
        <v>177</v>
      </c>
      <c r="AF15" s="844">
        <v>200</v>
      </c>
      <c r="AM15" s="847"/>
    </row>
    <row r="16" spans="1:39" ht="15" thickBot="1">
      <c r="A16" s="106"/>
      <c r="B16" s="144"/>
      <c r="C16" s="685"/>
      <c r="D16" s="685"/>
      <c r="E16" s="799"/>
      <c r="F16" s="156"/>
      <c r="G16" s="156"/>
      <c r="H16" s="156"/>
      <c r="I16" s="799"/>
      <c r="J16" s="156"/>
      <c r="K16" s="156"/>
      <c r="L16" s="156"/>
      <c r="M16" s="799"/>
      <c r="N16" s="156"/>
      <c r="O16" s="146"/>
      <c r="P16" s="106"/>
      <c r="Q16" s="136"/>
      <c r="R16" s="140"/>
      <c r="S16" s="140"/>
      <c r="T16" s="938"/>
      <c r="U16" s="939" t="s">
        <v>178</v>
      </c>
      <c r="V16" s="946" t="str">
        <f>IF('Design Inputs'!K40="Y",'Design Inputs'!L48,"")</f>
        <v/>
      </c>
      <c r="W16" s="940"/>
      <c r="X16" s="106"/>
      <c r="AD16" s="847"/>
      <c r="AE16" s="117" t="s">
        <v>179</v>
      </c>
      <c r="AF16" s="844">
        <v>2</v>
      </c>
      <c r="AG16" s="117" t="s">
        <v>180</v>
      </c>
      <c r="AH16" s="117" t="s">
        <v>181</v>
      </c>
      <c r="AM16" s="847"/>
    </row>
    <row r="17" spans="1:39" ht="18.75" customHeight="1">
      <c r="A17" s="106"/>
      <c r="B17" s="144"/>
      <c r="C17" s="685"/>
      <c r="D17" s="685"/>
      <c r="E17" s="799"/>
      <c r="F17" s="156"/>
      <c r="G17" s="156"/>
      <c r="H17" s="156"/>
      <c r="I17" s="799"/>
      <c r="J17" s="156"/>
      <c r="K17" s="163" t="s">
        <v>182</v>
      </c>
      <c r="L17" s="163"/>
      <c r="M17" s="167" t="b">
        <v>1</v>
      </c>
      <c r="N17" s="156"/>
      <c r="O17" s="146"/>
      <c r="P17" s="106"/>
      <c r="Q17" s="136"/>
      <c r="R17" s="140"/>
      <c r="S17" s="140"/>
      <c r="T17" s="938"/>
      <c r="U17" s="939" t="s">
        <v>183</v>
      </c>
      <c r="V17" s="946">
        <f>IF('Design Inputs'!C40="Y",'Design Inputs'!E42,"")</f>
        <v>250</v>
      </c>
      <c r="W17" s="940"/>
      <c r="X17" s="106"/>
      <c r="AD17" s="847"/>
      <c r="AE17" s="117" t="s">
        <v>184</v>
      </c>
      <c r="AF17" s="117">
        <f>IFERROR(AF16*AF15*V18,0)</f>
        <v>249600</v>
      </c>
      <c r="AG17" s="117" t="s">
        <v>185</v>
      </c>
      <c r="AM17" s="847"/>
    </row>
    <row r="18" spans="1:39" ht="29">
      <c r="A18" s="106"/>
      <c r="B18" s="144"/>
      <c r="C18" s="161" t="s">
        <v>186</v>
      </c>
      <c r="D18" s="829">
        <v>1</v>
      </c>
      <c r="E18" s="1505" t="s">
        <v>187</v>
      </c>
      <c r="F18" s="1506"/>
      <c r="G18" s="1507" t="s">
        <v>188</v>
      </c>
      <c r="H18" s="1508"/>
      <c r="I18" s="799"/>
      <c r="J18" s="156"/>
      <c r="K18" s="168" t="str">
        <f>'Supplier database'!A55</f>
        <v>Huawei</v>
      </c>
      <c r="L18" s="147" t="s">
        <v>164</v>
      </c>
      <c r="M18" s="667" t="s">
        <v>165</v>
      </c>
      <c r="N18" s="156"/>
      <c r="O18" s="146"/>
      <c r="P18" s="106"/>
      <c r="Q18" s="136"/>
      <c r="R18" s="140"/>
      <c r="S18" s="140"/>
      <c r="T18" s="941"/>
      <c r="U18" s="137" t="s">
        <v>189</v>
      </c>
      <c r="V18" s="947">
        <f>IF('Design Inputs'!C40="Y",'Design Inputs'!E49,"")</f>
        <v>624</v>
      </c>
      <c r="W18" s="942"/>
      <c r="X18" s="106"/>
      <c r="AD18" s="847"/>
      <c r="AF18" s="849"/>
      <c r="AM18" s="847"/>
    </row>
    <row r="19" spans="1:39" ht="40" customHeight="1" thickBot="1">
      <c r="A19" s="106"/>
      <c r="B19" s="144"/>
      <c r="C19" s="161" t="s">
        <v>190</v>
      </c>
      <c r="D19" s="1410">
        <v>10</v>
      </c>
      <c r="E19" s="161" t="s">
        <v>191</v>
      </c>
      <c r="F19" s="801">
        <v>20</v>
      </c>
      <c r="G19" s="161" t="s">
        <v>192</v>
      </c>
      <c r="H19" s="801">
        <v>20</v>
      </c>
      <c r="I19" s="799"/>
      <c r="J19" s="156"/>
      <c r="K19" s="165">
        <f>'Supplier database'!C55</f>
        <v>100</v>
      </c>
      <c r="L19" s="667">
        <f>'Supplier database'!D55</f>
        <v>4</v>
      </c>
      <c r="M19" s="150">
        <f>Project_Size/(K19*L19)-1</f>
        <v>0.20174999999999987</v>
      </c>
      <c r="N19" s="156"/>
      <c r="O19" s="146"/>
      <c r="P19" s="106"/>
      <c r="Q19" s="136"/>
      <c r="R19" s="140"/>
      <c r="S19" s="140"/>
      <c r="T19" s="943"/>
      <c r="U19" s="944" t="s">
        <v>193</v>
      </c>
      <c r="V19" s="948" t="s">
        <v>42</v>
      </c>
      <c r="W19" s="945"/>
      <c r="X19" s="106"/>
      <c r="AD19" s="847"/>
      <c r="AE19" s="847"/>
      <c r="AF19" s="847"/>
      <c r="AG19" s="847"/>
      <c r="AH19" s="847"/>
      <c r="AI19" s="847"/>
      <c r="AJ19" s="847"/>
      <c r="AK19" s="847"/>
      <c r="AL19" s="847"/>
      <c r="AM19" s="847"/>
    </row>
    <row r="20" spans="1:39" ht="29.5" thickBot="1">
      <c r="A20" s="106"/>
      <c r="B20" s="144"/>
      <c r="C20" s="161" t="s">
        <v>194</v>
      </c>
      <c r="D20" s="801">
        <v>15</v>
      </c>
      <c r="E20" s="683"/>
      <c r="F20" s="683"/>
      <c r="G20" s="683"/>
      <c r="H20" s="683"/>
      <c r="I20" s="156"/>
      <c r="J20" s="156"/>
      <c r="K20" s="1503" t="s">
        <v>172</v>
      </c>
      <c r="L20" s="1504"/>
      <c r="M20" s="166">
        <f>L19*K19*(1+INDEX('Supplier database'!B38:B40,MATCH(K18,'Supplier database'!A38:A40,0),1))</f>
        <v>536</v>
      </c>
      <c r="N20" s="156"/>
      <c r="O20" s="146"/>
      <c r="P20" s="106"/>
      <c r="Q20" s="106"/>
      <c r="R20" s="106"/>
      <c r="S20" s="106"/>
      <c r="T20" s="106"/>
      <c r="U20" s="106"/>
      <c r="V20" s="106"/>
      <c r="W20" s="106"/>
      <c r="X20" s="106"/>
      <c r="Y20" s="106"/>
      <c r="Z20" s="106"/>
      <c r="AA20" s="106"/>
      <c r="AB20" s="106"/>
      <c r="AC20" s="106"/>
    </row>
    <row r="21" spans="1:39" ht="21.5" thickBot="1">
      <c r="A21" s="106"/>
      <c r="B21" s="144"/>
      <c r="C21" s="161" t="s">
        <v>195</v>
      </c>
      <c r="D21" s="801">
        <v>110</v>
      </c>
      <c r="E21" s="683"/>
      <c r="F21" s="683"/>
      <c r="G21" s="683"/>
      <c r="H21" s="683"/>
      <c r="I21" s="683"/>
      <c r="J21" s="683"/>
      <c r="K21" s="156"/>
      <c r="L21" s="156"/>
      <c r="M21" s="156"/>
      <c r="N21" s="156"/>
      <c r="O21" s="146"/>
      <c r="P21" s="106"/>
      <c r="Q21" s="1473" t="s">
        <v>196</v>
      </c>
      <c r="R21" s="1474"/>
      <c r="S21" s="1474"/>
      <c r="T21" s="1474"/>
      <c r="U21" s="1474"/>
      <c r="V21" s="1474"/>
      <c r="W21" s="1475"/>
      <c r="X21" s="106"/>
      <c r="Y21" s="1511" t="s">
        <v>197</v>
      </c>
      <c r="Z21" s="1511"/>
      <c r="AA21" s="1511"/>
      <c r="AB21" s="1511"/>
      <c r="AC21" s="106"/>
    </row>
    <row r="22" spans="1:39" ht="29">
      <c r="A22" s="106"/>
      <c r="B22" s="686"/>
      <c r="C22" s="161" t="s">
        <v>198</v>
      </c>
      <c r="D22" s="162">
        <f>IF(AND(M9=TRUE,Projectsize&lt;250),D21*2*Module_Quantity/22,D21*2*Module_Quantity/16)</f>
        <v>12017.5</v>
      </c>
      <c r="E22" s="156"/>
      <c r="F22" s="683"/>
      <c r="G22" s="683"/>
      <c r="H22" s="683"/>
      <c r="I22" s="683"/>
      <c r="J22" s="687"/>
      <c r="K22" s="156"/>
      <c r="L22" s="156"/>
      <c r="M22" s="156"/>
      <c r="N22" s="687"/>
      <c r="O22" s="688"/>
      <c r="P22" s="106"/>
      <c r="Q22" s="169"/>
      <c r="R22" s="677"/>
      <c r="S22" s="677"/>
      <c r="T22" s="677"/>
      <c r="U22" s="677"/>
      <c r="V22" s="677"/>
      <c r="W22" s="170"/>
      <c r="X22" s="106"/>
      <c r="Y22" s="1512" t="s">
        <v>199</v>
      </c>
      <c r="Z22" s="1512"/>
      <c r="AA22" s="1512"/>
      <c r="AB22" s="1415">
        <v>0.16</v>
      </c>
      <c r="AC22" s="106"/>
    </row>
    <row r="23" spans="1:39" ht="29">
      <c r="A23" s="106"/>
      <c r="B23" s="164"/>
      <c r="C23" s="161" t="s">
        <v>200</v>
      </c>
      <c r="D23" s="801">
        <v>150</v>
      </c>
      <c r="E23" s="161" t="s">
        <v>201</v>
      </c>
      <c r="F23" s="952">
        <v>0</v>
      </c>
      <c r="G23" s="683"/>
      <c r="H23" s="683"/>
      <c r="I23" s="683"/>
      <c r="J23" s="682"/>
      <c r="K23" s="156"/>
      <c r="L23" s="156"/>
      <c r="M23" s="156"/>
      <c r="N23" s="682"/>
      <c r="O23" s="146"/>
      <c r="P23" s="106"/>
      <c r="Q23" s="169"/>
      <c r="R23" s="1520" t="s">
        <v>124</v>
      </c>
      <c r="S23" s="1521"/>
      <c r="T23" s="1513" t="s">
        <v>202</v>
      </c>
      <c r="U23" s="1514"/>
      <c r="V23" s="1515"/>
      <c r="W23" s="170"/>
      <c r="X23" s="106"/>
      <c r="Y23" s="1512" t="s">
        <v>203</v>
      </c>
      <c r="Z23" s="1512"/>
      <c r="AA23" s="1512"/>
      <c r="AB23" s="1415">
        <v>0.08</v>
      </c>
      <c r="AC23" s="106"/>
    </row>
    <row r="24" spans="1:39" ht="19.5" customHeight="1">
      <c r="A24" s="106"/>
      <c r="B24" s="164"/>
      <c r="C24" s="161" t="s">
        <v>204</v>
      </c>
      <c r="D24" s="952">
        <v>0</v>
      </c>
      <c r="E24" s="161"/>
      <c r="F24" s="952"/>
      <c r="G24" s="683"/>
      <c r="H24" s="683"/>
      <c r="I24" s="683"/>
      <c r="J24" s="689"/>
      <c r="K24" s="156"/>
      <c r="L24" s="156"/>
      <c r="M24" s="156"/>
      <c r="N24" s="156"/>
      <c r="O24" s="146"/>
      <c r="P24" s="106"/>
      <c r="Q24" s="169"/>
      <c r="R24" s="171" t="s">
        <v>205</v>
      </c>
      <c r="S24" s="172">
        <f>'Cost Summary'!H38</f>
        <v>16.410985768616438</v>
      </c>
      <c r="T24" s="171" t="s">
        <v>206</v>
      </c>
      <c r="U24" s="173">
        <f>'Cost Summary'!D41</f>
        <v>0.13541779460949105</v>
      </c>
      <c r="V24" s="172">
        <f>'Cost Summary'!C41</f>
        <v>1068278.5977239227</v>
      </c>
      <c r="W24" s="170"/>
      <c r="X24" s="106"/>
      <c r="Y24" s="1512" t="s">
        <v>207</v>
      </c>
      <c r="Z24" s="1512"/>
      <c r="AA24" s="1512"/>
      <c r="AB24" s="503">
        <f>IF(Generator_Size&lt;100,15%,IF(Generator_Size&lt;300,15%,IF(Generator_Size&lt;500,12%,IF(Project_Size&lt;1500,12%,12%))))</f>
        <v>0.12</v>
      </c>
      <c r="AC24" s="106"/>
    </row>
    <row r="25" spans="1:39" ht="19.5" customHeight="1">
      <c r="A25" s="106"/>
      <c r="B25" s="164"/>
      <c r="C25" s="161" t="s">
        <v>208</v>
      </c>
      <c r="D25" s="952">
        <v>0</v>
      </c>
      <c r="E25" s="161"/>
      <c r="F25" s="952"/>
      <c r="G25" s="683"/>
      <c r="H25" s="683"/>
      <c r="I25" s="156"/>
      <c r="J25" s="156"/>
      <c r="K25" s="156"/>
      <c r="L25" s="156"/>
      <c r="M25" s="156"/>
      <c r="N25" s="156"/>
      <c r="O25" s="146"/>
      <c r="P25" s="106"/>
      <c r="Q25" s="169"/>
      <c r="R25" s="171" t="s">
        <v>209</v>
      </c>
      <c r="S25" s="174">
        <f>'Cost Summary'!H37</f>
        <v>7888760.8589739222</v>
      </c>
      <c r="T25" s="171" t="s">
        <v>210</v>
      </c>
      <c r="U25" s="173">
        <f>'Cost Summary'!D44</f>
        <v>0.13000108282511139</v>
      </c>
      <c r="V25" s="172">
        <f>'Cost Summary'!C44</f>
        <v>1025547.4538149658</v>
      </c>
      <c r="W25" s="170"/>
      <c r="X25" s="106"/>
      <c r="Y25" s="1512" t="s">
        <v>211</v>
      </c>
      <c r="Z25" s="1512"/>
      <c r="AA25" s="1512"/>
      <c r="AB25" s="503">
        <v>0.1</v>
      </c>
      <c r="AC25" s="106"/>
    </row>
    <row r="26" spans="1:39" ht="15.75" customHeight="1">
      <c r="A26" s="106"/>
      <c r="B26" s="164"/>
      <c r="C26" s="163" t="s">
        <v>16</v>
      </c>
      <c r="D26" s="143" t="str">
        <f>'Design Inputs'!D6</f>
        <v>Pitch Roof</v>
      </c>
      <c r="E26" s="156"/>
      <c r="F26" s="683"/>
      <c r="G26" s="683"/>
      <c r="H26" s="683"/>
      <c r="I26" s="156"/>
      <c r="J26" s="156"/>
      <c r="K26" s="156"/>
      <c r="L26" s="156"/>
      <c r="M26" s="156"/>
      <c r="N26" s="156"/>
      <c r="O26" s="146"/>
      <c r="P26" s="106"/>
      <c r="Q26" s="169"/>
      <c r="R26" s="175" t="s">
        <v>212</v>
      </c>
      <c r="S26" s="176">
        <f>'Financial Inputs'!D16</f>
        <v>0</v>
      </c>
      <c r="T26" s="177" t="s">
        <v>213</v>
      </c>
      <c r="U26" s="178">
        <f>'Cost Summary'!D42</f>
        <v>0</v>
      </c>
      <c r="V26" s="172">
        <f>'Cost Summary'!C42</f>
        <v>0</v>
      </c>
      <c r="W26" s="170"/>
      <c r="X26" s="106"/>
      <c r="Y26" s="1512" t="s">
        <v>214</v>
      </c>
      <c r="Z26" s="1512"/>
      <c r="AA26" s="1512"/>
      <c r="AB26" s="503">
        <v>0.1</v>
      </c>
      <c r="AC26" s="106"/>
    </row>
    <row r="27" spans="1:39">
      <c r="A27" s="106"/>
      <c r="B27" s="164"/>
      <c r="C27" s="163" t="s">
        <v>18</v>
      </c>
      <c r="D27" s="143" t="str">
        <f>'Design Inputs'!D7</f>
        <v>IBR</v>
      </c>
      <c r="E27" s="156"/>
      <c r="F27" s="683"/>
      <c r="G27" s="683"/>
      <c r="H27" s="683"/>
      <c r="I27" s="156"/>
      <c r="J27" s="156"/>
      <c r="K27" s="156"/>
      <c r="L27" s="156"/>
      <c r="M27" s="156"/>
      <c r="N27" s="156"/>
      <c r="O27" s="146"/>
      <c r="P27" s="106"/>
      <c r="Q27" s="169"/>
      <c r="R27" s="175" t="s">
        <v>215</v>
      </c>
      <c r="S27" s="179" t="s">
        <v>216</v>
      </c>
      <c r="T27" s="177" t="s">
        <v>976</v>
      </c>
      <c r="U27" s="178">
        <f>'Financial Inputs'!D17</f>
        <v>0.04</v>
      </c>
      <c r="V27" s="172">
        <f>'Cost Summary'!C43</f>
        <v>42731.14390895691</v>
      </c>
      <c r="W27" s="170"/>
      <c r="X27" s="106"/>
      <c r="Y27" s="1512" t="s">
        <v>217</v>
      </c>
      <c r="Z27" s="1512"/>
      <c r="AA27" s="1512"/>
      <c r="AB27" s="503">
        <v>0.2</v>
      </c>
      <c r="AC27" s="106"/>
    </row>
    <row r="28" spans="1:39" ht="15" thickBot="1">
      <c r="A28" s="106"/>
      <c r="B28" s="690"/>
      <c r="C28" s="691"/>
      <c r="D28" s="691"/>
      <c r="E28" s="692"/>
      <c r="F28" s="692"/>
      <c r="G28" s="692"/>
      <c r="H28" s="692"/>
      <c r="I28" s="692"/>
      <c r="J28" s="692"/>
      <c r="K28" s="692"/>
      <c r="L28" s="692"/>
      <c r="M28" s="692"/>
      <c r="N28" s="693"/>
      <c r="O28" s="694"/>
      <c r="P28" s="106"/>
      <c r="Q28" s="169"/>
      <c r="R28" s="677"/>
      <c r="S28" s="677"/>
      <c r="T28" s="677"/>
      <c r="U28" s="677"/>
      <c r="V28" s="677"/>
      <c r="W28" s="170"/>
      <c r="X28" s="106"/>
      <c r="Y28" s="1512" t="s">
        <v>218</v>
      </c>
      <c r="Z28" s="1512"/>
      <c r="AA28" s="1512"/>
      <c r="AB28" s="503">
        <v>0.15</v>
      </c>
      <c r="AC28" s="106"/>
    </row>
    <row r="29" spans="1:39" ht="15" thickBot="1">
      <c r="A29" s="106"/>
      <c r="B29" s="129"/>
      <c r="C29" s="1530"/>
      <c r="D29" s="1530"/>
      <c r="E29" s="1472"/>
      <c r="F29" s="1472"/>
      <c r="G29" s="1472"/>
      <c r="H29" s="1501"/>
      <c r="I29" s="1502"/>
      <c r="J29" s="130"/>
      <c r="K29" s="1472"/>
      <c r="L29" s="1472"/>
      <c r="M29" s="1472"/>
      <c r="N29" s="131"/>
      <c r="O29" s="132"/>
      <c r="P29" s="106"/>
      <c r="Q29" s="169"/>
      <c r="R29" s="1470" t="s">
        <v>219</v>
      </c>
      <c r="S29" s="1471"/>
      <c r="T29" s="666" t="s">
        <v>220</v>
      </c>
      <c r="U29" s="1516" t="s">
        <v>221</v>
      </c>
      <c r="V29" s="1517"/>
      <c r="W29" s="170"/>
      <c r="X29" s="106"/>
      <c r="Y29" s="106"/>
      <c r="Z29" s="106"/>
      <c r="AA29" s="106"/>
      <c r="AB29" s="106"/>
      <c r="AC29" s="106"/>
    </row>
    <row r="30" spans="1:39">
      <c r="A30" s="106"/>
      <c r="B30" s="119"/>
      <c r="C30" s="120"/>
      <c r="D30" s="120"/>
      <c r="E30" s="120"/>
      <c r="F30" s="120"/>
      <c r="G30" s="120"/>
      <c r="H30" s="120"/>
      <c r="I30" s="120"/>
      <c r="J30" s="120"/>
      <c r="K30" s="120"/>
      <c r="L30" s="120"/>
      <c r="M30" s="120"/>
      <c r="N30" s="120"/>
      <c r="O30" s="121"/>
      <c r="P30" s="106"/>
      <c r="Q30" s="169"/>
      <c r="R30" s="1509" t="s">
        <v>222</v>
      </c>
      <c r="S30" s="1510"/>
      <c r="T30" s="180">
        <f>IF(Project_Size&lt;350, 0.5, 0.35)</f>
        <v>0.35</v>
      </c>
      <c r="U30" s="1518">
        <f>T30*S25</f>
        <v>2761066.3006408727</v>
      </c>
      <c r="V30" s="1519"/>
      <c r="W30" s="170"/>
      <c r="X30" s="106"/>
    </row>
    <row r="31" spans="1:39" ht="15.75" customHeight="1">
      <c r="A31" s="106"/>
      <c r="B31" s="119"/>
      <c r="C31" s="1524" t="s">
        <v>223</v>
      </c>
      <c r="D31" s="1525"/>
      <c r="E31" s="1525"/>
      <c r="F31" s="1525"/>
      <c r="G31" s="1525"/>
      <c r="H31" s="1525"/>
      <c r="I31" s="1525"/>
      <c r="J31" s="1525"/>
      <c r="K31" s="1525"/>
      <c r="L31" s="1525"/>
      <c r="M31" s="1526"/>
      <c r="N31" s="122"/>
      <c r="O31" s="121"/>
      <c r="P31" s="106"/>
      <c r="Q31" s="169"/>
      <c r="R31" s="1509" t="s">
        <v>224</v>
      </c>
      <c r="S31" s="1510"/>
      <c r="T31" s="180">
        <f>IF(Project_Size&lt;350, 0.25, 0.3)</f>
        <v>0.3</v>
      </c>
      <c r="U31" s="1518">
        <f>T31*S25</f>
        <v>2366628.2576921764</v>
      </c>
      <c r="V31" s="1519"/>
      <c r="W31" s="170"/>
      <c r="X31" s="106"/>
    </row>
    <row r="32" spans="1:39">
      <c r="A32" s="106"/>
      <c r="B32" s="119"/>
      <c r="C32" s="123" t="s">
        <v>225</v>
      </c>
      <c r="D32" s="1524" t="s">
        <v>226</v>
      </c>
      <c r="E32" s="1525"/>
      <c r="F32" s="1525"/>
      <c r="G32" s="1526"/>
      <c r="H32" s="1524" t="s">
        <v>227</v>
      </c>
      <c r="I32" s="1526"/>
      <c r="J32" s="1524" t="s">
        <v>228</v>
      </c>
      <c r="K32" s="1525"/>
      <c r="L32" s="1525"/>
      <c r="M32" s="1526"/>
      <c r="N32" s="122"/>
      <c r="O32" s="121"/>
      <c r="P32" s="106"/>
      <c r="Q32" s="169"/>
      <c r="R32" s="1509" t="s">
        <v>229</v>
      </c>
      <c r="S32" s="1510"/>
      <c r="T32" s="180">
        <f>1-T31-T30-T33-T34</f>
        <v>0.19999999999999996</v>
      </c>
      <c r="U32" s="1518">
        <f>T32*S25</f>
        <v>1577752.171794784</v>
      </c>
      <c r="V32" s="1519"/>
      <c r="W32" s="170"/>
      <c r="X32" s="106"/>
    </row>
    <row r="33" spans="1:24">
      <c r="A33" s="106"/>
      <c r="B33" s="119"/>
      <c r="C33" s="118" t="s">
        <v>230</v>
      </c>
      <c r="D33" s="1459" t="s">
        <v>1140</v>
      </c>
      <c r="E33" s="1460"/>
      <c r="F33" s="1460"/>
      <c r="G33" s="1461"/>
      <c r="H33" s="1462">
        <v>384750</v>
      </c>
      <c r="I33" s="1463"/>
      <c r="J33" s="1527"/>
      <c r="K33" s="1528"/>
      <c r="L33" s="1528"/>
      <c r="M33" s="1529"/>
      <c r="N33" s="122"/>
      <c r="O33" s="121"/>
      <c r="P33" s="106"/>
      <c r="Q33" s="169"/>
      <c r="R33" s="1509" t="s">
        <v>231</v>
      </c>
      <c r="S33" s="1510"/>
      <c r="T33" s="180">
        <v>0.1</v>
      </c>
      <c r="U33" s="1518">
        <f>T33*S25</f>
        <v>788876.08589739224</v>
      </c>
      <c r="V33" s="1519"/>
      <c r="W33" s="170"/>
      <c r="X33" s="106"/>
    </row>
    <row r="34" spans="1:24" ht="15" thickBot="1">
      <c r="A34" s="106"/>
      <c r="B34" s="119"/>
      <c r="C34" s="118" t="s">
        <v>230</v>
      </c>
      <c r="D34" s="1459" t="s">
        <v>1155</v>
      </c>
      <c r="E34" s="1460"/>
      <c r="F34" s="1460"/>
      <c r="G34" s="1461"/>
      <c r="H34" s="1522">
        <v>331000</v>
      </c>
      <c r="I34" s="1523"/>
      <c r="J34" s="1462" t="s">
        <v>1149</v>
      </c>
      <c r="K34" s="1464"/>
      <c r="L34" s="1464"/>
      <c r="M34" s="1463"/>
      <c r="N34" s="122"/>
      <c r="O34" s="121"/>
      <c r="P34" s="106"/>
      <c r="Q34" s="169"/>
      <c r="R34" s="1533" t="s">
        <v>232</v>
      </c>
      <c r="S34" s="1534"/>
      <c r="T34" s="181">
        <v>0.05</v>
      </c>
      <c r="U34" s="1531">
        <f>T34*S25</f>
        <v>394438.04294869612</v>
      </c>
      <c r="V34" s="1532"/>
      <c r="W34" s="170"/>
      <c r="X34" s="106"/>
    </row>
    <row r="35" spans="1:24">
      <c r="A35" s="106"/>
      <c r="B35" s="119"/>
      <c r="C35" s="118" t="s">
        <v>584</v>
      </c>
      <c r="D35" s="1459"/>
      <c r="E35" s="1460"/>
      <c r="F35" s="1460"/>
      <c r="G35" s="1461"/>
      <c r="H35" s="1462"/>
      <c r="I35" s="1463"/>
      <c r="J35" s="1462"/>
      <c r="K35" s="1464"/>
      <c r="L35" s="1464"/>
      <c r="M35" s="1463"/>
      <c r="N35" s="122"/>
      <c r="O35" s="121"/>
      <c r="P35" s="106"/>
      <c r="Q35" s="169"/>
      <c r="R35" s="1469"/>
      <c r="S35" s="1469"/>
      <c r="T35" s="678">
        <f>SUM(T30:T34)</f>
        <v>0.99999999999999989</v>
      </c>
      <c r="U35" s="1456">
        <f>SUM(U30:V34)</f>
        <v>7888760.8589739213</v>
      </c>
      <c r="V35" s="1456"/>
      <c r="W35" s="170"/>
      <c r="X35" s="106"/>
    </row>
    <row r="36" spans="1:24">
      <c r="A36" s="106"/>
      <c r="B36" s="119"/>
      <c r="C36" s="118" t="s">
        <v>584</v>
      </c>
      <c r="D36" s="1459"/>
      <c r="E36" s="1460"/>
      <c r="F36" s="1460"/>
      <c r="G36" s="1461"/>
      <c r="H36" s="1462"/>
      <c r="I36" s="1463"/>
      <c r="J36" s="1462"/>
      <c r="K36" s="1464"/>
      <c r="L36" s="1464"/>
      <c r="M36" s="1463"/>
      <c r="N36" s="122"/>
      <c r="O36" s="121"/>
      <c r="P36" s="106"/>
      <c r="Q36" s="182"/>
      <c r="R36" s="677"/>
      <c r="S36" s="1458"/>
      <c r="T36" s="1458"/>
      <c r="U36" s="1458"/>
      <c r="V36" s="1458"/>
      <c r="W36" s="170"/>
      <c r="X36" s="106"/>
    </row>
    <row r="37" spans="1:24" ht="15" thickBot="1">
      <c r="A37" s="106"/>
      <c r="B37" s="124"/>
      <c r="C37" s="118" t="s">
        <v>230</v>
      </c>
      <c r="D37" s="1465"/>
      <c r="E37" s="1466"/>
      <c r="F37" s="1466"/>
      <c r="G37" s="1467"/>
      <c r="H37" s="1462"/>
      <c r="I37" s="1463"/>
      <c r="J37" s="1462"/>
      <c r="K37" s="1464"/>
      <c r="L37" s="1464"/>
      <c r="M37" s="1463"/>
      <c r="N37" s="126"/>
      <c r="O37" s="127"/>
      <c r="P37" s="106"/>
      <c r="Q37" s="679"/>
      <c r="R37" s="680"/>
      <c r="S37" s="1468"/>
      <c r="T37" s="1468"/>
      <c r="U37" s="1468"/>
      <c r="V37" s="1468"/>
      <c r="W37" s="681"/>
      <c r="X37" s="106"/>
    </row>
    <row r="38" spans="1:24" ht="15" thickBot="1">
      <c r="A38" s="106"/>
      <c r="B38" s="106"/>
      <c r="C38" s="125"/>
      <c r="D38" s="126"/>
      <c r="E38" s="1457"/>
      <c r="F38" s="1457"/>
      <c r="G38" s="1457"/>
      <c r="H38" s="1457"/>
      <c r="I38" s="126"/>
      <c r="J38" s="126"/>
      <c r="K38" s="126"/>
      <c r="L38" s="126"/>
      <c r="M38" s="126"/>
      <c r="N38" s="106"/>
      <c r="O38" s="106"/>
      <c r="P38" s="106"/>
      <c r="Q38" s="106"/>
      <c r="R38" s="106"/>
      <c r="S38" s="106"/>
      <c r="T38" s="106"/>
      <c r="U38" s="106"/>
      <c r="V38" s="106"/>
      <c r="W38" s="106"/>
      <c r="X38" s="106"/>
    </row>
    <row r="39" spans="1:24">
      <c r="C39" s="106"/>
      <c r="D39" s="106"/>
      <c r="E39" s="106"/>
      <c r="F39" s="106"/>
      <c r="G39" s="106"/>
      <c r="H39" s="106"/>
      <c r="I39" s="106"/>
      <c r="J39" s="106"/>
      <c r="K39" s="106"/>
      <c r="L39" s="106"/>
      <c r="M39" s="106"/>
    </row>
    <row r="40" spans="1:24">
      <c r="V40" s="845">
        <v>1275383.4054063801</v>
      </c>
    </row>
    <row r="41" spans="1:24">
      <c r="H41" s="1403"/>
      <c r="S41" s="117" t="s">
        <v>202</v>
      </c>
      <c r="T41" s="845">
        <f>V25</f>
        <v>1025547.4538149658</v>
      </c>
      <c r="V41" s="1402">
        <f>V40-V25</f>
        <v>249835.95159141428</v>
      </c>
    </row>
    <row r="42" spans="1:24">
      <c r="S42" s="117" t="s">
        <v>1144</v>
      </c>
      <c r="T42" s="845">
        <v>50000</v>
      </c>
      <c r="V42" s="184">
        <f>V25/V40</f>
        <v>0.80410914041036297</v>
      </c>
      <c r="W42" s="117" t="s">
        <v>1146</v>
      </c>
    </row>
    <row r="43" spans="1:24">
      <c r="S43" s="117" t="s">
        <v>1145</v>
      </c>
      <c r="T43" s="845">
        <v>25000</v>
      </c>
      <c r="V43" s="184">
        <f>V24/V40</f>
        <v>0.83761368792746149</v>
      </c>
      <c r="W43" s="117" t="s">
        <v>1147</v>
      </c>
    </row>
    <row r="44" spans="1:24">
      <c r="T44" s="1403">
        <f>SUM(T41:T43)</f>
        <v>1100547.4538149657</v>
      </c>
      <c r="U44" s="117" t="s">
        <v>1146</v>
      </c>
    </row>
    <row r="45" spans="1:24">
      <c r="T45" s="184">
        <f>T44/V40</f>
        <v>0.86291498630899488</v>
      </c>
      <c r="U45" s="117" t="s">
        <v>1146</v>
      </c>
    </row>
    <row r="46" spans="1:24">
      <c r="T46" s="1403">
        <f>V24+T42+T43</f>
        <v>1143278.5977239227</v>
      </c>
      <c r="U46" s="117" t="s">
        <v>1148</v>
      </c>
    </row>
    <row r="47" spans="1:24">
      <c r="T47" s="184">
        <f>T46/V40</f>
        <v>0.89641953382609341</v>
      </c>
      <c r="U47" s="117" t="s">
        <v>1148</v>
      </c>
    </row>
  </sheetData>
  <dataConsolidate/>
  <mergeCells count="67">
    <mergeCell ref="D34:G34"/>
    <mergeCell ref="H34:I34"/>
    <mergeCell ref="J34:M34"/>
    <mergeCell ref="Y27:AA27"/>
    <mergeCell ref="Y28:AA28"/>
    <mergeCell ref="C31:M31"/>
    <mergeCell ref="D32:G32"/>
    <mergeCell ref="H32:I32"/>
    <mergeCell ref="J32:M32"/>
    <mergeCell ref="D33:G33"/>
    <mergeCell ref="J33:M33"/>
    <mergeCell ref="C29:D29"/>
    <mergeCell ref="H33:I33"/>
    <mergeCell ref="U34:V34"/>
    <mergeCell ref="R34:S34"/>
    <mergeCell ref="R32:S32"/>
    <mergeCell ref="R33:S33"/>
    <mergeCell ref="Y21:AB21"/>
    <mergeCell ref="Y24:AA24"/>
    <mergeCell ref="T23:V23"/>
    <mergeCell ref="Y25:AA25"/>
    <mergeCell ref="Y26:AA26"/>
    <mergeCell ref="Y22:AA22"/>
    <mergeCell ref="Y23:AA23"/>
    <mergeCell ref="U29:V29"/>
    <mergeCell ref="U30:V30"/>
    <mergeCell ref="U31:V31"/>
    <mergeCell ref="U32:V32"/>
    <mergeCell ref="U33:V33"/>
    <mergeCell ref="R31:S31"/>
    <mergeCell ref="R30:S30"/>
    <mergeCell ref="R23:S23"/>
    <mergeCell ref="E29:G29"/>
    <mergeCell ref="H29:I29"/>
    <mergeCell ref="K20:L20"/>
    <mergeCell ref="E18:F18"/>
    <mergeCell ref="G18:H18"/>
    <mergeCell ref="R29:S29"/>
    <mergeCell ref="K29:M29"/>
    <mergeCell ref="Q21:W21"/>
    <mergeCell ref="Q2:W2"/>
    <mergeCell ref="G12:H12"/>
    <mergeCell ref="K12:L12"/>
    <mergeCell ref="I13:I15"/>
    <mergeCell ref="B2:O2"/>
    <mergeCell ref="C12:D12"/>
    <mergeCell ref="E13:E15"/>
    <mergeCell ref="C9:D9"/>
    <mergeCell ref="L4:M5"/>
    <mergeCell ref="E4:F6"/>
    <mergeCell ref="M13:M15"/>
    <mergeCell ref="G9:H9"/>
    <mergeCell ref="K9:L9"/>
    <mergeCell ref="U35:V35"/>
    <mergeCell ref="E38:H38"/>
    <mergeCell ref="S36:V36"/>
    <mergeCell ref="D36:G36"/>
    <mergeCell ref="H36:I36"/>
    <mergeCell ref="J36:M36"/>
    <mergeCell ref="D37:G37"/>
    <mergeCell ref="J37:M37"/>
    <mergeCell ref="H37:I37"/>
    <mergeCell ref="S37:V37"/>
    <mergeCell ref="R35:S35"/>
    <mergeCell ref="D35:G35"/>
    <mergeCell ref="H35:I35"/>
    <mergeCell ref="J35:M35"/>
  </mergeCells>
  <conditionalFormatting sqref="T35">
    <cfRule type="cellIs" dxfId="11" priority="8" operator="notEqual">
      <formula>1</formula>
    </cfRule>
  </conditionalFormatting>
  <conditionalFormatting sqref="U35">
    <cfRule type="cellIs" dxfId="10" priority="184" operator="notEqual">
      <formula>$S$25</formula>
    </cfRule>
  </conditionalFormatting>
  <conditionalFormatting sqref="E13 I13 M13">
    <cfRule type="cellIs" dxfId="9" priority="1" operator="notEqual">
      <formula>""""""</formula>
    </cfRule>
  </conditionalFormatting>
  <dataValidations count="3">
    <dataValidation type="list" allowBlank="1" showInputMessage="1" showErrorMessage="1" sqref="S27" xr:uid="{00000000-0002-0000-0200-000003000000}">
      <formula1>"Of our margin, Of the EPC cost"</formula1>
    </dataValidation>
    <dataValidation type="list" showInputMessage="1" showErrorMessage="1" sqref="AF16" xr:uid="{846D78E6-F10B-4444-BE61-D6279D94322D}">
      <formula1>"1,2,3"</formula1>
    </dataValidation>
    <dataValidation type="list" allowBlank="1" showInputMessage="1" showErrorMessage="1" sqref="R36:R37" xr:uid="{00000000-0002-0000-0200-000000000000}">
      <formula1>$H$27:$H$37</formula1>
    </dataValidation>
  </dataValidations>
  <pageMargins left="0.7" right="0.7" top="0.75" bottom="0.75" header="0.3" footer="0.3"/>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Check Box 2">
              <controlPr defaultSize="0" autoFill="0" autoLine="0" autoPict="0">
                <anchor moveWithCells="1">
                  <from>
                    <xdr:col>3</xdr:col>
                    <xdr:colOff>952500</xdr:colOff>
                    <xdr:row>8</xdr:row>
                    <xdr:rowOff>0</xdr:rowOff>
                  </from>
                  <to>
                    <xdr:col>3</xdr:col>
                    <xdr:colOff>1143000</xdr:colOff>
                    <xdr:row>8</xdr:row>
                    <xdr:rowOff>266700</xdr:rowOff>
                  </to>
                </anchor>
              </controlPr>
            </control>
          </mc:Choice>
        </mc:AlternateContent>
        <mc:AlternateContent xmlns:mc="http://schemas.openxmlformats.org/markup-compatibility/2006">
          <mc:Choice Requires="x14">
            <control shapeId="8195" r:id="rId5" name="Check Box 3">
              <controlPr defaultSize="0" autoFill="0" autoLine="0" autoPict="0">
                <anchor moveWithCells="1">
                  <from>
                    <xdr:col>8</xdr:col>
                    <xdr:colOff>101600</xdr:colOff>
                    <xdr:row>7</xdr:row>
                    <xdr:rowOff>177800</xdr:rowOff>
                  </from>
                  <to>
                    <xdr:col>8</xdr:col>
                    <xdr:colOff>304800</xdr:colOff>
                    <xdr:row>8</xdr:row>
                    <xdr:rowOff>228600</xdr:rowOff>
                  </to>
                </anchor>
              </controlPr>
            </control>
          </mc:Choice>
        </mc:AlternateContent>
        <mc:AlternateContent xmlns:mc="http://schemas.openxmlformats.org/markup-compatibility/2006">
          <mc:Choice Requires="x14">
            <control shapeId="8196" r:id="rId6" name="Check Box 4">
              <controlPr defaultSize="0" autoFill="0" autoLine="0" autoPict="0">
                <anchor moveWithCells="1">
                  <from>
                    <xdr:col>12</xdr:col>
                    <xdr:colOff>0</xdr:colOff>
                    <xdr:row>7</xdr:row>
                    <xdr:rowOff>177800</xdr:rowOff>
                  </from>
                  <to>
                    <xdr:col>12</xdr:col>
                    <xdr:colOff>190500</xdr:colOff>
                    <xdr:row>8</xdr:row>
                    <xdr:rowOff>228600</xdr:rowOff>
                  </to>
                </anchor>
              </controlPr>
            </control>
          </mc:Choice>
        </mc:AlternateContent>
        <mc:AlternateContent xmlns:mc="http://schemas.openxmlformats.org/markup-compatibility/2006">
          <mc:Choice Requires="x14">
            <control shapeId="8224" r:id="rId7" name="Check Box 32">
              <controlPr defaultSize="0" autoFill="0" autoLine="0" autoPict="0">
                <anchor moveWithCells="1">
                  <from>
                    <xdr:col>11</xdr:col>
                    <xdr:colOff>431800</xdr:colOff>
                    <xdr:row>15</xdr:row>
                    <xdr:rowOff>177800</xdr:rowOff>
                  </from>
                  <to>
                    <xdr:col>12</xdr:col>
                    <xdr:colOff>38100</xdr:colOff>
                    <xdr:row>16</xdr:row>
                    <xdr:rowOff>203200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200-000004000000}">
          <x14:formula1>
            <xm:f>'Ref 1'!$L$3:$L$4</xm:f>
          </x14:formula1>
          <xm:sqref>V4:V15 V19</xm:sqref>
        </x14:dataValidation>
        <x14:dataValidation type="list" allowBlank="1" showInputMessage="1" showErrorMessage="1" xr:uid="{00000000-0002-0000-0200-000005000000}">
          <x14:formula1>
            <xm:f>'Ref 1'!$L$38:$L$39</xm:f>
          </x14:formula1>
          <xm:sqref>S4</xm:sqref>
        </x14:dataValidation>
        <x14:dataValidation type="list" allowBlank="1" showInputMessage="1" showErrorMessage="1" xr:uid="{00000000-0002-0000-0200-000006000000}">
          <x14:formula1>
            <xm:f>'Ref 1'!$L$11:$L$13</xm:f>
          </x14:formula1>
          <xm:sqref>S8</xm:sqref>
        </x14:dataValidation>
        <x14:dataValidation type="list" allowBlank="1" showInputMessage="1" showErrorMessage="1" xr:uid="{00000000-0002-0000-0200-000007000000}">
          <x14:formula1>
            <xm:f>'Ref 1'!$L$15:$L$16</xm:f>
          </x14:formula1>
          <xm:sqref>D4</xm:sqref>
        </x14:dataValidation>
        <x14:dataValidation type="list" allowBlank="1" showInputMessage="1" showErrorMessage="1" xr:uid="{00000000-0002-0000-0200-000009000000}">
          <x14:formula1>
            <xm:f>'Ref 1'!$L$23:$L$26</xm:f>
          </x14:formula1>
          <xm:sqref>D26</xm:sqref>
        </x14:dataValidation>
        <x14:dataValidation type="list" allowBlank="1" showInputMessage="1" showErrorMessage="1" xr:uid="{F8157C64-A975-44AE-AA8E-334E97A8B08D}">
          <x14:formula1>
            <xm:f>'Ref 1'!$L$28:$L$36</xm:f>
          </x14:formula1>
          <xm:sqref>D27</xm:sqref>
        </x14:dataValidation>
        <x14:dataValidation type="list" allowBlank="1" showInputMessage="1" showErrorMessage="1" xr:uid="{00000000-0002-0000-0200-000008000000}">
          <x14:formula1>
            <xm:f>'Ref 1'!$L$20:$L$21</xm:f>
          </x14:formula1>
          <xm:sqref>C33:C37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1">
    <tabColor theme="1" tint="0.39997558519241921"/>
  </sheetPr>
  <dimension ref="A1:K185"/>
  <sheetViews>
    <sheetView tabSelected="1" zoomScale="70" zoomScaleNormal="70" workbookViewId="0">
      <pane ySplit="1" topLeftCell="A20" activePane="bottomLeft" state="frozen"/>
      <selection activeCell="E95" sqref="E95"/>
      <selection pane="bottomLeft" activeCell="G35" sqref="G35"/>
    </sheetView>
  </sheetViews>
  <sheetFormatPr defaultColWidth="9.140625" defaultRowHeight="13.5" outlineLevelRow="7"/>
  <cols>
    <col min="1" max="1" width="46.5703125" style="6" customWidth="1"/>
    <col min="2" max="2" width="9.7109375" style="6" customWidth="1"/>
    <col min="3" max="3" width="10" style="6" customWidth="1"/>
    <col min="4" max="4" width="6" style="6" customWidth="1"/>
    <col min="5" max="5" width="14.28515625" style="512" customWidth="1"/>
    <col min="6" max="6" width="13.5703125" style="6" customWidth="1"/>
    <col min="7" max="7" width="27.42578125" style="512" customWidth="1"/>
    <col min="8" max="8" width="15.42578125" style="6" customWidth="1"/>
    <col min="9" max="9" width="4.42578125" style="6" customWidth="1"/>
    <col min="10" max="10" width="72.42578125" style="6" customWidth="1"/>
    <col min="11" max="11" width="10" style="6" customWidth="1"/>
    <col min="12" max="16384" width="9.140625" style="6"/>
  </cols>
  <sheetData>
    <row r="1" spans="1:10">
      <c r="B1" s="761"/>
      <c r="C1" s="761" t="s">
        <v>233</v>
      </c>
      <c r="D1" s="761" t="s">
        <v>234</v>
      </c>
      <c r="E1" s="762" t="s">
        <v>235</v>
      </c>
      <c r="F1" s="761" t="s">
        <v>236</v>
      </c>
      <c r="G1" s="762" t="s">
        <v>237</v>
      </c>
      <c r="H1" s="761" t="s">
        <v>238</v>
      </c>
      <c r="I1" s="763"/>
      <c r="J1" s="761" t="s">
        <v>239</v>
      </c>
    </row>
    <row r="2" spans="1:10" ht="20" thickBot="1">
      <c r="A2" s="764" t="s">
        <v>240</v>
      </c>
      <c r="B2" s="510"/>
      <c r="C2" s="510"/>
      <c r="D2" s="510"/>
      <c r="E2" s="511"/>
      <c r="F2" s="510"/>
      <c r="G2" s="511"/>
      <c r="H2" s="510"/>
    </row>
    <row r="3" spans="1:10" ht="14" outlineLevel="1" thickBot="1"/>
    <row r="4" spans="1:10" ht="15.5" outlineLevel="1" thickBot="1">
      <c r="A4" s="748" t="s">
        <v>241</v>
      </c>
      <c r="B4" s="749"/>
      <c r="C4" s="749"/>
      <c r="D4" s="749"/>
      <c r="E4" s="750"/>
      <c r="F4" s="749"/>
      <c r="G4" s="751">
        <f>SUM((G5:G7))</f>
        <v>1101764.3999999999</v>
      </c>
      <c r="H4" s="752">
        <f>G4/Project_Size/1000</f>
        <v>2.2919999999999998</v>
      </c>
    </row>
    <row r="5" spans="1:10" outlineLevel="2">
      <c r="A5" s="1389" t="s">
        <v>1137</v>
      </c>
      <c r="B5" s="20"/>
      <c r="C5" s="798">
        <v>0.12</v>
      </c>
      <c r="D5" s="20">
        <f>Module_Capacity</f>
        <v>550</v>
      </c>
      <c r="E5" s="1393">
        <f>((C5*USD_ZAR)*0.5+(C5*(USD_ZAR+0.2))*0.5)*D5</f>
        <v>1260.5999999999999</v>
      </c>
      <c r="F5" s="6">
        <f>Module_Quantity</f>
        <v>874</v>
      </c>
      <c r="G5" s="709">
        <f>F5*E5</f>
        <v>1101764.3999999999</v>
      </c>
      <c r="H5" s="710">
        <f>G5/Project_Size/1000</f>
        <v>2.2919999999999998</v>
      </c>
      <c r="J5" s="798" t="s">
        <v>1138</v>
      </c>
    </row>
    <row r="6" spans="1:10" outlineLevel="2">
      <c r="A6" s="708" t="s">
        <v>242</v>
      </c>
      <c r="B6" s="20"/>
      <c r="C6" s="20"/>
      <c r="D6" s="20"/>
      <c r="E6" s="709"/>
      <c r="F6" s="6">
        <f>IF(Project_location="EAST/WEST Africa",1,0)</f>
        <v>0</v>
      </c>
      <c r="G6" s="709">
        <f>F6*E6</f>
        <v>0</v>
      </c>
      <c r="H6" s="710">
        <f>G6/Project_Size/1000</f>
        <v>0</v>
      </c>
      <c r="J6" s="513"/>
    </row>
    <row r="7" spans="1:10" outlineLevel="2">
      <c r="A7" s="1389" t="s">
        <v>243</v>
      </c>
      <c r="B7" s="20"/>
      <c r="C7" s="20"/>
      <c r="D7" s="20"/>
      <c r="E7" s="709">
        <v>20000</v>
      </c>
      <c r="F7" s="1412">
        <v>0</v>
      </c>
      <c r="G7" s="709">
        <f>F7*E7</f>
        <v>0</v>
      </c>
      <c r="H7" s="710">
        <f>G7/Project_Size/1000</f>
        <v>0</v>
      </c>
      <c r="J7" s="1395" t="s">
        <v>1141</v>
      </c>
    </row>
    <row r="8" spans="1:10" ht="14" outlineLevel="2" thickBot="1">
      <c r="A8" s="711"/>
      <c r="B8" s="712"/>
      <c r="C8" s="712"/>
      <c r="D8" s="712"/>
      <c r="E8" s="713"/>
      <c r="F8" s="712"/>
      <c r="G8" s="713"/>
      <c r="H8" s="742"/>
      <c r="J8" s="257"/>
    </row>
    <row r="9" spans="1:10" outlineLevel="1"/>
    <row r="10" spans="1:10" ht="14" outlineLevel="1" thickBot="1"/>
    <row r="11" spans="1:10" ht="15.5" outlineLevel="1" thickBot="1">
      <c r="A11" s="748" t="s">
        <v>244</v>
      </c>
      <c r="B11" s="749"/>
      <c r="C11" s="749"/>
      <c r="D11" s="749"/>
      <c r="E11" s="750"/>
      <c r="F11" s="749"/>
      <c r="G11" s="1397">
        <f>G12</f>
        <v>300960</v>
      </c>
      <c r="H11" s="752">
        <f>G11/Project_Size/1000</f>
        <v>0.62608695652173918</v>
      </c>
    </row>
    <row r="12" spans="1:10" outlineLevel="2">
      <c r="A12" s="1389" t="s">
        <v>1132</v>
      </c>
      <c r="B12" s="20"/>
      <c r="C12" s="20"/>
      <c r="D12" s="20"/>
      <c r="E12" s="1411">
        <f>INDEX('Supplier database'!A31:R34,MATCH(Inverter_Supplier,'Supplier database'!A31:A34,0),MATCH(Inverter_Capacity,'Supplier database'!A31:R31,0))*0+75240</f>
        <v>75240</v>
      </c>
      <c r="F12" s="20">
        <f>Inverter_Quantity</f>
        <v>4</v>
      </c>
      <c r="G12" s="709">
        <f>F12*E12</f>
        <v>300960</v>
      </c>
      <c r="H12" s="710">
        <f>G12/Project_Size/1000</f>
        <v>0.62608695652173918</v>
      </c>
      <c r="J12" s="798" t="s">
        <v>1133</v>
      </c>
    </row>
    <row r="13" spans="1:10" outlineLevel="2">
      <c r="A13" s="708" t="s">
        <v>245</v>
      </c>
      <c r="B13" s="20"/>
      <c r="C13" s="20"/>
      <c r="D13" s="20"/>
      <c r="E13" s="709"/>
      <c r="F13" s="20">
        <f>IF(Project_location="EAST/WEST Africa",1,0)</f>
        <v>0</v>
      </c>
      <c r="G13" s="709">
        <f>F13*E13</f>
        <v>0</v>
      </c>
      <c r="H13" s="710">
        <f>G13/Project_Size/1000</f>
        <v>0</v>
      </c>
    </row>
    <row r="14" spans="1:10" outlineLevel="2">
      <c r="A14" s="708" t="s">
        <v>246</v>
      </c>
      <c r="B14" s="20"/>
      <c r="C14" s="20"/>
      <c r="D14" s="20"/>
      <c r="E14" s="709">
        <f>'Supplier database'!B32</f>
        <v>1274</v>
      </c>
      <c r="F14" s="20">
        <f>IF(Inverter_Supplier='Supplier database'!A32,ROUNDUP(Module_Quantity/2,0),0)</f>
        <v>0</v>
      </c>
      <c r="G14" s="709">
        <f>E14*F14</f>
        <v>0</v>
      </c>
      <c r="H14" s="710">
        <f>G14/Project_Size/1000</f>
        <v>0</v>
      </c>
      <c r="J14" s="6" t="s">
        <v>247</v>
      </c>
    </row>
    <row r="15" spans="1:10" ht="14" outlineLevel="2" thickBot="1">
      <c r="A15" s="711" t="s">
        <v>248</v>
      </c>
      <c r="B15" s="712"/>
      <c r="C15" s="712"/>
      <c r="D15" s="712"/>
      <c r="E15" s="713"/>
      <c r="F15" s="714">
        <f>IF(Project_Size&lt;500,IF(Project_location="Johannesbourg",IF(Customs_Distance&lt;100,0,(Small_Containers_PV+Large_Containers_PV)/3),IF(Project_location="Port Elizabeth",IF(Customs_Distance&lt;100,0,(Small_Containers_PV+Large_Containers_PV)/3),IF(Project_location="Cape Town",IF(Customs_Distance&lt;100,0,(Small_Containers_PV+Large_Containers_PV)/3),(Small_Containers_PV+Large_Containers_PV)/3))),IF(Project_location="Out of South africa",(Small_Containers_PV+Large_Containers_PV)/3,0))</f>
        <v>0</v>
      </c>
      <c r="G15" s="713">
        <f>F15*E15</f>
        <v>0</v>
      </c>
      <c r="H15" s="715">
        <f>G15/Project_Size/1000</f>
        <v>0</v>
      </c>
    </row>
    <row r="16" spans="1:10" outlineLevel="1"/>
    <row r="17" spans="1:10" ht="14" outlineLevel="1" thickBot="1"/>
    <row r="18" spans="1:10" ht="15.5" outlineLevel="1" thickBot="1">
      <c r="A18" s="748" t="s">
        <v>249</v>
      </c>
      <c r="B18" s="749"/>
      <c r="C18" s="749"/>
      <c r="D18" s="749"/>
      <c r="E18" s="750"/>
      <c r="F18" s="749"/>
      <c r="G18" s="751">
        <f>SUM(G19:G23)</f>
        <v>112500</v>
      </c>
      <c r="H18" s="752">
        <f>G18/Project_Size/1000</f>
        <v>0.23403370085292283</v>
      </c>
    </row>
    <row r="19" spans="1:10" outlineLevel="1">
      <c r="A19" s="708" t="s">
        <v>200</v>
      </c>
      <c r="B19" s="20"/>
      <c r="C19" s="20"/>
      <c r="D19" s="20"/>
      <c r="E19" s="709">
        <v>750</v>
      </c>
      <c r="F19" s="20">
        <f>'Costing Inputs'!D23</f>
        <v>150</v>
      </c>
      <c r="G19" s="709">
        <f t="shared" ref="G19:G21" si="0">F19*E19</f>
        <v>112500</v>
      </c>
      <c r="H19" s="710">
        <f>G19/Project_Size/1000</f>
        <v>0.23403370085292283</v>
      </c>
    </row>
    <row r="20" spans="1:10" outlineLevel="1">
      <c r="A20" s="708" t="s">
        <v>204</v>
      </c>
      <c r="B20" s="20"/>
      <c r="C20" s="20"/>
      <c r="D20" s="20"/>
      <c r="E20" s="709">
        <v>12000</v>
      </c>
      <c r="F20" s="726">
        <f>'Costing Inputs'!D24</f>
        <v>0</v>
      </c>
      <c r="G20" s="709">
        <f t="shared" si="0"/>
        <v>0</v>
      </c>
      <c r="H20" s="710">
        <f>G20/Project_Size/1000</f>
        <v>0</v>
      </c>
    </row>
    <row r="21" spans="1:10" outlineLevel="1">
      <c r="A21" s="708" t="s">
        <v>250</v>
      </c>
      <c r="B21" s="20"/>
      <c r="C21" s="20"/>
      <c r="D21" s="20"/>
      <c r="E21" s="709">
        <v>30000</v>
      </c>
      <c r="F21" s="726">
        <f>'Costing Inputs'!D25</f>
        <v>0</v>
      </c>
      <c r="G21" s="709">
        <f t="shared" si="0"/>
        <v>0</v>
      </c>
      <c r="H21" s="710">
        <f>G21/Project_Size/1000</f>
        <v>0</v>
      </c>
    </row>
    <row r="22" spans="1:10" outlineLevel="2">
      <c r="A22" s="708"/>
      <c r="B22" s="20"/>
      <c r="C22" s="20"/>
      <c r="D22" s="20"/>
      <c r="E22" s="709">
        <f>IF(
OR(Inverter_Supplier='Supplier database'!A52,Inverter_Capacity&lt;'Supplier database'!I31),
4500,
0)*0</f>
        <v>0</v>
      </c>
      <c r="F22" s="20">
        <f>Inverter_Quantity*1</f>
        <v>4</v>
      </c>
      <c r="G22" s="709">
        <f>F22*E22</f>
        <v>0</v>
      </c>
      <c r="H22" s="710">
        <f>G22/Project_Size/1000</f>
        <v>0</v>
      </c>
    </row>
    <row r="23" spans="1:10" ht="14" outlineLevel="2" thickBot="1">
      <c r="A23" s="711"/>
      <c r="B23" s="712"/>
      <c r="C23" s="712"/>
      <c r="D23" s="712"/>
      <c r="E23" s="713"/>
      <c r="F23" s="712"/>
      <c r="G23" s="713"/>
      <c r="H23" s="742"/>
    </row>
    <row r="24" spans="1:10" outlineLevel="1"/>
    <row r="25" spans="1:10" ht="14" outlineLevel="1" thickBot="1"/>
    <row r="26" spans="1:10" ht="15.5" outlineLevel="1" thickBot="1">
      <c r="A26" s="748" t="s">
        <v>251</v>
      </c>
      <c r="B26" s="749"/>
      <c r="C26" s="749"/>
      <c r="D26" s="749"/>
      <c r="E26" s="750"/>
      <c r="F26" s="749"/>
      <c r="G26" s="751">
        <f>SUM(G27:G30)</f>
        <v>216315</v>
      </c>
      <c r="H26" s="752">
        <f>G26/Project_Size/1000</f>
        <v>0.45</v>
      </c>
    </row>
    <row r="27" spans="1:10" outlineLevel="2">
      <c r="A27" s="708" t="str">
        <f>'Supplier database'!B74 &amp;" "&amp; Mounting_Type</f>
        <v>Lumax Pitch Roof</v>
      </c>
      <c r="B27" s="20"/>
      <c r="C27" s="753"/>
      <c r="D27" s="20" t="s">
        <v>252</v>
      </c>
      <c r="E27" s="709">
        <f>'Supplier database'!B75</f>
        <v>0.45</v>
      </c>
      <c r="F27" s="20">
        <f>Project_Size*1000</f>
        <v>480700</v>
      </c>
      <c r="G27" s="709">
        <f>F27*E27</f>
        <v>216315</v>
      </c>
      <c r="H27" s="710">
        <f>G27/Project_Size/1000</f>
        <v>0.45</v>
      </c>
      <c r="J27" s="259"/>
    </row>
    <row r="28" spans="1:10" outlineLevel="2">
      <c r="A28" s="708" t="s">
        <v>253</v>
      </c>
      <c r="B28" s="20"/>
      <c r="C28" s="20"/>
      <c r="D28" s="20"/>
      <c r="E28" s="709"/>
      <c r="F28" s="20"/>
      <c r="G28" s="709">
        <f>F28*E28</f>
        <v>0</v>
      </c>
      <c r="H28" s="710">
        <f>G28/Project_Size/1000</f>
        <v>0</v>
      </c>
      <c r="J28" s="513"/>
    </row>
    <row r="29" spans="1:10" outlineLevel="2">
      <c r="A29" s="708" t="s">
        <v>248</v>
      </c>
      <c r="B29" s="20"/>
      <c r="C29" s="20"/>
      <c r="D29" s="20"/>
      <c r="E29" s="709"/>
      <c r="F29" s="716"/>
      <c r="G29" s="709">
        <f>F29*E29</f>
        <v>0</v>
      </c>
      <c r="H29" s="710">
        <f>G29/Project_Size/1000</f>
        <v>0</v>
      </c>
      <c r="J29" s="513"/>
    </row>
    <row r="30" spans="1:10" outlineLevel="2">
      <c r="A30" s="708" t="s">
        <v>254</v>
      </c>
      <c r="B30" s="20"/>
      <c r="C30" s="20"/>
      <c r="D30" s="20"/>
      <c r="E30" s="709">
        <f>IF(Mounting_Type='Ref 1'!L23,0,IF(Mounting_Type='Ref 1'!L24,0,HLOOKUP(Mounting_Type,'Supplier database'!C82:D84,3,FALSE)))</f>
        <v>0</v>
      </c>
      <c r="F30" s="20">
        <f>Project_Size*1000</f>
        <v>480700</v>
      </c>
      <c r="G30" s="709">
        <f>F30*E30</f>
        <v>0</v>
      </c>
      <c r="H30" s="710">
        <f>G30/Project_Size/1000</f>
        <v>0</v>
      </c>
    </row>
    <row r="31" spans="1:10" ht="14" outlineLevel="2" thickBot="1">
      <c r="A31" s="711"/>
      <c r="B31" s="712"/>
      <c r="C31" s="712"/>
      <c r="D31" s="712"/>
      <c r="E31" s="713"/>
      <c r="F31" s="712"/>
      <c r="G31" s="713"/>
      <c r="H31" s="715"/>
      <c r="J31" s="530"/>
    </row>
    <row r="32" spans="1:10" outlineLevel="1"/>
    <row r="33" spans="1:10" ht="14" outlineLevel="1" thickBot="1"/>
    <row r="34" spans="1:10" ht="15.5" outlineLevel="1" thickBot="1">
      <c r="A34" s="748" t="s">
        <v>255</v>
      </c>
      <c r="B34" s="749"/>
      <c r="C34" s="749"/>
      <c r="D34" s="749"/>
      <c r="E34" s="750"/>
      <c r="F34" s="749"/>
      <c r="G34" s="751">
        <f>SUM(G35:G40)</f>
        <v>414338.4</v>
      </c>
      <c r="H34" s="752">
        <f t="shared" ref="H34:H40" si="1">G34/Project_Size/1000</f>
        <v>0.86194799251092158</v>
      </c>
    </row>
    <row r="35" spans="1:10" outlineLevel="2">
      <c r="A35" s="708" t="s">
        <v>256</v>
      </c>
      <c r="B35" s="20"/>
      <c r="C35" s="20"/>
      <c r="D35" s="20"/>
      <c r="E35" s="709">
        <v>14</v>
      </c>
      <c r="F35" s="20">
        <f>ROUND(DC_RUN,0)</f>
        <v>12128</v>
      </c>
      <c r="G35" s="709">
        <f>F35*E35</f>
        <v>169792</v>
      </c>
      <c r="H35" s="710">
        <f t="shared" si="1"/>
        <v>0.35321822342417308</v>
      </c>
    </row>
    <row r="36" spans="1:10" outlineLevel="2">
      <c r="A36" s="708" t="str">
        <f>'Supplier database'!A115</f>
        <v>DC Surge Arrestor</v>
      </c>
      <c r="B36" s="20"/>
      <c r="C36" s="20"/>
      <c r="D36" s="20"/>
      <c r="E36" s="709">
        <f>'Supplier database'!C117</f>
        <v>5500</v>
      </c>
      <c r="F36" s="20">
        <f>IF(Inverter_Supplier='Supplier database'!A54,4,0)</f>
        <v>4</v>
      </c>
      <c r="G36" s="709">
        <f t="shared" ref="G36:G38" si="2">F36*E36</f>
        <v>22000</v>
      </c>
      <c r="H36" s="710">
        <f t="shared" si="1"/>
        <v>4.5766590389016017E-2</v>
      </c>
    </row>
    <row r="37" spans="1:10" outlineLevel="2">
      <c r="A37" s="708" t="s">
        <v>257</v>
      </c>
      <c r="B37" s="807">
        <f>'Supplier database'!V134</f>
        <v>225</v>
      </c>
      <c r="C37" s="20"/>
      <c r="D37" s="20"/>
      <c r="E37" s="709">
        <f>'Supplier database'!V133</f>
        <v>261</v>
      </c>
      <c r="F37" s="20">
        <f>'Costing Inputs'!D21*2</f>
        <v>220</v>
      </c>
      <c r="G37" s="709">
        <f t="shared" si="2"/>
        <v>57420</v>
      </c>
      <c r="H37" s="710">
        <f t="shared" si="1"/>
        <v>0.11945080091533181</v>
      </c>
    </row>
    <row r="38" spans="1:10" outlineLevel="2">
      <c r="A38" s="1389" t="s">
        <v>258</v>
      </c>
      <c r="B38" s="798">
        <v>15</v>
      </c>
      <c r="C38" s="20"/>
      <c r="D38" s="20"/>
      <c r="E38" s="709"/>
      <c r="F38" s="20"/>
      <c r="G38" s="709">
        <f t="shared" si="2"/>
        <v>0</v>
      </c>
      <c r="H38" s="710">
        <f t="shared" si="1"/>
        <v>0</v>
      </c>
    </row>
    <row r="39" spans="1:10" outlineLevel="2">
      <c r="A39" s="708" t="s">
        <v>259</v>
      </c>
      <c r="B39" s="20"/>
      <c r="C39" s="20"/>
      <c r="D39" s="20"/>
      <c r="E39" s="709">
        <v>13.5</v>
      </c>
      <c r="F39" s="20">
        <f>F35</f>
        <v>12128</v>
      </c>
      <c r="G39" s="709">
        <f>F39*E39</f>
        <v>163728</v>
      </c>
      <c r="H39" s="710">
        <f t="shared" si="1"/>
        <v>0.34060328687330976</v>
      </c>
    </row>
    <row r="40" spans="1:10" outlineLevel="2">
      <c r="A40" s="708" t="s">
        <v>260</v>
      </c>
      <c r="B40" s="20"/>
      <c r="C40" s="20"/>
      <c r="D40" s="20"/>
      <c r="E40" s="709">
        <v>16</v>
      </c>
      <c r="F40" s="20">
        <f>Module_Quantity/10</f>
        <v>87.4</v>
      </c>
      <c r="G40" s="709">
        <f>F40*E40</f>
        <v>1398.4</v>
      </c>
      <c r="H40" s="710">
        <f t="shared" si="1"/>
        <v>2.9090909090909093E-3</v>
      </c>
      <c r="J40" s="6" t="s">
        <v>261</v>
      </c>
    </row>
    <row r="41" spans="1:10" ht="14" outlineLevel="2" thickBot="1">
      <c r="A41" s="711" t="s">
        <v>262</v>
      </c>
      <c r="B41" s="712"/>
      <c r="C41" s="712"/>
      <c r="D41" s="712"/>
      <c r="E41" s="713"/>
      <c r="F41" s="712"/>
      <c r="G41" s="713"/>
      <c r="H41" s="715"/>
    </row>
    <row r="42" spans="1:10" outlineLevel="1">
      <c r="A42" s="11"/>
    </row>
    <row r="43" spans="1:10" ht="14" outlineLevel="1" thickBot="1"/>
    <row r="44" spans="1:10" ht="15.5" outlineLevel="1" thickBot="1">
      <c r="A44" s="748" t="s">
        <v>263</v>
      </c>
      <c r="B44" s="749" t="s">
        <v>264</v>
      </c>
      <c r="C44" s="749"/>
      <c r="D44" s="749"/>
      <c r="E44" s="750"/>
      <c r="F44" s="749"/>
      <c r="G44" s="751">
        <f>SUM(G45:G53)</f>
        <v>464290.19999999995</v>
      </c>
      <c r="H44" s="752">
        <f>G44/Project_Size/1000</f>
        <v>0.96586270022883292</v>
      </c>
    </row>
    <row r="45" spans="1:10" outlineLevel="2">
      <c r="A45" s="708" t="s">
        <v>265</v>
      </c>
      <c r="B45" s="754">
        <f>'Supplier database'!R88</f>
        <v>200</v>
      </c>
      <c r="C45" s="20"/>
      <c r="D45" s="20"/>
      <c r="E45" s="709">
        <f>'Supplier database'!T88</f>
        <v>5578.3</v>
      </c>
      <c r="F45" s="20">
        <f>Inverter_Quantity</f>
        <v>4</v>
      </c>
      <c r="G45" s="709">
        <f t="shared" ref="G45:G49" si="3">F45*E45</f>
        <v>22313.200000000001</v>
      </c>
      <c r="H45" s="710">
        <f t="shared" ref="H45:H49" si="4">G45/Project_Size/1000</f>
        <v>4.641814021219056E-2</v>
      </c>
      <c r="J45" s="6">
        <f>IF(OR(Inverter_Supplier='Supplier database'!A32,Inverter_Supplier='Supplier database'!A33),'Supplier database'!G87,IF(AND(Inverter_Supplier='Supplier database'!A34,Inverter_Capacity='Supplier database'!H37),'Supplier database'!I87,'Supplier database'!G87))</f>
        <v>63</v>
      </c>
    </row>
    <row r="46" spans="1:10" outlineLevel="2">
      <c r="A46" s="708" t="s">
        <v>266</v>
      </c>
      <c r="B46" s="725">
        <f>'Supplier database'!R91</f>
        <v>800</v>
      </c>
      <c r="C46" s="20"/>
      <c r="D46" s="20"/>
      <c r="E46" s="709">
        <f>'Supplier database'!T91/2</f>
        <v>47133.5</v>
      </c>
      <c r="F46" s="726">
        <f>2*'Costing Inputs'!D18</f>
        <v>2</v>
      </c>
      <c r="G46" s="709">
        <f t="shared" si="3"/>
        <v>94267</v>
      </c>
      <c r="H46" s="710">
        <f t="shared" si="4"/>
        <v>0.19610359891824425</v>
      </c>
    </row>
    <row r="47" spans="1:10" outlineLevel="2">
      <c r="A47" s="708" t="s">
        <v>267</v>
      </c>
      <c r="B47" s="20"/>
      <c r="C47" s="20"/>
      <c r="D47" s="20"/>
      <c r="E47" s="709">
        <f>AC_SA</f>
        <v>9000</v>
      </c>
      <c r="F47" s="20">
        <f>1*'Costing Inputs'!$D$18</f>
        <v>1</v>
      </c>
      <c r="G47" s="709">
        <f t="shared" si="3"/>
        <v>9000</v>
      </c>
      <c r="H47" s="710">
        <f t="shared" si="4"/>
        <v>1.8722696068233825E-2</v>
      </c>
      <c r="J47" s="513"/>
    </row>
    <row r="48" spans="1:10" outlineLevel="2">
      <c r="A48" s="708" t="str">
        <f>'Supplier database'!A102</f>
        <v>AC Consumption Meter</v>
      </c>
      <c r="B48" s="20"/>
      <c r="C48" s="20"/>
      <c r="D48" s="20"/>
      <c r="E48" s="709">
        <f>AC_PLC</f>
        <v>13500</v>
      </c>
      <c r="F48" s="20">
        <f>IF(Inverter_Quantity&lt;&gt;0,1,0)</f>
        <v>1</v>
      </c>
      <c r="G48" s="709">
        <f t="shared" si="3"/>
        <v>13500</v>
      </c>
      <c r="H48" s="710">
        <f t="shared" si="4"/>
        <v>2.8084044102350738E-2</v>
      </c>
      <c r="J48" s="513"/>
    </row>
    <row r="49" spans="1:10" outlineLevel="2">
      <c r="A49" s="1389" t="s">
        <v>268</v>
      </c>
      <c r="B49" s="20"/>
      <c r="C49" s="20"/>
      <c r="D49" s="20"/>
      <c r="E49" s="709">
        <f>AC_CT+4000</f>
        <v>18000</v>
      </c>
      <c r="F49" s="798">
        <f>1*'Costing Inputs'!$D$18</f>
        <v>1</v>
      </c>
      <c r="G49" s="709">
        <f t="shared" si="3"/>
        <v>18000</v>
      </c>
      <c r="H49" s="710">
        <f t="shared" si="4"/>
        <v>3.7445392136467651E-2</v>
      </c>
      <c r="J49" s="1396" t="s">
        <v>1142</v>
      </c>
    </row>
    <row r="50" spans="1:10" outlineLevel="2">
      <c r="A50" s="708" t="s">
        <v>269</v>
      </c>
      <c r="B50" s="20"/>
      <c r="C50" s="20"/>
      <c r="D50" s="20"/>
      <c r="E50" s="709">
        <f>0.3*Project_Size*1000</f>
        <v>144209.99999999997</v>
      </c>
      <c r="F50" s="20">
        <f>1*'Costing Inputs'!$D$18</f>
        <v>1</v>
      </c>
      <c r="G50" s="709">
        <f t="shared" ref="G50" si="5">F50*E50</f>
        <v>144209.99999999997</v>
      </c>
      <c r="H50" s="710">
        <f t="shared" ref="H50" si="6">G50/Project_Size/1000</f>
        <v>0.29999999999999993</v>
      </c>
      <c r="J50" s="513"/>
    </row>
    <row r="51" spans="1:10" outlineLevel="2">
      <c r="A51" s="708" t="s">
        <v>270</v>
      </c>
      <c r="B51" s="964">
        <f>Inv_cable_size</f>
        <v>70</v>
      </c>
      <c r="C51" s="20"/>
      <c r="D51" s="20"/>
      <c r="E51" s="1393">
        <v>2500</v>
      </c>
      <c r="F51" s="20">
        <f>Inv_run</f>
        <v>10</v>
      </c>
      <c r="G51" s="709">
        <f>F51*E51*Inverter_Quantity</f>
        <v>100000</v>
      </c>
      <c r="H51" s="710">
        <f t="shared" ref="H51:H52" si="7">G51/Project_Size/1000</f>
        <v>0.20802995631370919</v>
      </c>
      <c r="J51" s="513"/>
    </row>
    <row r="52" spans="1:10" outlineLevel="2">
      <c r="A52" s="708" t="s">
        <v>271</v>
      </c>
      <c r="B52" s="964">
        <f>'Supplier database'!V149</f>
        <v>480</v>
      </c>
      <c r="C52" s="20"/>
      <c r="D52" s="20"/>
      <c r="E52" s="1393">
        <v>3000</v>
      </c>
      <c r="F52" s="20">
        <f>AC_run</f>
        <v>15</v>
      </c>
      <c r="G52" s="709">
        <f t="shared" ref="G52" si="8">F52*E52</f>
        <v>45000</v>
      </c>
      <c r="H52" s="710">
        <f t="shared" si="7"/>
        <v>9.3613480341169134E-2</v>
      </c>
    </row>
    <row r="53" spans="1:10" outlineLevel="2">
      <c r="A53" s="708" t="s">
        <v>272</v>
      </c>
      <c r="B53" s="727"/>
      <c r="C53" s="20"/>
      <c r="D53" s="20"/>
      <c r="E53" s="709">
        <v>18000</v>
      </c>
      <c r="F53" s="20">
        <f>1*'Costing Inputs'!$D$18</f>
        <v>1</v>
      </c>
      <c r="G53" s="709">
        <f t="shared" ref="G53" si="9">F53*E53</f>
        <v>18000</v>
      </c>
      <c r="H53" s="710">
        <f t="shared" ref="H53" si="10">G53/Project_Size/1000</f>
        <v>3.7445392136467651E-2</v>
      </c>
    </row>
    <row r="54" spans="1:10" ht="14" outlineLevel="2" thickBot="1">
      <c r="A54" s="711"/>
      <c r="B54" s="712"/>
      <c r="C54" s="712"/>
      <c r="D54" s="712"/>
      <c r="E54" s="713"/>
      <c r="F54" s="712"/>
      <c r="G54" s="713"/>
      <c r="H54" s="715"/>
    </row>
    <row r="55" spans="1:10" outlineLevel="1"/>
    <row r="56" spans="1:10" ht="14" outlineLevel="1" thickBot="1">
      <c r="G56" s="509"/>
      <c r="H56" s="509"/>
    </row>
    <row r="57" spans="1:10" ht="15.5" outlineLevel="1" thickBot="1">
      <c r="A57" s="748" t="s">
        <v>273</v>
      </c>
      <c r="B57" s="749"/>
      <c r="C57" s="749"/>
      <c r="D57" s="749"/>
      <c r="E57" s="750"/>
      <c r="F57" s="749"/>
      <c r="G57" s="751">
        <f>SUM(G58:G62)</f>
        <v>49000</v>
      </c>
      <c r="H57" s="752">
        <f t="shared" ref="H57:H62" si="11">G57/Project_Size/1000</f>
        <v>0.10193467859371749</v>
      </c>
    </row>
    <row r="58" spans="1:10" outlineLevel="2">
      <c r="A58" s="708" t="str">
        <f>IF(Inverter_Supplier='Supplier database'!A32,"SolarEdge Gateway",IF(Inverter_Supplier='Supplier database'!A33,"SMA Datamanager",IF(Inverter_Supplier='Supplier database'!A34,"Smartlogger 3000")))</f>
        <v>Smartlogger 3000</v>
      </c>
      <c r="B58" s="20"/>
      <c r="C58" s="20"/>
      <c r="D58" s="20"/>
      <c r="E58" s="709">
        <f>IF(Inverter_Supplier='Supplier database'!A32,4300,IF(Project_Size&lt;100,'Supplier database'!C121,'Supplier database'!D121))</f>
        <v>26000</v>
      </c>
      <c r="F58" s="20">
        <f>IF(Module_Quantity&lt;&gt;0,1,0)</f>
        <v>1</v>
      </c>
      <c r="G58" s="709">
        <f>F58*E58</f>
        <v>26000</v>
      </c>
      <c r="H58" s="710">
        <f t="shared" si="11"/>
        <v>5.408778864156439E-2</v>
      </c>
    </row>
    <row r="59" spans="1:10" outlineLevel="2">
      <c r="A59" s="708" t="s">
        <v>274</v>
      </c>
      <c r="B59" s="20"/>
      <c r="C59" s="20"/>
      <c r="D59" s="20"/>
      <c r="E59" s="709">
        <v>8000</v>
      </c>
      <c r="F59" s="20">
        <f>IF(Module_Quantity&lt;&gt;0,1,0)</f>
        <v>1</v>
      </c>
      <c r="G59" s="709">
        <f>F59*E59</f>
        <v>8000</v>
      </c>
      <c r="H59" s="710">
        <f t="shared" si="11"/>
        <v>1.6642396505096736E-2</v>
      </c>
    </row>
    <row r="60" spans="1:10" outlineLevel="2">
      <c r="A60" s="708" t="s">
        <v>275</v>
      </c>
      <c r="B60" s="20"/>
      <c r="C60" s="20"/>
      <c r="D60" s="20"/>
      <c r="E60" s="709">
        <v>865</v>
      </c>
      <c r="F60" s="20">
        <f>IF(Inverter_Supplier='Supplier database'!A38,1,0)</f>
        <v>0</v>
      </c>
      <c r="G60" s="709">
        <f>F60*E60</f>
        <v>0</v>
      </c>
      <c r="H60" s="710">
        <f t="shared" si="11"/>
        <v>0</v>
      </c>
    </row>
    <row r="61" spans="1:10" outlineLevel="2">
      <c r="A61" s="708" t="s">
        <v>193</v>
      </c>
      <c r="B61" s="20"/>
      <c r="C61" s="20"/>
      <c r="D61" s="20"/>
      <c r="E61" s="1393">
        <v>125000</v>
      </c>
      <c r="F61" s="798">
        <f>IF('Costing Inputs'!V19="",0,1)*0</f>
        <v>0</v>
      </c>
      <c r="G61" s="709">
        <f>F61*E61</f>
        <v>0</v>
      </c>
      <c r="H61" s="710">
        <f t="shared" si="11"/>
        <v>0</v>
      </c>
    </row>
    <row r="62" spans="1:10" ht="14" outlineLevel="2" thickBot="1">
      <c r="A62" s="711" t="s">
        <v>276</v>
      </c>
      <c r="B62" s="712"/>
      <c r="C62" s="712"/>
      <c r="D62" s="712"/>
      <c r="E62" s="713">
        <v>15000</v>
      </c>
      <c r="F62" s="712">
        <v>1</v>
      </c>
      <c r="G62" s="713">
        <f>F62*E62</f>
        <v>15000</v>
      </c>
      <c r="H62" s="715">
        <f t="shared" si="11"/>
        <v>3.1204493447056374E-2</v>
      </c>
    </row>
    <row r="63" spans="1:10" outlineLevel="1"/>
    <row r="64" spans="1:10" ht="14" outlineLevel="1" thickBot="1">
      <c r="A64" s="255"/>
      <c r="G64" s="509"/>
      <c r="H64" s="509"/>
    </row>
    <row r="65" spans="1:10" ht="15.5" outlineLevel="1" thickBot="1">
      <c r="A65" s="748" t="s">
        <v>1085</v>
      </c>
      <c r="B65" s="749"/>
      <c r="C65" s="749"/>
      <c r="D65" s="749"/>
      <c r="E65" s="750"/>
      <c r="F65" s="749"/>
      <c r="G65" s="751">
        <f>SUM(G66:G73)</f>
        <v>0</v>
      </c>
      <c r="H65" s="752">
        <f>G65/Project_Size/1000</f>
        <v>0</v>
      </c>
    </row>
    <row r="66" spans="1:10" outlineLevel="7">
      <c r="A66" s="708" t="s">
        <v>1086</v>
      </c>
      <c r="B66" s="20"/>
      <c r="C66" s="20"/>
      <c r="D66" s="20"/>
      <c r="E66" s="709">
        <f>IF(Project_Size&lt;1000,250000,IF(Project_Size&lt;1500,410000,Project_Size/1000*410000))</f>
        <v>250000</v>
      </c>
      <c r="F66" s="20">
        <f>IF(MV_connection="",0,1)</f>
        <v>0</v>
      </c>
      <c r="G66" s="709">
        <f>F66*E66</f>
        <v>0</v>
      </c>
      <c r="H66" s="710">
        <f>G66/Project_Size/1000</f>
        <v>0</v>
      </c>
    </row>
    <row r="67" spans="1:10" outlineLevel="7">
      <c r="A67" s="708" t="s">
        <v>1090</v>
      </c>
      <c r="B67" s="20"/>
      <c r="C67" s="20"/>
      <c r="D67" s="20"/>
      <c r="E67" s="709"/>
      <c r="F67" s="20"/>
      <c r="G67" s="709"/>
      <c r="H67" s="710"/>
    </row>
    <row r="68" spans="1:10" outlineLevel="7">
      <c r="A68" s="708" t="s">
        <v>1091</v>
      </c>
      <c r="B68" s="20"/>
      <c r="C68" s="20"/>
      <c r="D68" s="20"/>
      <c r="E68" s="709"/>
      <c r="F68" s="20"/>
      <c r="G68" s="709"/>
      <c r="H68" s="710"/>
    </row>
    <row r="69" spans="1:10" outlineLevel="7">
      <c r="A69" s="708" t="s">
        <v>1087</v>
      </c>
      <c r="B69" s="20"/>
      <c r="C69" s="20"/>
      <c r="D69" s="20"/>
      <c r="E69" s="709"/>
      <c r="F69" s="20"/>
      <c r="G69" s="709"/>
      <c r="H69" s="710"/>
    </row>
    <row r="70" spans="1:10" outlineLevel="7">
      <c r="A70" s="708" t="s">
        <v>1088</v>
      </c>
      <c r="B70" s="20"/>
      <c r="C70" s="20"/>
      <c r="D70" s="20"/>
      <c r="E70" s="709"/>
      <c r="F70" s="20"/>
      <c r="G70" s="709"/>
      <c r="H70" s="710"/>
    </row>
    <row r="71" spans="1:10" outlineLevel="7">
      <c r="A71" s="708" t="s">
        <v>1089</v>
      </c>
      <c r="B71" s="20"/>
      <c r="C71" s="20"/>
      <c r="D71" s="20"/>
      <c r="E71" s="709"/>
      <c r="F71" s="20"/>
      <c r="G71" s="709"/>
      <c r="H71" s="710"/>
    </row>
    <row r="72" spans="1:10" outlineLevel="7">
      <c r="A72" s="708"/>
      <c r="B72" s="20"/>
      <c r="C72" s="20"/>
      <c r="D72" s="20"/>
      <c r="E72" s="709"/>
      <c r="F72" s="20"/>
      <c r="G72" s="709"/>
      <c r="H72" s="710"/>
    </row>
    <row r="73" spans="1:10" ht="14" outlineLevel="7" thickBot="1">
      <c r="A73" s="711"/>
      <c r="B73" s="712"/>
      <c r="C73" s="712"/>
      <c r="D73" s="712"/>
      <c r="E73" s="713"/>
      <c r="F73" s="712"/>
      <c r="G73" s="713"/>
      <c r="H73" s="742"/>
    </row>
    <row r="74" spans="1:10" outlineLevel="1">
      <c r="E74" s="6"/>
      <c r="G74" s="6"/>
    </row>
    <row r="75" spans="1:10" ht="14" thickBot="1">
      <c r="A75" s="255"/>
      <c r="G75" s="509"/>
      <c r="H75" s="509"/>
    </row>
    <row r="76" spans="1:10" ht="14" thickBot="1">
      <c r="A76" s="755" t="s">
        <v>277</v>
      </c>
      <c r="B76" s="749"/>
      <c r="C76" s="749"/>
      <c r="D76" s="749"/>
      <c r="E76" s="750"/>
      <c r="F76" s="749"/>
      <c r="G76" s="751">
        <f>SUM(G77:G82)</f>
        <v>715750</v>
      </c>
      <c r="H76" s="752">
        <f t="shared" ref="H76:H82" si="12">G76/Project_Size/1000</f>
        <v>1.4889744123153734</v>
      </c>
    </row>
    <row r="77" spans="1:10" outlineLevel="4">
      <c r="A77" s="1409" t="str">
        <f>IF('Costing Inputs'!C33='Ref 1'!$L$21,'Costing Inputs'!D33,"")</f>
        <v>WEG ATS for Gen integration as requested by client</v>
      </c>
      <c r="B77" s="20"/>
      <c r="C77" s="20"/>
      <c r="D77" s="20"/>
      <c r="E77" s="1398">
        <f>IF(A77="",0,'Costing Inputs'!H33)</f>
        <v>384750</v>
      </c>
      <c r="F77" s="20">
        <v>1</v>
      </c>
      <c r="G77" s="1399">
        <f>F77*E77</f>
        <v>384750</v>
      </c>
      <c r="H77" s="710">
        <f t="shared" si="12"/>
        <v>0.80039525691699609</v>
      </c>
      <c r="J77" s="798" t="s">
        <v>1143</v>
      </c>
    </row>
    <row r="78" spans="1:10" outlineLevel="4">
      <c r="A78" s="1409" t="str">
        <f>IF('Costing Inputs'!C34='Ref 1'!$L$21,'Costing Inputs'!D34,"")</f>
        <v>Power Control system 2x500 - Might not be needed</v>
      </c>
      <c r="B78" s="20"/>
      <c r="C78" s="20"/>
      <c r="D78" s="20"/>
      <c r="E78" s="1398">
        <f>IF(A78="",0,'Costing Inputs'!H34)</f>
        <v>331000</v>
      </c>
      <c r="F78" s="20">
        <v>1</v>
      </c>
      <c r="G78" s="730">
        <f>F78*E78</f>
        <v>331000</v>
      </c>
      <c r="H78" s="710">
        <f t="shared" si="12"/>
        <v>0.68857915539837733</v>
      </c>
      <c r="J78" s="798" t="s">
        <v>1151</v>
      </c>
    </row>
    <row r="79" spans="1:10" outlineLevel="4">
      <c r="A79" s="728" t="str">
        <f>IF('Costing Inputs'!C35='Ref 1'!$L$21,'Costing Inputs'!D35,"")</f>
        <v/>
      </c>
      <c r="B79" s="20"/>
      <c r="C79" s="20"/>
      <c r="D79" s="20"/>
      <c r="E79" s="729">
        <f>IF(A79="",0,'Costing Inputs'!H35)</f>
        <v>0</v>
      </c>
      <c r="F79" s="20"/>
      <c r="G79" s="730">
        <f t="shared" ref="G79:G82" si="13">F79*E79</f>
        <v>0</v>
      </c>
      <c r="H79" s="710">
        <f t="shared" si="12"/>
        <v>0</v>
      </c>
      <c r="J79" s="798" t="s">
        <v>1152</v>
      </c>
    </row>
    <row r="80" spans="1:10" outlineLevel="4">
      <c r="A80" s="728" t="str">
        <f>IF('Costing Inputs'!C36='Ref 1'!$L$21,'Costing Inputs'!D36,"")</f>
        <v/>
      </c>
      <c r="B80" s="20"/>
      <c r="C80" s="20"/>
      <c r="D80" s="20"/>
      <c r="E80" s="729">
        <f>IF(A80="",0,'Costing Inputs'!H36)</f>
        <v>0</v>
      </c>
      <c r="F80" s="20"/>
      <c r="G80" s="730">
        <f t="shared" si="13"/>
        <v>0</v>
      </c>
      <c r="H80" s="710">
        <f t="shared" si="12"/>
        <v>0</v>
      </c>
      <c r="J80" s="798"/>
    </row>
    <row r="81" spans="1:11" outlineLevel="4">
      <c r="A81" s="1409">
        <f>IF('Costing Inputs'!C37='Ref 1'!$L$21,'Costing Inputs'!D37,"")</f>
        <v>0</v>
      </c>
      <c r="B81" s="20"/>
      <c r="C81" s="20"/>
      <c r="D81" s="20"/>
      <c r="E81" s="1398">
        <f>IF(A81="",0,'Costing Inputs'!H37)</f>
        <v>0</v>
      </c>
      <c r="F81" s="20">
        <v>1</v>
      </c>
      <c r="G81" s="730">
        <f t="shared" si="13"/>
        <v>0</v>
      </c>
      <c r="H81" s="710">
        <f t="shared" si="12"/>
        <v>0</v>
      </c>
    </row>
    <row r="82" spans="1:11" ht="14" outlineLevel="4" thickBot="1">
      <c r="A82" s="712" t="str">
        <f>IF('Costing Inputs'!C38='Ref 1'!$L$21,'Costing Inputs'!D38,"")</f>
        <v/>
      </c>
      <c r="B82" s="712"/>
      <c r="C82" s="712"/>
      <c r="D82" s="712"/>
      <c r="E82" s="732">
        <f>IF(A82="",0,'Costing Inputs'!H38)</f>
        <v>0</v>
      </c>
      <c r="F82" s="712">
        <v>1</v>
      </c>
      <c r="G82" s="733">
        <f t="shared" si="13"/>
        <v>0</v>
      </c>
      <c r="H82" s="715">
        <f t="shared" si="12"/>
        <v>0</v>
      </c>
    </row>
    <row r="83" spans="1:11" outlineLevel="4">
      <c r="A83" s="730"/>
      <c r="B83" s="20"/>
      <c r="C83" s="20"/>
      <c r="D83" s="20"/>
      <c r="E83" s="729"/>
      <c r="F83" s="20"/>
      <c r="G83" s="730"/>
      <c r="H83" s="709"/>
    </row>
    <row r="84" spans="1:11" ht="14" outlineLevel="4" thickBot="1">
      <c r="A84" s="730"/>
      <c r="B84" s="20"/>
      <c r="C84" s="20"/>
      <c r="D84" s="20"/>
      <c r="E84" s="729"/>
      <c r="F84" s="20"/>
      <c r="G84" s="730"/>
      <c r="H84" s="709"/>
      <c r="J84" s="798" t="s">
        <v>1134</v>
      </c>
    </row>
    <row r="85" spans="1:11" ht="14" outlineLevel="4" thickBot="1">
      <c r="A85" s="755" t="s">
        <v>278</v>
      </c>
      <c r="B85" s="749"/>
      <c r="C85" s="749"/>
      <c r="D85" s="749"/>
      <c r="E85" s="750"/>
      <c r="F85" s="749"/>
      <c r="G85" s="751">
        <f>SUM(G86:G94)</f>
        <v>2917100</v>
      </c>
      <c r="H85" s="752">
        <f t="shared" ref="H85:H94" si="14">G85/Project_Size/1000</f>
        <v>6.0684418556272099</v>
      </c>
    </row>
    <row r="86" spans="1:11" outlineLevel="4">
      <c r="A86" s="1390" t="s">
        <v>1156</v>
      </c>
      <c r="B86" s="955"/>
      <c r="C86" s="955"/>
      <c r="D86" s="955"/>
      <c r="E86" s="1392">
        <f>IFERROR('Supplier database'!B170,0)*0+641250</f>
        <v>641250</v>
      </c>
      <c r="F86" s="1391">
        <v>4</v>
      </c>
      <c r="G86" s="960">
        <f>F86*E86</f>
        <v>2565000</v>
      </c>
      <c r="H86" s="957">
        <f t="shared" si="14"/>
        <v>5.3359683794466397</v>
      </c>
    </row>
    <row r="87" spans="1:11" outlineLevel="4">
      <c r="A87" s="728" t="s">
        <v>971</v>
      </c>
      <c r="B87" s="20"/>
      <c r="C87" s="20"/>
      <c r="D87" s="20"/>
      <c r="E87" s="729">
        <f>IF(E86&gt;0,5000+Battery_Size*1000*0.1,0)</f>
        <v>67400</v>
      </c>
      <c r="F87" s="20">
        <v>1</v>
      </c>
      <c r="G87" s="709">
        <f t="shared" ref="G87:G94" si="15">F87*E87</f>
        <v>67400</v>
      </c>
      <c r="H87" s="710">
        <f t="shared" si="14"/>
        <v>0.14021219055543999</v>
      </c>
      <c r="J87" s="798" t="s">
        <v>1135</v>
      </c>
      <c r="K87" s="6" t="s">
        <v>1153</v>
      </c>
    </row>
    <row r="88" spans="1:11" outlineLevel="4">
      <c r="A88" s="728" t="s">
        <v>279</v>
      </c>
      <c r="B88" s="20"/>
      <c r="C88" s="20"/>
      <c r="D88" s="20"/>
      <c r="E88" s="729">
        <f>IF(E86&gt;0,10000+Battery_Size*1000*0.2,0)</f>
        <v>134800</v>
      </c>
      <c r="F88" s="20">
        <v>1</v>
      </c>
      <c r="G88" s="709">
        <f t="shared" si="15"/>
        <v>134800</v>
      </c>
      <c r="H88" s="710">
        <f t="shared" si="14"/>
        <v>0.28042438111087997</v>
      </c>
      <c r="K88" s="6" t="s">
        <v>1154</v>
      </c>
    </row>
    <row r="89" spans="1:11" outlineLevel="4">
      <c r="A89" s="728" t="s">
        <v>280</v>
      </c>
      <c r="B89" s="20"/>
      <c r="C89" s="20"/>
      <c r="D89" s="20"/>
      <c r="E89" s="729">
        <f>IF(E86&gt;0,50000+Battery_Size*1000*0.1,0)</f>
        <v>112400</v>
      </c>
      <c r="F89" s="798">
        <v>1</v>
      </c>
      <c r="G89" s="709">
        <f t="shared" si="15"/>
        <v>112400</v>
      </c>
      <c r="H89" s="710">
        <f t="shared" si="14"/>
        <v>0.23382567089660913</v>
      </c>
    </row>
    <row r="90" spans="1:11" outlineLevel="4">
      <c r="A90" s="728" t="s">
        <v>270</v>
      </c>
      <c r="B90" s="20"/>
      <c r="C90" s="20"/>
      <c r="D90" s="20"/>
      <c r="E90" s="729">
        <f>IF(E86=0,0,250*15)</f>
        <v>3750</v>
      </c>
      <c r="F90" s="20">
        <f>'Design Inputs'!E42/25</f>
        <v>10</v>
      </c>
      <c r="G90" s="709">
        <f t="shared" ref="G90" si="16">F90*E90</f>
        <v>37500</v>
      </c>
      <c r="H90" s="710">
        <f t="shared" ref="H90" si="17">G90/Project_Size/1000</f>
        <v>7.8011233617640938E-2</v>
      </c>
    </row>
    <row r="91" spans="1:11" outlineLevel="4">
      <c r="A91" s="728" t="s">
        <v>972</v>
      </c>
      <c r="B91" s="725">
        <f>BESS_Breaker</f>
        <v>400</v>
      </c>
      <c r="C91" s="965">
        <f>2*'Costing Inputs'!F19</f>
        <v>40</v>
      </c>
      <c r="D91" s="20"/>
      <c r="E91" s="1398">
        <v>0</v>
      </c>
      <c r="F91" s="961">
        <f>C91</f>
        <v>40</v>
      </c>
      <c r="G91" s="709">
        <f t="shared" si="15"/>
        <v>0</v>
      </c>
      <c r="H91" s="710">
        <f t="shared" si="14"/>
        <v>0</v>
      </c>
    </row>
    <row r="92" spans="1:11" outlineLevel="4">
      <c r="A92" s="728" t="s">
        <v>282</v>
      </c>
      <c r="B92" s="20"/>
      <c r="C92" s="20"/>
      <c r="D92" s="20"/>
      <c r="E92" s="729">
        <v>155000</v>
      </c>
      <c r="F92" s="798">
        <v>0</v>
      </c>
      <c r="G92" s="709">
        <f t="shared" si="15"/>
        <v>0</v>
      </c>
      <c r="H92" s="710">
        <f t="shared" si="14"/>
        <v>0</v>
      </c>
    </row>
    <row r="93" spans="1:11" outlineLevel="4">
      <c r="A93" s="728" t="s">
        <v>970</v>
      </c>
      <c r="B93" s="20"/>
      <c r="C93" s="20"/>
      <c r="D93" s="20"/>
      <c r="E93" s="729">
        <v>0</v>
      </c>
      <c r="F93" s="20">
        <v>1</v>
      </c>
      <c r="G93" s="709">
        <f t="shared" si="15"/>
        <v>0</v>
      </c>
      <c r="H93" s="710">
        <f t="shared" si="14"/>
        <v>0</v>
      </c>
    </row>
    <row r="94" spans="1:11" ht="14" outlineLevel="4" thickBot="1">
      <c r="A94" s="731"/>
      <c r="B94" s="712"/>
      <c r="C94" s="712"/>
      <c r="D94" s="712"/>
      <c r="E94" s="732">
        <v>0</v>
      </c>
      <c r="F94" s="712">
        <v>1</v>
      </c>
      <c r="G94" s="713">
        <f t="shared" si="15"/>
        <v>0</v>
      </c>
      <c r="H94" s="715">
        <f t="shared" si="14"/>
        <v>0</v>
      </c>
    </row>
    <row r="95" spans="1:11" ht="14" outlineLevel="4" thickBot="1">
      <c r="A95" s="730"/>
      <c r="B95" s="20"/>
      <c r="C95" s="20"/>
      <c r="D95" s="20"/>
      <c r="E95" s="729"/>
      <c r="F95" s="20"/>
      <c r="G95" s="730"/>
      <c r="H95" s="709"/>
    </row>
    <row r="96" spans="1:11" ht="14" outlineLevel="4" thickBot="1">
      <c r="A96" s="755" t="s">
        <v>283</v>
      </c>
      <c r="B96" s="749"/>
      <c r="C96" s="749"/>
      <c r="D96" s="749"/>
      <c r="E96" s="750"/>
      <c r="F96" s="749"/>
      <c r="G96" s="751">
        <f>SUM(G97:G102)</f>
        <v>0</v>
      </c>
      <c r="H96" s="752">
        <f t="shared" ref="H96:H98" si="18">G96/Project_Size/1000</f>
        <v>0</v>
      </c>
    </row>
    <row r="97" spans="1:10" outlineLevel="4">
      <c r="A97" s="954" t="str">
        <f>CONCATENATE(Prof_eng," kVA Generator")</f>
        <v xml:space="preserve"> kVA Generator</v>
      </c>
      <c r="B97" s="955"/>
      <c r="C97" s="955"/>
      <c r="D97" s="955"/>
      <c r="E97" s="956">
        <f>IFERROR('Supplier database'!B186,0)</f>
        <v>0</v>
      </c>
      <c r="F97" s="955">
        <v>1</v>
      </c>
      <c r="G97" s="960">
        <f>F97*E97</f>
        <v>0</v>
      </c>
      <c r="H97" s="957">
        <f t="shared" si="18"/>
        <v>0</v>
      </c>
    </row>
    <row r="98" spans="1:10" outlineLevel="4">
      <c r="A98" s="728" t="s">
        <v>284</v>
      </c>
      <c r="B98" s="20"/>
      <c r="C98" s="20"/>
      <c r="D98" s="20"/>
      <c r="E98" s="729">
        <f>IF(E97=0,0,30000)</f>
        <v>0</v>
      </c>
      <c r="F98" s="20">
        <v>1</v>
      </c>
      <c r="G98" s="709">
        <f>F98*E98</f>
        <v>0</v>
      </c>
      <c r="H98" s="710">
        <f t="shared" si="18"/>
        <v>0</v>
      </c>
      <c r="J98" s="20"/>
    </row>
    <row r="99" spans="1:10" outlineLevel="4">
      <c r="A99" s="728" t="s">
        <v>285</v>
      </c>
      <c r="B99" s="963">
        <v>200</v>
      </c>
      <c r="C99" s="20"/>
      <c r="D99" s="20"/>
      <c r="E99" s="729">
        <f>IF(E97=0,0,25)</f>
        <v>0</v>
      </c>
      <c r="F99" s="962">
        <f>B99</f>
        <v>200</v>
      </c>
      <c r="G99" s="709">
        <f>F99*E99</f>
        <v>0</v>
      </c>
      <c r="H99" s="710">
        <f t="shared" ref="H99" si="19">G99/Project_Size/1000</f>
        <v>0</v>
      </c>
    </row>
    <row r="100" spans="1:10" outlineLevel="4">
      <c r="A100" s="728" t="s">
        <v>129</v>
      </c>
      <c r="B100" s="20"/>
      <c r="C100" s="20"/>
      <c r="D100" s="20"/>
      <c r="E100" s="729">
        <f>E97*0.2</f>
        <v>0</v>
      </c>
      <c r="F100" s="20">
        <v>1</v>
      </c>
      <c r="G100" s="709">
        <f>F100*E100</f>
        <v>0</v>
      </c>
      <c r="H100" s="710">
        <f>G100/Project_Size/1000</f>
        <v>0</v>
      </c>
    </row>
    <row r="101" spans="1:10" outlineLevel="4">
      <c r="A101" s="728" t="s">
        <v>286</v>
      </c>
      <c r="B101" s="20"/>
      <c r="C101" s="20"/>
      <c r="D101" s="20"/>
      <c r="E101" s="729">
        <f>IF(E97&gt;0,20000+Generator_Size*1000*0.45,0)</f>
        <v>0</v>
      </c>
      <c r="F101" s="20">
        <v>1</v>
      </c>
      <c r="G101" s="709">
        <f t="shared" ref="G101" si="20">F101*E101</f>
        <v>0</v>
      </c>
      <c r="H101" s="710">
        <f t="shared" ref="H101" si="21">G101/Project_Size/1000</f>
        <v>0</v>
      </c>
    </row>
    <row r="102" spans="1:10" ht="14" thickBot="1">
      <c r="A102" s="731" t="s">
        <v>281</v>
      </c>
      <c r="B102" s="958">
        <f>Gen_Breaker</f>
        <v>800</v>
      </c>
      <c r="C102" s="966">
        <f>2*'Costing Inputs'!H19</f>
        <v>40</v>
      </c>
      <c r="D102" s="712"/>
      <c r="E102" s="732">
        <f>IF(E97&gt;0,'Supplier database'!BG181,0)</f>
        <v>0</v>
      </c>
      <c r="F102" s="959">
        <f>C102</f>
        <v>40</v>
      </c>
      <c r="G102" s="713">
        <f>F102*E102</f>
        <v>0</v>
      </c>
      <c r="H102" s="715">
        <f>G102/Project_Size/1000</f>
        <v>0</v>
      </c>
    </row>
    <row r="103" spans="1:10">
      <c r="A103" s="730"/>
      <c r="B103" s="20"/>
      <c r="C103" s="20"/>
      <c r="D103" s="20"/>
      <c r="E103" s="729"/>
      <c r="F103" s="20"/>
      <c r="G103" s="730"/>
      <c r="H103" s="709"/>
    </row>
    <row r="104" spans="1:10">
      <c r="E104" s="6"/>
      <c r="G104" s="6"/>
    </row>
    <row r="105" spans="1:10" ht="20" thickBot="1">
      <c r="A105" s="764" t="s">
        <v>287</v>
      </c>
      <c r="B105" s="510"/>
      <c r="C105" s="510"/>
      <c r="D105" s="510"/>
      <c r="E105" s="511"/>
      <c r="F105" s="510"/>
      <c r="G105" s="511"/>
      <c r="H105" s="510"/>
    </row>
    <row r="106" spans="1:10" ht="20" outlineLevel="3" thickBot="1">
      <c r="A106" s="739"/>
    </row>
    <row r="107" spans="1:10" ht="15.5" outlineLevel="4" thickBot="1">
      <c r="A107" s="744" t="s">
        <v>288</v>
      </c>
      <c r="B107" s="745"/>
      <c r="C107" s="745"/>
      <c r="D107" s="745"/>
      <c r="E107" s="746"/>
      <c r="F107" s="745"/>
      <c r="G107" s="746">
        <f>Installation_AC+Installation_Structural_DC</f>
        <v>312455</v>
      </c>
      <c r="H107" s="747">
        <f>(H109+H115)</f>
        <v>0.65</v>
      </c>
    </row>
    <row r="108" spans="1:10" ht="14" outlineLevel="5" thickBot="1">
      <c r="J108" s="513"/>
    </row>
    <row r="109" spans="1:10" ht="15" outlineLevel="5">
      <c r="A109" s="734" t="s">
        <v>289</v>
      </c>
      <c r="B109" s="735"/>
      <c r="C109" s="735"/>
      <c r="D109" s="735"/>
      <c r="E109" s="736"/>
      <c r="F109" s="735"/>
      <c r="G109" s="737">
        <f>SUM(G110:G111)</f>
        <v>96140</v>
      </c>
      <c r="H109" s="738">
        <f>G109/Project_Size/1000</f>
        <v>0.2</v>
      </c>
    </row>
    <row r="110" spans="1:10" outlineLevel="5">
      <c r="A110" s="704" t="str">
        <f>AC_Installer&amp;" "&amp;"AC installation services"</f>
        <v>Varies AC installation services</v>
      </c>
      <c r="B110" s="705"/>
      <c r="C110" s="705"/>
      <c r="D110" s="705"/>
      <c r="E110" s="1413">
        <v>0.2</v>
      </c>
      <c r="F110" s="705">
        <f>Module_Capacity*Module_Quantity</f>
        <v>480700</v>
      </c>
      <c r="G110" s="706">
        <f>F110*E110</f>
        <v>96140</v>
      </c>
      <c r="H110" s="707">
        <f>G110/Project_Size/1000</f>
        <v>0.2</v>
      </c>
    </row>
    <row r="111" spans="1:10" outlineLevel="4">
      <c r="A111" s="708"/>
      <c r="B111" s="20"/>
      <c r="C111" s="20"/>
      <c r="D111" s="20"/>
      <c r="E111" s="20"/>
      <c r="F111" s="20"/>
      <c r="G111" s="709">
        <f>F111*E144</f>
        <v>0</v>
      </c>
      <c r="H111" s="710">
        <f>G111/Project_Size/1000</f>
        <v>0</v>
      </c>
    </row>
    <row r="112" spans="1:10" ht="14" outlineLevel="4" thickBot="1">
      <c r="A112" s="711"/>
      <c r="B112" s="712"/>
      <c r="C112" s="712"/>
      <c r="D112" s="712"/>
      <c r="E112" s="713"/>
      <c r="F112" s="712"/>
      <c r="G112" s="713"/>
      <c r="H112" s="715"/>
    </row>
    <row r="113" spans="1:10" outlineLevel="4">
      <c r="E113" s="6"/>
      <c r="G113" s="6"/>
    </row>
    <row r="114" spans="1:10" ht="14" outlineLevel="5" thickBot="1"/>
    <row r="115" spans="1:10" ht="15" outlineLevel="5">
      <c r="A115" s="734" t="s">
        <v>290</v>
      </c>
      <c r="B115" s="735"/>
      <c r="C115" s="735"/>
      <c r="D115" s="735"/>
      <c r="E115" s="736"/>
      <c r="F115" s="735"/>
      <c r="G115" s="737">
        <f>SUM(G116:G118)</f>
        <v>216315</v>
      </c>
      <c r="H115" s="738">
        <f>G115/Project_Size/1000</f>
        <v>0.45</v>
      </c>
    </row>
    <row r="116" spans="1:10" outlineLevel="5">
      <c r="A116" s="704" t="str">
        <f>Mounting_Supplier&amp;" "&amp;"structural and DC installation services"</f>
        <v>Lumax structural and DC installation services</v>
      </c>
      <c r="B116" s="705"/>
      <c r="C116" s="705"/>
      <c r="D116" s="705"/>
      <c r="E116" s="1413">
        <v>0.45</v>
      </c>
      <c r="F116" s="705">
        <f>Module_Capacity*Module_Quantity</f>
        <v>480700</v>
      </c>
      <c r="G116" s="706">
        <f>F116*E116</f>
        <v>216315</v>
      </c>
      <c r="H116" s="707">
        <f>G116/Project_Size/1000</f>
        <v>0.45</v>
      </c>
      <c r="J116" s="513"/>
    </row>
    <row r="117" spans="1:10" outlineLevel="3">
      <c r="A117" s="708"/>
      <c r="B117" s="20"/>
      <c r="C117" s="20"/>
      <c r="D117" s="20"/>
      <c r="E117" s="709"/>
      <c r="F117" s="20"/>
      <c r="G117" s="709"/>
      <c r="H117" s="740"/>
    </row>
    <row r="118" spans="1:10" ht="14" outlineLevel="3" thickBot="1">
      <c r="A118" s="711"/>
      <c r="B118" s="712"/>
      <c r="C118" s="712"/>
      <c r="D118" s="712"/>
      <c r="E118" s="713"/>
      <c r="F118" s="712"/>
      <c r="G118" s="713"/>
      <c r="H118" s="715"/>
    </row>
    <row r="119" spans="1:10" outlineLevel="1">
      <c r="E119" s="6"/>
      <c r="G119" s="6"/>
    </row>
    <row r="120" spans="1:10" ht="14" outlineLevel="2" thickBot="1">
      <c r="G120" s="509"/>
      <c r="H120" s="509"/>
    </row>
    <row r="121" spans="1:10" ht="15.5" outlineLevel="2" thickBot="1">
      <c r="A121" s="756" t="s">
        <v>291</v>
      </c>
      <c r="B121" s="745"/>
      <c r="C121" s="745"/>
      <c r="D121" s="745"/>
      <c r="E121" s="746"/>
      <c r="F121" s="745"/>
      <c r="G121" s="757">
        <f>SUM(G122:G127)</f>
        <v>73936.69458333333</v>
      </c>
      <c r="H121" s="758">
        <f t="shared" ref="H121:H126" si="22">G121/Project_Size/1000</f>
        <v>0.15381047344150892</v>
      </c>
      <c r="J121" s="514"/>
    </row>
    <row r="122" spans="1:10" outlineLevel="2">
      <c r="A122" s="708" t="s">
        <v>292</v>
      </c>
      <c r="B122" s="20"/>
      <c r="C122" s="20"/>
      <c r="D122" s="20"/>
      <c r="E122" s="709">
        <f>0.0125*SUM(Installation_Structural_DC,Installation_AC,Monitoring_Product,AC_Product,DC_Product,Mounting_Product,Inverter_Product,Module_Product,DD_SERV,OFFLOAD,SSS,G152,Security_Serv,G96,G85,)</f>
        <v>73936.69458333333</v>
      </c>
      <c r="F122" s="20">
        <v>1</v>
      </c>
      <c r="G122" s="709">
        <f>F122*E122</f>
        <v>73936.69458333333</v>
      </c>
      <c r="H122" s="710">
        <f t="shared" si="22"/>
        <v>0.15381047344150892</v>
      </c>
      <c r="J122" s="514"/>
    </row>
    <row r="123" spans="1:10" outlineLevel="2">
      <c r="A123" s="708" t="s">
        <v>293</v>
      </c>
      <c r="B123" s="20"/>
      <c r="C123" s="20"/>
      <c r="D123" s="20"/>
      <c r="E123" s="709">
        <f>EE_HOURLY_OM*8</f>
        <v>4000</v>
      </c>
      <c r="F123" s="1218">
        <f>Site_Days/7*0</f>
        <v>0</v>
      </c>
      <c r="G123" s="709">
        <f>F123*E123</f>
        <v>0</v>
      </c>
      <c r="H123" s="710">
        <f t="shared" si="22"/>
        <v>0</v>
      </c>
      <c r="J123" s="514"/>
    </row>
    <row r="124" spans="1:10" outlineLevel="2">
      <c r="A124" s="708" t="s">
        <v>294</v>
      </c>
      <c r="B124" s="20"/>
      <c r="C124" s="20"/>
      <c r="D124" s="20"/>
      <c r="E124" s="709">
        <f>EE_Hourly_PM*8</f>
        <v>6800</v>
      </c>
      <c r="F124" s="1218">
        <f>Site_Days/4*0</f>
        <v>0</v>
      </c>
      <c r="G124" s="709">
        <f>F124*E124</f>
        <v>0</v>
      </c>
      <c r="H124" s="710">
        <f t="shared" si="22"/>
        <v>0</v>
      </c>
    </row>
    <row r="125" spans="1:10" outlineLevel="2">
      <c r="A125" s="708" t="s">
        <v>295</v>
      </c>
      <c r="B125" s="20"/>
      <c r="C125" s="20"/>
      <c r="D125" s="20"/>
      <c r="E125" s="709">
        <f>EE_Hourly_PP*8</f>
        <v>5200</v>
      </c>
      <c r="F125" s="1218">
        <f>Site_Days/7*0</f>
        <v>0</v>
      </c>
      <c r="G125" s="709">
        <f>F125*E125</f>
        <v>0</v>
      </c>
      <c r="H125" s="710">
        <f t="shared" si="22"/>
        <v>0</v>
      </c>
    </row>
    <row r="126" spans="1:10" outlineLevel="1">
      <c r="A126" s="708" t="s">
        <v>296</v>
      </c>
      <c r="B126" s="20"/>
      <c r="C126" s="20"/>
      <c r="D126" s="20"/>
      <c r="E126" s="709">
        <f>EE_Daily</f>
        <v>6800</v>
      </c>
      <c r="F126" s="1218">
        <f>De_snag_days/2*0</f>
        <v>0</v>
      </c>
      <c r="G126" s="709">
        <f>F126*E126</f>
        <v>0</v>
      </c>
      <c r="H126" s="710">
        <f t="shared" si="22"/>
        <v>0</v>
      </c>
    </row>
    <row r="127" spans="1:10" ht="14" outlineLevel="1" thickBot="1">
      <c r="A127" s="711"/>
      <c r="B127" s="712"/>
      <c r="C127" s="712"/>
      <c r="D127" s="712"/>
      <c r="E127" s="713"/>
      <c r="F127" s="712"/>
      <c r="G127" s="713"/>
      <c r="H127" s="742"/>
    </row>
    <row r="128" spans="1:10" outlineLevel="1">
      <c r="E128" s="6"/>
      <c r="G128" s="6"/>
    </row>
    <row r="129" spans="1:8" ht="14" outlineLevel="2" thickBot="1"/>
    <row r="130" spans="1:8" ht="15.5" outlineLevel="2" thickBot="1">
      <c r="A130" s="748" t="s">
        <v>297</v>
      </c>
      <c r="B130" s="749"/>
      <c r="C130" s="749"/>
      <c r="D130" s="749"/>
      <c r="E130" s="750"/>
      <c r="F130" s="749"/>
      <c r="G130" s="751">
        <f>SUM(G131:G135)</f>
        <v>111017.5</v>
      </c>
      <c r="H130" s="752">
        <f t="shared" ref="H130:H135" si="23">G130/Project_Size/1000</f>
        <v>0.23094965675057208</v>
      </c>
    </row>
    <row r="131" spans="1:8" outlineLevel="2">
      <c r="A131" s="708" t="s">
        <v>298</v>
      </c>
      <c r="B131" s="20"/>
      <c r="C131" s="20"/>
      <c r="D131" s="20"/>
      <c r="E131" s="709">
        <f>IF('Supplier database'!D217*Project_Size*1000&lt;'Supplier database'!C217,'Supplier database'!C217,'Supplier database'!D217*Project_Size*1000)</f>
        <v>12017.5</v>
      </c>
      <c r="F131" s="20">
        <v>1</v>
      </c>
      <c r="G131" s="709">
        <f>F131*E131</f>
        <v>12017.5</v>
      </c>
      <c r="H131" s="710">
        <f t="shared" si="23"/>
        <v>2.5000000000000001E-2</v>
      </c>
    </row>
    <row r="132" spans="1:8" outlineLevel="2">
      <c r="A132" s="708" t="s">
        <v>299</v>
      </c>
      <c r="B132" s="20"/>
      <c r="C132" s="20"/>
      <c r="D132" s="20"/>
      <c r="E132" s="1393">
        <v>12000</v>
      </c>
      <c r="F132" s="20">
        <v>1</v>
      </c>
      <c r="G132" s="709">
        <f>F132*E132</f>
        <v>12000</v>
      </c>
      <c r="H132" s="710">
        <f t="shared" si="23"/>
        <v>2.4963594757645102E-2</v>
      </c>
    </row>
    <row r="133" spans="1:8" outlineLevel="2">
      <c r="A133" s="615" t="s">
        <v>300</v>
      </c>
      <c r="E133" s="512" cm="1">
        <f t="array" ref="E133">IF(Project_Size&gt;110,IF(ISNUMBER(SEARCH("CoCT",'Design Inputs'!H57)),60000,0),0)</f>
        <v>0</v>
      </c>
      <c r="F133" s="6">
        <v>1</v>
      </c>
      <c r="G133" s="709">
        <f t="shared" ref="G133" si="24">F133*E133</f>
        <v>0</v>
      </c>
      <c r="H133" s="710">
        <f t="shared" si="23"/>
        <v>0</v>
      </c>
    </row>
    <row r="134" spans="1:8" outlineLevel="1">
      <c r="A134" s="708" t="s">
        <v>301</v>
      </c>
      <c r="B134" s="20"/>
      <c r="C134" s="20"/>
      <c r="D134" s="20"/>
      <c r="E134" s="709" cm="1">
        <f t="array" ref="E134">IF(Project_Size&gt;360,IF(ISNUMBER(SEARCH("CoCT",'Design Inputs'!H57)),0,80000),0)</f>
        <v>80000</v>
      </c>
      <c r="F134" s="20">
        <v>1</v>
      </c>
      <c r="G134" s="709">
        <f>F134*E134</f>
        <v>80000</v>
      </c>
      <c r="H134" s="710">
        <f t="shared" si="23"/>
        <v>0.16642396505096735</v>
      </c>
    </row>
    <row r="135" spans="1:8" ht="14" outlineLevel="1" thickBot="1">
      <c r="A135" s="711" t="s">
        <v>302</v>
      </c>
      <c r="B135" s="712"/>
      <c r="C135" s="712"/>
      <c r="D135" s="712"/>
      <c r="E135" s="713" cm="1">
        <f t="array" ref="E135">IF(Project_Size&gt;360,IF(ISNUMBER(SEARCH("Gauteng",'Design Inputs'!D4)),7000,0),0)</f>
        <v>7000</v>
      </c>
      <c r="F135" s="712">
        <v>1</v>
      </c>
      <c r="G135" s="713">
        <f>F135*E135</f>
        <v>7000</v>
      </c>
      <c r="H135" s="715">
        <f t="shared" si="23"/>
        <v>1.4562096941959642E-2</v>
      </c>
    </row>
    <row r="136" spans="1:8" outlineLevel="1"/>
    <row r="137" spans="1:8" ht="14" outlineLevel="2" thickBot="1"/>
    <row r="138" spans="1:8" ht="15" outlineLevel="2">
      <c r="A138" s="703" t="s">
        <v>303</v>
      </c>
      <c r="B138" s="699"/>
      <c r="C138" s="699"/>
      <c r="D138" s="699"/>
      <c r="E138" s="700"/>
      <c r="F138" s="699"/>
      <c r="G138" s="701">
        <f>G140+G139</f>
        <v>0</v>
      </c>
      <c r="H138" s="702">
        <f>G138/Project_Size/1000</f>
        <v>0</v>
      </c>
    </row>
    <row r="139" spans="1:8" outlineLevel="1">
      <c r="A139" s="704" t="str">
        <f>IF(Offloading_Required="yes",0,"Offloading cost")</f>
        <v>Offloading cost</v>
      </c>
      <c r="B139" s="705"/>
      <c r="C139" s="705"/>
      <c r="D139" s="705"/>
      <c r="E139" s="706">
        <f>500+8000</f>
        <v>8500</v>
      </c>
      <c r="F139" s="1414">
        <v>0</v>
      </c>
      <c r="G139" s="706">
        <f>F139*E139</f>
        <v>0</v>
      </c>
      <c r="H139" s="707">
        <f>G139/Project_Size/1000</f>
        <v>0</v>
      </c>
    </row>
    <row r="140" spans="1:8" ht="15.5" outlineLevel="1" thickBot="1">
      <c r="A140" s="743"/>
      <c r="B140" s="712"/>
      <c r="C140" s="712"/>
      <c r="D140" s="712"/>
      <c r="E140" s="713"/>
      <c r="F140" s="712"/>
      <c r="G140" s="713">
        <f>F140*E140</f>
        <v>0</v>
      </c>
      <c r="H140" s="715">
        <f>G140/Project_Size/1000</f>
        <v>0</v>
      </c>
    </row>
    <row r="141" spans="1:8" outlineLevel="1"/>
    <row r="142" spans="1:8" ht="14" outlineLevel="2" thickBot="1">
      <c r="G142" s="509"/>
      <c r="H142" s="509"/>
    </row>
    <row r="143" spans="1:8" ht="15.5" outlineLevel="1" thickBot="1">
      <c r="A143" s="748" t="s">
        <v>304</v>
      </c>
      <c r="B143" s="749"/>
      <c r="C143" s="749"/>
      <c r="D143" s="749"/>
      <c r="E143" s="750"/>
      <c r="F143" s="749"/>
      <c r="G143" s="751">
        <f>SUM(G144:G145)</f>
        <v>0</v>
      </c>
      <c r="H143" s="752">
        <f>G143/Project_Size/1000</f>
        <v>0</v>
      </c>
    </row>
    <row r="144" spans="1:8" ht="14.25" customHeight="1" outlineLevel="1" thickBot="1">
      <c r="A144" s="759" t="s">
        <v>305</v>
      </c>
      <c r="B144" s="712"/>
      <c r="C144" s="712"/>
      <c r="D144" s="712"/>
      <c r="E144" s="713">
        <v>9000</v>
      </c>
      <c r="F144" s="712">
        <f>IF(telehandler="",0,IF(ROUNDDOWN(Project_Size/100,0)&lt;1,1,ROUNDDOWN(Project_Size/100,0)))</f>
        <v>0</v>
      </c>
      <c r="G144" s="713">
        <f>F144*E144</f>
        <v>0</v>
      </c>
      <c r="H144" s="715">
        <f>G144/Project_Size/1000</f>
        <v>0</v>
      </c>
    </row>
    <row r="145" spans="1:10" ht="15" outlineLevel="1">
      <c r="A145" s="515"/>
      <c r="H145" s="512"/>
    </row>
    <row r="146" spans="1:10" ht="14" outlineLevel="2" thickBot="1">
      <c r="J146" s="513"/>
    </row>
    <row r="147" spans="1:10" ht="15.5" outlineLevel="2" thickBot="1">
      <c r="A147" s="748" t="s">
        <v>306</v>
      </c>
      <c r="B147" s="749"/>
      <c r="C147" s="749"/>
      <c r="D147" s="749"/>
      <c r="E147" s="750"/>
      <c r="F147" s="749"/>
      <c r="G147" s="751">
        <f>SUM(G148:G149)</f>
        <v>0</v>
      </c>
      <c r="H147" s="752">
        <f>G147/Project_Size/1000</f>
        <v>0</v>
      </c>
    </row>
    <row r="148" spans="1:10" outlineLevel="1">
      <c r="A148" s="708" t="s">
        <v>307</v>
      </c>
      <c r="B148" s="20"/>
      <c r="C148" s="20"/>
      <c r="D148" s="20"/>
      <c r="E148" s="709">
        <f>IF(Site_Storage="",0,Site_Days/1.5*'Supplier database'!E202)</f>
        <v>1973.3333333333333</v>
      </c>
      <c r="F148" s="798">
        <v>0</v>
      </c>
      <c r="G148" s="709">
        <f>F148*E148</f>
        <v>0</v>
      </c>
      <c r="H148" s="710">
        <f>G148/Project_Size/1000</f>
        <v>0</v>
      </c>
    </row>
    <row r="149" spans="1:10" ht="20.25" customHeight="1" outlineLevel="1" thickBot="1">
      <c r="A149" s="711"/>
      <c r="B149" s="712"/>
      <c r="C149" s="712"/>
      <c r="D149" s="712"/>
      <c r="E149" s="713"/>
      <c r="F149" s="712"/>
      <c r="G149" s="713">
        <f>F149*E149</f>
        <v>0</v>
      </c>
      <c r="H149" s="715">
        <f>G149/Project_Size/1000</f>
        <v>0</v>
      </c>
    </row>
    <row r="150" spans="1:10" ht="20.25" customHeight="1" outlineLevel="1"/>
    <row r="151" spans="1:10" ht="20.25" customHeight="1" outlineLevel="2" thickBot="1">
      <c r="A151" s="255"/>
      <c r="G151" s="509"/>
      <c r="H151" s="509"/>
    </row>
    <row r="152" spans="1:10" ht="20.25" customHeight="1" outlineLevel="2" thickBot="1">
      <c r="A152" s="748" t="s">
        <v>308</v>
      </c>
      <c r="B152" s="749"/>
      <c r="C152" s="749"/>
      <c r="D152" s="749"/>
      <c r="E152" s="750"/>
      <c r="F152" s="749"/>
      <c r="G152" s="751">
        <f>SUM(G153:G154)</f>
        <v>27695.066666666669</v>
      </c>
      <c r="H152" s="752">
        <f>G152/Project_Size/1000</f>
        <v>5.7614035087719312E-2</v>
      </c>
    </row>
    <row r="153" spans="1:10" outlineLevel="1">
      <c r="A153" s="708" t="s">
        <v>309</v>
      </c>
      <c r="B153" s="20"/>
      <c r="C153" s="20"/>
      <c r="D153" s="20"/>
      <c r="E153" s="709">
        <f>4508/5+(2500+85*82+1850+2500+2500+1850)/Site_Days/1.5</f>
        <v>1153.9611111111112</v>
      </c>
      <c r="F153" s="726">
        <f>IF(Scaffolding="",0,Site_Days)*0.5</f>
        <v>24</v>
      </c>
      <c r="G153" s="709">
        <f>F153*E153</f>
        <v>27695.066666666669</v>
      </c>
      <c r="H153" s="710">
        <f>G153/Project_Size/1000</f>
        <v>5.7614035087719312E-2</v>
      </c>
    </row>
    <row r="154" spans="1:10" ht="14" outlineLevel="1" thickBot="1">
      <c r="A154" s="711"/>
      <c r="B154" s="712"/>
      <c r="C154" s="712"/>
      <c r="D154" s="712"/>
      <c r="E154" s="713"/>
      <c r="F154" s="712"/>
      <c r="G154" s="713">
        <f>F154*E154</f>
        <v>0</v>
      </c>
      <c r="H154" s="715">
        <f>G154/Project_Size/1000</f>
        <v>0</v>
      </c>
    </row>
    <row r="155" spans="1:10" outlineLevel="1"/>
    <row r="156" spans="1:10" ht="14" outlineLevel="2" thickBot="1"/>
    <row r="157" spans="1:10" ht="15.5" outlineLevel="2" thickBot="1">
      <c r="A157" s="748" t="s">
        <v>310</v>
      </c>
      <c r="B157" s="749"/>
      <c r="C157" s="749"/>
      <c r="D157" s="749"/>
      <c r="E157" s="750"/>
      <c r="F157" s="749"/>
      <c r="G157" s="751">
        <f>SUM(G158:G159)</f>
        <v>0</v>
      </c>
      <c r="H157" s="752">
        <f>G157/Project_Size/1000</f>
        <v>0</v>
      </c>
    </row>
    <row r="158" spans="1:10" outlineLevel="1">
      <c r="A158" s="708" t="s">
        <v>311</v>
      </c>
      <c r="B158" s="20"/>
      <c r="C158" s="20"/>
      <c r="D158" s="20"/>
      <c r="E158" s="709">
        <f>IF(Site_Security="",0,'Supplier database'!C207)</f>
        <v>2400</v>
      </c>
      <c r="F158" s="1412">
        <v>0</v>
      </c>
      <c r="G158" s="709">
        <f>F158*E158</f>
        <v>0</v>
      </c>
      <c r="H158" s="710">
        <f>G158/Project_Size/1000</f>
        <v>0</v>
      </c>
    </row>
    <row r="159" spans="1:10" ht="14" outlineLevel="1" thickBot="1">
      <c r="A159" s="711"/>
      <c r="B159" s="712"/>
      <c r="C159" s="712"/>
      <c r="D159" s="712"/>
      <c r="E159" s="713"/>
      <c r="F159" s="712"/>
      <c r="G159" s="713"/>
      <c r="H159" s="742"/>
    </row>
    <row r="160" spans="1:10" outlineLevel="1"/>
    <row r="161" spans="1:8" ht="14" outlineLevel="2" thickBot="1">
      <c r="A161" s="255"/>
      <c r="G161" s="509"/>
      <c r="H161" s="509"/>
    </row>
    <row r="162" spans="1:8" ht="14" outlineLevel="2" thickBot="1">
      <c r="A162" s="755" t="s">
        <v>312</v>
      </c>
      <c r="B162" s="749"/>
      <c r="C162" s="749"/>
      <c r="D162" s="749"/>
      <c r="E162" s="750"/>
      <c r="F162" s="749"/>
      <c r="G162" s="751">
        <f>SUM(G163:G166)</f>
        <v>0</v>
      </c>
      <c r="H162" s="752">
        <f>G162/Project_Size/1000</f>
        <v>0</v>
      </c>
    </row>
    <row r="163" spans="1:8" outlineLevel="2">
      <c r="A163" s="728" t="str">
        <f>IF('Costing Inputs'!C33='Ref 1'!$L$20,'Costing Inputs'!D33,"")</f>
        <v/>
      </c>
      <c r="B163" s="20"/>
      <c r="C163" s="20"/>
      <c r="D163" s="20"/>
      <c r="E163" s="729">
        <f>IF(A163="",0,'Costing Inputs'!H33)</f>
        <v>0</v>
      </c>
      <c r="F163" s="20">
        <v>1</v>
      </c>
      <c r="G163" s="730">
        <f>F163*E163</f>
        <v>0</v>
      </c>
      <c r="H163" s="710">
        <f>G163/Project_Size/1000</f>
        <v>0</v>
      </c>
    </row>
    <row r="164" spans="1:8" outlineLevel="2">
      <c r="A164" s="728">
        <f>IF('Costing Inputs'!C35='Ref 1'!$L$20,'Costing Inputs'!D35,"")</f>
        <v>0</v>
      </c>
      <c r="B164" s="20"/>
      <c r="C164" s="20"/>
      <c r="D164" s="20"/>
      <c r="E164" s="729">
        <f>IF(A164="",0,'Costing Inputs'!H35)</f>
        <v>0</v>
      </c>
      <c r="F164" s="20">
        <v>1</v>
      </c>
      <c r="G164" s="730">
        <f>F164*E164</f>
        <v>0</v>
      </c>
      <c r="H164" s="710">
        <f>G164/Project_Size/1000</f>
        <v>0</v>
      </c>
    </row>
    <row r="165" spans="1:8" outlineLevel="1">
      <c r="A165" s="728">
        <f>IF('Costing Inputs'!C36='Ref 1'!$L$20,'Costing Inputs'!D36,"")</f>
        <v>0</v>
      </c>
      <c r="B165" s="20"/>
      <c r="C165" s="20"/>
      <c r="D165" s="20"/>
      <c r="E165" s="729">
        <f>IF(A165="",0,'Costing Inputs'!H36)</f>
        <v>0</v>
      </c>
      <c r="F165" s="20">
        <v>1</v>
      </c>
      <c r="G165" s="730">
        <f>F165*E165</f>
        <v>0</v>
      </c>
      <c r="H165" s="710">
        <f>G165/Project_Size/1000</f>
        <v>0</v>
      </c>
    </row>
    <row r="166" spans="1:8" ht="14" thickBot="1">
      <c r="A166" s="731" t="str">
        <f>IF('Costing Inputs'!C37='Ref 1'!$L$20,'Costing Inputs'!D37,"")</f>
        <v/>
      </c>
      <c r="B166" s="712"/>
      <c r="C166" s="712"/>
      <c r="D166" s="712"/>
      <c r="E166" s="732">
        <f>IF(A166="",0,'Costing Inputs'!H37)</f>
        <v>0</v>
      </c>
      <c r="F166" s="712">
        <v>1</v>
      </c>
      <c r="G166" s="733">
        <f>F166*E166</f>
        <v>0</v>
      </c>
      <c r="H166" s="715">
        <f>G166/Project_Size/1000</f>
        <v>0</v>
      </c>
    </row>
    <row r="168" spans="1:8" outlineLevel="1"/>
    <row r="169" spans="1:8" ht="20" outlineLevel="1" thickBot="1">
      <c r="A169" s="764" t="s">
        <v>313</v>
      </c>
      <c r="B169" s="510"/>
      <c r="C169" s="510"/>
      <c r="D169" s="510"/>
      <c r="E169" s="511"/>
      <c r="F169" s="510"/>
      <c r="G169" s="511"/>
      <c r="H169" s="510"/>
    </row>
    <row r="170" spans="1:8" ht="14" outlineLevel="2" thickBot="1"/>
    <row r="171" spans="1:8" ht="15.5" outlineLevel="2" thickBot="1">
      <c r="A171" s="748" t="s">
        <v>314</v>
      </c>
      <c r="B171" s="749"/>
      <c r="C171" s="749"/>
      <c r="D171" s="749"/>
      <c r="E171" s="750"/>
      <c r="F171" s="749"/>
      <c r="G171" s="751">
        <f>SUM(G173:G181)</f>
        <v>3360</v>
      </c>
      <c r="H171" s="752">
        <f>G171/Project_Size/1000</f>
        <v>6.9898065321406279E-3</v>
      </c>
    </row>
    <row r="172" spans="1:8" ht="15" outlineLevel="2">
      <c r="A172" s="760"/>
      <c r="B172" s="20"/>
      <c r="C172" s="20"/>
      <c r="D172" s="20"/>
      <c r="E172" s="709"/>
      <c r="F172" s="20"/>
      <c r="G172" s="709"/>
      <c r="H172" s="740"/>
    </row>
    <row r="173" spans="1:8" outlineLevel="2">
      <c r="A173" s="708" t="s">
        <v>315</v>
      </c>
      <c r="B173" s="20"/>
      <c r="C173" s="20"/>
      <c r="D173" s="20"/>
      <c r="E173" s="709">
        <v>3.5</v>
      </c>
      <c r="F173" s="709">
        <f>Site_Days*Site_Distance</f>
        <v>960</v>
      </c>
      <c r="G173" s="709">
        <f>F173*E173</f>
        <v>3360</v>
      </c>
      <c r="H173" s="710">
        <f>G173/Project_Size/1000</f>
        <v>6.9898065321406279E-3</v>
      </c>
    </row>
    <row r="174" spans="1:8" outlineLevel="2">
      <c r="A174" s="708"/>
      <c r="B174" s="20"/>
      <c r="C174" s="20"/>
      <c r="D174" s="20"/>
      <c r="E174" s="709"/>
      <c r="F174" s="20"/>
      <c r="G174" s="709"/>
      <c r="H174" s="740"/>
    </row>
    <row r="175" spans="1:8" outlineLevel="2">
      <c r="A175" s="708" t="s">
        <v>316</v>
      </c>
      <c r="B175" s="20"/>
      <c r="C175" s="20"/>
      <c r="D175" s="20"/>
      <c r="E175" s="709">
        <v>50</v>
      </c>
      <c r="F175" s="20">
        <f>IF('Costing Inputs'!V11="",0,F124)</f>
        <v>0</v>
      </c>
      <c r="G175" s="709">
        <f>F175*E175</f>
        <v>0</v>
      </c>
      <c r="H175" s="741">
        <f>G175/Project_Size/1000</f>
        <v>0</v>
      </c>
    </row>
    <row r="176" spans="1:8" outlineLevel="2">
      <c r="A176" s="708" t="s">
        <v>317</v>
      </c>
      <c r="B176" s="20"/>
      <c r="C176" s="20"/>
      <c r="D176" s="20"/>
      <c r="E176" s="709">
        <f>'Ref 1'!C23</f>
        <v>500</v>
      </c>
      <c r="F176" s="20">
        <f>IF('Costing Inputs'!V11="",0,F124)</f>
        <v>0</v>
      </c>
      <c r="G176" s="709">
        <f>F176*E176</f>
        <v>0</v>
      </c>
      <c r="H176" s="741">
        <f>G176/Project_Size/1000</f>
        <v>0</v>
      </c>
    </row>
    <row r="177" spans="1:8" outlineLevel="2">
      <c r="A177" s="708" t="s">
        <v>318</v>
      </c>
      <c r="B177" s="20"/>
      <c r="C177" s="20"/>
      <c r="D177" s="20"/>
      <c r="E177" s="709">
        <f>'Ref 1'!C23</f>
        <v>500</v>
      </c>
      <c r="F177" s="20">
        <f>IF('Costing Inputs'!V11="",0,F124)</f>
        <v>0</v>
      </c>
      <c r="G177" s="709">
        <f>F177*E177</f>
        <v>0</v>
      </c>
      <c r="H177" s="741">
        <f>G177/Project_Size/1000</f>
        <v>0</v>
      </c>
    </row>
    <row r="178" spans="1:8" outlineLevel="2">
      <c r="A178" s="708"/>
      <c r="B178" s="20"/>
      <c r="C178" s="20"/>
      <c r="D178" s="20"/>
      <c r="E178" s="709"/>
      <c r="F178" s="20"/>
      <c r="G178" s="709"/>
      <c r="H178" s="740"/>
    </row>
    <row r="179" spans="1:8" outlineLevel="2">
      <c r="A179" s="708" t="s">
        <v>319</v>
      </c>
      <c r="B179" s="20"/>
      <c r="C179" s="20"/>
      <c r="D179" s="20"/>
      <c r="E179" s="709">
        <v>700</v>
      </c>
      <c r="F179" s="20">
        <f>IF(EE_accomodation="",0,F124)</f>
        <v>0</v>
      </c>
      <c r="G179" s="709">
        <f>F179*E179</f>
        <v>0</v>
      </c>
      <c r="H179" s="741">
        <f>G179/Project_Size/1000</f>
        <v>0</v>
      </c>
    </row>
    <row r="180" spans="1:8" outlineLevel="2">
      <c r="A180" s="708" t="s">
        <v>320</v>
      </c>
      <c r="B180" s="20"/>
      <c r="C180" s="20"/>
      <c r="D180" s="20"/>
      <c r="E180" s="709">
        <f>500*5</f>
        <v>2500</v>
      </c>
      <c r="F180" s="20">
        <f>IF(Installer_Accomodation="",0,Site_Days)</f>
        <v>0</v>
      </c>
      <c r="G180" s="709">
        <f>F180*E180</f>
        <v>0</v>
      </c>
      <c r="H180" s="741">
        <f>G180/Project_Size/1000</f>
        <v>0</v>
      </c>
    </row>
    <row r="181" spans="1:8" outlineLevel="1">
      <c r="A181" s="708"/>
      <c r="B181" s="20"/>
      <c r="C181" s="20"/>
      <c r="D181" s="20"/>
      <c r="E181" s="709"/>
      <c r="F181" s="20"/>
      <c r="G181" s="709">
        <f>F181*E181</f>
        <v>0</v>
      </c>
      <c r="H181" s="741">
        <f>G181/Project_Size/1000</f>
        <v>0</v>
      </c>
    </row>
    <row r="182" spans="1:8" ht="14" outlineLevel="1" thickBot="1">
      <c r="A182" s="711"/>
      <c r="B182" s="712"/>
      <c r="C182" s="712"/>
      <c r="D182" s="712"/>
      <c r="E182" s="713"/>
      <c r="F182" s="712"/>
      <c r="G182" s="713"/>
      <c r="H182" s="742"/>
    </row>
    <row r="183" spans="1:8" outlineLevel="1"/>
    <row r="184" spans="1:8" outlineLevel="1"/>
    <row r="185" spans="1:8" outlineLevel="1"/>
  </sheetData>
  <sheetProtection formatCells="0" formatColumns="0" formatRows="0" insertColumns="0" insertRows="0" insertHyperlinks="0" deleteColumns="0" deleteRows="0" sort="0" autoFilter="0" pivotTables="0"/>
  <pageMargins left="0.7" right="0.7" top="0.75" bottom="0.75" header="0.3" footer="0.3"/>
  <pageSetup orientation="portrait" r:id="rId1"/>
  <ignoredErrors>
    <ignoredError sqref="F48 G51 F124 G14"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0">
    <tabColor theme="1" tint="0.39997558519241921"/>
  </sheetPr>
  <dimension ref="A1:S70"/>
  <sheetViews>
    <sheetView topLeftCell="A12" zoomScale="110" zoomScaleNormal="110" workbookViewId="0">
      <selection activeCell="E15" sqref="E15"/>
    </sheetView>
  </sheetViews>
  <sheetFormatPr defaultColWidth="9.140625" defaultRowHeight="14.5"/>
  <cols>
    <col min="1" max="1" width="5.28515625" style="117" customWidth="1"/>
    <col min="2" max="2" width="31.140625" style="117" bestFit="1" customWidth="1"/>
    <col min="3" max="3" width="12.42578125" style="183" bestFit="1" customWidth="1"/>
    <col min="4" max="4" width="9.5703125" style="183" customWidth="1"/>
    <col min="5" max="5" width="7.28515625" style="117" bestFit="1" customWidth="1"/>
    <col min="6" max="6" width="7.42578125" style="117" bestFit="1" customWidth="1"/>
    <col min="7" max="7" width="15.42578125" style="117" bestFit="1" customWidth="1"/>
    <col min="8" max="8" width="9.7109375" style="117" bestFit="1" customWidth="1"/>
    <col min="9" max="9" width="6" style="117" bestFit="1" customWidth="1"/>
    <col min="10" max="10" width="9.42578125" style="117" bestFit="1" customWidth="1"/>
    <col min="11" max="11" width="8.140625" style="117" bestFit="1" customWidth="1"/>
    <col min="12" max="12" width="9.140625" style="117"/>
    <col min="13" max="13" width="5.42578125" style="117" customWidth="1"/>
    <col min="14" max="14" width="17.140625" style="117" customWidth="1"/>
    <col min="15" max="15" width="17.7109375" style="117" customWidth="1"/>
    <col min="16" max="16" width="20.7109375" style="117" customWidth="1"/>
    <col min="17" max="17" width="15.42578125" style="117" customWidth="1"/>
    <col min="18" max="18" width="13.28515625" style="117" customWidth="1"/>
    <col min="19" max="19" width="13.42578125" style="117" customWidth="1"/>
    <col min="20" max="16384" width="9.140625" style="117"/>
  </cols>
  <sheetData>
    <row r="1" spans="1:19">
      <c r="A1" s="197"/>
      <c r="B1" s="197"/>
      <c r="C1" s="198"/>
      <c r="D1" s="199">
        <f>SUM(D6:D34)</f>
        <v>1.0000000000000002</v>
      </c>
      <c r="E1" s="197"/>
      <c r="F1" s="197"/>
      <c r="G1" s="197"/>
      <c r="H1" s="197"/>
      <c r="I1" s="197"/>
      <c r="J1" s="197"/>
      <c r="K1" s="197"/>
    </row>
    <row r="2" spans="1:19">
      <c r="A2" s="200" t="s">
        <v>321</v>
      </c>
      <c r="B2" s="197"/>
      <c r="C2" s="198"/>
      <c r="D2" s="198"/>
      <c r="E2" s="197"/>
      <c r="F2" s="197"/>
      <c r="G2" s="197"/>
      <c r="H2" s="197"/>
      <c r="I2" s="201"/>
      <c r="J2" s="197"/>
      <c r="K2" s="197"/>
      <c r="M2" s="185"/>
    </row>
    <row r="3" spans="1:19">
      <c r="A3" s="197"/>
      <c r="B3" s="197"/>
      <c r="C3" s="198"/>
      <c r="D3" s="198"/>
      <c r="E3" s="197"/>
      <c r="F3" s="197"/>
      <c r="G3" s="197"/>
      <c r="H3" s="197"/>
      <c r="I3" s="197"/>
      <c r="J3" s="197"/>
      <c r="K3" s="197"/>
      <c r="O3" s="186"/>
    </row>
    <row r="4" spans="1:19">
      <c r="A4" s="202"/>
      <c r="B4" s="203" t="s">
        <v>322</v>
      </c>
      <c r="C4" s="204" t="s">
        <v>323</v>
      </c>
      <c r="D4" s="204" t="s">
        <v>324</v>
      </c>
      <c r="E4" s="205" t="s">
        <v>325</v>
      </c>
      <c r="F4" s="205" t="s">
        <v>326</v>
      </c>
      <c r="G4" s="205" t="s">
        <v>327</v>
      </c>
      <c r="H4" s="205" t="s">
        <v>328</v>
      </c>
      <c r="I4" s="205"/>
      <c r="J4" s="205" t="s">
        <v>329</v>
      </c>
      <c r="K4" s="206" t="s">
        <v>330</v>
      </c>
      <c r="N4" s="185"/>
    </row>
    <row r="5" spans="1:19">
      <c r="A5" s="207"/>
      <c r="B5" s="197"/>
      <c r="C5" s="198"/>
      <c r="D5" s="198"/>
      <c r="E5" s="197"/>
      <c r="F5" s="197"/>
      <c r="G5" s="197"/>
      <c r="H5" s="197"/>
      <c r="I5" s="197"/>
      <c r="J5" s="197"/>
      <c r="K5" s="208"/>
    </row>
    <row r="6" spans="1:19">
      <c r="A6" s="207">
        <v>1</v>
      </c>
      <c r="B6" s="197" t="str">
        <f>PV_Modules_Product</f>
        <v>Panel Procurement Budget</v>
      </c>
      <c r="C6" s="209">
        <f>Module_Product</f>
        <v>1101764.3999999999</v>
      </c>
      <c r="D6" s="210">
        <f t="shared" ref="D6:D14" si="0">C6/TOTAL_Project_Cost</f>
        <v>0.16153760948248225</v>
      </c>
      <c r="E6" s="1406">
        <v>0.18</v>
      </c>
      <c r="F6" s="199">
        <f t="shared" ref="F6:F14" si="1">E6/(1-E6)</f>
        <v>0.21951219512195119</v>
      </c>
      <c r="G6" s="212">
        <f t="shared" ref="G6:G14" si="2">F6*C6</f>
        <v>241850.72195121946</v>
      </c>
      <c r="H6" s="212">
        <f>G6+C6</f>
        <v>1343615.1219512194</v>
      </c>
      <c r="I6" s="201">
        <f t="shared" ref="I6:I14" si="3">G6/H6</f>
        <v>0.17999999999999997</v>
      </c>
      <c r="J6" s="213">
        <f>H6/$H$37</f>
        <v>0.17032017397545768</v>
      </c>
      <c r="K6" s="214">
        <f t="shared" ref="K6:K14" si="4">$H$37*J6/(Project_Size*1000)</f>
        <v>2.795121951219512</v>
      </c>
      <c r="O6" s="188"/>
    </row>
    <row r="7" spans="1:19">
      <c r="A7" s="207">
        <f>A6+1</f>
        <v>2</v>
      </c>
      <c r="B7" s="197" t="str">
        <f>'Cost Detail'!A11</f>
        <v>Inverter Procurement Budget</v>
      </c>
      <c r="C7" s="209">
        <f>Inverter_Product</f>
        <v>300960</v>
      </c>
      <c r="D7" s="210">
        <f t="shared" si="0"/>
        <v>4.4125911991572668E-2</v>
      </c>
      <c r="E7" s="1406">
        <v>0.18</v>
      </c>
      <c r="F7" s="199">
        <f t="shared" si="1"/>
        <v>0.21951219512195119</v>
      </c>
      <c r="G7" s="212">
        <f t="shared" si="2"/>
        <v>66064.390243902424</v>
      </c>
      <c r="H7" s="212">
        <f t="shared" ref="H7:H14" si="5">G7+C7</f>
        <v>367024.39024390245</v>
      </c>
      <c r="I7" s="201">
        <f t="shared" si="3"/>
        <v>0.17999999999999997</v>
      </c>
      <c r="J7" s="213">
        <f t="shared" ref="J7:J14" si="6">H7/$H$37</f>
        <v>4.6524973542123663E-2</v>
      </c>
      <c r="K7" s="214">
        <f t="shared" si="4"/>
        <v>0.7635206786850478</v>
      </c>
      <c r="O7" s="188"/>
      <c r="S7" s="188"/>
    </row>
    <row r="8" spans="1:19">
      <c r="A8" s="207">
        <f>A7+1</f>
        <v>3</v>
      </c>
      <c r="B8" s="197" t="str">
        <f>Mounting_Structures_Product</f>
        <v>Mounting Structure Budget</v>
      </c>
      <c r="C8" s="209">
        <f>Mounting_Product</f>
        <v>216315</v>
      </c>
      <c r="D8" s="210">
        <f t="shared" si="0"/>
        <v>3.1715499243942853E-2</v>
      </c>
      <c r="E8" s="1406">
        <f t="shared" ref="E8:E13" si="7">Margin_Prod</f>
        <v>0.16</v>
      </c>
      <c r="F8" s="199">
        <f t="shared" si="1"/>
        <v>0.19047619047619049</v>
      </c>
      <c r="G8" s="212">
        <f t="shared" si="2"/>
        <v>41202.857142857145</v>
      </c>
      <c r="H8" s="212">
        <f t="shared" si="5"/>
        <v>257517.85714285716</v>
      </c>
      <c r="I8" s="201">
        <f t="shared" si="3"/>
        <v>0.16</v>
      </c>
      <c r="J8" s="213">
        <f t="shared" si="6"/>
        <v>3.2643638430225157E-2</v>
      </c>
      <c r="K8" s="214">
        <f t="shared" si="4"/>
        <v>0.5357142857142857</v>
      </c>
      <c r="O8" s="188"/>
    </row>
    <row r="9" spans="1:19">
      <c r="A9" s="207">
        <f>A8+1</f>
        <v>4</v>
      </c>
      <c r="B9" s="1400" t="str">
        <f>DC_Equipment_Product</f>
        <v>DC Equipment Budget</v>
      </c>
      <c r="C9" s="209">
        <f>DC_Product</f>
        <v>414338.4</v>
      </c>
      <c r="D9" s="210">
        <f t="shared" si="0"/>
        <v>6.0749135343995987E-2</v>
      </c>
      <c r="E9" s="1406">
        <f t="shared" si="7"/>
        <v>0.16</v>
      </c>
      <c r="F9" s="199">
        <f t="shared" si="1"/>
        <v>0.19047619047619049</v>
      </c>
      <c r="G9" s="212">
        <f t="shared" si="2"/>
        <v>78921.600000000006</v>
      </c>
      <c r="H9" s="212">
        <f t="shared" si="5"/>
        <v>493260</v>
      </c>
      <c r="I9" s="201">
        <f t="shared" si="3"/>
        <v>0.16</v>
      </c>
      <c r="J9" s="213">
        <f t="shared" si="6"/>
        <v>6.2526930251522103E-2</v>
      </c>
      <c r="K9" s="214">
        <f t="shared" si="4"/>
        <v>1.0261285625130019</v>
      </c>
      <c r="O9" s="188"/>
    </row>
    <row r="10" spans="1:19">
      <c r="A10" s="207">
        <f>A9+1</f>
        <v>5</v>
      </c>
      <c r="B10" s="1400" t="str">
        <f>AC_Equipment_Product</f>
        <v>AC Equipment Budget</v>
      </c>
      <c r="C10" s="209">
        <f>AC_Product</f>
        <v>464290.19999999995</v>
      </c>
      <c r="D10" s="210">
        <f t="shared" si="0"/>
        <v>6.8072928308578112E-2</v>
      </c>
      <c r="E10" s="1406">
        <f t="shared" si="7"/>
        <v>0.16</v>
      </c>
      <c r="F10" s="199">
        <f t="shared" si="1"/>
        <v>0.19047619047619049</v>
      </c>
      <c r="G10" s="212">
        <f t="shared" si="2"/>
        <v>88436.228571428568</v>
      </c>
      <c r="H10" s="212">
        <f t="shared" si="5"/>
        <v>552726.42857142852</v>
      </c>
      <c r="I10" s="201">
        <f t="shared" si="3"/>
        <v>0.16</v>
      </c>
      <c r="J10" s="213">
        <f t="shared" si="6"/>
        <v>7.0065050576691046E-2</v>
      </c>
      <c r="K10" s="214">
        <f t="shared" si="4"/>
        <v>1.1498365478914676</v>
      </c>
      <c r="O10" s="188"/>
    </row>
    <row r="11" spans="1:19">
      <c r="A11" s="207">
        <f>A10+1</f>
        <v>6</v>
      </c>
      <c r="B11" s="197" t="str">
        <f>'Cost Detail'!A57</f>
        <v>Monitoring Budget</v>
      </c>
      <c r="C11" s="215">
        <f>Monitoring_Product</f>
        <v>49000</v>
      </c>
      <c r="D11" s="210">
        <f t="shared" si="0"/>
        <v>7.184242715268011E-3</v>
      </c>
      <c r="E11" s="1406">
        <f t="shared" si="7"/>
        <v>0.16</v>
      </c>
      <c r="F11" s="199">
        <f>E11/(1-E11)</f>
        <v>0.19047619047619049</v>
      </c>
      <c r="G11" s="212">
        <f t="shared" si="2"/>
        <v>9333.3333333333339</v>
      </c>
      <c r="H11" s="212">
        <f t="shared" si="5"/>
        <v>58333.333333333336</v>
      </c>
      <c r="I11" s="201">
        <f t="shared" si="3"/>
        <v>0.16</v>
      </c>
      <c r="J11" s="213">
        <f t="shared" si="6"/>
        <v>7.3944862033656139E-3</v>
      </c>
      <c r="K11" s="214">
        <f t="shared" si="4"/>
        <v>0.12135080784966369</v>
      </c>
      <c r="O11" s="188"/>
    </row>
    <row r="12" spans="1:19">
      <c r="A12" s="207">
        <v>7</v>
      </c>
      <c r="B12" s="197" t="str">
        <f>'Cost Detail'!A18</f>
        <v>Optional Extras Budget</v>
      </c>
      <c r="C12" s="215">
        <f>Combiner_Product</f>
        <v>112500</v>
      </c>
      <c r="D12" s="210">
        <f t="shared" si="0"/>
        <v>1.6494434805462269E-2</v>
      </c>
      <c r="E12" s="1406">
        <f t="shared" si="7"/>
        <v>0.16</v>
      </c>
      <c r="F12" s="199">
        <f t="shared" si="1"/>
        <v>0.19047619047619049</v>
      </c>
      <c r="G12" s="212">
        <f t="shared" si="2"/>
        <v>21428.571428571431</v>
      </c>
      <c r="H12" s="212">
        <f t="shared" si="5"/>
        <v>133928.57142857142</v>
      </c>
      <c r="I12" s="201">
        <f t="shared" si="3"/>
        <v>0.16000000000000003</v>
      </c>
      <c r="J12" s="213">
        <f t="shared" si="6"/>
        <v>1.6977136691400642E-2</v>
      </c>
      <c r="K12" s="214">
        <f t="shared" si="4"/>
        <v>0.27861154863443194</v>
      </c>
      <c r="O12" s="188"/>
    </row>
    <row r="13" spans="1:19">
      <c r="A13" s="207">
        <v>8</v>
      </c>
      <c r="B13" s="197" t="str">
        <f>'Cost Detail'!A65</f>
        <v>MV Equipment Budget</v>
      </c>
      <c r="C13" s="215">
        <f>'Cost Detail'!G65</f>
        <v>0</v>
      </c>
      <c r="D13" s="210">
        <f t="shared" si="0"/>
        <v>0</v>
      </c>
      <c r="E13" s="1406">
        <f t="shared" si="7"/>
        <v>0.16</v>
      </c>
      <c r="F13" s="199">
        <f t="shared" si="1"/>
        <v>0.19047619047619049</v>
      </c>
      <c r="G13" s="212">
        <f t="shared" si="2"/>
        <v>0</v>
      </c>
      <c r="H13" s="212">
        <f t="shared" si="5"/>
        <v>0</v>
      </c>
      <c r="I13" s="201" t="e">
        <f t="shared" si="3"/>
        <v>#DIV/0!</v>
      </c>
      <c r="J13" s="213">
        <f t="shared" si="6"/>
        <v>0</v>
      </c>
      <c r="K13" s="214">
        <f t="shared" si="4"/>
        <v>0</v>
      </c>
      <c r="O13" s="183"/>
    </row>
    <row r="14" spans="1:19">
      <c r="A14" s="207">
        <v>9</v>
      </c>
      <c r="B14" s="1401" t="s">
        <v>331</v>
      </c>
      <c r="C14" s="215">
        <f>'Cost Detail'!G76</f>
        <v>715750</v>
      </c>
      <c r="D14" s="210">
        <f t="shared" si="0"/>
        <v>0.10494125966230773</v>
      </c>
      <c r="E14" s="1406">
        <f>Margin_Prod</f>
        <v>0.16</v>
      </c>
      <c r="F14" s="199">
        <f t="shared" si="1"/>
        <v>0.19047619047619049</v>
      </c>
      <c r="G14" s="212">
        <f t="shared" si="2"/>
        <v>136333.33333333334</v>
      </c>
      <c r="H14" s="212">
        <f t="shared" si="5"/>
        <v>852083.33333333337</v>
      </c>
      <c r="I14" s="201">
        <f t="shared" si="3"/>
        <v>0.16</v>
      </c>
      <c r="J14" s="213">
        <f t="shared" si="6"/>
        <v>0.10801231632773343</v>
      </c>
      <c r="K14" s="214">
        <f t="shared" si="4"/>
        <v>1.7725885860897304</v>
      </c>
      <c r="O14" s="183"/>
    </row>
    <row r="15" spans="1:19">
      <c r="A15" s="207">
        <v>10</v>
      </c>
      <c r="B15" s="197" t="s">
        <v>278</v>
      </c>
      <c r="C15" s="215">
        <f>'Cost Detail'!G85</f>
        <v>2917100</v>
      </c>
      <c r="D15" s="210">
        <f t="shared" ref="D15" si="8">C15/TOTAL_Project_Cost</f>
        <v>0.42769702907567991</v>
      </c>
      <c r="E15" s="1406">
        <v>0.1</v>
      </c>
      <c r="F15" s="199">
        <f t="shared" ref="F15" si="9">E15/(1-E15)</f>
        <v>0.11111111111111112</v>
      </c>
      <c r="G15" s="212">
        <f t="shared" ref="G15" si="10">F15*C15</f>
        <v>324122.22222222225</v>
      </c>
      <c r="H15" s="212">
        <f t="shared" ref="H15" si="11">G15+C15</f>
        <v>3241222.222222222</v>
      </c>
      <c r="I15" s="201">
        <f t="shared" ref="I15" si="12">G15/H15</f>
        <v>0.10000000000000002</v>
      </c>
      <c r="J15" s="213">
        <f t="shared" ref="J15" si="13">H15/$H$37</f>
        <v>0.41086582293024437</v>
      </c>
      <c r="K15" s="214">
        <f t="shared" ref="K15" si="14">$H$37*J15/(Project_Size*1000)</f>
        <v>6.7427131729191219</v>
      </c>
      <c r="O15" s="183"/>
    </row>
    <row r="16" spans="1:19">
      <c r="A16" s="207">
        <v>11</v>
      </c>
      <c r="B16" s="197" t="s">
        <v>283</v>
      </c>
      <c r="C16" s="215">
        <f>'Cost Detail'!G96</f>
        <v>0</v>
      </c>
      <c r="D16" s="210">
        <f t="shared" ref="D16" si="15">C16/TOTAL_Project_Cost</f>
        <v>0</v>
      </c>
      <c r="E16" s="1406">
        <v>0.12</v>
      </c>
      <c r="F16" s="199">
        <f t="shared" ref="F16" si="16">E16/(1-E16)</f>
        <v>0.13636363636363635</v>
      </c>
      <c r="G16" s="212">
        <f t="shared" ref="G16" si="17">F16*C16</f>
        <v>0</v>
      </c>
      <c r="H16" s="212">
        <f t="shared" ref="H16" si="18">G16+C16</f>
        <v>0</v>
      </c>
      <c r="I16" s="201" t="e">
        <f t="shared" ref="I16" si="19">G16/H16</f>
        <v>#DIV/0!</v>
      </c>
      <c r="J16" s="213">
        <f t="shared" ref="J16" si="20">H16/$H$37</f>
        <v>0</v>
      </c>
      <c r="K16" s="214">
        <f t="shared" ref="K16" si="21">$H$37*J16/(Project_Size*1000)</f>
        <v>0</v>
      </c>
      <c r="O16" s="183"/>
    </row>
    <row r="17" spans="1:15">
      <c r="A17" s="202"/>
      <c r="B17" s="203" t="s">
        <v>217</v>
      </c>
      <c r="C17" s="216"/>
      <c r="D17" s="217"/>
      <c r="E17" s="205"/>
      <c r="F17" s="205"/>
      <c r="G17" s="218"/>
      <c r="H17" s="218"/>
      <c r="I17" s="219"/>
      <c r="J17" s="220"/>
      <c r="K17" s="221"/>
      <c r="N17" s="185"/>
      <c r="O17" s="183"/>
    </row>
    <row r="18" spans="1:15">
      <c r="A18" s="207"/>
      <c r="B18" s="197"/>
      <c r="C18" s="215"/>
      <c r="D18" s="222"/>
      <c r="E18" s="197"/>
      <c r="F18" s="197"/>
      <c r="G18" s="212"/>
      <c r="H18" s="212"/>
      <c r="I18" s="201"/>
      <c r="J18" s="213"/>
      <c r="K18" s="214"/>
      <c r="O18" s="183"/>
    </row>
    <row r="19" spans="1:15">
      <c r="A19" s="207">
        <v>12</v>
      </c>
      <c r="B19" s="1400" t="str">
        <f>AC_Installation_Services</f>
        <v>AC Installer Budget</v>
      </c>
      <c r="C19" s="209">
        <f>Installation_AC</f>
        <v>96140</v>
      </c>
      <c r="D19" s="210">
        <f t="shared" ref="D19:D29" si="22">C19/TOTAL_Project_Cost</f>
        <v>1.409577744175238E-2</v>
      </c>
      <c r="E19" s="1407">
        <v>0.1</v>
      </c>
      <c r="F19" s="199">
        <f t="shared" ref="F19:F29" si="23">E19/(1-E19)</f>
        <v>0.11111111111111112</v>
      </c>
      <c r="G19" s="212">
        <f t="shared" ref="G19:G29" si="24">F19*C19</f>
        <v>10682.222222222223</v>
      </c>
      <c r="H19" s="212">
        <f t="shared" ref="H19:H29" si="25">G19+C19</f>
        <v>106822.22222222222</v>
      </c>
      <c r="I19" s="201">
        <f t="shared" ref="I19:I29" si="26">G19/H19</f>
        <v>0.1</v>
      </c>
      <c r="J19" s="213">
        <f t="shared" ref="J19:J29" si="27">H19/$H$37</f>
        <v>1.354106483031562E-2</v>
      </c>
      <c r="K19" s="214">
        <f t="shared" ref="K19:K29" si="28">$H$37*J19/(Project_Size*1000)</f>
        <v>0.22222222222222221</v>
      </c>
      <c r="O19" s="188"/>
    </row>
    <row r="20" spans="1:15">
      <c r="A20" s="207">
        <v>13</v>
      </c>
      <c r="B20" s="1400" t="str">
        <f>Installation_Services</f>
        <v>DC Installer Budget</v>
      </c>
      <c r="C20" s="209">
        <f>Installation_Structural_DC</f>
        <v>216315</v>
      </c>
      <c r="D20" s="210">
        <f t="shared" si="22"/>
        <v>3.1715499243942853E-2</v>
      </c>
      <c r="E20" s="1407">
        <v>0.1</v>
      </c>
      <c r="F20" s="199">
        <f t="shared" si="23"/>
        <v>0.11111111111111112</v>
      </c>
      <c r="G20" s="212">
        <f t="shared" si="24"/>
        <v>24035</v>
      </c>
      <c r="H20" s="212">
        <f t="shared" si="25"/>
        <v>240350</v>
      </c>
      <c r="I20" s="201">
        <f t="shared" si="26"/>
        <v>0.1</v>
      </c>
      <c r="J20" s="213">
        <f t="shared" si="27"/>
        <v>3.0467395868210147E-2</v>
      </c>
      <c r="K20" s="214">
        <f t="shared" si="28"/>
        <v>0.5</v>
      </c>
      <c r="O20" s="188"/>
    </row>
    <row r="21" spans="1:15">
      <c r="A21" s="207">
        <v>14</v>
      </c>
      <c r="B21" s="197" t="str">
        <f>Engineering___Project_Management_Services</f>
        <v>In-House Expense Budget</v>
      </c>
      <c r="C21" s="209">
        <f>IF(C6=0,0,ENGE_SERV)</f>
        <v>73936.69458333333</v>
      </c>
      <c r="D21" s="210">
        <f t="shared" si="22"/>
        <v>1.0840391009210373E-2</v>
      </c>
      <c r="E21" s="1407">
        <v>0.12</v>
      </c>
      <c r="F21" s="199">
        <f t="shared" si="23"/>
        <v>0.13636363636363635</v>
      </c>
      <c r="G21" s="212">
        <f t="shared" si="24"/>
        <v>10082.276534090908</v>
      </c>
      <c r="H21" s="212">
        <f t="shared" si="25"/>
        <v>84018.97111742424</v>
      </c>
      <c r="I21" s="201">
        <f t="shared" si="26"/>
        <v>0.12</v>
      </c>
      <c r="J21" s="213">
        <f t="shared" si="27"/>
        <v>1.0650464961407443E-2</v>
      </c>
      <c r="K21" s="214">
        <f t="shared" si="28"/>
        <v>0.17478462891080557</v>
      </c>
      <c r="O21" s="188"/>
    </row>
    <row r="22" spans="1:15">
      <c r="A22" s="207">
        <v>15</v>
      </c>
      <c r="B22" s="197" t="str">
        <f>Civil___Electrical_Due_Dilligence_Services</f>
        <v>Compliance Budget</v>
      </c>
      <c r="C22" s="209">
        <f>DD_SERV</f>
        <v>111017.5</v>
      </c>
      <c r="D22" s="210">
        <f t="shared" si="22"/>
        <v>1.6277074809025845E-2</v>
      </c>
      <c r="E22" s="1407">
        <v>0.1</v>
      </c>
      <c r="F22" s="199">
        <f t="shared" si="23"/>
        <v>0.11111111111111112</v>
      </c>
      <c r="G22" s="212">
        <f t="shared" si="24"/>
        <v>12335.277777777779</v>
      </c>
      <c r="H22" s="212">
        <f t="shared" si="25"/>
        <v>123352.77777777778</v>
      </c>
      <c r="I22" s="201">
        <f t="shared" si="26"/>
        <v>0.1</v>
      </c>
      <c r="J22" s="213">
        <f t="shared" si="27"/>
        <v>1.5636521372993182E-2</v>
      </c>
      <c r="K22" s="214">
        <f t="shared" si="28"/>
        <v>0.25661072972285787</v>
      </c>
      <c r="O22" s="188"/>
    </row>
    <row r="23" spans="1:15">
      <c r="A23" s="207">
        <v>16</v>
      </c>
      <c r="B23" s="197" t="str">
        <f>Offloading_service</f>
        <v>Offloading Budget</v>
      </c>
      <c r="C23" s="209">
        <f>OFFLOAD</f>
        <v>0</v>
      </c>
      <c r="D23" s="210">
        <f t="shared" si="22"/>
        <v>0</v>
      </c>
      <c r="E23" s="1407">
        <v>0.1</v>
      </c>
      <c r="F23" s="199">
        <f t="shared" si="23"/>
        <v>0.11111111111111112</v>
      </c>
      <c r="G23" s="212">
        <f t="shared" si="24"/>
        <v>0</v>
      </c>
      <c r="H23" s="212">
        <f t="shared" si="25"/>
        <v>0</v>
      </c>
      <c r="I23" s="201" t="e">
        <f t="shared" si="26"/>
        <v>#DIV/0!</v>
      </c>
      <c r="J23" s="213">
        <f t="shared" si="27"/>
        <v>0</v>
      </c>
      <c r="K23" s="214">
        <f t="shared" si="28"/>
        <v>0</v>
      </c>
      <c r="O23" s="188"/>
    </row>
    <row r="24" spans="1:15">
      <c r="A24" s="207">
        <v>17</v>
      </c>
      <c r="B24" s="197" t="str">
        <f>Material_Roof_access</f>
        <v>Roof Access Budget for Equipment</v>
      </c>
      <c r="C24" s="209">
        <f>RMACC</f>
        <v>0</v>
      </c>
      <c r="D24" s="210">
        <f t="shared" si="22"/>
        <v>0</v>
      </c>
      <c r="E24" s="1407">
        <v>0.1</v>
      </c>
      <c r="F24" s="199">
        <f t="shared" si="23"/>
        <v>0.11111111111111112</v>
      </c>
      <c r="G24" s="212">
        <f t="shared" si="24"/>
        <v>0</v>
      </c>
      <c r="H24" s="212">
        <f t="shared" si="25"/>
        <v>0</v>
      </c>
      <c r="I24" s="201" t="e">
        <f t="shared" si="26"/>
        <v>#DIV/0!</v>
      </c>
      <c r="J24" s="213">
        <f t="shared" si="27"/>
        <v>0</v>
      </c>
      <c r="K24" s="214">
        <f t="shared" si="28"/>
        <v>0</v>
      </c>
      <c r="O24" s="188"/>
    </row>
    <row r="25" spans="1:15">
      <c r="A25" s="207">
        <v>18</v>
      </c>
      <c r="B25" s="197" t="str">
        <f>Site_Storage_services</f>
        <v>Site storage</v>
      </c>
      <c r="C25" s="209">
        <f>SSS</f>
        <v>0</v>
      </c>
      <c r="D25" s="210">
        <f t="shared" si="22"/>
        <v>0</v>
      </c>
      <c r="E25" s="1407">
        <v>0.1</v>
      </c>
      <c r="F25" s="199">
        <f t="shared" si="23"/>
        <v>0.11111111111111112</v>
      </c>
      <c r="G25" s="212">
        <f t="shared" si="24"/>
        <v>0</v>
      </c>
      <c r="H25" s="212">
        <f t="shared" si="25"/>
        <v>0</v>
      </c>
      <c r="I25" s="201" t="e">
        <f t="shared" si="26"/>
        <v>#DIV/0!</v>
      </c>
      <c r="J25" s="213">
        <f t="shared" si="27"/>
        <v>0</v>
      </c>
      <c r="K25" s="214">
        <f t="shared" si="28"/>
        <v>0</v>
      </c>
      <c r="O25" s="188"/>
    </row>
    <row r="26" spans="1:15">
      <c r="A26" s="207">
        <v>19</v>
      </c>
      <c r="B26" s="197" t="s">
        <v>332</v>
      </c>
      <c r="C26" s="209">
        <f>Security_Serv</f>
        <v>0</v>
      </c>
      <c r="D26" s="210">
        <f t="shared" si="22"/>
        <v>0</v>
      </c>
      <c r="E26" s="1407">
        <v>0.1</v>
      </c>
      <c r="F26" s="199">
        <f t="shared" si="23"/>
        <v>0.11111111111111112</v>
      </c>
      <c r="G26" s="212">
        <f t="shared" si="24"/>
        <v>0</v>
      </c>
      <c r="H26" s="212">
        <f t="shared" si="25"/>
        <v>0</v>
      </c>
      <c r="I26" s="201" t="e">
        <f t="shared" si="26"/>
        <v>#DIV/0!</v>
      </c>
      <c r="J26" s="213">
        <f t="shared" si="27"/>
        <v>0</v>
      </c>
      <c r="K26" s="214">
        <f t="shared" si="28"/>
        <v>0</v>
      </c>
      <c r="O26" s="183"/>
    </row>
    <row r="27" spans="1:15">
      <c r="A27" s="207">
        <v>20</v>
      </c>
      <c r="B27" s="197" t="str">
        <f>'Cost Detail'!A152</f>
        <v>Roof Access Budget for Installers</v>
      </c>
      <c r="C27" s="209">
        <f>'Cost Detail'!G152</f>
        <v>27695.066666666669</v>
      </c>
      <c r="D27" s="210">
        <f t="shared" si="22"/>
        <v>4.0605730805890194E-3</v>
      </c>
      <c r="E27" s="1407">
        <v>0.1</v>
      </c>
      <c r="F27" s="199">
        <f t="shared" si="23"/>
        <v>0.11111111111111112</v>
      </c>
      <c r="G27" s="212">
        <f t="shared" si="24"/>
        <v>3077.2296296296299</v>
      </c>
      <c r="H27" s="212">
        <f t="shared" si="25"/>
        <v>30772.296296296299</v>
      </c>
      <c r="I27" s="201">
        <f t="shared" si="26"/>
        <v>0.1</v>
      </c>
      <c r="J27" s="213">
        <f t="shared" si="27"/>
        <v>3.90077692129443E-3</v>
      </c>
      <c r="K27" s="214">
        <f t="shared" si="28"/>
        <v>6.4015594541910331E-2</v>
      </c>
      <c r="O27" s="183"/>
    </row>
    <row r="28" spans="1:15">
      <c r="A28" s="207">
        <v>21</v>
      </c>
      <c r="B28" s="197" t="s">
        <v>333</v>
      </c>
      <c r="C28" s="209">
        <f>'Financial Inputs'!D12*SUM('Cost Summary'!C6:C27,'Cost Summary'!C29)</f>
        <v>0</v>
      </c>
      <c r="D28" s="210">
        <f t="shared" ref="D28" si="29">C28/TOTAL_Project_Cost</f>
        <v>0</v>
      </c>
      <c r="E28" s="1407">
        <v>0.1</v>
      </c>
      <c r="F28" s="199">
        <f t="shared" ref="F28" si="30">E28/(1-E28)</f>
        <v>0.11111111111111112</v>
      </c>
      <c r="G28" s="212">
        <f t="shared" ref="G28" si="31">F28*C28</f>
        <v>0</v>
      </c>
      <c r="H28" s="212">
        <f t="shared" ref="H28" si="32">G28+C28</f>
        <v>0</v>
      </c>
      <c r="I28" s="201" t="e">
        <f t="shared" ref="I28" si="33">G28/H28</f>
        <v>#DIV/0!</v>
      </c>
      <c r="J28" s="213">
        <f t="shared" ref="J28" si="34">H28/$H$37</f>
        <v>0</v>
      </c>
      <c r="K28" s="214">
        <f t="shared" ref="K28" si="35">$H$37*J28/(Project_Size*1000)</f>
        <v>0</v>
      </c>
      <c r="O28" s="183"/>
    </row>
    <row r="29" spans="1:15">
      <c r="A29" s="207">
        <v>22</v>
      </c>
      <c r="B29" s="1400" t="s">
        <v>331</v>
      </c>
      <c r="C29" s="209">
        <f>'Cost Detail'!G162</f>
        <v>0</v>
      </c>
      <c r="D29" s="210">
        <f t="shared" si="22"/>
        <v>0</v>
      </c>
      <c r="E29" s="1407">
        <v>0.1</v>
      </c>
      <c r="F29" s="199">
        <f t="shared" si="23"/>
        <v>0.11111111111111112</v>
      </c>
      <c r="G29" s="212">
        <f t="shared" si="24"/>
        <v>0</v>
      </c>
      <c r="H29" s="212">
        <f t="shared" si="25"/>
        <v>0</v>
      </c>
      <c r="I29" s="201" t="e">
        <f t="shared" si="26"/>
        <v>#DIV/0!</v>
      </c>
      <c r="J29" s="213">
        <f t="shared" si="27"/>
        <v>0</v>
      </c>
      <c r="K29" s="214">
        <f t="shared" si="28"/>
        <v>0</v>
      </c>
      <c r="O29" s="183"/>
    </row>
    <row r="30" spans="1:15">
      <c r="A30" s="207"/>
      <c r="B30" s="197"/>
      <c r="C30" s="209"/>
      <c r="D30" s="212"/>
      <c r="E30" s="197"/>
      <c r="F30" s="197"/>
      <c r="G30" s="212"/>
      <c r="H30" s="212"/>
      <c r="I30" s="201"/>
      <c r="J30" s="213"/>
      <c r="K30" s="214"/>
      <c r="O30" s="183"/>
    </row>
    <row r="31" spans="1:15">
      <c r="A31" s="202"/>
      <c r="B31" s="203" t="s">
        <v>218</v>
      </c>
      <c r="C31" s="223"/>
      <c r="D31" s="218"/>
      <c r="E31" s="205"/>
      <c r="F31" s="205"/>
      <c r="G31" s="218"/>
      <c r="H31" s="218"/>
      <c r="I31" s="219"/>
      <c r="J31" s="220"/>
      <c r="K31" s="221"/>
      <c r="N31" s="185"/>
      <c r="O31" s="183"/>
    </row>
    <row r="32" spans="1:15">
      <c r="A32" s="207">
        <v>22</v>
      </c>
      <c r="B32" s="197" t="str">
        <f>Travel</f>
        <v>Total EE Expense Budget</v>
      </c>
      <c r="C32" s="209">
        <f>TRAVEL_EXP</f>
        <v>3360</v>
      </c>
      <c r="D32" s="210">
        <f>C32/TOTAL_Project_Cost</f>
        <v>4.9263378618980642E-4</v>
      </c>
      <c r="E32" s="199">
        <f>Margin_Exp</f>
        <v>0.1</v>
      </c>
      <c r="F32" s="199">
        <f>E32/(1-E32)</f>
        <v>0.11111111111111112</v>
      </c>
      <c r="G32" s="212">
        <f>F32*C32</f>
        <v>373.33333333333337</v>
      </c>
      <c r="H32" s="212">
        <f>G32+C32</f>
        <v>3733.3333333333335</v>
      </c>
      <c r="I32" s="201">
        <f>G32/H32</f>
        <v>0.1</v>
      </c>
      <c r="J32" s="213">
        <f t="shared" ref="J32:J34" si="36">H32/$H$37</f>
        <v>4.7324711701539926E-4</v>
      </c>
      <c r="K32" s="214">
        <f>$H$37*J32/(Project_Size*1000)</f>
        <v>7.7664517023784763E-3</v>
      </c>
      <c r="O32" s="188"/>
    </row>
    <row r="33" spans="1:19">
      <c r="A33" s="207">
        <v>23</v>
      </c>
      <c r="B33" s="197"/>
      <c r="C33" s="209"/>
      <c r="D33" s="210">
        <f>C33/TOTAL_Project_Cost</f>
        <v>0</v>
      </c>
      <c r="E33" s="199">
        <f>Margin_Exp</f>
        <v>0.1</v>
      </c>
      <c r="F33" s="199">
        <f>E33/(1-E33)</f>
        <v>0.11111111111111112</v>
      </c>
      <c r="G33" s="212">
        <f>F33*C33</f>
        <v>0</v>
      </c>
      <c r="H33" s="212">
        <f>G33+C33</f>
        <v>0</v>
      </c>
      <c r="I33" s="201" t="e">
        <f>G33/H33</f>
        <v>#DIV/0!</v>
      </c>
      <c r="J33" s="213">
        <f t="shared" si="36"/>
        <v>0</v>
      </c>
      <c r="K33" s="214">
        <f>$H$37*J33/(Project_Size*1000)</f>
        <v>0</v>
      </c>
      <c r="O33" s="188"/>
    </row>
    <row r="34" spans="1:19">
      <c r="A34" s="224">
        <v>24</v>
      </c>
      <c r="B34" s="225"/>
      <c r="C34" s="226"/>
      <c r="D34" s="227">
        <f>C34/TOTAL_Project_Cost</f>
        <v>0</v>
      </c>
      <c r="E34" s="228">
        <f>Margin_Exp</f>
        <v>0.1</v>
      </c>
      <c r="F34" s="228">
        <f>E34/(1-E34)</f>
        <v>0.11111111111111112</v>
      </c>
      <c r="G34" s="229">
        <f>F34*C34</f>
        <v>0</v>
      </c>
      <c r="H34" s="229">
        <f>G34+C34</f>
        <v>0</v>
      </c>
      <c r="I34" s="230" t="e">
        <f>G34/H34</f>
        <v>#DIV/0!</v>
      </c>
      <c r="J34" s="231">
        <f t="shared" si="36"/>
        <v>0</v>
      </c>
      <c r="K34" s="232">
        <f>$H$37*J34/(Project_Size*1000)</f>
        <v>0</v>
      </c>
      <c r="O34" s="188"/>
    </row>
    <row r="35" spans="1:19" ht="15" thickBot="1">
      <c r="A35" s="197"/>
      <c r="B35" s="197"/>
      <c r="C35" s="209"/>
      <c r="D35" s="212"/>
      <c r="E35" s="197"/>
      <c r="F35" s="197"/>
      <c r="G35" s="212"/>
      <c r="H35" s="212">
        <f>SUM(H6:H34)</f>
        <v>7888760.8589739213</v>
      </c>
      <c r="I35" s="197"/>
      <c r="J35" s="211">
        <f>SUM(J6:J34)</f>
        <v>0.99999999999999978</v>
      </c>
      <c r="K35" s="198">
        <f>$H$37*J35/(Project_Size*1000)</f>
        <v>16.410985768616435</v>
      </c>
      <c r="O35" s="183"/>
    </row>
    <row r="36" spans="1:19">
      <c r="A36" s="197"/>
      <c r="B36" s="1536" t="s">
        <v>334</v>
      </c>
      <c r="C36" s="1537"/>
      <c r="D36" s="1538"/>
      <c r="E36" s="1538"/>
      <c r="F36" s="1538"/>
      <c r="G36" s="1538"/>
      <c r="H36" s="1539"/>
      <c r="I36" s="197"/>
      <c r="J36" s="197"/>
      <c r="K36" s="197"/>
      <c r="N36" s="187"/>
      <c r="O36" s="183"/>
    </row>
    <row r="37" spans="1:19">
      <c r="A37" s="197"/>
      <c r="B37" s="233" t="s">
        <v>335</v>
      </c>
      <c r="C37" s="234">
        <f>SUM((C6:C34))</f>
        <v>6820482.2612499995</v>
      </c>
      <c r="D37" s="197"/>
      <c r="E37" s="197"/>
      <c r="F37" s="197"/>
      <c r="G37" s="212" t="s">
        <v>336</v>
      </c>
      <c r="H37" s="235">
        <f>H38*Projectsize*1000</f>
        <v>7888760.8589739222</v>
      </c>
      <c r="I37" s="197"/>
      <c r="J37" s="198"/>
      <c r="K37" s="199"/>
    </row>
    <row r="38" spans="1:19" ht="15" thickBot="1">
      <c r="A38" s="197"/>
      <c r="B38" s="236" t="s">
        <v>337</v>
      </c>
      <c r="C38" s="237">
        <f>TOTAL_Project_Cost/(Projectsize*1000)</f>
        <v>14.188646268462657</v>
      </c>
      <c r="D38" s="238"/>
      <c r="E38" s="238"/>
      <c r="F38" s="239"/>
      <c r="G38" s="240" t="s">
        <v>338</v>
      </c>
      <c r="H38" s="241">
        <f>'Design Inputs'!K71</f>
        <v>16.410985768616438</v>
      </c>
      <c r="I38" s="197"/>
      <c r="J38" s="198"/>
      <c r="K38" s="199"/>
    </row>
    <row r="39" spans="1:19">
      <c r="A39" s="197"/>
      <c r="B39" s="197"/>
      <c r="C39" s="197"/>
      <c r="D39" s="197"/>
      <c r="E39" s="242"/>
      <c r="F39" s="243"/>
      <c r="G39" s="244"/>
      <c r="H39" s="197"/>
      <c r="I39" s="209"/>
      <c r="J39" s="197"/>
      <c r="K39" s="197"/>
      <c r="R39" s="189"/>
    </row>
    <row r="40" spans="1:19" ht="15" thickBot="1">
      <c r="A40" s="197"/>
      <c r="B40" s="197"/>
      <c r="C40" s="245" t="s">
        <v>339</v>
      </c>
      <c r="D40" s="245" t="s">
        <v>340</v>
      </c>
      <c r="E40" s="242"/>
      <c r="F40" s="197"/>
      <c r="G40" s="197"/>
      <c r="H40" s="197"/>
      <c r="I40" s="197"/>
      <c r="J40" s="197"/>
      <c r="K40" s="197"/>
      <c r="R40" s="189"/>
      <c r="S40" s="187"/>
    </row>
    <row r="41" spans="1:19">
      <c r="A41" s="197"/>
      <c r="B41" s="246" t="s">
        <v>341</v>
      </c>
      <c r="C41" s="247">
        <f>H37-TOTAL_Project_Cost</f>
        <v>1068278.5977239227</v>
      </c>
      <c r="D41" s="248">
        <f>(C41)/H37</f>
        <v>0.13541779460949105</v>
      </c>
      <c r="E41" s="197"/>
      <c r="F41" s="1535"/>
      <c r="G41" s="1535"/>
      <c r="H41" s="197"/>
      <c r="I41" s="197"/>
      <c r="J41" s="197"/>
      <c r="K41" s="197"/>
      <c r="R41" s="189"/>
      <c r="S41" s="189"/>
    </row>
    <row r="42" spans="1:19">
      <c r="A42" s="197"/>
      <c r="B42" s="249" t="s">
        <v>342</v>
      </c>
      <c r="C42" s="250">
        <f>IF('Costing Inputs'!S27="Of the EPC cost",'Costing Inputs'!S26*H37,'Costing Inputs'!S26*'Cost Summary'!C41)</f>
        <v>0</v>
      </c>
      <c r="D42" s="251">
        <f>C42/H37</f>
        <v>0</v>
      </c>
      <c r="E42" s="197"/>
      <c r="F42" s="197"/>
      <c r="G42" s="197"/>
      <c r="H42" s="197"/>
      <c r="I42" s="197"/>
      <c r="J42" s="197"/>
      <c r="K42" s="197"/>
    </row>
    <row r="43" spans="1:19">
      <c r="A43" s="197"/>
      <c r="B43" s="249" t="s">
        <v>980</v>
      </c>
      <c r="C43" s="250">
        <f>D43*C41</f>
        <v>42731.14390895691</v>
      </c>
      <c r="D43" s="251">
        <f>'Financial Inputs'!D17</f>
        <v>0.04</v>
      </c>
      <c r="E43" s="197"/>
      <c r="F43" s="197"/>
      <c r="G43" s="197"/>
      <c r="H43" s="197"/>
      <c r="I43" s="197"/>
      <c r="J43" s="197"/>
      <c r="K43" s="197"/>
    </row>
    <row r="44" spans="1:19" ht="15" thickBot="1">
      <c r="A44" s="197"/>
      <c r="B44" s="252" t="s">
        <v>210</v>
      </c>
      <c r="C44" s="253">
        <f>C41-C42-C43</f>
        <v>1025547.4538149658</v>
      </c>
      <c r="D44" s="254">
        <f>C44/H37</f>
        <v>0.13000108282511139</v>
      </c>
      <c r="E44" s="197"/>
      <c r="F44" s="197"/>
      <c r="G44" s="197"/>
      <c r="H44" s="197"/>
      <c r="I44" s="201"/>
      <c r="J44" s="197"/>
      <c r="K44" s="197"/>
      <c r="R44" s="191"/>
      <c r="S44" s="191"/>
    </row>
    <row r="45" spans="1:19">
      <c r="C45" s="117"/>
      <c r="D45" s="117"/>
      <c r="E45" s="192"/>
      <c r="N45" s="187"/>
      <c r="O45" s="192"/>
    </row>
    <row r="46" spans="1:19">
      <c r="B46" s="190"/>
      <c r="C46" s="117"/>
      <c r="D46" s="117"/>
      <c r="E46" s="192"/>
      <c r="N46" s="187"/>
      <c r="O46" s="192"/>
    </row>
    <row r="47" spans="1:19">
      <c r="C47" s="193"/>
      <c r="D47" s="117"/>
      <c r="E47" s="192"/>
      <c r="F47" s="184"/>
      <c r="N47" s="187"/>
      <c r="O47" s="192"/>
    </row>
    <row r="48" spans="1:19">
      <c r="C48" s="117"/>
      <c r="D48" s="117"/>
      <c r="F48" s="184"/>
      <c r="G48" s="188"/>
      <c r="H48" s="188"/>
      <c r="O48" s="194"/>
      <c r="Q48" s="183"/>
    </row>
    <row r="49" spans="3:17">
      <c r="C49" s="117"/>
      <c r="D49" s="195"/>
      <c r="F49" s="184"/>
      <c r="G49" s="188"/>
      <c r="H49" s="188"/>
      <c r="O49" s="183"/>
      <c r="Q49" s="183"/>
    </row>
    <row r="50" spans="3:17">
      <c r="C50" s="187"/>
      <c r="D50" s="196"/>
      <c r="G50" s="188"/>
      <c r="H50" s="188"/>
      <c r="O50" s="183"/>
      <c r="Q50" s="183"/>
    </row>
    <row r="51" spans="3:17">
      <c r="C51" s="188"/>
      <c r="D51" s="188"/>
      <c r="H51" s="188"/>
    </row>
    <row r="52" spans="3:17">
      <c r="C52" s="188"/>
      <c r="D52" s="188"/>
    </row>
    <row r="53" spans="3:17">
      <c r="C53" s="188"/>
      <c r="D53" s="188"/>
    </row>
    <row r="54" spans="3:17">
      <c r="C54" s="188"/>
      <c r="D54" s="188"/>
    </row>
    <row r="58" spans="3:17">
      <c r="E58" s="117">
        <v>125000</v>
      </c>
    </row>
    <row r="62" spans="3:17">
      <c r="O62" s="183"/>
    </row>
    <row r="67" spans="15:15">
      <c r="O67" s="183"/>
    </row>
    <row r="68" spans="15:15">
      <c r="O68" s="194"/>
    </row>
    <row r="70" spans="15:15">
      <c r="O70" s="194"/>
    </row>
  </sheetData>
  <mergeCells count="2">
    <mergeCell ref="F41:G41"/>
    <mergeCell ref="B36:H36"/>
  </mergeCells>
  <pageMargins left="0.7" right="0.7" top="0.75" bottom="0.75" header="0.3" footer="0.3"/>
  <pageSetup paperSize="9" orientation="portrait" r:id="rId1"/>
  <ignoredErrors>
    <ignoredError sqref="I28:I29 I33:I34 I12:I16 I24" evalError="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96E05-B435-8E42-A715-34971080FCA8}">
  <sheetPr codeName="Sheet22">
    <tabColor rgb="FFFF3399"/>
  </sheetPr>
  <dimension ref="B2:AB206"/>
  <sheetViews>
    <sheetView showGridLines="0" topLeftCell="A34" zoomScale="158" zoomScaleNormal="100" workbookViewId="0">
      <selection activeCell="E95" sqref="E95"/>
    </sheetView>
  </sheetViews>
  <sheetFormatPr defaultColWidth="7" defaultRowHeight="12"/>
  <cols>
    <col min="1" max="1" width="1.5703125" style="1220" customWidth="1"/>
    <col min="2" max="2" width="17.42578125" style="1220" customWidth="1"/>
    <col min="3" max="3" width="5.28515625" style="1220" customWidth="1"/>
    <col min="4" max="5" width="10.140625" style="1220" customWidth="1"/>
    <col min="6" max="6" width="11.7109375" style="1220" customWidth="1"/>
    <col min="7" max="30" width="10.140625" style="1220" customWidth="1"/>
    <col min="31" max="16384" width="7" style="1220"/>
  </cols>
  <sheetData>
    <row r="2" spans="2:9">
      <c r="B2" s="1219" t="s">
        <v>1017</v>
      </c>
    </row>
    <row r="3" spans="2:9">
      <c r="D3" s="1221"/>
      <c r="E3" s="1221"/>
      <c r="F3" s="1221" t="s">
        <v>1018</v>
      </c>
      <c r="G3" s="1221"/>
      <c r="H3" s="1221"/>
    </row>
    <row r="4" spans="2:9">
      <c r="B4" s="1222"/>
      <c r="C4" s="1223">
        <f>D71</f>
        <v>-1953629.3253163726</v>
      </c>
      <c r="D4" s="1224">
        <v>0.8</v>
      </c>
      <c r="E4" s="1224">
        <f>D4+5%</f>
        <v>0.85000000000000009</v>
      </c>
      <c r="F4" s="1224">
        <f t="shared" ref="F4:H4" si="0">E4+5%</f>
        <v>0.90000000000000013</v>
      </c>
      <c r="G4" s="1224">
        <f t="shared" si="0"/>
        <v>0.95000000000000018</v>
      </c>
      <c r="H4" s="1224">
        <f t="shared" si="0"/>
        <v>1.0000000000000002</v>
      </c>
    </row>
    <row r="5" spans="2:9">
      <c r="B5" s="1221"/>
      <c r="C5" s="1225">
        <v>0.04</v>
      </c>
      <c r="D5" s="1226">
        <f t="dataTable" ref="D5:H9" dt2D="1" dtr="1" r1="E35" r2="D46" ca="1"/>
        <v>-3227995.9315096019</v>
      </c>
      <c r="E5" s="1226">
        <v>-2889371.2286223462</v>
      </c>
      <c r="F5" s="1226">
        <v>-2615613.1100547207</v>
      </c>
      <c r="G5" s="1226">
        <v>-2355109.4131531911</v>
      </c>
      <c r="H5" s="1226">
        <v>-2108818.1147171934</v>
      </c>
      <c r="I5" s="1226"/>
    </row>
    <row r="6" spans="2:9">
      <c r="B6" s="1221"/>
      <c r="C6" s="1225">
        <f>C5+1%</f>
        <v>0.05</v>
      </c>
      <c r="D6" s="1226">
        <v>-2997041.192421841</v>
      </c>
      <c r="E6" s="1226">
        <v>-2705939.7558804187</v>
      </c>
      <c r="F6" s="1226">
        <v>-2428698.8374610147</v>
      </c>
      <c r="G6" s="1226">
        <v>-2081079.7451376603</v>
      </c>
      <c r="H6" s="1226">
        <v>-1824292.422720744</v>
      </c>
      <c r="I6" s="1226"/>
    </row>
    <row r="7" spans="2:9">
      <c r="B7" s="1221"/>
      <c r="C7" s="1225">
        <f t="shared" ref="C7:C9" si="1">C6+1%</f>
        <v>6.0000000000000005E-2</v>
      </c>
      <c r="D7" s="1226">
        <v>-2817547.2811496346</v>
      </c>
      <c r="E7" s="1226">
        <v>-2521670.7852579816</v>
      </c>
      <c r="F7" s="1226">
        <v>-2153905.2703902051</v>
      </c>
      <c r="G7" s="1226">
        <v>-1879582.2657285563</v>
      </c>
      <c r="H7" s="1226">
        <v>-1518159.6611567966</v>
      </c>
      <c r="I7" s="1226"/>
    </row>
    <row r="8" spans="2:9">
      <c r="B8" s="1221" t="s">
        <v>860</v>
      </c>
      <c r="C8" s="1225">
        <f t="shared" si="1"/>
        <v>7.0000000000000007E-2</v>
      </c>
      <c r="D8" s="1226">
        <v>-2557322.4436598578</v>
      </c>
      <c r="E8" s="1226">
        <v>-2247493.7365608481</v>
      </c>
      <c r="F8" s="1226">
        <v>-1953629.3253163714</v>
      </c>
      <c r="G8" s="1226">
        <v>-1571134.5170760206</v>
      </c>
      <c r="H8" s="1226">
        <v>-1300884.1040966145</v>
      </c>
      <c r="I8" s="1226"/>
    </row>
    <row r="9" spans="2:9">
      <c r="B9" s="1221"/>
      <c r="C9" s="1225">
        <f t="shared" si="1"/>
        <v>0.08</v>
      </c>
      <c r="D9" s="1226">
        <v>-2365017.8882950451</v>
      </c>
      <c r="E9" s="1226">
        <v>-2049376.1379527228</v>
      </c>
      <c r="F9" s="1226">
        <v>-1644185.9793378939</v>
      </c>
      <c r="G9" s="1226">
        <v>-1353221.3522110234</v>
      </c>
      <c r="H9" s="1226">
        <v>-955778.06828009337</v>
      </c>
      <c r="I9" s="1226"/>
    </row>
    <row r="10" spans="2:9">
      <c r="C10" s="1227"/>
    </row>
    <row r="12" spans="2:9">
      <c r="B12" s="1219" t="s">
        <v>1019</v>
      </c>
    </row>
    <row r="14" spans="2:9">
      <c r="D14" s="1221"/>
      <c r="E14" s="1221"/>
      <c r="F14" s="1221" t="s">
        <v>1018</v>
      </c>
      <c r="G14" s="1221"/>
      <c r="H14" s="1221"/>
    </row>
    <row r="15" spans="2:9">
      <c r="B15" s="1222"/>
      <c r="C15" s="1228">
        <f>D69</f>
        <v>5.5860451916288856E-2</v>
      </c>
      <c r="D15" s="1224">
        <v>0.8</v>
      </c>
      <c r="E15" s="1224">
        <f>D15+5%</f>
        <v>0.85000000000000009</v>
      </c>
      <c r="F15" s="1224">
        <f t="shared" ref="F15:H15" si="2">E15+5%</f>
        <v>0.90000000000000013</v>
      </c>
      <c r="G15" s="1224">
        <f t="shared" si="2"/>
        <v>0.95000000000000018</v>
      </c>
      <c r="H15" s="1224">
        <f t="shared" si="2"/>
        <v>1.0000000000000002</v>
      </c>
    </row>
    <row r="16" spans="2:9">
      <c r="B16" s="1221"/>
      <c r="C16" s="1225">
        <v>0.04</v>
      </c>
      <c r="D16" s="1229">
        <f t="dataTable" ref="D16:H20" dt2D="1" dtr="1" r1="E35" r2="D46"/>
        <v>1.0710582143427905E-2</v>
      </c>
      <c r="E16" s="1229">
        <v>2.0653287428932909E-2</v>
      </c>
      <c r="F16" s="1229">
        <v>3.0133056807083003E-2</v>
      </c>
      <c r="G16" s="1229">
        <v>3.9212938329733493E-2</v>
      </c>
      <c r="H16" s="1229">
        <v>4.7944018959659163E-2</v>
      </c>
    </row>
    <row r="17" spans="2:28">
      <c r="B17" s="1221"/>
      <c r="C17" s="1225">
        <f>C16+1%</f>
        <v>0.05</v>
      </c>
      <c r="D17" s="1229">
        <v>1.9160059382152594E-2</v>
      </c>
      <c r="E17" s="1229">
        <v>2.9168538429225288E-2</v>
      </c>
      <c r="F17" s="1229">
        <v>3.8708970582036706E-2</v>
      </c>
      <c r="G17" s="1229">
        <v>4.7845128057808051E-2</v>
      </c>
      <c r="H17" s="1229">
        <v>5.6628672583371342E-2</v>
      </c>
    </row>
    <row r="18" spans="2:28">
      <c r="B18" s="1221"/>
      <c r="C18" s="1225">
        <f t="shared" ref="C18:C20" si="3">C17+1%</f>
        <v>6.0000000000000005E-2</v>
      </c>
      <c r="D18" s="1229">
        <v>2.7610912584143721E-2</v>
      </c>
      <c r="E18" s="1229">
        <v>3.7684474353840258E-2</v>
      </c>
      <c r="F18" s="1229">
        <v>4.7284976935633383E-2</v>
      </c>
      <c r="G18" s="1229">
        <v>5.647689793026589E-2</v>
      </c>
      <c r="H18" s="1229">
        <v>6.5312459673636081E-2</v>
      </c>
    </row>
    <row r="19" spans="2:28">
      <c r="B19" s="1221" t="s">
        <v>860</v>
      </c>
      <c r="C19" s="1225">
        <f t="shared" si="3"/>
        <v>7.0000000000000007E-2</v>
      </c>
      <c r="D19" s="1229">
        <v>3.6062386929010426E-2</v>
      </c>
      <c r="E19" s="1229">
        <v>4.6200410874415843E-2</v>
      </c>
      <c r="F19" s="1229">
        <v>5.5860451916288634E-2</v>
      </c>
      <c r="G19" s="1229">
        <v>6.510767622733149E-2</v>
      </c>
      <c r="H19" s="1229">
        <v>7.3994854105563945E-2</v>
      </c>
    </row>
    <row r="20" spans="2:28">
      <c r="B20" s="1221"/>
      <c r="C20" s="1225">
        <f t="shared" si="3"/>
        <v>0.08</v>
      </c>
      <c r="D20" s="1229">
        <v>4.4513818779172931E-2</v>
      </c>
      <c r="E20" s="1229">
        <v>5.4715746619100836E-2</v>
      </c>
      <c r="F20" s="1229">
        <v>6.4434847445855592E-2</v>
      </c>
      <c r="G20" s="1229">
        <v>7.3736960969685628E-2</v>
      </c>
      <c r="H20" s="1229">
        <v>8.2675394123195245E-2</v>
      </c>
    </row>
    <row r="21" spans="2:28">
      <c r="C21" s="1227"/>
      <c r="D21" s="1230"/>
      <c r="E21" s="1230"/>
      <c r="F21" s="1230"/>
      <c r="G21" s="1230"/>
      <c r="H21" s="1230"/>
    </row>
    <row r="24" spans="2:28">
      <c r="B24" s="1219" t="s">
        <v>1020</v>
      </c>
      <c r="C24" s="1219"/>
    </row>
    <row r="26" spans="2:28">
      <c r="B26" s="1231" t="s">
        <v>1021</v>
      </c>
      <c r="C26" s="1232"/>
      <c r="D26" s="1233">
        <f>'Cost Summary'!H37</f>
        <v>7888760.8589739222</v>
      </c>
      <c r="E26" s="1234"/>
    </row>
    <row r="27" spans="2:28">
      <c r="B27" s="1231" t="s">
        <v>525</v>
      </c>
      <c r="C27" s="1232"/>
      <c r="D27" s="1235">
        <v>1</v>
      </c>
    </row>
    <row r="28" spans="2:28">
      <c r="B28" s="1231" t="s">
        <v>1062</v>
      </c>
      <c r="C28" s="1232"/>
      <c r="D28" s="1350">
        <f>'Financial Inputs'!D18</f>
        <v>0.125</v>
      </c>
    </row>
    <row r="30" spans="2:28">
      <c r="B30" s="1236"/>
      <c r="C30" s="1237"/>
      <c r="D30" s="1237">
        <v>0</v>
      </c>
      <c r="E30" s="1237">
        <v>1</v>
      </c>
      <c r="F30" s="1237">
        <v>2</v>
      </c>
      <c r="G30" s="1237">
        <v>3</v>
      </c>
      <c r="H30" s="1237">
        <v>4</v>
      </c>
      <c r="I30" s="1237">
        <f>H30+1</f>
        <v>5</v>
      </c>
      <c r="J30" s="1237">
        <f t="shared" ref="J30:X30" si="4">I30+1</f>
        <v>6</v>
      </c>
      <c r="K30" s="1237">
        <f t="shared" si="4"/>
        <v>7</v>
      </c>
      <c r="L30" s="1237">
        <f t="shared" si="4"/>
        <v>8</v>
      </c>
      <c r="M30" s="1237">
        <f t="shared" si="4"/>
        <v>9</v>
      </c>
      <c r="N30" s="1237">
        <f t="shared" si="4"/>
        <v>10</v>
      </c>
      <c r="O30" s="1237">
        <f t="shared" si="4"/>
        <v>11</v>
      </c>
      <c r="P30" s="1237">
        <f t="shared" si="4"/>
        <v>12</v>
      </c>
      <c r="Q30" s="1237">
        <f t="shared" si="4"/>
        <v>13</v>
      </c>
      <c r="R30" s="1237">
        <f t="shared" si="4"/>
        <v>14</v>
      </c>
      <c r="S30" s="1237">
        <f t="shared" si="4"/>
        <v>15</v>
      </c>
      <c r="T30" s="1237">
        <f t="shared" si="4"/>
        <v>16</v>
      </c>
      <c r="U30" s="1237">
        <f t="shared" si="4"/>
        <v>17</v>
      </c>
      <c r="V30" s="1237">
        <f t="shared" si="4"/>
        <v>18</v>
      </c>
      <c r="W30" s="1237">
        <f t="shared" si="4"/>
        <v>19</v>
      </c>
      <c r="X30" s="1237">
        <f t="shared" si="4"/>
        <v>20</v>
      </c>
      <c r="Y30" s="1238" t="s">
        <v>687</v>
      </c>
      <c r="Z30" s="1239"/>
      <c r="AB30" s="1240" t="s">
        <v>634</v>
      </c>
    </row>
    <row r="31" spans="2:28">
      <c r="B31" s="1241"/>
      <c r="C31" s="1239"/>
      <c r="D31" s="1239"/>
      <c r="E31" s="1242"/>
      <c r="F31" s="1239"/>
      <c r="G31" s="1239"/>
      <c r="H31" s="1239"/>
      <c r="I31" s="1239"/>
      <c r="J31" s="1239"/>
      <c r="K31" s="1239"/>
      <c r="L31" s="1239"/>
      <c r="M31" s="1239"/>
      <c r="N31" s="1239"/>
      <c r="O31" s="1239"/>
      <c r="P31" s="1239"/>
      <c r="Q31" s="1239"/>
      <c r="R31" s="1239"/>
      <c r="S31" s="1239"/>
      <c r="T31" s="1239"/>
      <c r="U31" s="1239"/>
      <c r="V31" s="1239"/>
      <c r="W31" s="1239"/>
      <c r="X31" s="1239"/>
      <c r="Y31" s="1243"/>
      <c r="Z31" s="1239"/>
      <c r="AB31" s="1244"/>
    </row>
    <row r="32" spans="2:28">
      <c r="B32" s="1245" t="s">
        <v>1022</v>
      </c>
      <c r="C32" s="1246"/>
      <c r="D32" s="1239"/>
      <c r="E32" s="1247">
        <f>Cashflows!D3</f>
        <v>822288.67954109586</v>
      </c>
      <c r="F32" s="1247">
        <f>Cashflows!E3</f>
        <v>817354.94746384933</v>
      </c>
      <c r="G32" s="1247">
        <f>Cashflows!F3</f>
        <v>812450.81777906627</v>
      </c>
      <c r="H32" s="1247">
        <f>Cashflows!G3</f>
        <v>807576.11287239182</v>
      </c>
      <c r="I32" s="1247">
        <f>Cashflows!H3</f>
        <v>802730.65619515744</v>
      </c>
      <c r="J32" s="1247">
        <f>Cashflows!I3</f>
        <v>797914.27225798648</v>
      </c>
      <c r="K32" s="1247">
        <f>Cashflows!J3</f>
        <v>793126.7866244386</v>
      </c>
      <c r="L32" s="1247">
        <f>Cashflows!K3</f>
        <v>788368.02590469201</v>
      </c>
      <c r="M32" s="1247">
        <f>Cashflows!L3</f>
        <v>783637.81774926384</v>
      </c>
      <c r="N32" s="1247">
        <f>Cashflows!M3</f>
        <v>778935.99084276822</v>
      </c>
      <c r="O32" s="1247">
        <f>Cashflows!N3</f>
        <v>774262.37489771156</v>
      </c>
      <c r="P32" s="1247">
        <f>Cashflows!O3</f>
        <v>769616.80064832524</v>
      </c>
      <c r="Q32" s="1247">
        <f>Cashflows!P3</f>
        <v>764999.09984443523</v>
      </c>
      <c r="R32" s="1247">
        <f>Cashflows!Q3</f>
        <v>760409.10524536867</v>
      </c>
      <c r="S32" s="1247">
        <f>Cashflows!R3</f>
        <v>755846.65061389643</v>
      </c>
      <c r="T32" s="1247"/>
      <c r="U32" s="1247"/>
      <c r="V32" s="1247"/>
      <c r="W32" s="1247"/>
      <c r="X32" s="1247"/>
      <c r="Y32" s="1248">
        <f>SUM(O32:X32)</f>
        <v>3825134.0312497374</v>
      </c>
      <c r="Z32" s="1239"/>
      <c r="AB32" s="1249">
        <f>SUM(E32:X32)</f>
        <v>11829518.138480447</v>
      </c>
    </row>
    <row r="33" spans="2:28">
      <c r="B33" s="1245" t="s">
        <v>1023</v>
      </c>
      <c r="C33" s="1246"/>
      <c r="D33" s="1239"/>
      <c r="E33" s="1247"/>
      <c r="F33" s="1352">
        <f>D46</f>
        <v>7.0000000000000007E-2</v>
      </c>
      <c r="G33" s="1250">
        <f>F33</f>
        <v>7.0000000000000007E-2</v>
      </c>
      <c r="H33" s="1250">
        <f t="shared" ref="H33:X33" si="5">G33</f>
        <v>7.0000000000000007E-2</v>
      </c>
      <c r="I33" s="1250">
        <f t="shared" si="5"/>
        <v>7.0000000000000007E-2</v>
      </c>
      <c r="J33" s="1250">
        <f t="shared" si="5"/>
        <v>7.0000000000000007E-2</v>
      </c>
      <c r="K33" s="1250">
        <f t="shared" si="5"/>
        <v>7.0000000000000007E-2</v>
      </c>
      <c r="L33" s="1250">
        <f t="shared" si="5"/>
        <v>7.0000000000000007E-2</v>
      </c>
      <c r="M33" s="1250">
        <f t="shared" si="5"/>
        <v>7.0000000000000007E-2</v>
      </c>
      <c r="N33" s="1250">
        <f t="shared" si="5"/>
        <v>7.0000000000000007E-2</v>
      </c>
      <c r="O33" s="1250">
        <f t="shared" si="5"/>
        <v>7.0000000000000007E-2</v>
      </c>
      <c r="P33" s="1250">
        <f t="shared" si="5"/>
        <v>7.0000000000000007E-2</v>
      </c>
      <c r="Q33" s="1250">
        <f t="shared" si="5"/>
        <v>7.0000000000000007E-2</v>
      </c>
      <c r="R33" s="1250">
        <f t="shared" si="5"/>
        <v>7.0000000000000007E-2</v>
      </c>
      <c r="S33" s="1250">
        <f t="shared" si="5"/>
        <v>7.0000000000000007E-2</v>
      </c>
      <c r="T33" s="1250">
        <f t="shared" si="5"/>
        <v>7.0000000000000007E-2</v>
      </c>
      <c r="U33" s="1250">
        <f t="shared" si="5"/>
        <v>7.0000000000000007E-2</v>
      </c>
      <c r="V33" s="1250">
        <f t="shared" si="5"/>
        <v>7.0000000000000007E-2</v>
      </c>
      <c r="W33" s="1250">
        <f t="shared" si="5"/>
        <v>7.0000000000000007E-2</v>
      </c>
      <c r="X33" s="1250">
        <f t="shared" si="5"/>
        <v>7.0000000000000007E-2</v>
      </c>
      <c r="Y33" s="1248"/>
      <c r="Z33" s="1239"/>
      <c r="AB33" s="1249"/>
    </row>
    <row r="34" spans="2:28">
      <c r="B34" s="1245" t="s">
        <v>1024</v>
      </c>
      <c r="C34" s="1246"/>
      <c r="D34" s="1239"/>
      <c r="E34" s="1251">
        <f>Cashflows!D102</f>
        <v>2.6492952499999998</v>
      </c>
      <c r="F34" s="1251">
        <f>E34*(1+$D$47)</f>
        <v>2.8612388699999998</v>
      </c>
      <c r="G34" s="1251">
        <f t="shared" ref="G34:X34" si="6">F34*(1+$D$47)</f>
        <v>3.0901379796000001</v>
      </c>
      <c r="H34" s="1251">
        <f t="shared" si="6"/>
        <v>3.3373490179680005</v>
      </c>
      <c r="I34" s="1251">
        <f t="shared" si="6"/>
        <v>3.604336939405441</v>
      </c>
      <c r="J34" s="1251">
        <f t="shared" si="6"/>
        <v>3.8926838945578766</v>
      </c>
      <c r="K34" s="1251">
        <f t="shared" si="6"/>
        <v>4.204098606122507</v>
      </c>
      <c r="L34" s="1251">
        <f t="shared" si="6"/>
        <v>4.5404264946123076</v>
      </c>
      <c r="M34" s="1251">
        <f t="shared" si="6"/>
        <v>4.9036606141812928</v>
      </c>
      <c r="N34" s="1251">
        <f t="shared" si="6"/>
        <v>5.2959534633157963</v>
      </c>
      <c r="O34" s="1251">
        <f t="shared" si="6"/>
        <v>5.7196297403810608</v>
      </c>
      <c r="P34" s="1251">
        <f t="shared" si="6"/>
        <v>6.1772001196115456</v>
      </c>
      <c r="Q34" s="1251">
        <f t="shared" si="6"/>
        <v>6.6713761291804694</v>
      </c>
      <c r="R34" s="1251">
        <f t="shared" si="6"/>
        <v>7.2050862195149072</v>
      </c>
      <c r="S34" s="1251">
        <f t="shared" si="6"/>
        <v>7.7814931170761001</v>
      </c>
      <c r="T34" s="1251">
        <f t="shared" si="6"/>
        <v>8.404012566442189</v>
      </c>
      <c r="U34" s="1251">
        <f t="shared" si="6"/>
        <v>9.0763335717575639</v>
      </c>
      <c r="V34" s="1251">
        <f t="shared" si="6"/>
        <v>9.8024402574981693</v>
      </c>
      <c r="W34" s="1251">
        <f t="shared" si="6"/>
        <v>10.586635478098023</v>
      </c>
      <c r="X34" s="1251">
        <f t="shared" si="6"/>
        <v>11.433566316345866</v>
      </c>
      <c r="Y34" s="1252">
        <f>AVERAGE(E34:X34)</f>
        <v>6.0618477322834554</v>
      </c>
      <c r="Z34" s="1239"/>
      <c r="AB34" s="1253"/>
    </row>
    <row r="35" spans="2:28">
      <c r="B35" s="1245" t="s">
        <v>1025</v>
      </c>
      <c r="C35" s="1246"/>
      <c r="D35" s="1239"/>
      <c r="E35" s="1254">
        <v>0.9</v>
      </c>
      <c r="F35" s="1255">
        <f>E35</f>
        <v>0.9</v>
      </c>
      <c r="G35" s="1255">
        <f t="shared" ref="G35:Y35" si="7">F35</f>
        <v>0.9</v>
      </c>
      <c r="H35" s="1255">
        <f t="shared" si="7"/>
        <v>0.9</v>
      </c>
      <c r="I35" s="1255">
        <f t="shared" si="7"/>
        <v>0.9</v>
      </c>
      <c r="J35" s="1255">
        <f t="shared" si="7"/>
        <v>0.9</v>
      </c>
      <c r="K35" s="1255">
        <f t="shared" si="7"/>
        <v>0.9</v>
      </c>
      <c r="L35" s="1255">
        <f t="shared" si="7"/>
        <v>0.9</v>
      </c>
      <c r="M35" s="1255">
        <f t="shared" si="7"/>
        <v>0.9</v>
      </c>
      <c r="N35" s="1255">
        <f t="shared" si="7"/>
        <v>0.9</v>
      </c>
      <c r="O35" s="1255">
        <f t="shared" si="7"/>
        <v>0.9</v>
      </c>
      <c r="P35" s="1255">
        <f t="shared" si="7"/>
        <v>0.9</v>
      </c>
      <c r="Q35" s="1255">
        <f t="shared" si="7"/>
        <v>0.9</v>
      </c>
      <c r="R35" s="1255">
        <f t="shared" si="7"/>
        <v>0.9</v>
      </c>
      <c r="S35" s="1255">
        <f t="shared" si="7"/>
        <v>0.9</v>
      </c>
      <c r="T35" s="1255">
        <f t="shared" si="7"/>
        <v>0.9</v>
      </c>
      <c r="U35" s="1255">
        <f t="shared" si="7"/>
        <v>0.9</v>
      </c>
      <c r="V35" s="1255">
        <f t="shared" si="7"/>
        <v>0.9</v>
      </c>
      <c r="W35" s="1255">
        <f t="shared" si="7"/>
        <v>0.9</v>
      </c>
      <c r="X35" s="1255">
        <f t="shared" si="7"/>
        <v>0.9</v>
      </c>
      <c r="Y35" s="1256">
        <f t="shared" si="7"/>
        <v>0.9</v>
      </c>
      <c r="Z35" s="1239"/>
      <c r="AB35" s="1257"/>
    </row>
    <row r="36" spans="2:28">
      <c r="B36" s="1245" t="s">
        <v>1026</v>
      </c>
      <c r="C36" s="1246"/>
      <c r="D36" s="1239"/>
      <c r="E36" s="1254">
        <v>0</v>
      </c>
      <c r="F36" s="1255">
        <f t="shared" ref="F36:Y36" si="8">$E$36</f>
        <v>0</v>
      </c>
      <c r="G36" s="1255">
        <f t="shared" si="8"/>
        <v>0</v>
      </c>
      <c r="H36" s="1255">
        <f t="shared" si="8"/>
        <v>0</v>
      </c>
      <c r="I36" s="1255">
        <f t="shared" si="8"/>
        <v>0</v>
      </c>
      <c r="J36" s="1255">
        <f t="shared" si="8"/>
        <v>0</v>
      </c>
      <c r="K36" s="1255">
        <f t="shared" si="8"/>
        <v>0</v>
      </c>
      <c r="L36" s="1255">
        <f t="shared" si="8"/>
        <v>0</v>
      </c>
      <c r="M36" s="1255">
        <f t="shared" si="8"/>
        <v>0</v>
      </c>
      <c r="N36" s="1255">
        <f t="shared" si="8"/>
        <v>0</v>
      </c>
      <c r="O36" s="1255">
        <f t="shared" si="8"/>
        <v>0</v>
      </c>
      <c r="P36" s="1255">
        <f t="shared" si="8"/>
        <v>0</v>
      </c>
      <c r="Q36" s="1255">
        <f t="shared" si="8"/>
        <v>0</v>
      </c>
      <c r="R36" s="1255">
        <f t="shared" si="8"/>
        <v>0</v>
      </c>
      <c r="S36" s="1255">
        <f t="shared" si="8"/>
        <v>0</v>
      </c>
      <c r="T36" s="1255">
        <f t="shared" si="8"/>
        <v>0</v>
      </c>
      <c r="U36" s="1255">
        <f t="shared" si="8"/>
        <v>0</v>
      </c>
      <c r="V36" s="1255">
        <f t="shared" si="8"/>
        <v>0</v>
      </c>
      <c r="W36" s="1255">
        <f t="shared" si="8"/>
        <v>0</v>
      </c>
      <c r="X36" s="1255">
        <f t="shared" si="8"/>
        <v>0</v>
      </c>
      <c r="Y36" s="1256">
        <f t="shared" si="8"/>
        <v>0</v>
      </c>
      <c r="Z36" s="1239"/>
      <c r="AB36" s="1257"/>
    </row>
    <row r="37" spans="2:28">
      <c r="B37" s="1245" t="s">
        <v>705</v>
      </c>
      <c r="C37" s="1246"/>
      <c r="D37" s="1239"/>
      <c r="E37" s="1258">
        <f>'Financial Inputs'!D14*D26</f>
        <v>78887.608589739219</v>
      </c>
      <c r="F37" s="1258">
        <f>E37*(1+F33)</f>
        <v>84409.741191020963</v>
      </c>
      <c r="G37" s="1258">
        <f t="shared" ref="G37:X37" si="9">F37*(1+G33)</f>
        <v>90318.423074392442</v>
      </c>
      <c r="H37" s="1258">
        <f t="shared" si="9"/>
        <v>96640.712689599924</v>
      </c>
      <c r="I37" s="1258">
        <f t="shared" si="9"/>
        <v>103405.56257787193</v>
      </c>
      <c r="J37" s="1258">
        <f t="shared" si="9"/>
        <v>110643.95195832297</v>
      </c>
      <c r="K37" s="1258">
        <f t="shared" si="9"/>
        <v>118389.02859540559</v>
      </c>
      <c r="L37" s="1258">
        <f t="shared" si="9"/>
        <v>126676.26059708398</v>
      </c>
      <c r="M37" s="1258">
        <f t="shared" si="9"/>
        <v>135543.59883887987</v>
      </c>
      <c r="N37" s="1258">
        <f t="shared" si="9"/>
        <v>145031.65075760148</v>
      </c>
      <c r="O37" s="1258">
        <f t="shared" si="9"/>
        <v>155183.8663106336</v>
      </c>
      <c r="P37" s="1258">
        <f t="shared" si="9"/>
        <v>166046.73695237798</v>
      </c>
      <c r="Q37" s="1258">
        <f t="shared" si="9"/>
        <v>177670.00853904444</v>
      </c>
      <c r="R37" s="1258">
        <f t="shared" si="9"/>
        <v>190106.90913677757</v>
      </c>
      <c r="S37" s="1258">
        <f t="shared" si="9"/>
        <v>203414.392776352</v>
      </c>
      <c r="T37" s="1258">
        <f t="shared" si="9"/>
        <v>217653.40027069667</v>
      </c>
      <c r="U37" s="1258">
        <f t="shared" si="9"/>
        <v>232889.13828964546</v>
      </c>
      <c r="V37" s="1258">
        <f t="shared" si="9"/>
        <v>249191.37796992066</v>
      </c>
      <c r="W37" s="1258">
        <f t="shared" si="9"/>
        <v>266634.77442781511</v>
      </c>
      <c r="X37" s="1258">
        <f t="shared" si="9"/>
        <v>285299.20863776217</v>
      </c>
      <c r="Y37" s="1256"/>
      <c r="Z37" s="1239"/>
      <c r="AB37" s="1259">
        <f>SUM(E37:X37)</f>
        <v>3234036.3521809443</v>
      </c>
    </row>
    <row r="38" spans="2:28">
      <c r="B38" s="1245" t="s">
        <v>1027</v>
      </c>
      <c r="C38" s="1246"/>
      <c r="D38" s="1239"/>
      <c r="E38" s="1260">
        <f>'Financial Inputs'!D14</f>
        <v>0.01</v>
      </c>
      <c r="F38" s="1258"/>
      <c r="G38" s="1258"/>
      <c r="H38" s="1258"/>
      <c r="I38" s="1258"/>
      <c r="J38" s="1258"/>
      <c r="K38" s="1258"/>
      <c r="L38" s="1258"/>
      <c r="M38" s="1258"/>
      <c r="N38" s="1258"/>
      <c r="O38" s="1258"/>
      <c r="P38" s="1258"/>
      <c r="Q38" s="1258"/>
      <c r="R38" s="1258"/>
      <c r="S38" s="1258"/>
      <c r="T38" s="1258"/>
      <c r="U38" s="1258"/>
      <c r="V38" s="1258"/>
      <c r="W38" s="1258"/>
      <c r="X38" s="1258"/>
      <c r="Y38" s="1256"/>
      <c r="Z38" s="1239"/>
      <c r="AB38" s="1259"/>
    </row>
    <row r="39" spans="2:28">
      <c r="B39" s="1245" t="s">
        <v>932</v>
      </c>
      <c r="C39" s="1246"/>
      <c r="D39" s="1239"/>
      <c r="E39" s="1258">
        <f>D26*1%</f>
        <v>78887.608589739219</v>
      </c>
      <c r="F39" s="1258">
        <f>E39*(1+F33)</f>
        <v>84409.741191020963</v>
      </c>
      <c r="G39" s="1258">
        <f t="shared" ref="G39:X40" si="10">F39*(1+G33)</f>
        <v>90318.423074392442</v>
      </c>
      <c r="H39" s="1258">
        <f t="shared" si="10"/>
        <v>96640.712689599924</v>
      </c>
      <c r="I39" s="1258">
        <f t="shared" si="10"/>
        <v>103405.56257787193</v>
      </c>
      <c r="J39" s="1258">
        <f t="shared" si="10"/>
        <v>110643.95195832297</v>
      </c>
      <c r="K39" s="1258">
        <f t="shared" si="10"/>
        <v>118389.02859540559</v>
      </c>
      <c r="L39" s="1258">
        <f t="shared" si="10"/>
        <v>126676.26059708398</v>
      </c>
      <c r="M39" s="1258">
        <f t="shared" si="10"/>
        <v>135543.59883887987</v>
      </c>
      <c r="N39" s="1258">
        <f t="shared" si="10"/>
        <v>145031.65075760148</v>
      </c>
      <c r="O39" s="1258">
        <f t="shared" si="10"/>
        <v>155183.8663106336</v>
      </c>
      <c r="P39" s="1258">
        <f t="shared" si="10"/>
        <v>166046.73695237798</v>
      </c>
      <c r="Q39" s="1258">
        <f t="shared" si="10"/>
        <v>177670.00853904444</v>
      </c>
      <c r="R39" s="1258">
        <f t="shared" si="10"/>
        <v>190106.90913677757</v>
      </c>
      <c r="S39" s="1258">
        <f t="shared" si="10"/>
        <v>203414.392776352</v>
      </c>
      <c r="T39" s="1258">
        <f t="shared" si="10"/>
        <v>217653.40027069667</v>
      </c>
      <c r="U39" s="1258">
        <f t="shared" si="10"/>
        <v>232889.13828964546</v>
      </c>
      <c r="V39" s="1258">
        <f t="shared" si="10"/>
        <v>249191.37796992066</v>
      </c>
      <c r="W39" s="1258">
        <f t="shared" si="10"/>
        <v>266634.77442781511</v>
      </c>
      <c r="X39" s="1258">
        <f t="shared" si="10"/>
        <v>285299.20863776217</v>
      </c>
      <c r="Y39" s="1261"/>
      <c r="Z39" s="1239"/>
      <c r="AB39" s="1259">
        <f>SUM(E39:X39)</f>
        <v>3234036.3521809443</v>
      </c>
    </row>
    <row r="40" spans="2:28">
      <c r="B40" s="1245" t="s">
        <v>1028</v>
      </c>
      <c r="C40" s="1246"/>
      <c r="D40" s="1239"/>
      <c r="E40" s="1351">
        <f>E39/D26</f>
        <v>0.01</v>
      </c>
      <c r="F40" s="1258"/>
      <c r="G40" s="1258"/>
      <c r="H40" s="1258"/>
      <c r="I40" s="1258"/>
      <c r="J40" s="1258">
        <f t="shared" si="10"/>
        <v>0</v>
      </c>
      <c r="K40" s="1258"/>
      <c r="L40" s="1258"/>
      <c r="M40" s="1258"/>
      <c r="N40" s="1258"/>
      <c r="O40" s="1258"/>
      <c r="P40" s="1258"/>
      <c r="Q40" s="1258"/>
      <c r="R40" s="1258"/>
      <c r="S40" s="1258"/>
      <c r="T40" s="1258"/>
      <c r="U40" s="1258"/>
      <c r="V40" s="1258"/>
      <c r="W40" s="1258"/>
      <c r="X40" s="1258"/>
      <c r="Y40" s="1261"/>
      <c r="Z40" s="1239"/>
      <c r="AB40" s="1262"/>
    </row>
    <row r="41" spans="2:28">
      <c r="B41" s="1263" t="s">
        <v>1029</v>
      </c>
      <c r="C41" s="1264"/>
      <c r="D41" s="1265"/>
      <c r="E41" s="1266">
        <v>1E-3</v>
      </c>
      <c r="F41" s="1267">
        <v>0.01</v>
      </c>
      <c r="G41" s="1267">
        <v>0.01</v>
      </c>
      <c r="H41" s="1267">
        <v>0.01</v>
      </c>
      <c r="I41" s="1267">
        <v>0.01</v>
      </c>
      <c r="J41" s="1267">
        <v>0.01</v>
      </c>
      <c r="K41" s="1267">
        <v>0.01</v>
      </c>
      <c r="L41" s="1267">
        <v>0.01</v>
      </c>
      <c r="M41" s="1267">
        <v>0.01</v>
      </c>
      <c r="N41" s="1267">
        <v>0.01</v>
      </c>
      <c r="O41" s="1267">
        <v>0.01</v>
      </c>
      <c r="P41" s="1267">
        <v>0.01</v>
      </c>
      <c r="Q41" s="1267">
        <v>0.01</v>
      </c>
      <c r="R41" s="1267">
        <v>0.01</v>
      </c>
      <c r="S41" s="1267">
        <v>0.01</v>
      </c>
      <c r="T41" s="1267">
        <v>0.01</v>
      </c>
      <c r="U41" s="1267">
        <v>0.01</v>
      </c>
      <c r="V41" s="1267">
        <v>0.01</v>
      </c>
      <c r="W41" s="1267">
        <v>0.01</v>
      </c>
      <c r="X41" s="1267">
        <v>0.01</v>
      </c>
      <c r="Y41" s="1268"/>
      <c r="Z41" s="1239"/>
      <c r="AB41" s="1269"/>
    </row>
    <row r="42" spans="2:28">
      <c r="B42" s="1246"/>
      <c r="C42" s="1246"/>
      <c r="D42" s="1239"/>
      <c r="E42" s="1258"/>
      <c r="F42" s="1258"/>
      <c r="G42" s="1258"/>
      <c r="H42" s="1258"/>
      <c r="I42" s="1258"/>
      <c r="J42" s="1258"/>
      <c r="K42" s="1258"/>
      <c r="L42" s="1258"/>
      <c r="M42" s="1258"/>
      <c r="N42" s="1258"/>
      <c r="O42" s="1258"/>
      <c r="P42" s="1258"/>
      <c r="Q42" s="1258"/>
      <c r="R42" s="1258"/>
      <c r="S42" s="1258"/>
      <c r="T42" s="1258"/>
      <c r="U42" s="1258"/>
      <c r="V42" s="1258"/>
      <c r="W42" s="1258"/>
      <c r="X42" s="1258"/>
      <c r="Y42" s="1258"/>
      <c r="Z42" s="1239"/>
      <c r="AA42" s="1270"/>
      <c r="AB42" s="1258"/>
    </row>
    <row r="43" spans="2:28">
      <c r="B43" s="1219" t="s">
        <v>1030</v>
      </c>
      <c r="C43" s="1219"/>
      <c r="D43" s="1239"/>
      <c r="E43" s="1258"/>
      <c r="F43" s="1258"/>
      <c r="G43" s="1258"/>
      <c r="H43" s="1258"/>
      <c r="I43" s="1258"/>
      <c r="J43" s="1258"/>
      <c r="K43" s="1258"/>
      <c r="L43" s="1258"/>
      <c r="M43" s="1258"/>
      <c r="N43" s="1258"/>
      <c r="O43" s="1258"/>
      <c r="P43" s="1258"/>
      <c r="Q43" s="1258"/>
      <c r="R43" s="1258"/>
      <c r="S43" s="1258"/>
      <c r="T43" s="1258"/>
      <c r="U43" s="1258"/>
      <c r="V43" s="1258"/>
      <c r="W43" s="1258"/>
      <c r="X43" s="1258"/>
      <c r="Y43" s="1258"/>
      <c r="Z43" s="1239"/>
      <c r="AA43" s="1270"/>
      <c r="AB43" s="1258"/>
    </row>
    <row r="44" spans="2:28">
      <c r="B44" s="1239"/>
      <c r="C44" s="1239"/>
      <c r="D44" s="1239"/>
      <c r="E44" s="1258"/>
      <c r="F44" s="1271" t="s">
        <v>1031</v>
      </c>
      <c r="G44" s="1271" t="s">
        <v>1032</v>
      </c>
      <c r="H44" s="1271" t="s">
        <v>1033</v>
      </c>
      <c r="I44" s="1239"/>
      <c r="J44" s="1239"/>
      <c r="K44" s="1272"/>
      <c r="L44" s="1239"/>
      <c r="M44" s="1239"/>
      <c r="N44" s="1239"/>
      <c r="O44" s="1239"/>
      <c r="P44" s="1239"/>
      <c r="Q44" s="1239"/>
      <c r="R44" s="1239"/>
      <c r="S44" s="1239"/>
      <c r="T44" s="1239"/>
      <c r="U44" s="1239"/>
      <c r="V44" s="1239"/>
      <c r="W44" s="1239"/>
      <c r="X44" s="1239"/>
      <c r="Y44" s="1239"/>
      <c r="Z44" s="1239"/>
      <c r="AB44" s="1239"/>
    </row>
    <row r="45" spans="2:28">
      <c r="B45" s="1231" t="s">
        <v>510</v>
      </c>
      <c r="C45" s="1232"/>
      <c r="D45" s="1353">
        <v>0.92819319477283313</v>
      </c>
      <c r="E45" s="1258"/>
      <c r="F45" s="1273">
        <f>E32*E52/12</f>
        <v>63603.563040732006</v>
      </c>
      <c r="G45" s="1273">
        <f>E32*(E34)</f>
        <v>2178485.4928369974</v>
      </c>
      <c r="H45" s="1273">
        <f>G45-F45*12</f>
        <v>1415242.7363482132</v>
      </c>
      <c r="I45" s="1239"/>
      <c r="J45" s="1239"/>
      <c r="K45" s="1239"/>
      <c r="L45" s="1239"/>
      <c r="M45" s="1239"/>
      <c r="N45" s="1239"/>
      <c r="O45" s="1239"/>
      <c r="P45" s="1239"/>
      <c r="Q45" s="1239"/>
      <c r="R45" s="1239"/>
      <c r="S45" s="1239"/>
      <c r="T45" s="1239"/>
      <c r="U45" s="1239"/>
      <c r="V45" s="1239"/>
      <c r="W45" s="1239"/>
      <c r="X45" s="1239"/>
      <c r="Y45" s="1239"/>
      <c r="Z45" s="1239"/>
      <c r="AB45" s="1239"/>
    </row>
    <row r="46" spans="2:28">
      <c r="B46" s="1231" t="s">
        <v>1076</v>
      </c>
      <c r="C46" s="1232"/>
      <c r="D46" s="1354">
        <f>'Financial Inputs'!D10</f>
        <v>7.0000000000000007E-2</v>
      </c>
      <c r="E46" s="1258"/>
      <c r="F46" s="1239"/>
      <c r="G46" s="1239"/>
      <c r="H46" s="1239"/>
      <c r="I46" s="1239"/>
      <c r="J46" s="1239"/>
      <c r="K46" s="1239"/>
      <c r="L46" s="1239"/>
      <c r="M46" s="1239"/>
      <c r="N46" s="1239"/>
      <c r="O46" s="1239"/>
      <c r="P46" s="1239"/>
      <c r="Q46" s="1239"/>
      <c r="R46" s="1239"/>
      <c r="S46" s="1239"/>
      <c r="T46" s="1239"/>
      <c r="U46" s="1239"/>
      <c r="V46" s="1239"/>
      <c r="W46" s="1239"/>
      <c r="X46" s="1239"/>
      <c r="Y46" s="1239"/>
      <c r="Z46" s="1239"/>
      <c r="AB46" s="1239"/>
    </row>
    <row r="47" spans="2:28">
      <c r="B47" s="1231" t="s">
        <v>1077</v>
      </c>
      <c r="C47" s="1232"/>
      <c r="D47" s="1354">
        <f>'Financial Inputs'!D9</f>
        <v>0.08</v>
      </c>
      <c r="E47" s="1258"/>
      <c r="F47" s="1239" t="s">
        <v>1079</v>
      </c>
      <c r="G47" s="1239" t="str">
        <f>IF(IRR_PreTax&gt;(Hurdle-0.001),"PASS","FAIL")</f>
        <v>FAIL</v>
      </c>
      <c r="H47" s="1239"/>
      <c r="I47" s="1239"/>
      <c r="J47" s="1239"/>
      <c r="K47" s="1239"/>
      <c r="L47" s="1239"/>
      <c r="M47" s="1239"/>
      <c r="N47" s="1239"/>
      <c r="O47" s="1239"/>
      <c r="P47" s="1239"/>
      <c r="Q47" s="1239"/>
      <c r="R47" s="1239"/>
      <c r="S47" s="1239"/>
      <c r="T47" s="1239"/>
      <c r="U47" s="1239"/>
      <c r="V47" s="1239"/>
      <c r="W47" s="1239"/>
      <c r="X47" s="1239"/>
      <c r="Y47" s="1239"/>
      <c r="Z47" s="1239"/>
      <c r="AB47" s="1239"/>
    </row>
    <row r="48" spans="2:28" ht="12.5" thickBot="1">
      <c r="B48" s="1239"/>
      <c r="C48" s="1239"/>
      <c r="D48" s="1239"/>
      <c r="E48" s="1239"/>
      <c r="F48" s="1239"/>
      <c r="G48" s="1239"/>
      <c r="H48" s="1239"/>
      <c r="I48" s="1239"/>
      <c r="J48" s="1239"/>
      <c r="K48" s="1239"/>
      <c r="L48" s="1239"/>
      <c r="M48" s="1239"/>
      <c r="N48" s="1239"/>
      <c r="O48" s="1239"/>
      <c r="P48" s="1239"/>
      <c r="Q48" s="1239"/>
      <c r="R48" s="1239"/>
      <c r="S48" s="1239"/>
      <c r="T48" s="1239"/>
      <c r="U48" s="1239"/>
      <c r="V48" s="1239"/>
      <c r="W48" s="1239"/>
      <c r="X48" s="1239"/>
      <c r="Y48" s="1239"/>
      <c r="Z48" s="1239"/>
      <c r="AB48" s="1239"/>
    </row>
    <row r="49" spans="2:28" s="1221" customFormat="1" ht="12.5" thickBot="1">
      <c r="B49" s="1274" t="s">
        <v>686</v>
      </c>
      <c r="C49" s="1275"/>
      <c r="D49" s="1275" t="s">
        <v>104</v>
      </c>
      <c r="E49" s="1275">
        <v>1</v>
      </c>
      <c r="F49" s="1275">
        <v>2</v>
      </c>
      <c r="G49" s="1275">
        <v>3</v>
      </c>
      <c r="H49" s="1275">
        <v>4</v>
      </c>
      <c r="I49" s="1275">
        <v>5</v>
      </c>
      <c r="J49" s="1275">
        <v>6</v>
      </c>
      <c r="K49" s="1275">
        <v>7</v>
      </c>
      <c r="L49" s="1275">
        <v>8</v>
      </c>
      <c r="M49" s="1275">
        <v>9</v>
      </c>
      <c r="N49" s="1275">
        <v>10</v>
      </c>
      <c r="O49" s="1275">
        <v>11</v>
      </c>
      <c r="P49" s="1275">
        <v>12</v>
      </c>
      <c r="Q49" s="1275">
        <v>13</v>
      </c>
      <c r="R49" s="1275">
        <v>14</v>
      </c>
      <c r="S49" s="1275">
        <v>15</v>
      </c>
      <c r="T49" s="1275">
        <v>16</v>
      </c>
      <c r="U49" s="1275">
        <v>17</v>
      </c>
      <c r="V49" s="1275">
        <v>18</v>
      </c>
      <c r="W49" s="1275">
        <v>19</v>
      </c>
      <c r="X49" s="1275">
        <v>20</v>
      </c>
      <c r="Y49" s="1276" t="s">
        <v>687</v>
      </c>
      <c r="Z49" s="1277"/>
      <c r="AB49" s="1278" t="s">
        <v>634</v>
      </c>
    </row>
    <row r="50" spans="2:28">
      <c r="B50" s="1279"/>
      <c r="C50" s="1280"/>
      <c r="D50" s="1280"/>
      <c r="E50" s="1280"/>
      <c r="F50" s="1280"/>
      <c r="G50" s="1280"/>
      <c r="H50" s="1280"/>
      <c r="I50" s="1280"/>
      <c r="J50" s="1280"/>
      <c r="K50" s="1280"/>
      <c r="L50" s="1280"/>
      <c r="M50" s="1280"/>
      <c r="N50" s="1280"/>
      <c r="O50" s="1280"/>
      <c r="P50" s="1280"/>
      <c r="Q50" s="1280"/>
      <c r="R50" s="1280"/>
      <c r="S50" s="1280"/>
      <c r="T50" s="1280"/>
      <c r="U50" s="1280"/>
      <c r="V50" s="1280"/>
      <c r="W50" s="1280"/>
      <c r="X50" s="1280"/>
      <c r="Y50" s="1280"/>
      <c r="Z50" s="1281"/>
      <c r="AB50" s="1282"/>
    </row>
    <row r="51" spans="2:28">
      <c r="B51" s="1283" t="s">
        <v>1034</v>
      </c>
      <c r="C51" s="1284"/>
      <c r="D51" s="1280"/>
      <c r="E51" s="1285">
        <f>E32*E35</f>
        <v>740059.8115869863</v>
      </c>
      <c r="F51" s="1285">
        <f t="shared" ref="F51:X51" si="11">F32*F35</f>
        <v>735619.45271746442</v>
      </c>
      <c r="G51" s="1285">
        <f t="shared" si="11"/>
        <v>731205.73600115965</v>
      </c>
      <c r="H51" s="1285">
        <f t="shared" si="11"/>
        <v>726818.5015851527</v>
      </c>
      <c r="I51" s="1285">
        <f t="shared" si="11"/>
        <v>722457.59057564172</v>
      </c>
      <c r="J51" s="1285">
        <f t="shared" si="11"/>
        <v>718122.84503218788</v>
      </c>
      <c r="K51" s="1285">
        <f t="shared" si="11"/>
        <v>713814.10796199471</v>
      </c>
      <c r="L51" s="1285">
        <f t="shared" si="11"/>
        <v>709531.22331422288</v>
      </c>
      <c r="M51" s="1285">
        <f t="shared" si="11"/>
        <v>705274.03597433749</v>
      </c>
      <c r="N51" s="1285">
        <f t="shared" si="11"/>
        <v>701042.3917584914</v>
      </c>
      <c r="O51" s="1285">
        <f t="shared" si="11"/>
        <v>696836.13740794046</v>
      </c>
      <c r="P51" s="1285">
        <f t="shared" si="11"/>
        <v>692655.12058349268</v>
      </c>
      <c r="Q51" s="1285">
        <f t="shared" si="11"/>
        <v>688499.18985999178</v>
      </c>
      <c r="R51" s="1285">
        <f t="shared" si="11"/>
        <v>684368.19472083182</v>
      </c>
      <c r="S51" s="1285">
        <f t="shared" si="11"/>
        <v>680261.98555250675</v>
      </c>
      <c r="T51" s="1285">
        <f t="shared" si="11"/>
        <v>0</v>
      </c>
      <c r="U51" s="1285">
        <f t="shared" si="11"/>
        <v>0</v>
      </c>
      <c r="V51" s="1285">
        <f t="shared" si="11"/>
        <v>0</v>
      </c>
      <c r="W51" s="1285">
        <f t="shared" si="11"/>
        <v>0</v>
      </c>
      <c r="X51" s="1285">
        <f t="shared" si="11"/>
        <v>0</v>
      </c>
      <c r="Y51" s="1285">
        <f t="shared" ref="Y51" si="12">SUM(O51:X51)</f>
        <v>3442620.6281247633</v>
      </c>
      <c r="Z51" s="1281"/>
      <c r="AB51" s="1286"/>
    </row>
    <row r="52" spans="2:28">
      <c r="B52" s="1283" t="s">
        <v>1035</v>
      </c>
      <c r="C52" s="1284"/>
      <c r="D52" s="1280"/>
      <c r="E52" s="1287">
        <f>D45</f>
        <v>0.92819319477283313</v>
      </c>
      <c r="F52" s="1287">
        <f>E52*(1+$D$46)</f>
        <v>0.99316671840693149</v>
      </c>
      <c r="G52" s="1287">
        <f t="shared" ref="G52:X52" si="13">F52*(1+$D$46)</f>
        <v>1.0626883886954168</v>
      </c>
      <c r="H52" s="1287">
        <f t="shared" si="13"/>
        <v>1.1370765759040962</v>
      </c>
      <c r="I52" s="1287">
        <f t="shared" si="13"/>
        <v>1.216671936217383</v>
      </c>
      <c r="J52" s="1287">
        <f t="shared" si="13"/>
        <v>1.3018389717526</v>
      </c>
      <c r="K52" s="1287">
        <f t="shared" si="13"/>
        <v>1.392967699775282</v>
      </c>
      <c r="L52" s="1287">
        <f t="shared" si="13"/>
        <v>1.4904754387595518</v>
      </c>
      <c r="M52" s="1287">
        <f t="shared" si="13"/>
        <v>1.5948087194727205</v>
      </c>
      <c r="N52" s="1287">
        <f t="shared" si="13"/>
        <v>1.7064453298358111</v>
      </c>
      <c r="O52" s="1287">
        <f t="shared" si="13"/>
        <v>1.8258965029243179</v>
      </c>
      <c r="P52" s="1287">
        <f t="shared" si="13"/>
        <v>1.9537092581290203</v>
      </c>
      <c r="Q52" s="1287">
        <f t="shared" si="13"/>
        <v>2.0904689061980517</v>
      </c>
      <c r="R52" s="1287">
        <f t="shared" si="13"/>
        <v>2.2368017296319156</v>
      </c>
      <c r="S52" s="1287">
        <f t="shared" si="13"/>
        <v>2.3933778507061496</v>
      </c>
      <c r="T52" s="1287">
        <f t="shared" si="13"/>
        <v>2.5609143002555803</v>
      </c>
      <c r="U52" s="1287">
        <f t="shared" si="13"/>
        <v>2.7401783012734713</v>
      </c>
      <c r="V52" s="1287">
        <f t="shared" si="13"/>
        <v>2.9319907823626146</v>
      </c>
      <c r="W52" s="1287">
        <f t="shared" si="13"/>
        <v>3.1372301371279976</v>
      </c>
      <c r="X52" s="1287">
        <f t="shared" si="13"/>
        <v>3.3568362467269575</v>
      </c>
      <c r="Y52" s="1287">
        <f>AVERAGE(O52:X52)</f>
        <v>2.5227404015336075</v>
      </c>
      <c r="Z52" s="1281"/>
      <c r="AB52" s="1288"/>
    </row>
    <row r="53" spans="2:28">
      <c r="B53" s="1283"/>
      <c r="C53" s="1284"/>
      <c r="D53" s="1280"/>
      <c r="E53" s="1280"/>
      <c r="F53" s="1280"/>
      <c r="G53" s="1280"/>
      <c r="H53" s="1280"/>
      <c r="I53" s="1280"/>
      <c r="J53" s="1280"/>
      <c r="K53" s="1280"/>
      <c r="L53" s="1280"/>
      <c r="M53" s="1280"/>
      <c r="N53" s="1280"/>
      <c r="O53" s="1280"/>
      <c r="P53" s="1280"/>
      <c r="Q53" s="1280"/>
      <c r="R53" s="1280"/>
      <c r="S53" s="1280"/>
      <c r="T53" s="1280"/>
      <c r="U53" s="1280"/>
      <c r="V53" s="1280"/>
      <c r="W53" s="1280"/>
      <c r="X53" s="1280"/>
      <c r="Y53" s="1280"/>
      <c r="Z53" s="1281"/>
      <c r="AB53" s="1282"/>
    </row>
    <row r="54" spans="2:28" s="1293" customFormat="1">
      <c r="B54" s="1289" t="s">
        <v>1036</v>
      </c>
      <c r="C54" s="1290"/>
      <c r="D54" s="1291"/>
      <c r="E54" s="1291"/>
      <c r="F54" s="1291"/>
      <c r="G54" s="1291"/>
      <c r="H54" s="1291"/>
      <c r="I54" s="1291"/>
      <c r="J54" s="1291"/>
      <c r="K54" s="1291"/>
      <c r="L54" s="1291"/>
      <c r="M54" s="1291"/>
      <c r="N54" s="1291"/>
      <c r="O54" s="1291"/>
      <c r="P54" s="1291"/>
      <c r="Q54" s="1291"/>
      <c r="R54" s="1291"/>
      <c r="S54" s="1291"/>
      <c r="T54" s="1291"/>
      <c r="U54" s="1291"/>
      <c r="V54" s="1291"/>
      <c r="W54" s="1291"/>
      <c r="X54" s="1291"/>
      <c r="Y54" s="1291"/>
      <c r="Z54" s="1292"/>
      <c r="AB54" s="1294"/>
    </row>
    <row r="55" spans="2:28">
      <c r="B55" s="1283"/>
      <c r="C55" s="1284"/>
      <c r="D55" s="1280"/>
      <c r="E55" s="1280"/>
      <c r="F55" s="1280"/>
      <c r="G55" s="1280"/>
      <c r="H55" s="1280"/>
      <c r="I55" s="1280"/>
      <c r="J55" s="1280"/>
      <c r="K55" s="1280"/>
      <c r="L55" s="1280"/>
      <c r="M55" s="1280"/>
      <c r="N55" s="1280"/>
      <c r="O55" s="1280"/>
      <c r="P55" s="1280"/>
      <c r="Q55" s="1280"/>
      <c r="R55" s="1280"/>
      <c r="S55" s="1280"/>
      <c r="T55" s="1280"/>
      <c r="U55" s="1280"/>
      <c r="V55" s="1280"/>
      <c r="W55" s="1280"/>
      <c r="X55" s="1280"/>
      <c r="Y55" s="1280"/>
      <c r="Z55" s="1281"/>
      <c r="AB55" s="1282"/>
    </row>
    <row r="56" spans="2:28">
      <c r="B56" s="1279" t="s">
        <v>688</v>
      </c>
      <c r="C56" s="1280"/>
      <c r="D56" s="1295">
        <f>-D26/1000</f>
        <v>-7888.760858973922</v>
      </c>
      <c r="E56" s="1295"/>
      <c r="F56" s="1295"/>
      <c r="G56" s="1295"/>
      <c r="H56" s="1295"/>
      <c r="I56" s="1295"/>
      <c r="J56" s="1295"/>
      <c r="K56" s="1295"/>
      <c r="L56" s="1295"/>
      <c r="M56" s="1295"/>
      <c r="N56" s="1295"/>
      <c r="O56" s="1295"/>
      <c r="P56" s="1295"/>
      <c r="Q56" s="1295"/>
      <c r="R56" s="1295"/>
      <c r="S56" s="1295"/>
      <c r="T56" s="1295"/>
      <c r="U56" s="1295"/>
      <c r="V56" s="1295"/>
      <c r="W56" s="1295"/>
      <c r="X56" s="1295"/>
      <c r="Y56" s="1295"/>
      <c r="Z56" s="1296"/>
      <c r="AB56" s="1297"/>
    </row>
    <row r="57" spans="2:28">
      <c r="B57" s="1279" t="s">
        <v>1037</v>
      </c>
      <c r="C57" s="1280"/>
      <c r="D57" s="1295"/>
      <c r="E57" s="1295">
        <f>E51*E52/1000</f>
        <v>686.91848083990578</v>
      </c>
      <c r="F57" s="1295">
        <f t="shared" ref="F57:X57" si="14">F51*F52/1000</f>
        <v>730.59275785170701</v>
      </c>
      <c r="G57" s="1295">
        <f t="shared" si="14"/>
        <v>777.04384539591865</v>
      </c>
      <c r="H57" s="1295">
        <f t="shared" si="14"/>
        <v>826.44829308619126</v>
      </c>
      <c r="I57" s="1295">
        <f t="shared" si="14"/>
        <v>878.9938755606114</v>
      </c>
      <c r="J57" s="1295">
        <f t="shared" si="14"/>
        <v>934.88030616875517</v>
      </c>
      <c r="K57" s="1295">
        <f t="shared" si="14"/>
        <v>994.31999603496456</v>
      </c>
      <c r="L57" s="1295">
        <f t="shared" si="14"/>
        <v>1057.5388613828679</v>
      </c>
      <c r="M57" s="1295">
        <f t="shared" si="14"/>
        <v>1124.7771821895906</v>
      </c>
      <c r="N57" s="1295">
        <f t="shared" si="14"/>
        <v>1196.2905154332047</v>
      </c>
      <c r="O57" s="1295">
        <f t="shared" si="14"/>
        <v>1272.350666404448</v>
      </c>
      <c r="P57" s="1295">
        <f t="shared" si="14"/>
        <v>1353.2467217744427</v>
      </c>
      <c r="Q57" s="1295">
        <f t="shared" si="14"/>
        <v>1439.2861483448619</v>
      </c>
      <c r="R57" s="1295">
        <f t="shared" si="14"/>
        <v>1530.7959616566282</v>
      </c>
      <c r="S57" s="1295">
        <f t="shared" si="14"/>
        <v>1628.1239688987564</v>
      </c>
      <c r="T57" s="1295">
        <f t="shared" si="14"/>
        <v>0</v>
      </c>
      <c r="U57" s="1295">
        <f t="shared" si="14"/>
        <v>0</v>
      </c>
      <c r="V57" s="1295">
        <f t="shared" si="14"/>
        <v>0</v>
      </c>
      <c r="W57" s="1295">
        <f t="shared" si="14"/>
        <v>0</v>
      </c>
      <c r="X57" s="1295">
        <f t="shared" si="14"/>
        <v>0</v>
      </c>
      <c r="Y57" s="1295">
        <f t="shared" ref="Y57:Y60" si="15">SUM(O57:X57)</f>
        <v>7223.8034670791367</v>
      </c>
      <c r="Z57" s="1296"/>
      <c r="AB57" s="1297">
        <f t="shared" ref="AB57:AB61" si="16">SUM(E57:X57)*1000</f>
        <v>16431607.581022855</v>
      </c>
    </row>
    <row r="58" spans="2:28">
      <c r="B58" s="1279" t="s">
        <v>1038</v>
      </c>
      <c r="C58" s="1280"/>
      <c r="D58" s="1295"/>
      <c r="E58" s="1295">
        <f t="shared" ref="E58:S58" si="17">-E37/1000</f>
        <v>-78.887608589739216</v>
      </c>
      <c r="F58" s="1295">
        <f t="shared" si="17"/>
        <v>-84.40974119102097</v>
      </c>
      <c r="G58" s="1295">
        <f t="shared" si="17"/>
        <v>-90.318423074392442</v>
      </c>
      <c r="H58" s="1295">
        <f t="shared" si="17"/>
        <v>-96.640712689599923</v>
      </c>
      <c r="I58" s="1295">
        <f t="shared" si="17"/>
        <v>-103.40556257787192</v>
      </c>
      <c r="J58" s="1295">
        <f t="shared" si="17"/>
        <v>-110.64395195832297</v>
      </c>
      <c r="K58" s="1295">
        <f t="shared" si="17"/>
        <v>-118.38902859540559</v>
      </c>
      <c r="L58" s="1295">
        <f t="shared" si="17"/>
        <v>-126.67626059708398</v>
      </c>
      <c r="M58" s="1295">
        <f t="shared" si="17"/>
        <v>-135.54359883887986</v>
      </c>
      <c r="N58" s="1295">
        <f t="shared" si="17"/>
        <v>-145.03165075760148</v>
      </c>
      <c r="O58" s="1295">
        <f t="shared" si="17"/>
        <v>-155.18386631063359</v>
      </c>
      <c r="P58" s="1295">
        <f t="shared" si="17"/>
        <v>-166.04673695237798</v>
      </c>
      <c r="Q58" s="1295">
        <f t="shared" si="17"/>
        <v>-177.67000853904443</v>
      </c>
      <c r="R58" s="1295">
        <f t="shared" si="17"/>
        <v>-190.10690913677757</v>
      </c>
      <c r="S58" s="1295">
        <f t="shared" si="17"/>
        <v>-203.414392776352</v>
      </c>
      <c r="T58" s="1295"/>
      <c r="U58" s="1295"/>
      <c r="V58" s="1295"/>
      <c r="W58" s="1295"/>
      <c r="X58" s="1295"/>
      <c r="Y58" s="1295">
        <f t="shared" si="15"/>
        <v>-892.4219137151855</v>
      </c>
      <c r="Z58" s="1296"/>
      <c r="AB58" s="1297">
        <f t="shared" si="16"/>
        <v>-1982368.4525851042</v>
      </c>
    </row>
    <row r="59" spans="2:28">
      <c r="B59" s="1279" t="s">
        <v>932</v>
      </c>
      <c r="C59" s="1280"/>
      <c r="D59" s="1295"/>
      <c r="E59" s="1295">
        <f>-E39/1000</f>
        <v>-78.887608589739216</v>
      </c>
      <c r="F59" s="1295">
        <f t="shared" ref="F59:S59" si="18">-F39/1000</f>
        <v>-84.40974119102097</v>
      </c>
      <c r="G59" s="1295">
        <f t="shared" si="18"/>
        <v>-90.318423074392442</v>
      </c>
      <c r="H59" s="1295">
        <f t="shared" si="18"/>
        <v>-96.640712689599923</v>
      </c>
      <c r="I59" s="1295">
        <f t="shared" si="18"/>
        <v>-103.40556257787192</v>
      </c>
      <c r="J59" s="1295">
        <f t="shared" si="18"/>
        <v>-110.64395195832297</v>
      </c>
      <c r="K59" s="1295">
        <f t="shared" si="18"/>
        <v>-118.38902859540559</v>
      </c>
      <c r="L59" s="1295">
        <f t="shared" si="18"/>
        <v>-126.67626059708398</v>
      </c>
      <c r="M59" s="1295">
        <f t="shared" si="18"/>
        <v>-135.54359883887986</v>
      </c>
      <c r="N59" s="1295">
        <f t="shared" si="18"/>
        <v>-145.03165075760148</v>
      </c>
      <c r="O59" s="1295">
        <f t="shared" si="18"/>
        <v>-155.18386631063359</v>
      </c>
      <c r="P59" s="1295">
        <f t="shared" si="18"/>
        <v>-166.04673695237798</v>
      </c>
      <c r="Q59" s="1295">
        <f t="shared" si="18"/>
        <v>-177.67000853904443</v>
      </c>
      <c r="R59" s="1295">
        <f t="shared" si="18"/>
        <v>-190.10690913677757</v>
      </c>
      <c r="S59" s="1295">
        <f t="shared" si="18"/>
        <v>-203.414392776352</v>
      </c>
      <c r="T59" s="1295"/>
      <c r="U59" s="1295"/>
      <c r="V59" s="1295"/>
      <c r="W59" s="1295"/>
      <c r="X59" s="1295"/>
      <c r="Y59" s="1295">
        <f t="shared" si="15"/>
        <v>-892.4219137151855</v>
      </c>
      <c r="Z59" s="1296"/>
      <c r="AB59" s="1297">
        <f t="shared" si="16"/>
        <v>-1982368.4525851042</v>
      </c>
    </row>
    <row r="60" spans="2:28">
      <c r="B60" s="1279" t="s">
        <v>1029</v>
      </c>
      <c r="C60" s="1280"/>
      <c r="D60" s="1295"/>
      <c r="E60" s="1298">
        <f>-D56*E41</f>
        <v>7.8887608589739218</v>
      </c>
      <c r="F60" s="1295">
        <f>E60</f>
        <v>7.8887608589739218</v>
      </c>
      <c r="G60" s="1295">
        <f t="shared" ref="G60:S60" si="19">F60</f>
        <v>7.8887608589739218</v>
      </c>
      <c r="H60" s="1295">
        <f t="shared" si="19"/>
        <v>7.8887608589739218</v>
      </c>
      <c r="I60" s="1295">
        <f t="shared" si="19"/>
        <v>7.8887608589739218</v>
      </c>
      <c r="J60" s="1295">
        <f t="shared" si="19"/>
        <v>7.8887608589739218</v>
      </c>
      <c r="K60" s="1295">
        <f t="shared" si="19"/>
        <v>7.8887608589739218</v>
      </c>
      <c r="L60" s="1295">
        <f t="shared" si="19"/>
        <v>7.8887608589739218</v>
      </c>
      <c r="M60" s="1295">
        <f t="shared" si="19"/>
        <v>7.8887608589739218</v>
      </c>
      <c r="N60" s="1295">
        <f t="shared" si="19"/>
        <v>7.8887608589739218</v>
      </c>
      <c r="O60" s="1295">
        <f t="shared" si="19"/>
        <v>7.8887608589739218</v>
      </c>
      <c r="P60" s="1295">
        <f t="shared" si="19"/>
        <v>7.8887608589739218</v>
      </c>
      <c r="Q60" s="1295">
        <f t="shared" si="19"/>
        <v>7.8887608589739218</v>
      </c>
      <c r="R60" s="1295">
        <f t="shared" si="19"/>
        <v>7.8887608589739218</v>
      </c>
      <c r="S60" s="1295">
        <f t="shared" si="19"/>
        <v>7.8887608589739218</v>
      </c>
      <c r="T60" s="1295"/>
      <c r="U60" s="1295"/>
      <c r="V60" s="1295"/>
      <c r="W60" s="1295"/>
      <c r="X60" s="1295"/>
      <c r="Y60" s="1295">
        <f t="shared" si="15"/>
        <v>39.443804294869608</v>
      </c>
      <c r="Z60" s="1296"/>
      <c r="AB60" s="1297">
        <f t="shared" si="16"/>
        <v>118331.41288460886</v>
      </c>
    </row>
    <row r="61" spans="2:28">
      <c r="B61" s="1279" t="s">
        <v>1039</v>
      </c>
      <c r="C61" s="1280"/>
      <c r="D61" s="1299">
        <f t="shared" ref="D61:X61" si="20">SUM(D56:D60)</f>
        <v>-7888.760858973922</v>
      </c>
      <c r="E61" s="1299">
        <f t="shared" si="20"/>
        <v>537.03202451940126</v>
      </c>
      <c r="F61" s="1299">
        <f t="shared" si="20"/>
        <v>569.66203632863892</v>
      </c>
      <c r="G61" s="1299">
        <f t="shared" si="20"/>
        <v>604.29576010610776</v>
      </c>
      <c r="H61" s="1299">
        <f t="shared" si="20"/>
        <v>641.05562856596532</v>
      </c>
      <c r="I61" s="1299">
        <f t="shared" si="20"/>
        <v>680.07151126384144</v>
      </c>
      <c r="J61" s="1299">
        <f t="shared" si="20"/>
        <v>721.48116311108311</v>
      </c>
      <c r="K61" s="1299">
        <f t="shared" si="20"/>
        <v>765.4306997031274</v>
      </c>
      <c r="L61" s="1299">
        <f t="shared" si="20"/>
        <v>812.0751010476738</v>
      </c>
      <c r="M61" s="1299">
        <f t="shared" si="20"/>
        <v>861.57874537080465</v>
      </c>
      <c r="N61" s="1299">
        <f t="shared" si="20"/>
        <v>914.11597477697569</v>
      </c>
      <c r="O61" s="1299">
        <f t="shared" si="20"/>
        <v>969.87169464215469</v>
      </c>
      <c r="P61" s="1299">
        <f t="shared" si="20"/>
        <v>1029.0420087286607</v>
      </c>
      <c r="Q61" s="1299">
        <f t="shared" si="20"/>
        <v>1091.834892125747</v>
      </c>
      <c r="R61" s="1299">
        <f t="shared" si="20"/>
        <v>1158.4709042420468</v>
      </c>
      <c r="S61" s="1299">
        <f t="shared" si="20"/>
        <v>1229.1839442050261</v>
      </c>
      <c r="T61" s="1299">
        <f t="shared" si="20"/>
        <v>0</v>
      </c>
      <c r="U61" s="1299">
        <f t="shared" si="20"/>
        <v>0</v>
      </c>
      <c r="V61" s="1299">
        <f t="shared" si="20"/>
        <v>0</v>
      </c>
      <c r="W61" s="1299">
        <f t="shared" si="20"/>
        <v>0</v>
      </c>
      <c r="X61" s="1299">
        <f t="shared" si="20"/>
        <v>0</v>
      </c>
      <c r="Y61" s="1299">
        <f>SUM(O61:X61)</f>
        <v>5478.4034439436346</v>
      </c>
      <c r="Z61" s="1296"/>
      <c r="AB61" s="1300">
        <f t="shared" si="16"/>
        <v>12585202.088737255</v>
      </c>
    </row>
    <row r="62" spans="2:28">
      <c r="B62" s="1279"/>
      <c r="C62" s="1280"/>
      <c r="D62" s="1295"/>
      <c r="E62" s="1295"/>
      <c r="F62" s="1295"/>
      <c r="G62" s="1295"/>
      <c r="H62" s="1295"/>
      <c r="I62" s="1295"/>
      <c r="J62" s="1295"/>
      <c r="K62" s="1295"/>
      <c r="L62" s="1295"/>
      <c r="M62" s="1295"/>
      <c r="N62" s="1295"/>
      <c r="O62" s="1295"/>
      <c r="P62" s="1295"/>
      <c r="Q62" s="1295"/>
      <c r="R62" s="1295"/>
      <c r="S62" s="1295"/>
      <c r="T62" s="1295"/>
      <c r="U62" s="1295"/>
      <c r="V62" s="1295"/>
      <c r="W62" s="1295"/>
      <c r="X62" s="1295"/>
      <c r="Y62" s="1295"/>
      <c r="Z62" s="1301"/>
      <c r="AB62" s="1297"/>
    </row>
    <row r="63" spans="2:28">
      <c r="B63" s="1279" t="s">
        <v>934</v>
      </c>
      <c r="C63" s="1280"/>
      <c r="D63" s="1295"/>
      <c r="E63" s="1295">
        <f>E79</f>
        <v>0</v>
      </c>
      <c r="F63" s="1295">
        <f t="shared" ref="F63:X63" si="21">F79</f>
        <v>0</v>
      </c>
      <c r="G63" s="1295">
        <f t="shared" si="21"/>
        <v>0</v>
      </c>
      <c r="H63" s="1295">
        <f t="shared" si="21"/>
        <v>0</v>
      </c>
      <c r="I63" s="1295">
        <f t="shared" si="21"/>
        <v>0</v>
      </c>
      <c r="J63" s="1295">
        <f t="shared" si="21"/>
        <v>0</v>
      </c>
      <c r="K63" s="1295">
        <f t="shared" si="21"/>
        <v>0</v>
      </c>
      <c r="L63" s="1295">
        <f t="shared" si="21"/>
        <v>0</v>
      </c>
      <c r="M63" s="1295">
        <f t="shared" si="21"/>
        <v>0</v>
      </c>
      <c r="N63" s="1295">
        <f t="shared" si="21"/>
        <v>0</v>
      </c>
      <c r="O63" s="1295">
        <f t="shared" si="21"/>
        <v>-261.86535755338178</v>
      </c>
      <c r="P63" s="1295">
        <f t="shared" si="21"/>
        <v>-277.84134235673838</v>
      </c>
      <c r="Q63" s="1295">
        <f t="shared" si="21"/>
        <v>-294.79542087395174</v>
      </c>
      <c r="R63" s="1295">
        <f t="shared" si="21"/>
        <v>-312.78714414535267</v>
      </c>
      <c r="S63" s="1295">
        <f t="shared" si="21"/>
        <v>-331.87966493535708</v>
      </c>
      <c r="T63" s="1295">
        <f t="shared" si="21"/>
        <v>0</v>
      </c>
      <c r="U63" s="1295">
        <f t="shared" si="21"/>
        <v>0</v>
      </c>
      <c r="V63" s="1295">
        <f t="shared" si="21"/>
        <v>0</v>
      </c>
      <c r="W63" s="1295">
        <f t="shared" si="21"/>
        <v>0</v>
      </c>
      <c r="X63" s="1295">
        <f t="shared" si="21"/>
        <v>0</v>
      </c>
      <c r="Y63" s="1295">
        <f t="shared" ref="Y63" si="22">-Y79</f>
        <v>1479.1689298647816</v>
      </c>
      <c r="Z63" s="1301"/>
      <c r="AB63" s="1297">
        <f>SUM(E63:X63)*1000</f>
        <v>-1479168.9298647817</v>
      </c>
    </row>
    <row r="64" spans="2:28">
      <c r="B64" s="1279"/>
      <c r="C64" s="1280"/>
      <c r="D64" s="1295"/>
      <c r="E64" s="1295"/>
      <c r="F64" s="1295"/>
      <c r="G64" s="1295"/>
      <c r="H64" s="1295"/>
      <c r="I64" s="1295"/>
      <c r="J64" s="1295"/>
      <c r="K64" s="1295"/>
      <c r="L64" s="1295"/>
      <c r="M64" s="1295"/>
      <c r="N64" s="1295"/>
      <c r="O64" s="1295"/>
      <c r="P64" s="1295"/>
      <c r="Q64" s="1295"/>
      <c r="R64" s="1295"/>
      <c r="S64" s="1295"/>
      <c r="T64" s="1295"/>
      <c r="U64" s="1295"/>
      <c r="V64" s="1295"/>
      <c r="W64" s="1295"/>
      <c r="X64" s="1295"/>
      <c r="Y64" s="1295"/>
      <c r="Z64" s="1301"/>
      <c r="AB64" s="1297"/>
    </row>
    <row r="65" spans="2:28">
      <c r="B65" s="1279" t="s">
        <v>1040</v>
      </c>
      <c r="C65" s="1280"/>
      <c r="D65" s="1299">
        <f>D61+D63</f>
        <v>-7888.760858973922</v>
      </c>
      <c r="E65" s="1299">
        <f>E61+E63</f>
        <v>537.03202451940126</v>
      </c>
      <c r="F65" s="1299">
        <f t="shared" ref="F65:X65" si="23">F61+F63</f>
        <v>569.66203632863892</v>
      </c>
      <c r="G65" s="1299">
        <f t="shared" si="23"/>
        <v>604.29576010610776</v>
      </c>
      <c r="H65" s="1299">
        <f t="shared" si="23"/>
        <v>641.05562856596532</v>
      </c>
      <c r="I65" s="1299">
        <f t="shared" si="23"/>
        <v>680.07151126384144</v>
      </c>
      <c r="J65" s="1299">
        <f t="shared" si="23"/>
        <v>721.48116311108311</v>
      </c>
      <c r="K65" s="1299">
        <f t="shared" si="23"/>
        <v>765.4306997031274</v>
      </c>
      <c r="L65" s="1299">
        <f t="shared" si="23"/>
        <v>812.0751010476738</v>
      </c>
      <c r="M65" s="1299">
        <f t="shared" si="23"/>
        <v>861.57874537080465</v>
      </c>
      <c r="N65" s="1299">
        <f t="shared" si="23"/>
        <v>914.11597477697569</v>
      </c>
      <c r="O65" s="1299">
        <f t="shared" si="23"/>
        <v>708.00633708877285</v>
      </c>
      <c r="P65" s="1299">
        <f t="shared" si="23"/>
        <v>751.20066637192235</v>
      </c>
      <c r="Q65" s="1299">
        <f t="shared" si="23"/>
        <v>797.03947125179525</v>
      </c>
      <c r="R65" s="1299">
        <f t="shared" si="23"/>
        <v>845.68376009669419</v>
      </c>
      <c r="S65" s="1299">
        <f t="shared" si="23"/>
        <v>897.304279269669</v>
      </c>
      <c r="T65" s="1299">
        <f t="shared" si="23"/>
        <v>0</v>
      </c>
      <c r="U65" s="1299">
        <f t="shared" si="23"/>
        <v>0</v>
      </c>
      <c r="V65" s="1299">
        <f t="shared" si="23"/>
        <v>0</v>
      </c>
      <c r="W65" s="1299">
        <f t="shared" si="23"/>
        <v>0</v>
      </c>
      <c r="X65" s="1299">
        <f t="shared" si="23"/>
        <v>0</v>
      </c>
      <c r="Y65" s="1299">
        <f t="shared" ref="Y65" si="24">SUM(O65:X65)</f>
        <v>3999.2345140788539</v>
      </c>
      <c r="Z65" s="1301"/>
      <c r="AB65" s="1300">
        <f>SUM(E65:X65)*1000</f>
        <v>11106033.15887247</v>
      </c>
    </row>
    <row r="66" spans="2:28">
      <c r="B66" s="1279"/>
      <c r="C66" s="1280"/>
      <c r="D66" s="1295"/>
      <c r="E66" s="1295"/>
      <c r="F66" s="1295"/>
      <c r="G66" s="1295"/>
      <c r="H66" s="1295"/>
      <c r="I66" s="1295"/>
      <c r="J66" s="1295"/>
      <c r="K66" s="1295"/>
      <c r="L66" s="1295"/>
      <c r="M66" s="1295"/>
      <c r="N66" s="1295"/>
      <c r="O66" s="1295"/>
      <c r="P66" s="1295"/>
      <c r="Q66" s="1295"/>
      <c r="R66" s="1295"/>
      <c r="S66" s="1295"/>
      <c r="T66" s="1295"/>
      <c r="U66" s="1295"/>
      <c r="V66" s="1295"/>
      <c r="W66" s="1295"/>
      <c r="X66" s="1295"/>
      <c r="Y66" s="1295"/>
      <c r="Z66" s="1301"/>
      <c r="AB66" s="1297"/>
    </row>
    <row r="67" spans="2:28">
      <c r="B67" s="1279" t="s">
        <v>1041</v>
      </c>
      <c r="C67" s="1280"/>
      <c r="D67" s="1302"/>
      <c r="E67" s="1302">
        <f>D65+E65</f>
        <v>-7351.7288344545204</v>
      </c>
      <c r="F67" s="1302">
        <f>E67+F65</f>
        <v>-6782.0667981258812</v>
      </c>
      <c r="G67" s="1302">
        <f t="shared" ref="G67:X67" si="25">F67+G65</f>
        <v>-6177.7710380197732</v>
      </c>
      <c r="H67" s="1302">
        <f t="shared" si="25"/>
        <v>-5536.7154094538082</v>
      </c>
      <c r="I67" s="1302">
        <f t="shared" si="25"/>
        <v>-4856.6438981899664</v>
      </c>
      <c r="J67" s="1302">
        <f t="shared" si="25"/>
        <v>-4135.1627350788831</v>
      </c>
      <c r="K67" s="1302">
        <f t="shared" si="25"/>
        <v>-3369.7320353757559</v>
      </c>
      <c r="L67" s="1302">
        <f t="shared" si="25"/>
        <v>-2557.6569343280821</v>
      </c>
      <c r="M67" s="1302">
        <f t="shared" si="25"/>
        <v>-1696.0781889572775</v>
      </c>
      <c r="N67" s="1302">
        <f t="shared" si="25"/>
        <v>-781.96221418030177</v>
      </c>
      <c r="O67" s="1302">
        <f t="shared" si="25"/>
        <v>-73.955877091528919</v>
      </c>
      <c r="P67" s="1302">
        <f t="shared" si="25"/>
        <v>677.24478928039343</v>
      </c>
      <c r="Q67" s="1302">
        <f t="shared" si="25"/>
        <v>1474.2842605321887</v>
      </c>
      <c r="R67" s="1302">
        <f t="shared" si="25"/>
        <v>2319.9680206288831</v>
      </c>
      <c r="S67" s="1302">
        <f t="shared" si="25"/>
        <v>3217.2722998985519</v>
      </c>
      <c r="T67" s="1302">
        <f t="shared" si="25"/>
        <v>3217.2722998985519</v>
      </c>
      <c r="U67" s="1302">
        <f t="shared" si="25"/>
        <v>3217.2722998985519</v>
      </c>
      <c r="V67" s="1302">
        <f t="shared" si="25"/>
        <v>3217.2722998985519</v>
      </c>
      <c r="W67" s="1302">
        <f t="shared" si="25"/>
        <v>3217.2722998985519</v>
      </c>
      <c r="X67" s="1302">
        <f t="shared" si="25"/>
        <v>3217.2722998985519</v>
      </c>
      <c r="Y67" s="1303">
        <f>X67</f>
        <v>3217.2722998985519</v>
      </c>
      <c r="Z67" s="1301"/>
      <c r="AA67" s="1234"/>
      <c r="AB67" s="1304">
        <f>Y67*1000</f>
        <v>3217272.2998985518</v>
      </c>
    </row>
    <row r="68" spans="2:28">
      <c r="B68" s="1279"/>
      <c r="C68" s="1280"/>
      <c r="D68" s="1287"/>
      <c r="E68" s="1287"/>
      <c r="F68" s="1287"/>
      <c r="G68" s="1287"/>
      <c r="H68" s="1287"/>
      <c r="I68" s="1287"/>
      <c r="J68" s="1287"/>
      <c r="K68" s="1287"/>
      <c r="L68" s="1287"/>
      <c r="M68" s="1287"/>
      <c r="N68" s="1287"/>
      <c r="O68" s="1287"/>
      <c r="P68" s="1287"/>
      <c r="Q68" s="1287"/>
      <c r="R68" s="1287"/>
      <c r="S68" s="1287"/>
      <c r="T68" s="1287"/>
      <c r="U68" s="1287"/>
      <c r="V68" s="1287"/>
      <c r="W68" s="1287"/>
      <c r="X68" s="1287"/>
      <c r="Y68" s="1287"/>
      <c r="Z68" s="1301"/>
      <c r="AB68" s="1288"/>
    </row>
    <row r="69" spans="2:28">
      <c r="B69" s="1279" t="s">
        <v>1042</v>
      </c>
      <c r="C69" s="1280"/>
      <c r="D69" s="1305">
        <f>IRR(D61:X61)</f>
        <v>5.5860451916288856E-2</v>
      </c>
      <c r="E69" s="1287"/>
      <c r="F69" s="1287"/>
      <c r="G69" s="1287"/>
      <c r="H69" s="1287"/>
      <c r="I69" s="1287"/>
      <c r="J69" s="1287"/>
      <c r="K69" s="1287"/>
      <c r="L69" s="1287"/>
      <c r="M69" s="1287"/>
      <c r="N69" s="1287"/>
      <c r="O69" s="1287"/>
      <c r="P69" s="1287"/>
      <c r="Q69" s="1287"/>
      <c r="R69" s="1287"/>
      <c r="S69" s="1287"/>
      <c r="T69" s="1287"/>
      <c r="U69" s="1287"/>
      <c r="V69" s="1287"/>
      <c r="W69" s="1287"/>
      <c r="X69" s="1287"/>
      <c r="Y69" s="1287"/>
      <c r="Z69" s="1301"/>
      <c r="AB69" s="1288"/>
    </row>
    <row r="70" spans="2:28">
      <c r="B70" s="1279" t="s">
        <v>1043</v>
      </c>
      <c r="C70" s="1280"/>
      <c r="D70" s="1305">
        <f>IRR(D65:X65)</f>
        <v>4.2684634686251943E-2</v>
      </c>
      <c r="E70" s="1280"/>
      <c r="F70" s="1280"/>
      <c r="G70" s="1280"/>
      <c r="H70" s="1280"/>
      <c r="I70" s="1280"/>
      <c r="J70" s="1280"/>
      <c r="K70" s="1280"/>
      <c r="L70" s="1280"/>
      <c r="M70" s="1280"/>
      <c r="N70" s="1280"/>
      <c r="O70" s="1280"/>
      <c r="P70" s="1280"/>
      <c r="Q70" s="1280"/>
      <c r="R70" s="1280"/>
      <c r="S70" s="1280"/>
      <c r="T70" s="1280"/>
      <c r="U70" s="1280"/>
      <c r="V70" s="1280"/>
      <c r="W70" s="1280"/>
      <c r="X70" s="1280"/>
      <c r="Y70" s="1280"/>
      <c r="Z70" s="1281"/>
      <c r="AB70" s="1282"/>
    </row>
    <row r="71" spans="2:28">
      <c r="B71" s="1279" t="s">
        <v>1044</v>
      </c>
      <c r="C71" s="1280"/>
      <c r="D71" s="1306">
        <f>NPV(12%*0.73,D65:X65)*1000</f>
        <v>-1953629.3253163726</v>
      </c>
      <c r="E71" s="1280"/>
      <c r="F71" s="1280"/>
      <c r="G71" s="1280"/>
      <c r="H71" s="1280"/>
      <c r="I71" s="1280"/>
      <c r="J71" s="1280"/>
      <c r="K71" s="1280"/>
      <c r="L71" s="1280"/>
      <c r="M71" s="1280"/>
      <c r="N71" s="1280"/>
      <c r="O71" s="1280"/>
      <c r="P71" s="1280"/>
      <c r="Q71" s="1280"/>
      <c r="R71" s="1280"/>
      <c r="S71" s="1280"/>
      <c r="T71" s="1280"/>
      <c r="U71" s="1280"/>
      <c r="V71" s="1280"/>
      <c r="W71" s="1280"/>
      <c r="X71" s="1280"/>
      <c r="Y71" s="1280"/>
      <c r="Z71" s="1281"/>
      <c r="AB71" s="1282"/>
    </row>
    <row r="72" spans="2:28">
      <c r="B72" s="1279"/>
      <c r="C72" s="1280"/>
      <c r="D72" s="1307"/>
      <c r="E72" s="1280"/>
      <c r="F72" s="1280"/>
      <c r="G72" s="1280"/>
      <c r="H72" s="1280"/>
      <c r="I72" s="1280"/>
      <c r="J72" s="1280"/>
      <c r="K72" s="1280"/>
      <c r="L72" s="1280"/>
      <c r="M72" s="1280"/>
      <c r="N72" s="1280"/>
      <c r="O72" s="1280"/>
      <c r="P72" s="1280"/>
      <c r="Q72" s="1280"/>
      <c r="R72" s="1280"/>
      <c r="S72" s="1280"/>
      <c r="T72" s="1280"/>
      <c r="U72" s="1280"/>
      <c r="V72" s="1280"/>
      <c r="W72" s="1280"/>
      <c r="X72" s="1280"/>
      <c r="Y72" s="1280"/>
      <c r="Z72" s="1281"/>
      <c r="AB72" s="1282"/>
    </row>
    <row r="73" spans="2:28">
      <c r="B73" s="1279" t="s">
        <v>1045</v>
      </c>
      <c r="C73" s="1280"/>
      <c r="D73" s="1307"/>
      <c r="E73" s="1280"/>
      <c r="F73" s="1280"/>
      <c r="G73" s="1280"/>
      <c r="H73" s="1280"/>
      <c r="I73" s="1280"/>
      <c r="J73" s="1280"/>
      <c r="K73" s="1280"/>
      <c r="L73" s="1280"/>
      <c r="M73" s="1280"/>
      <c r="N73" s="1280"/>
      <c r="O73" s="1280"/>
      <c r="P73" s="1280"/>
      <c r="Q73" s="1280"/>
      <c r="R73" s="1280"/>
      <c r="S73" s="1280"/>
      <c r="T73" s="1280"/>
      <c r="U73" s="1280"/>
      <c r="V73" s="1280"/>
      <c r="W73" s="1280"/>
      <c r="X73" s="1280"/>
      <c r="Y73" s="1280"/>
      <c r="Z73" s="1281"/>
      <c r="AB73" s="1282"/>
    </row>
    <row r="74" spans="2:28">
      <c r="B74" s="1279"/>
      <c r="C74" s="1280"/>
      <c r="D74" s="1307"/>
      <c r="E74" s="1280"/>
      <c r="F74" s="1280"/>
      <c r="G74" s="1280"/>
      <c r="H74" s="1280"/>
      <c r="I74" s="1280"/>
      <c r="J74" s="1280"/>
      <c r="K74" s="1280"/>
      <c r="L74" s="1280"/>
      <c r="M74" s="1280"/>
      <c r="N74" s="1280"/>
      <c r="O74" s="1280"/>
      <c r="P74" s="1280"/>
      <c r="Q74" s="1280"/>
      <c r="R74" s="1280"/>
      <c r="S74" s="1280"/>
      <c r="T74" s="1280"/>
      <c r="U74" s="1280"/>
      <c r="V74" s="1280"/>
      <c r="W74" s="1280"/>
      <c r="X74" s="1280"/>
      <c r="Y74" s="1280"/>
      <c r="Z74" s="1281"/>
      <c r="AB74" s="1282"/>
    </row>
    <row r="75" spans="2:28">
      <c r="B75" s="1279" t="s">
        <v>1046</v>
      </c>
      <c r="C75" s="1280"/>
      <c r="D75" s="1307"/>
      <c r="E75" s="1295"/>
      <c r="F75" s="1295">
        <f>E78</f>
        <v>-7351.7288344545204</v>
      </c>
      <c r="G75" s="1295">
        <f t="shared" ref="G75:X75" si="26">F78</f>
        <v>-6782.0667981258812</v>
      </c>
      <c r="H75" s="1295">
        <f t="shared" si="26"/>
        <v>-6177.7710380197732</v>
      </c>
      <c r="I75" s="1295">
        <f t="shared" si="26"/>
        <v>-5536.7154094538082</v>
      </c>
      <c r="J75" s="1295">
        <f t="shared" si="26"/>
        <v>-4856.6438981899664</v>
      </c>
      <c r="K75" s="1295">
        <f t="shared" si="26"/>
        <v>-4135.1627350788831</v>
      </c>
      <c r="L75" s="1295">
        <f t="shared" si="26"/>
        <v>-3369.7320353757559</v>
      </c>
      <c r="M75" s="1295">
        <f t="shared" si="26"/>
        <v>-2557.6569343280821</v>
      </c>
      <c r="N75" s="1295">
        <f t="shared" si="26"/>
        <v>-1696.0781889572775</v>
      </c>
      <c r="O75" s="1295">
        <f t="shared" si="26"/>
        <v>-781.96221418030177</v>
      </c>
      <c r="P75" s="1295">
        <f t="shared" si="26"/>
        <v>187.90948046185292</v>
      </c>
      <c r="Q75" s="1295">
        <f t="shared" si="26"/>
        <v>1216.9514891905137</v>
      </c>
      <c r="R75" s="1295">
        <f t="shared" si="26"/>
        <v>2308.7863813162608</v>
      </c>
      <c r="S75" s="1295">
        <f t="shared" si="26"/>
        <v>3467.2572855583076</v>
      </c>
      <c r="T75" s="1295">
        <f t="shared" si="26"/>
        <v>4696.4412297633335</v>
      </c>
      <c r="U75" s="1295">
        <f t="shared" si="26"/>
        <v>4696.4412297633335</v>
      </c>
      <c r="V75" s="1295">
        <f t="shared" si="26"/>
        <v>4696.4412297633335</v>
      </c>
      <c r="W75" s="1295">
        <f t="shared" si="26"/>
        <v>4696.4412297633335</v>
      </c>
      <c r="X75" s="1295">
        <f t="shared" si="26"/>
        <v>4696.4412297633335</v>
      </c>
      <c r="Y75" s="1295">
        <f t="shared" ref="Y75:Y79" si="27">SUM(O75:X75)</f>
        <v>29881.148571163299</v>
      </c>
      <c r="Z75" s="1281"/>
      <c r="AB75" s="1297"/>
    </row>
    <row r="76" spans="2:28">
      <c r="B76" s="1279" t="s">
        <v>1047</v>
      </c>
      <c r="C76" s="1280"/>
      <c r="D76" s="1307"/>
      <c r="E76" s="1295">
        <f>D56</f>
        <v>-7888.760858973922</v>
      </c>
      <c r="F76" s="1295"/>
      <c r="G76" s="1295"/>
      <c r="H76" s="1295"/>
      <c r="I76" s="1295"/>
      <c r="J76" s="1295"/>
      <c r="K76" s="1295"/>
      <c r="L76" s="1295"/>
      <c r="M76" s="1295"/>
      <c r="N76" s="1295"/>
      <c r="O76" s="1295"/>
      <c r="P76" s="1295"/>
      <c r="Q76" s="1295"/>
      <c r="R76" s="1295"/>
      <c r="S76" s="1295"/>
      <c r="T76" s="1295"/>
      <c r="U76" s="1295"/>
      <c r="V76" s="1295"/>
      <c r="W76" s="1295"/>
      <c r="X76" s="1295"/>
      <c r="Y76" s="1295">
        <f t="shared" si="27"/>
        <v>0</v>
      </c>
      <c r="Z76" s="1281"/>
      <c r="AB76" s="1297"/>
    </row>
    <row r="77" spans="2:28">
      <c r="B77" s="1279" t="s">
        <v>1048</v>
      </c>
      <c r="C77" s="1280"/>
      <c r="D77" s="1307"/>
      <c r="E77" s="1308">
        <f>E61</f>
        <v>537.03202451940126</v>
      </c>
      <c r="F77" s="1308">
        <f t="shared" ref="F77:Y77" si="28">F61</f>
        <v>569.66203632863892</v>
      </c>
      <c r="G77" s="1308">
        <f t="shared" si="28"/>
        <v>604.29576010610776</v>
      </c>
      <c r="H77" s="1308">
        <f t="shared" si="28"/>
        <v>641.05562856596532</v>
      </c>
      <c r="I77" s="1308">
        <f t="shared" si="28"/>
        <v>680.07151126384144</v>
      </c>
      <c r="J77" s="1308">
        <f t="shared" si="28"/>
        <v>721.48116311108311</v>
      </c>
      <c r="K77" s="1308">
        <f t="shared" si="28"/>
        <v>765.4306997031274</v>
      </c>
      <c r="L77" s="1308">
        <f t="shared" si="28"/>
        <v>812.0751010476738</v>
      </c>
      <c r="M77" s="1308">
        <f t="shared" si="28"/>
        <v>861.57874537080465</v>
      </c>
      <c r="N77" s="1308">
        <f t="shared" si="28"/>
        <v>914.11597477697569</v>
      </c>
      <c r="O77" s="1308">
        <f t="shared" si="28"/>
        <v>969.87169464215469</v>
      </c>
      <c r="P77" s="1308">
        <f t="shared" si="28"/>
        <v>1029.0420087286607</v>
      </c>
      <c r="Q77" s="1308">
        <f t="shared" si="28"/>
        <v>1091.834892125747</v>
      </c>
      <c r="R77" s="1308">
        <f t="shared" si="28"/>
        <v>1158.4709042420468</v>
      </c>
      <c r="S77" s="1308">
        <f t="shared" si="28"/>
        <v>1229.1839442050261</v>
      </c>
      <c r="T77" s="1308">
        <f t="shared" si="28"/>
        <v>0</v>
      </c>
      <c r="U77" s="1308">
        <f t="shared" si="28"/>
        <v>0</v>
      </c>
      <c r="V77" s="1308">
        <f t="shared" si="28"/>
        <v>0</v>
      </c>
      <c r="W77" s="1308">
        <f t="shared" si="28"/>
        <v>0</v>
      </c>
      <c r="X77" s="1308">
        <f t="shared" si="28"/>
        <v>0</v>
      </c>
      <c r="Y77" s="1308">
        <f t="shared" si="28"/>
        <v>5478.4034439436346</v>
      </c>
      <c r="Z77" s="1281"/>
      <c r="AB77" s="1309"/>
    </row>
    <row r="78" spans="2:28">
      <c r="B78" s="1279" t="s">
        <v>966</v>
      </c>
      <c r="C78" s="1280"/>
      <c r="D78" s="1307"/>
      <c r="E78" s="1295">
        <f>SUM(E75:E77)</f>
        <v>-7351.7288344545204</v>
      </c>
      <c r="F78" s="1295">
        <f>SUM(F75:F77)</f>
        <v>-6782.0667981258812</v>
      </c>
      <c r="G78" s="1295">
        <f t="shared" ref="G78:X78" si="29">SUM(G75:G77)</f>
        <v>-6177.7710380197732</v>
      </c>
      <c r="H78" s="1295">
        <f t="shared" si="29"/>
        <v>-5536.7154094538082</v>
      </c>
      <c r="I78" s="1295">
        <f t="shared" si="29"/>
        <v>-4856.6438981899664</v>
      </c>
      <c r="J78" s="1295">
        <f t="shared" si="29"/>
        <v>-4135.1627350788831</v>
      </c>
      <c r="K78" s="1295">
        <f t="shared" si="29"/>
        <v>-3369.7320353757559</v>
      </c>
      <c r="L78" s="1295">
        <f t="shared" si="29"/>
        <v>-2557.6569343280821</v>
      </c>
      <c r="M78" s="1295">
        <f t="shared" si="29"/>
        <v>-1696.0781889572775</v>
      </c>
      <c r="N78" s="1295">
        <f t="shared" si="29"/>
        <v>-781.96221418030177</v>
      </c>
      <c r="O78" s="1295">
        <f t="shared" si="29"/>
        <v>187.90948046185292</v>
      </c>
      <c r="P78" s="1295">
        <f t="shared" si="29"/>
        <v>1216.9514891905137</v>
      </c>
      <c r="Q78" s="1295">
        <f t="shared" si="29"/>
        <v>2308.7863813162608</v>
      </c>
      <c r="R78" s="1295">
        <f t="shared" si="29"/>
        <v>3467.2572855583076</v>
      </c>
      <c r="S78" s="1295">
        <f t="shared" si="29"/>
        <v>4696.4412297633335</v>
      </c>
      <c r="T78" s="1295">
        <f t="shared" si="29"/>
        <v>4696.4412297633335</v>
      </c>
      <c r="U78" s="1295">
        <f t="shared" si="29"/>
        <v>4696.4412297633335</v>
      </c>
      <c r="V78" s="1295">
        <f t="shared" si="29"/>
        <v>4696.4412297633335</v>
      </c>
      <c r="W78" s="1295">
        <f t="shared" si="29"/>
        <v>4696.4412297633335</v>
      </c>
      <c r="X78" s="1295">
        <f t="shared" si="29"/>
        <v>4696.4412297633335</v>
      </c>
      <c r="Y78" s="1295">
        <f t="shared" si="27"/>
        <v>35359.552015106929</v>
      </c>
      <c r="Z78" s="1281"/>
      <c r="AB78" s="1297"/>
    </row>
    <row r="79" spans="2:28" ht="12.5" thickBot="1">
      <c r="B79" s="1279" t="s">
        <v>1049</v>
      </c>
      <c r="C79" s="1280"/>
      <c r="D79" s="1307"/>
      <c r="E79" s="1310">
        <f>-IF(E78&lt;0,0,E77*27%)</f>
        <v>0</v>
      </c>
      <c r="F79" s="1310">
        <f t="shared" ref="F79:X79" si="30">-IF(F78&lt;0,0,F77*27%)</f>
        <v>0</v>
      </c>
      <c r="G79" s="1310">
        <f t="shared" si="30"/>
        <v>0</v>
      </c>
      <c r="H79" s="1310">
        <f t="shared" si="30"/>
        <v>0</v>
      </c>
      <c r="I79" s="1310">
        <f t="shared" si="30"/>
        <v>0</v>
      </c>
      <c r="J79" s="1310">
        <f t="shared" si="30"/>
        <v>0</v>
      </c>
      <c r="K79" s="1310">
        <f t="shared" si="30"/>
        <v>0</v>
      </c>
      <c r="L79" s="1310">
        <f t="shared" si="30"/>
        <v>0</v>
      </c>
      <c r="M79" s="1310">
        <f t="shared" si="30"/>
        <v>0</v>
      </c>
      <c r="N79" s="1310">
        <f t="shared" si="30"/>
        <v>0</v>
      </c>
      <c r="O79" s="1310">
        <f t="shared" si="30"/>
        <v>-261.86535755338178</v>
      </c>
      <c r="P79" s="1310">
        <f t="shared" si="30"/>
        <v>-277.84134235673838</v>
      </c>
      <c r="Q79" s="1310">
        <f t="shared" si="30"/>
        <v>-294.79542087395174</v>
      </c>
      <c r="R79" s="1310">
        <f>-IF(R78&lt;0,0,R77*27%)</f>
        <v>-312.78714414535267</v>
      </c>
      <c r="S79" s="1310">
        <f t="shared" si="30"/>
        <v>-331.87966493535708</v>
      </c>
      <c r="T79" s="1310">
        <f t="shared" si="30"/>
        <v>0</v>
      </c>
      <c r="U79" s="1310">
        <f t="shared" si="30"/>
        <v>0</v>
      </c>
      <c r="V79" s="1310">
        <f t="shared" si="30"/>
        <v>0</v>
      </c>
      <c r="W79" s="1310">
        <f t="shared" si="30"/>
        <v>0</v>
      </c>
      <c r="X79" s="1310">
        <f t="shared" si="30"/>
        <v>0</v>
      </c>
      <c r="Y79" s="1310">
        <f t="shared" si="27"/>
        <v>-1479.1689298647816</v>
      </c>
      <c r="Z79" s="1281"/>
      <c r="AB79" s="1311"/>
    </row>
    <row r="80" spans="2:28" ht="12.5" thickTop="1">
      <c r="B80" s="1279"/>
      <c r="C80" s="1280"/>
      <c r="D80" s="1307"/>
      <c r="E80" s="1312"/>
      <c r="F80" s="1312"/>
      <c r="G80" s="1312"/>
      <c r="H80" s="1312"/>
      <c r="I80" s="1312"/>
      <c r="J80" s="1312"/>
      <c r="K80" s="1312"/>
      <c r="L80" s="1312"/>
      <c r="M80" s="1312"/>
      <c r="N80" s="1312"/>
      <c r="O80" s="1312"/>
      <c r="P80" s="1312"/>
      <c r="Q80" s="1312"/>
      <c r="R80" s="1312"/>
      <c r="S80" s="1312"/>
      <c r="T80" s="1312"/>
      <c r="U80" s="1312"/>
      <c r="V80" s="1312"/>
      <c r="W80" s="1312"/>
      <c r="X80" s="1312"/>
      <c r="Y80" s="1312"/>
      <c r="Z80" s="1281"/>
      <c r="AB80" s="1313"/>
    </row>
    <row r="81" spans="2:28" ht="12.5" thickBot="1">
      <c r="B81" s="1314"/>
      <c r="C81" s="1315"/>
      <c r="D81" s="1316"/>
      <c r="E81" s="1317"/>
      <c r="F81" s="1317"/>
      <c r="G81" s="1317"/>
      <c r="H81" s="1317"/>
      <c r="I81" s="1317"/>
      <c r="J81" s="1317"/>
      <c r="K81" s="1317"/>
      <c r="L81" s="1317"/>
      <c r="M81" s="1317"/>
      <c r="N81" s="1317"/>
      <c r="O81" s="1317"/>
      <c r="P81" s="1317"/>
      <c r="Q81" s="1317"/>
      <c r="R81" s="1317"/>
      <c r="S81" s="1317"/>
      <c r="T81" s="1317"/>
      <c r="U81" s="1317"/>
      <c r="V81" s="1317"/>
      <c r="W81" s="1317"/>
      <c r="X81" s="1317"/>
      <c r="Y81" s="1317"/>
      <c r="Z81" s="1318"/>
      <c r="AB81" s="1319"/>
    </row>
    <row r="82" spans="2:28">
      <c r="B82" s="1246"/>
      <c r="C82" s="1246"/>
      <c r="D82" s="1239"/>
      <c r="E82" s="1239"/>
      <c r="F82" s="1239"/>
      <c r="G82" s="1239"/>
      <c r="H82" s="1239"/>
      <c r="I82" s="1239"/>
      <c r="J82" s="1239"/>
      <c r="K82" s="1239"/>
      <c r="L82" s="1239"/>
      <c r="M82" s="1239"/>
      <c r="N82" s="1239"/>
      <c r="O82" s="1239"/>
      <c r="P82" s="1239"/>
      <c r="Q82" s="1239"/>
      <c r="R82" s="1239"/>
      <c r="S82" s="1239"/>
      <c r="T82" s="1239"/>
      <c r="U82" s="1239"/>
      <c r="V82" s="1239"/>
      <c r="W82" s="1239"/>
      <c r="X82" s="1239"/>
      <c r="Y82" s="1239"/>
      <c r="Z82" s="1239"/>
      <c r="AB82" s="1239"/>
    </row>
    <row r="83" spans="2:28" ht="12" customHeight="1">
      <c r="B83" s="1219" t="s">
        <v>1050</v>
      </c>
      <c r="C83" s="1219"/>
      <c r="D83" s="1219"/>
      <c r="E83" s="1320"/>
      <c r="F83" s="1321"/>
      <c r="G83" s="1321"/>
      <c r="H83" s="1321"/>
      <c r="I83" s="1321"/>
      <c r="J83" s="1321"/>
      <c r="K83" s="1321"/>
      <c r="L83" s="1321"/>
      <c r="M83" s="1321"/>
      <c r="N83" s="1321"/>
      <c r="O83" s="1321"/>
      <c r="P83" s="1321"/>
      <c r="Q83" s="1321"/>
      <c r="R83" s="1321"/>
      <c r="S83" s="1321"/>
      <c r="T83" s="1321"/>
      <c r="U83" s="1321"/>
      <c r="V83" s="1321"/>
      <c r="W83" s="1321"/>
      <c r="X83" s="1321"/>
      <c r="Y83" s="1321"/>
      <c r="Z83" s="1322"/>
      <c r="AA83" s="1322"/>
      <c r="AB83" s="1323"/>
    </row>
    <row r="84" spans="2:28" ht="12.5" thickBot="1">
      <c r="B84" s="1219"/>
      <c r="C84" s="1219"/>
      <c r="D84" s="1219"/>
      <c r="E84" s="1320"/>
      <c r="F84" s="1321"/>
      <c r="G84" s="1321"/>
      <c r="H84" s="1321"/>
      <c r="I84" s="1321"/>
      <c r="J84" s="1321"/>
      <c r="K84" s="1321"/>
      <c r="L84" s="1321"/>
      <c r="M84" s="1321"/>
      <c r="N84" s="1321"/>
      <c r="O84" s="1321"/>
      <c r="P84" s="1321"/>
      <c r="Q84" s="1321"/>
      <c r="R84" s="1321"/>
      <c r="S84" s="1321"/>
      <c r="T84" s="1321"/>
      <c r="U84" s="1321"/>
      <c r="V84" s="1321"/>
      <c r="W84" s="1321"/>
      <c r="X84" s="1321"/>
      <c r="Y84" s="1322"/>
      <c r="Z84" s="1324"/>
      <c r="AA84" s="1322"/>
      <c r="AB84" s="1322"/>
    </row>
    <row r="85" spans="2:28">
      <c r="B85" s="1325" t="s">
        <v>1051</v>
      </c>
      <c r="C85" s="1326"/>
      <c r="D85" s="1327">
        <f t="shared" ref="D85:X85" si="31">D65</f>
        <v>-7888.760858973922</v>
      </c>
      <c r="E85" s="1327">
        <f t="shared" si="31"/>
        <v>537.03202451940126</v>
      </c>
      <c r="F85" s="1327">
        <f t="shared" si="31"/>
        <v>569.66203632863892</v>
      </c>
      <c r="G85" s="1327">
        <f t="shared" si="31"/>
        <v>604.29576010610776</v>
      </c>
      <c r="H85" s="1327">
        <f t="shared" si="31"/>
        <v>641.05562856596532</v>
      </c>
      <c r="I85" s="1327">
        <f t="shared" si="31"/>
        <v>680.07151126384144</v>
      </c>
      <c r="J85" s="1327">
        <f t="shared" si="31"/>
        <v>721.48116311108311</v>
      </c>
      <c r="K85" s="1327">
        <f t="shared" si="31"/>
        <v>765.4306997031274</v>
      </c>
      <c r="L85" s="1327">
        <f t="shared" si="31"/>
        <v>812.0751010476738</v>
      </c>
      <c r="M85" s="1327">
        <f t="shared" si="31"/>
        <v>861.57874537080465</v>
      </c>
      <c r="N85" s="1327">
        <f t="shared" si="31"/>
        <v>914.11597477697569</v>
      </c>
      <c r="O85" s="1327">
        <f t="shared" si="31"/>
        <v>708.00633708877285</v>
      </c>
      <c r="P85" s="1327">
        <f t="shared" si="31"/>
        <v>751.20066637192235</v>
      </c>
      <c r="Q85" s="1327">
        <f t="shared" si="31"/>
        <v>797.03947125179525</v>
      </c>
      <c r="R85" s="1327">
        <f t="shared" si="31"/>
        <v>845.68376009669419</v>
      </c>
      <c r="S85" s="1327">
        <f t="shared" si="31"/>
        <v>897.304279269669</v>
      </c>
      <c r="T85" s="1327">
        <f t="shared" si="31"/>
        <v>0</v>
      </c>
      <c r="U85" s="1327">
        <f t="shared" si="31"/>
        <v>0</v>
      </c>
      <c r="V85" s="1327">
        <f t="shared" si="31"/>
        <v>0</v>
      </c>
      <c r="W85" s="1327">
        <f t="shared" si="31"/>
        <v>0</v>
      </c>
      <c r="X85" s="1328">
        <f t="shared" si="31"/>
        <v>0</v>
      </c>
      <c r="Y85" s="1322"/>
      <c r="Z85" s="1324"/>
      <c r="AA85" s="1322"/>
      <c r="AB85" s="1322"/>
    </row>
    <row r="86" spans="2:28">
      <c r="B86" s="1329"/>
      <c r="C86" s="1239"/>
      <c r="D86" s="1239"/>
      <c r="E86" s="1239"/>
      <c r="F86" s="1239"/>
      <c r="G86" s="1239"/>
      <c r="H86" s="1239"/>
      <c r="I86" s="1239"/>
      <c r="J86" s="1239"/>
      <c r="K86" s="1239"/>
      <c r="L86" s="1239"/>
      <c r="M86" s="1239"/>
      <c r="N86" s="1239"/>
      <c r="O86" s="1239"/>
      <c r="P86" s="1239"/>
      <c r="Q86" s="1239"/>
      <c r="R86" s="1239"/>
      <c r="S86" s="1239"/>
      <c r="T86" s="1239"/>
      <c r="U86" s="1239"/>
      <c r="V86" s="1239"/>
      <c r="W86" s="1239"/>
      <c r="X86" s="1330"/>
      <c r="Y86" s="1322"/>
      <c r="Z86" s="1324"/>
      <c r="AA86" s="1322"/>
      <c r="AB86" s="1331"/>
    </row>
    <row r="87" spans="2:28">
      <c r="B87" s="1332">
        <v>1</v>
      </c>
      <c r="C87" s="1333">
        <f>IRR(D87:X87)</f>
        <v>1.3390057761174137</v>
      </c>
      <c r="D87" s="1334">
        <f>D$85</f>
        <v>-7888.760858973922</v>
      </c>
      <c r="E87" s="1335">
        <f>VLOOKUP($B87,'[2]BuyOut Value'!$B$2:$F$23,5,FALSE)/1000+E$85</f>
        <v>18451.857215548971</v>
      </c>
      <c r="F87" s="1334"/>
      <c r="G87" s="1334"/>
      <c r="H87" s="1334"/>
      <c r="I87" s="1334"/>
      <c r="J87" s="1334"/>
      <c r="K87" s="1334"/>
      <c r="L87" s="1334"/>
      <c r="M87" s="1334"/>
      <c r="N87" s="1334"/>
      <c r="O87" s="1334"/>
      <c r="P87" s="1334"/>
      <c r="Q87" s="1334"/>
      <c r="R87" s="1334"/>
      <c r="S87" s="1334"/>
      <c r="T87" s="1334"/>
      <c r="U87" s="1334"/>
      <c r="V87" s="1334"/>
      <c r="W87" s="1334"/>
      <c r="X87" s="1336"/>
      <c r="Y87" s="1322"/>
      <c r="Z87" s="1322"/>
      <c r="AA87" s="1322"/>
      <c r="AB87" s="1322"/>
    </row>
    <row r="88" spans="2:28">
      <c r="B88" s="1332">
        <f>B87+1</f>
        <v>2</v>
      </c>
      <c r="C88" s="1333">
        <f t="shared" ref="C88:C106" si="32">IRR(D88:X88)</f>
        <v>0.61688217853171068</v>
      </c>
      <c r="D88" s="1334">
        <f t="shared" ref="D88:S105" si="33">D$85</f>
        <v>-7888.760858973922</v>
      </c>
      <c r="E88" s="1334">
        <f t="shared" si="33"/>
        <v>537.03202451940126</v>
      </c>
      <c r="F88" s="1335">
        <f>VLOOKUP($B88,'[2]BuyOut Value'!$B$2:$F$23,5,FALSE)/1000+F$85</f>
        <v>19755.332950291653</v>
      </c>
      <c r="G88" s="1334"/>
      <c r="H88" s="1334"/>
      <c r="I88" s="1334"/>
      <c r="J88" s="1334"/>
      <c r="K88" s="1334"/>
      <c r="L88" s="1334"/>
      <c r="M88" s="1334"/>
      <c r="N88" s="1334"/>
      <c r="O88" s="1334"/>
      <c r="P88" s="1334"/>
      <c r="Q88" s="1334"/>
      <c r="R88" s="1334"/>
      <c r="S88" s="1334"/>
      <c r="T88" s="1334"/>
      <c r="U88" s="1334"/>
      <c r="V88" s="1334"/>
      <c r="W88" s="1334"/>
      <c r="X88" s="1336"/>
      <c r="Y88" s="1322"/>
      <c r="Z88" s="1280"/>
      <c r="AA88" s="1322"/>
      <c r="AB88" s="1280"/>
    </row>
    <row r="89" spans="2:28">
      <c r="B89" s="1332">
        <f t="shared" ref="B89:B106" si="34">B88+1</f>
        <v>3</v>
      </c>
      <c r="C89" s="1333">
        <f t="shared" si="32"/>
        <v>0.4225997489170541</v>
      </c>
      <c r="D89" s="1334">
        <f t="shared" si="33"/>
        <v>-7888.760858973922</v>
      </c>
      <c r="E89" s="1334">
        <f t="shared" si="33"/>
        <v>537.03202451940126</v>
      </c>
      <c r="F89" s="1334">
        <f t="shared" si="33"/>
        <v>569.66203632863892</v>
      </c>
      <c r="G89" s="1335">
        <f>VLOOKUP($B89,'[2]BuyOut Value'!$B$2:$F$23,5,FALSE)/1000+G$85</f>
        <v>20814.84225707997</v>
      </c>
      <c r="H89" s="1334"/>
      <c r="I89" s="1334"/>
      <c r="J89" s="1334"/>
      <c r="K89" s="1334"/>
      <c r="L89" s="1334"/>
      <c r="M89" s="1334"/>
      <c r="N89" s="1334"/>
      <c r="O89" s="1334"/>
      <c r="P89" s="1334"/>
      <c r="Q89" s="1334"/>
      <c r="R89" s="1334"/>
      <c r="S89" s="1334"/>
      <c r="T89" s="1334"/>
      <c r="U89" s="1334"/>
      <c r="V89" s="1334"/>
      <c r="W89" s="1334"/>
      <c r="X89" s="1336"/>
      <c r="Y89" s="1322"/>
      <c r="Z89" s="1322"/>
      <c r="AA89" s="1322"/>
      <c r="AB89" s="1337"/>
    </row>
    <row r="90" spans="2:28">
      <c r="B90" s="1332">
        <f t="shared" si="34"/>
        <v>4</v>
      </c>
      <c r="C90" s="1333">
        <f t="shared" si="32"/>
        <v>0.3303080815116386</v>
      </c>
      <c r="D90" s="1334">
        <f t="shared" si="33"/>
        <v>-7888.760858973922</v>
      </c>
      <c r="E90" s="1334">
        <f t="shared" si="33"/>
        <v>537.03202451940126</v>
      </c>
      <c r="F90" s="1334">
        <f t="shared" si="33"/>
        <v>569.66203632863892</v>
      </c>
      <c r="G90" s="1334">
        <f t="shared" si="33"/>
        <v>604.29576010610776</v>
      </c>
      <c r="H90" s="1335">
        <f>VLOOKUP($B90,'[2]BuyOut Value'!$B$2:$F$23,5,FALSE)/1000+H$85</f>
        <v>21630.507568628072</v>
      </c>
      <c r="I90" s="1334"/>
      <c r="J90" s="1334"/>
      <c r="K90" s="1334"/>
      <c r="L90" s="1334"/>
      <c r="M90" s="1334"/>
      <c r="N90" s="1334"/>
      <c r="O90" s="1334"/>
      <c r="P90" s="1334"/>
      <c r="Q90" s="1334"/>
      <c r="R90" s="1334"/>
      <c r="S90" s="1334"/>
      <c r="T90" s="1334"/>
      <c r="U90" s="1334"/>
      <c r="V90" s="1334"/>
      <c r="W90" s="1334"/>
      <c r="X90" s="1336"/>
      <c r="Y90" s="1322"/>
      <c r="Z90" s="1322"/>
      <c r="AA90" s="1322"/>
      <c r="AB90" s="1324"/>
    </row>
    <row r="91" spans="2:28">
      <c r="B91" s="1332">
        <f t="shared" si="34"/>
        <v>5</v>
      </c>
      <c r="C91" s="1333">
        <f t="shared" si="32"/>
        <v>0.27522967319229208</v>
      </c>
      <c r="D91" s="1334">
        <f t="shared" si="33"/>
        <v>-7888.760858973922</v>
      </c>
      <c r="E91" s="1334">
        <f t="shared" si="33"/>
        <v>537.03202451940126</v>
      </c>
      <c r="F91" s="1334">
        <f t="shared" si="33"/>
        <v>569.66203632863892</v>
      </c>
      <c r="G91" s="1334">
        <f t="shared" si="33"/>
        <v>604.29576010610776</v>
      </c>
      <c r="H91" s="1334">
        <f t="shared" si="33"/>
        <v>641.05562856596532</v>
      </c>
      <c r="I91" s="1335">
        <f>VLOOKUP($B91,'[2]BuyOut Value'!$B$2:$F$23,5,FALSE)/1000+I$85</f>
        <v>22202.458754491585</v>
      </c>
      <c r="J91" s="1334"/>
      <c r="K91" s="1334"/>
      <c r="L91" s="1334"/>
      <c r="M91" s="1334"/>
      <c r="N91" s="1334"/>
      <c r="O91" s="1334"/>
      <c r="P91" s="1334"/>
      <c r="Q91" s="1334"/>
      <c r="R91" s="1334"/>
      <c r="S91" s="1334"/>
      <c r="T91" s="1334"/>
      <c r="U91" s="1334"/>
      <c r="V91" s="1334"/>
      <c r="W91" s="1334"/>
      <c r="X91" s="1336"/>
      <c r="Y91" s="1322"/>
      <c r="Z91" s="1322"/>
      <c r="AA91" s="1322"/>
      <c r="AB91" s="1324"/>
    </row>
    <row r="92" spans="2:28">
      <c r="B92" s="1332">
        <f t="shared" si="34"/>
        <v>6</v>
      </c>
      <c r="C92" s="1333">
        <f t="shared" si="32"/>
        <v>0.23800647854629831</v>
      </c>
      <c r="D92" s="1334">
        <f t="shared" si="33"/>
        <v>-7888.760858973922</v>
      </c>
      <c r="E92" s="1334">
        <f t="shared" si="33"/>
        <v>537.03202451940126</v>
      </c>
      <c r="F92" s="1334">
        <f t="shared" si="33"/>
        <v>569.66203632863892</v>
      </c>
      <c r="G92" s="1334">
        <f t="shared" si="33"/>
        <v>604.29576010610776</v>
      </c>
      <c r="H92" s="1334">
        <f t="shared" si="33"/>
        <v>641.05562856596532</v>
      </c>
      <c r="I92" s="1334">
        <f t="shared" si="33"/>
        <v>680.07151126384144</v>
      </c>
      <c r="J92" s="1335">
        <f>VLOOKUP($B92,'[2]BuyOut Value'!$B$2:$F$23,5,FALSE)/1000+J$85</f>
        <v>22530.833569581864</v>
      </c>
      <c r="K92" s="1334"/>
      <c r="L92" s="1334"/>
      <c r="M92" s="1334"/>
      <c r="N92" s="1334"/>
      <c r="O92" s="1334"/>
      <c r="P92" s="1334"/>
      <c r="Q92" s="1334"/>
      <c r="R92" s="1334"/>
      <c r="S92" s="1334"/>
      <c r="T92" s="1334"/>
      <c r="U92" s="1334"/>
      <c r="V92" s="1334"/>
      <c r="W92" s="1334"/>
      <c r="X92" s="1336"/>
      <c r="Y92" s="1322"/>
      <c r="Z92" s="1322"/>
      <c r="AA92" s="1322"/>
      <c r="AB92" s="1324"/>
    </row>
    <row r="93" spans="2:28">
      <c r="B93" s="1332">
        <f t="shared" si="34"/>
        <v>7</v>
      </c>
      <c r="C93" s="1333">
        <f t="shared" si="32"/>
        <v>0.21080782841078127</v>
      </c>
      <c r="D93" s="1334">
        <f t="shared" si="33"/>
        <v>-7888.760858973922</v>
      </c>
      <c r="E93" s="1334">
        <f t="shared" si="33"/>
        <v>537.03202451940126</v>
      </c>
      <c r="F93" s="1334">
        <f t="shared" si="33"/>
        <v>569.66203632863892</v>
      </c>
      <c r="G93" s="1334">
        <f t="shared" si="33"/>
        <v>604.29576010610776</v>
      </c>
      <c r="H93" s="1334">
        <f t="shared" si="33"/>
        <v>641.05562856596532</v>
      </c>
      <c r="I93" s="1334">
        <f t="shared" si="33"/>
        <v>680.07151126384144</v>
      </c>
      <c r="J93" s="1334">
        <f t="shared" si="33"/>
        <v>721.48116311108311</v>
      </c>
      <c r="K93" s="1335">
        <f>VLOOKUP($B93,'[2]BuyOut Value'!$B$2:$F$23,5,FALSE)/1000+K$85</f>
        <v>22615.778129494342</v>
      </c>
      <c r="L93" s="1334"/>
      <c r="M93" s="1334"/>
      <c r="N93" s="1334"/>
      <c r="O93" s="1334"/>
      <c r="P93" s="1334"/>
      <c r="Q93" s="1334"/>
      <c r="R93" s="1334"/>
      <c r="S93" s="1334"/>
      <c r="T93" s="1334"/>
      <c r="U93" s="1334"/>
      <c r="V93" s="1334"/>
      <c r="W93" s="1334"/>
      <c r="X93" s="1336"/>
      <c r="Y93" s="1322"/>
      <c r="Z93" s="1322"/>
      <c r="AA93" s="1322"/>
      <c r="AB93" s="1324"/>
    </row>
    <row r="94" spans="2:28">
      <c r="B94" s="1332">
        <f t="shared" si="34"/>
        <v>8</v>
      </c>
      <c r="C94" s="1333">
        <f t="shared" si="32"/>
        <v>0.18984536585780853</v>
      </c>
      <c r="D94" s="1334">
        <f t="shared" si="33"/>
        <v>-7888.760858973922</v>
      </c>
      <c r="E94" s="1334">
        <f t="shared" si="33"/>
        <v>537.03202451940126</v>
      </c>
      <c r="F94" s="1334">
        <f t="shared" si="33"/>
        <v>569.66203632863892</v>
      </c>
      <c r="G94" s="1334">
        <f t="shared" si="33"/>
        <v>604.29576010610776</v>
      </c>
      <c r="H94" s="1334">
        <f t="shared" si="33"/>
        <v>641.05562856596532</v>
      </c>
      <c r="I94" s="1334">
        <f t="shared" si="33"/>
        <v>680.07151126384144</v>
      </c>
      <c r="J94" s="1334">
        <f t="shared" si="33"/>
        <v>721.48116311108311</v>
      </c>
      <c r="K94" s="1334">
        <f t="shared" si="33"/>
        <v>765.4306997031274</v>
      </c>
      <c r="L94" s="1335">
        <f>VLOOKUP($B94,'[2]BuyOut Value'!$B$2:$F$23,5,FALSE)/1000+L$85</f>
        <v>22457.447414236714</v>
      </c>
      <c r="M94" s="1334"/>
      <c r="N94" s="1334"/>
      <c r="O94" s="1334"/>
      <c r="P94" s="1334"/>
      <c r="Q94" s="1334"/>
      <c r="R94" s="1334"/>
      <c r="S94" s="1334"/>
      <c r="T94" s="1334"/>
      <c r="U94" s="1334"/>
      <c r="V94" s="1334"/>
      <c r="W94" s="1334"/>
      <c r="X94" s="1336"/>
      <c r="Y94" s="1322"/>
      <c r="Z94" s="1322"/>
      <c r="AA94" s="1322"/>
      <c r="AB94" s="1337"/>
    </row>
    <row r="95" spans="2:28">
      <c r="B95" s="1332">
        <f t="shared" si="34"/>
        <v>9</v>
      </c>
      <c r="C95" s="1333">
        <f t="shared" si="32"/>
        <v>0.17305308359543181</v>
      </c>
      <c r="D95" s="1334">
        <f t="shared" si="33"/>
        <v>-7888.760858973922</v>
      </c>
      <c r="E95" s="1334">
        <f t="shared" si="33"/>
        <v>537.03202451940126</v>
      </c>
      <c r="F95" s="1334">
        <f t="shared" si="33"/>
        <v>569.66203632863892</v>
      </c>
      <c r="G95" s="1334">
        <f t="shared" si="33"/>
        <v>604.29576010610776</v>
      </c>
      <c r="H95" s="1334">
        <f t="shared" si="33"/>
        <v>641.05562856596532</v>
      </c>
      <c r="I95" s="1334">
        <f t="shared" si="33"/>
        <v>680.07151126384144</v>
      </c>
      <c r="J95" s="1334">
        <f t="shared" si="33"/>
        <v>721.48116311108311</v>
      </c>
      <c r="K95" s="1334">
        <f t="shared" si="33"/>
        <v>765.4306997031274</v>
      </c>
      <c r="L95" s="1334">
        <f t="shared" si="33"/>
        <v>812.0751010476738</v>
      </c>
      <c r="M95" s="1335">
        <f>VLOOKUP($B95,'[2]BuyOut Value'!$B$2:$F$23,5,FALSE)/1000+M$85</f>
        <v>22056.005802035073</v>
      </c>
      <c r="N95" s="1334"/>
      <c r="O95" s="1334"/>
      <c r="P95" s="1334"/>
      <c r="Q95" s="1334"/>
      <c r="R95" s="1334"/>
      <c r="S95" s="1334"/>
      <c r="T95" s="1334"/>
      <c r="U95" s="1334"/>
      <c r="V95" s="1334"/>
      <c r="W95" s="1334"/>
      <c r="X95" s="1336"/>
      <c r="Y95" s="1322"/>
      <c r="Z95" s="1322"/>
      <c r="AA95" s="1322"/>
      <c r="AB95" s="1337"/>
    </row>
    <row r="96" spans="2:28">
      <c r="B96" s="1332">
        <f t="shared" si="34"/>
        <v>10</v>
      </c>
      <c r="C96" s="1333">
        <f t="shared" si="32"/>
        <v>0.15920267750761496</v>
      </c>
      <c r="D96" s="1334">
        <f t="shared" si="33"/>
        <v>-7888.760858973922</v>
      </c>
      <c r="E96" s="1334">
        <f t="shared" si="33"/>
        <v>537.03202451940126</v>
      </c>
      <c r="F96" s="1334">
        <f t="shared" si="33"/>
        <v>569.66203632863892</v>
      </c>
      <c r="G96" s="1334">
        <f t="shared" si="33"/>
        <v>604.29576010610776</v>
      </c>
      <c r="H96" s="1334">
        <f t="shared" si="33"/>
        <v>641.05562856596532</v>
      </c>
      <c r="I96" s="1334">
        <f t="shared" si="33"/>
        <v>680.07151126384144</v>
      </c>
      <c r="J96" s="1334">
        <f t="shared" si="33"/>
        <v>721.48116311108311</v>
      </c>
      <c r="K96" s="1334">
        <f t="shared" si="33"/>
        <v>765.4306997031274</v>
      </c>
      <c r="L96" s="1334">
        <f t="shared" si="33"/>
        <v>812.0751010476738</v>
      </c>
      <c r="M96" s="1334">
        <f t="shared" si="33"/>
        <v>861.57874537080465</v>
      </c>
      <c r="N96" s="1335">
        <f>VLOOKUP($B96,'[2]BuyOut Value'!$B$2:$F$23,5,FALSE)/1000+N$85</f>
        <v>21411.627634993867</v>
      </c>
      <c r="O96" s="1334"/>
      <c r="P96" s="1334"/>
      <c r="Q96" s="1334"/>
      <c r="R96" s="1334"/>
      <c r="S96" s="1334"/>
      <c r="T96" s="1334"/>
      <c r="U96" s="1334"/>
      <c r="V96" s="1334"/>
      <c r="W96" s="1334"/>
      <c r="X96" s="1336"/>
      <c r="Y96" s="1322"/>
      <c r="Z96" s="1322"/>
      <c r="AA96" s="1322"/>
      <c r="AB96" s="1337"/>
    </row>
    <row r="97" spans="2:28">
      <c r="B97" s="1332">
        <f t="shared" si="34"/>
        <v>11</v>
      </c>
      <c r="C97" s="1333">
        <f t="shared" si="32"/>
        <v>0.14650860562136137</v>
      </c>
      <c r="D97" s="1334">
        <f t="shared" si="33"/>
        <v>-7888.760858973922</v>
      </c>
      <c r="E97" s="1334">
        <f t="shared" si="33"/>
        <v>537.03202451940126</v>
      </c>
      <c r="F97" s="1334">
        <f t="shared" si="33"/>
        <v>569.66203632863892</v>
      </c>
      <c r="G97" s="1334">
        <f t="shared" si="33"/>
        <v>604.29576010610776</v>
      </c>
      <c r="H97" s="1334">
        <f t="shared" si="33"/>
        <v>641.05562856596532</v>
      </c>
      <c r="I97" s="1334">
        <f t="shared" si="33"/>
        <v>680.07151126384144</v>
      </c>
      <c r="J97" s="1334">
        <f t="shared" si="33"/>
        <v>721.48116311108311</v>
      </c>
      <c r="K97" s="1334">
        <f t="shared" si="33"/>
        <v>765.4306997031274</v>
      </c>
      <c r="L97" s="1334">
        <f t="shared" si="33"/>
        <v>812.0751010476738</v>
      </c>
      <c r="M97" s="1334">
        <f t="shared" si="33"/>
        <v>861.57874537080465</v>
      </c>
      <c r="N97" s="1334">
        <f t="shared" si="33"/>
        <v>914.11597477697569</v>
      </c>
      <c r="O97" s="1335">
        <f>VLOOKUP($B97,'[2]BuyOut Value'!$B$2:$F$23,5,FALSE)/1000+O$85</f>
        <v>20262.632460935689</v>
      </c>
      <c r="P97" s="1334"/>
      <c r="Q97" s="1334"/>
      <c r="R97" s="1334"/>
      <c r="S97" s="1334"/>
      <c r="T97" s="1334"/>
      <c r="U97" s="1334"/>
      <c r="V97" s="1334"/>
      <c r="W97" s="1334"/>
      <c r="X97" s="1336"/>
      <c r="Y97" s="1322"/>
      <c r="Z97" s="1280"/>
      <c r="AA97" s="1322"/>
      <c r="AB97" s="1280"/>
    </row>
    <row r="98" spans="2:28">
      <c r="B98" s="1332">
        <f t="shared" si="34"/>
        <v>12</v>
      </c>
      <c r="C98" s="1333">
        <f t="shared" si="32"/>
        <v>0.13544018675586211</v>
      </c>
      <c r="D98" s="1334">
        <f t="shared" si="33"/>
        <v>-7888.760858973922</v>
      </c>
      <c r="E98" s="1334">
        <f t="shared" si="33"/>
        <v>537.03202451940126</v>
      </c>
      <c r="F98" s="1334">
        <f t="shared" si="33"/>
        <v>569.66203632863892</v>
      </c>
      <c r="G98" s="1334">
        <f t="shared" si="33"/>
        <v>604.29576010610776</v>
      </c>
      <c r="H98" s="1334">
        <f t="shared" si="33"/>
        <v>641.05562856596532</v>
      </c>
      <c r="I98" s="1334">
        <f t="shared" si="33"/>
        <v>680.07151126384144</v>
      </c>
      <c r="J98" s="1334">
        <f t="shared" si="33"/>
        <v>721.48116311108311</v>
      </c>
      <c r="K98" s="1334">
        <f t="shared" si="33"/>
        <v>765.4306997031274</v>
      </c>
      <c r="L98" s="1334">
        <f t="shared" si="33"/>
        <v>812.0751010476738</v>
      </c>
      <c r="M98" s="1334">
        <f t="shared" si="33"/>
        <v>861.57874537080465</v>
      </c>
      <c r="N98" s="1334">
        <f t="shared" si="33"/>
        <v>914.11597477697569</v>
      </c>
      <c r="O98" s="1334">
        <f t="shared" si="33"/>
        <v>708.00633708877285</v>
      </c>
      <c r="P98" s="1335">
        <f>VLOOKUP($B98,'[2]BuyOut Value'!$B$2:$F$23,5,FALSE)/1000+P$85</f>
        <v>19116.971113926258</v>
      </c>
      <c r="Q98" s="1334"/>
      <c r="R98" s="1334"/>
      <c r="S98" s="1334"/>
      <c r="T98" s="1334"/>
      <c r="U98" s="1334"/>
      <c r="V98" s="1334"/>
      <c r="W98" s="1334"/>
      <c r="X98" s="1336"/>
      <c r="Y98" s="1322"/>
      <c r="Z98" s="1322"/>
      <c r="AA98" s="1322"/>
      <c r="AB98" s="1337"/>
    </row>
    <row r="99" spans="2:28">
      <c r="B99" s="1332">
        <f t="shared" si="34"/>
        <v>13</v>
      </c>
      <c r="C99" s="1333">
        <f t="shared" si="32"/>
        <v>0.12561221732497874</v>
      </c>
      <c r="D99" s="1334">
        <f t="shared" si="33"/>
        <v>-7888.760858973922</v>
      </c>
      <c r="E99" s="1334">
        <f t="shared" si="33"/>
        <v>537.03202451940126</v>
      </c>
      <c r="F99" s="1334">
        <f t="shared" si="33"/>
        <v>569.66203632863892</v>
      </c>
      <c r="G99" s="1334">
        <f t="shared" si="33"/>
        <v>604.29576010610776</v>
      </c>
      <c r="H99" s="1334">
        <f t="shared" si="33"/>
        <v>641.05562856596532</v>
      </c>
      <c r="I99" s="1334">
        <f t="shared" si="33"/>
        <v>680.07151126384144</v>
      </c>
      <c r="J99" s="1334">
        <f t="shared" si="33"/>
        <v>721.48116311108311</v>
      </c>
      <c r="K99" s="1334">
        <f t="shared" si="33"/>
        <v>765.4306997031274</v>
      </c>
      <c r="L99" s="1334">
        <f t="shared" si="33"/>
        <v>812.0751010476738</v>
      </c>
      <c r="M99" s="1334">
        <f t="shared" si="33"/>
        <v>861.57874537080465</v>
      </c>
      <c r="N99" s="1334">
        <f t="shared" si="33"/>
        <v>914.11597477697569</v>
      </c>
      <c r="O99" s="1334">
        <f t="shared" si="33"/>
        <v>708.00633708877285</v>
      </c>
      <c r="P99" s="1334">
        <f t="shared" si="33"/>
        <v>751.20066637192235</v>
      </c>
      <c r="Q99" s="1335">
        <f>VLOOKUP($B99,'[2]BuyOut Value'!$B$2:$F$23,5,FALSE)/1000+Q$85</f>
        <v>17727.984102590948</v>
      </c>
      <c r="R99" s="1334"/>
      <c r="S99" s="1334"/>
      <c r="T99" s="1334"/>
      <c r="U99" s="1334"/>
      <c r="V99" s="1334"/>
      <c r="W99" s="1334"/>
      <c r="X99" s="1336"/>
      <c r="Y99" s="1322"/>
      <c r="Z99" s="1322"/>
      <c r="AA99" s="1322"/>
      <c r="AB99" s="1312"/>
    </row>
    <row r="100" spans="2:28">
      <c r="B100" s="1332">
        <f t="shared" si="34"/>
        <v>14</v>
      </c>
      <c r="C100" s="1333">
        <f t="shared" si="32"/>
        <v>0.11673831823150627</v>
      </c>
      <c r="D100" s="1334">
        <f t="shared" si="33"/>
        <v>-7888.760858973922</v>
      </c>
      <c r="E100" s="1334">
        <f t="shared" si="33"/>
        <v>537.03202451940126</v>
      </c>
      <c r="F100" s="1334">
        <f t="shared" si="33"/>
        <v>569.66203632863892</v>
      </c>
      <c r="G100" s="1334">
        <f t="shared" si="33"/>
        <v>604.29576010610776</v>
      </c>
      <c r="H100" s="1334">
        <f t="shared" si="33"/>
        <v>641.05562856596532</v>
      </c>
      <c r="I100" s="1334">
        <f t="shared" si="33"/>
        <v>680.07151126384144</v>
      </c>
      <c r="J100" s="1334">
        <f t="shared" si="33"/>
        <v>721.48116311108311</v>
      </c>
      <c r="K100" s="1334">
        <f t="shared" si="33"/>
        <v>765.4306997031274</v>
      </c>
      <c r="L100" s="1334">
        <f t="shared" si="33"/>
        <v>812.0751010476738</v>
      </c>
      <c r="M100" s="1334">
        <f t="shared" si="33"/>
        <v>861.57874537080465</v>
      </c>
      <c r="N100" s="1334">
        <f t="shared" si="33"/>
        <v>914.11597477697569</v>
      </c>
      <c r="O100" s="1334">
        <f t="shared" si="33"/>
        <v>708.00633708877285</v>
      </c>
      <c r="P100" s="1334">
        <f t="shared" si="33"/>
        <v>751.20066637192235</v>
      </c>
      <c r="Q100" s="1334">
        <f t="shared" si="33"/>
        <v>797.03947125179525</v>
      </c>
      <c r="R100" s="1335">
        <f>VLOOKUP($B100,'[2]BuyOut Value'!$B$2:$F$23,5,FALSE)/1000+R$85</f>
        <v>16095.83243529806</v>
      </c>
      <c r="S100" s="1334"/>
      <c r="T100" s="1334"/>
      <c r="U100" s="1334"/>
      <c r="V100" s="1334"/>
      <c r="W100" s="1334"/>
      <c r="X100" s="1336"/>
      <c r="Y100" s="1322"/>
      <c r="Z100" s="1322"/>
      <c r="AA100" s="1322"/>
      <c r="AB100" s="1312"/>
    </row>
    <row r="101" spans="2:28">
      <c r="B101" s="1332">
        <f t="shared" si="34"/>
        <v>15</v>
      </c>
      <c r="C101" s="1333">
        <f t="shared" si="32"/>
        <v>0.10859474490847298</v>
      </c>
      <c r="D101" s="1334">
        <f t="shared" si="33"/>
        <v>-7888.760858973922</v>
      </c>
      <c r="E101" s="1334">
        <f t="shared" si="33"/>
        <v>537.03202451940126</v>
      </c>
      <c r="F101" s="1334">
        <f t="shared" si="33"/>
        <v>569.66203632863892</v>
      </c>
      <c r="G101" s="1334">
        <f t="shared" si="33"/>
        <v>604.29576010610776</v>
      </c>
      <c r="H101" s="1334">
        <f t="shared" si="33"/>
        <v>641.05562856596532</v>
      </c>
      <c r="I101" s="1334">
        <f t="shared" si="33"/>
        <v>680.07151126384144</v>
      </c>
      <c r="J101" s="1334">
        <f t="shared" si="33"/>
        <v>721.48116311108311</v>
      </c>
      <c r="K101" s="1334">
        <f t="shared" si="33"/>
        <v>765.4306997031274</v>
      </c>
      <c r="L101" s="1334">
        <f t="shared" si="33"/>
        <v>812.0751010476738</v>
      </c>
      <c r="M101" s="1334">
        <f t="shared" si="33"/>
        <v>861.57874537080465</v>
      </c>
      <c r="N101" s="1334">
        <f t="shared" si="33"/>
        <v>914.11597477697569</v>
      </c>
      <c r="O101" s="1334">
        <f t="shared" si="33"/>
        <v>708.00633708877285</v>
      </c>
      <c r="P101" s="1334">
        <f t="shared" si="33"/>
        <v>751.20066637192235</v>
      </c>
      <c r="Q101" s="1334">
        <f t="shared" si="33"/>
        <v>797.03947125179525</v>
      </c>
      <c r="R101" s="1334">
        <f t="shared" si="33"/>
        <v>845.68376009669419</v>
      </c>
      <c r="S101" s="1335">
        <f>VLOOKUP($B101,'[2]BuyOut Value'!$B$2:$F$23,5,FALSE)/1000+S$85</f>
        <v>14220.686858410647</v>
      </c>
      <c r="T101" s="1334"/>
      <c r="U101" s="1334"/>
      <c r="V101" s="1334"/>
      <c r="W101" s="1334"/>
      <c r="X101" s="1336"/>
      <c r="Y101" s="1322"/>
      <c r="Z101" s="1322"/>
      <c r="AA101" s="1322"/>
      <c r="AB101" s="1312"/>
    </row>
    <row r="102" spans="2:28">
      <c r="B102" s="1332">
        <f t="shared" si="34"/>
        <v>16</v>
      </c>
      <c r="C102" s="1333">
        <f t="shared" si="32"/>
        <v>9.8037214090973768E-2</v>
      </c>
      <c r="D102" s="1334">
        <f t="shared" si="33"/>
        <v>-7888.760858973922</v>
      </c>
      <c r="E102" s="1334">
        <f t="shared" si="33"/>
        <v>537.03202451940126</v>
      </c>
      <c r="F102" s="1334">
        <f t="shared" si="33"/>
        <v>569.66203632863892</v>
      </c>
      <c r="G102" s="1334">
        <f t="shared" si="33"/>
        <v>604.29576010610776</v>
      </c>
      <c r="H102" s="1334">
        <f t="shared" si="33"/>
        <v>641.05562856596532</v>
      </c>
      <c r="I102" s="1334">
        <f t="shared" si="33"/>
        <v>680.07151126384144</v>
      </c>
      <c r="J102" s="1334">
        <f t="shared" si="33"/>
        <v>721.48116311108311</v>
      </c>
      <c r="K102" s="1334">
        <f t="shared" si="33"/>
        <v>765.4306997031274</v>
      </c>
      <c r="L102" s="1334">
        <f t="shared" si="33"/>
        <v>812.0751010476738</v>
      </c>
      <c r="M102" s="1334">
        <f t="shared" si="33"/>
        <v>861.57874537080465</v>
      </c>
      <c r="N102" s="1334">
        <f t="shared" si="33"/>
        <v>914.11597477697569</v>
      </c>
      <c r="O102" s="1334">
        <f t="shared" si="33"/>
        <v>708.00633708877285</v>
      </c>
      <c r="P102" s="1334">
        <f t="shared" si="33"/>
        <v>751.20066637192235</v>
      </c>
      <c r="Q102" s="1334">
        <f t="shared" si="33"/>
        <v>797.03947125179525</v>
      </c>
      <c r="R102" s="1334">
        <f t="shared" si="33"/>
        <v>845.68376009669419</v>
      </c>
      <c r="S102" s="1334">
        <f t="shared" si="33"/>
        <v>897.304279269669</v>
      </c>
      <c r="T102" s="1335">
        <f>VLOOKUP($B102,'[2]BuyOut Value'!$B$2:$F$23,5,FALSE)/1000+T$85</f>
        <v>11150.646343157989</v>
      </c>
      <c r="U102" s="1334"/>
      <c r="V102" s="1334"/>
      <c r="W102" s="1334"/>
      <c r="X102" s="1336"/>
      <c r="Y102" s="1322"/>
      <c r="Z102" s="1322"/>
      <c r="AA102" s="1322"/>
      <c r="AB102" s="1312"/>
    </row>
    <row r="103" spans="2:28">
      <c r="B103" s="1332">
        <f t="shared" si="34"/>
        <v>17</v>
      </c>
      <c r="C103" s="1333">
        <f t="shared" si="32"/>
        <v>8.7173884588434669E-2</v>
      </c>
      <c r="D103" s="1334">
        <f t="shared" si="33"/>
        <v>-7888.760858973922</v>
      </c>
      <c r="E103" s="1334">
        <f t="shared" si="33"/>
        <v>537.03202451940126</v>
      </c>
      <c r="F103" s="1334">
        <f t="shared" si="33"/>
        <v>569.66203632863892</v>
      </c>
      <c r="G103" s="1334">
        <f t="shared" si="33"/>
        <v>604.29576010610776</v>
      </c>
      <c r="H103" s="1334">
        <f t="shared" si="33"/>
        <v>641.05562856596532</v>
      </c>
      <c r="I103" s="1334">
        <f t="shared" si="33"/>
        <v>680.07151126384144</v>
      </c>
      <c r="J103" s="1334">
        <f t="shared" si="33"/>
        <v>721.48116311108311</v>
      </c>
      <c r="K103" s="1334">
        <f t="shared" si="33"/>
        <v>765.4306997031274</v>
      </c>
      <c r="L103" s="1334">
        <f t="shared" si="33"/>
        <v>812.0751010476738</v>
      </c>
      <c r="M103" s="1334">
        <f t="shared" si="33"/>
        <v>861.57874537080465</v>
      </c>
      <c r="N103" s="1334">
        <f t="shared" si="33"/>
        <v>914.11597477697569</v>
      </c>
      <c r="O103" s="1334">
        <f t="shared" si="33"/>
        <v>708.00633708877285</v>
      </c>
      <c r="P103" s="1334">
        <f t="shared" si="33"/>
        <v>751.20066637192235</v>
      </c>
      <c r="Q103" s="1334">
        <f t="shared" si="33"/>
        <v>797.03947125179525</v>
      </c>
      <c r="R103" s="1334">
        <f t="shared" si="33"/>
        <v>845.68376009669419</v>
      </c>
      <c r="S103" s="1334">
        <f t="shared" si="33"/>
        <v>897.304279269669</v>
      </c>
      <c r="T103" s="1334">
        <f t="shared" ref="T103:V105" si="35">T$85</f>
        <v>0</v>
      </c>
      <c r="U103" s="1335">
        <f>VLOOKUP($B103,'[2]BuyOut Value'!$B$2:$F$23,5,FALSE)/1000+U$85</f>
        <v>8731.9399672523941</v>
      </c>
      <c r="V103" s="1334"/>
      <c r="W103" s="1334"/>
      <c r="X103" s="1336"/>
      <c r="Y103" s="1322"/>
      <c r="Z103" s="1322"/>
      <c r="AA103" s="1322"/>
      <c r="AB103" s="1312"/>
    </row>
    <row r="104" spans="2:28">
      <c r="B104" s="1332">
        <f t="shared" si="34"/>
        <v>18</v>
      </c>
      <c r="C104" s="1333">
        <f t="shared" si="32"/>
        <v>7.5405970952732826E-2</v>
      </c>
      <c r="D104" s="1334">
        <f>D$85</f>
        <v>-7888.760858973922</v>
      </c>
      <c r="E104" s="1334">
        <f t="shared" si="33"/>
        <v>537.03202451940126</v>
      </c>
      <c r="F104" s="1334">
        <f t="shared" si="33"/>
        <v>569.66203632863892</v>
      </c>
      <c r="G104" s="1334">
        <f t="shared" si="33"/>
        <v>604.29576010610776</v>
      </c>
      <c r="H104" s="1334">
        <f t="shared" si="33"/>
        <v>641.05562856596532</v>
      </c>
      <c r="I104" s="1334">
        <f t="shared" si="33"/>
        <v>680.07151126384144</v>
      </c>
      <c r="J104" s="1334">
        <f t="shared" si="33"/>
        <v>721.48116311108311</v>
      </c>
      <c r="K104" s="1334">
        <f t="shared" si="33"/>
        <v>765.4306997031274</v>
      </c>
      <c r="L104" s="1334">
        <f t="shared" si="33"/>
        <v>812.0751010476738</v>
      </c>
      <c r="M104" s="1334">
        <f t="shared" si="33"/>
        <v>861.57874537080465</v>
      </c>
      <c r="N104" s="1334">
        <f t="shared" si="33"/>
        <v>914.11597477697569</v>
      </c>
      <c r="O104" s="1334">
        <f t="shared" si="33"/>
        <v>708.00633708877285</v>
      </c>
      <c r="P104" s="1334">
        <f t="shared" si="33"/>
        <v>751.20066637192235</v>
      </c>
      <c r="Q104" s="1334">
        <f t="shared" si="33"/>
        <v>797.03947125179525</v>
      </c>
      <c r="R104" s="1334">
        <f t="shared" si="33"/>
        <v>845.68376009669419</v>
      </c>
      <c r="S104" s="1334">
        <f t="shared" si="33"/>
        <v>897.304279269669</v>
      </c>
      <c r="T104" s="1334">
        <f t="shared" si="35"/>
        <v>0</v>
      </c>
      <c r="U104" s="1334">
        <f t="shared" si="35"/>
        <v>0</v>
      </c>
      <c r="V104" s="1335">
        <f>VLOOKUP($B104,'[2]BuyOut Value'!$B$2:$F$23,5,FALSE)/1000+V$85</f>
        <v>6067.2634514241981</v>
      </c>
      <c r="W104" s="1334"/>
      <c r="X104" s="1336"/>
      <c r="Y104" s="1322"/>
      <c r="Z104" s="1322"/>
      <c r="AA104" s="1322"/>
      <c r="AB104" s="1312"/>
    </row>
    <row r="105" spans="2:28">
      <c r="B105" s="1332">
        <f t="shared" si="34"/>
        <v>19</v>
      </c>
      <c r="C105" s="1333">
        <f t="shared" si="32"/>
        <v>6.1596549096938569E-2</v>
      </c>
      <c r="D105" s="1334">
        <f t="shared" si="33"/>
        <v>-7888.760858973922</v>
      </c>
      <c r="E105" s="1334">
        <f t="shared" si="33"/>
        <v>537.03202451940126</v>
      </c>
      <c r="F105" s="1334">
        <f t="shared" si="33"/>
        <v>569.66203632863892</v>
      </c>
      <c r="G105" s="1334">
        <f t="shared" si="33"/>
        <v>604.29576010610776</v>
      </c>
      <c r="H105" s="1334">
        <f t="shared" si="33"/>
        <v>641.05562856596532</v>
      </c>
      <c r="I105" s="1334">
        <f t="shared" si="33"/>
        <v>680.07151126384144</v>
      </c>
      <c r="J105" s="1334">
        <f t="shared" si="33"/>
        <v>721.48116311108311</v>
      </c>
      <c r="K105" s="1334">
        <f t="shared" si="33"/>
        <v>765.4306997031274</v>
      </c>
      <c r="L105" s="1334">
        <f t="shared" si="33"/>
        <v>812.0751010476738</v>
      </c>
      <c r="M105" s="1334">
        <f t="shared" si="33"/>
        <v>861.57874537080465</v>
      </c>
      <c r="N105" s="1334">
        <f t="shared" si="33"/>
        <v>914.11597477697569</v>
      </c>
      <c r="O105" s="1334">
        <f t="shared" si="33"/>
        <v>708.00633708877285</v>
      </c>
      <c r="P105" s="1334">
        <f t="shared" si="33"/>
        <v>751.20066637192235</v>
      </c>
      <c r="Q105" s="1334">
        <f t="shared" si="33"/>
        <v>797.03947125179525</v>
      </c>
      <c r="R105" s="1334">
        <f t="shared" si="33"/>
        <v>845.68376009669419</v>
      </c>
      <c r="S105" s="1334">
        <f t="shared" si="33"/>
        <v>897.304279269669</v>
      </c>
      <c r="T105" s="1334">
        <f t="shared" si="35"/>
        <v>0</v>
      </c>
      <c r="U105" s="1334">
        <f t="shared" si="35"/>
        <v>0</v>
      </c>
      <c r="V105" s="1334">
        <f t="shared" si="35"/>
        <v>0</v>
      </c>
      <c r="W105" s="1335">
        <f>VLOOKUP($B105,'[2]BuyOut Value'!$B$2:$F$23,5,FALSE)/1000+W$85</f>
        <v>3156.6167956734007</v>
      </c>
      <c r="X105" s="1336"/>
      <c r="Y105" s="1322"/>
      <c r="Z105" s="1322"/>
      <c r="AA105" s="1322"/>
      <c r="AB105" s="1312"/>
    </row>
    <row r="106" spans="2:28" ht="12.5" thickBot="1">
      <c r="B106" s="1338">
        <f t="shared" si="34"/>
        <v>20</v>
      </c>
      <c r="C106" s="1339">
        <f t="shared" si="32"/>
        <v>4.2684634686251943E-2</v>
      </c>
      <c r="D106" s="1340">
        <f t="shared" ref="D106:W106" si="36">D$85</f>
        <v>-7888.760858973922</v>
      </c>
      <c r="E106" s="1340">
        <f t="shared" si="36"/>
        <v>537.03202451940126</v>
      </c>
      <c r="F106" s="1340">
        <f t="shared" si="36"/>
        <v>569.66203632863892</v>
      </c>
      <c r="G106" s="1340">
        <f t="shared" si="36"/>
        <v>604.29576010610776</v>
      </c>
      <c r="H106" s="1340">
        <f t="shared" si="36"/>
        <v>641.05562856596532</v>
      </c>
      <c r="I106" s="1340">
        <f t="shared" si="36"/>
        <v>680.07151126384144</v>
      </c>
      <c r="J106" s="1340">
        <f t="shared" si="36"/>
        <v>721.48116311108311</v>
      </c>
      <c r="K106" s="1340">
        <f t="shared" si="36"/>
        <v>765.4306997031274</v>
      </c>
      <c r="L106" s="1340">
        <f t="shared" si="36"/>
        <v>812.0751010476738</v>
      </c>
      <c r="M106" s="1340">
        <f t="shared" si="36"/>
        <v>861.57874537080465</v>
      </c>
      <c r="N106" s="1340">
        <f t="shared" si="36"/>
        <v>914.11597477697569</v>
      </c>
      <c r="O106" s="1340">
        <f t="shared" si="36"/>
        <v>708.00633708877285</v>
      </c>
      <c r="P106" s="1340">
        <f t="shared" si="36"/>
        <v>751.20066637192235</v>
      </c>
      <c r="Q106" s="1340">
        <f t="shared" si="36"/>
        <v>797.03947125179525</v>
      </c>
      <c r="R106" s="1340">
        <f t="shared" si="36"/>
        <v>845.68376009669419</v>
      </c>
      <c r="S106" s="1340">
        <f t="shared" si="36"/>
        <v>897.304279269669</v>
      </c>
      <c r="T106" s="1340">
        <f t="shared" si="36"/>
        <v>0</v>
      </c>
      <c r="U106" s="1340">
        <f t="shared" si="36"/>
        <v>0</v>
      </c>
      <c r="V106" s="1340">
        <f t="shared" si="36"/>
        <v>0</v>
      </c>
      <c r="W106" s="1340">
        <f t="shared" si="36"/>
        <v>0</v>
      </c>
      <c r="X106" s="1341">
        <f>VLOOKUP($B106,'[2]BuyOut Value'!$B$2:$F$23,5,FALSE)/1000+X$85</f>
        <v>0</v>
      </c>
      <c r="Y106" s="1322"/>
      <c r="Z106" s="1322"/>
      <c r="AA106" s="1322"/>
      <c r="AB106" s="1324"/>
    </row>
    <row r="107" spans="2:28">
      <c r="B107" s="1337"/>
      <c r="C107" s="1337"/>
      <c r="D107" s="1337"/>
      <c r="E107" s="1337"/>
      <c r="F107" s="1337"/>
      <c r="G107" s="1337"/>
      <c r="H107" s="1337"/>
      <c r="I107" s="1337"/>
      <c r="J107" s="1337"/>
      <c r="K107" s="1337"/>
      <c r="L107" s="1337"/>
      <c r="M107" s="1337"/>
      <c r="N107" s="1337"/>
      <c r="O107" s="1337"/>
      <c r="P107" s="1337"/>
      <c r="Q107" s="1337"/>
      <c r="R107" s="1337"/>
      <c r="S107" s="1337"/>
      <c r="T107" s="1337"/>
      <c r="U107" s="1337"/>
      <c r="V107" s="1337"/>
      <c r="W107" s="1337"/>
      <c r="X107" s="1337"/>
      <c r="Y107" s="1322"/>
      <c r="Z107" s="1322"/>
      <c r="AA107" s="1322"/>
      <c r="AB107" s="1337"/>
    </row>
    <row r="108" spans="2:28">
      <c r="B108" s="1337"/>
      <c r="C108" s="1337"/>
      <c r="D108" s="1342"/>
      <c r="E108" s="1337"/>
      <c r="F108" s="1337"/>
      <c r="G108" s="1337"/>
      <c r="H108" s="1337"/>
      <c r="I108" s="1337"/>
      <c r="J108" s="1337"/>
      <c r="K108" s="1337"/>
      <c r="L108" s="1337"/>
      <c r="M108" s="1337"/>
      <c r="N108" s="1337"/>
      <c r="O108" s="1337"/>
      <c r="P108" s="1337"/>
      <c r="Q108" s="1337"/>
      <c r="R108" s="1337"/>
      <c r="S108" s="1337"/>
      <c r="T108" s="1337"/>
      <c r="U108" s="1337"/>
      <c r="V108" s="1337"/>
      <c r="W108" s="1337"/>
      <c r="X108" s="1337"/>
      <c r="Y108" s="1322"/>
      <c r="Z108" s="1322"/>
      <c r="AA108" s="1322"/>
      <c r="AB108" s="1337"/>
    </row>
    <row r="109" spans="2:28">
      <c r="B109" s="1337"/>
      <c r="C109" s="1337"/>
      <c r="D109" s="1337"/>
      <c r="E109" s="1337"/>
      <c r="F109" s="1337"/>
      <c r="G109" s="1337"/>
      <c r="H109" s="1337"/>
      <c r="I109" s="1337"/>
      <c r="J109" s="1337"/>
      <c r="K109" s="1337"/>
      <c r="L109" s="1337"/>
      <c r="M109" s="1337"/>
      <c r="N109" s="1337"/>
      <c r="O109" s="1337"/>
      <c r="P109" s="1337"/>
      <c r="Q109" s="1337"/>
      <c r="R109" s="1337"/>
      <c r="S109" s="1337"/>
      <c r="T109" s="1337"/>
      <c r="U109" s="1337"/>
      <c r="V109" s="1337"/>
      <c r="W109" s="1337"/>
      <c r="X109" s="1337"/>
      <c r="Y109" s="1322"/>
      <c r="Z109" s="1322"/>
      <c r="AA109" s="1322"/>
      <c r="AB109" s="1337"/>
    </row>
    <row r="110" spans="2:28">
      <c r="B110" s="1322"/>
      <c r="C110" s="1322"/>
      <c r="D110" s="1322"/>
      <c r="E110" s="1322"/>
      <c r="F110" s="1322"/>
      <c r="G110" s="1322"/>
      <c r="H110" s="1322"/>
      <c r="I110" s="1322"/>
      <c r="J110" s="1322"/>
      <c r="K110" s="1322"/>
      <c r="L110" s="1322"/>
      <c r="M110" s="1322"/>
      <c r="N110" s="1322"/>
      <c r="O110" s="1322"/>
      <c r="P110" s="1322"/>
      <c r="Q110" s="1322"/>
      <c r="R110" s="1322"/>
      <c r="S110" s="1322"/>
      <c r="T110" s="1322"/>
      <c r="U110" s="1322"/>
      <c r="V110" s="1322"/>
      <c r="W110" s="1322"/>
      <c r="X110" s="1322"/>
      <c r="Y110" s="1322"/>
      <c r="Z110" s="1322"/>
      <c r="AA110" s="1322"/>
      <c r="AB110" s="1322"/>
    </row>
    <row r="111" spans="2:28">
      <c r="B111" s="1343"/>
      <c r="C111" s="1343"/>
      <c r="D111" s="1280"/>
      <c r="E111" s="1295"/>
      <c r="F111" s="1295"/>
      <c r="G111" s="1295"/>
      <c r="H111" s="1295"/>
      <c r="I111" s="1295"/>
      <c r="J111" s="1295"/>
      <c r="K111" s="1295"/>
      <c r="L111" s="1295"/>
      <c r="M111" s="1295"/>
      <c r="N111" s="1295"/>
      <c r="O111" s="1295"/>
      <c r="P111" s="1295"/>
      <c r="Q111" s="1295"/>
      <c r="R111" s="1295"/>
      <c r="S111" s="1295"/>
      <c r="T111" s="1295"/>
      <c r="U111" s="1295"/>
      <c r="V111" s="1295"/>
      <c r="W111" s="1295"/>
      <c r="X111" s="1295"/>
      <c r="Y111" s="1295"/>
      <c r="Z111" s="1280"/>
      <c r="AA111" s="1322"/>
      <c r="AB111" s="1295"/>
    </row>
    <row r="112" spans="2:28">
      <c r="B112" s="1280"/>
      <c r="C112" s="1280"/>
      <c r="D112" s="1280"/>
      <c r="E112" s="1280"/>
      <c r="F112" s="1280"/>
      <c r="G112" s="1280"/>
      <c r="H112" s="1280"/>
      <c r="I112" s="1280"/>
      <c r="J112" s="1280"/>
      <c r="K112" s="1280"/>
      <c r="L112" s="1280"/>
      <c r="M112" s="1280"/>
      <c r="N112" s="1280"/>
      <c r="O112" s="1280"/>
      <c r="P112" s="1280"/>
      <c r="Q112" s="1280"/>
      <c r="R112" s="1280"/>
      <c r="S112" s="1280"/>
      <c r="T112" s="1280"/>
      <c r="U112" s="1280"/>
      <c r="V112" s="1280"/>
      <c r="W112" s="1280"/>
      <c r="X112" s="1280"/>
      <c r="Y112" s="1280"/>
      <c r="Z112" s="1280"/>
      <c r="AA112" s="1322"/>
      <c r="AB112" s="1280"/>
    </row>
    <row r="113" spans="2:28">
      <c r="B113" s="1284"/>
      <c r="C113" s="1284"/>
      <c r="D113" s="1344"/>
      <c r="E113" s="1280"/>
      <c r="F113" s="1280"/>
      <c r="G113" s="1280"/>
      <c r="H113" s="1280"/>
      <c r="I113" s="1280"/>
      <c r="J113" s="1280"/>
      <c r="K113" s="1280"/>
      <c r="L113" s="1280"/>
      <c r="M113" s="1280"/>
      <c r="N113" s="1280"/>
      <c r="O113" s="1280"/>
      <c r="P113" s="1280"/>
      <c r="Q113" s="1280"/>
      <c r="R113" s="1280"/>
      <c r="S113" s="1280"/>
      <c r="T113" s="1280"/>
      <c r="U113" s="1280"/>
      <c r="V113" s="1280"/>
      <c r="W113" s="1280"/>
      <c r="X113" s="1280"/>
      <c r="Y113" s="1280"/>
      <c r="Z113" s="1280"/>
      <c r="AA113" s="1322"/>
      <c r="AB113" s="1280"/>
    </row>
    <row r="114" spans="2:28">
      <c r="B114" s="1280"/>
      <c r="C114" s="1280"/>
      <c r="D114" s="1280"/>
      <c r="E114" s="1280"/>
      <c r="F114" s="1280"/>
      <c r="G114" s="1280"/>
      <c r="H114" s="1280"/>
      <c r="I114" s="1280"/>
      <c r="J114" s="1280"/>
      <c r="K114" s="1280"/>
      <c r="L114" s="1280"/>
      <c r="M114" s="1280"/>
      <c r="N114" s="1280"/>
      <c r="O114" s="1280"/>
      <c r="P114" s="1280"/>
      <c r="Q114" s="1280"/>
      <c r="R114" s="1280"/>
      <c r="S114" s="1280"/>
      <c r="T114" s="1280"/>
      <c r="U114" s="1280"/>
      <c r="V114" s="1280"/>
      <c r="W114" s="1280"/>
      <c r="X114" s="1280"/>
      <c r="Y114" s="1280"/>
      <c r="Z114" s="1280"/>
      <c r="AA114" s="1322"/>
      <c r="AB114" s="1280"/>
    </row>
    <row r="115" spans="2:28">
      <c r="B115" s="1284"/>
      <c r="C115" s="1284"/>
      <c r="D115" s="1284"/>
      <c r="E115" s="1284"/>
      <c r="F115" s="1284"/>
      <c r="G115" s="1284"/>
      <c r="H115" s="1284"/>
      <c r="I115" s="1284"/>
      <c r="J115" s="1284"/>
      <c r="K115" s="1284"/>
      <c r="L115" s="1284"/>
      <c r="M115" s="1284"/>
      <c r="N115" s="1284"/>
      <c r="O115" s="1284"/>
      <c r="P115" s="1284"/>
      <c r="Q115" s="1284"/>
      <c r="R115" s="1284"/>
      <c r="S115" s="1284"/>
      <c r="T115" s="1284"/>
      <c r="U115" s="1284"/>
      <c r="V115" s="1284"/>
      <c r="W115" s="1284"/>
      <c r="X115" s="1284"/>
      <c r="Y115" s="1331"/>
      <c r="Z115" s="1345"/>
      <c r="AA115" s="1322"/>
      <c r="AB115" s="1331"/>
    </row>
    <row r="116" spans="2:28" hidden="1">
      <c r="B116" s="1280"/>
      <c r="C116" s="1280"/>
      <c r="D116" s="1280"/>
      <c r="E116" s="1280"/>
      <c r="F116" s="1280"/>
      <c r="G116" s="1280"/>
      <c r="H116" s="1280"/>
      <c r="I116" s="1280"/>
      <c r="J116" s="1280"/>
      <c r="K116" s="1280"/>
      <c r="L116" s="1280"/>
      <c r="M116" s="1280"/>
      <c r="N116" s="1280"/>
      <c r="O116" s="1280"/>
      <c r="P116" s="1280"/>
      <c r="Q116" s="1280"/>
      <c r="R116" s="1280"/>
      <c r="S116" s="1280"/>
      <c r="T116" s="1280"/>
      <c r="U116" s="1280"/>
      <c r="V116" s="1280"/>
      <c r="W116" s="1280"/>
      <c r="X116" s="1280"/>
      <c r="Y116" s="1280"/>
      <c r="Z116" s="1280"/>
      <c r="AA116" s="1322"/>
      <c r="AB116" s="1280"/>
    </row>
    <row r="117" spans="2:28" hidden="1">
      <c r="B117" s="1284"/>
      <c r="C117" s="1284"/>
      <c r="D117" s="1280"/>
      <c r="E117" s="1285"/>
      <c r="F117" s="1285"/>
      <c r="G117" s="1285"/>
      <c r="H117" s="1285"/>
      <c r="I117" s="1285"/>
      <c r="J117" s="1285"/>
      <c r="K117" s="1285"/>
      <c r="L117" s="1285"/>
      <c r="M117" s="1285"/>
      <c r="N117" s="1285"/>
      <c r="O117" s="1285"/>
      <c r="P117" s="1285"/>
      <c r="Q117" s="1285"/>
      <c r="R117" s="1285"/>
      <c r="S117" s="1285"/>
      <c r="T117" s="1285"/>
      <c r="U117" s="1285"/>
      <c r="V117" s="1285"/>
      <c r="W117" s="1285"/>
      <c r="X117" s="1285"/>
      <c r="Y117" s="1285"/>
      <c r="Z117" s="1280"/>
      <c r="AA117" s="1322"/>
      <c r="AB117" s="1285"/>
    </row>
    <row r="118" spans="2:28" hidden="1">
      <c r="B118" s="1284"/>
      <c r="C118" s="1284"/>
      <c r="D118" s="1280"/>
      <c r="E118" s="1287"/>
      <c r="F118" s="1287"/>
      <c r="G118" s="1287"/>
      <c r="H118" s="1287"/>
      <c r="I118" s="1287"/>
      <c r="J118" s="1287"/>
      <c r="K118" s="1287"/>
      <c r="L118" s="1287"/>
      <c r="M118" s="1287"/>
      <c r="N118" s="1287"/>
      <c r="O118" s="1287"/>
      <c r="P118" s="1287"/>
      <c r="Q118" s="1287"/>
      <c r="R118" s="1287"/>
      <c r="S118" s="1287"/>
      <c r="T118" s="1287"/>
      <c r="U118" s="1287"/>
      <c r="V118" s="1287"/>
      <c r="W118" s="1287"/>
      <c r="X118" s="1287"/>
      <c r="Y118" s="1287"/>
      <c r="Z118" s="1280"/>
      <c r="AA118" s="1322"/>
      <c r="AB118" s="1287"/>
    </row>
    <row r="119" spans="2:28" hidden="1">
      <c r="B119" s="1284"/>
      <c r="C119" s="1284"/>
      <c r="D119" s="1280"/>
      <c r="E119" s="1280"/>
      <c r="F119" s="1280"/>
      <c r="G119" s="1280"/>
      <c r="H119" s="1280"/>
      <c r="I119" s="1280"/>
      <c r="J119" s="1280"/>
      <c r="K119" s="1280"/>
      <c r="L119" s="1280"/>
      <c r="M119" s="1280"/>
      <c r="N119" s="1280"/>
      <c r="O119" s="1280"/>
      <c r="P119" s="1280"/>
      <c r="Q119" s="1280"/>
      <c r="R119" s="1280"/>
      <c r="S119" s="1280"/>
      <c r="T119" s="1280"/>
      <c r="U119" s="1280"/>
      <c r="V119" s="1280"/>
      <c r="W119" s="1280"/>
      <c r="X119" s="1280"/>
      <c r="Y119" s="1280"/>
      <c r="Z119" s="1280"/>
      <c r="AA119" s="1322"/>
      <c r="AB119" s="1280"/>
    </row>
    <row r="120" spans="2:28" hidden="1">
      <c r="B120" s="1284"/>
      <c r="C120" s="1284"/>
      <c r="D120" s="1280"/>
      <c r="E120" s="1280"/>
      <c r="F120" s="1280"/>
      <c r="G120" s="1280"/>
      <c r="H120" s="1280"/>
      <c r="I120" s="1280"/>
      <c r="J120" s="1280"/>
      <c r="K120" s="1280"/>
      <c r="L120" s="1280"/>
      <c r="M120" s="1280"/>
      <c r="N120" s="1280"/>
      <c r="O120" s="1280"/>
      <c r="P120" s="1280"/>
      <c r="Q120" s="1280"/>
      <c r="R120" s="1280"/>
      <c r="S120" s="1280"/>
      <c r="T120" s="1280"/>
      <c r="U120" s="1280"/>
      <c r="V120" s="1280"/>
      <c r="W120" s="1280"/>
      <c r="X120" s="1280"/>
      <c r="Y120" s="1280"/>
      <c r="Z120" s="1280"/>
      <c r="AA120" s="1322"/>
      <c r="AB120" s="1280"/>
    </row>
    <row r="121" spans="2:28" hidden="1">
      <c r="B121" s="1284"/>
      <c r="C121" s="1284"/>
      <c r="D121" s="1280"/>
      <c r="E121" s="1280"/>
      <c r="F121" s="1280"/>
      <c r="G121" s="1280"/>
      <c r="H121" s="1280"/>
      <c r="I121" s="1280"/>
      <c r="J121" s="1280"/>
      <c r="K121" s="1280"/>
      <c r="L121" s="1280"/>
      <c r="M121" s="1280"/>
      <c r="N121" s="1280"/>
      <c r="O121" s="1280"/>
      <c r="P121" s="1280"/>
      <c r="Q121" s="1280"/>
      <c r="R121" s="1280"/>
      <c r="S121" s="1280"/>
      <c r="T121" s="1280"/>
      <c r="U121" s="1280"/>
      <c r="V121" s="1280"/>
      <c r="W121" s="1280"/>
      <c r="X121" s="1280"/>
      <c r="Y121" s="1280"/>
      <c r="Z121" s="1280"/>
      <c r="AA121" s="1322"/>
      <c r="AB121" s="1280"/>
    </row>
    <row r="122" spans="2:28" hidden="1">
      <c r="B122" s="1280"/>
      <c r="C122" s="1280"/>
      <c r="D122" s="1295"/>
      <c r="E122" s="1295"/>
      <c r="F122" s="1295"/>
      <c r="G122" s="1295"/>
      <c r="H122" s="1295"/>
      <c r="I122" s="1295"/>
      <c r="J122" s="1295"/>
      <c r="K122" s="1295"/>
      <c r="L122" s="1295"/>
      <c r="M122" s="1295"/>
      <c r="N122" s="1295"/>
      <c r="O122" s="1295"/>
      <c r="P122" s="1295"/>
      <c r="Q122" s="1295"/>
      <c r="R122" s="1295"/>
      <c r="S122" s="1295"/>
      <c r="T122" s="1295"/>
      <c r="U122" s="1295"/>
      <c r="V122" s="1295"/>
      <c r="W122" s="1295"/>
      <c r="X122" s="1295"/>
      <c r="Y122" s="1295"/>
      <c r="Z122" s="1295"/>
      <c r="AA122" s="1322"/>
      <c r="AB122" s="1295"/>
    </row>
    <row r="123" spans="2:28" hidden="1">
      <c r="B123" s="1280"/>
      <c r="C123" s="1280"/>
      <c r="D123" s="1295"/>
      <c r="E123" s="1295"/>
      <c r="F123" s="1295"/>
      <c r="G123" s="1295"/>
      <c r="H123" s="1295"/>
      <c r="I123" s="1295"/>
      <c r="J123" s="1295"/>
      <c r="K123" s="1295"/>
      <c r="L123" s="1295"/>
      <c r="M123" s="1295"/>
      <c r="N123" s="1295"/>
      <c r="O123" s="1295"/>
      <c r="P123" s="1295"/>
      <c r="Q123" s="1295"/>
      <c r="R123" s="1295"/>
      <c r="S123" s="1295"/>
      <c r="T123" s="1295"/>
      <c r="U123" s="1295"/>
      <c r="V123" s="1295"/>
      <c r="W123" s="1295"/>
      <c r="X123" s="1295"/>
      <c r="Y123" s="1295"/>
      <c r="Z123" s="1295"/>
      <c r="AA123" s="1322"/>
      <c r="AB123" s="1295"/>
    </row>
    <row r="124" spans="2:28" hidden="1">
      <c r="B124" s="1280"/>
      <c r="C124" s="1280"/>
      <c r="D124" s="1295"/>
      <c r="E124" s="1295"/>
      <c r="F124" s="1295"/>
      <c r="G124" s="1295"/>
      <c r="H124" s="1295"/>
      <c r="I124" s="1295"/>
      <c r="J124" s="1295"/>
      <c r="K124" s="1295"/>
      <c r="L124" s="1295"/>
      <c r="M124" s="1295"/>
      <c r="N124" s="1295"/>
      <c r="O124" s="1295"/>
      <c r="P124" s="1295"/>
      <c r="Q124" s="1295"/>
      <c r="R124" s="1295"/>
      <c r="S124" s="1295"/>
      <c r="T124" s="1295"/>
      <c r="U124" s="1295"/>
      <c r="V124" s="1295"/>
      <c r="W124" s="1295"/>
      <c r="X124" s="1295"/>
      <c r="Y124" s="1295"/>
      <c r="Z124" s="1295"/>
      <c r="AA124" s="1322"/>
      <c r="AB124" s="1295"/>
    </row>
    <row r="125" spans="2:28" hidden="1">
      <c r="B125" s="1280"/>
      <c r="C125" s="1280"/>
      <c r="D125" s="1295"/>
      <c r="E125" s="1295"/>
      <c r="F125" s="1295"/>
      <c r="G125" s="1295"/>
      <c r="H125" s="1295"/>
      <c r="I125" s="1295"/>
      <c r="J125" s="1295"/>
      <c r="K125" s="1295"/>
      <c r="L125" s="1295"/>
      <c r="M125" s="1295"/>
      <c r="N125" s="1295"/>
      <c r="O125" s="1295"/>
      <c r="P125" s="1295"/>
      <c r="Q125" s="1295"/>
      <c r="R125" s="1295"/>
      <c r="S125" s="1295"/>
      <c r="T125" s="1295"/>
      <c r="U125" s="1295"/>
      <c r="V125" s="1295"/>
      <c r="W125" s="1295"/>
      <c r="X125" s="1295"/>
      <c r="Y125" s="1295"/>
      <c r="Z125" s="1295"/>
      <c r="AA125" s="1322"/>
      <c r="AB125" s="1295"/>
    </row>
    <row r="126" spans="2:28" hidden="1">
      <c r="B126" s="1280"/>
      <c r="C126" s="1280"/>
      <c r="D126" s="1295"/>
      <c r="E126" s="1295"/>
      <c r="F126" s="1295"/>
      <c r="G126" s="1295"/>
      <c r="H126" s="1295"/>
      <c r="I126" s="1295"/>
      <c r="J126" s="1295"/>
      <c r="K126" s="1295"/>
      <c r="L126" s="1295"/>
      <c r="M126" s="1295"/>
      <c r="N126" s="1295"/>
      <c r="O126" s="1295"/>
      <c r="P126" s="1295"/>
      <c r="Q126" s="1295"/>
      <c r="R126" s="1295"/>
      <c r="S126" s="1295"/>
      <c r="T126" s="1295"/>
      <c r="U126" s="1295"/>
      <c r="V126" s="1295"/>
      <c r="W126" s="1295"/>
      <c r="X126" s="1295"/>
      <c r="Y126" s="1295"/>
      <c r="Z126" s="1295"/>
      <c r="AA126" s="1322"/>
      <c r="AB126" s="1295"/>
    </row>
    <row r="127" spans="2:28" hidden="1">
      <c r="B127" s="1280"/>
      <c r="C127" s="1280"/>
      <c r="D127" s="1295"/>
      <c r="E127" s="1295"/>
      <c r="F127" s="1295"/>
      <c r="G127" s="1295"/>
      <c r="H127" s="1295"/>
      <c r="I127" s="1295"/>
      <c r="J127" s="1295"/>
      <c r="K127" s="1295"/>
      <c r="L127" s="1295"/>
      <c r="M127" s="1295"/>
      <c r="N127" s="1295"/>
      <c r="O127" s="1295"/>
      <c r="P127" s="1295"/>
      <c r="Q127" s="1295"/>
      <c r="R127" s="1295"/>
      <c r="S127" s="1295"/>
      <c r="T127" s="1295"/>
      <c r="U127" s="1295"/>
      <c r="V127" s="1295"/>
      <c r="W127" s="1295"/>
      <c r="X127" s="1295"/>
      <c r="Y127" s="1295"/>
      <c r="Z127" s="1295"/>
      <c r="AA127" s="1322"/>
      <c r="AB127" s="1295"/>
    </row>
    <row r="128" spans="2:28" hidden="1">
      <c r="B128" s="1280"/>
      <c r="C128" s="1280"/>
      <c r="D128" s="1295"/>
      <c r="E128" s="1295"/>
      <c r="F128" s="1295"/>
      <c r="G128" s="1295"/>
      <c r="H128" s="1295"/>
      <c r="I128" s="1295"/>
      <c r="J128" s="1295"/>
      <c r="K128" s="1295"/>
      <c r="L128" s="1295"/>
      <c r="M128" s="1295"/>
      <c r="N128" s="1295"/>
      <c r="O128" s="1295"/>
      <c r="P128" s="1295"/>
      <c r="Q128" s="1295"/>
      <c r="R128" s="1295"/>
      <c r="S128" s="1295"/>
      <c r="T128" s="1295"/>
      <c r="U128" s="1295"/>
      <c r="V128" s="1295"/>
      <c r="W128" s="1295"/>
      <c r="X128" s="1295"/>
      <c r="Y128" s="1295"/>
      <c r="Z128" s="1295"/>
      <c r="AA128" s="1322"/>
      <c r="AB128" s="1295"/>
    </row>
    <row r="129" spans="2:28" hidden="1">
      <c r="B129" s="1280"/>
      <c r="C129" s="1280"/>
      <c r="D129" s="1295"/>
      <c r="E129" s="1295"/>
      <c r="F129" s="1295"/>
      <c r="G129" s="1295"/>
      <c r="H129" s="1295"/>
      <c r="I129" s="1295"/>
      <c r="J129" s="1295"/>
      <c r="K129" s="1295"/>
      <c r="L129" s="1295"/>
      <c r="M129" s="1295"/>
      <c r="N129" s="1295"/>
      <c r="O129" s="1295"/>
      <c r="P129" s="1295"/>
      <c r="Q129" s="1295"/>
      <c r="R129" s="1295"/>
      <c r="S129" s="1295"/>
      <c r="T129" s="1295"/>
      <c r="U129" s="1295"/>
      <c r="V129" s="1295"/>
      <c r="W129" s="1295"/>
      <c r="X129" s="1295"/>
      <c r="Y129" s="1295"/>
      <c r="Z129" s="1287"/>
      <c r="AA129" s="1322"/>
      <c r="AB129" s="1295"/>
    </row>
    <row r="130" spans="2:28" hidden="1">
      <c r="B130" s="1280"/>
      <c r="C130" s="1280"/>
      <c r="D130" s="1295"/>
      <c r="E130" s="1295"/>
      <c r="F130" s="1295"/>
      <c r="G130" s="1295"/>
      <c r="H130" s="1295"/>
      <c r="I130" s="1295"/>
      <c r="J130" s="1295"/>
      <c r="K130" s="1295"/>
      <c r="L130" s="1295"/>
      <c r="M130" s="1295"/>
      <c r="N130" s="1295"/>
      <c r="O130" s="1295"/>
      <c r="P130" s="1295"/>
      <c r="Q130" s="1295"/>
      <c r="R130" s="1295"/>
      <c r="S130" s="1295"/>
      <c r="T130" s="1295"/>
      <c r="U130" s="1295"/>
      <c r="V130" s="1295"/>
      <c r="W130" s="1295"/>
      <c r="X130" s="1295"/>
      <c r="Y130" s="1295"/>
      <c r="Z130" s="1287"/>
      <c r="AA130" s="1322"/>
      <c r="AB130" s="1295"/>
    </row>
    <row r="131" spans="2:28" hidden="1">
      <c r="B131" s="1280"/>
      <c r="C131" s="1280"/>
      <c r="D131" s="1295"/>
      <c r="E131" s="1295"/>
      <c r="F131" s="1295"/>
      <c r="G131" s="1295"/>
      <c r="H131" s="1295"/>
      <c r="I131" s="1295"/>
      <c r="J131" s="1295"/>
      <c r="K131" s="1295"/>
      <c r="L131" s="1295"/>
      <c r="M131" s="1295"/>
      <c r="N131" s="1295"/>
      <c r="O131" s="1295"/>
      <c r="P131" s="1295"/>
      <c r="Q131" s="1295"/>
      <c r="R131" s="1295"/>
      <c r="S131" s="1295"/>
      <c r="T131" s="1295"/>
      <c r="U131" s="1295"/>
      <c r="V131" s="1295"/>
      <c r="W131" s="1295"/>
      <c r="X131" s="1295"/>
      <c r="Y131" s="1295"/>
      <c r="Z131" s="1287"/>
      <c r="AA131" s="1322"/>
      <c r="AB131" s="1295"/>
    </row>
    <row r="132" spans="2:28" hidden="1">
      <c r="B132" s="1280"/>
      <c r="C132" s="1280"/>
      <c r="D132" s="1295"/>
      <c r="E132" s="1295"/>
      <c r="F132" s="1295"/>
      <c r="G132" s="1295"/>
      <c r="H132" s="1295"/>
      <c r="I132" s="1295"/>
      <c r="J132" s="1295"/>
      <c r="K132" s="1295"/>
      <c r="L132" s="1295"/>
      <c r="M132" s="1295"/>
      <c r="N132" s="1295"/>
      <c r="O132" s="1295"/>
      <c r="P132" s="1295"/>
      <c r="Q132" s="1295"/>
      <c r="R132" s="1295"/>
      <c r="S132" s="1295"/>
      <c r="T132" s="1295"/>
      <c r="U132" s="1295"/>
      <c r="V132" s="1295"/>
      <c r="W132" s="1295"/>
      <c r="X132" s="1295"/>
      <c r="Y132" s="1295"/>
      <c r="Z132" s="1287"/>
      <c r="AA132" s="1322"/>
      <c r="AB132" s="1295"/>
    </row>
    <row r="133" spans="2:28" hidden="1">
      <c r="B133" s="1280"/>
      <c r="C133" s="1280"/>
      <c r="D133" s="1295"/>
      <c r="E133" s="1295"/>
      <c r="F133" s="1295"/>
      <c r="G133" s="1295"/>
      <c r="H133" s="1295"/>
      <c r="I133" s="1295"/>
      <c r="J133" s="1295"/>
      <c r="K133" s="1295"/>
      <c r="L133" s="1295"/>
      <c r="M133" s="1295"/>
      <c r="N133" s="1295"/>
      <c r="O133" s="1295"/>
      <c r="P133" s="1295"/>
      <c r="Q133" s="1295"/>
      <c r="R133" s="1295"/>
      <c r="S133" s="1295"/>
      <c r="T133" s="1295"/>
      <c r="U133" s="1295"/>
      <c r="V133" s="1295"/>
      <c r="W133" s="1295"/>
      <c r="X133" s="1295"/>
      <c r="Y133" s="1295"/>
      <c r="Z133" s="1287"/>
      <c r="AA133" s="1322"/>
      <c r="AB133" s="1295"/>
    </row>
    <row r="134" spans="2:28" hidden="1">
      <c r="B134" s="1280"/>
      <c r="C134" s="1280"/>
      <c r="D134" s="1302"/>
      <c r="E134" s="1302"/>
      <c r="F134" s="1302"/>
      <c r="G134" s="1302"/>
      <c r="H134" s="1302"/>
      <c r="I134" s="1302"/>
      <c r="J134" s="1302"/>
      <c r="K134" s="1302"/>
      <c r="L134" s="1302"/>
      <c r="M134" s="1302"/>
      <c r="N134" s="1302"/>
      <c r="O134" s="1302"/>
      <c r="P134" s="1302"/>
      <c r="Q134" s="1302"/>
      <c r="R134" s="1302"/>
      <c r="S134" s="1302"/>
      <c r="T134" s="1302"/>
      <c r="U134" s="1302"/>
      <c r="V134" s="1302"/>
      <c r="W134" s="1302"/>
      <c r="X134" s="1302"/>
      <c r="Y134" s="1302"/>
      <c r="Z134" s="1287"/>
      <c r="AA134" s="1322"/>
      <c r="AB134" s="1302"/>
    </row>
    <row r="135" spans="2:28" hidden="1">
      <c r="B135" s="1284"/>
      <c r="C135" s="1284"/>
      <c r="D135" s="1287"/>
      <c r="E135" s="1287"/>
      <c r="F135" s="1287"/>
      <c r="G135" s="1287"/>
      <c r="H135" s="1287"/>
      <c r="I135" s="1287"/>
      <c r="J135" s="1287"/>
      <c r="K135" s="1287"/>
      <c r="L135" s="1287"/>
      <c r="M135" s="1287"/>
      <c r="N135" s="1287"/>
      <c r="O135" s="1287"/>
      <c r="P135" s="1287"/>
      <c r="Q135" s="1287"/>
      <c r="R135" s="1287"/>
      <c r="S135" s="1287"/>
      <c r="T135" s="1287"/>
      <c r="U135" s="1287"/>
      <c r="V135" s="1287"/>
      <c r="W135" s="1287"/>
      <c r="X135" s="1287"/>
      <c r="Y135" s="1287"/>
      <c r="Z135" s="1287"/>
      <c r="AA135" s="1322"/>
      <c r="AB135" s="1287"/>
    </row>
    <row r="136" spans="2:28" hidden="1">
      <c r="B136" s="1284"/>
      <c r="C136" s="1284"/>
      <c r="D136" s="1346"/>
      <c r="E136" s="1280"/>
      <c r="F136" s="1280"/>
      <c r="G136" s="1280"/>
      <c r="H136" s="1280"/>
      <c r="I136" s="1280"/>
      <c r="J136" s="1280"/>
      <c r="K136" s="1280"/>
      <c r="L136" s="1280"/>
      <c r="M136" s="1280"/>
      <c r="N136" s="1280"/>
      <c r="O136" s="1280"/>
      <c r="P136" s="1280"/>
      <c r="Q136" s="1280"/>
      <c r="R136" s="1280"/>
      <c r="S136" s="1280"/>
      <c r="T136" s="1280"/>
      <c r="U136" s="1280"/>
      <c r="V136" s="1280"/>
      <c r="W136" s="1280"/>
      <c r="X136" s="1280"/>
      <c r="Y136" s="1280"/>
      <c r="Z136" s="1280"/>
      <c r="AA136" s="1322"/>
      <c r="AB136" s="1280"/>
    </row>
    <row r="137" spans="2:28" hidden="1">
      <c r="B137" s="1284"/>
      <c r="C137" s="1284"/>
      <c r="D137" s="1307"/>
      <c r="E137" s="1280"/>
      <c r="F137" s="1280"/>
      <c r="G137" s="1280"/>
      <c r="H137" s="1280"/>
      <c r="I137" s="1280"/>
      <c r="J137" s="1280"/>
      <c r="K137" s="1280"/>
      <c r="L137" s="1280"/>
      <c r="M137" s="1280"/>
      <c r="N137" s="1280"/>
      <c r="O137" s="1280"/>
      <c r="P137" s="1280"/>
      <c r="Q137" s="1280"/>
      <c r="R137" s="1280"/>
      <c r="S137" s="1280"/>
      <c r="T137" s="1280"/>
      <c r="U137" s="1280"/>
      <c r="V137" s="1280"/>
      <c r="W137" s="1280"/>
      <c r="X137" s="1280"/>
      <c r="Y137" s="1280"/>
      <c r="Z137" s="1280"/>
      <c r="AA137" s="1322"/>
      <c r="AB137" s="1280"/>
    </row>
    <row r="138" spans="2:28" hidden="1">
      <c r="B138" s="1280"/>
      <c r="C138" s="1280"/>
      <c r="D138" s="1307"/>
      <c r="E138" s="1280"/>
      <c r="F138" s="1280"/>
      <c r="G138" s="1280"/>
      <c r="H138" s="1280"/>
      <c r="I138" s="1280"/>
      <c r="J138" s="1280"/>
      <c r="K138" s="1280"/>
      <c r="L138" s="1280"/>
      <c r="M138" s="1280"/>
      <c r="N138" s="1280"/>
      <c r="O138" s="1280"/>
      <c r="P138" s="1280"/>
      <c r="Q138" s="1280"/>
      <c r="R138" s="1280"/>
      <c r="S138" s="1280"/>
      <c r="T138" s="1280"/>
      <c r="U138" s="1280"/>
      <c r="V138" s="1280"/>
      <c r="W138" s="1280"/>
      <c r="X138" s="1280"/>
      <c r="Y138" s="1280"/>
      <c r="Z138" s="1280"/>
      <c r="AA138" s="1322"/>
      <c r="AB138" s="1280"/>
    </row>
    <row r="139" spans="2:28" hidden="1">
      <c r="B139" s="1280"/>
      <c r="C139" s="1280"/>
      <c r="D139" s="1307"/>
      <c r="E139" s="1295"/>
      <c r="F139" s="1295"/>
      <c r="G139" s="1295"/>
      <c r="H139" s="1295"/>
      <c r="I139" s="1295"/>
      <c r="J139" s="1295"/>
      <c r="K139" s="1295"/>
      <c r="L139" s="1295"/>
      <c r="M139" s="1295"/>
      <c r="N139" s="1295"/>
      <c r="O139" s="1295"/>
      <c r="P139" s="1295"/>
      <c r="Q139" s="1295"/>
      <c r="R139" s="1295"/>
      <c r="S139" s="1295"/>
      <c r="T139" s="1295"/>
      <c r="U139" s="1295"/>
      <c r="V139" s="1295"/>
      <c r="W139" s="1295"/>
      <c r="X139" s="1295"/>
      <c r="Y139" s="1295"/>
      <c r="Z139" s="1280"/>
      <c r="AA139" s="1322"/>
      <c r="AB139" s="1295"/>
    </row>
    <row r="140" spans="2:28" hidden="1">
      <c r="B140" s="1280"/>
      <c r="C140" s="1280"/>
      <c r="D140" s="1307"/>
      <c r="E140" s="1295"/>
      <c r="F140" s="1295"/>
      <c r="G140" s="1295"/>
      <c r="H140" s="1295"/>
      <c r="I140" s="1295"/>
      <c r="J140" s="1295"/>
      <c r="K140" s="1295"/>
      <c r="L140" s="1295"/>
      <c r="M140" s="1295"/>
      <c r="N140" s="1295"/>
      <c r="O140" s="1295"/>
      <c r="P140" s="1295"/>
      <c r="Q140" s="1295"/>
      <c r="R140" s="1295"/>
      <c r="S140" s="1295"/>
      <c r="T140" s="1295"/>
      <c r="U140" s="1295"/>
      <c r="V140" s="1295"/>
      <c r="W140" s="1295"/>
      <c r="X140" s="1295"/>
      <c r="Y140" s="1295"/>
      <c r="Z140" s="1280"/>
      <c r="AA140" s="1322"/>
      <c r="AB140" s="1295"/>
    </row>
    <row r="141" spans="2:28" hidden="1">
      <c r="B141" s="1280"/>
      <c r="C141" s="1280"/>
      <c r="D141" s="1307"/>
      <c r="E141" s="1295"/>
      <c r="F141" s="1295"/>
      <c r="G141" s="1295"/>
      <c r="H141" s="1295"/>
      <c r="I141" s="1295"/>
      <c r="J141" s="1295"/>
      <c r="K141" s="1295"/>
      <c r="L141" s="1295"/>
      <c r="M141" s="1295"/>
      <c r="N141" s="1295"/>
      <c r="O141" s="1295"/>
      <c r="P141" s="1295"/>
      <c r="Q141" s="1295"/>
      <c r="R141" s="1295"/>
      <c r="S141" s="1295"/>
      <c r="T141" s="1295"/>
      <c r="U141" s="1295"/>
      <c r="V141" s="1295"/>
      <c r="W141" s="1295"/>
      <c r="X141" s="1295"/>
      <c r="Y141" s="1295"/>
      <c r="Z141" s="1280"/>
      <c r="AA141" s="1322"/>
      <c r="AB141" s="1295"/>
    </row>
    <row r="142" spans="2:28" hidden="1">
      <c r="B142" s="1280"/>
      <c r="C142" s="1280"/>
      <c r="D142" s="1307"/>
      <c r="E142" s="1295"/>
      <c r="F142" s="1295"/>
      <c r="G142" s="1295"/>
      <c r="H142" s="1295"/>
      <c r="I142" s="1295"/>
      <c r="J142" s="1295"/>
      <c r="K142" s="1295"/>
      <c r="L142" s="1295"/>
      <c r="M142" s="1295"/>
      <c r="N142" s="1295"/>
      <c r="O142" s="1295"/>
      <c r="P142" s="1295"/>
      <c r="Q142" s="1295"/>
      <c r="R142" s="1295"/>
      <c r="S142" s="1295"/>
      <c r="T142" s="1295"/>
      <c r="U142" s="1295"/>
      <c r="V142" s="1295"/>
      <c r="W142" s="1295"/>
      <c r="X142" s="1295"/>
      <c r="Y142" s="1295"/>
      <c r="Z142" s="1280"/>
      <c r="AA142" s="1322"/>
      <c r="AB142" s="1295"/>
    </row>
    <row r="143" spans="2:28" hidden="1">
      <c r="B143" s="1280"/>
      <c r="C143" s="1280"/>
      <c r="D143" s="1307"/>
      <c r="E143" s="1312"/>
      <c r="F143" s="1312"/>
      <c r="G143" s="1312"/>
      <c r="H143" s="1312"/>
      <c r="I143" s="1312"/>
      <c r="J143" s="1312"/>
      <c r="K143" s="1312"/>
      <c r="L143" s="1312"/>
      <c r="M143" s="1312"/>
      <c r="N143" s="1312"/>
      <c r="O143" s="1312"/>
      <c r="P143" s="1312"/>
      <c r="Q143" s="1312"/>
      <c r="R143" s="1312"/>
      <c r="S143" s="1312"/>
      <c r="T143" s="1312"/>
      <c r="U143" s="1312"/>
      <c r="V143" s="1312"/>
      <c r="W143" s="1312"/>
      <c r="X143" s="1312"/>
      <c r="Y143" s="1312"/>
      <c r="Z143" s="1280"/>
      <c r="AA143" s="1322"/>
      <c r="AB143" s="1312"/>
    </row>
    <row r="144" spans="2:28">
      <c r="B144" s="1284"/>
      <c r="C144" s="1284"/>
      <c r="D144" s="1307"/>
      <c r="E144" s="1312"/>
      <c r="F144" s="1312"/>
      <c r="G144" s="1312"/>
      <c r="H144" s="1312"/>
      <c r="I144" s="1312"/>
      <c r="J144" s="1312"/>
      <c r="K144" s="1312"/>
      <c r="L144" s="1312"/>
      <c r="M144" s="1312"/>
      <c r="N144" s="1312"/>
      <c r="O144" s="1312"/>
      <c r="P144" s="1312"/>
      <c r="Q144" s="1312"/>
      <c r="R144" s="1312"/>
      <c r="S144" s="1312"/>
      <c r="T144" s="1312"/>
      <c r="U144" s="1312"/>
      <c r="V144" s="1312"/>
      <c r="W144" s="1312"/>
      <c r="X144" s="1312"/>
      <c r="Y144" s="1312"/>
      <c r="Z144" s="1280"/>
      <c r="AA144" s="1322"/>
      <c r="AB144" s="1312"/>
    </row>
    <row r="145" spans="2:28">
      <c r="B145" s="1284"/>
      <c r="C145" s="1284"/>
      <c r="D145" s="1280"/>
      <c r="E145" s="1280"/>
      <c r="F145" s="1280"/>
      <c r="G145" s="1280"/>
      <c r="H145" s="1280"/>
      <c r="I145" s="1280"/>
      <c r="J145" s="1280"/>
      <c r="K145" s="1280"/>
      <c r="L145" s="1280"/>
      <c r="M145" s="1280"/>
      <c r="N145" s="1280"/>
      <c r="O145" s="1280"/>
      <c r="P145" s="1280"/>
      <c r="Q145" s="1280"/>
      <c r="R145" s="1280"/>
      <c r="S145" s="1280"/>
      <c r="T145" s="1280"/>
      <c r="U145" s="1280"/>
      <c r="V145" s="1280"/>
      <c r="W145" s="1280"/>
      <c r="X145" s="1280"/>
      <c r="Y145" s="1280"/>
      <c r="Z145" s="1280"/>
      <c r="AA145" s="1322"/>
      <c r="AB145" s="1280"/>
    </row>
    <row r="146" spans="2:28">
      <c r="B146" s="1284"/>
      <c r="C146" s="1284"/>
      <c r="D146" s="1307"/>
      <c r="E146" s="1312"/>
      <c r="F146" s="1312"/>
      <c r="G146" s="1312"/>
      <c r="H146" s="1312"/>
      <c r="I146" s="1312"/>
      <c r="J146" s="1312"/>
      <c r="K146" s="1312"/>
      <c r="L146" s="1312"/>
      <c r="M146" s="1312"/>
      <c r="N146" s="1312"/>
      <c r="O146" s="1312"/>
      <c r="P146" s="1312"/>
      <c r="Q146" s="1312"/>
      <c r="R146" s="1312"/>
      <c r="S146" s="1312"/>
      <c r="T146" s="1312"/>
      <c r="U146" s="1312"/>
      <c r="V146" s="1312"/>
      <c r="W146" s="1312"/>
      <c r="X146" s="1312"/>
      <c r="Y146" s="1312"/>
      <c r="Z146" s="1280"/>
      <c r="AA146" s="1322"/>
      <c r="AB146" s="1312"/>
    </row>
    <row r="147" spans="2:28">
      <c r="B147" s="1337"/>
      <c r="C147" s="1337"/>
      <c r="D147" s="1302"/>
      <c r="E147" s="1312"/>
      <c r="F147" s="1312"/>
      <c r="G147" s="1312"/>
      <c r="H147" s="1312"/>
      <c r="I147" s="1312"/>
      <c r="J147" s="1312"/>
      <c r="K147" s="1312"/>
      <c r="L147" s="1312"/>
      <c r="M147" s="1312"/>
      <c r="N147" s="1312"/>
      <c r="O147" s="1312"/>
      <c r="P147" s="1312"/>
      <c r="Q147" s="1312"/>
      <c r="R147" s="1312"/>
      <c r="S147" s="1312"/>
      <c r="T147" s="1312"/>
      <c r="U147" s="1312"/>
      <c r="V147" s="1312"/>
      <c r="W147" s="1312"/>
      <c r="X147" s="1312"/>
      <c r="Y147" s="1312"/>
      <c r="Z147" s="1280"/>
      <c r="AA147" s="1322"/>
      <c r="AB147" s="1312"/>
    </row>
    <row r="148" spans="2:28">
      <c r="B148" s="1280"/>
      <c r="C148" s="1280"/>
      <c r="D148" s="1307"/>
      <c r="E148" s="1324"/>
      <c r="F148" s="1312"/>
      <c r="G148" s="1312"/>
      <c r="H148" s="1312"/>
      <c r="I148" s="1312"/>
      <c r="J148" s="1312"/>
      <c r="K148" s="1312"/>
      <c r="L148" s="1312"/>
      <c r="M148" s="1312"/>
      <c r="N148" s="1312"/>
      <c r="O148" s="1312"/>
      <c r="P148" s="1312"/>
      <c r="Q148" s="1312"/>
      <c r="R148" s="1312"/>
      <c r="S148" s="1312"/>
      <c r="T148" s="1312"/>
      <c r="U148" s="1312"/>
      <c r="V148" s="1312"/>
      <c r="W148" s="1312"/>
      <c r="X148" s="1312"/>
      <c r="Y148" s="1312"/>
      <c r="Z148" s="1280"/>
      <c r="AA148" s="1322"/>
      <c r="AB148" s="1312"/>
    </row>
    <row r="149" spans="2:28">
      <c r="B149" s="1280"/>
      <c r="C149" s="1280"/>
      <c r="D149" s="1307"/>
      <c r="E149" s="1312"/>
      <c r="F149" s="1312"/>
      <c r="G149" s="1312"/>
      <c r="H149" s="1312"/>
      <c r="I149" s="1312"/>
      <c r="J149" s="1312"/>
      <c r="K149" s="1312"/>
      <c r="L149" s="1312"/>
      <c r="M149" s="1312"/>
      <c r="N149" s="1312"/>
      <c r="O149" s="1312"/>
      <c r="P149" s="1312"/>
      <c r="Q149" s="1312"/>
      <c r="R149" s="1312"/>
      <c r="S149" s="1312"/>
      <c r="T149" s="1312"/>
      <c r="U149" s="1312"/>
      <c r="V149" s="1312"/>
      <c r="W149" s="1312"/>
      <c r="X149" s="1312"/>
      <c r="Y149" s="1312"/>
      <c r="Z149" s="1280"/>
      <c r="AA149" s="1322"/>
      <c r="AB149" s="1312"/>
    </row>
    <row r="150" spans="2:28">
      <c r="B150" s="1337"/>
      <c r="C150" s="1337"/>
      <c r="D150" s="1307"/>
      <c r="E150" s="1312"/>
      <c r="F150" s="1312"/>
      <c r="G150" s="1312"/>
      <c r="H150" s="1312"/>
      <c r="I150" s="1312"/>
      <c r="J150" s="1312"/>
      <c r="K150" s="1312"/>
      <c r="L150" s="1312"/>
      <c r="M150" s="1312"/>
      <c r="N150" s="1312"/>
      <c r="O150" s="1312"/>
      <c r="P150" s="1312"/>
      <c r="Q150" s="1312"/>
      <c r="R150" s="1312"/>
      <c r="S150" s="1312"/>
      <c r="T150" s="1312"/>
      <c r="U150" s="1312"/>
      <c r="V150" s="1312"/>
      <c r="W150" s="1312"/>
      <c r="X150" s="1312"/>
      <c r="Y150" s="1312"/>
      <c r="Z150" s="1280"/>
      <c r="AA150" s="1322"/>
      <c r="AB150" s="1312"/>
    </row>
    <row r="151" spans="2:28">
      <c r="B151" s="1337"/>
      <c r="C151" s="1337"/>
      <c r="D151" s="1307"/>
      <c r="E151" s="1312"/>
      <c r="F151" s="1312"/>
      <c r="G151" s="1312"/>
      <c r="H151" s="1312"/>
      <c r="I151" s="1312"/>
      <c r="J151" s="1312"/>
      <c r="K151" s="1312"/>
      <c r="L151" s="1312"/>
      <c r="M151" s="1312"/>
      <c r="N151" s="1312"/>
      <c r="O151" s="1312"/>
      <c r="P151" s="1312"/>
      <c r="Q151" s="1312"/>
      <c r="R151" s="1312"/>
      <c r="S151" s="1312"/>
      <c r="T151" s="1312"/>
      <c r="U151" s="1312"/>
      <c r="V151" s="1312"/>
      <c r="W151" s="1312"/>
      <c r="X151" s="1312"/>
      <c r="Y151" s="1312"/>
      <c r="Z151" s="1280"/>
      <c r="AA151" s="1322"/>
      <c r="AB151" s="1312"/>
    </row>
    <row r="152" spans="2:28">
      <c r="B152" s="1337"/>
      <c r="C152" s="1337"/>
      <c r="D152" s="1307"/>
      <c r="E152" s="1312"/>
      <c r="F152" s="1312"/>
      <c r="G152" s="1312"/>
      <c r="H152" s="1312"/>
      <c r="I152" s="1312"/>
      <c r="J152" s="1312"/>
      <c r="K152" s="1312"/>
      <c r="L152" s="1312"/>
      <c r="M152" s="1312"/>
      <c r="N152" s="1312"/>
      <c r="O152" s="1312"/>
      <c r="P152" s="1312"/>
      <c r="Q152" s="1312"/>
      <c r="R152" s="1312"/>
      <c r="S152" s="1312"/>
      <c r="T152" s="1312"/>
      <c r="U152" s="1312"/>
      <c r="V152" s="1312"/>
      <c r="W152" s="1312"/>
      <c r="X152" s="1312"/>
      <c r="Y152" s="1312"/>
      <c r="Z152" s="1280"/>
      <c r="AA152" s="1322"/>
      <c r="AB152" s="1312"/>
    </row>
    <row r="153" spans="2:28">
      <c r="B153" s="1337"/>
      <c r="C153" s="1337"/>
      <c r="D153" s="1307"/>
      <c r="E153" s="1312"/>
      <c r="F153" s="1312"/>
      <c r="G153" s="1312"/>
      <c r="H153" s="1312"/>
      <c r="I153" s="1312"/>
      <c r="J153" s="1312"/>
      <c r="K153" s="1312"/>
      <c r="L153" s="1312"/>
      <c r="M153" s="1312"/>
      <c r="N153" s="1312"/>
      <c r="O153" s="1312"/>
      <c r="P153" s="1312"/>
      <c r="Q153" s="1312"/>
      <c r="R153" s="1312"/>
      <c r="S153" s="1312"/>
      <c r="T153" s="1312"/>
      <c r="U153" s="1312"/>
      <c r="V153" s="1312"/>
      <c r="W153" s="1312"/>
      <c r="X153" s="1312"/>
      <c r="Y153" s="1312"/>
      <c r="Z153" s="1280"/>
      <c r="AA153" s="1322"/>
      <c r="AB153" s="1312"/>
    </row>
    <row r="154" spans="2:28">
      <c r="B154" s="1337"/>
      <c r="C154" s="1337"/>
      <c r="D154" s="1324"/>
      <c r="E154" s="1324"/>
      <c r="F154" s="1324"/>
      <c r="G154" s="1324"/>
      <c r="H154" s="1324"/>
      <c r="I154" s="1324"/>
      <c r="J154" s="1324"/>
      <c r="K154" s="1324"/>
      <c r="L154" s="1324"/>
      <c r="M154" s="1324"/>
      <c r="N154" s="1324"/>
      <c r="O154" s="1324"/>
      <c r="P154" s="1324"/>
      <c r="Q154" s="1324"/>
      <c r="R154" s="1324"/>
      <c r="S154" s="1324"/>
      <c r="T154" s="1324"/>
      <c r="U154" s="1324"/>
      <c r="V154" s="1324"/>
      <c r="W154" s="1324"/>
      <c r="X154" s="1324"/>
      <c r="Y154" s="1324"/>
      <c r="Z154" s="1280"/>
      <c r="AA154" s="1322"/>
      <c r="AB154" s="1324"/>
    </row>
    <row r="155" spans="2:28">
      <c r="B155" s="1284"/>
      <c r="C155" s="1284"/>
      <c r="D155" s="1312"/>
      <c r="E155" s="1312"/>
      <c r="F155" s="1312"/>
      <c r="G155" s="1312"/>
      <c r="H155" s="1312"/>
      <c r="I155" s="1312"/>
      <c r="J155" s="1312"/>
      <c r="K155" s="1312"/>
      <c r="L155" s="1312"/>
      <c r="M155" s="1312"/>
      <c r="N155" s="1312"/>
      <c r="O155" s="1312"/>
      <c r="P155" s="1312"/>
      <c r="Q155" s="1312"/>
      <c r="R155" s="1312"/>
      <c r="S155" s="1312"/>
      <c r="T155" s="1312"/>
      <c r="U155" s="1312"/>
      <c r="V155" s="1312"/>
      <c r="W155" s="1312"/>
      <c r="X155" s="1312"/>
      <c r="Y155" s="1312"/>
      <c r="Z155" s="1280"/>
      <c r="AA155" s="1322"/>
      <c r="AB155" s="1312"/>
    </row>
    <row r="156" spans="2:28">
      <c r="B156" s="1337"/>
      <c r="C156" s="1337"/>
      <c r="D156" s="1342"/>
      <c r="E156" s="1312"/>
      <c r="F156" s="1312"/>
      <c r="G156" s="1312"/>
      <c r="H156" s="1312"/>
      <c r="I156" s="1312"/>
      <c r="J156" s="1312"/>
      <c r="K156" s="1312"/>
      <c r="L156" s="1312"/>
      <c r="M156" s="1312"/>
      <c r="N156" s="1312"/>
      <c r="O156" s="1312"/>
      <c r="P156" s="1312"/>
      <c r="Q156" s="1312"/>
      <c r="R156" s="1312"/>
      <c r="S156" s="1312"/>
      <c r="T156" s="1312"/>
      <c r="U156" s="1312"/>
      <c r="V156" s="1312"/>
      <c r="W156" s="1312"/>
      <c r="X156" s="1312"/>
      <c r="Y156" s="1312"/>
      <c r="Z156" s="1280"/>
      <c r="AA156" s="1322"/>
      <c r="AB156" s="1312"/>
    </row>
    <row r="157" spans="2:28">
      <c r="B157" s="1347"/>
      <c r="C157" s="1347"/>
      <c r="D157" s="1348"/>
      <c r="E157" s="1280"/>
      <c r="F157" s="1280"/>
      <c r="G157" s="1280"/>
      <c r="H157" s="1280"/>
      <c r="I157" s="1280"/>
      <c r="J157" s="1280"/>
      <c r="K157" s="1280"/>
      <c r="L157" s="1280"/>
      <c r="M157" s="1280"/>
      <c r="N157" s="1280"/>
      <c r="O157" s="1280"/>
      <c r="P157" s="1280"/>
      <c r="Q157" s="1280"/>
      <c r="R157" s="1280"/>
      <c r="S157" s="1280"/>
      <c r="T157" s="1280"/>
      <c r="U157" s="1280"/>
      <c r="V157" s="1280"/>
      <c r="W157" s="1280"/>
      <c r="X157" s="1280"/>
      <c r="Y157" s="1280"/>
      <c r="Z157" s="1280"/>
      <c r="AA157" s="1322"/>
      <c r="AB157" s="1280"/>
    </row>
    <row r="158" spans="2:28">
      <c r="B158" s="1322"/>
      <c r="C158" s="1322"/>
      <c r="D158" s="1322"/>
      <c r="E158" s="1322"/>
      <c r="F158" s="1322"/>
      <c r="G158" s="1322"/>
      <c r="H158" s="1322"/>
      <c r="I158" s="1322"/>
      <c r="J158" s="1322"/>
      <c r="K158" s="1322"/>
      <c r="L158" s="1322"/>
      <c r="M158" s="1322"/>
      <c r="N158" s="1322"/>
      <c r="O158" s="1322"/>
      <c r="P158" s="1322"/>
      <c r="Q158" s="1322"/>
      <c r="R158" s="1322"/>
      <c r="S158" s="1322"/>
      <c r="T158" s="1322"/>
      <c r="U158" s="1322"/>
      <c r="V158" s="1322"/>
      <c r="W158" s="1322"/>
      <c r="X158" s="1322"/>
      <c r="Y158" s="1322"/>
      <c r="Z158" s="1322"/>
      <c r="AA158" s="1322"/>
      <c r="AB158" s="1322"/>
    </row>
    <row r="159" spans="2:28">
      <c r="B159" s="1343"/>
      <c r="C159" s="1343"/>
      <c r="D159" s="1280"/>
      <c r="E159" s="1295"/>
      <c r="F159" s="1295"/>
      <c r="G159" s="1295"/>
      <c r="H159" s="1295"/>
      <c r="I159" s="1295"/>
      <c r="J159" s="1295"/>
      <c r="K159" s="1295"/>
      <c r="L159" s="1295"/>
      <c r="M159" s="1295"/>
      <c r="N159" s="1295"/>
      <c r="O159" s="1295"/>
      <c r="P159" s="1295"/>
      <c r="Q159" s="1295"/>
      <c r="R159" s="1295"/>
      <c r="S159" s="1295"/>
      <c r="T159" s="1295"/>
      <c r="U159" s="1295"/>
      <c r="V159" s="1295"/>
      <c r="W159" s="1295"/>
      <c r="X159" s="1295"/>
      <c r="Y159" s="1295"/>
      <c r="Z159" s="1280"/>
      <c r="AA159" s="1322"/>
      <c r="AB159" s="1295"/>
    </row>
    <row r="160" spans="2:28">
      <c r="B160" s="1280"/>
      <c r="C160" s="1280"/>
      <c r="D160" s="1280"/>
      <c r="E160" s="1280"/>
      <c r="F160" s="1280"/>
      <c r="G160" s="1280"/>
      <c r="H160" s="1280"/>
      <c r="I160" s="1280"/>
      <c r="J160" s="1280"/>
      <c r="K160" s="1280"/>
      <c r="L160" s="1280"/>
      <c r="M160" s="1280"/>
      <c r="N160" s="1280"/>
      <c r="O160" s="1280"/>
      <c r="P160" s="1280"/>
      <c r="Q160" s="1280"/>
      <c r="R160" s="1280"/>
      <c r="S160" s="1280"/>
      <c r="T160" s="1280"/>
      <c r="U160" s="1280"/>
      <c r="V160" s="1280"/>
      <c r="W160" s="1280"/>
      <c r="X160" s="1280"/>
      <c r="Y160" s="1280"/>
      <c r="Z160" s="1280"/>
      <c r="AA160" s="1322"/>
      <c r="AB160" s="1280"/>
    </row>
    <row r="161" spans="2:28">
      <c r="B161" s="1284"/>
      <c r="C161" s="1284"/>
      <c r="D161" s="1344"/>
      <c r="E161" s="1280"/>
      <c r="F161" s="1280"/>
      <c r="G161" s="1280"/>
      <c r="H161" s="1280"/>
      <c r="I161" s="1280"/>
      <c r="J161" s="1280"/>
      <c r="K161" s="1280"/>
      <c r="L161" s="1280"/>
      <c r="M161" s="1280"/>
      <c r="N161" s="1280"/>
      <c r="O161" s="1280"/>
      <c r="P161" s="1280"/>
      <c r="Q161" s="1280"/>
      <c r="R161" s="1280"/>
      <c r="S161" s="1280"/>
      <c r="T161" s="1280"/>
      <c r="U161" s="1280"/>
      <c r="V161" s="1280"/>
      <c r="W161" s="1280"/>
      <c r="X161" s="1280"/>
      <c r="Y161" s="1280"/>
      <c r="Z161" s="1280"/>
      <c r="AA161" s="1322"/>
      <c r="AB161" s="1280"/>
    </row>
    <row r="162" spans="2:28">
      <c r="B162" s="1280"/>
      <c r="C162" s="1280"/>
      <c r="D162" s="1280"/>
      <c r="E162" s="1280"/>
      <c r="F162" s="1280"/>
      <c r="G162" s="1280"/>
      <c r="H162" s="1280"/>
      <c r="I162" s="1280"/>
      <c r="J162" s="1280"/>
      <c r="K162" s="1280"/>
      <c r="L162" s="1280"/>
      <c r="M162" s="1280"/>
      <c r="N162" s="1280"/>
      <c r="O162" s="1280"/>
      <c r="P162" s="1280"/>
      <c r="Q162" s="1280"/>
      <c r="R162" s="1280"/>
      <c r="S162" s="1280"/>
      <c r="T162" s="1280"/>
      <c r="U162" s="1280"/>
      <c r="V162" s="1280"/>
      <c r="W162" s="1280"/>
      <c r="X162" s="1280"/>
      <c r="Y162" s="1280"/>
      <c r="Z162" s="1280"/>
      <c r="AA162" s="1322"/>
      <c r="AB162" s="1280"/>
    </row>
    <row r="163" spans="2:28">
      <c r="B163" s="1284"/>
      <c r="C163" s="1284"/>
      <c r="D163" s="1284"/>
      <c r="E163" s="1284"/>
      <c r="F163" s="1284"/>
      <c r="G163" s="1284"/>
      <c r="H163" s="1284"/>
      <c r="I163" s="1284"/>
      <c r="J163" s="1284"/>
      <c r="K163" s="1284"/>
      <c r="L163" s="1284"/>
      <c r="M163" s="1284"/>
      <c r="N163" s="1284"/>
      <c r="O163" s="1284"/>
      <c r="P163" s="1284"/>
      <c r="Q163" s="1284"/>
      <c r="R163" s="1284"/>
      <c r="S163" s="1284"/>
      <c r="T163" s="1284"/>
      <c r="U163" s="1284"/>
      <c r="V163" s="1284"/>
      <c r="W163" s="1284"/>
      <c r="X163" s="1284"/>
      <c r="Y163" s="1331"/>
      <c r="Z163" s="1345"/>
      <c r="AA163" s="1322"/>
      <c r="AB163" s="1331"/>
    </row>
    <row r="164" spans="2:28" hidden="1">
      <c r="B164" s="1280"/>
      <c r="C164" s="1280"/>
      <c r="D164" s="1280"/>
      <c r="E164" s="1280"/>
      <c r="F164" s="1280"/>
      <c r="G164" s="1280"/>
      <c r="H164" s="1280"/>
      <c r="I164" s="1280"/>
      <c r="J164" s="1280"/>
      <c r="K164" s="1280"/>
      <c r="L164" s="1280"/>
      <c r="M164" s="1280"/>
      <c r="N164" s="1280"/>
      <c r="O164" s="1280"/>
      <c r="P164" s="1280"/>
      <c r="Q164" s="1280"/>
      <c r="R164" s="1280"/>
      <c r="S164" s="1280"/>
      <c r="T164" s="1280"/>
      <c r="U164" s="1280"/>
      <c r="V164" s="1280"/>
      <c r="W164" s="1280"/>
      <c r="X164" s="1280"/>
      <c r="Y164" s="1280"/>
      <c r="Z164" s="1280"/>
      <c r="AA164" s="1322"/>
      <c r="AB164" s="1280"/>
    </row>
    <row r="165" spans="2:28" hidden="1">
      <c r="B165" s="1284"/>
      <c r="C165" s="1284"/>
      <c r="D165" s="1280"/>
      <c r="E165" s="1285"/>
      <c r="F165" s="1285"/>
      <c r="G165" s="1285"/>
      <c r="H165" s="1285"/>
      <c r="I165" s="1285"/>
      <c r="J165" s="1285"/>
      <c r="K165" s="1285"/>
      <c r="L165" s="1285"/>
      <c r="M165" s="1285"/>
      <c r="N165" s="1285"/>
      <c r="O165" s="1285"/>
      <c r="P165" s="1285"/>
      <c r="Q165" s="1285"/>
      <c r="R165" s="1285"/>
      <c r="S165" s="1285"/>
      <c r="T165" s="1285"/>
      <c r="U165" s="1285"/>
      <c r="V165" s="1285"/>
      <c r="W165" s="1285"/>
      <c r="X165" s="1285"/>
      <c r="Y165" s="1285"/>
      <c r="Z165" s="1280"/>
      <c r="AA165" s="1322"/>
      <c r="AB165" s="1285"/>
    </row>
    <row r="166" spans="2:28" hidden="1">
      <c r="B166" s="1284"/>
      <c r="C166" s="1284"/>
      <c r="D166" s="1280"/>
      <c r="E166" s="1287"/>
      <c r="F166" s="1287"/>
      <c r="G166" s="1287"/>
      <c r="H166" s="1287"/>
      <c r="I166" s="1287"/>
      <c r="J166" s="1287"/>
      <c r="K166" s="1287"/>
      <c r="L166" s="1287"/>
      <c r="M166" s="1287"/>
      <c r="N166" s="1287"/>
      <c r="O166" s="1287"/>
      <c r="P166" s="1287"/>
      <c r="Q166" s="1287"/>
      <c r="R166" s="1287"/>
      <c r="S166" s="1287"/>
      <c r="T166" s="1287"/>
      <c r="U166" s="1287"/>
      <c r="V166" s="1287"/>
      <c r="W166" s="1287"/>
      <c r="X166" s="1287"/>
      <c r="Y166" s="1287"/>
      <c r="Z166" s="1280"/>
      <c r="AA166" s="1322"/>
      <c r="AB166" s="1287"/>
    </row>
    <row r="167" spans="2:28" hidden="1">
      <c r="B167" s="1284"/>
      <c r="C167" s="1284"/>
      <c r="D167" s="1280"/>
      <c r="E167" s="1280"/>
      <c r="F167" s="1280"/>
      <c r="G167" s="1280"/>
      <c r="H167" s="1280"/>
      <c r="I167" s="1280"/>
      <c r="J167" s="1280"/>
      <c r="K167" s="1280"/>
      <c r="L167" s="1280"/>
      <c r="M167" s="1280"/>
      <c r="N167" s="1280"/>
      <c r="O167" s="1280"/>
      <c r="P167" s="1280"/>
      <c r="Q167" s="1280"/>
      <c r="R167" s="1280"/>
      <c r="S167" s="1280"/>
      <c r="T167" s="1280"/>
      <c r="U167" s="1280"/>
      <c r="V167" s="1280"/>
      <c r="W167" s="1280"/>
      <c r="X167" s="1280"/>
      <c r="Y167" s="1280"/>
      <c r="Z167" s="1280"/>
      <c r="AA167" s="1322"/>
      <c r="AB167" s="1280"/>
    </row>
    <row r="168" spans="2:28" hidden="1">
      <c r="B168" s="1284"/>
      <c r="C168" s="1284"/>
      <c r="D168" s="1280"/>
      <c r="E168" s="1280"/>
      <c r="F168" s="1280"/>
      <c r="G168" s="1280"/>
      <c r="H168" s="1280"/>
      <c r="I168" s="1280"/>
      <c r="J168" s="1280"/>
      <c r="K168" s="1280"/>
      <c r="L168" s="1280"/>
      <c r="M168" s="1280"/>
      <c r="N168" s="1280"/>
      <c r="O168" s="1280"/>
      <c r="P168" s="1280"/>
      <c r="Q168" s="1280"/>
      <c r="R168" s="1280"/>
      <c r="S168" s="1280"/>
      <c r="T168" s="1280"/>
      <c r="U168" s="1280"/>
      <c r="V168" s="1280"/>
      <c r="W168" s="1280"/>
      <c r="X168" s="1280"/>
      <c r="Y168" s="1280"/>
      <c r="Z168" s="1280"/>
      <c r="AA168" s="1322"/>
      <c r="AB168" s="1280"/>
    </row>
    <row r="169" spans="2:28" hidden="1">
      <c r="B169" s="1284"/>
      <c r="C169" s="1284"/>
      <c r="D169" s="1280"/>
      <c r="E169" s="1280"/>
      <c r="F169" s="1280"/>
      <c r="G169" s="1280"/>
      <c r="H169" s="1280"/>
      <c r="I169" s="1280"/>
      <c r="J169" s="1280"/>
      <c r="K169" s="1280"/>
      <c r="L169" s="1280"/>
      <c r="M169" s="1280"/>
      <c r="N169" s="1280"/>
      <c r="O169" s="1280"/>
      <c r="P169" s="1280"/>
      <c r="Q169" s="1280"/>
      <c r="R169" s="1280"/>
      <c r="S169" s="1280"/>
      <c r="T169" s="1280"/>
      <c r="U169" s="1280"/>
      <c r="V169" s="1280"/>
      <c r="W169" s="1280"/>
      <c r="X169" s="1280"/>
      <c r="Y169" s="1280"/>
      <c r="Z169" s="1280"/>
      <c r="AA169" s="1322"/>
      <c r="AB169" s="1280"/>
    </row>
    <row r="170" spans="2:28" hidden="1">
      <c r="B170" s="1280"/>
      <c r="C170" s="1280"/>
      <c r="D170" s="1295"/>
      <c r="E170" s="1295"/>
      <c r="F170" s="1295"/>
      <c r="G170" s="1295"/>
      <c r="H170" s="1295"/>
      <c r="I170" s="1295"/>
      <c r="J170" s="1295"/>
      <c r="K170" s="1295"/>
      <c r="L170" s="1295"/>
      <c r="M170" s="1295"/>
      <c r="N170" s="1295"/>
      <c r="O170" s="1295"/>
      <c r="P170" s="1295"/>
      <c r="Q170" s="1295"/>
      <c r="R170" s="1295"/>
      <c r="S170" s="1295"/>
      <c r="T170" s="1295"/>
      <c r="U170" s="1295"/>
      <c r="V170" s="1295"/>
      <c r="W170" s="1295"/>
      <c r="X170" s="1295"/>
      <c r="Y170" s="1295"/>
      <c r="Z170" s="1295"/>
      <c r="AA170" s="1322"/>
      <c r="AB170" s="1295"/>
    </row>
    <row r="171" spans="2:28" hidden="1">
      <c r="B171" s="1280"/>
      <c r="C171" s="1280"/>
      <c r="D171" s="1295"/>
      <c r="E171" s="1295"/>
      <c r="F171" s="1295"/>
      <c r="G171" s="1295"/>
      <c r="H171" s="1295"/>
      <c r="I171" s="1295"/>
      <c r="J171" s="1295"/>
      <c r="K171" s="1295"/>
      <c r="L171" s="1295"/>
      <c r="M171" s="1295"/>
      <c r="N171" s="1295"/>
      <c r="O171" s="1295"/>
      <c r="P171" s="1295"/>
      <c r="Q171" s="1295"/>
      <c r="R171" s="1295"/>
      <c r="S171" s="1295"/>
      <c r="T171" s="1295"/>
      <c r="U171" s="1295"/>
      <c r="V171" s="1295"/>
      <c r="W171" s="1295"/>
      <c r="X171" s="1295"/>
      <c r="Y171" s="1295"/>
      <c r="Z171" s="1295"/>
      <c r="AA171" s="1322"/>
      <c r="AB171" s="1295"/>
    </row>
    <row r="172" spans="2:28" hidden="1">
      <c r="B172" s="1280"/>
      <c r="C172" s="1280"/>
      <c r="D172" s="1295"/>
      <c r="E172" s="1295"/>
      <c r="F172" s="1295"/>
      <c r="G172" s="1295"/>
      <c r="H172" s="1295"/>
      <c r="I172" s="1295"/>
      <c r="J172" s="1295"/>
      <c r="K172" s="1295"/>
      <c r="L172" s="1295"/>
      <c r="M172" s="1295"/>
      <c r="N172" s="1295"/>
      <c r="O172" s="1295"/>
      <c r="P172" s="1295"/>
      <c r="Q172" s="1295"/>
      <c r="R172" s="1295"/>
      <c r="S172" s="1295"/>
      <c r="T172" s="1295"/>
      <c r="U172" s="1295"/>
      <c r="V172" s="1295"/>
      <c r="W172" s="1295"/>
      <c r="X172" s="1295"/>
      <c r="Y172" s="1295"/>
      <c r="Z172" s="1295"/>
      <c r="AA172" s="1322"/>
      <c r="AB172" s="1295"/>
    </row>
    <row r="173" spans="2:28" hidden="1">
      <c r="B173" s="1280"/>
      <c r="C173" s="1280"/>
      <c r="D173" s="1295"/>
      <c r="E173" s="1295"/>
      <c r="F173" s="1295"/>
      <c r="G173" s="1295"/>
      <c r="H173" s="1295"/>
      <c r="I173" s="1295"/>
      <c r="J173" s="1295"/>
      <c r="K173" s="1295"/>
      <c r="L173" s="1295"/>
      <c r="M173" s="1295"/>
      <c r="N173" s="1295"/>
      <c r="O173" s="1295"/>
      <c r="P173" s="1295"/>
      <c r="Q173" s="1295"/>
      <c r="R173" s="1295"/>
      <c r="S173" s="1295"/>
      <c r="T173" s="1295"/>
      <c r="U173" s="1295"/>
      <c r="V173" s="1295"/>
      <c r="W173" s="1295"/>
      <c r="X173" s="1295"/>
      <c r="Y173" s="1295"/>
      <c r="Z173" s="1295"/>
      <c r="AA173" s="1322"/>
      <c r="AB173" s="1295"/>
    </row>
    <row r="174" spans="2:28" hidden="1">
      <c r="B174" s="1280"/>
      <c r="C174" s="1280"/>
      <c r="D174" s="1295"/>
      <c r="E174" s="1295"/>
      <c r="F174" s="1295"/>
      <c r="G174" s="1295"/>
      <c r="H174" s="1295"/>
      <c r="I174" s="1295"/>
      <c r="J174" s="1295"/>
      <c r="K174" s="1295"/>
      <c r="L174" s="1295"/>
      <c r="M174" s="1295"/>
      <c r="N174" s="1295"/>
      <c r="O174" s="1295"/>
      <c r="P174" s="1295"/>
      <c r="Q174" s="1295"/>
      <c r="R174" s="1295"/>
      <c r="S174" s="1295"/>
      <c r="T174" s="1295"/>
      <c r="U174" s="1295"/>
      <c r="V174" s="1295"/>
      <c r="W174" s="1295"/>
      <c r="X174" s="1295"/>
      <c r="Y174" s="1295"/>
      <c r="Z174" s="1295"/>
      <c r="AA174" s="1322"/>
      <c r="AB174" s="1295"/>
    </row>
    <row r="175" spans="2:28" hidden="1">
      <c r="B175" s="1280"/>
      <c r="C175" s="1280"/>
      <c r="D175" s="1295"/>
      <c r="E175" s="1295"/>
      <c r="F175" s="1295"/>
      <c r="G175" s="1295"/>
      <c r="H175" s="1295"/>
      <c r="I175" s="1295"/>
      <c r="J175" s="1295"/>
      <c r="K175" s="1295"/>
      <c r="L175" s="1295"/>
      <c r="M175" s="1295"/>
      <c r="N175" s="1295"/>
      <c r="O175" s="1295"/>
      <c r="P175" s="1295"/>
      <c r="Q175" s="1295"/>
      <c r="R175" s="1295"/>
      <c r="S175" s="1295"/>
      <c r="T175" s="1295"/>
      <c r="U175" s="1295"/>
      <c r="V175" s="1295"/>
      <c r="W175" s="1295"/>
      <c r="X175" s="1295"/>
      <c r="Y175" s="1295"/>
      <c r="Z175" s="1295"/>
      <c r="AA175" s="1322"/>
      <c r="AB175" s="1295"/>
    </row>
    <row r="176" spans="2:28" hidden="1">
      <c r="B176" s="1280"/>
      <c r="C176" s="1280"/>
      <c r="D176" s="1295"/>
      <c r="E176" s="1295"/>
      <c r="F176" s="1295"/>
      <c r="G176" s="1295"/>
      <c r="H176" s="1295"/>
      <c r="I176" s="1295"/>
      <c r="J176" s="1295"/>
      <c r="K176" s="1295"/>
      <c r="L176" s="1295"/>
      <c r="M176" s="1295"/>
      <c r="N176" s="1295"/>
      <c r="O176" s="1295"/>
      <c r="P176" s="1295"/>
      <c r="Q176" s="1295"/>
      <c r="R176" s="1295"/>
      <c r="S176" s="1295"/>
      <c r="T176" s="1295"/>
      <c r="U176" s="1295"/>
      <c r="V176" s="1295"/>
      <c r="W176" s="1295"/>
      <c r="X176" s="1295"/>
      <c r="Y176" s="1295"/>
      <c r="Z176" s="1295"/>
      <c r="AA176" s="1322"/>
      <c r="AB176" s="1295"/>
    </row>
    <row r="177" spans="2:28" hidden="1">
      <c r="B177" s="1280"/>
      <c r="C177" s="1280"/>
      <c r="D177" s="1295"/>
      <c r="E177" s="1295"/>
      <c r="F177" s="1295"/>
      <c r="G177" s="1295"/>
      <c r="H177" s="1295"/>
      <c r="I177" s="1295"/>
      <c r="J177" s="1295"/>
      <c r="K177" s="1295"/>
      <c r="L177" s="1295"/>
      <c r="M177" s="1295"/>
      <c r="N177" s="1295"/>
      <c r="O177" s="1295"/>
      <c r="P177" s="1295"/>
      <c r="Q177" s="1295"/>
      <c r="R177" s="1295"/>
      <c r="S177" s="1295"/>
      <c r="T177" s="1295"/>
      <c r="U177" s="1295"/>
      <c r="V177" s="1295"/>
      <c r="W177" s="1295"/>
      <c r="X177" s="1295"/>
      <c r="Y177" s="1295"/>
      <c r="Z177" s="1287"/>
      <c r="AA177" s="1322"/>
      <c r="AB177" s="1295"/>
    </row>
    <row r="178" spans="2:28" hidden="1">
      <c r="B178" s="1280"/>
      <c r="C178" s="1280"/>
      <c r="D178" s="1295"/>
      <c r="E178" s="1295"/>
      <c r="F178" s="1295"/>
      <c r="G178" s="1295"/>
      <c r="H178" s="1295"/>
      <c r="I178" s="1295"/>
      <c r="J178" s="1295"/>
      <c r="K178" s="1295"/>
      <c r="L178" s="1295"/>
      <c r="M178" s="1295"/>
      <c r="N178" s="1295"/>
      <c r="O178" s="1295"/>
      <c r="P178" s="1295"/>
      <c r="Q178" s="1295"/>
      <c r="R178" s="1295"/>
      <c r="S178" s="1295"/>
      <c r="T178" s="1295"/>
      <c r="U178" s="1295"/>
      <c r="V178" s="1295"/>
      <c r="W178" s="1295"/>
      <c r="X178" s="1295"/>
      <c r="Y178" s="1295"/>
      <c r="Z178" s="1287"/>
      <c r="AA178" s="1322"/>
      <c r="AB178" s="1295"/>
    </row>
    <row r="179" spans="2:28" hidden="1">
      <c r="B179" s="1280"/>
      <c r="C179" s="1280"/>
      <c r="D179" s="1295"/>
      <c r="E179" s="1295"/>
      <c r="F179" s="1295"/>
      <c r="G179" s="1295"/>
      <c r="H179" s="1295"/>
      <c r="I179" s="1295"/>
      <c r="J179" s="1295"/>
      <c r="K179" s="1295"/>
      <c r="L179" s="1295"/>
      <c r="M179" s="1295"/>
      <c r="N179" s="1295"/>
      <c r="O179" s="1295"/>
      <c r="P179" s="1295"/>
      <c r="Q179" s="1295"/>
      <c r="R179" s="1295"/>
      <c r="S179" s="1295"/>
      <c r="T179" s="1295"/>
      <c r="U179" s="1295"/>
      <c r="V179" s="1295"/>
      <c r="W179" s="1295"/>
      <c r="X179" s="1295"/>
      <c r="Y179" s="1295"/>
      <c r="Z179" s="1287"/>
      <c r="AA179" s="1322"/>
      <c r="AB179" s="1295"/>
    </row>
    <row r="180" spans="2:28" hidden="1">
      <c r="B180" s="1280"/>
      <c r="C180" s="1280"/>
      <c r="D180" s="1295"/>
      <c r="E180" s="1295"/>
      <c r="F180" s="1295"/>
      <c r="G180" s="1295"/>
      <c r="H180" s="1295"/>
      <c r="I180" s="1295"/>
      <c r="J180" s="1295"/>
      <c r="K180" s="1295"/>
      <c r="L180" s="1295"/>
      <c r="M180" s="1295"/>
      <c r="N180" s="1295"/>
      <c r="O180" s="1295"/>
      <c r="P180" s="1295"/>
      <c r="Q180" s="1295"/>
      <c r="R180" s="1295"/>
      <c r="S180" s="1295"/>
      <c r="T180" s="1295"/>
      <c r="U180" s="1295"/>
      <c r="V180" s="1295"/>
      <c r="W180" s="1295"/>
      <c r="X180" s="1295"/>
      <c r="Y180" s="1295"/>
      <c r="Z180" s="1287"/>
      <c r="AA180" s="1322"/>
      <c r="AB180" s="1295"/>
    </row>
    <row r="181" spans="2:28" hidden="1">
      <c r="B181" s="1280"/>
      <c r="C181" s="1280"/>
      <c r="D181" s="1295"/>
      <c r="E181" s="1295"/>
      <c r="F181" s="1295"/>
      <c r="G181" s="1295"/>
      <c r="H181" s="1295"/>
      <c r="I181" s="1295"/>
      <c r="J181" s="1295"/>
      <c r="K181" s="1295"/>
      <c r="L181" s="1295"/>
      <c r="M181" s="1295"/>
      <c r="N181" s="1295"/>
      <c r="O181" s="1295"/>
      <c r="P181" s="1295"/>
      <c r="Q181" s="1295"/>
      <c r="R181" s="1295"/>
      <c r="S181" s="1295"/>
      <c r="T181" s="1295"/>
      <c r="U181" s="1295"/>
      <c r="V181" s="1295"/>
      <c r="W181" s="1295"/>
      <c r="X181" s="1295"/>
      <c r="Y181" s="1295"/>
      <c r="Z181" s="1287"/>
      <c r="AA181" s="1322"/>
      <c r="AB181" s="1295"/>
    </row>
    <row r="182" spans="2:28" hidden="1">
      <c r="B182" s="1280"/>
      <c r="C182" s="1280"/>
      <c r="D182" s="1302"/>
      <c r="E182" s="1302"/>
      <c r="F182" s="1302"/>
      <c r="G182" s="1302"/>
      <c r="H182" s="1302"/>
      <c r="I182" s="1302"/>
      <c r="J182" s="1302"/>
      <c r="K182" s="1302"/>
      <c r="L182" s="1302"/>
      <c r="M182" s="1302"/>
      <c r="N182" s="1302"/>
      <c r="O182" s="1302"/>
      <c r="P182" s="1302"/>
      <c r="Q182" s="1302"/>
      <c r="R182" s="1302"/>
      <c r="S182" s="1302"/>
      <c r="T182" s="1302"/>
      <c r="U182" s="1302"/>
      <c r="V182" s="1302"/>
      <c r="W182" s="1302"/>
      <c r="X182" s="1302"/>
      <c r="Y182" s="1302"/>
      <c r="Z182" s="1287"/>
      <c r="AA182" s="1322"/>
      <c r="AB182" s="1302"/>
    </row>
    <row r="183" spans="2:28" hidden="1">
      <c r="B183" s="1284"/>
      <c r="C183" s="1284"/>
      <c r="D183" s="1287"/>
      <c r="E183" s="1287"/>
      <c r="F183" s="1287"/>
      <c r="G183" s="1287"/>
      <c r="H183" s="1287"/>
      <c r="I183" s="1287"/>
      <c r="J183" s="1287"/>
      <c r="K183" s="1287"/>
      <c r="L183" s="1287"/>
      <c r="M183" s="1287"/>
      <c r="N183" s="1287"/>
      <c r="O183" s="1287"/>
      <c r="P183" s="1287"/>
      <c r="Q183" s="1287"/>
      <c r="R183" s="1287"/>
      <c r="S183" s="1287"/>
      <c r="T183" s="1287"/>
      <c r="U183" s="1287"/>
      <c r="V183" s="1287"/>
      <c r="W183" s="1287"/>
      <c r="X183" s="1287"/>
      <c r="Y183" s="1287"/>
      <c r="Z183" s="1287"/>
      <c r="AA183" s="1322"/>
      <c r="AB183" s="1287"/>
    </row>
    <row r="184" spans="2:28" hidden="1">
      <c r="B184" s="1284"/>
      <c r="C184" s="1284"/>
      <c r="D184" s="1346"/>
      <c r="E184" s="1280"/>
      <c r="F184" s="1280"/>
      <c r="G184" s="1280"/>
      <c r="H184" s="1280"/>
      <c r="I184" s="1280"/>
      <c r="J184" s="1280"/>
      <c r="K184" s="1280"/>
      <c r="L184" s="1280"/>
      <c r="M184" s="1280"/>
      <c r="N184" s="1280"/>
      <c r="O184" s="1280"/>
      <c r="P184" s="1280"/>
      <c r="Q184" s="1280"/>
      <c r="R184" s="1280"/>
      <c r="S184" s="1280"/>
      <c r="T184" s="1280"/>
      <c r="U184" s="1280"/>
      <c r="V184" s="1280"/>
      <c r="W184" s="1280"/>
      <c r="X184" s="1280"/>
      <c r="Y184" s="1280"/>
      <c r="Z184" s="1280"/>
      <c r="AA184" s="1322"/>
      <c r="AB184" s="1280"/>
    </row>
    <row r="185" spans="2:28" hidden="1">
      <c r="B185" s="1284"/>
      <c r="C185" s="1284"/>
      <c r="D185" s="1307"/>
      <c r="E185" s="1280"/>
      <c r="F185" s="1280"/>
      <c r="G185" s="1280"/>
      <c r="H185" s="1280"/>
      <c r="I185" s="1280"/>
      <c r="J185" s="1280"/>
      <c r="K185" s="1280"/>
      <c r="L185" s="1280"/>
      <c r="M185" s="1280"/>
      <c r="N185" s="1280"/>
      <c r="O185" s="1280"/>
      <c r="P185" s="1280"/>
      <c r="Q185" s="1280"/>
      <c r="R185" s="1280"/>
      <c r="S185" s="1280"/>
      <c r="T185" s="1280"/>
      <c r="U185" s="1280"/>
      <c r="V185" s="1280"/>
      <c r="W185" s="1280"/>
      <c r="X185" s="1280"/>
      <c r="Y185" s="1280"/>
      <c r="Z185" s="1280"/>
      <c r="AA185" s="1322"/>
      <c r="AB185" s="1280"/>
    </row>
    <row r="186" spans="2:28" hidden="1">
      <c r="B186" s="1280"/>
      <c r="C186" s="1280"/>
      <c r="D186" s="1307"/>
      <c r="E186" s="1280"/>
      <c r="F186" s="1280"/>
      <c r="G186" s="1280"/>
      <c r="H186" s="1280"/>
      <c r="I186" s="1280"/>
      <c r="J186" s="1280"/>
      <c r="K186" s="1280"/>
      <c r="L186" s="1280"/>
      <c r="M186" s="1280"/>
      <c r="N186" s="1280"/>
      <c r="O186" s="1280"/>
      <c r="P186" s="1280"/>
      <c r="Q186" s="1280"/>
      <c r="R186" s="1280"/>
      <c r="S186" s="1280"/>
      <c r="T186" s="1280"/>
      <c r="U186" s="1280"/>
      <c r="V186" s="1280"/>
      <c r="W186" s="1280"/>
      <c r="X186" s="1280"/>
      <c r="Y186" s="1280"/>
      <c r="Z186" s="1280"/>
      <c r="AA186" s="1322"/>
      <c r="AB186" s="1280"/>
    </row>
    <row r="187" spans="2:28" hidden="1">
      <c r="B187" s="1280"/>
      <c r="C187" s="1280"/>
      <c r="D187" s="1307"/>
      <c r="E187" s="1295"/>
      <c r="F187" s="1295"/>
      <c r="G187" s="1295"/>
      <c r="H187" s="1295"/>
      <c r="I187" s="1295"/>
      <c r="J187" s="1295"/>
      <c r="K187" s="1295"/>
      <c r="L187" s="1295"/>
      <c r="M187" s="1295"/>
      <c r="N187" s="1295"/>
      <c r="O187" s="1295"/>
      <c r="P187" s="1295"/>
      <c r="Q187" s="1295"/>
      <c r="R187" s="1295"/>
      <c r="S187" s="1295"/>
      <c r="T187" s="1295"/>
      <c r="U187" s="1295"/>
      <c r="V187" s="1295"/>
      <c r="W187" s="1295"/>
      <c r="X187" s="1295"/>
      <c r="Y187" s="1295"/>
      <c r="Z187" s="1280"/>
      <c r="AA187" s="1322"/>
      <c r="AB187" s="1295"/>
    </row>
    <row r="188" spans="2:28" hidden="1">
      <c r="B188" s="1280"/>
      <c r="C188" s="1280"/>
      <c r="D188" s="1307"/>
      <c r="E188" s="1295"/>
      <c r="F188" s="1295"/>
      <c r="G188" s="1295"/>
      <c r="H188" s="1295"/>
      <c r="I188" s="1295"/>
      <c r="J188" s="1295"/>
      <c r="K188" s="1295"/>
      <c r="L188" s="1295"/>
      <c r="M188" s="1295"/>
      <c r="N188" s="1295"/>
      <c r="O188" s="1295"/>
      <c r="P188" s="1295"/>
      <c r="Q188" s="1295"/>
      <c r="R188" s="1295"/>
      <c r="S188" s="1295"/>
      <c r="T188" s="1295"/>
      <c r="U188" s="1295"/>
      <c r="V188" s="1295"/>
      <c r="W188" s="1295"/>
      <c r="X188" s="1295"/>
      <c r="Y188" s="1295"/>
      <c r="Z188" s="1280"/>
      <c r="AA188" s="1322"/>
      <c r="AB188" s="1295"/>
    </row>
    <row r="189" spans="2:28" hidden="1">
      <c r="B189" s="1280"/>
      <c r="C189" s="1280"/>
      <c r="D189" s="1307"/>
      <c r="E189" s="1295"/>
      <c r="F189" s="1295"/>
      <c r="G189" s="1295"/>
      <c r="H189" s="1295"/>
      <c r="I189" s="1295"/>
      <c r="J189" s="1295"/>
      <c r="K189" s="1295"/>
      <c r="L189" s="1295"/>
      <c r="M189" s="1295"/>
      <c r="N189" s="1295"/>
      <c r="O189" s="1295"/>
      <c r="P189" s="1295"/>
      <c r="Q189" s="1295"/>
      <c r="R189" s="1295"/>
      <c r="S189" s="1295"/>
      <c r="T189" s="1295"/>
      <c r="U189" s="1295"/>
      <c r="V189" s="1295"/>
      <c r="W189" s="1295"/>
      <c r="X189" s="1295"/>
      <c r="Y189" s="1295"/>
      <c r="Z189" s="1280"/>
      <c r="AA189" s="1322"/>
      <c r="AB189" s="1295"/>
    </row>
    <row r="190" spans="2:28" hidden="1">
      <c r="B190" s="1280"/>
      <c r="C190" s="1280"/>
      <c r="D190" s="1307"/>
      <c r="E190" s="1295"/>
      <c r="F190" s="1295"/>
      <c r="G190" s="1295"/>
      <c r="H190" s="1295"/>
      <c r="I190" s="1295"/>
      <c r="J190" s="1295"/>
      <c r="K190" s="1295"/>
      <c r="L190" s="1295"/>
      <c r="M190" s="1295"/>
      <c r="N190" s="1295"/>
      <c r="O190" s="1295"/>
      <c r="P190" s="1295"/>
      <c r="Q190" s="1295"/>
      <c r="R190" s="1295"/>
      <c r="S190" s="1295"/>
      <c r="T190" s="1295"/>
      <c r="U190" s="1295"/>
      <c r="V190" s="1295"/>
      <c r="W190" s="1295"/>
      <c r="X190" s="1295"/>
      <c r="Y190" s="1295"/>
      <c r="Z190" s="1280"/>
      <c r="AA190" s="1322"/>
      <c r="AB190" s="1295"/>
    </row>
    <row r="191" spans="2:28" hidden="1">
      <c r="B191" s="1280"/>
      <c r="C191" s="1280"/>
      <c r="D191" s="1307"/>
      <c r="E191" s="1312"/>
      <c r="F191" s="1312"/>
      <c r="G191" s="1312"/>
      <c r="H191" s="1312"/>
      <c r="I191" s="1312"/>
      <c r="J191" s="1312"/>
      <c r="K191" s="1312"/>
      <c r="L191" s="1312"/>
      <c r="M191" s="1312"/>
      <c r="N191" s="1312"/>
      <c r="O191" s="1312"/>
      <c r="P191" s="1312"/>
      <c r="Q191" s="1312"/>
      <c r="R191" s="1312"/>
      <c r="S191" s="1312"/>
      <c r="T191" s="1312"/>
      <c r="U191" s="1312"/>
      <c r="V191" s="1312"/>
      <c r="W191" s="1312"/>
      <c r="X191" s="1312"/>
      <c r="Y191" s="1312"/>
      <c r="Z191" s="1280"/>
      <c r="AA191" s="1322"/>
      <c r="AB191" s="1312"/>
    </row>
    <row r="192" spans="2:28">
      <c r="B192" s="1284"/>
      <c r="C192" s="1284"/>
      <c r="D192" s="1307"/>
      <c r="E192" s="1312"/>
      <c r="F192" s="1312"/>
      <c r="G192" s="1312"/>
      <c r="H192" s="1312"/>
      <c r="I192" s="1312"/>
      <c r="J192" s="1312"/>
      <c r="K192" s="1312"/>
      <c r="L192" s="1312"/>
      <c r="M192" s="1312"/>
      <c r="N192" s="1312"/>
      <c r="O192" s="1312"/>
      <c r="P192" s="1312"/>
      <c r="Q192" s="1312"/>
      <c r="R192" s="1312"/>
      <c r="S192" s="1312"/>
      <c r="T192" s="1312"/>
      <c r="U192" s="1312"/>
      <c r="V192" s="1312"/>
      <c r="W192" s="1312"/>
      <c r="X192" s="1312"/>
      <c r="Y192" s="1312"/>
      <c r="Z192" s="1280"/>
      <c r="AA192" s="1322"/>
      <c r="AB192" s="1312"/>
    </row>
    <row r="193" spans="2:28">
      <c r="B193" s="1284"/>
      <c r="C193" s="1284"/>
      <c r="D193" s="1280"/>
      <c r="E193" s="1280"/>
      <c r="F193" s="1280"/>
      <c r="G193" s="1280"/>
      <c r="H193" s="1280"/>
      <c r="I193" s="1280"/>
      <c r="J193" s="1280"/>
      <c r="K193" s="1280"/>
      <c r="L193" s="1280"/>
      <c r="M193" s="1280"/>
      <c r="N193" s="1280"/>
      <c r="O193" s="1280"/>
      <c r="P193" s="1280"/>
      <c r="Q193" s="1280"/>
      <c r="R193" s="1280"/>
      <c r="S193" s="1280"/>
      <c r="T193" s="1280"/>
      <c r="U193" s="1280"/>
      <c r="V193" s="1280"/>
      <c r="W193" s="1280"/>
      <c r="X193" s="1280"/>
      <c r="Y193" s="1280"/>
      <c r="Z193" s="1280"/>
      <c r="AA193" s="1322"/>
      <c r="AB193" s="1280"/>
    </row>
    <row r="194" spans="2:28">
      <c r="B194" s="1284"/>
      <c r="C194" s="1284"/>
      <c r="D194" s="1307"/>
      <c r="E194" s="1312"/>
      <c r="F194" s="1312"/>
      <c r="G194" s="1312"/>
      <c r="H194" s="1312"/>
      <c r="I194" s="1312"/>
      <c r="J194" s="1312"/>
      <c r="K194" s="1312"/>
      <c r="L194" s="1312"/>
      <c r="M194" s="1312"/>
      <c r="N194" s="1312"/>
      <c r="O194" s="1312"/>
      <c r="P194" s="1312"/>
      <c r="Q194" s="1312"/>
      <c r="R194" s="1312"/>
      <c r="S194" s="1312"/>
      <c r="T194" s="1312"/>
      <c r="U194" s="1312"/>
      <c r="V194" s="1312"/>
      <c r="W194" s="1312"/>
      <c r="X194" s="1312"/>
      <c r="Y194" s="1312"/>
      <c r="Z194" s="1280"/>
      <c r="AA194" s="1322"/>
      <c r="AB194" s="1312"/>
    </row>
    <row r="195" spans="2:28">
      <c r="B195" s="1337"/>
      <c r="C195" s="1337"/>
      <c r="D195" s="1302"/>
      <c r="E195" s="1312"/>
      <c r="F195" s="1312"/>
      <c r="G195" s="1312"/>
      <c r="H195" s="1312"/>
      <c r="I195" s="1312"/>
      <c r="J195" s="1312"/>
      <c r="K195" s="1312"/>
      <c r="L195" s="1312"/>
      <c r="M195" s="1312"/>
      <c r="N195" s="1312"/>
      <c r="O195" s="1312"/>
      <c r="P195" s="1312"/>
      <c r="Q195" s="1312"/>
      <c r="R195" s="1312"/>
      <c r="S195" s="1312"/>
      <c r="T195" s="1312"/>
      <c r="U195" s="1312"/>
      <c r="V195" s="1312"/>
      <c r="W195" s="1312"/>
      <c r="X195" s="1312"/>
      <c r="Y195" s="1312"/>
      <c r="Z195" s="1280"/>
      <c r="AA195" s="1322"/>
      <c r="AB195" s="1312"/>
    </row>
    <row r="196" spans="2:28">
      <c r="B196" s="1280"/>
      <c r="C196" s="1280"/>
      <c r="D196" s="1307"/>
      <c r="E196" s="1324"/>
      <c r="F196" s="1312"/>
      <c r="G196" s="1312"/>
      <c r="H196" s="1312"/>
      <c r="I196" s="1312"/>
      <c r="J196" s="1312"/>
      <c r="K196" s="1312"/>
      <c r="L196" s="1312"/>
      <c r="M196" s="1312"/>
      <c r="N196" s="1312"/>
      <c r="O196" s="1312"/>
      <c r="P196" s="1312"/>
      <c r="Q196" s="1312"/>
      <c r="R196" s="1312"/>
      <c r="S196" s="1312"/>
      <c r="T196" s="1312"/>
      <c r="U196" s="1312"/>
      <c r="V196" s="1312"/>
      <c r="W196" s="1312"/>
      <c r="X196" s="1312"/>
      <c r="Y196" s="1312"/>
      <c r="Z196" s="1280"/>
      <c r="AA196" s="1322"/>
      <c r="AB196" s="1312"/>
    </row>
    <row r="197" spans="2:28">
      <c r="B197" s="1280"/>
      <c r="C197" s="1280"/>
      <c r="D197" s="1307"/>
      <c r="E197" s="1312"/>
      <c r="F197" s="1312"/>
      <c r="G197" s="1312"/>
      <c r="H197" s="1312"/>
      <c r="I197" s="1312"/>
      <c r="J197" s="1312"/>
      <c r="K197" s="1312"/>
      <c r="L197" s="1312"/>
      <c r="M197" s="1312"/>
      <c r="N197" s="1312"/>
      <c r="O197" s="1312"/>
      <c r="P197" s="1312"/>
      <c r="Q197" s="1312"/>
      <c r="R197" s="1312"/>
      <c r="S197" s="1312"/>
      <c r="T197" s="1312"/>
      <c r="U197" s="1312"/>
      <c r="V197" s="1312"/>
      <c r="W197" s="1312"/>
      <c r="X197" s="1312"/>
      <c r="Y197" s="1312"/>
      <c r="Z197" s="1280"/>
      <c r="AA197" s="1322"/>
      <c r="AB197" s="1312"/>
    </row>
    <row r="198" spans="2:28">
      <c r="B198" s="1337"/>
      <c r="C198" s="1337"/>
      <c r="D198" s="1307"/>
      <c r="E198" s="1312"/>
      <c r="F198" s="1312"/>
      <c r="G198" s="1312"/>
      <c r="H198" s="1312"/>
      <c r="I198" s="1312"/>
      <c r="J198" s="1312"/>
      <c r="K198" s="1312"/>
      <c r="L198" s="1312"/>
      <c r="M198" s="1312"/>
      <c r="N198" s="1312"/>
      <c r="O198" s="1312"/>
      <c r="P198" s="1312"/>
      <c r="Q198" s="1312"/>
      <c r="R198" s="1312"/>
      <c r="S198" s="1312"/>
      <c r="T198" s="1312"/>
      <c r="U198" s="1312"/>
      <c r="V198" s="1312"/>
      <c r="W198" s="1312"/>
      <c r="X198" s="1312"/>
      <c r="Y198" s="1312"/>
      <c r="Z198" s="1280"/>
      <c r="AA198" s="1322"/>
      <c r="AB198" s="1312"/>
    </row>
    <row r="199" spans="2:28">
      <c r="B199" s="1337"/>
      <c r="C199" s="1337"/>
      <c r="D199" s="1307"/>
      <c r="E199" s="1312"/>
      <c r="F199" s="1312"/>
      <c r="G199" s="1312"/>
      <c r="H199" s="1312"/>
      <c r="I199" s="1312"/>
      <c r="J199" s="1312"/>
      <c r="K199" s="1312"/>
      <c r="L199" s="1312"/>
      <c r="M199" s="1312"/>
      <c r="N199" s="1312"/>
      <c r="O199" s="1312"/>
      <c r="P199" s="1312"/>
      <c r="Q199" s="1312"/>
      <c r="R199" s="1312"/>
      <c r="S199" s="1312"/>
      <c r="T199" s="1312"/>
      <c r="U199" s="1312"/>
      <c r="V199" s="1312"/>
      <c r="W199" s="1312"/>
      <c r="X199" s="1312"/>
      <c r="Y199" s="1312"/>
      <c r="Z199" s="1280"/>
      <c r="AA199" s="1322"/>
      <c r="AB199" s="1312"/>
    </row>
    <row r="200" spans="2:28">
      <c r="B200" s="1337"/>
      <c r="C200" s="1337"/>
      <c r="D200" s="1307"/>
      <c r="E200" s="1312"/>
      <c r="F200" s="1312"/>
      <c r="G200" s="1312"/>
      <c r="H200" s="1312"/>
      <c r="I200" s="1312"/>
      <c r="J200" s="1312"/>
      <c r="K200" s="1312"/>
      <c r="L200" s="1312"/>
      <c r="M200" s="1312"/>
      <c r="N200" s="1312"/>
      <c r="O200" s="1312"/>
      <c r="P200" s="1312"/>
      <c r="Q200" s="1312"/>
      <c r="R200" s="1312"/>
      <c r="S200" s="1312"/>
      <c r="T200" s="1312"/>
      <c r="U200" s="1312"/>
      <c r="V200" s="1312"/>
      <c r="W200" s="1312"/>
      <c r="X200" s="1312"/>
      <c r="Y200" s="1312"/>
      <c r="Z200" s="1280"/>
      <c r="AA200" s="1322"/>
      <c r="AB200" s="1312"/>
    </row>
    <row r="201" spans="2:28">
      <c r="B201" s="1337"/>
      <c r="C201" s="1337"/>
      <c r="D201" s="1307"/>
      <c r="E201" s="1312"/>
      <c r="F201" s="1312"/>
      <c r="G201" s="1312"/>
      <c r="H201" s="1312"/>
      <c r="I201" s="1312"/>
      <c r="J201" s="1312"/>
      <c r="K201" s="1312"/>
      <c r="L201" s="1312"/>
      <c r="M201" s="1312"/>
      <c r="N201" s="1312"/>
      <c r="O201" s="1312"/>
      <c r="P201" s="1312"/>
      <c r="Q201" s="1312"/>
      <c r="R201" s="1312"/>
      <c r="S201" s="1312"/>
      <c r="T201" s="1312"/>
      <c r="U201" s="1312"/>
      <c r="V201" s="1312"/>
      <c r="W201" s="1312"/>
      <c r="X201" s="1312"/>
      <c r="Y201" s="1312"/>
      <c r="Z201" s="1280"/>
      <c r="AA201" s="1322"/>
      <c r="AB201" s="1312"/>
    </row>
    <row r="202" spans="2:28">
      <c r="B202" s="1337"/>
      <c r="C202" s="1337"/>
      <c r="D202" s="1349"/>
      <c r="E202" s="1349"/>
      <c r="F202" s="1349"/>
      <c r="G202" s="1349"/>
      <c r="H202" s="1349"/>
      <c r="I202" s="1349"/>
      <c r="J202" s="1349"/>
      <c r="K202" s="1349"/>
      <c r="L202" s="1349"/>
      <c r="M202" s="1349"/>
      <c r="N202" s="1349"/>
      <c r="O202" s="1349"/>
      <c r="P202" s="1349"/>
      <c r="Q202" s="1349"/>
      <c r="R202" s="1349"/>
      <c r="S202" s="1349"/>
      <c r="T202" s="1349"/>
      <c r="U202" s="1349"/>
      <c r="V202" s="1349"/>
      <c r="W202" s="1349"/>
      <c r="X202" s="1349"/>
      <c r="Y202" s="1324"/>
      <c r="Z202" s="1280"/>
      <c r="AA202" s="1322"/>
      <c r="AB202" s="1324"/>
    </row>
    <row r="203" spans="2:28">
      <c r="B203" s="1284"/>
      <c r="C203" s="1284"/>
      <c r="D203" s="1307"/>
      <c r="E203" s="1312"/>
      <c r="F203" s="1312"/>
      <c r="G203" s="1312"/>
      <c r="H203" s="1312"/>
      <c r="I203" s="1312"/>
      <c r="J203" s="1312"/>
      <c r="K203" s="1312"/>
      <c r="L203" s="1312"/>
      <c r="M203" s="1312"/>
      <c r="N203" s="1312"/>
      <c r="O203" s="1312"/>
      <c r="P203" s="1312"/>
      <c r="Q203" s="1312"/>
      <c r="R203" s="1312"/>
      <c r="S203" s="1312"/>
      <c r="T203" s="1312"/>
      <c r="U203" s="1312"/>
      <c r="V203" s="1312"/>
      <c r="W203" s="1312"/>
      <c r="X203" s="1312"/>
      <c r="Y203" s="1312"/>
      <c r="Z203" s="1280"/>
      <c r="AA203" s="1322"/>
      <c r="AB203" s="1312"/>
    </row>
    <row r="204" spans="2:28">
      <c r="B204" s="1337"/>
      <c r="C204" s="1337"/>
      <c r="D204" s="1342"/>
      <c r="E204" s="1312"/>
      <c r="F204" s="1312"/>
      <c r="G204" s="1312"/>
      <c r="H204" s="1312"/>
      <c r="I204" s="1312"/>
      <c r="J204" s="1312"/>
      <c r="K204" s="1312"/>
      <c r="L204" s="1312"/>
      <c r="M204" s="1312"/>
      <c r="N204" s="1312"/>
      <c r="O204" s="1312"/>
      <c r="P204" s="1312"/>
      <c r="Q204" s="1312"/>
      <c r="R204" s="1312"/>
      <c r="S204" s="1312"/>
      <c r="T204" s="1312"/>
      <c r="U204" s="1312"/>
      <c r="V204" s="1312"/>
      <c r="W204" s="1312"/>
      <c r="X204" s="1312"/>
      <c r="Y204" s="1312"/>
      <c r="Z204" s="1280"/>
      <c r="AA204" s="1322"/>
      <c r="AB204" s="1312"/>
    </row>
    <row r="205" spans="2:28">
      <c r="B205" s="1347"/>
      <c r="C205" s="1347"/>
      <c r="D205" s="1348"/>
      <c r="E205" s="1280"/>
      <c r="F205" s="1280"/>
      <c r="G205" s="1280"/>
      <c r="H205" s="1280"/>
      <c r="I205" s="1280"/>
      <c r="J205" s="1280"/>
      <c r="K205" s="1280"/>
      <c r="L205" s="1280"/>
      <c r="M205" s="1280"/>
      <c r="N205" s="1280"/>
      <c r="O205" s="1280"/>
      <c r="P205" s="1280"/>
      <c r="Q205" s="1280"/>
      <c r="R205" s="1280"/>
      <c r="S205" s="1280"/>
      <c r="T205" s="1280"/>
      <c r="U205" s="1280"/>
      <c r="V205" s="1280"/>
      <c r="W205" s="1280"/>
      <c r="X205" s="1280"/>
      <c r="Y205" s="1280"/>
      <c r="Z205" s="1280"/>
      <c r="AA205" s="1322"/>
      <c r="AB205" s="1280"/>
    </row>
    <row r="206" spans="2:28">
      <c r="B206" s="1322"/>
      <c r="C206" s="1322"/>
      <c r="D206" s="1322"/>
      <c r="E206" s="1322"/>
      <c r="F206" s="1322"/>
      <c r="G206" s="1322"/>
      <c r="H206" s="1322"/>
      <c r="I206" s="1322"/>
      <c r="J206" s="1322"/>
      <c r="K206" s="1322"/>
      <c r="L206" s="1322"/>
      <c r="M206" s="1322"/>
      <c r="N206" s="1322"/>
      <c r="O206" s="1322"/>
      <c r="P206" s="1322"/>
      <c r="Q206" s="1322"/>
      <c r="R206" s="1322"/>
      <c r="S206" s="1322"/>
      <c r="T206" s="1322"/>
      <c r="U206" s="1322"/>
      <c r="V206" s="1322"/>
      <c r="W206" s="1322"/>
      <c r="X206" s="1322"/>
      <c r="Y206" s="1322"/>
      <c r="Z206" s="1322"/>
      <c r="AA206" s="1322"/>
      <c r="AB206" s="1322"/>
    </row>
  </sheetData>
  <conditionalFormatting sqref="D71">
    <cfRule type="cellIs" dxfId="8" priority="5" operator="lessThan">
      <formula>0</formula>
    </cfRule>
  </conditionalFormatting>
  <conditionalFormatting sqref="D5:I9">
    <cfRule type="cellIs" dxfId="7" priority="4" operator="greaterThan">
      <formula>0</formula>
    </cfRule>
  </conditionalFormatting>
  <conditionalFormatting sqref="D16:H20">
    <cfRule type="cellIs" dxfId="6" priority="3" operator="greaterThan">
      <formula>0.125</formula>
    </cfRule>
  </conditionalFormatting>
  <conditionalFormatting sqref="G47">
    <cfRule type="containsText" dxfId="5" priority="1" operator="containsText" text="PASS">
      <formula>NOT(ISERROR(SEARCH("PASS",G47)))</formula>
    </cfRule>
    <cfRule type="containsText" dxfId="4" priority="2" operator="containsText" text="FAIL">
      <formula>NOT(ISERROR(SEARCH("FAIL",G47)))</formula>
    </cfRule>
  </conditionalFormatting>
  <pageMargins left="0.7" right="0.7" top="0.75" bottom="0.75" header="0.3" footer="0.3"/>
  <ignoredErrors>
    <ignoredError sqref="Y77 G34:X34"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5C085-416F-354C-A9A6-D570484C7489}">
  <sheetPr codeName="Sheet28">
    <tabColor rgb="FFFF3399"/>
  </sheetPr>
  <dimension ref="B1:V138"/>
  <sheetViews>
    <sheetView showGridLines="0" zoomScale="141" zoomScaleNormal="100" workbookViewId="0">
      <selection activeCell="E95" sqref="E95"/>
    </sheetView>
  </sheetViews>
  <sheetFormatPr defaultColWidth="7.7109375" defaultRowHeight="13.5"/>
  <cols>
    <col min="3" max="3" width="22.7109375" customWidth="1"/>
    <col min="4" max="4" width="16.7109375" customWidth="1"/>
    <col min="5" max="5" width="13.28515625" customWidth="1"/>
    <col min="6" max="7" width="15.5703125" bestFit="1" customWidth="1"/>
    <col min="8" max="8" width="2.5703125" customWidth="1"/>
    <col min="9" max="9" width="14.42578125" customWidth="1"/>
    <col min="10" max="10" width="12.7109375" customWidth="1"/>
    <col min="11" max="11" width="2.5703125" customWidth="1"/>
    <col min="12" max="12" width="16" customWidth="1"/>
    <col min="13" max="13" width="2.5703125" customWidth="1"/>
    <col min="14" max="17" width="18.7109375" customWidth="1"/>
    <col min="18" max="20" width="14.140625" customWidth="1"/>
    <col min="21" max="21" width="5.5703125" customWidth="1"/>
  </cols>
  <sheetData>
    <row r="1" spans="2:22" ht="14" thickBot="1"/>
    <row r="2" spans="2:22" ht="14" thickBot="1">
      <c r="C2" s="1540" t="s">
        <v>1052</v>
      </c>
      <c r="D2" s="1541"/>
      <c r="F2" s="1357" t="s">
        <v>1055</v>
      </c>
      <c r="G2" s="1358">
        <f ca="1">XIRR(L15:L99,C15:C99)</f>
        <v>0.15170832276344304</v>
      </c>
    </row>
    <row r="3" spans="2:22">
      <c r="C3" s="1359" t="s">
        <v>1071</v>
      </c>
      <c r="D3" s="1360">
        <f>'Fedgroup Model'!D26*115/100</f>
        <v>9072074.9878200106</v>
      </c>
      <c r="F3" s="5"/>
      <c r="G3" s="1361"/>
    </row>
    <row r="4" spans="2:22">
      <c r="C4" s="1359" t="s">
        <v>1080</v>
      </c>
      <c r="D4" s="1360">
        <f>D3*'Financial Inputs'!D7</f>
        <v>0</v>
      </c>
      <c r="F4" s="5"/>
      <c r="G4" s="1361"/>
    </row>
    <row r="5" spans="2:22">
      <c r="C5" s="1359" t="s">
        <v>1053</v>
      </c>
      <c r="D5" s="1362">
        <f ca="1">EOMONTH(TODAY(),6)</f>
        <v>46053</v>
      </c>
    </row>
    <row r="6" spans="2:22">
      <c r="C6" s="1359" t="s">
        <v>930</v>
      </c>
      <c r="D6" s="1359">
        <f>'Financial Inputs'!D3*12</f>
        <v>60</v>
      </c>
    </row>
    <row r="7" spans="2:22">
      <c r="C7" s="1359" t="s">
        <v>1054</v>
      </c>
      <c r="D7" s="1363">
        <f>'Financial Inputs'!D5</f>
        <v>0.14000000000000001</v>
      </c>
    </row>
    <row r="8" spans="2:22">
      <c r="C8" s="1359" t="s">
        <v>1056</v>
      </c>
      <c r="D8" s="1363">
        <f>D7/365</f>
        <v>3.8356164383561648E-4</v>
      </c>
    </row>
    <row r="9" spans="2:22">
      <c r="C9" s="1359" t="s">
        <v>702</v>
      </c>
      <c r="D9" s="1364">
        <f ca="1">IF(C16&gt;=$D$5,PMT($D$7/12,$D$6,$F$15,,0),D16+E16)</f>
        <v>-211091.31654105184</v>
      </c>
      <c r="E9" s="5"/>
    </row>
    <row r="10" spans="2:22">
      <c r="C10" s="1359" t="s">
        <v>1057</v>
      </c>
      <c r="D10" s="1365">
        <f ca="1">SUM(E16:E99)</f>
        <v>3593404.0046431147</v>
      </c>
      <c r="E10" s="5"/>
    </row>
    <row r="11" spans="2:22">
      <c r="C11" s="1359" t="s">
        <v>933</v>
      </c>
      <c r="D11" s="1365">
        <f>D3*0.01%</f>
        <v>907.20749878200115</v>
      </c>
      <c r="E11" s="5"/>
    </row>
    <row r="13" spans="2:22">
      <c r="B13" s="1366"/>
      <c r="C13" s="1542" t="s">
        <v>1058</v>
      </c>
      <c r="D13" s="1542"/>
      <c r="E13" s="1542"/>
      <c r="F13" s="1542"/>
      <c r="G13" s="1542"/>
      <c r="I13" s="1543" t="s">
        <v>1068</v>
      </c>
      <c r="J13" s="1544"/>
      <c r="N13" s="1543" t="s">
        <v>1059</v>
      </c>
      <c r="O13" s="1544"/>
      <c r="P13" s="1544"/>
      <c r="Q13" s="1544"/>
    </row>
    <row r="14" spans="2:22">
      <c r="B14" s="1368" t="s">
        <v>929</v>
      </c>
      <c r="C14" s="1368" t="s">
        <v>931</v>
      </c>
      <c r="D14" s="1368" t="s">
        <v>1046</v>
      </c>
      <c r="E14" s="1368" t="s">
        <v>967</v>
      </c>
      <c r="F14" s="1368" t="s">
        <v>1060</v>
      </c>
      <c r="G14" s="1368" t="s">
        <v>1061</v>
      </c>
      <c r="I14" s="1368" t="s">
        <v>933</v>
      </c>
      <c r="J14" s="1368" t="s">
        <v>705</v>
      </c>
      <c r="L14" s="1369" t="s">
        <v>1069</v>
      </c>
      <c r="N14" s="1367" t="s">
        <v>1046</v>
      </c>
      <c r="O14" s="1367" t="s">
        <v>967</v>
      </c>
      <c r="P14" s="1367" t="s">
        <v>702</v>
      </c>
      <c r="Q14" s="1367" t="s">
        <v>966</v>
      </c>
      <c r="S14" s="1368" t="s">
        <v>933</v>
      </c>
      <c r="T14" s="1368" t="s">
        <v>705</v>
      </c>
      <c r="V14" s="1370" t="s">
        <v>1070</v>
      </c>
    </row>
    <row r="15" spans="2:22">
      <c r="B15" s="1359"/>
      <c r="C15" s="1362">
        <f ca="1">D5</f>
        <v>46053</v>
      </c>
      <c r="D15" s="1359">
        <v>0</v>
      </c>
      <c r="E15" s="1359">
        <v>0</v>
      </c>
      <c r="F15" s="1365">
        <f>D3-D4</f>
        <v>9072074.9878200106</v>
      </c>
      <c r="G15" s="1365">
        <f>D15+F15+E15</f>
        <v>9072074.9878200106</v>
      </c>
      <c r="I15" s="1359"/>
      <c r="J15" s="1359"/>
      <c r="L15" s="1365">
        <f>F15</f>
        <v>9072074.9878200106</v>
      </c>
    </row>
    <row r="16" spans="2:22">
      <c r="B16" s="1359">
        <v>1</v>
      </c>
      <c r="C16" s="1362">
        <f ca="1">EOMONTH(C15,1)</f>
        <v>46081</v>
      </c>
      <c r="D16" s="1365">
        <f>G15</f>
        <v>9072074.9878200106</v>
      </c>
      <c r="E16" s="1371">
        <f ca="1">IF(C16&gt;=C15,D16*($D$7/12),"")</f>
        <v>105840.87485790013</v>
      </c>
      <c r="F16" s="1372">
        <f ca="1">IF(D16&gt;0.1,$D$9,0)</f>
        <v>-211091.31654105184</v>
      </c>
      <c r="G16" s="1365">
        <f t="shared" ref="G16:G79" ca="1" si="0">D16+F16+E16</f>
        <v>8966824.5461368598</v>
      </c>
      <c r="I16" s="1365">
        <f>IF(D16&gt;0.1,$D$11,0)</f>
        <v>907.20749878200115</v>
      </c>
      <c r="J16" s="1359"/>
      <c r="L16" s="1364">
        <f ca="1">F16-I16-J16</f>
        <v>-211998.52403983384</v>
      </c>
      <c r="N16" s="1361"/>
    </row>
    <row r="17" spans="2:22">
      <c r="B17" s="1359">
        <f t="shared" ref="B17:B80" si="1">B16+1</f>
        <v>2</v>
      </c>
      <c r="C17" s="1362">
        <f t="shared" ref="C17:C80" ca="1" si="2">EOMONTH(C16,1)</f>
        <v>46112</v>
      </c>
      <c r="D17" s="1365">
        <f t="shared" ref="D17:D80" ca="1" si="3">G16</f>
        <v>8966824.5461368598</v>
      </c>
      <c r="E17" s="1371">
        <f t="shared" ref="E17:E74" ca="1" si="4">IF(C17&gt;=C16,D17*($D$7/12),"")</f>
        <v>104612.95303826337</v>
      </c>
      <c r="F17" s="1372">
        <f t="shared" ref="F17:F80" ca="1" si="5">IF(D17&gt;0.1,$D$9,0)</f>
        <v>-211091.31654105184</v>
      </c>
      <c r="G17" s="1365">
        <f t="shared" ca="1" si="0"/>
        <v>8860346.1826340724</v>
      </c>
      <c r="I17" s="1365">
        <f t="shared" ref="I17:I80" ca="1" si="6">IF(D17&gt;0.1,$D$11,0)</f>
        <v>907.20749878200115</v>
      </c>
      <c r="J17" s="1359"/>
      <c r="L17" s="1364">
        <f t="shared" ref="L17:L80" ca="1" si="7">F17-I17-J17</f>
        <v>-211998.52403983384</v>
      </c>
    </row>
    <row r="18" spans="2:22">
      <c r="B18" s="1359">
        <f t="shared" si="1"/>
        <v>3</v>
      </c>
      <c r="C18" s="1362">
        <f t="shared" ca="1" si="2"/>
        <v>46142</v>
      </c>
      <c r="D18" s="1365">
        <f t="shared" ca="1" si="3"/>
        <v>8860346.1826340724</v>
      </c>
      <c r="E18" s="1371">
        <f t="shared" ca="1" si="4"/>
        <v>103370.70546406419</v>
      </c>
      <c r="F18" s="1372">
        <f t="shared" ca="1" si="5"/>
        <v>-211091.31654105184</v>
      </c>
      <c r="G18" s="1365">
        <f t="shared" ca="1" si="0"/>
        <v>8752625.571557086</v>
      </c>
      <c r="I18" s="1365">
        <f t="shared" ca="1" si="6"/>
        <v>907.20749878200115</v>
      </c>
      <c r="J18" s="1359"/>
      <c r="L18" s="1364">
        <f t="shared" ca="1" si="7"/>
        <v>-211998.52403983384</v>
      </c>
    </row>
    <row r="19" spans="2:22">
      <c r="B19" s="1359">
        <f t="shared" si="1"/>
        <v>4</v>
      </c>
      <c r="C19" s="1362">
        <f t="shared" ca="1" si="2"/>
        <v>46173</v>
      </c>
      <c r="D19" s="1365">
        <f t="shared" ca="1" si="3"/>
        <v>8752625.571557086</v>
      </c>
      <c r="E19" s="1371">
        <f t="shared" ca="1" si="4"/>
        <v>102113.96500149934</v>
      </c>
      <c r="F19" s="1372">
        <f t="shared" ca="1" si="5"/>
        <v>-211091.31654105184</v>
      </c>
      <c r="G19" s="1365">
        <f t="shared" ca="1" si="0"/>
        <v>8643648.2200175337</v>
      </c>
      <c r="I19" s="1365">
        <f t="shared" ca="1" si="6"/>
        <v>907.20749878200115</v>
      </c>
      <c r="J19" s="1359"/>
      <c r="L19" s="1364">
        <f t="shared" ca="1" si="7"/>
        <v>-211998.52403983384</v>
      </c>
    </row>
    <row r="20" spans="2:22">
      <c r="B20" s="1359">
        <f t="shared" si="1"/>
        <v>5</v>
      </c>
      <c r="C20" s="1362">
        <f t="shared" ca="1" si="2"/>
        <v>46203</v>
      </c>
      <c r="D20" s="1365">
        <f t="shared" ca="1" si="3"/>
        <v>8643648.2200175337</v>
      </c>
      <c r="E20" s="1371">
        <f t="shared" ca="1" si="4"/>
        <v>100842.56256687123</v>
      </c>
      <c r="F20" s="1372">
        <f t="shared" ca="1" si="5"/>
        <v>-211091.31654105184</v>
      </c>
      <c r="G20" s="1365">
        <f t="shared" ca="1" si="0"/>
        <v>8533399.4660433531</v>
      </c>
      <c r="I20" s="1365">
        <f t="shared" ca="1" si="6"/>
        <v>907.20749878200115</v>
      </c>
      <c r="J20" s="1359"/>
      <c r="L20" s="1364">
        <f t="shared" ca="1" si="7"/>
        <v>-211998.52403983384</v>
      </c>
    </row>
    <row r="21" spans="2:22">
      <c r="B21" s="1359">
        <f t="shared" si="1"/>
        <v>6</v>
      </c>
      <c r="C21" s="1362">
        <f t="shared" ca="1" si="2"/>
        <v>46234</v>
      </c>
      <c r="D21" s="1365">
        <f t="shared" ca="1" si="3"/>
        <v>8533399.4660433531</v>
      </c>
      <c r="E21" s="1371">
        <f t="shared" ca="1" si="4"/>
        <v>99556.327103839125</v>
      </c>
      <c r="F21" s="1372">
        <f t="shared" ca="1" si="5"/>
        <v>-211091.31654105184</v>
      </c>
      <c r="G21" s="1365">
        <f t="shared" ca="1" si="0"/>
        <v>8421864.4766061399</v>
      </c>
      <c r="I21" s="1365">
        <f t="shared" ca="1" si="6"/>
        <v>907.20749878200115</v>
      </c>
      <c r="J21" s="1359"/>
      <c r="L21" s="1364">
        <f t="shared" ca="1" si="7"/>
        <v>-211998.52403983384</v>
      </c>
    </row>
    <row r="22" spans="2:22">
      <c r="B22" s="1359">
        <f t="shared" si="1"/>
        <v>7</v>
      </c>
      <c r="C22" s="1362">
        <f t="shared" ca="1" si="2"/>
        <v>46265</v>
      </c>
      <c r="D22" s="1365">
        <f t="shared" ca="1" si="3"/>
        <v>8421864.4766061399</v>
      </c>
      <c r="E22" s="1371">
        <f t="shared" ca="1" si="4"/>
        <v>98255.085560404972</v>
      </c>
      <c r="F22" s="1372">
        <f t="shared" ca="1" si="5"/>
        <v>-211091.31654105184</v>
      </c>
      <c r="G22" s="1365">
        <f t="shared" ca="1" si="0"/>
        <v>8309028.2456254931</v>
      </c>
      <c r="I22" s="1365">
        <f t="shared" ca="1" si="6"/>
        <v>907.20749878200115</v>
      </c>
      <c r="J22" s="1359"/>
      <c r="L22" s="1364">
        <f t="shared" ca="1" si="7"/>
        <v>-211998.52403983384</v>
      </c>
    </row>
    <row r="23" spans="2:22">
      <c r="B23" s="1359">
        <f t="shared" si="1"/>
        <v>8</v>
      </c>
      <c r="C23" s="1362">
        <f t="shared" ca="1" si="2"/>
        <v>46295</v>
      </c>
      <c r="D23" s="1365">
        <f t="shared" ca="1" si="3"/>
        <v>8309028.2456254931</v>
      </c>
      <c r="E23" s="1371">
        <f t="shared" ca="1" si="4"/>
        <v>96938.662865630758</v>
      </c>
      <c r="F23" s="1372">
        <f t="shared" ca="1" si="5"/>
        <v>-211091.31654105184</v>
      </c>
      <c r="G23" s="1365">
        <f t="shared" ca="1" si="0"/>
        <v>8194875.591950072</v>
      </c>
      <c r="I23" s="1365">
        <f t="shared" ca="1" si="6"/>
        <v>907.20749878200115</v>
      </c>
      <c r="J23" s="1359"/>
      <c r="L23" s="1364">
        <f t="shared" ca="1" si="7"/>
        <v>-211998.52403983384</v>
      </c>
    </row>
    <row r="24" spans="2:22">
      <c r="B24" s="1359">
        <f t="shared" si="1"/>
        <v>9</v>
      </c>
      <c r="C24" s="1362">
        <f t="shared" ca="1" si="2"/>
        <v>46326</v>
      </c>
      <c r="D24" s="1365">
        <f t="shared" ca="1" si="3"/>
        <v>8194875.591950072</v>
      </c>
      <c r="E24" s="1371">
        <f t="shared" ca="1" si="4"/>
        <v>95606.881906084178</v>
      </c>
      <c r="F24" s="1372">
        <f t="shared" ca="1" si="5"/>
        <v>-211091.31654105184</v>
      </c>
      <c r="G24" s="1365">
        <f t="shared" ca="1" si="0"/>
        <v>8079391.1573151043</v>
      </c>
      <c r="I24" s="1365">
        <f t="shared" ca="1" si="6"/>
        <v>907.20749878200115</v>
      </c>
      <c r="J24" s="1359"/>
      <c r="L24" s="1364">
        <f t="shared" ca="1" si="7"/>
        <v>-211998.52403983384</v>
      </c>
    </row>
    <row r="25" spans="2:22">
      <c r="B25" s="1359">
        <f t="shared" si="1"/>
        <v>10</v>
      </c>
      <c r="C25" s="1362">
        <f t="shared" ca="1" si="2"/>
        <v>46356</v>
      </c>
      <c r="D25" s="1365">
        <f t="shared" ca="1" si="3"/>
        <v>8079391.1573151043</v>
      </c>
      <c r="E25" s="1371">
        <f t="shared" ca="1" si="4"/>
        <v>94259.563502009551</v>
      </c>
      <c r="F25" s="1372">
        <f t="shared" ca="1" si="5"/>
        <v>-211091.31654105184</v>
      </c>
      <c r="G25" s="1365">
        <f t="shared" ca="1" si="0"/>
        <v>7962559.4042760627</v>
      </c>
      <c r="I25" s="1365">
        <f t="shared" ca="1" si="6"/>
        <v>907.20749878200115</v>
      </c>
      <c r="J25" s="1359"/>
      <c r="L25" s="1364">
        <f t="shared" ca="1" si="7"/>
        <v>-211998.52403983384</v>
      </c>
    </row>
    <row r="26" spans="2:22">
      <c r="B26" s="1359">
        <f t="shared" si="1"/>
        <v>11</v>
      </c>
      <c r="C26" s="1362">
        <f t="shared" ca="1" si="2"/>
        <v>46387</v>
      </c>
      <c r="D26" s="1365">
        <f t="shared" ca="1" si="3"/>
        <v>7962559.4042760627</v>
      </c>
      <c r="E26" s="1371">
        <f t="shared" ca="1" si="4"/>
        <v>92896.526383220742</v>
      </c>
      <c r="F26" s="1372">
        <f t="shared" ca="1" si="5"/>
        <v>-211091.31654105184</v>
      </c>
      <c r="G26" s="1365">
        <f t="shared" ca="1" si="0"/>
        <v>7844364.6141182324</v>
      </c>
      <c r="I26" s="1365">
        <f t="shared" ca="1" si="6"/>
        <v>907.20749878200115</v>
      </c>
      <c r="J26" s="1359"/>
      <c r="L26" s="1364">
        <f t="shared" ca="1" si="7"/>
        <v>-211998.52403983384</v>
      </c>
    </row>
    <row r="27" spans="2:22">
      <c r="B27" s="1359">
        <f t="shared" si="1"/>
        <v>12</v>
      </c>
      <c r="C27" s="1362">
        <f t="shared" ca="1" si="2"/>
        <v>46418</v>
      </c>
      <c r="D27" s="1365">
        <f t="shared" ca="1" si="3"/>
        <v>7844364.6141182324</v>
      </c>
      <c r="E27" s="1371">
        <f t="shared" ca="1" si="4"/>
        <v>91517.587164712721</v>
      </c>
      <c r="F27" s="1372">
        <f t="shared" ca="1" si="5"/>
        <v>-211091.31654105184</v>
      </c>
      <c r="G27" s="1365">
        <f t="shared" ca="1" si="0"/>
        <v>7724790.884741894</v>
      </c>
      <c r="I27" s="1365">
        <f t="shared" ca="1" si="6"/>
        <v>907.20749878200115</v>
      </c>
      <c r="J27" s="1359"/>
      <c r="L27" s="1364">
        <f t="shared" ca="1" si="7"/>
        <v>-211998.52403983384</v>
      </c>
      <c r="N27" s="1365">
        <f>D16</f>
        <v>9072074.9878200106</v>
      </c>
      <c r="O27" s="1365">
        <f ca="1">SUM(E16:E27)</f>
        <v>1185811.6954145003</v>
      </c>
      <c r="P27" s="1365">
        <f ca="1">SUM(F16:F27)</f>
        <v>-2533095.798492623</v>
      </c>
      <c r="Q27" s="1365">
        <f ca="1">N27+O27+P27</f>
        <v>7724790.8847418875</v>
      </c>
      <c r="S27" s="1365">
        <f ca="1">SUM(I16:I27)</f>
        <v>10886.489985384016</v>
      </c>
      <c r="T27" s="1365">
        <f>SUM(J16:J27)</f>
        <v>0</v>
      </c>
      <c r="V27" s="1361">
        <f ca="1">Q27-G27</f>
        <v>0</v>
      </c>
    </row>
    <row r="28" spans="2:22">
      <c r="B28" s="1359">
        <f t="shared" si="1"/>
        <v>13</v>
      </c>
      <c r="C28" s="1362">
        <f t="shared" ca="1" si="2"/>
        <v>46446</v>
      </c>
      <c r="D28" s="1365">
        <f t="shared" ca="1" si="3"/>
        <v>7724790.884741894</v>
      </c>
      <c r="E28" s="1371">
        <f t="shared" ca="1" si="4"/>
        <v>90122.560321988771</v>
      </c>
      <c r="F28" s="1372">
        <f t="shared" ca="1" si="5"/>
        <v>-211091.31654105184</v>
      </c>
      <c r="G28" s="1365">
        <f t="shared" ca="1" si="0"/>
        <v>7603822.128522831</v>
      </c>
      <c r="I28" s="1365">
        <f t="shared" ca="1" si="6"/>
        <v>907.20749878200115</v>
      </c>
      <c r="J28" s="1359"/>
      <c r="L28" s="1364">
        <f t="shared" ca="1" si="7"/>
        <v>-211998.52403983384</v>
      </c>
    </row>
    <row r="29" spans="2:22">
      <c r="B29" s="1359">
        <f t="shared" si="1"/>
        <v>14</v>
      </c>
      <c r="C29" s="1362">
        <f t="shared" ca="1" si="2"/>
        <v>46477</v>
      </c>
      <c r="D29" s="1365">
        <f t="shared" ca="1" si="3"/>
        <v>7603822.128522831</v>
      </c>
      <c r="E29" s="1371">
        <f t="shared" ca="1" si="4"/>
        <v>88711.258166099695</v>
      </c>
      <c r="F29" s="1372">
        <f t="shared" ca="1" si="5"/>
        <v>-211091.31654105184</v>
      </c>
      <c r="G29" s="1365">
        <f t="shared" ca="1" si="0"/>
        <v>7481442.0701478794</v>
      </c>
      <c r="I29" s="1365">
        <f t="shared" ca="1" si="6"/>
        <v>907.20749878200115</v>
      </c>
      <c r="J29" s="1359"/>
      <c r="L29" s="1364">
        <f t="shared" ca="1" si="7"/>
        <v>-211998.52403983384</v>
      </c>
    </row>
    <row r="30" spans="2:22">
      <c r="B30" s="1359">
        <f t="shared" si="1"/>
        <v>15</v>
      </c>
      <c r="C30" s="1362">
        <f t="shared" ca="1" si="2"/>
        <v>46507</v>
      </c>
      <c r="D30" s="1365">
        <f t="shared" ca="1" si="3"/>
        <v>7481442.0701478794</v>
      </c>
      <c r="E30" s="1371">
        <f t="shared" ca="1" si="4"/>
        <v>87283.490818391932</v>
      </c>
      <c r="F30" s="1372">
        <f t="shared" ca="1" si="5"/>
        <v>-211091.31654105184</v>
      </c>
      <c r="G30" s="1365">
        <f t="shared" ca="1" si="0"/>
        <v>7357634.2444252195</v>
      </c>
      <c r="I30" s="1365">
        <f t="shared" ca="1" si="6"/>
        <v>907.20749878200115</v>
      </c>
      <c r="J30" s="1359"/>
      <c r="L30" s="1364">
        <f t="shared" ca="1" si="7"/>
        <v>-211998.52403983384</v>
      </c>
    </row>
    <row r="31" spans="2:22">
      <c r="B31" s="1359">
        <f t="shared" si="1"/>
        <v>16</v>
      </c>
      <c r="C31" s="1362">
        <f t="shared" ca="1" si="2"/>
        <v>46538</v>
      </c>
      <c r="D31" s="1365">
        <f t="shared" ca="1" si="3"/>
        <v>7357634.2444252195</v>
      </c>
      <c r="E31" s="1371">
        <f t="shared" ca="1" si="4"/>
        <v>85839.066184960902</v>
      </c>
      <c r="F31" s="1372">
        <f t="shared" ca="1" si="5"/>
        <v>-211091.31654105184</v>
      </c>
      <c r="G31" s="1365">
        <f t="shared" ca="1" si="0"/>
        <v>7232381.9940691292</v>
      </c>
      <c r="I31" s="1365">
        <f t="shared" ca="1" si="6"/>
        <v>907.20749878200115</v>
      </c>
      <c r="J31" s="1359"/>
      <c r="L31" s="1364">
        <f t="shared" ca="1" si="7"/>
        <v>-211998.52403983384</v>
      </c>
    </row>
    <row r="32" spans="2:22">
      <c r="B32" s="1359">
        <f t="shared" si="1"/>
        <v>17</v>
      </c>
      <c r="C32" s="1362">
        <f t="shared" ca="1" si="2"/>
        <v>46568</v>
      </c>
      <c r="D32" s="1365">
        <f t="shared" ca="1" si="3"/>
        <v>7232381.9940691292</v>
      </c>
      <c r="E32" s="1371">
        <f t="shared" ca="1" si="4"/>
        <v>84377.78993080651</v>
      </c>
      <c r="F32" s="1372">
        <f t="shared" ca="1" si="5"/>
        <v>-211091.31654105184</v>
      </c>
      <c r="G32" s="1365">
        <f t="shared" ca="1" si="0"/>
        <v>7105668.4674588842</v>
      </c>
      <c r="I32" s="1365">
        <f t="shared" ca="1" si="6"/>
        <v>907.20749878200115</v>
      </c>
      <c r="J32" s="1359"/>
      <c r="L32" s="1364">
        <f t="shared" ca="1" si="7"/>
        <v>-211998.52403983384</v>
      </c>
    </row>
    <row r="33" spans="2:22">
      <c r="B33" s="1359">
        <f t="shared" si="1"/>
        <v>18</v>
      </c>
      <c r="C33" s="1362">
        <f t="shared" ca="1" si="2"/>
        <v>46599</v>
      </c>
      <c r="D33" s="1365">
        <f t="shared" ca="1" si="3"/>
        <v>7105668.4674588842</v>
      </c>
      <c r="E33" s="1371">
        <f t="shared" ca="1" si="4"/>
        <v>82899.465453686993</v>
      </c>
      <c r="F33" s="1372">
        <f t="shared" ca="1" si="5"/>
        <v>-211091.31654105184</v>
      </c>
      <c r="G33" s="1365">
        <f t="shared" ca="1" si="0"/>
        <v>6977476.6163715199</v>
      </c>
      <c r="I33" s="1365">
        <f t="shared" ca="1" si="6"/>
        <v>907.20749878200115</v>
      </c>
      <c r="J33" s="1359"/>
      <c r="L33" s="1364">
        <f t="shared" ca="1" si="7"/>
        <v>-211998.52403983384</v>
      </c>
    </row>
    <row r="34" spans="2:22">
      <c r="B34" s="1359">
        <f t="shared" si="1"/>
        <v>19</v>
      </c>
      <c r="C34" s="1362">
        <f t="shared" ca="1" si="2"/>
        <v>46630</v>
      </c>
      <c r="D34" s="1365">
        <f t="shared" ca="1" si="3"/>
        <v>6977476.6163715199</v>
      </c>
      <c r="E34" s="1371">
        <f t="shared" ca="1" si="4"/>
        <v>81403.893857667732</v>
      </c>
      <c r="F34" s="1372">
        <f t="shared" ca="1" si="5"/>
        <v>-211091.31654105184</v>
      </c>
      <c r="G34" s="1365">
        <f t="shared" ca="1" si="0"/>
        <v>6847789.1936881365</v>
      </c>
      <c r="I34" s="1365">
        <f t="shared" ca="1" si="6"/>
        <v>907.20749878200115</v>
      </c>
      <c r="J34" s="1359"/>
      <c r="L34" s="1364">
        <f t="shared" ca="1" si="7"/>
        <v>-211998.52403983384</v>
      </c>
    </row>
    <row r="35" spans="2:22">
      <c r="B35" s="1359">
        <f t="shared" si="1"/>
        <v>20</v>
      </c>
      <c r="C35" s="1362">
        <f t="shared" ca="1" si="2"/>
        <v>46660</v>
      </c>
      <c r="D35" s="1365">
        <f t="shared" ca="1" si="3"/>
        <v>6847789.1936881365</v>
      </c>
      <c r="E35" s="1371">
        <f t="shared" ca="1" si="4"/>
        <v>79890.873926361601</v>
      </c>
      <c r="F35" s="1372">
        <f t="shared" ca="1" si="5"/>
        <v>-211091.31654105184</v>
      </c>
      <c r="G35" s="1365">
        <f t="shared" ca="1" si="0"/>
        <v>6716588.7510734471</v>
      </c>
      <c r="I35" s="1365">
        <f t="shared" ca="1" si="6"/>
        <v>907.20749878200115</v>
      </c>
      <c r="J35" s="1359"/>
      <c r="L35" s="1364">
        <f t="shared" ca="1" si="7"/>
        <v>-211998.52403983384</v>
      </c>
    </row>
    <row r="36" spans="2:22">
      <c r="B36" s="1359">
        <f t="shared" si="1"/>
        <v>21</v>
      </c>
      <c r="C36" s="1362">
        <f t="shared" ca="1" si="2"/>
        <v>46691</v>
      </c>
      <c r="D36" s="1365">
        <f t="shared" ca="1" si="3"/>
        <v>6716588.7510734471</v>
      </c>
      <c r="E36" s="1371">
        <f t="shared" ca="1" si="4"/>
        <v>78360.20209585689</v>
      </c>
      <c r="F36" s="1372">
        <f t="shared" ca="1" si="5"/>
        <v>-211091.31654105184</v>
      </c>
      <c r="G36" s="1365">
        <f t="shared" ca="1" si="0"/>
        <v>6583857.6366282525</v>
      </c>
      <c r="I36" s="1365">
        <f t="shared" ca="1" si="6"/>
        <v>907.20749878200115</v>
      </c>
      <c r="J36" s="1359"/>
      <c r="L36" s="1364">
        <f t="shared" ca="1" si="7"/>
        <v>-211998.52403983384</v>
      </c>
    </row>
    <row r="37" spans="2:22">
      <c r="B37" s="1359">
        <f t="shared" si="1"/>
        <v>22</v>
      </c>
      <c r="C37" s="1362">
        <f t="shared" ca="1" si="2"/>
        <v>46721</v>
      </c>
      <c r="D37" s="1365">
        <f t="shared" ca="1" si="3"/>
        <v>6583857.6366282525</v>
      </c>
      <c r="E37" s="1371">
        <f t="shared" ca="1" si="4"/>
        <v>76811.672427329613</v>
      </c>
      <c r="F37" s="1372">
        <f t="shared" ca="1" si="5"/>
        <v>-211091.31654105184</v>
      </c>
      <c r="G37" s="1365">
        <f t="shared" ca="1" si="0"/>
        <v>6449577.9925145302</v>
      </c>
      <c r="I37" s="1365">
        <f t="shared" ca="1" si="6"/>
        <v>907.20749878200115</v>
      </c>
      <c r="J37" s="1359"/>
      <c r="L37" s="1364">
        <f t="shared" ca="1" si="7"/>
        <v>-211998.52403983384</v>
      </c>
    </row>
    <row r="38" spans="2:22">
      <c r="B38" s="1359">
        <f t="shared" si="1"/>
        <v>23</v>
      </c>
      <c r="C38" s="1362">
        <f t="shared" ca="1" si="2"/>
        <v>46752</v>
      </c>
      <c r="D38" s="1365">
        <f t="shared" ca="1" si="3"/>
        <v>6449577.9925145302</v>
      </c>
      <c r="E38" s="1371">
        <f t="shared" ca="1" si="4"/>
        <v>75245.076579336193</v>
      </c>
      <c r="F38" s="1372">
        <f t="shared" ca="1" si="5"/>
        <v>-211091.31654105184</v>
      </c>
      <c r="G38" s="1365">
        <f t="shared" ca="1" si="0"/>
        <v>6313731.7525528148</v>
      </c>
      <c r="I38" s="1365">
        <f t="shared" ca="1" si="6"/>
        <v>907.20749878200115</v>
      </c>
      <c r="J38" s="1359"/>
      <c r="L38" s="1364">
        <f t="shared" ca="1" si="7"/>
        <v>-211998.52403983384</v>
      </c>
    </row>
    <row r="39" spans="2:22">
      <c r="B39" s="1359">
        <f t="shared" si="1"/>
        <v>24</v>
      </c>
      <c r="C39" s="1362">
        <f t="shared" ca="1" si="2"/>
        <v>46783</v>
      </c>
      <c r="D39" s="1365">
        <f t="shared" ca="1" si="3"/>
        <v>6313731.7525528148</v>
      </c>
      <c r="E39" s="1371">
        <f t="shared" ca="1" si="4"/>
        <v>73660.203779782838</v>
      </c>
      <c r="F39" s="1372">
        <f t="shared" ca="1" si="5"/>
        <v>-211091.31654105184</v>
      </c>
      <c r="G39" s="1365">
        <f t="shared" ca="1" si="0"/>
        <v>6176300.6397915464</v>
      </c>
      <c r="I39" s="1365">
        <f t="shared" ca="1" si="6"/>
        <v>907.20749878200115</v>
      </c>
      <c r="J39" s="1359"/>
      <c r="L39" s="1364">
        <f t="shared" ca="1" si="7"/>
        <v>-211998.52403983384</v>
      </c>
      <c r="N39" s="1365">
        <f ca="1">D28</f>
        <v>7724790.884741894</v>
      </c>
      <c r="O39" s="1365">
        <f ca="1">SUM(E28:E39)</f>
        <v>984605.55354226963</v>
      </c>
      <c r="P39" s="1365">
        <f ca="1">SUM(F28:F39)</f>
        <v>-2533095.798492623</v>
      </c>
      <c r="Q39" s="1365">
        <f ca="1">N39+O39+P39</f>
        <v>6176300.6397915408</v>
      </c>
      <c r="S39" s="1365">
        <f ca="1">SUM(I28:I39)</f>
        <v>10886.489985384016</v>
      </c>
      <c r="T39" s="1365">
        <f>SUM(J28:J39)</f>
        <v>0</v>
      </c>
      <c r="V39" s="1361">
        <f ca="1">Q39-G39</f>
        <v>0</v>
      </c>
    </row>
    <row r="40" spans="2:22">
      <c r="B40" s="1359">
        <f t="shared" si="1"/>
        <v>25</v>
      </c>
      <c r="C40" s="1362">
        <f t="shared" ca="1" si="2"/>
        <v>46812</v>
      </c>
      <c r="D40" s="1365">
        <f t="shared" ca="1" si="3"/>
        <v>6176300.6397915464</v>
      </c>
      <c r="E40" s="1371">
        <f t="shared" ca="1" si="4"/>
        <v>72056.840797568046</v>
      </c>
      <c r="F40" s="1372">
        <f t="shared" ca="1" si="5"/>
        <v>-211091.31654105184</v>
      </c>
      <c r="G40" s="1365">
        <f t="shared" ca="1" si="0"/>
        <v>6037266.1640480626</v>
      </c>
      <c r="I40" s="1365">
        <f t="shared" ca="1" si="6"/>
        <v>907.20749878200115</v>
      </c>
      <c r="J40" s="1359"/>
      <c r="L40" s="1364">
        <f t="shared" ca="1" si="7"/>
        <v>-211998.52403983384</v>
      </c>
    </row>
    <row r="41" spans="2:22">
      <c r="B41" s="1359">
        <f t="shared" si="1"/>
        <v>26</v>
      </c>
      <c r="C41" s="1362">
        <f t="shared" ca="1" si="2"/>
        <v>46843</v>
      </c>
      <c r="D41" s="1365">
        <f t="shared" ca="1" si="3"/>
        <v>6037266.1640480626</v>
      </c>
      <c r="E41" s="1371">
        <f t="shared" ca="1" si="4"/>
        <v>70434.771913894074</v>
      </c>
      <c r="F41" s="1372">
        <f t="shared" ca="1" si="5"/>
        <v>-211091.31654105184</v>
      </c>
      <c r="G41" s="1365">
        <f t="shared" ca="1" si="0"/>
        <v>5896609.6194209056</v>
      </c>
      <c r="I41" s="1365">
        <f t="shared" ca="1" si="6"/>
        <v>907.20749878200115</v>
      </c>
      <c r="J41" s="1359"/>
      <c r="L41" s="1364">
        <f t="shared" ca="1" si="7"/>
        <v>-211998.52403983384</v>
      </c>
    </row>
    <row r="42" spans="2:22">
      <c r="B42" s="1359">
        <f t="shared" si="1"/>
        <v>27</v>
      </c>
      <c r="C42" s="1362">
        <f t="shared" ca="1" si="2"/>
        <v>46873</v>
      </c>
      <c r="D42" s="1365">
        <f t="shared" ca="1" si="3"/>
        <v>5896609.6194209056</v>
      </c>
      <c r="E42" s="1371">
        <f t="shared" ca="1" si="4"/>
        <v>68793.7788932439</v>
      </c>
      <c r="F42" s="1372">
        <f t="shared" ca="1" si="5"/>
        <v>-211091.31654105184</v>
      </c>
      <c r="G42" s="1365">
        <f t="shared" ca="1" si="0"/>
        <v>5754312.0817730976</v>
      </c>
      <c r="I42" s="1365">
        <f t="shared" ca="1" si="6"/>
        <v>907.20749878200115</v>
      </c>
      <c r="J42" s="1359"/>
      <c r="L42" s="1364">
        <f t="shared" ca="1" si="7"/>
        <v>-211998.52403983384</v>
      </c>
    </row>
    <row r="43" spans="2:22">
      <c r="B43" s="1359">
        <f t="shared" si="1"/>
        <v>28</v>
      </c>
      <c r="C43" s="1362">
        <f t="shared" ca="1" si="2"/>
        <v>46904</v>
      </c>
      <c r="D43" s="1365">
        <f t="shared" ca="1" si="3"/>
        <v>5754312.0817730976</v>
      </c>
      <c r="E43" s="1371">
        <f t="shared" ca="1" si="4"/>
        <v>67133.640954019473</v>
      </c>
      <c r="F43" s="1372">
        <f t="shared" ca="1" si="5"/>
        <v>-211091.31654105184</v>
      </c>
      <c r="G43" s="1365">
        <f t="shared" ca="1" si="0"/>
        <v>5610354.4061860656</v>
      </c>
      <c r="I43" s="1365">
        <f t="shared" ca="1" si="6"/>
        <v>907.20749878200115</v>
      </c>
      <c r="J43" s="1359"/>
      <c r="L43" s="1364">
        <f t="shared" ca="1" si="7"/>
        <v>-211998.52403983384</v>
      </c>
    </row>
    <row r="44" spans="2:22">
      <c r="B44" s="1359">
        <f t="shared" si="1"/>
        <v>29</v>
      </c>
      <c r="C44" s="1362">
        <f t="shared" ca="1" si="2"/>
        <v>46934</v>
      </c>
      <c r="D44" s="1365">
        <f t="shared" ca="1" si="3"/>
        <v>5610354.4061860656</v>
      </c>
      <c r="E44" s="1371">
        <f t="shared" ca="1" si="4"/>
        <v>65454.134738837434</v>
      </c>
      <c r="F44" s="1372">
        <f t="shared" ca="1" si="5"/>
        <v>-211091.31654105184</v>
      </c>
      <c r="G44" s="1365">
        <f t="shared" ca="1" si="0"/>
        <v>5464717.2243838515</v>
      </c>
      <c r="I44" s="1365">
        <f t="shared" ca="1" si="6"/>
        <v>907.20749878200115</v>
      </c>
      <c r="J44" s="1359"/>
      <c r="L44" s="1364">
        <f t="shared" ca="1" si="7"/>
        <v>-211998.52403983384</v>
      </c>
    </row>
    <row r="45" spans="2:22">
      <c r="B45" s="1359">
        <f t="shared" si="1"/>
        <v>30</v>
      </c>
      <c r="C45" s="1362">
        <f t="shared" ca="1" si="2"/>
        <v>46965</v>
      </c>
      <c r="D45" s="1365">
        <f t="shared" ca="1" si="3"/>
        <v>5464717.2243838515</v>
      </c>
      <c r="E45" s="1371">
        <f t="shared" ca="1" si="4"/>
        <v>63755.034284478272</v>
      </c>
      <c r="F45" s="1372">
        <f t="shared" ca="1" si="5"/>
        <v>-211091.31654105184</v>
      </c>
      <c r="G45" s="1365">
        <f t="shared" ca="1" si="0"/>
        <v>5317380.9421272781</v>
      </c>
      <c r="I45" s="1365">
        <f t="shared" ca="1" si="6"/>
        <v>907.20749878200115</v>
      </c>
      <c r="J45" s="1359"/>
      <c r="L45" s="1364">
        <f t="shared" ca="1" si="7"/>
        <v>-211998.52403983384</v>
      </c>
    </row>
    <row r="46" spans="2:22">
      <c r="B46" s="1359">
        <f t="shared" si="1"/>
        <v>31</v>
      </c>
      <c r="C46" s="1362">
        <f t="shared" ca="1" si="2"/>
        <v>46996</v>
      </c>
      <c r="D46" s="1365">
        <f t="shared" ca="1" si="3"/>
        <v>5317380.9421272781</v>
      </c>
      <c r="E46" s="1371">
        <f t="shared" ca="1" si="4"/>
        <v>62036.110991484915</v>
      </c>
      <c r="F46" s="1372">
        <f t="shared" ca="1" si="5"/>
        <v>-211091.31654105184</v>
      </c>
      <c r="G46" s="1365">
        <f t="shared" ca="1" si="0"/>
        <v>5168325.7365777111</v>
      </c>
      <c r="I46" s="1365">
        <f t="shared" ca="1" si="6"/>
        <v>907.20749878200115</v>
      </c>
      <c r="J46" s="1359"/>
      <c r="L46" s="1364">
        <f t="shared" ca="1" si="7"/>
        <v>-211998.52403983384</v>
      </c>
    </row>
    <row r="47" spans="2:22">
      <c r="B47" s="1359">
        <f t="shared" si="1"/>
        <v>32</v>
      </c>
      <c r="C47" s="1362">
        <f t="shared" ca="1" si="2"/>
        <v>47026</v>
      </c>
      <c r="D47" s="1365">
        <f t="shared" ca="1" si="3"/>
        <v>5168325.7365777111</v>
      </c>
      <c r="E47" s="1371">
        <f t="shared" ca="1" si="4"/>
        <v>60297.13359340663</v>
      </c>
      <c r="F47" s="1372">
        <f t="shared" ca="1" si="5"/>
        <v>-211091.31654105184</v>
      </c>
      <c r="G47" s="1365">
        <f t="shared" ca="1" si="0"/>
        <v>5017531.5536300661</v>
      </c>
      <c r="I47" s="1365">
        <f t="shared" ca="1" si="6"/>
        <v>907.20749878200115</v>
      </c>
      <c r="J47" s="1359"/>
      <c r="L47" s="1364">
        <f t="shared" ca="1" si="7"/>
        <v>-211998.52403983384</v>
      </c>
    </row>
    <row r="48" spans="2:22">
      <c r="B48" s="1359">
        <f t="shared" si="1"/>
        <v>33</v>
      </c>
      <c r="C48" s="1362">
        <f t="shared" ca="1" si="2"/>
        <v>47057</v>
      </c>
      <c r="D48" s="1365">
        <f t="shared" ca="1" si="3"/>
        <v>5017531.5536300661</v>
      </c>
      <c r="E48" s="1371">
        <f t="shared" ca="1" si="4"/>
        <v>58537.868125684108</v>
      </c>
      <c r="F48" s="1372">
        <f t="shared" ca="1" si="5"/>
        <v>-211091.31654105184</v>
      </c>
      <c r="G48" s="1365">
        <f t="shared" ca="1" si="0"/>
        <v>4864978.1052146992</v>
      </c>
      <c r="I48" s="1365">
        <f t="shared" ca="1" si="6"/>
        <v>907.20749878200115</v>
      </c>
      <c r="J48" s="1359"/>
      <c r="L48" s="1364">
        <f t="shared" ca="1" si="7"/>
        <v>-211998.52403983384</v>
      </c>
    </row>
    <row r="49" spans="2:22">
      <c r="B49" s="1359">
        <f t="shared" si="1"/>
        <v>34</v>
      </c>
      <c r="C49" s="1362">
        <f t="shared" ca="1" si="2"/>
        <v>47087</v>
      </c>
      <c r="D49" s="1365">
        <f t="shared" ca="1" si="3"/>
        <v>4864978.1052146992</v>
      </c>
      <c r="E49" s="1371">
        <f t="shared" ca="1" si="4"/>
        <v>56758.077894171496</v>
      </c>
      <c r="F49" s="1372">
        <f t="shared" ca="1" si="5"/>
        <v>-211091.31654105184</v>
      </c>
      <c r="G49" s="1365">
        <f t="shared" ca="1" si="0"/>
        <v>4710644.8665678194</v>
      </c>
      <c r="I49" s="1365">
        <f t="shared" ca="1" si="6"/>
        <v>907.20749878200115</v>
      </c>
      <c r="J49" s="1359"/>
      <c r="L49" s="1364">
        <f t="shared" ca="1" si="7"/>
        <v>-211998.52403983384</v>
      </c>
    </row>
    <row r="50" spans="2:22">
      <c r="B50" s="1359">
        <f t="shared" si="1"/>
        <v>35</v>
      </c>
      <c r="C50" s="1362">
        <f t="shared" ca="1" si="2"/>
        <v>47118</v>
      </c>
      <c r="D50" s="1365">
        <f t="shared" ca="1" si="3"/>
        <v>4710644.8665678194</v>
      </c>
      <c r="E50" s="1371">
        <f t="shared" ca="1" si="4"/>
        <v>54957.523443291226</v>
      </c>
      <c r="F50" s="1372">
        <f t="shared" ca="1" si="5"/>
        <v>-211091.31654105184</v>
      </c>
      <c r="G50" s="1365">
        <f t="shared" ca="1" si="0"/>
        <v>4554511.0734700589</v>
      </c>
      <c r="I50" s="1365">
        <f t="shared" ca="1" si="6"/>
        <v>907.20749878200115</v>
      </c>
      <c r="J50" s="1359"/>
      <c r="L50" s="1364">
        <f t="shared" ca="1" si="7"/>
        <v>-211998.52403983384</v>
      </c>
    </row>
    <row r="51" spans="2:22">
      <c r="B51" s="1359">
        <f t="shared" si="1"/>
        <v>36</v>
      </c>
      <c r="C51" s="1362">
        <f t="shared" ca="1" si="2"/>
        <v>47149</v>
      </c>
      <c r="D51" s="1365">
        <f t="shared" ca="1" si="3"/>
        <v>4554511.0734700589</v>
      </c>
      <c r="E51" s="1371">
        <f t="shared" ca="1" si="4"/>
        <v>53135.962523817354</v>
      </c>
      <c r="F51" s="1372">
        <f t="shared" ca="1" si="5"/>
        <v>-211091.31654105184</v>
      </c>
      <c r="G51" s="1365">
        <f t="shared" ca="1" si="0"/>
        <v>4396555.7194528244</v>
      </c>
      <c r="I51" s="1365">
        <f t="shared" ca="1" si="6"/>
        <v>907.20749878200115</v>
      </c>
      <c r="J51" s="1359"/>
      <c r="L51" s="1364">
        <f t="shared" ca="1" si="7"/>
        <v>-211998.52403983384</v>
      </c>
      <c r="N51" s="1365">
        <f ca="1">D40</f>
        <v>6176300.6397915464</v>
      </c>
      <c r="O51" s="1365">
        <f ca="1">SUM(E40:E51)</f>
        <v>753350.87815389677</v>
      </c>
      <c r="P51" s="1365">
        <f ca="1">SUM(F40:F51)</f>
        <v>-2533095.798492623</v>
      </c>
      <c r="Q51" s="1365">
        <f ca="1">N51+O51+P51</f>
        <v>4396555.7194528207</v>
      </c>
      <c r="S51" s="1365">
        <f ca="1">SUM(I40:I51)</f>
        <v>10886.489985384016</v>
      </c>
      <c r="T51" s="1365">
        <f>SUM(J40:J51)</f>
        <v>0</v>
      </c>
      <c r="V51" s="1361">
        <f ca="1">Q51-G51</f>
        <v>0</v>
      </c>
    </row>
    <row r="52" spans="2:22">
      <c r="B52" s="1359">
        <f t="shared" si="1"/>
        <v>37</v>
      </c>
      <c r="C52" s="1362">
        <f t="shared" ca="1" si="2"/>
        <v>47177</v>
      </c>
      <c r="D52" s="1365">
        <f t="shared" ca="1" si="3"/>
        <v>4396555.7194528244</v>
      </c>
      <c r="E52" s="1371">
        <f t="shared" ca="1" si="4"/>
        <v>51293.150060282955</v>
      </c>
      <c r="F52" s="1372">
        <f t="shared" ca="1" si="5"/>
        <v>-211091.31654105184</v>
      </c>
      <c r="G52" s="1365">
        <f t="shared" ca="1" si="0"/>
        <v>4236757.552972055</v>
      </c>
      <c r="I52" s="1365">
        <f t="shared" ca="1" si="6"/>
        <v>907.20749878200115</v>
      </c>
      <c r="J52" s="1359"/>
      <c r="L52" s="1364">
        <f t="shared" ca="1" si="7"/>
        <v>-211998.52403983384</v>
      </c>
    </row>
    <row r="53" spans="2:22">
      <c r="B53" s="1359">
        <f t="shared" si="1"/>
        <v>38</v>
      </c>
      <c r="C53" s="1362">
        <f t="shared" ca="1" si="2"/>
        <v>47208</v>
      </c>
      <c r="D53" s="1365">
        <f t="shared" ca="1" si="3"/>
        <v>4236757.552972055</v>
      </c>
      <c r="E53" s="1371">
        <f t="shared" ca="1" si="4"/>
        <v>49428.838118007312</v>
      </c>
      <c r="F53" s="1372">
        <f t="shared" ca="1" si="5"/>
        <v>-211091.31654105184</v>
      </c>
      <c r="G53" s="1365">
        <f t="shared" ca="1" si="0"/>
        <v>4075095.0745490105</v>
      </c>
      <c r="I53" s="1365">
        <f t="shared" ca="1" si="6"/>
        <v>907.20749878200115</v>
      </c>
      <c r="J53" s="1359"/>
      <c r="L53" s="1364">
        <f t="shared" ca="1" si="7"/>
        <v>-211998.52403983384</v>
      </c>
    </row>
    <row r="54" spans="2:22">
      <c r="B54" s="1359">
        <f t="shared" si="1"/>
        <v>39</v>
      </c>
      <c r="C54" s="1362">
        <f t="shared" ca="1" si="2"/>
        <v>47238</v>
      </c>
      <c r="D54" s="1365">
        <f t="shared" ca="1" si="3"/>
        <v>4075095.0745490105</v>
      </c>
      <c r="E54" s="1371">
        <f t="shared" ca="1" si="4"/>
        <v>47542.775869738456</v>
      </c>
      <c r="F54" s="1372">
        <f t="shared" ca="1" si="5"/>
        <v>-211091.31654105184</v>
      </c>
      <c r="G54" s="1365">
        <f t="shared" ca="1" si="0"/>
        <v>3911546.5338776968</v>
      </c>
      <c r="I54" s="1365">
        <f t="shared" ca="1" si="6"/>
        <v>907.20749878200115</v>
      </c>
      <c r="J54" s="1359"/>
      <c r="L54" s="1364">
        <f t="shared" ca="1" si="7"/>
        <v>-211998.52403983384</v>
      </c>
    </row>
    <row r="55" spans="2:22">
      <c r="B55" s="1359">
        <f t="shared" si="1"/>
        <v>40</v>
      </c>
      <c r="C55" s="1362">
        <f t="shared" ca="1" si="2"/>
        <v>47269</v>
      </c>
      <c r="D55" s="1365">
        <f t="shared" ca="1" si="3"/>
        <v>3911546.5338776968</v>
      </c>
      <c r="E55" s="1371">
        <f t="shared" ca="1" si="4"/>
        <v>45634.709561906464</v>
      </c>
      <c r="F55" s="1372">
        <f t="shared" ca="1" si="5"/>
        <v>-211091.31654105184</v>
      </c>
      <c r="G55" s="1365">
        <f t="shared" ca="1" si="0"/>
        <v>3746089.9268985512</v>
      </c>
      <c r="I55" s="1365">
        <f t="shared" ca="1" si="6"/>
        <v>907.20749878200115</v>
      </c>
      <c r="J55" s="1359"/>
      <c r="L55" s="1364">
        <f t="shared" ca="1" si="7"/>
        <v>-211998.52403983384</v>
      </c>
    </row>
    <row r="56" spans="2:22">
      <c r="B56" s="1359">
        <f t="shared" si="1"/>
        <v>41</v>
      </c>
      <c r="C56" s="1362">
        <f t="shared" ca="1" si="2"/>
        <v>47299</v>
      </c>
      <c r="D56" s="1365">
        <f t="shared" ca="1" si="3"/>
        <v>3746089.9268985512</v>
      </c>
      <c r="E56" s="1371">
        <f t="shared" ca="1" si="4"/>
        <v>43704.382480483102</v>
      </c>
      <c r="F56" s="1372">
        <f t="shared" ca="1" si="5"/>
        <v>-211091.31654105184</v>
      </c>
      <c r="G56" s="1365">
        <f t="shared" ca="1" si="0"/>
        <v>3578702.9928379823</v>
      </c>
      <c r="I56" s="1365">
        <f t="shared" ca="1" si="6"/>
        <v>907.20749878200115</v>
      </c>
      <c r="J56" s="1359"/>
      <c r="L56" s="1364">
        <f t="shared" ca="1" si="7"/>
        <v>-211998.52403983384</v>
      </c>
    </row>
    <row r="57" spans="2:22">
      <c r="B57" s="1359">
        <f t="shared" si="1"/>
        <v>42</v>
      </c>
      <c r="C57" s="1362">
        <f t="shared" ca="1" si="2"/>
        <v>47330</v>
      </c>
      <c r="D57" s="1365">
        <f t="shared" ca="1" si="3"/>
        <v>3578702.9928379823</v>
      </c>
      <c r="E57" s="1371">
        <f t="shared" ca="1" si="4"/>
        <v>41751.534916443132</v>
      </c>
      <c r="F57" s="1372">
        <f t="shared" ca="1" si="5"/>
        <v>-211091.31654105184</v>
      </c>
      <c r="G57" s="1365">
        <f t="shared" ca="1" si="0"/>
        <v>3409363.2112133736</v>
      </c>
      <c r="I57" s="1365">
        <f t="shared" ca="1" si="6"/>
        <v>907.20749878200115</v>
      </c>
      <c r="J57" s="1359"/>
      <c r="L57" s="1364">
        <f t="shared" ca="1" si="7"/>
        <v>-211998.52403983384</v>
      </c>
    </row>
    <row r="58" spans="2:22">
      <c r="B58" s="1359">
        <f t="shared" si="1"/>
        <v>43</v>
      </c>
      <c r="C58" s="1362">
        <f t="shared" ca="1" si="2"/>
        <v>47361</v>
      </c>
      <c r="D58" s="1365">
        <f t="shared" ca="1" si="3"/>
        <v>3409363.2112133736</v>
      </c>
      <c r="E58" s="1371">
        <f t="shared" ca="1" si="4"/>
        <v>39775.904130822695</v>
      </c>
      <c r="F58" s="1372">
        <f t="shared" ca="1" si="5"/>
        <v>-211091.31654105184</v>
      </c>
      <c r="G58" s="1365">
        <f t="shared" ca="1" si="0"/>
        <v>3238047.7988031441</v>
      </c>
      <c r="I58" s="1365">
        <f t="shared" ca="1" si="6"/>
        <v>907.20749878200115</v>
      </c>
      <c r="J58" s="1359"/>
      <c r="L58" s="1364">
        <f t="shared" ca="1" si="7"/>
        <v>-211998.52403983384</v>
      </c>
    </row>
    <row r="59" spans="2:22">
      <c r="B59" s="1359">
        <f t="shared" si="1"/>
        <v>44</v>
      </c>
      <c r="C59" s="1362">
        <f t="shared" ca="1" si="2"/>
        <v>47391</v>
      </c>
      <c r="D59" s="1365">
        <f t="shared" ca="1" si="3"/>
        <v>3238047.7988031441</v>
      </c>
      <c r="E59" s="1371">
        <f t="shared" ca="1" si="4"/>
        <v>37777.22431937002</v>
      </c>
      <c r="F59" s="1372">
        <f t="shared" ca="1" si="5"/>
        <v>-211091.31654105184</v>
      </c>
      <c r="G59" s="1365">
        <f t="shared" ca="1" si="0"/>
        <v>3064733.7065814622</v>
      </c>
      <c r="I59" s="1365">
        <f t="shared" ca="1" si="6"/>
        <v>907.20749878200115</v>
      </c>
      <c r="J59" s="1359"/>
      <c r="L59" s="1364">
        <f t="shared" ca="1" si="7"/>
        <v>-211998.52403983384</v>
      </c>
    </row>
    <row r="60" spans="2:22">
      <c r="B60" s="1359">
        <f t="shared" si="1"/>
        <v>45</v>
      </c>
      <c r="C60" s="1362">
        <f t="shared" ca="1" si="2"/>
        <v>47422</v>
      </c>
      <c r="D60" s="1365">
        <f t="shared" ca="1" si="3"/>
        <v>3064733.7065814622</v>
      </c>
      <c r="E60" s="1371">
        <f t="shared" ca="1" si="4"/>
        <v>35755.226576783723</v>
      </c>
      <c r="F60" s="1372">
        <f t="shared" ca="1" si="5"/>
        <v>-211091.31654105184</v>
      </c>
      <c r="G60" s="1365">
        <f t="shared" ca="1" si="0"/>
        <v>2889397.6166171939</v>
      </c>
      <c r="I60" s="1365">
        <f t="shared" ca="1" si="6"/>
        <v>907.20749878200115</v>
      </c>
      <c r="J60" s="1359"/>
      <c r="L60" s="1364">
        <f t="shared" ca="1" si="7"/>
        <v>-211998.52403983384</v>
      </c>
    </row>
    <row r="61" spans="2:22">
      <c r="B61" s="1359">
        <f t="shared" si="1"/>
        <v>46</v>
      </c>
      <c r="C61" s="1362">
        <f t="shared" ca="1" si="2"/>
        <v>47452</v>
      </c>
      <c r="D61" s="1365">
        <f t="shared" ca="1" si="3"/>
        <v>2889397.6166171939</v>
      </c>
      <c r="E61" s="1371">
        <f t="shared" ca="1" si="4"/>
        <v>33709.638860533931</v>
      </c>
      <c r="F61" s="1372">
        <f t="shared" ca="1" si="5"/>
        <v>-211091.31654105184</v>
      </c>
      <c r="G61" s="1365">
        <f t="shared" ca="1" si="0"/>
        <v>2712015.9389366759</v>
      </c>
      <c r="I61" s="1365">
        <f t="shared" ca="1" si="6"/>
        <v>907.20749878200115</v>
      </c>
      <c r="J61" s="1359"/>
      <c r="L61" s="1364">
        <f t="shared" ca="1" si="7"/>
        <v>-211998.52403983384</v>
      </c>
    </row>
    <row r="62" spans="2:22">
      <c r="B62" s="1359">
        <f t="shared" si="1"/>
        <v>47</v>
      </c>
      <c r="C62" s="1362">
        <f t="shared" ca="1" si="2"/>
        <v>47483</v>
      </c>
      <c r="D62" s="1365">
        <f t="shared" ca="1" si="3"/>
        <v>2712015.9389366759</v>
      </c>
      <c r="E62" s="1371">
        <f t="shared" ca="1" si="4"/>
        <v>31640.185954261222</v>
      </c>
      <c r="F62" s="1372">
        <f t="shared" ca="1" si="5"/>
        <v>-211091.31654105184</v>
      </c>
      <c r="G62" s="1365">
        <f t="shared" ca="1" si="0"/>
        <v>2532564.808349885</v>
      </c>
      <c r="I62" s="1365">
        <f t="shared" ca="1" si="6"/>
        <v>907.20749878200115</v>
      </c>
      <c r="J62" s="1359"/>
      <c r="L62" s="1364">
        <f t="shared" ca="1" si="7"/>
        <v>-211998.52403983384</v>
      </c>
    </row>
    <row r="63" spans="2:22">
      <c r="B63" s="1359">
        <f t="shared" si="1"/>
        <v>48</v>
      </c>
      <c r="C63" s="1362">
        <f t="shared" ca="1" si="2"/>
        <v>47514</v>
      </c>
      <c r="D63" s="1365">
        <f t="shared" ca="1" si="3"/>
        <v>2532564.808349885</v>
      </c>
      <c r="E63" s="1371">
        <f t="shared" ca="1" si="4"/>
        <v>29546.58943074866</v>
      </c>
      <c r="F63" s="1372">
        <f t="shared" ca="1" si="5"/>
        <v>-211091.31654105184</v>
      </c>
      <c r="G63" s="1365">
        <f t="shared" ca="1" si="0"/>
        <v>2351020.0812395816</v>
      </c>
      <c r="I63" s="1365">
        <f t="shared" ca="1" si="6"/>
        <v>907.20749878200115</v>
      </c>
      <c r="J63" s="1359"/>
      <c r="L63" s="1364">
        <f t="shared" ca="1" si="7"/>
        <v>-211998.52403983384</v>
      </c>
      <c r="N63" s="1365">
        <f ca="1">D52</f>
        <v>4396555.7194528244</v>
      </c>
      <c r="O63" s="1365">
        <f ca="1">SUM(E52:E63)</f>
        <v>487560.16027938161</v>
      </c>
      <c r="P63" s="1365">
        <f ca="1">SUM(F52:F63)</f>
        <v>-2533095.798492623</v>
      </c>
      <c r="Q63" s="1365">
        <f ca="1">N63+O63+P63</f>
        <v>2351020.0812395834</v>
      </c>
      <c r="S63" s="1365">
        <f ca="1">SUM(I52:I63)</f>
        <v>10886.489985384016</v>
      </c>
      <c r="T63" s="1365">
        <f>SUM(J52:J63)</f>
        <v>0</v>
      </c>
      <c r="V63" s="1361">
        <f ca="1">Q63-G63</f>
        <v>0</v>
      </c>
    </row>
    <row r="64" spans="2:22">
      <c r="B64" s="1359">
        <f t="shared" si="1"/>
        <v>49</v>
      </c>
      <c r="C64" s="1362">
        <f t="shared" ca="1" si="2"/>
        <v>47542</v>
      </c>
      <c r="D64" s="1365">
        <f t="shared" ca="1" si="3"/>
        <v>2351020.0812395816</v>
      </c>
      <c r="E64" s="1371">
        <f t="shared" ca="1" si="4"/>
        <v>27428.567614461786</v>
      </c>
      <c r="F64" s="1372">
        <f t="shared" ca="1" si="5"/>
        <v>-211091.31654105184</v>
      </c>
      <c r="G64" s="1365">
        <f t="shared" ca="1" si="0"/>
        <v>2167357.3323129914</v>
      </c>
      <c r="I64" s="1365">
        <f t="shared" ca="1" si="6"/>
        <v>907.20749878200115</v>
      </c>
      <c r="J64" s="1359"/>
      <c r="L64" s="1364">
        <f t="shared" ca="1" si="7"/>
        <v>-211998.52403983384</v>
      </c>
    </row>
    <row r="65" spans="2:22">
      <c r="B65" s="1359">
        <f t="shared" si="1"/>
        <v>50</v>
      </c>
      <c r="C65" s="1362">
        <f t="shared" ca="1" si="2"/>
        <v>47573</v>
      </c>
      <c r="D65" s="1365">
        <f t="shared" ca="1" si="3"/>
        <v>2167357.3323129914</v>
      </c>
      <c r="E65" s="1371">
        <f t="shared" ca="1" si="4"/>
        <v>25285.835543651567</v>
      </c>
      <c r="F65" s="1372">
        <f t="shared" ca="1" si="5"/>
        <v>-211091.31654105184</v>
      </c>
      <c r="G65" s="1365">
        <f t="shared" ca="1" si="0"/>
        <v>1981551.851315591</v>
      </c>
      <c r="I65" s="1365">
        <f t="shared" ca="1" si="6"/>
        <v>907.20749878200115</v>
      </c>
      <c r="J65" s="1359"/>
      <c r="L65" s="1364">
        <f t="shared" ca="1" si="7"/>
        <v>-211998.52403983384</v>
      </c>
    </row>
    <row r="66" spans="2:22">
      <c r="B66" s="1359">
        <f t="shared" si="1"/>
        <v>51</v>
      </c>
      <c r="C66" s="1362">
        <f t="shared" ca="1" si="2"/>
        <v>47603</v>
      </c>
      <c r="D66" s="1365">
        <f t="shared" ca="1" si="3"/>
        <v>1981551.851315591</v>
      </c>
      <c r="E66" s="1371">
        <f t="shared" ca="1" si="4"/>
        <v>23118.104932015231</v>
      </c>
      <c r="F66" s="1372">
        <f t="shared" ca="1" si="5"/>
        <v>-211091.31654105184</v>
      </c>
      <c r="G66" s="1365">
        <f t="shared" ca="1" si="0"/>
        <v>1793578.6397065544</v>
      </c>
      <c r="I66" s="1365">
        <f t="shared" ca="1" si="6"/>
        <v>907.20749878200115</v>
      </c>
      <c r="J66" s="1359"/>
      <c r="L66" s="1364">
        <f t="shared" ca="1" si="7"/>
        <v>-211998.52403983384</v>
      </c>
    </row>
    <row r="67" spans="2:22">
      <c r="B67" s="1359">
        <f t="shared" si="1"/>
        <v>52</v>
      </c>
      <c r="C67" s="1362">
        <f t="shared" ca="1" si="2"/>
        <v>47634</v>
      </c>
      <c r="D67" s="1365">
        <f t="shared" ca="1" si="3"/>
        <v>1793578.6397065544</v>
      </c>
      <c r="E67" s="1371">
        <f t="shared" ca="1" si="4"/>
        <v>20925.084129909803</v>
      </c>
      <c r="F67" s="1372">
        <f t="shared" ca="1" si="5"/>
        <v>-211091.31654105184</v>
      </c>
      <c r="G67" s="1365">
        <f t="shared" ca="1" si="0"/>
        <v>1603412.4072954122</v>
      </c>
      <c r="I67" s="1365">
        <f t="shared" ca="1" si="6"/>
        <v>907.20749878200115</v>
      </c>
      <c r="J67" s="1359"/>
      <c r="L67" s="1364">
        <f t="shared" ca="1" si="7"/>
        <v>-211998.52403983384</v>
      </c>
    </row>
    <row r="68" spans="2:22">
      <c r="B68" s="1359">
        <f t="shared" si="1"/>
        <v>53</v>
      </c>
      <c r="C68" s="1362">
        <f t="shared" ca="1" si="2"/>
        <v>47664</v>
      </c>
      <c r="D68" s="1365">
        <f t="shared" ca="1" si="3"/>
        <v>1603412.4072954122</v>
      </c>
      <c r="E68" s="1371">
        <f t="shared" ca="1" si="4"/>
        <v>18706.478085113144</v>
      </c>
      <c r="F68" s="1372">
        <f t="shared" ca="1" si="5"/>
        <v>-211091.31654105184</v>
      </c>
      <c r="G68" s="1365">
        <f t="shared" ca="1" si="0"/>
        <v>1411027.5688394736</v>
      </c>
      <c r="I68" s="1365">
        <f t="shared" ca="1" si="6"/>
        <v>907.20749878200115</v>
      </c>
      <c r="J68" s="1359"/>
      <c r="L68" s="1364">
        <f t="shared" ca="1" si="7"/>
        <v>-211998.52403983384</v>
      </c>
    </row>
    <row r="69" spans="2:22">
      <c r="B69" s="1359">
        <f t="shared" si="1"/>
        <v>54</v>
      </c>
      <c r="C69" s="1362">
        <f t="shared" ca="1" si="2"/>
        <v>47695</v>
      </c>
      <c r="D69" s="1365">
        <f t="shared" ca="1" si="3"/>
        <v>1411027.5688394736</v>
      </c>
      <c r="E69" s="1371">
        <f t="shared" ca="1" si="4"/>
        <v>16461.988303127193</v>
      </c>
      <c r="F69" s="1372">
        <f t="shared" ca="1" si="5"/>
        <v>-211091.31654105184</v>
      </c>
      <c r="G69" s="1365">
        <f t="shared" ca="1" si="0"/>
        <v>1216398.2406015489</v>
      </c>
      <c r="I69" s="1365">
        <f t="shared" ca="1" si="6"/>
        <v>907.20749878200115</v>
      </c>
      <c r="J69" s="1359"/>
      <c r="L69" s="1364">
        <f t="shared" ca="1" si="7"/>
        <v>-211998.52403983384</v>
      </c>
    </row>
    <row r="70" spans="2:22">
      <c r="B70" s="1359">
        <f t="shared" si="1"/>
        <v>55</v>
      </c>
      <c r="C70" s="1362">
        <f t="shared" ca="1" si="2"/>
        <v>47726</v>
      </c>
      <c r="D70" s="1365">
        <f t="shared" ca="1" si="3"/>
        <v>1216398.2406015489</v>
      </c>
      <c r="E70" s="1371">
        <f t="shared" ca="1" si="4"/>
        <v>14191.312807018072</v>
      </c>
      <c r="F70" s="1372">
        <f t="shared" ca="1" si="5"/>
        <v>-211091.31654105184</v>
      </c>
      <c r="G70" s="1365">
        <f t="shared" ca="1" si="0"/>
        <v>1019498.2368675151</v>
      </c>
      <c r="I70" s="1365">
        <f t="shared" ca="1" si="6"/>
        <v>907.20749878200115</v>
      </c>
      <c r="J70" s="1359"/>
      <c r="L70" s="1364">
        <f t="shared" ca="1" si="7"/>
        <v>-211998.52403983384</v>
      </c>
    </row>
    <row r="71" spans="2:22">
      <c r="B71" s="1359">
        <f t="shared" si="1"/>
        <v>56</v>
      </c>
      <c r="C71" s="1362">
        <f t="shared" ca="1" si="2"/>
        <v>47756</v>
      </c>
      <c r="D71" s="1365">
        <f t="shared" ca="1" si="3"/>
        <v>1019498.2368675151</v>
      </c>
      <c r="E71" s="1371">
        <f t="shared" ca="1" si="4"/>
        <v>11894.146096787677</v>
      </c>
      <c r="F71" s="1372">
        <f t="shared" ca="1" si="5"/>
        <v>-211091.31654105184</v>
      </c>
      <c r="G71" s="1365">
        <f t="shared" ca="1" si="0"/>
        <v>820301.06642325094</v>
      </c>
      <c r="I71" s="1365">
        <f t="shared" ca="1" si="6"/>
        <v>907.20749878200115</v>
      </c>
      <c r="J71" s="1359"/>
      <c r="L71" s="1364">
        <f t="shared" ca="1" si="7"/>
        <v>-211998.52403983384</v>
      </c>
    </row>
    <row r="72" spans="2:22">
      <c r="B72" s="1359">
        <f t="shared" si="1"/>
        <v>57</v>
      </c>
      <c r="C72" s="1362">
        <f t="shared" ca="1" si="2"/>
        <v>47787</v>
      </c>
      <c r="D72" s="1365">
        <f t="shared" ca="1" si="3"/>
        <v>820301.06642325094</v>
      </c>
      <c r="E72" s="1371">
        <f t="shared" ca="1" si="4"/>
        <v>9570.1791082712607</v>
      </c>
      <c r="F72" s="1372">
        <f t="shared" ca="1" si="5"/>
        <v>-211091.31654105184</v>
      </c>
      <c r="G72" s="1365">
        <f t="shared" ca="1" si="0"/>
        <v>618779.92899047036</v>
      </c>
      <c r="I72" s="1365">
        <f t="shared" ca="1" si="6"/>
        <v>907.20749878200115</v>
      </c>
      <c r="J72" s="1359"/>
      <c r="L72" s="1364">
        <f t="shared" ca="1" si="7"/>
        <v>-211998.52403983384</v>
      </c>
    </row>
    <row r="73" spans="2:22">
      <c r="B73" s="1359">
        <f t="shared" si="1"/>
        <v>58</v>
      </c>
      <c r="C73" s="1362">
        <f t="shared" ca="1" si="2"/>
        <v>47817</v>
      </c>
      <c r="D73" s="1365">
        <f t="shared" ca="1" si="3"/>
        <v>618779.92899047036</v>
      </c>
      <c r="E73" s="1371">
        <f t="shared" ca="1" si="4"/>
        <v>7219.0991715554883</v>
      </c>
      <c r="F73" s="1372">
        <f t="shared" ca="1" si="5"/>
        <v>-211091.31654105184</v>
      </c>
      <c r="G73" s="1365">
        <f t="shared" ca="1" si="0"/>
        <v>414907.71162097401</v>
      </c>
      <c r="I73" s="1365">
        <f t="shared" ca="1" si="6"/>
        <v>907.20749878200115</v>
      </c>
      <c r="J73" s="1359"/>
      <c r="L73" s="1364">
        <f t="shared" ca="1" si="7"/>
        <v>-211998.52403983384</v>
      </c>
    </row>
    <row r="74" spans="2:22">
      <c r="B74" s="1359">
        <f t="shared" si="1"/>
        <v>59</v>
      </c>
      <c r="C74" s="1362">
        <f t="shared" ca="1" si="2"/>
        <v>47848</v>
      </c>
      <c r="D74" s="1365">
        <f t="shared" ca="1" si="3"/>
        <v>414907.71162097401</v>
      </c>
      <c r="E74" s="1371">
        <f t="shared" ca="1" si="4"/>
        <v>4840.5899689113639</v>
      </c>
      <c r="F74" s="1372">
        <f t="shared" ca="1" si="5"/>
        <v>-211091.31654105184</v>
      </c>
      <c r="G74" s="1365">
        <f t="shared" ca="1" si="0"/>
        <v>208656.98504883354</v>
      </c>
      <c r="I74" s="1365">
        <f t="shared" ca="1" si="6"/>
        <v>907.20749878200115</v>
      </c>
      <c r="J74" s="1359"/>
      <c r="L74" s="1364">
        <f t="shared" ca="1" si="7"/>
        <v>-211998.52403983384</v>
      </c>
    </row>
    <row r="75" spans="2:22">
      <c r="B75" s="1359">
        <f t="shared" si="1"/>
        <v>60</v>
      </c>
      <c r="C75" s="1362">
        <f t="shared" ca="1" si="2"/>
        <v>47879</v>
      </c>
      <c r="D75" s="1365">
        <f t="shared" ca="1" si="3"/>
        <v>208656.98504883354</v>
      </c>
      <c r="E75" s="1371">
        <f ca="1">IF(C75&gt;=C74,D75*($D$7/12),"")</f>
        <v>2434.3314922363916</v>
      </c>
      <c r="F75" s="1372">
        <f t="shared" ca="1" si="5"/>
        <v>-211091.31654105184</v>
      </c>
      <c r="G75" s="1365">
        <f t="shared" ca="1" si="0"/>
        <v>1.8086211639456451E-8</v>
      </c>
      <c r="I75" s="1365">
        <f t="shared" ca="1" si="6"/>
        <v>907.20749878200115</v>
      </c>
      <c r="J75" s="1359"/>
      <c r="L75" s="1364">
        <f t="shared" ca="1" si="7"/>
        <v>-211998.52403983384</v>
      </c>
      <c r="N75" s="1365">
        <f ca="1">D64</f>
        <v>2351020.0812395816</v>
      </c>
      <c r="O75" s="1365">
        <f ca="1">SUM(E64:E75)</f>
        <v>182075.71725305897</v>
      </c>
      <c r="P75" s="1365">
        <f ca="1">SUM(F64:F75)</f>
        <v>-2533095.798492623</v>
      </c>
      <c r="Q75" s="1365">
        <f ca="1">N75+O75+P75</f>
        <v>1.7695128917694092E-8</v>
      </c>
      <c r="S75" s="1365">
        <f ca="1">SUM(I64:I75)</f>
        <v>10886.489985384016</v>
      </c>
      <c r="T75" s="1365">
        <f>SUM(J64:J75)</f>
        <v>0</v>
      </c>
      <c r="V75" s="1361">
        <f ca="1">Q75-G75</f>
        <v>-3.9108272176235914E-10</v>
      </c>
    </row>
    <row r="76" spans="2:22">
      <c r="B76" s="1359">
        <f t="shared" si="1"/>
        <v>61</v>
      </c>
      <c r="C76" s="1362">
        <f t="shared" ca="1" si="2"/>
        <v>47907</v>
      </c>
      <c r="D76" s="1365">
        <f t="shared" ca="1" si="3"/>
        <v>1.8086211639456451E-8</v>
      </c>
      <c r="E76" s="1371">
        <f t="shared" ref="E76:E135" ca="1" si="8">IF(C76&gt;=C75,D76*($D$7/12),"")</f>
        <v>2.1100580246032526E-10</v>
      </c>
      <c r="F76" s="1372">
        <f t="shared" ca="1" si="5"/>
        <v>0</v>
      </c>
      <c r="G76" s="1365">
        <f t="shared" ca="1" si="0"/>
        <v>1.8297217441916777E-8</v>
      </c>
      <c r="I76" s="1365">
        <f t="shared" ca="1" si="6"/>
        <v>0</v>
      </c>
      <c r="J76" s="1359"/>
      <c r="L76" s="1364">
        <f t="shared" ca="1" si="7"/>
        <v>0</v>
      </c>
    </row>
    <row r="77" spans="2:22">
      <c r="B77" s="1359">
        <f t="shared" si="1"/>
        <v>62</v>
      </c>
      <c r="C77" s="1362">
        <f t="shared" ca="1" si="2"/>
        <v>47938</v>
      </c>
      <c r="D77" s="1365">
        <f t="shared" ca="1" si="3"/>
        <v>1.8297217441916777E-8</v>
      </c>
      <c r="E77" s="1371">
        <f t="shared" ca="1" si="8"/>
        <v>2.134675368223624E-10</v>
      </c>
      <c r="F77" s="1372">
        <f t="shared" ca="1" si="5"/>
        <v>0</v>
      </c>
      <c r="G77" s="1365">
        <f t="shared" ca="1" si="0"/>
        <v>1.851068497873914E-8</v>
      </c>
      <c r="I77" s="1365">
        <f t="shared" ca="1" si="6"/>
        <v>0</v>
      </c>
      <c r="J77" s="1359"/>
      <c r="L77" s="1364">
        <f t="shared" ca="1" si="7"/>
        <v>0</v>
      </c>
    </row>
    <row r="78" spans="2:22">
      <c r="B78" s="1359">
        <f t="shared" si="1"/>
        <v>63</v>
      </c>
      <c r="C78" s="1362">
        <f t="shared" ca="1" si="2"/>
        <v>47968</v>
      </c>
      <c r="D78" s="1365">
        <f t="shared" ca="1" si="3"/>
        <v>1.851068497873914E-8</v>
      </c>
      <c r="E78" s="1371">
        <f t="shared" ca="1" si="8"/>
        <v>2.1595799141862332E-10</v>
      </c>
      <c r="F78" s="1372">
        <f t="shared" ca="1" si="5"/>
        <v>0</v>
      </c>
      <c r="G78" s="1365">
        <f t="shared" ca="1" si="0"/>
        <v>1.8726642970157764E-8</v>
      </c>
      <c r="I78" s="1365">
        <f t="shared" ca="1" si="6"/>
        <v>0</v>
      </c>
      <c r="J78" s="1359"/>
      <c r="L78" s="1364">
        <f t="shared" ca="1" si="7"/>
        <v>0</v>
      </c>
    </row>
    <row r="79" spans="2:22">
      <c r="B79" s="1359">
        <f t="shared" si="1"/>
        <v>64</v>
      </c>
      <c r="C79" s="1362">
        <f t="shared" ca="1" si="2"/>
        <v>47999</v>
      </c>
      <c r="D79" s="1365">
        <f t="shared" ca="1" si="3"/>
        <v>1.8726642970157764E-8</v>
      </c>
      <c r="E79" s="1371">
        <f t="shared" ca="1" si="8"/>
        <v>2.1847750131850724E-10</v>
      </c>
      <c r="F79" s="1372">
        <f t="shared" ca="1" si="5"/>
        <v>0</v>
      </c>
      <c r="G79" s="1365">
        <f t="shared" ca="1" si="0"/>
        <v>1.894512047147627E-8</v>
      </c>
      <c r="I79" s="1365">
        <f t="shared" ca="1" si="6"/>
        <v>0</v>
      </c>
      <c r="J79" s="1359"/>
      <c r="L79" s="1364">
        <f t="shared" ca="1" si="7"/>
        <v>0</v>
      </c>
    </row>
    <row r="80" spans="2:22">
      <c r="B80" s="1359">
        <f t="shared" si="1"/>
        <v>65</v>
      </c>
      <c r="C80" s="1362">
        <f t="shared" ca="1" si="2"/>
        <v>48029</v>
      </c>
      <c r="D80" s="1365">
        <f t="shared" ca="1" si="3"/>
        <v>1.894512047147627E-8</v>
      </c>
      <c r="E80" s="1371">
        <f t="shared" ca="1" si="8"/>
        <v>2.2102640550055651E-10</v>
      </c>
      <c r="F80" s="1372">
        <f t="shared" ca="1" si="5"/>
        <v>0</v>
      </c>
      <c r="G80" s="1365">
        <f t="shared" ref="G80:G135" ca="1" si="9">D80+F80+E80</f>
        <v>1.9166146876976827E-8</v>
      </c>
      <c r="I80" s="1365">
        <f t="shared" ca="1" si="6"/>
        <v>0</v>
      </c>
      <c r="J80" s="1359"/>
      <c r="L80" s="1364">
        <f t="shared" ca="1" si="7"/>
        <v>0</v>
      </c>
    </row>
    <row r="81" spans="2:20">
      <c r="B81" s="1359">
        <f t="shared" ref="B81:B135" si="10">B80+1</f>
        <v>66</v>
      </c>
      <c r="C81" s="1362">
        <f t="shared" ref="C81:C135" ca="1" si="11">EOMONTH(C80,1)</f>
        <v>48060</v>
      </c>
      <c r="D81" s="1365">
        <f t="shared" ref="D81:D135" ca="1" si="12">G80</f>
        <v>1.9166146876976827E-8</v>
      </c>
      <c r="E81" s="1371">
        <f t="shared" ca="1" si="8"/>
        <v>2.23605046898063E-10</v>
      </c>
      <c r="F81" s="1372">
        <f t="shared" ref="F81:F135" ca="1" si="13">IF(D81&gt;0.1,$D$9,0)</f>
        <v>0</v>
      </c>
      <c r="G81" s="1365">
        <f t="shared" ca="1" si="9"/>
        <v>1.938975192387489E-8</v>
      </c>
      <c r="I81" s="1365">
        <f t="shared" ref="I81:I135" ca="1" si="14">IF(D81&gt;0.1,$D$11,0)</f>
        <v>0</v>
      </c>
      <c r="J81" s="1359"/>
      <c r="L81" s="1364">
        <f t="shared" ref="L81:L135" ca="1" si="15">F81-I81-J81</f>
        <v>0</v>
      </c>
    </row>
    <row r="82" spans="2:20">
      <c r="B82" s="1359">
        <f t="shared" si="10"/>
        <v>67</v>
      </c>
      <c r="C82" s="1362">
        <f t="shared" ca="1" si="11"/>
        <v>48091</v>
      </c>
      <c r="D82" s="1365">
        <f t="shared" ca="1" si="12"/>
        <v>1.938975192387489E-8</v>
      </c>
      <c r="E82" s="1371">
        <f t="shared" ca="1" si="8"/>
        <v>2.2621377244520706E-10</v>
      </c>
      <c r="F82" s="1372">
        <f t="shared" ca="1" si="13"/>
        <v>0</v>
      </c>
      <c r="G82" s="1365">
        <f t="shared" ca="1" si="9"/>
        <v>1.9615965696320098E-8</v>
      </c>
      <c r="I82" s="1365">
        <f t="shared" ca="1" si="14"/>
        <v>0</v>
      </c>
      <c r="J82" s="1359"/>
      <c r="L82" s="1364">
        <f t="shared" ca="1" si="15"/>
        <v>0</v>
      </c>
    </row>
    <row r="83" spans="2:20">
      <c r="B83" s="1359">
        <f t="shared" si="10"/>
        <v>68</v>
      </c>
      <c r="C83" s="1362">
        <f t="shared" ca="1" si="11"/>
        <v>48121</v>
      </c>
      <c r="D83" s="1365">
        <f t="shared" ca="1" si="12"/>
        <v>1.9615965696320098E-8</v>
      </c>
      <c r="E83" s="1371">
        <f t="shared" ca="1" si="8"/>
        <v>2.2885293312373448E-10</v>
      </c>
      <c r="F83" s="1372">
        <f t="shared" ca="1" si="13"/>
        <v>0</v>
      </c>
      <c r="G83" s="1365">
        <f t="shared" ca="1" si="9"/>
        <v>1.9844818629443833E-8</v>
      </c>
      <c r="I83" s="1365">
        <f t="shared" ca="1" si="14"/>
        <v>0</v>
      </c>
      <c r="J83" s="1359"/>
      <c r="L83" s="1364">
        <f t="shared" ca="1" si="15"/>
        <v>0</v>
      </c>
    </row>
    <row r="84" spans="2:20">
      <c r="B84" s="1359">
        <f t="shared" si="10"/>
        <v>69</v>
      </c>
      <c r="C84" s="1362">
        <f t="shared" ca="1" si="11"/>
        <v>48152</v>
      </c>
      <c r="D84" s="1365">
        <f t="shared" ca="1" si="12"/>
        <v>1.9844818629443833E-8</v>
      </c>
      <c r="E84" s="1371">
        <f t="shared" ca="1" si="8"/>
        <v>2.3152288401017807E-10</v>
      </c>
      <c r="F84" s="1372">
        <f t="shared" ca="1" si="13"/>
        <v>0</v>
      </c>
      <c r="G84" s="1365">
        <f t="shared" ca="1" si="9"/>
        <v>2.0076341513454012E-8</v>
      </c>
      <c r="I84" s="1365">
        <f t="shared" ca="1" si="14"/>
        <v>0</v>
      </c>
      <c r="J84" s="1359"/>
      <c r="L84" s="1364">
        <f t="shared" ca="1" si="15"/>
        <v>0</v>
      </c>
    </row>
    <row r="85" spans="2:20">
      <c r="B85" s="1359">
        <f t="shared" si="10"/>
        <v>70</v>
      </c>
      <c r="C85" s="1362">
        <f t="shared" ca="1" si="11"/>
        <v>48182</v>
      </c>
      <c r="D85" s="1365">
        <f t="shared" ca="1" si="12"/>
        <v>2.0076341513454012E-8</v>
      </c>
      <c r="E85" s="1371">
        <f t="shared" ca="1" si="8"/>
        <v>2.3422398432363014E-10</v>
      </c>
      <c r="F85" s="1372">
        <f t="shared" ca="1" si="13"/>
        <v>0</v>
      </c>
      <c r="G85" s="1365">
        <f t="shared" ca="1" si="9"/>
        <v>2.0310565497777641E-8</v>
      </c>
      <c r="I85" s="1365">
        <f t="shared" ca="1" si="14"/>
        <v>0</v>
      </c>
      <c r="J85" s="1359"/>
      <c r="L85" s="1364">
        <f t="shared" ca="1" si="15"/>
        <v>0</v>
      </c>
    </row>
    <row r="86" spans="2:20">
      <c r="B86" s="1359">
        <f t="shared" si="10"/>
        <v>71</v>
      </c>
      <c r="C86" s="1362">
        <f t="shared" ca="1" si="11"/>
        <v>48213</v>
      </c>
      <c r="D86" s="1365">
        <f t="shared" ca="1" si="12"/>
        <v>2.0310565497777641E-8</v>
      </c>
      <c r="E86" s="1371">
        <f t="shared" ca="1" si="8"/>
        <v>2.3695659747407251E-10</v>
      </c>
      <c r="F86" s="1372">
        <f t="shared" ca="1" si="13"/>
        <v>0</v>
      </c>
      <c r="G86" s="1365">
        <f t="shared" ca="1" si="9"/>
        <v>2.0547522095251713E-8</v>
      </c>
      <c r="I86" s="1365">
        <f t="shared" ca="1" si="14"/>
        <v>0</v>
      </c>
      <c r="J86" s="1359"/>
      <c r="L86" s="1364">
        <f t="shared" ca="1" si="15"/>
        <v>0</v>
      </c>
    </row>
    <row r="87" spans="2:20">
      <c r="B87" s="1359">
        <f t="shared" si="10"/>
        <v>72</v>
      </c>
      <c r="C87" s="1362">
        <f t="shared" ca="1" si="11"/>
        <v>48244</v>
      </c>
      <c r="D87" s="1365">
        <f t="shared" ca="1" si="12"/>
        <v>2.0547522095251713E-8</v>
      </c>
      <c r="E87" s="1371">
        <f t="shared" ca="1" si="8"/>
        <v>2.3972109111126997E-10</v>
      </c>
      <c r="F87" s="1372">
        <f t="shared" ca="1" si="13"/>
        <v>0</v>
      </c>
      <c r="G87" s="1365">
        <f t="shared" ca="1" si="9"/>
        <v>2.0787243186362982E-8</v>
      </c>
      <c r="I87" s="1365">
        <f t="shared" ca="1" si="14"/>
        <v>0</v>
      </c>
      <c r="J87" s="1359"/>
      <c r="L87" s="1364">
        <f t="shared" ca="1" si="15"/>
        <v>0</v>
      </c>
      <c r="N87" s="1365">
        <f ca="1">D76</f>
        <v>1.8086211639456451E-8</v>
      </c>
      <c r="O87" s="1365">
        <f ca="1">SUM(E76:E87)</f>
        <v>2.7010315469065304E-9</v>
      </c>
      <c r="P87" s="1365">
        <f ca="1">SUM(F76:F87)</f>
        <v>0</v>
      </c>
      <c r="Q87" s="1365">
        <f ca="1">N87+O87+P87</f>
        <v>2.0787243186362982E-8</v>
      </c>
      <c r="S87" s="1365">
        <f ca="1">SUM(I76:I87)</f>
        <v>0</v>
      </c>
      <c r="T87" s="1365">
        <f>SUM(J76:J87)</f>
        <v>0</v>
      </c>
    </row>
    <row r="88" spans="2:20">
      <c r="B88" s="1359">
        <f t="shared" si="10"/>
        <v>73</v>
      </c>
      <c r="C88" s="1362">
        <f t="shared" ca="1" si="11"/>
        <v>48273</v>
      </c>
      <c r="D88" s="1365">
        <f t="shared" ca="1" si="12"/>
        <v>2.0787243186362982E-8</v>
      </c>
      <c r="E88" s="1371">
        <f t="shared" ca="1" si="8"/>
        <v>2.4251783717423481E-10</v>
      </c>
      <c r="F88" s="1372">
        <f t="shared" ca="1" si="13"/>
        <v>0</v>
      </c>
      <c r="G88" s="1365">
        <f t="shared" ca="1" si="9"/>
        <v>2.1029761023537216E-8</v>
      </c>
      <c r="I88" s="1365">
        <f t="shared" ca="1" si="14"/>
        <v>0</v>
      </c>
      <c r="J88" s="1359"/>
      <c r="L88" s="1364">
        <f t="shared" ca="1" si="15"/>
        <v>0</v>
      </c>
    </row>
    <row r="89" spans="2:20">
      <c r="B89" s="1359">
        <f t="shared" si="10"/>
        <v>74</v>
      </c>
      <c r="C89" s="1362">
        <f t="shared" ca="1" si="11"/>
        <v>48304</v>
      </c>
      <c r="D89" s="1365">
        <f t="shared" ca="1" si="12"/>
        <v>2.1029761023537216E-8</v>
      </c>
      <c r="E89" s="1371">
        <f t="shared" ca="1" si="8"/>
        <v>2.4534721194126754E-10</v>
      </c>
      <c r="F89" s="1372">
        <f t="shared" ca="1" si="13"/>
        <v>0</v>
      </c>
      <c r="G89" s="1365">
        <f t="shared" ca="1" si="9"/>
        <v>2.1275108235478483E-8</v>
      </c>
      <c r="I89" s="1365">
        <f t="shared" ca="1" si="14"/>
        <v>0</v>
      </c>
      <c r="J89" s="1359"/>
      <c r="L89" s="1364">
        <f t="shared" ca="1" si="15"/>
        <v>0</v>
      </c>
    </row>
    <row r="90" spans="2:20">
      <c r="B90" s="1359">
        <f t="shared" si="10"/>
        <v>75</v>
      </c>
      <c r="C90" s="1362">
        <f t="shared" ca="1" si="11"/>
        <v>48334</v>
      </c>
      <c r="D90" s="1365">
        <f t="shared" ca="1" si="12"/>
        <v>2.1275108235478483E-8</v>
      </c>
      <c r="E90" s="1371">
        <f t="shared" ca="1" si="8"/>
        <v>2.4820959608058229E-10</v>
      </c>
      <c r="F90" s="1372">
        <f t="shared" ca="1" si="13"/>
        <v>0</v>
      </c>
      <c r="G90" s="1365">
        <f t="shared" ca="1" si="9"/>
        <v>2.1523317831559064E-8</v>
      </c>
      <c r="I90" s="1365">
        <f t="shared" ca="1" si="14"/>
        <v>0</v>
      </c>
      <c r="J90" s="1359"/>
      <c r="L90" s="1364">
        <f t="shared" ca="1" si="15"/>
        <v>0</v>
      </c>
    </row>
    <row r="91" spans="2:20">
      <c r="B91" s="1359">
        <f t="shared" si="10"/>
        <v>76</v>
      </c>
      <c r="C91" s="1362">
        <f t="shared" ca="1" si="11"/>
        <v>48365</v>
      </c>
      <c r="D91" s="1365">
        <f t="shared" ca="1" si="12"/>
        <v>2.1523317831559064E-8</v>
      </c>
      <c r="E91" s="1371">
        <f t="shared" ca="1" si="8"/>
        <v>2.5110537470152242E-10</v>
      </c>
      <c r="F91" s="1372">
        <f t="shared" ca="1" si="13"/>
        <v>0</v>
      </c>
      <c r="G91" s="1365">
        <f t="shared" ca="1" si="9"/>
        <v>2.1774423206260585E-8</v>
      </c>
      <c r="I91" s="1365">
        <f t="shared" ca="1" si="14"/>
        <v>0</v>
      </c>
      <c r="J91" s="1359"/>
      <c r="L91" s="1364">
        <f t="shared" ca="1" si="15"/>
        <v>0</v>
      </c>
    </row>
    <row r="92" spans="2:20">
      <c r="B92" s="1359">
        <f t="shared" si="10"/>
        <v>77</v>
      </c>
      <c r="C92" s="1362">
        <f t="shared" ca="1" si="11"/>
        <v>48395</v>
      </c>
      <c r="D92" s="1365">
        <f t="shared" ca="1" si="12"/>
        <v>2.1774423206260585E-8</v>
      </c>
      <c r="E92" s="1371">
        <f t="shared" ca="1" si="8"/>
        <v>2.5403493740637352E-10</v>
      </c>
      <c r="F92" s="1372">
        <f t="shared" ca="1" si="13"/>
        <v>0</v>
      </c>
      <c r="G92" s="1365">
        <f t="shared" ca="1" si="9"/>
        <v>2.202845814366696E-8</v>
      </c>
      <c r="I92" s="1365">
        <f t="shared" ca="1" si="14"/>
        <v>0</v>
      </c>
      <c r="J92" s="1359"/>
      <c r="L92" s="1364">
        <f t="shared" ca="1" si="15"/>
        <v>0</v>
      </c>
    </row>
    <row r="93" spans="2:20">
      <c r="B93" s="1359">
        <f t="shared" si="10"/>
        <v>78</v>
      </c>
      <c r="C93" s="1362">
        <f t="shared" ca="1" si="11"/>
        <v>48426</v>
      </c>
      <c r="D93" s="1365">
        <f t="shared" ca="1" si="12"/>
        <v>2.202845814366696E-8</v>
      </c>
      <c r="E93" s="1371">
        <f t="shared" ca="1" si="8"/>
        <v>2.5699867834278123E-10</v>
      </c>
      <c r="F93" s="1372">
        <f t="shared" ca="1" si="13"/>
        <v>0</v>
      </c>
      <c r="G93" s="1365">
        <f t="shared" ca="1" si="9"/>
        <v>2.2285456822009742E-8</v>
      </c>
      <c r="I93" s="1365">
        <f t="shared" ca="1" si="14"/>
        <v>0</v>
      </c>
      <c r="J93" s="1359"/>
      <c r="L93" s="1364">
        <f t="shared" ca="1" si="15"/>
        <v>0</v>
      </c>
    </row>
    <row r="94" spans="2:20">
      <c r="B94" s="1359">
        <f t="shared" si="10"/>
        <v>79</v>
      </c>
      <c r="C94" s="1362">
        <f t="shared" ca="1" si="11"/>
        <v>48457</v>
      </c>
      <c r="D94" s="1365">
        <f t="shared" ca="1" si="12"/>
        <v>2.2285456822009742E-8</v>
      </c>
      <c r="E94" s="1371">
        <f t="shared" ca="1" si="8"/>
        <v>2.5999699625678031E-10</v>
      </c>
      <c r="F94" s="1372">
        <f t="shared" ca="1" si="13"/>
        <v>0</v>
      </c>
      <c r="G94" s="1365">
        <f t="shared" ca="1" si="9"/>
        <v>2.254545381826652E-8</v>
      </c>
      <c r="I94" s="1365">
        <f t="shared" ca="1" si="14"/>
        <v>0</v>
      </c>
      <c r="J94" s="1359"/>
      <c r="L94" s="1364">
        <f t="shared" ca="1" si="15"/>
        <v>0</v>
      </c>
    </row>
    <row r="95" spans="2:20">
      <c r="B95" s="1359">
        <f t="shared" si="10"/>
        <v>80</v>
      </c>
      <c r="C95" s="1362">
        <f t="shared" ca="1" si="11"/>
        <v>48487</v>
      </c>
      <c r="D95" s="1365">
        <f t="shared" ca="1" si="12"/>
        <v>2.254545381826652E-8</v>
      </c>
      <c r="E95" s="1371">
        <f t="shared" ca="1" si="8"/>
        <v>2.6303029454644275E-10</v>
      </c>
      <c r="F95" s="1372">
        <f t="shared" ca="1" si="13"/>
        <v>0</v>
      </c>
      <c r="G95" s="1365">
        <f t="shared" ca="1" si="9"/>
        <v>2.2808484112812963E-8</v>
      </c>
      <c r="I95" s="1365">
        <f t="shared" ca="1" si="14"/>
        <v>0</v>
      </c>
      <c r="J95" s="1359"/>
      <c r="L95" s="1364">
        <f t="shared" ca="1" si="15"/>
        <v>0</v>
      </c>
    </row>
    <row r="96" spans="2:20">
      <c r="B96" s="1359">
        <f t="shared" si="10"/>
        <v>81</v>
      </c>
      <c r="C96" s="1362">
        <f t="shared" ca="1" si="11"/>
        <v>48518</v>
      </c>
      <c r="D96" s="1365">
        <f t="shared" ca="1" si="12"/>
        <v>2.2808484112812963E-8</v>
      </c>
      <c r="E96" s="1371">
        <f t="shared" ca="1" si="8"/>
        <v>2.6609898131615126E-10</v>
      </c>
      <c r="F96" s="1372">
        <f t="shared" ca="1" si="13"/>
        <v>0</v>
      </c>
      <c r="G96" s="1365">
        <f t="shared" ca="1" si="9"/>
        <v>2.3074583094129116E-8</v>
      </c>
      <c r="I96" s="1365">
        <f t="shared" ca="1" si="14"/>
        <v>0</v>
      </c>
      <c r="J96" s="1359"/>
      <c r="L96" s="1364">
        <f t="shared" ca="1" si="15"/>
        <v>0</v>
      </c>
    </row>
    <row r="97" spans="2:20">
      <c r="B97" s="1359">
        <f t="shared" si="10"/>
        <v>82</v>
      </c>
      <c r="C97" s="1362">
        <f t="shared" ca="1" si="11"/>
        <v>48548</v>
      </c>
      <c r="D97" s="1365">
        <f t="shared" ca="1" si="12"/>
        <v>2.3074583094129116E-8</v>
      </c>
      <c r="E97" s="1371">
        <f t="shared" ca="1" si="8"/>
        <v>2.6920346943150638E-10</v>
      </c>
      <c r="F97" s="1372">
        <f t="shared" ca="1" si="13"/>
        <v>0</v>
      </c>
      <c r="G97" s="1365">
        <f t="shared" ca="1" si="9"/>
        <v>2.3343786563560621E-8</v>
      </c>
      <c r="I97" s="1365">
        <f t="shared" ca="1" si="14"/>
        <v>0</v>
      </c>
      <c r="J97" s="1359"/>
      <c r="L97" s="1364">
        <f t="shared" ca="1" si="15"/>
        <v>0</v>
      </c>
    </row>
    <row r="98" spans="2:20">
      <c r="B98" s="1359">
        <f t="shared" si="10"/>
        <v>83</v>
      </c>
      <c r="C98" s="1362">
        <f t="shared" ca="1" si="11"/>
        <v>48579</v>
      </c>
      <c r="D98" s="1365">
        <f t="shared" ca="1" si="12"/>
        <v>2.3343786563560621E-8</v>
      </c>
      <c r="E98" s="1371">
        <f t="shared" ca="1" si="8"/>
        <v>2.7234417657487392E-10</v>
      </c>
      <c r="F98" s="1372">
        <f t="shared" ca="1" si="13"/>
        <v>0</v>
      </c>
      <c r="G98" s="1365">
        <f t="shared" ca="1" si="9"/>
        <v>2.3616130740135496E-8</v>
      </c>
      <c r="I98" s="1365">
        <f t="shared" ca="1" si="14"/>
        <v>0</v>
      </c>
      <c r="J98" s="1359"/>
      <c r="L98" s="1364">
        <f t="shared" ca="1" si="15"/>
        <v>0</v>
      </c>
    </row>
    <row r="99" spans="2:20">
      <c r="B99" s="1359">
        <f t="shared" si="10"/>
        <v>84</v>
      </c>
      <c r="C99" s="1362">
        <f t="shared" ca="1" si="11"/>
        <v>48610</v>
      </c>
      <c r="D99" s="1365">
        <f t="shared" ca="1" si="12"/>
        <v>2.3616130740135496E-8</v>
      </c>
      <c r="E99" s="1371">
        <f t="shared" ca="1" si="8"/>
        <v>2.7552152530158081E-10</v>
      </c>
      <c r="F99" s="1372">
        <f t="shared" ca="1" si="13"/>
        <v>0</v>
      </c>
      <c r="G99" s="1365">
        <f t="shared" ca="1" si="9"/>
        <v>2.3891652265437078E-8</v>
      </c>
      <c r="I99" s="1365">
        <f t="shared" ca="1" si="14"/>
        <v>0</v>
      </c>
      <c r="J99" s="1359"/>
      <c r="L99" s="1364">
        <f t="shared" ca="1" si="15"/>
        <v>0</v>
      </c>
      <c r="N99" s="1365">
        <f ca="1">D88</f>
        <v>2.0787243186362982E-8</v>
      </c>
      <c r="O99" s="1365">
        <f ca="1">SUM(E88:E99)</f>
        <v>3.1044090790740967E-9</v>
      </c>
      <c r="P99" s="1365">
        <f ca="1">SUM(F88:F99)</f>
        <v>0</v>
      </c>
      <c r="Q99" s="1365">
        <f ca="1">N99+O99+P99</f>
        <v>2.3891652265437078E-8</v>
      </c>
      <c r="S99" s="1365">
        <f ca="1">SUM(I88:I99)</f>
        <v>0</v>
      </c>
      <c r="T99" s="1365">
        <f>SUM(J88:J99)</f>
        <v>0</v>
      </c>
    </row>
    <row r="100" spans="2:20">
      <c r="B100" s="1359">
        <f t="shared" si="10"/>
        <v>85</v>
      </c>
      <c r="C100" s="1362">
        <f t="shared" ca="1" si="11"/>
        <v>48638</v>
      </c>
      <c r="D100" s="1365">
        <f t="shared" ca="1" si="12"/>
        <v>2.3891652265437078E-8</v>
      </c>
      <c r="E100" s="1371">
        <f t="shared" ca="1" si="8"/>
        <v>2.7873594309676592E-10</v>
      </c>
      <c r="F100" s="1372">
        <f t="shared" ca="1" si="13"/>
        <v>0</v>
      </c>
      <c r="G100" s="1365">
        <f t="shared" ca="1" si="9"/>
        <v>2.4170388208533846E-8</v>
      </c>
      <c r="I100" s="1365">
        <f t="shared" ca="1" si="14"/>
        <v>0</v>
      </c>
      <c r="J100" s="1359"/>
      <c r="L100" s="1364">
        <f t="shared" ca="1" si="15"/>
        <v>0</v>
      </c>
    </row>
    <row r="101" spans="2:20">
      <c r="B101" s="1359">
        <f t="shared" si="10"/>
        <v>86</v>
      </c>
      <c r="C101" s="1362">
        <f t="shared" ca="1" si="11"/>
        <v>48669</v>
      </c>
      <c r="D101" s="1365">
        <f t="shared" ca="1" si="12"/>
        <v>2.4170388208533846E-8</v>
      </c>
      <c r="E101" s="1371">
        <f t="shared" ca="1" si="8"/>
        <v>2.8198786243289489E-10</v>
      </c>
      <c r="F101" s="1372">
        <f t="shared" ca="1" si="13"/>
        <v>0</v>
      </c>
      <c r="G101" s="1365">
        <f t="shared" ca="1" si="9"/>
        <v>2.445237607096674E-8</v>
      </c>
      <c r="I101" s="1365">
        <f t="shared" ca="1" si="14"/>
        <v>0</v>
      </c>
      <c r="J101" s="1359"/>
      <c r="L101" s="1364">
        <f t="shared" ca="1" si="15"/>
        <v>0</v>
      </c>
    </row>
    <row r="102" spans="2:20">
      <c r="B102" s="1359">
        <f t="shared" si="10"/>
        <v>87</v>
      </c>
      <c r="C102" s="1362">
        <f t="shared" ca="1" si="11"/>
        <v>48699</v>
      </c>
      <c r="D102" s="1365">
        <f t="shared" ca="1" si="12"/>
        <v>2.445237607096674E-8</v>
      </c>
      <c r="E102" s="1371">
        <f t="shared" ca="1" si="8"/>
        <v>2.8527772082794529E-10</v>
      </c>
      <c r="F102" s="1372">
        <f t="shared" ca="1" si="13"/>
        <v>0</v>
      </c>
      <c r="G102" s="1365">
        <f t="shared" ca="1" si="9"/>
        <v>2.4737653791794684E-8</v>
      </c>
      <c r="I102" s="1365">
        <f t="shared" ca="1" si="14"/>
        <v>0</v>
      </c>
      <c r="J102" s="1359"/>
      <c r="L102" s="1364">
        <f t="shared" ca="1" si="15"/>
        <v>0</v>
      </c>
    </row>
    <row r="103" spans="2:20">
      <c r="B103" s="1359">
        <f t="shared" si="10"/>
        <v>88</v>
      </c>
      <c r="C103" s="1362">
        <f t="shared" ca="1" si="11"/>
        <v>48730</v>
      </c>
      <c r="D103" s="1365">
        <f t="shared" ca="1" si="12"/>
        <v>2.4737653791794684E-8</v>
      </c>
      <c r="E103" s="1371">
        <f t="shared" ca="1" si="8"/>
        <v>2.8860596090427131E-10</v>
      </c>
      <c r="F103" s="1372">
        <f t="shared" ca="1" si="13"/>
        <v>0</v>
      </c>
      <c r="G103" s="1365">
        <f t="shared" ca="1" si="9"/>
        <v>2.5026259752698956E-8</v>
      </c>
      <c r="I103" s="1365">
        <f t="shared" ca="1" si="14"/>
        <v>0</v>
      </c>
      <c r="J103" s="1359"/>
      <c r="L103" s="1364">
        <f t="shared" ca="1" si="15"/>
        <v>0</v>
      </c>
    </row>
    <row r="104" spans="2:20">
      <c r="B104" s="1359">
        <f t="shared" si="10"/>
        <v>89</v>
      </c>
      <c r="C104" s="1362">
        <f t="shared" ca="1" si="11"/>
        <v>48760</v>
      </c>
      <c r="D104" s="1365">
        <f t="shared" ca="1" si="12"/>
        <v>2.5026259752698956E-8</v>
      </c>
      <c r="E104" s="1371">
        <f t="shared" ca="1" si="8"/>
        <v>2.9197303044815449E-10</v>
      </c>
      <c r="F104" s="1372">
        <f t="shared" ca="1" si="13"/>
        <v>0</v>
      </c>
      <c r="G104" s="1365">
        <f t="shared" ca="1" si="9"/>
        <v>2.5318232783147112E-8</v>
      </c>
      <c r="I104" s="1365">
        <f t="shared" ca="1" si="14"/>
        <v>0</v>
      </c>
      <c r="J104" s="1359"/>
      <c r="L104" s="1364">
        <f t="shared" ca="1" si="15"/>
        <v>0</v>
      </c>
    </row>
    <row r="105" spans="2:20">
      <c r="B105" s="1359">
        <f t="shared" si="10"/>
        <v>90</v>
      </c>
      <c r="C105" s="1362">
        <f t="shared" ca="1" si="11"/>
        <v>48791</v>
      </c>
      <c r="D105" s="1365">
        <f t="shared" ca="1" si="12"/>
        <v>2.5318232783147112E-8</v>
      </c>
      <c r="E105" s="1371">
        <f t="shared" ca="1" si="8"/>
        <v>2.9537938247004966E-10</v>
      </c>
      <c r="F105" s="1372">
        <f t="shared" ca="1" si="13"/>
        <v>0</v>
      </c>
      <c r="G105" s="1365">
        <f t="shared" ca="1" si="9"/>
        <v>2.5613612165617162E-8</v>
      </c>
      <c r="I105" s="1365">
        <f t="shared" ca="1" si="14"/>
        <v>0</v>
      </c>
      <c r="J105" s="1359"/>
      <c r="L105" s="1364">
        <f t="shared" ca="1" si="15"/>
        <v>0</v>
      </c>
    </row>
    <row r="106" spans="2:20">
      <c r="B106" s="1359">
        <f t="shared" si="10"/>
        <v>91</v>
      </c>
      <c r="C106" s="1362">
        <f t="shared" ca="1" si="11"/>
        <v>48822</v>
      </c>
      <c r="D106" s="1365">
        <f t="shared" ca="1" si="12"/>
        <v>2.5613612165617162E-8</v>
      </c>
      <c r="E106" s="1371">
        <f t="shared" ca="1" si="8"/>
        <v>2.9882547526553355E-10</v>
      </c>
      <c r="F106" s="1372">
        <f t="shared" ca="1" si="13"/>
        <v>0</v>
      </c>
      <c r="G106" s="1365">
        <f t="shared" ca="1" si="9"/>
        <v>2.5912437640882695E-8</v>
      </c>
      <c r="I106" s="1365">
        <f t="shared" ca="1" si="14"/>
        <v>0</v>
      </c>
      <c r="J106" s="1359"/>
      <c r="L106" s="1364">
        <f t="shared" ca="1" si="15"/>
        <v>0</v>
      </c>
    </row>
    <row r="107" spans="2:20">
      <c r="B107" s="1359">
        <f t="shared" si="10"/>
        <v>92</v>
      </c>
      <c r="C107" s="1362">
        <f t="shared" ca="1" si="11"/>
        <v>48852</v>
      </c>
      <c r="D107" s="1365">
        <f t="shared" ca="1" si="12"/>
        <v>2.5912437640882695E-8</v>
      </c>
      <c r="E107" s="1371">
        <f t="shared" ca="1" si="8"/>
        <v>3.0231177247696478E-10</v>
      </c>
      <c r="F107" s="1372">
        <f t="shared" ca="1" si="13"/>
        <v>0</v>
      </c>
      <c r="G107" s="1365">
        <f t="shared" ca="1" si="9"/>
        <v>2.6214749413359658E-8</v>
      </c>
      <c r="I107" s="1365">
        <f t="shared" ca="1" si="14"/>
        <v>0</v>
      </c>
      <c r="J107" s="1359"/>
      <c r="L107" s="1364">
        <f t="shared" ca="1" si="15"/>
        <v>0</v>
      </c>
    </row>
    <row r="108" spans="2:20">
      <c r="B108" s="1359">
        <f t="shared" si="10"/>
        <v>93</v>
      </c>
      <c r="C108" s="1362">
        <f t="shared" ca="1" si="11"/>
        <v>48883</v>
      </c>
      <c r="D108" s="1365">
        <f t="shared" ca="1" si="12"/>
        <v>2.6214749413359658E-8</v>
      </c>
      <c r="E108" s="1371">
        <f t="shared" ca="1" si="8"/>
        <v>3.058387431558627E-10</v>
      </c>
      <c r="F108" s="1372">
        <f t="shared" ca="1" si="13"/>
        <v>0</v>
      </c>
      <c r="G108" s="1365">
        <f t="shared" ca="1" si="9"/>
        <v>2.652058815651552E-8</v>
      </c>
      <c r="I108" s="1365">
        <f t="shared" ca="1" si="14"/>
        <v>0</v>
      </c>
      <c r="J108" s="1359"/>
      <c r="L108" s="1364">
        <f t="shared" ca="1" si="15"/>
        <v>0</v>
      </c>
    </row>
    <row r="109" spans="2:20">
      <c r="B109" s="1359">
        <f t="shared" si="10"/>
        <v>94</v>
      </c>
      <c r="C109" s="1362">
        <f t="shared" ca="1" si="11"/>
        <v>48913</v>
      </c>
      <c r="D109" s="1365">
        <f t="shared" ca="1" si="12"/>
        <v>2.652058815651552E-8</v>
      </c>
      <c r="E109" s="1371">
        <f t="shared" ca="1" si="8"/>
        <v>3.0940686182601443E-10</v>
      </c>
      <c r="F109" s="1372">
        <f t="shared" ca="1" si="13"/>
        <v>0</v>
      </c>
      <c r="G109" s="1365">
        <f t="shared" ca="1" si="9"/>
        <v>2.6829995018341533E-8</v>
      </c>
      <c r="I109" s="1365">
        <f t="shared" ca="1" si="14"/>
        <v>0</v>
      </c>
      <c r="J109" s="1359"/>
      <c r="L109" s="1364">
        <f t="shared" ca="1" si="15"/>
        <v>0</v>
      </c>
    </row>
    <row r="110" spans="2:20">
      <c r="B110" s="1359">
        <f t="shared" si="10"/>
        <v>95</v>
      </c>
      <c r="C110" s="1362">
        <f t="shared" ca="1" si="11"/>
        <v>48944</v>
      </c>
      <c r="D110" s="1365">
        <f t="shared" ca="1" si="12"/>
        <v>2.6829995018341533E-8</v>
      </c>
      <c r="E110" s="1371">
        <f t="shared" ca="1" si="8"/>
        <v>3.1301660854731788E-10</v>
      </c>
      <c r="F110" s="1372">
        <f t="shared" ca="1" si="13"/>
        <v>0</v>
      </c>
      <c r="G110" s="1365">
        <f t="shared" ca="1" si="9"/>
        <v>2.714301162688885E-8</v>
      </c>
      <c r="I110" s="1365">
        <f t="shared" ca="1" si="14"/>
        <v>0</v>
      </c>
      <c r="J110" s="1359"/>
      <c r="L110" s="1364">
        <f t="shared" ca="1" si="15"/>
        <v>0</v>
      </c>
    </row>
    <row r="111" spans="2:20">
      <c r="B111" s="1359">
        <f t="shared" si="10"/>
        <v>96</v>
      </c>
      <c r="C111" s="1362">
        <f t="shared" ca="1" si="11"/>
        <v>48975</v>
      </c>
      <c r="D111" s="1365">
        <f t="shared" ca="1" si="12"/>
        <v>2.714301162688885E-8</v>
      </c>
      <c r="E111" s="1371">
        <f t="shared" ca="1" si="8"/>
        <v>3.1666846898036994E-10</v>
      </c>
      <c r="F111" s="1372">
        <f t="shared" ca="1" si="13"/>
        <v>0</v>
      </c>
      <c r="G111" s="1365">
        <f t="shared" ca="1" si="9"/>
        <v>2.745968009586922E-8</v>
      </c>
      <c r="I111" s="1365">
        <f t="shared" ca="1" si="14"/>
        <v>0</v>
      </c>
      <c r="J111" s="1359"/>
      <c r="L111" s="1364">
        <f t="shared" ca="1" si="15"/>
        <v>0</v>
      </c>
      <c r="N111" s="1365">
        <f ca="1">D100</f>
        <v>2.3891652265437078E-8</v>
      </c>
      <c r="O111" s="1365">
        <f ca="1">SUM(E100:E111)</f>
        <v>3.568027830432145E-9</v>
      </c>
      <c r="P111" s="1365">
        <f ca="1">SUM(F100:F111)</f>
        <v>0</v>
      </c>
      <c r="Q111" s="1365">
        <f ca="1">N111+O111+P111</f>
        <v>2.7459680095869223E-8</v>
      </c>
      <c r="S111" s="1365">
        <f ca="1">SUM(I100:I111)</f>
        <v>0</v>
      </c>
      <c r="T111" s="1365">
        <f>SUM(J100:J111)</f>
        <v>0</v>
      </c>
    </row>
    <row r="112" spans="2:20">
      <c r="B112" s="1359">
        <f t="shared" si="10"/>
        <v>97</v>
      </c>
      <c r="C112" s="1362">
        <f t="shared" ca="1" si="11"/>
        <v>49003</v>
      </c>
      <c r="D112" s="1365">
        <f t="shared" ca="1" si="12"/>
        <v>2.745968009586922E-8</v>
      </c>
      <c r="E112" s="1371">
        <f t="shared" ca="1" si="8"/>
        <v>3.2036293445180757E-10</v>
      </c>
      <c r="F112" s="1372">
        <f t="shared" ca="1" si="13"/>
        <v>0</v>
      </c>
      <c r="G112" s="1365">
        <f t="shared" ca="1" si="9"/>
        <v>2.7780043030321028E-8</v>
      </c>
      <c r="I112" s="1365">
        <f t="shared" ca="1" si="14"/>
        <v>0</v>
      </c>
      <c r="J112" s="1359"/>
      <c r="L112" s="1364">
        <f t="shared" ca="1" si="15"/>
        <v>0</v>
      </c>
    </row>
    <row r="113" spans="2:20">
      <c r="B113" s="1359">
        <f t="shared" si="10"/>
        <v>98</v>
      </c>
      <c r="C113" s="1362">
        <f t="shared" ca="1" si="11"/>
        <v>49034</v>
      </c>
      <c r="D113" s="1365">
        <f t="shared" ca="1" si="12"/>
        <v>2.7780043030321028E-8</v>
      </c>
      <c r="E113" s="1371">
        <f t="shared" ca="1" si="8"/>
        <v>3.2410050202041202E-10</v>
      </c>
      <c r="F113" s="1372">
        <f t="shared" ca="1" si="13"/>
        <v>0</v>
      </c>
      <c r="G113" s="1365">
        <f t="shared" ca="1" si="9"/>
        <v>2.8104143532341441E-8</v>
      </c>
      <c r="I113" s="1365">
        <f t="shared" ca="1" si="14"/>
        <v>0</v>
      </c>
      <c r="J113" s="1359"/>
      <c r="L113" s="1364">
        <f t="shared" ca="1" si="15"/>
        <v>0</v>
      </c>
    </row>
    <row r="114" spans="2:20">
      <c r="B114" s="1359">
        <f t="shared" si="10"/>
        <v>99</v>
      </c>
      <c r="C114" s="1362">
        <f t="shared" ca="1" si="11"/>
        <v>49064</v>
      </c>
      <c r="D114" s="1365">
        <f t="shared" ca="1" si="12"/>
        <v>2.8104143532341441E-8</v>
      </c>
      <c r="E114" s="1371">
        <f t="shared" ca="1" si="8"/>
        <v>3.2788167454398347E-10</v>
      </c>
      <c r="F114" s="1372">
        <f t="shared" ca="1" si="13"/>
        <v>0</v>
      </c>
      <c r="G114" s="1365">
        <f t="shared" ca="1" si="9"/>
        <v>2.8432025206885426E-8</v>
      </c>
      <c r="I114" s="1365">
        <f t="shared" ca="1" si="14"/>
        <v>0</v>
      </c>
      <c r="J114" s="1359"/>
      <c r="L114" s="1364">
        <f t="shared" ca="1" si="15"/>
        <v>0</v>
      </c>
    </row>
    <row r="115" spans="2:20">
      <c r="B115" s="1359">
        <f t="shared" si="10"/>
        <v>100</v>
      </c>
      <c r="C115" s="1362">
        <f t="shared" ca="1" si="11"/>
        <v>49095</v>
      </c>
      <c r="D115" s="1365">
        <f t="shared" ca="1" si="12"/>
        <v>2.8432025206885426E-8</v>
      </c>
      <c r="E115" s="1371">
        <f t="shared" ca="1" si="8"/>
        <v>3.3170696074699666E-10</v>
      </c>
      <c r="F115" s="1372">
        <f t="shared" ca="1" si="13"/>
        <v>0</v>
      </c>
      <c r="G115" s="1365">
        <f t="shared" ca="1" si="9"/>
        <v>2.8763732167632422E-8</v>
      </c>
      <c r="I115" s="1365">
        <f t="shared" ca="1" si="14"/>
        <v>0</v>
      </c>
      <c r="J115" s="1359"/>
      <c r="L115" s="1364">
        <f t="shared" ca="1" si="15"/>
        <v>0</v>
      </c>
    </row>
    <row r="116" spans="2:20">
      <c r="B116" s="1359">
        <f t="shared" si="10"/>
        <v>101</v>
      </c>
      <c r="C116" s="1362">
        <f t="shared" ca="1" si="11"/>
        <v>49125</v>
      </c>
      <c r="D116" s="1365">
        <f t="shared" ca="1" si="12"/>
        <v>2.8763732167632422E-8</v>
      </c>
      <c r="E116" s="1371">
        <f t="shared" ca="1" si="8"/>
        <v>3.3557687528904496E-10</v>
      </c>
      <c r="F116" s="1372">
        <f t="shared" ca="1" si="13"/>
        <v>0</v>
      </c>
      <c r="G116" s="1365">
        <f t="shared" ca="1" si="9"/>
        <v>2.9099309042921466E-8</v>
      </c>
      <c r="I116" s="1365">
        <f t="shared" ca="1" si="14"/>
        <v>0</v>
      </c>
      <c r="J116" s="1359"/>
      <c r="L116" s="1364">
        <f t="shared" ca="1" si="15"/>
        <v>0</v>
      </c>
    </row>
    <row r="117" spans="2:20">
      <c r="B117" s="1359">
        <f t="shared" si="10"/>
        <v>102</v>
      </c>
      <c r="C117" s="1362">
        <f t="shared" ca="1" si="11"/>
        <v>49156</v>
      </c>
      <c r="D117" s="1365">
        <f t="shared" ca="1" si="12"/>
        <v>2.9099309042921466E-8</v>
      </c>
      <c r="E117" s="1371">
        <f t="shared" ca="1" si="8"/>
        <v>3.394919388340838E-10</v>
      </c>
      <c r="F117" s="1372">
        <f t="shared" ca="1" si="13"/>
        <v>0</v>
      </c>
      <c r="G117" s="1365">
        <f t="shared" ca="1" si="9"/>
        <v>2.9438800981755551E-8</v>
      </c>
      <c r="I117" s="1365">
        <f t="shared" ca="1" si="14"/>
        <v>0</v>
      </c>
      <c r="J117" s="1359"/>
      <c r="L117" s="1364">
        <f t="shared" ca="1" si="15"/>
        <v>0</v>
      </c>
    </row>
    <row r="118" spans="2:20">
      <c r="B118" s="1359">
        <f t="shared" si="10"/>
        <v>103</v>
      </c>
      <c r="C118" s="1362">
        <f t="shared" ca="1" si="11"/>
        <v>49187</v>
      </c>
      <c r="D118" s="1365">
        <f t="shared" ca="1" si="12"/>
        <v>2.9438800981755551E-8</v>
      </c>
      <c r="E118" s="1371">
        <f t="shared" ca="1" si="8"/>
        <v>3.4345267812048144E-10</v>
      </c>
      <c r="F118" s="1372">
        <f t="shared" ca="1" si="13"/>
        <v>0</v>
      </c>
      <c r="G118" s="1365">
        <f t="shared" ca="1" si="9"/>
        <v>2.9782253659876034E-8</v>
      </c>
      <c r="I118" s="1365">
        <f t="shared" ca="1" si="14"/>
        <v>0</v>
      </c>
      <c r="J118" s="1359"/>
      <c r="L118" s="1364">
        <f t="shared" ca="1" si="15"/>
        <v>0</v>
      </c>
    </row>
    <row r="119" spans="2:20">
      <c r="B119" s="1359">
        <f t="shared" si="10"/>
        <v>104</v>
      </c>
      <c r="C119" s="1362">
        <f t="shared" ca="1" si="11"/>
        <v>49217</v>
      </c>
      <c r="D119" s="1365">
        <f t="shared" ca="1" si="12"/>
        <v>2.9782253659876034E-8</v>
      </c>
      <c r="E119" s="1371">
        <f t="shared" ca="1" si="8"/>
        <v>3.4745962603188707E-10</v>
      </c>
      <c r="F119" s="1372">
        <f t="shared" ca="1" si="13"/>
        <v>0</v>
      </c>
      <c r="G119" s="1365">
        <f t="shared" ca="1" si="9"/>
        <v>3.0129713285907922E-8</v>
      </c>
      <c r="I119" s="1365">
        <f t="shared" ca="1" si="14"/>
        <v>0</v>
      </c>
      <c r="J119" s="1359"/>
      <c r="L119" s="1364">
        <f t="shared" ca="1" si="15"/>
        <v>0</v>
      </c>
    </row>
    <row r="120" spans="2:20">
      <c r="B120" s="1359">
        <f t="shared" si="10"/>
        <v>105</v>
      </c>
      <c r="C120" s="1362">
        <f t="shared" ca="1" si="11"/>
        <v>49248</v>
      </c>
      <c r="D120" s="1365">
        <f t="shared" ca="1" si="12"/>
        <v>3.0129713285907922E-8</v>
      </c>
      <c r="E120" s="1371">
        <f t="shared" ca="1" si="8"/>
        <v>3.5151332166892577E-10</v>
      </c>
      <c r="F120" s="1372">
        <f t="shared" ca="1" si="13"/>
        <v>0</v>
      </c>
      <c r="G120" s="1365">
        <f t="shared" ca="1" si="9"/>
        <v>3.0481226607576845E-8</v>
      </c>
      <c r="I120" s="1365">
        <f t="shared" ca="1" si="14"/>
        <v>0</v>
      </c>
      <c r="J120" s="1359"/>
      <c r="L120" s="1364">
        <f t="shared" ca="1" si="15"/>
        <v>0</v>
      </c>
    </row>
    <row r="121" spans="2:20">
      <c r="B121" s="1359">
        <f t="shared" si="10"/>
        <v>106</v>
      </c>
      <c r="C121" s="1362">
        <f t="shared" ca="1" si="11"/>
        <v>49278</v>
      </c>
      <c r="D121" s="1365">
        <f t="shared" ca="1" si="12"/>
        <v>3.0481226607576845E-8</v>
      </c>
      <c r="E121" s="1371">
        <f t="shared" ca="1" si="8"/>
        <v>3.5561431042172986E-10</v>
      </c>
      <c r="F121" s="1372">
        <f t="shared" ca="1" si="13"/>
        <v>0</v>
      </c>
      <c r="G121" s="1365">
        <f t="shared" ca="1" si="9"/>
        <v>3.0836840917998574E-8</v>
      </c>
      <c r="I121" s="1365">
        <f t="shared" ca="1" si="14"/>
        <v>0</v>
      </c>
      <c r="J121" s="1359"/>
      <c r="L121" s="1364">
        <f t="shared" ca="1" si="15"/>
        <v>0</v>
      </c>
    </row>
    <row r="122" spans="2:20">
      <c r="B122" s="1359">
        <f t="shared" si="10"/>
        <v>107</v>
      </c>
      <c r="C122" s="1362">
        <f t="shared" ca="1" si="11"/>
        <v>49309</v>
      </c>
      <c r="D122" s="1365">
        <f t="shared" ca="1" si="12"/>
        <v>3.0836840917998574E-8</v>
      </c>
      <c r="E122" s="1371">
        <f t="shared" ca="1" si="8"/>
        <v>3.5976314404331672E-10</v>
      </c>
      <c r="F122" s="1372">
        <f t="shared" ca="1" si="13"/>
        <v>0</v>
      </c>
      <c r="G122" s="1365">
        <f t="shared" ca="1" si="9"/>
        <v>3.1196604062041892E-8</v>
      </c>
      <c r="I122" s="1365">
        <f t="shared" ca="1" si="14"/>
        <v>0</v>
      </c>
      <c r="J122" s="1359"/>
      <c r="L122" s="1364">
        <f t="shared" ca="1" si="15"/>
        <v>0</v>
      </c>
    </row>
    <row r="123" spans="2:20">
      <c r="B123" s="1359">
        <f t="shared" si="10"/>
        <v>108</v>
      </c>
      <c r="C123" s="1362">
        <f t="shared" ca="1" si="11"/>
        <v>49340</v>
      </c>
      <c r="D123" s="1365">
        <f t="shared" ca="1" si="12"/>
        <v>3.1196604062041892E-8</v>
      </c>
      <c r="E123" s="1371">
        <f t="shared" ca="1" si="8"/>
        <v>3.6396038072382211E-10</v>
      </c>
      <c r="F123" s="1372">
        <f t="shared" ca="1" si="13"/>
        <v>0</v>
      </c>
      <c r="G123" s="1365">
        <f t="shared" ca="1" si="9"/>
        <v>3.1560564442765715E-8</v>
      </c>
      <c r="I123" s="1365">
        <f t="shared" ca="1" si="14"/>
        <v>0</v>
      </c>
      <c r="J123" s="1359"/>
      <c r="L123" s="1364">
        <f t="shared" ca="1" si="15"/>
        <v>0</v>
      </c>
      <c r="N123" s="1365">
        <f ca="1">D112</f>
        <v>2.745968009586922E-8</v>
      </c>
      <c r="O123" s="1365">
        <f ca="1">SUM(E112:E123)</f>
        <v>4.1008843468964913E-9</v>
      </c>
      <c r="P123" s="1365">
        <f ca="1">SUM(F112:F123)</f>
        <v>0</v>
      </c>
      <c r="Q123" s="1365">
        <f ca="1">N123+O123+P123</f>
        <v>3.1560564442765715E-8</v>
      </c>
      <c r="S123" s="1365">
        <f ca="1">SUM(I112:I123)</f>
        <v>0</v>
      </c>
      <c r="T123" s="1365">
        <f>SUM(J112:J123)</f>
        <v>0</v>
      </c>
    </row>
    <row r="124" spans="2:20">
      <c r="B124" s="1359">
        <f t="shared" si="10"/>
        <v>109</v>
      </c>
      <c r="C124" s="1362">
        <f t="shared" ca="1" si="11"/>
        <v>49368</v>
      </c>
      <c r="D124" s="1365">
        <f t="shared" ca="1" si="12"/>
        <v>3.1560564442765715E-8</v>
      </c>
      <c r="E124" s="1371">
        <f t="shared" ca="1" si="8"/>
        <v>3.6820658516560001E-10</v>
      </c>
      <c r="F124" s="1372">
        <f t="shared" ca="1" si="13"/>
        <v>0</v>
      </c>
      <c r="G124" s="1365">
        <f t="shared" ca="1" si="9"/>
        <v>3.1928771027931312E-8</v>
      </c>
      <c r="I124" s="1365">
        <f t="shared" ca="1" si="14"/>
        <v>0</v>
      </c>
      <c r="J124" s="1359"/>
      <c r="L124" s="1364">
        <f t="shared" ca="1" si="15"/>
        <v>0</v>
      </c>
    </row>
    <row r="125" spans="2:20">
      <c r="B125" s="1359">
        <f t="shared" si="10"/>
        <v>110</v>
      </c>
      <c r="C125" s="1362">
        <f t="shared" ca="1" si="11"/>
        <v>49399</v>
      </c>
      <c r="D125" s="1365">
        <f t="shared" ca="1" si="12"/>
        <v>3.1928771027931312E-8</v>
      </c>
      <c r="E125" s="1371">
        <f t="shared" ca="1" si="8"/>
        <v>3.7250232865919864E-10</v>
      </c>
      <c r="F125" s="1372">
        <f t="shared" ca="1" si="13"/>
        <v>0</v>
      </c>
      <c r="G125" s="1365">
        <f t="shared" ca="1" si="9"/>
        <v>3.2301273356590511E-8</v>
      </c>
      <c r="I125" s="1365">
        <f t="shared" ca="1" si="14"/>
        <v>0</v>
      </c>
      <c r="J125" s="1359"/>
      <c r="L125" s="1364">
        <f t="shared" ca="1" si="15"/>
        <v>0</v>
      </c>
    </row>
    <row r="126" spans="2:20">
      <c r="B126" s="1359">
        <f t="shared" si="10"/>
        <v>111</v>
      </c>
      <c r="C126" s="1362">
        <f t="shared" ca="1" si="11"/>
        <v>49429</v>
      </c>
      <c r="D126" s="1365">
        <f t="shared" ca="1" si="12"/>
        <v>3.2301273356590511E-8</v>
      </c>
      <c r="E126" s="1371">
        <f t="shared" ca="1" si="8"/>
        <v>3.7684818916022267E-10</v>
      </c>
      <c r="F126" s="1372">
        <f t="shared" ca="1" si="13"/>
        <v>0</v>
      </c>
      <c r="G126" s="1365">
        <f t="shared" ca="1" si="9"/>
        <v>3.2678121545750732E-8</v>
      </c>
      <c r="I126" s="1365">
        <f t="shared" ca="1" si="14"/>
        <v>0</v>
      </c>
      <c r="J126" s="1359"/>
      <c r="L126" s="1364">
        <f t="shared" ca="1" si="15"/>
        <v>0</v>
      </c>
    </row>
    <row r="127" spans="2:20">
      <c r="B127" s="1359">
        <f t="shared" si="10"/>
        <v>112</v>
      </c>
      <c r="C127" s="1362">
        <f t="shared" ca="1" si="11"/>
        <v>49460</v>
      </c>
      <c r="D127" s="1365">
        <f t="shared" ca="1" si="12"/>
        <v>3.2678121545750732E-8</v>
      </c>
      <c r="E127" s="1371">
        <f t="shared" ca="1" si="8"/>
        <v>3.8124475136709188E-10</v>
      </c>
      <c r="F127" s="1372">
        <f t="shared" ca="1" si="13"/>
        <v>0</v>
      </c>
      <c r="G127" s="1365">
        <f t="shared" ca="1" si="9"/>
        <v>3.3059366297117826E-8</v>
      </c>
      <c r="I127" s="1365">
        <f t="shared" ca="1" si="14"/>
        <v>0</v>
      </c>
      <c r="J127" s="1359"/>
      <c r="L127" s="1364">
        <f t="shared" ca="1" si="15"/>
        <v>0</v>
      </c>
    </row>
    <row r="128" spans="2:20">
      <c r="B128" s="1359">
        <f t="shared" si="10"/>
        <v>113</v>
      </c>
      <c r="C128" s="1362">
        <f t="shared" ca="1" si="11"/>
        <v>49490</v>
      </c>
      <c r="D128" s="1365">
        <f t="shared" ca="1" si="12"/>
        <v>3.3059366297117826E-8</v>
      </c>
      <c r="E128" s="1371">
        <f t="shared" ca="1" si="8"/>
        <v>3.8569260679970799E-10</v>
      </c>
      <c r="F128" s="1372">
        <f t="shared" ca="1" si="13"/>
        <v>0</v>
      </c>
      <c r="G128" s="1365">
        <f t="shared" ca="1" si="9"/>
        <v>3.3445058903917534E-8</v>
      </c>
      <c r="I128" s="1365">
        <f t="shared" ca="1" si="14"/>
        <v>0</v>
      </c>
      <c r="J128" s="1359"/>
      <c r="L128" s="1364">
        <f t="shared" ca="1" si="15"/>
        <v>0</v>
      </c>
    </row>
    <row r="129" spans="2:20">
      <c r="B129" s="1359">
        <f t="shared" si="10"/>
        <v>114</v>
      </c>
      <c r="C129" s="1362">
        <f t="shared" ca="1" si="11"/>
        <v>49521</v>
      </c>
      <c r="D129" s="1365">
        <f t="shared" ca="1" si="12"/>
        <v>3.3445058903917534E-8</v>
      </c>
      <c r="E129" s="1371">
        <f t="shared" ca="1" si="8"/>
        <v>3.9019235387903789E-10</v>
      </c>
      <c r="F129" s="1372">
        <f t="shared" ca="1" si="13"/>
        <v>0</v>
      </c>
      <c r="G129" s="1365">
        <f t="shared" ca="1" si="9"/>
        <v>3.3835251257796571E-8</v>
      </c>
      <c r="I129" s="1365">
        <f t="shared" ca="1" si="14"/>
        <v>0</v>
      </c>
      <c r="J129" s="1359"/>
      <c r="L129" s="1364">
        <f t="shared" ca="1" si="15"/>
        <v>0</v>
      </c>
    </row>
    <row r="130" spans="2:20">
      <c r="B130" s="1359">
        <f t="shared" si="10"/>
        <v>115</v>
      </c>
      <c r="C130" s="1362">
        <f t="shared" ca="1" si="11"/>
        <v>49552</v>
      </c>
      <c r="D130" s="1365">
        <f t="shared" ca="1" si="12"/>
        <v>3.3835251257796571E-8</v>
      </c>
      <c r="E130" s="1371">
        <f t="shared" ca="1" si="8"/>
        <v>3.9474459800762666E-10</v>
      </c>
      <c r="F130" s="1372">
        <f t="shared" ca="1" si="13"/>
        <v>0</v>
      </c>
      <c r="G130" s="1365">
        <f t="shared" ca="1" si="9"/>
        <v>3.4229995855804196E-8</v>
      </c>
      <c r="I130" s="1365">
        <f t="shared" ca="1" si="14"/>
        <v>0</v>
      </c>
      <c r="J130" s="1359"/>
      <c r="L130" s="1364">
        <f t="shared" ca="1" si="15"/>
        <v>0</v>
      </c>
    </row>
    <row r="131" spans="2:20">
      <c r="B131" s="1359">
        <f t="shared" si="10"/>
        <v>116</v>
      </c>
      <c r="C131" s="1362">
        <f t="shared" ca="1" si="11"/>
        <v>49582</v>
      </c>
      <c r="D131" s="1365">
        <f t="shared" ca="1" si="12"/>
        <v>3.4229995855804196E-8</v>
      </c>
      <c r="E131" s="1371">
        <f t="shared" ca="1" si="8"/>
        <v>3.9934995165104899E-10</v>
      </c>
      <c r="F131" s="1372">
        <f t="shared" ca="1" si="13"/>
        <v>0</v>
      </c>
      <c r="G131" s="1365">
        <f t="shared" ca="1" si="9"/>
        <v>3.4629345807455246E-8</v>
      </c>
      <c r="I131" s="1365">
        <f t="shared" ca="1" si="14"/>
        <v>0</v>
      </c>
      <c r="J131" s="1359"/>
      <c r="L131" s="1364">
        <f t="shared" ca="1" si="15"/>
        <v>0</v>
      </c>
    </row>
    <row r="132" spans="2:20">
      <c r="B132" s="1359">
        <f t="shared" si="10"/>
        <v>117</v>
      </c>
      <c r="C132" s="1362">
        <f t="shared" ca="1" si="11"/>
        <v>49613</v>
      </c>
      <c r="D132" s="1365">
        <f t="shared" ca="1" si="12"/>
        <v>3.4629345807455246E-8</v>
      </c>
      <c r="E132" s="1371">
        <f t="shared" ca="1" si="8"/>
        <v>4.0400903442031123E-10</v>
      </c>
      <c r="F132" s="1372">
        <f t="shared" ca="1" si="13"/>
        <v>0</v>
      </c>
      <c r="G132" s="1365">
        <f t="shared" ca="1" si="9"/>
        <v>3.5033354841875556E-8</v>
      </c>
      <c r="I132" s="1365">
        <f t="shared" ca="1" si="14"/>
        <v>0</v>
      </c>
      <c r="J132" s="1359"/>
      <c r="L132" s="1364">
        <f t="shared" ca="1" si="15"/>
        <v>0</v>
      </c>
    </row>
    <row r="133" spans="2:20">
      <c r="B133" s="1359">
        <f t="shared" si="10"/>
        <v>118</v>
      </c>
      <c r="C133" s="1362">
        <f t="shared" ca="1" si="11"/>
        <v>49643</v>
      </c>
      <c r="D133" s="1365">
        <f t="shared" ca="1" si="12"/>
        <v>3.5033354841875556E-8</v>
      </c>
      <c r="E133" s="1371">
        <f t="shared" ca="1" si="8"/>
        <v>4.0872247315521484E-10</v>
      </c>
      <c r="F133" s="1372">
        <f t="shared" ca="1" si="13"/>
        <v>0</v>
      </c>
      <c r="G133" s="1365">
        <f t="shared" ca="1" si="9"/>
        <v>3.5442077315030772E-8</v>
      </c>
      <c r="I133" s="1365">
        <f t="shared" ca="1" si="14"/>
        <v>0</v>
      </c>
      <c r="J133" s="1359"/>
      <c r="L133" s="1364">
        <f t="shared" ca="1" si="15"/>
        <v>0</v>
      </c>
    </row>
    <row r="134" spans="2:20">
      <c r="B134" s="1359">
        <f t="shared" si="10"/>
        <v>119</v>
      </c>
      <c r="C134" s="1362">
        <f t="shared" ca="1" si="11"/>
        <v>49674</v>
      </c>
      <c r="D134" s="1365">
        <f t="shared" ca="1" si="12"/>
        <v>3.5442077315030772E-8</v>
      </c>
      <c r="E134" s="1371">
        <f t="shared" ca="1" si="8"/>
        <v>4.1349090200869238E-10</v>
      </c>
      <c r="F134" s="1372">
        <f t="shared" ca="1" si="13"/>
        <v>0</v>
      </c>
      <c r="G134" s="1365">
        <f t="shared" ca="1" si="9"/>
        <v>3.5855568217039462E-8</v>
      </c>
      <c r="I134" s="1365">
        <f t="shared" ca="1" si="14"/>
        <v>0</v>
      </c>
      <c r="J134" s="1359"/>
      <c r="L134" s="1364">
        <f t="shared" ca="1" si="15"/>
        <v>0</v>
      </c>
    </row>
    <row r="135" spans="2:20">
      <c r="B135" s="1359">
        <f t="shared" si="10"/>
        <v>120</v>
      </c>
      <c r="C135" s="1362">
        <f t="shared" ca="1" si="11"/>
        <v>49705</v>
      </c>
      <c r="D135" s="1365">
        <f t="shared" ca="1" si="12"/>
        <v>3.5855568217039462E-8</v>
      </c>
      <c r="E135" s="1371">
        <f t="shared" ca="1" si="8"/>
        <v>4.1831496253212708E-10</v>
      </c>
      <c r="F135" s="1372">
        <f t="shared" ca="1" si="13"/>
        <v>0</v>
      </c>
      <c r="G135" s="1365">
        <f t="shared" ca="1" si="9"/>
        <v>3.6273883179571591E-8</v>
      </c>
      <c r="I135" s="1365">
        <f t="shared" ca="1" si="14"/>
        <v>0</v>
      </c>
      <c r="J135" s="1359"/>
      <c r="L135" s="1364">
        <f t="shared" ca="1" si="15"/>
        <v>0</v>
      </c>
      <c r="N135" s="1365">
        <f ca="1">D124</f>
        <v>3.1560564442765715E-8</v>
      </c>
      <c r="O135" s="1365">
        <f ca="1">SUM(E124:E135)</f>
        <v>4.7133187368058807E-9</v>
      </c>
      <c r="P135" s="1365">
        <f ca="1">SUM(F124:F135)</f>
        <v>0</v>
      </c>
      <c r="Q135" s="1365">
        <f ca="1">N135+O135+P135</f>
        <v>3.6273883179571597E-8</v>
      </c>
      <c r="S135" s="1365">
        <f ca="1">SUM(I124:I135)</f>
        <v>0</v>
      </c>
      <c r="T135" s="1365">
        <f>SUM(J124:J135)</f>
        <v>0</v>
      </c>
    </row>
    <row r="137" spans="2:20" ht="14" thickBot="1">
      <c r="B137" s="1373"/>
      <c r="C137" s="1373"/>
      <c r="D137" s="1373"/>
      <c r="E137" s="1373"/>
      <c r="F137" s="1373"/>
      <c r="G137" s="1373"/>
      <c r="H137" s="1373"/>
      <c r="I137" s="1373"/>
      <c r="J137" s="1373"/>
      <c r="K137" s="1373"/>
      <c r="L137" s="1374">
        <f ca="1">SUM(L16:L136)</f>
        <v>-12719911.442390049</v>
      </c>
      <c r="M137" s="1373"/>
      <c r="N137" s="1373"/>
      <c r="O137" s="1375">
        <f ca="1">SUM(O27:O135)</f>
        <v>3593404.0046431259</v>
      </c>
      <c r="P137" s="1375">
        <f ca="1">SUM(P27:P135)</f>
        <v>-12665478.992463116</v>
      </c>
      <c r="Q137" s="1373"/>
      <c r="S137" s="1375">
        <f ca="1">SUM(S27:S135)</f>
        <v>54432.449926920082</v>
      </c>
      <c r="T137" s="1375">
        <f>SUM(T27:T99)</f>
        <v>0</v>
      </c>
    </row>
    <row r="138" spans="2:20" ht="14" thickTop="1"/>
  </sheetData>
  <autoFilter ref="F12:R97" xr:uid="{34C3F28B-7427-4EAE-B9E1-C0D7007A65F6}"/>
  <mergeCells count="4">
    <mergeCell ref="C2:D2"/>
    <mergeCell ref="C13:G13"/>
    <mergeCell ref="I13:J13"/>
    <mergeCell ref="N13:Q1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2">
    <tabColor rgb="FFFFC000"/>
  </sheetPr>
  <dimension ref="A1:BG226"/>
  <sheetViews>
    <sheetView topLeftCell="A29" zoomScale="81" zoomScaleNormal="100" workbookViewId="0">
      <selection activeCell="C68" sqref="C68"/>
    </sheetView>
  </sheetViews>
  <sheetFormatPr defaultColWidth="9.140625" defaultRowHeight="13.5" outlineLevelRow="1"/>
  <cols>
    <col min="1" max="1" width="31.28515625" style="6" bestFit="1" customWidth="1"/>
    <col min="2" max="51" width="19.42578125" style="6" customWidth="1"/>
    <col min="52" max="52" width="9.140625" style="6"/>
    <col min="53" max="53" width="25.7109375" style="6" customWidth="1"/>
    <col min="54" max="54" width="20.140625" style="6" customWidth="1"/>
    <col min="55" max="55" width="56.28515625" style="6" customWidth="1"/>
    <col min="56" max="58" width="9.140625" style="6"/>
    <col min="59" max="59" width="15.7109375" style="6" customWidth="1"/>
    <col min="60" max="16384" width="9.140625" style="6"/>
  </cols>
  <sheetData>
    <row r="1" spans="1:44" s="264" customFormat="1" ht="15.5" thickBot="1">
      <c r="A1" s="263" t="s">
        <v>240</v>
      </c>
    </row>
    <row r="2" spans="1:44" ht="14" thickTop="1"/>
    <row r="3" spans="1:44">
      <c r="A3" s="255" t="s">
        <v>343</v>
      </c>
    </row>
    <row r="4" spans="1:44" ht="14" hidden="1" outlineLevel="1" thickBot="1">
      <c r="A4" s="265"/>
      <c r="B4" s="266"/>
      <c r="C4" s="266"/>
      <c r="D4" s="266"/>
      <c r="E4" s="266"/>
      <c r="F4" s="266"/>
      <c r="G4" s="267">
        <f ca="1">TODAY()</f>
        <v>45853</v>
      </c>
      <c r="H4" s="266"/>
      <c r="I4" s="266"/>
      <c r="J4" s="268"/>
    </row>
    <row r="5" spans="1:44" ht="14" hidden="1" outlineLevel="1" thickBot="1">
      <c r="A5" s="269" t="s">
        <v>344</v>
      </c>
      <c r="B5" s="270" t="s">
        <v>345</v>
      </c>
      <c r="C5" s="271" t="str">
        <f>'Ref 1'!L15</f>
        <v>Q2 2025</v>
      </c>
      <c r="D5" s="272" t="str">
        <f>C5</f>
        <v>Q2 2025</v>
      </c>
      <c r="E5" s="272" t="str">
        <f>D5</f>
        <v>Q2 2025</v>
      </c>
      <c r="F5" s="273" t="str">
        <f>E5</f>
        <v>Q2 2025</v>
      </c>
      <c r="G5" s="271" t="str">
        <f>'Ref 1'!L16</f>
        <v>Q3 2025</v>
      </c>
      <c r="H5" s="272" t="str">
        <f>G5</f>
        <v>Q3 2025</v>
      </c>
      <c r="I5" s="272" t="str">
        <f>H5</f>
        <v>Q3 2025</v>
      </c>
      <c r="J5" s="273" t="str">
        <f>I5</f>
        <v>Q3 2025</v>
      </c>
    </row>
    <row r="6" spans="1:44" ht="14" hidden="1" outlineLevel="1" thickBot="1">
      <c r="A6" s="274"/>
      <c r="B6" s="275" t="s">
        <v>346</v>
      </c>
      <c r="C6" s="276">
        <v>100</v>
      </c>
      <c r="D6" s="277">
        <v>250</v>
      </c>
      <c r="E6" s="277">
        <v>500</v>
      </c>
      <c r="F6" s="278">
        <v>5000</v>
      </c>
      <c r="G6" s="276">
        <f>C6</f>
        <v>100</v>
      </c>
      <c r="H6" s="277">
        <f>D6</f>
        <v>250</v>
      </c>
      <c r="I6" s="277">
        <f>E6</f>
        <v>500</v>
      </c>
      <c r="J6" s="278">
        <v>5000</v>
      </c>
    </row>
    <row r="7" spans="1:44" ht="18" hidden="1" outlineLevel="1" thickBot="1">
      <c r="A7" s="279" t="s">
        <v>347</v>
      </c>
      <c r="B7" s="280" t="s">
        <v>233</v>
      </c>
      <c r="C7" s="771">
        <f>D7+0.01</f>
        <v>0.16500000000000004</v>
      </c>
      <c r="D7" s="770">
        <f>E7+0.01</f>
        <v>0.15500000000000003</v>
      </c>
      <c r="E7" s="770">
        <f>F7+0.005</f>
        <v>0.14500000000000002</v>
      </c>
      <c r="F7" s="772">
        <v>0.14000000000000001</v>
      </c>
      <c r="G7" s="771">
        <f t="shared" ref="G7:I7" si="0">C7-0.01</f>
        <v>0.15500000000000003</v>
      </c>
      <c r="H7" s="770">
        <f t="shared" si="0"/>
        <v>0.14500000000000002</v>
      </c>
      <c r="I7" s="770">
        <f t="shared" si="0"/>
        <v>0.13500000000000001</v>
      </c>
      <c r="J7" s="773">
        <f>F7</f>
        <v>0.14000000000000001</v>
      </c>
      <c r="AL7" s="255"/>
      <c r="AO7" s="255"/>
      <c r="AR7" s="255"/>
    </row>
    <row r="8" spans="1:44" hidden="1" outlineLevel="1">
      <c r="A8" s="281"/>
      <c r="B8" s="275" t="s">
        <v>348</v>
      </c>
      <c r="C8" s="282">
        <f t="shared" ref="C8:J8" si="1">MIN(C7:C7)</f>
        <v>0.16500000000000004</v>
      </c>
      <c r="D8" s="283">
        <f t="shared" si="1"/>
        <v>0.15500000000000003</v>
      </c>
      <c r="E8" s="283">
        <f t="shared" si="1"/>
        <v>0.14500000000000002</v>
      </c>
      <c r="F8" s="284">
        <f t="shared" si="1"/>
        <v>0.14000000000000001</v>
      </c>
      <c r="G8" s="282">
        <f t="shared" si="1"/>
        <v>0.15500000000000003</v>
      </c>
      <c r="H8" s="283">
        <f t="shared" si="1"/>
        <v>0.14500000000000002</v>
      </c>
      <c r="I8" s="283">
        <f t="shared" si="1"/>
        <v>0.13500000000000001</v>
      </c>
      <c r="J8" s="284">
        <f t="shared" si="1"/>
        <v>0.14000000000000001</v>
      </c>
      <c r="AL8" s="255"/>
      <c r="AO8" s="255"/>
      <c r="AR8" s="255"/>
    </row>
    <row r="9" spans="1:44" hidden="1" outlineLevel="1">
      <c r="A9" s="274"/>
      <c r="B9" s="285" t="s">
        <v>349</v>
      </c>
      <c r="C9" s="286">
        <f>IF('Costing Inputs'!$D$4='Supplier database'!C5,IF(Project_Size&lt;C6,1,0),0)</f>
        <v>0</v>
      </c>
      <c r="D9" s="287">
        <f>IF('Costing Inputs'!$D$4='Supplier database'!D5,IF(Project_Size&lt;D6,IF(C9=0,1,0),0),0)</f>
        <v>0</v>
      </c>
      <c r="E9" s="287">
        <f>IF('Costing Inputs'!$D$4='Supplier database'!E5,IF(Project_Size&lt;E6,IF(AND(D9=0,C9=0),1,0),0),0)</f>
        <v>1</v>
      </c>
      <c r="F9" s="288">
        <f>IF('Costing Inputs'!$D$4='Supplier database'!F5,IF(Project_Size&lt;F6,IF(AND(E9=0,D9=0,C9=0),1,0),0),0)</f>
        <v>0</v>
      </c>
      <c r="G9" s="286">
        <f>IF('Costing Inputs'!$D$4='Supplier database'!G5,IF(Project_Size&lt;G6,1,0),0)</f>
        <v>0</v>
      </c>
      <c r="H9" s="287">
        <f>IF('Costing Inputs'!$D$4='Supplier database'!H5,IF(Project_Size&lt;H6,IF(G9=0,1,0),0),0)</f>
        <v>0</v>
      </c>
      <c r="I9" s="287">
        <f>IF('Costing Inputs'!$D$4='Supplier database'!I5,IF(Project_Size&lt;I6,IF(AND(H9=0,G9=0),1,0),0),0)</f>
        <v>0</v>
      </c>
      <c r="J9" s="288">
        <f>IF('Costing Inputs'!$D$4='Supplier database'!J5,IF(Project_Size&lt;J6,IF(AND(I9=0,H9=0,G9=0),1,0),0),0)</f>
        <v>0</v>
      </c>
      <c r="AL9" s="255"/>
      <c r="AO9" s="255"/>
      <c r="AR9" s="255"/>
    </row>
    <row r="10" spans="1:44" hidden="1" outlineLevel="1">
      <c r="A10" s="274"/>
      <c r="B10" s="274" t="s">
        <v>350</v>
      </c>
      <c r="C10" s="289" t="str">
        <f t="shared" ref="C10:J10" si="2">INDEX($A$7:$A$7,MATCH(C8,C7:C7,0))</f>
        <v>Seraphim / JA</v>
      </c>
      <c r="D10" s="290" t="str">
        <f t="shared" si="2"/>
        <v>Seraphim / JA</v>
      </c>
      <c r="E10" s="290" t="str">
        <f t="shared" si="2"/>
        <v>Seraphim / JA</v>
      </c>
      <c r="F10" s="291" t="str">
        <f t="shared" si="2"/>
        <v>Seraphim / JA</v>
      </c>
      <c r="G10" s="289" t="str">
        <f t="shared" si="2"/>
        <v>Seraphim / JA</v>
      </c>
      <c r="H10" s="290" t="str">
        <f t="shared" si="2"/>
        <v>Seraphim / JA</v>
      </c>
      <c r="I10" s="290" t="str">
        <f t="shared" si="2"/>
        <v>Seraphim / JA</v>
      </c>
      <c r="J10" s="291" t="str">
        <f t="shared" si="2"/>
        <v>Seraphim / JA</v>
      </c>
      <c r="AL10" s="255"/>
      <c r="AO10" s="255"/>
      <c r="AR10" s="255"/>
    </row>
    <row r="11" spans="1:44" ht="14" hidden="1" outlineLevel="1" thickBot="1">
      <c r="A11" s="274"/>
      <c r="B11" s="292" t="s">
        <v>351</v>
      </c>
      <c r="C11" s="293">
        <f t="shared" ref="C11:J11" si="3">C8*C9</f>
        <v>0</v>
      </c>
      <c r="D11" s="294">
        <f t="shared" si="3"/>
        <v>0</v>
      </c>
      <c r="E11" s="294">
        <f t="shared" si="3"/>
        <v>0.14500000000000002</v>
      </c>
      <c r="F11" s="295">
        <f t="shared" si="3"/>
        <v>0</v>
      </c>
      <c r="G11" s="293">
        <f t="shared" si="3"/>
        <v>0</v>
      </c>
      <c r="H11" s="294">
        <f t="shared" si="3"/>
        <v>0</v>
      </c>
      <c r="I11" s="294">
        <f t="shared" si="3"/>
        <v>0</v>
      </c>
      <c r="J11" s="295">
        <f t="shared" si="3"/>
        <v>0</v>
      </c>
      <c r="AL11" s="255"/>
      <c r="AO11" s="255"/>
      <c r="AR11" s="255"/>
    </row>
    <row r="12" spans="1:44" hidden="1" outlineLevel="1">
      <c r="A12" s="274"/>
      <c r="B12" s="274" t="s">
        <v>350</v>
      </c>
      <c r="C12" s="296" t="str">
        <f>INDEX(C10:J10,MATCH(1,C9:J9,0))</f>
        <v>Seraphim / JA</v>
      </c>
      <c r="D12" s="297"/>
      <c r="E12" s="297"/>
      <c r="F12" s="297"/>
      <c r="G12" s="297"/>
      <c r="H12" s="297"/>
      <c r="I12" s="297"/>
      <c r="J12" s="296"/>
      <c r="AL12" s="255"/>
      <c r="AO12" s="255"/>
      <c r="AR12" s="255"/>
    </row>
    <row r="13" spans="1:44" ht="14" hidden="1" outlineLevel="1" thickBot="1">
      <c r="A13" s="274"/>
      <c r="B13" s="292" t="s">
        <v>352</v>
      </c>
      <c r="C13" s="298">
        <f>INDEX(C11:J11,MATCH(1,C9:J9,0))</f>
        <v>0.14500000000000002</v>
      </c>
      <c r="D13" s="297"/>
      <c r="E13" s="297"/>
      <c r="F13" s="297"/>
      <c r="G13" s="297"/>
      <c r="H13" s="297"/>
      <c r="I13" s="297"/>
      <c r="J13" s="296"/>
      <c r="AL13" s="255"/>
      <c r="AO13" s="255"/>
      <c r="AR13" s="255"/>
    </row>
    <row r="14" spans="1:44" hidden="1" outlineLevel="1">
      <c r="A14" s="274"/>
      <c r="B14" s="299"/>
      <c r="C14" s="300"/>
      <c r="D14" s="297"/>
      <c r="E14" s="297"/>
      <c r="F14" s="297"/>
      <c r="G14" s="297"/>
      <c r="H14" s="297"/>
      <c r="I14" s="297"/>
      <c r="J14" s="296"/>
      <c r="AO14" s="255"/>
      <c r="AR14" s="255"/>
    </row>
    <row r="15" spans="1:44" ht="14" outlineLevel="1" thickBot="1">
      <c r="A15" s="274"/>
      <c r="B15" s="299"/>
      <c r="C15" s="299"/>
      <c r="D15" s="299"/>
      <c r="E15" s="299"/>
      <c r="F15" s="299"/>
      <c r="G15" s="299"/>
      <c r="H15" s="299"/>
      <c r="I15" s="299"/>
      <c r="J15" s="301"/>
      <c r="AO15" s="255"/>
      <c r="AR15" s="255"/>
    </row>
    <row r="16" spans="1:44" ht="14" outlineLevel="1" thickBot="1">
      <c r="A16" s="269" t="s">
        <v>353</v>
      </c>
      <c r="B16" s="270" t="s">
        <v>112</v>
      </c>
      <c r="C16" s="271" t="str">
        <f t="shared" ref="C16:J16" si="4">C5</f>
        <v>Q2 2025</v>
      </c>
      <c r="D16" s="272" t="str">
        <f t="shared" si="4"/>
        <v>Q2 2025</v>
      </c>
      <c r="E16" s="272" t="str">
        <f t="shared" si="4"/>
        <v>Q2 2025</v>
      </c>
      <c r="F16" s="273" t="str">
        <f t="shared" si="4"/>
        <v>Q2 2025</v>
      </c>
      <c r="G16" s="271" t="str">
        <f t="shared" si="4"/>
        <v>Q3 2025</v>
      </c>
      <c r="H16" s="272" t="str">
        <f t="shared" si="4"/>
        <v>Q3 2025</v>
      </c>
      <c r="I16" s="272" t="str">
        <f t="shared" si="4"/>
        <v>Q3 2025</v>
      </c>
      <c r="J16" s="273" t="str">
        <f t="shared" si="4"/>
        <v>Q3 2025</v>
      </c>
      <c r="AO16" s="255"/>
      <c r="AR16" s="255"/>
    </row>
    <row r="17" spans="1:44" ht="14" outlineLevel="1" thickBot="1">
      <c r="A17" s="274"/>
      <c r="B17" s="275"/>
      <c r="C17" s="276">
        <v>200</v>
      </c>
      <c r="D17" s="277">
        <v>500</v>
      </c>
      <c r="E17" s="277">
        <v>1500</v>
      </c>
      <c r="F17" s="278">
        <v>5000</v>
      </c>
      <c r="G17" s="276">
        <f>C17</f>
        <v>200</v>
      </c>
      <c r="H17" s="277">
        <f>D17</f>
        <v>500</v>
      </c>
      <c r="I17" s="277">
        <f>E17</f>
        <v>1500</v>
      </c>
      <c r="J17" s="278">
        <v>5000</v>
      </c>
      <c r="AO17" s="255"/>
      <c r="AR17" s="255"/>
    </row>
    <row r="18" spans="1:44" ht="18" outlineLevel="1" thickBot="1">
      <c r="A18" s="279" t="s">
        <v>354</v>
      </c>
      <c r="B18" s="280" t="s">
        <v>233</v>
      </c>
      <c r="C18" s="771">
        <f>D18+0.01</f>
        <v>0.13250000000000001</v>
      </c>
      <c r="D18" s="770">
        <f>E18+0.005</f>
        <v>0.12250000000000001</v>
      </c>
      <c r="E18" s="770">
        <f>F18+0.0025</f>
        <v>0.11750000000000001</v>
      </c>
      <c r="F18" s="772">
        <v>0.115</v>
      </c>
      <c r="G18" s="771">
        <f t="shared" ref="G18:I18" si="5">C18+0.01</f>
        <v>0.14250000000000002</v>
      </c>
      <c r="H18" s="771">
        <f t="shared" si="5"/>
        <v>0.13250000000000001</v>
      </c>
      <c r="I18" s="771">
        <f t="shared" si="5"/>
        <v>0.1275</v>
      </c>
      <c r="J18" s="771">
        <f>F18+0.01</f>
        <v>0.125</v>
      </c>
      <c r="AO18" s="255"/>
      <c r="AR18" s="255"/>
    </row>
    <row r="19" spans="1:44" outlineLevel="1">
      <c r="A19" s="281"/>
      <c r="B19" s="275" t="s">
        <v>348</v>
      </c>
      <c r="C19" s="282">
        <f t="shared" ref="C19:J19" si="6">MIN(C18:C18)</f>
        <v>0.13250000000000001</v>
      </c>
      <c r="D19" s="283">
        <f t="shared" si="6"/>
        <v>0.12250000000000001</v>
      </c>
      <c r="E19" s="283">
        <f t="shared" si="6"/>
        <v>0.11750000000000001</v>
      </c>
      <c r="F19" s="284">
        <f t="shared" si="6"/>
        <v>0.115</v>
      </c>
      <c r="G19" s="282">
        <f t="shared" si="6"/>
        <v>0.14250000000000002</v>
      </c>
      <c r="H19" s="283">
        <f t="shared" si="6"/>
        <v>0.13250000000000001</v>
      </c>
      <c r="I19" s="283">
        <f t="shared" si="6"/>
        <v>0.1275</v>
      </c>
      <c r="J19" s="284">
        <f t="shared" si="6"/>
        <v>0.125</v>
      </c>
      <c r="AO19" s="255"/>
      <c r="AR19" s="255"/>
    </row>
    <row r="20" spans="1:44" outlineLevel="1">
      <c r="A20" s="274"/>
      <c r="B20" s="285" t="s">
        <v>349</v>
      </c>
      <c r="C20" s="286">
        <f>IF('Costing Inputs'!$D$4='Supplier database'!C16,IF(Project_Size&lt;C17,1,0),0)</f>
        <v>0</v>
      </c>
      <c r="D20" s="287">
        <f>IF('Costing Inputs'!$D$4='Supplier database'!D16,IF(Project_Size&lt;D17,IF(C20=0,1,0),0),0)</f>
        <v>1</v>
      </c>
      <c r="E20" s="287">
        <f>IF('Costing Inputs'!$D$4='Supplier database'!E16,IF(Project_Size&lt;E17,IF(AND(D20=0,C20=0),1,0),0),0)</f>
        <v>0</v>
      </c>
      <c r="F20" s="288">
        <f>IF('Costing Inputs'!$D$4='Supplier database'!F16,IF(Project_Size&lt;F17,IF(AND(E20=0,D20=0,C20=0),1,0),0),0)</f>
        <v>0</v>
      </c>
      <c r="G20" s="286">
        <f>IF('Costing Inputs'!$D$4='Supplier database'!G16,IF(Project_Size&lt;G17,1,0),0)</f>
        <v>0</v>
      </c>
      <c r="H20" s="287">
        <f>IF('Costing Inputs'!$D$4='Supplier database'!H16,IF(Project_Size&lt;H17,IF(G20=0,1,0),0),0)</f>
        <v>0</v>
      </c>
      <c r="I20" s="287">
        <f>IF('Costing Inputs'!$D$4='Supplier database'!I16,IF(Project_Size&lt;I17,IF(AND(H20=0,G20=0),1,0),0),0)</f>
        <v>0</v>
      </c>
      <c r="J20" s="288">
        <f>IF('Costing Inputs'!$D$4='Supplier database'!J16,IF(Project_Size&lt;J17,IF(AND(I20=0,H20=0,G20=0),1,0),0),0)</f>
        <v>0</v>
      </c>
      <c r="AO20" s="255"/>
      <c r="AR20" s="255"/>
    </row>
    <row r="21" spans="1:44" outlineLevel="1">
      <c r="A21" s="274"/>
      <c r="B21" s="274" t="s">
        <v>350</v>
      </c>
      <c r="C21" s="289" t="str">
        <f>INDEX($A$18,MATCH(C19,C18:C18,0))</f>
        <v>Longi</v>
      </c>
      <c r="D21" s="290" t="str">
        <f t="shared" ref="D21:J21" si="7">INDEX($A$18,MATCH(D19,D18:D18,0))</f>
        <v>Longi</v>
      </c>
      <c r="E21" s="290" t="str">
        <f t="shared" si="7"/>
        <v>Longi</v>
      </c>
      <c r="F21" s="291" t="str">
        <f t="shared" si="7"/>
        <v>Longi</v>
      </c>
      <c r="G21" s="289" t="str">
        <f t="shared" si="7"/>
        <v>Longi</v>
      </c>
      <c r="H21" s="290" t="str">
        <f t="shared" si="7"/>
        <v>Longi</v>
      </c>
      <c r="I21" s="290" t="str">
        <f t="shared" si="7"/>
        <v>Longi</v>
      </c>
      <c r="J21" s="291" t="str">
        <f t="shared" si="7"/>
        <v>Longi</v>
      </c>
      <c r="AO21" s="255"/>
      <c r="AR21" s="255"/>
    </row>
    <row r="22" spans="1:44" ht="14" outlineLevel="1" thickBot="1">
      <c r="A22" s="274"/>
      <c r="B22" s="292" t="s">
        <v>351</v>
      </c>
      <c r="C22" s="293">
        <f t="shared" ref="C22:J22" si="8">C19*C20</f>
        <v>0</v>
      </c>
      <c r="D22" s="294">
        <f t="shared" si="8"/>
        <v>0.12250000000000001</v>
      </c>
      <c r="E22" s="294">
        <f t="shared" si="8"/>
        <v>0</v>
      </c>
      <c r="F22" s="295">
        <f t="shared" si="8"/>
        <v>0</v>
      </c>
      <c r="G22" s="293">
        <f t="shared" si="8"/>
        <v>0</v>
      </c>
      <c r="H22" s="294">
        <f t="shared" si="8"/>
        <v>0</v>
      </c>
      <c r="I22" s="294">
        <f t="shared" si="8"/>
        <v>0</v>
      </c>
      <c r="J22" s="295">
        <f t="shared" si="8"/>
        <v>0</v>
      </c>
      <c r="AO22" s="255"/>
      <c r="AR22" s="255"/>
    </row>
    <row r="23" spans="1:44" outlineLevel="1">
      <c r="A23" s="274"/>
      <c r="B23" s="274" t="s">
        <v>350</v>
      </c>
      <c r="C23" s="296" t="str">
        <f>INDEX(C21:J21,MATCH(1,C20:J20,0))</f>
        <v>Longi</v>
      </c>
      <c r="D23" s="297"/>
      <c r="E23" s="297"/>
      <c r="F23" s="297"/>
      <c r="G23" s="297"/>
      <c r="H23" s="297"/>
      <c r="I23" s="297"/>
      <c r="J23" s="296"/>
      <c r="AO23" s="255"/>
      <c r="AR23" s="255"/>
    </row>
    <row r="24" spans="1:44" ht="14" outlineLevel="1" thickBot="1">
      <c r="A24" s="274"/>
      <c r="B24" s="292" t="s">
        <v>352</v>
      </c>
      <c r="C24" s="298">
        <f>INDEX(C22:J22,MATCH(1,C20:J20,0))</f>
        <v>0.12250000000000001</v>
      </c>
      <c r="D24" s="297"/>
      <c r="E24" s="297"/>
      <c r="F24" s="297"/>
      <c r="G24" s="297"/>
      <c r="H24" s="297"/>
      <c r="I24" s="297"/>
      <c r="J24" s="296"/>
      <c r="AO24" s="255"/>
      <c r="AR24" s="255"/>
    </row>
    <row r="25" spans="1:44" ht="14" outlineLevel="1" thickBot="1">
      <c r="A25" s="292"/>
      <c r="B25" s="302"/>
      <c r="C25" s="303"/>
      <c r="D25" s="304"/>
      <c r="E25" s="304"/>
      <c r="F25" s="304"/>
      <c r="G25" s="304"/>
      <c r="H25" s="304"/>
      <c r="I25" s="304"/>
      <c r="J25" s="305"/>
      <c r="AO25" s="255"/>
      <c r="AR25" s="255"/>
    </row>
    <row r="26" spans="1:44">
      <c r="AO26" s="255"/>
      <c r="AR26" s="255"/>
    </row>
    <row r="27" spans="1:44" ht="14" thickBot="1">
      <c r="A27" s="260" t="s">
        <v>355</v>
      </c>
      <c r="AL27" s="255"/>
      <c r="AO27" s="255"/>
      <c r="AR27" s="255"/>
    </row>
    <row r="28" spans="1:44" ht="14" outlineLevel="1" thickBot="1">
      <c r="A28" s="306"/>
      <c r="B28" s="307"/>
      <c r="C28" s="307"/>
      <c r="D28" s="307"/>
      <c r="E28" s="307"/>
      <c r="F28" s="307"/>
      <c r="G28" s="307"/>
      <c r="H28" s="307"/>
      <c r="I28" s="307"/>
      <c r="J28" s="307"/>
      <c r="K28" s="307"/>
      <c r="L28" s="307"/>
      <c r="M28" s="307"/>
      <c r="N28" s="308"/>
      <c r="O28" s="308"/>
      <c r="P28" s="308"/>
      <c r="Q28" s="308"/>
      <c r="R28" s="308"/>
      <c r="AL28" s="255"/>
      <c r="AO28" s="255"/>
      <c r="AR28" s="255"/>
    </row>
    <row r="29" spans="1:44" ht="14" outlineLevel="1" thickBot="1">
      <c r="A29" s="1545" t="s">
        <v>356</v>
      </c>
      <c r="B29" s="1546"/>
      <c r="C29" s="1546"/>
      <c r="D29" s="1546"/>
      <c r="E29" s="1546"/>
      <c r="F29" s="1546"/>
      <c r="G29" s="1546"/>
      <c r="H29" s="1546"/>
      <c r="I29" s="1546"/>
      <c r="J29" s="1546"/>
      <c r="K29" s="1546"/>
      <c r="L29" s="1546"/>
      <c r="M29" s="1546"/>
      <c r="N29" s="1546"/>
      <c r="O29" s="1546"/>
      <c r="P29" s="1546"/>
      <c r="Q29" s="1546"/>
      <c r="R29" s="1547"/>
      <c r="AL29" s="255"/>
      <c r="AO29" s="255"/>
      <c r="AR29" s="255"/>
    </row>
    <row r="30" spans="1:44" outlineLevel="1">
      <c r="A30" s="1553" t="s">
        <v>357</v>
      </c>
      <c r="B30" s="1553"/>
      <c r="C30" s="1553"/>
      <c r="D30" s="1553"/>
      <c r="E30" s="1553"/>
      <c r="F30" s="1553"/>
      <c r="G30" s="1553"/>
      <c r="H30" s="1553"/>
      <c r="I30" s="1553"/>
      <c r="J30" s="1553"/>
      <c r="K30" s="1553"/>
      <c r="L30" s="1553"/>
      <c r="M30" s="1553"/>
      <c r="N30" s="1553"/>
      <c r="O30" s="1553"/>
      <c r="P30" s="1553"/>
      <c r="Q30" s="1553"/>
      <c r="R30" s="1554"/>
      <c r="AL30" s="255"/>
      <c r="AO30" s="255"/>
      <c r="AR30" s="255"/>
    </row>
    <row r="31" spans="1:44" outlineLevel="1">
      <c r="A31" s="310" t="s">
        <v>358</v>
      </c>
      <c r="B31" s="310" t="s">
        <v>359</v>
      </c>
      <c r="C31" s="311">
        <v>17</v>
      </c>
      <c r="D31" s="311">
        <v>18</v>
      </c>
      <c r="E31" s="311">
        <v>20</v>
      </c>
      <c r="F31" s="311">
        <v>25</v>
      </c>
      <c r="G31" s="312">
        <v>27.6</v>
      </c>
      <c r="H31" s="311">
        <v>30</v>
      </c>
      <c r="I31" s="311">
        <v>33</v>
      </c>
      <c r="J31" s="313">
        <v>36</v>
      </c>
      <c r="K31" s="313">
        <v>46</v>
      </c>
      <c r="L31" s="313">
        <v>50</v>
      </c>
      <c r="M31" s="314">
        <v>60</v>
      </c>
      <c r="N31" s="314">
        <v>66</v>
      </c>
      <c r="O31" s="314"/>
      <c r="P31" s="314"/>
      <c r="Q31" s="314">
        <v>100</v>
      </c>
      <c r="R31" s="314">
        <v>110</v>
      </c>
      <c r="AL31" s="255"/>
      <c r="AO31" s="255"/>
      <c r="AR31" s="255"/>
    </row>
    <row r="32" spans="1:44" outlineLevel="1">
      <c r="A32" s="315" t="s">
        <v>160</v>
      </c>
      <c r="B32" s="505">
        <v>1274</v>
      </c>
      <c r="C32" s="668"/>
      <c r="D32" s="669"/>
      <c r="E32" s="669"/>
      <c r="F32" s="670"/>
      <c r="G32" s="669"/>
      <c r="H32" s="669"/>
      <c r="I32" s="316">
        <f>33091</f>
        <v>33091</v>
      </c>
      <c r="J32" s="669"/>
      <c r="K32" s="671"/>
      <c r="L32" s="669"/>
      <c r="M32" s="673"/>
      <c r="N32" s="316">
        <f>18661+2*17204</f>
        <v>53069</v>
      </c>
      <c r="O32" s="316"/>
      <c r="P32" s="316"/>
      <c r="Q32" s="316">
        <f>20772+3*17204</f>
        <v>72384</v>
      </c>
      <c r="R32" s="673"/>
      <c r="AL32" s="255"/>
      <c r="AO32" s="255"/>
      <c r="AR32" s="255"/>
    </row>
    <row r="33" spans="1:46" outlineLevel="1">
      <c r="A33" s="315" t="s">
        <v>158</v>
      </c>
      <c r="B33" s="317"/>
      <c r="C33" s="668"/>
      <c r="D33" s="668"/>
      <c r="E33" s="668">
        <v>0</v>
      </c>
      <c r="F33" s="668"/>
      <c r="G33" s="668"/>
      <c r="H33" s="668"/>
      <c r="I33" s="668"/>
      <c r="J33" s="668"/>
      <c r="K33" s="671"/>
      <c r="L33" s="504">
        <v>80000</v>
      </c>
      <c r="M33" s="668"/>
      <c r="N33" s="668"/>
      <c r="O33" s="668"/>
      <c r="P33" s="668"/>
      <c r="Q33" s="668"/>
      <c r="R33" s="505">
        <v>80000</v>
      </c>
      <c r="AL33" s="255"/>
      <c r="AO33" s="255"/>
      <c r="AR33" s="255"/>
    </row>
    <row r="34" spans="1:46" outlineLevel="1">
      <c r="A34" s="318" t="s">
        <v>159</v>
      </c>
      <c r="B34" s="318"/>
      <c r="C34" s="668"/>
      <c r="D34" s="668"/>
      <c r="E34" s="668"/>
      <c r="F34" s="668"/>
      <c r="G34" s="668"/>
      <c r="H34" s="668"/>
      <c r="I34" s="668"/>
      <c r="J34" s="668"/>
      <c r="K34" s="672"/>
      <c r="L34" s="504">
        <v>47500</v>
      </c>
      <c r="M34" s="668"/>
      <c r="N34" s="668"/>
      <c r="O34" s="668"/>
      <c r="P34" s="668"/>
      <c r="Q34" s="505">
        <v>70000</v>
      </c>
      <c r="R34" s="668"/>
      <c r="AB34" s="319"/>
      <c r="AC34" s="319"/>
      <c r="AD34" s="319"/>
      <c r="AE34" s="319"/>
      <c r="AF34" s="319"/>
      <c r="AG34" s="319"/>
      <c r="AH34" s="319"/>
      <c r="AI34" s="319"/>
      <c r="AJ34" s="319"/>
      <c r="AM34" s="255"/>
      <c r="AP34" s="255"/>
      <c r="AS34" s="255"/>
    </row>
    <row r="35" spans="1:46" ht="14" outlineLevel="1" thickBot="1">
      <c r="A35" s="320"/>
      <c r="B35" s="317"/>
      <c r="C35" s="321"/>
      <c r="D35" s="321"/>
      <c r="E35" s="720"/>
      <c r="F35" s="321"/>
      <c r="G35" s="321"/>
      <c r="H35" s="321"/>
      <c r="I35" s="321"/>
      <c r="J35" s="321"/>
      <c r="K35" s="321"/>
      <c r="L35" s="321"/>
      <c r="M35" s="321"/>
      <c r="N35" s="322"/>
      <c r="O35" s="322"/>
      <c r="P35" s="322"/>
      <c r="Q35" s="322"/>
      <c r="R35" s="322"/>
      <c r="AB35" s="319"/>
      <c r="AC35" s="319"/>
      <c r="AD35" s="319"/>
      <c r="AE35" s="319"/>
      <c r="AF35" s="319"/>
      <c r="AG35" s="319"/>
      <c r="AH35" s="319"/>
      <c r="AI35" s="319"/>
      <c r="AJ35" s="319"/>
      <c r="AM35" s="255"/>
      <c r="AP35" s="255"/>
      <c r="AS35" s="255"/>
    </row>
    <row r="36" spans="1:46" ht="14" outlineLevel="1" thickBot="1">
      <c r="A36" s="1545" t="s">
        <v>360</v>
      </c>
      <c r="B36" s="1546"/>
      <c r="C36" s="1546"/>
      <c r="D36" s="1546"/>
      <c r="E36" s="1546"/>
      <c r="F36" s="1546"/>
      <c r="G36" s="1546"/>
      <c r="H36" s="1546"/>
      <c r="I36" s="1546"/>
      <c r="J36" s="1546"/>
      <c r="K36" s="1546"/>
      <c r="L36" s="1546"/>
      <c r="M36" s="1546"/>
      <c r="N36" s="1546"/>
      <c r="O36" s="1546"/>
      <c r="P36" s="1546"/>
      <c r="Q36" s="1546"/>
      <c r="R36" s="1547"/>
      <c r="AM36" s="255"/>
      <c r="AP36" s="255"/>
      <c r="AS36" s="255"/>
    </row>
    <row r="37" spans="1:46" ht="14" outlineLevel="1" thickBot="1">
      <c r="A37" s="323" t="s">
        <v>358</v>
      </c>
      <c r="B37" s="324" t="s">
        <v>361</v>
      </c>
      <c r="C37" s="325">
        <f t="shared" ref="C37:J37" si="9">C31</f>
        <v>17</v>
      </c>
      <c r="D37" s="325">
        <f t="shared" si="9"/>
        <v>18</v>
      </c>
      <c r="E37" s="325">
        <f t="shared" si="9"/>
        <v>20</v>
      </c>
      <c r="F37" s="325">
        <f t="shared" si="9"/>
        <v>25</v>
      </c>
      <c r="G37" s="325">
        <f t="shared" si="9"/>
        <v>27.6</v>
      </c>
      <c r="H37" s="325">
        <f t="shared" si="9"/>
        <v>30</v>
      </c>
      <c r="I37" s="325">
        <f t="shared" si="9"/>
        <v>33</v>
      </c>
      <c r="J37" s="325">
        <f t="shared" si="9"/>
        <v>36</v>
      </c>
      <c r="K37" s="326">
        <v>46</v>
      </c>
      <c r="L37" s="325">
        <v>50</v>
      </c>
      <c r="M37" s="325">
        <f>M31</f>
        <v>60</v>
      </c>
      <c r="N37" s="325">
        <f>N31</f>
        <v>66</v>
      </c>
      <c r="O37" s="325"/>
      <c r="P37" s="325"/>
      <c r="Q37" s="325">
        <f t="shared" ref="Q37:R37" si="10">Q31</f>
        <v>100</v>
      </c>
      <c r="R37" s="325">
        <f t="shared" si="10"/>
        <v>110</v>
      </c>
      <c r="AM37" s="255"/>
      <c r="AP37" s="255"/>
      <c r="AS37" s="255"/>
    </row>
    <row r="38" spans="1:46" ht="14.25" customHeight="1" outlineLevel="1">
      <c r="A38" s="315" t="s">
        <v>160</v>
      </c>
      <c r="B38" s="717">
        <v>0.34</v>
      </c>
      <c r="C38" s="327">
        <f>IF(Project_Size&lt;40,ROUNDUP(IF(C32&gt;0,Project_Size/(C$37*(1+$B38)),0),0),0)</f>
        <v>0</v>
      </c>
      <c r="D38" s="328">
        <f t="shared" ref="D38:J40" si="11">ROUNDUP(IF(D32&gt;0,Project_Size/(D$37*(1+$B38)),0),0)</f>
        <v>0</v>
      </c>
      <c r="E38" s="328">
        <f t="shared" si="11"/>
        <v>0</v>
      </c>
      <c r="F38" s="328">
        <f t="shared" si="11"/>
        <v>0</v>
      </c>
      <c r="G38" s="328">
        <f t="shared" si="11"/>
        <v>0</v>
      </c>
      <c r="H38" s="328">
        <f t="shared" si="11"/>
        <v>0</v>
      </c>
      <c r="I38" s="953" cm="1">
        <f t="array" ref="I38">IF(Project_Size&lt;(I37*(1+B38)),1,0)</f>
        <v>0</v>
      </c>
      <c r="J38" s="328">
        <f t="shared" si="11"/>
        <v>0</v>
      </c>
      <c r="K38" s="328">
        <f>IF(Project_Size&gt;119,ROUNDUP(IF(K32&gt;0,Project_Size/(K$37*(1+$B38)),0),0),0)</f>
        <v>0</v>
      </c>
      <c r="L38" s="328">
        <f>IF(Project_Size&gt;0,ROUNDUP(IF(L32&gt;0,Project_Size/(L$37*(1+$B38)),0),0),0)</f>
        <v>0</v>
      </c>
      <c r="M38" s="328">
        <f>IF(Project_Size&gt;179,ROUNDUP(IF(M32&gt;0,Project_Size/(M$37*(1+$B38)),0),0),0)</f>
        <v>0</v>
      </c>
      <c r="N38" s="953" cm="1">
        <f t="array" ref="N38">IF(Project_Size&lt;(N37*(1+B38)),1,0)</f>
        <v>0</v>
      </c>
      <c r="O38" s="328"/>
      <c r="P38" s="328"/>
      <c r="Q38" s="328">
        <f>IF(Project_Size&gt;(N37*(1+B38)),ROUNDUP(IF(Q32&gt;0,Project_Size/(Q$37*(1+$B38)),0),0),0)</f>
        <v>4</v>
      </c>
      <c r="R38" s="328">
        <f>IF(Project_Size&gt;130,ROUNDUP(IF(R32&gt;0,Project_Size/(R$37*(1+$B38)),0),0),0)</f>
        <v>0</v>
      </c>
      <c r="T38" s="1548" t="s">
        <v>362</v>
      </c>
      <c r="U38" s="695" t="s">
        <v>363</v>
      </c>
      <c r="V38" s="329"/>
      <c r="W38" s="329"/>
      <c r="X38" s="329"/>
      <c r="Y38" s="329"/>
      <c r="Z38" s="329"/>
      <c r="AA38" s="329"/>
      <c r="AM38" s="255"/>
      <c r="AP38" s="255"/>
      <c r="AS38" s="255"/>
    </row>
    <row r="39" spans="1:46" outlineLevel="1">
      <c r="A39" s="315" t="s">
        <v>158</v>
      </c>
      <c r="B39" s="718">
        <v>0.34</v>
      </c>
      <c r="C39" s="328">
        <f>ROUNDUP(IF(C33&gt;0,Project_Size/(C$37*(1+$B39)),0),0)</f>
        <v>0</v>
      </c>
      <c r="D39" s="328">
        <f t="shared" si="11"/>
        <v>0</v>
      </c>
      <c r="E39" s="328">
        <f t="shared" si="11"/>
        <v>0</v>
      </c>
      <c r="F39" s="328">
        <f t="shared" si="11"/>
        <v>0</v>
      </c>
      <c r="G39" s="328">
        <f>ROUNDUP(IF(G33&gt;0,Project_Size/(G$37*(1+$B39)),0),0)</f>
        <v>0</v>
      </c>
      <c r="H39" s="328">
        <f t="shared" si="11"/>
        <v>0</v>
      </c>
      <c r="I39" s="328">
        <f t="shared" si="11"/>
        <v>0</v>
      </c>
      <c r="J39" s="328">
        <f t="shared" si="11"/>
        <v>0</v>
      </c>
      <c r="K39" s="328">
        <f>IF(Project_Size&gt;119,ROUNDUP(IF(K33&gt;0,Project_Size/(K$37*(1+$B39)),0),0),0)</f>
        <v>0</v>
      </c>
      <c r="L39" s="328">
        <f>IF(Project_Size&gt;0,ROUNDUP(IF(L33&gt;0,Project_Size/(L$37*(1+$B39)),0),0),0)</f>
        <v>8</v>
      </c>
      <c r="M39" s="328">
        <f>IF(Project_Size&gt;179,ROUNDUP(IF(M33&gt;0,Project_Size/(M$37*(1+$B39)),0),0),0)</f>
        <v>0</v>
      </c>
      <c r="N39" s="328">
        <f>IF(Project_Size&gt;240,ROUNDUP(IF(N33&gt;0,Project_Size/(N$37*(1+$B39)),0),0),0)</f>
        <v>0</v>
      </c>
      <c r="O39" s="328"/>
      <c r="P39" s="328"/>
      <c r="Q39" s="328">
        <f t="shared" ref="Q39" si="12">IF(Project_Size&gt;500,ROUNDUP(IF(Q33&gt;0,Project_Size/(Q$37*(1+$B39)),0),0),0)</f>
        <v>0</v>
      </c>
      <c r="R39" s="328">
        <f>IF(Project_Size&gt;130,ROUNDUP(IF(R33&gt;0,Project_Size/(R$37*(1+$B39)),0),0),0)</f>
        <v>4</v>
      </c>
      <c r="T39" s="1549"/>
      <c r="U39" s="696"/>
      <c r="V39" s="329"/>
      <c r="W39" s="329"/>
      <c r="X39" s="329"/>
      <c r="Y39" s="329"/>
      <c r="Z39" s="329"/>
      <c r="AA39" s="329"/>
      <c r="AM39" s="255"/>
      <c r="AP39" s="255"/>
      <c r="AS39" s="255"/>
    </row>
    <row r="40" spans="1:46" ht="48" customHeight="1" outlineLevel="1" thickBot="1">
      <c r="A40" s="315" t="s">
        <v>159</v>
      </c>
      <c r="B40" s="719">
        <v>0.34</v>
      </c>
      <c r="C40" s="328">
        <f>ROUNDUP(IF(C34&gt;0,Project_Size/(C$37*(1+$B40)),0),0)</f>
        <v>0</v>
      </c>
      <c r="D40" s="328">
        <f t="shared" si="11"/>
        <v>0</v>
      </c>
      <c r="E40" s="328">
        <f t="shared" si="11"/>
        <v>0</v>
      </c>
      <c r="F40" s="328">
        <f>ROUNDUP(IF(F34&gt;0,Project_Size/(F$37*(1+$B40)),0),0)</f>
        <v>0</v>
      </c>
      <c r="G40" s="328">
        <f t="shared" si="11"/>
        <v>0</v>
      </c>
      <c r="H40" s="328">
        <f t="shared" si="11"/>
        <v>0</v>
      </c>
      <c r="I40" s="328">
        <f t="shared" si="11"/>
        <v>0</v>
      </c>
      <c r="J40" s="328">
        <f t="shared" si="11"/>
        <v>0</v>
      </c>
      <c r="K40" s="328">
        <f>IF(Project_Size&gt;119,ROUNDUP(IF(K34&gt;0,Project_Size/(K$37*(1+$B40)),0),0),0)</f>
        <v>0</v>
      </c>
      <c r="L40" s="953" cm="1">
        <f t="array" ref="L40">IF(Project_Size&lt;(L37*(1+B39)),1,IF(Project_Size&lt;(L37*2*(1+B39)),2,0))</f>
        <v>0</v>
      </c>
      <c r="M40" s="328">
        <f>IF(Project_Size&gt;179,ROUNDUP(IF(M34&gt;0,Project_Size/(M$37*(1+$B40)),0),0),0)</f>
        <v>0</v>
      </c>
      <c r="N40" s="328">
        <f>IF(Project_Size&gt;240,ROUNDUP(IF(N34&gt;0,Project_Size/(N$37*(1+$B40)),0),0),0)</f>
        <v>0</v>
      </c>
      <c r="O40" s="328"/>
      <c r="P40" s="328"/>
      <c r="Q40" s="328">
        <f>IF(Project_Size&gt;130,ROUNDUP(IF(Q34&gt;0,Project_Size/(Q$37*(1+$B40)),0),0),0)</f>
        <v>4</v>
      </c>
      <c r="R40" s="328">
        <f>IF(Project_Size&gt;130,ROUNDUP(IF(R34&gt;0,Project_Size/(R$37*(1+$B40)),0),0),0)</f>
        <v>0</v>
      </c>
      <c r="T40" s="1550"/>
      <c r="U40" s="697"/>
      <c r="AM40" s="255"/>
      <c r="AP40" s="255"/>
      <c r="AS40" s="255"/>
    </row>
    <row r="41" spans="1:46" ht="14" outlineLevel="1" thickBot="1">
      <c r="A41" s="320"/>
      <c r="B41" s="330"/>
      <c r="C41" s="331"/>
      <c r="D41" s="331"/>
      <c r="E41" s="331"/>
      <c r="F41" s="331"/>
      <c r="G41" s="331"/>
      <c r="H41" s="331"/>
      <c r="I41" s="331"/>
      <c r="J41" s="331"/>
      <c r="K41" s="331"/>
      <c r="L41" s="331"/>
      <c r="M41" s="331"/>
      <c r="N41" s="332"/>
      <c r="O41" s="332"/>
      <c r="P41" s="332"/>
      <c r="Q41" s="332"/>
      <c r="R41" s="332"/>
      <c r="AM41" s="255"/>
      <c r="AP41" s="255"/>
      <c r="AS41" s="255"/>
    </row>
    <row r="42" spans="1:46" ht="14" outlineLevel="1" thickBot="1">
      <c r="A42" s="1545" t="s">
        <v>364</v>
      </c>
      <c r="B42" s="1546"/>
      <c r="C42" s="1546"/>
      <c r="D42" s="1546"/>
      <c r="E42" s="1546"/>
      <c r="F42" s="1546"/>
      <c r="G42" s="1546"/>
      <c r="H42" s="1546"/>
      <c r="I42" s="1546"/>
      <c r="J42" s="1546"/>
      <c r="K42" s="1546"/>
      <c r="L42" s="1546"/>
      <c r="M42" s="1546"/>
      <c r="N42" s="1546"/>
      <c r="O42" s="1546"/>
      <c r="P42" s="1546"/>
      <c r="Q42" s="1546"/>
      <c r="R42" s="1547"/>
      <c r="AN42" s="255"/>
      <c r="AQ42" s="255"/>
      <c r="AT42" s="255"/>
    </row>
    <row r="43" spans="1:46" ht="16.5" customHeight="1" outlineLevel="1">
      <c r="A43" s="333" t="s">
        <v>365</v>
      </c>
      <c r="B43" s="334"/>
      <c r="C43" s="721" t="s">
        <v>335</v>
      </c>
      <c r="D43" s="722"/>
      <c r="E43" s="722"/>
      <c r="F43" s="722"/>
      <c r="G43" s="722"/>
      <c r="H43" s="722"/>
      <c r="I43" s="722"/>
      <c r="J43" s="722"/>
      <c r="K43" s="722"/>
      <c r="L43" s="722"/>
      <c r="M43" s="722"/>
      <c r="N43" s="723"/>
      <c r="O43" s="723"/>
      <c r="P43" s="723"/>
      <c r="Q43" s="723"/>
      <c r="R43" s="723"/>
      <c r="AN43" s="255"/>
      <c r="AQ43" s="255"/>
      <c r="AT43" s="255"/>
    </row>
    <row r="44" spans="1:46" outlineLevel="1">
      <c r="A44" s="315" t="s">
        <v>160</v>
      </c>
      <c r="B44" s="317"/>
      <c r="C44" s="321">
        <f t="shared" ref="C44:J44" si="13">IF(C38&gt;0,C38*C32+$B$32*(Module_Quantity/2),0)</f>
        <v>0</v>
      </c>
      <c r="D44" s="321">
        <f t="shared" si="13"/>
        <v>0</v>
      </c>
      <c r="E44" s="321">
        <f t="shared" si="13"/>
        <v>0</v>
      </c>
      <c r="F44" s="321">
        <f t="shared" si="13"/>
        <v>0</v>
      </c>
      <c r="G44" s="321">
        <f t="shared" si="13"/>
        <v>0</v>
      </c>
      <c r="H44" s="321">
        <f t="shared" si="13"/>
        <v>0</v>
      </c>
      <c r="I44" s="321">
        <f t="shared" si="13"/>
        <v>0</v>
      </c>
      <c r="J44" s="321">
        <f t="shared" si="13"/>
        <v>0</v>
      </c>
      <c r="K44" s="321">
        <f>K38*K32</f>
        <v>0</v>
      </c>
      <c r="L44" s="321">
        <f>L38*L32</f>
        <v>0</v>
      </c>
      <c r="M44" s="321">
        <f>IF(M38&gt;0,M38*M32+$B$32*(Module_Quantity/2),0)</f>
        <v>0</v>
      </c>
      <c r="N44" s="335">
        <f>IF(N38&gt;0,N38*N32+$B$32*(Module_Quantity/2),0)</f>
        <v>0</v>
      </c>
      <c r="O44" s="335"/>
      <c r="P44" s="335"/>
      <c r="Q44" s="335">
        <f>IF(Q38&gt;0,Q38*Q32+$B$32*(Module_Quantity/2),0)</f>
        <v>846274</v>
      </c>
      <c r="R44" s="335">
        <f>IF(R38&gt;0,R38*R32+$B$32*(Module_Quantity/2),0)</f>
        <v>0</v>
      </c>
      <c r="AN44" s="255"/>
      <c r="AQ44" s="255"/>
      <c r="AT44" s="255"/>
    </row>
    <row r="45" spans="1:46" outlineLevel="1">
      <c r="A45" s="315" t="s">
        <v>158</v>
      </c>
      <c r="B45" s="317"/>
      <c r="C45" s="321">
        <f t="shared" ref="C45:J45" si="14">C39*C33</f>
        <v>0</v>
      </c>
      <c r="D45" s="321">
        <f t="shared" si="14"/>
        <v>0</v>
      </c>
      <c r="E45" s="321">
        <f t="shared" si="14"/>
        <v>0</v>
      </c>
      <c r="F45" s="321">
        <f t="shared" si="14"/>
        <v>0</v>
      </c>
      <c r="G45" s="321">
        <f>G39*G33</f>
        <v>0</v>
      </c>
      <c r="H45" s="321">
        <f t="shared" si="14"/>
        <v>0</v>
      </c>
      <c r="I45" s="321">
        <f t="shared" si="14"/>
        <v>0</v>
      </c>
      <c r="J45" s="321">
        <f t="shared" si="14"/>
        <v>0</v>
      </c>
      <c r="K45" s="321">
        <f>K39*K33</f>
        <v>0</v>
      </c>
      <c r="L45" s="321">
        <f>L39*L33</f>
        <v>640000</v>
      </c>
      <c r="M45" s="321">
        <f>M39*M33</f>
        <v>0</v>
      </c>
      <c r="N45" s="336">
        <f>N39*N33</f>
        <v>0</v>
      </c>
      <c r="O45" s="336"/>
      <c r="P45" s="336"/>
      <c r="Q45" s="336">
        <f t="shared" ref="Q45:R45" si="15">Q39*Q33</f>
        <v>0</v>
      </c>
      <c r="R45" s="336">
        <f t="shared" si="15"/>
        <v>320000</v>
      </c>
      <c r="AN45" s="255"/>
      <c r="AQ45" s="255"/>
      <c r="AT45" s="255"/>
    </row>
    <row r="46" spans="1:46" ht="14" outlineLevel="1" thickBot="1">
      <c r="A46" s="315" t="s">
        <v>159</v>
      </c>
      <c r="B46" s="317"/>
      <c r="C46" s="321">
        <f>C40*C34+C40*2*2450</f>
        <v>0</v>
      </c>
      <c r="D46" s="321">
        <f>D40*D34</f>
        <v>0</v>
      </c>
      <c r="E46" s="321">
        <f>E40*E34+E40*2*2450</f>
        <v>0</v>
      </c>
      <c r="F46" s="321">
        <f>F40*F34</f>
        <v>0</v>
      </c>
      <c r="G46" s="321">
        <f>G40*G34</f>
        <v>0</v>
      </c>
      <c r="H46" s="321">
        <f>H40*H34</f>
        <v>0</v>
      </c>
      <c r="I46" s="321">
        <f>I40*I34</f>
        <v>0</v>
      </c>
      <c r="J46" s="321">
        <f>J40*J34+J40*2*2450</f>
        <v>0</v>
      </c>
      <c r="K46" s="321">
        <f>K40*K34+K40*2*2450</f>
        <v>0</v>
      </c>
      <c r="L46" s="321">
        <f>L40*L34</f>
        <v>0</v>
      </c>
      <c r="M46" s="321">
        <f>M40*M34</f>
        <v>0</v>
      </c>
      <c r="N46" s="336">
        <f>N40*N34</f>
        <v>0</v>
      </c>
      <c r="O46" s="336"/>
      <c r="P46" s="336"/>
      <c r="Q46" s="336">
        <f t="shared" ref="Q46:R46" si="16">Q40*Q34</f>
        <v>280000</v>
      </c>
      <c r="R46" s="336">
        <f t="shared" si="16"/>
        <v>0</v>
      </c>
      <c r="AN46" s="255"/>
      <c r="AQ46" s="255"/>
      <c r="AT46" s="255"/>
    </row>
    <row r="47" spans="1:46" ht="14" outlineLevel="1" thickBot="1">
      <c r="A47" s="337"/>
      <c r="B47" s="338" t="s">
        <v>366</v>
      </c>
      <c r="C47" s="339">
        <f t="shared" ref="C47:N47" si="17">IF(ISNUMBER(SMALL(C44:C46,COUNTIF(C44:C46,0)+1)),SMALL(C44:C46,COUNTIF(C44:C46,0)+1),0)</f>
        <v>0</v>
      </c>
      <c r="D47" s="339">
        <f t="shared" si="17"/>
        <v>0</v>
      </c>
      <c r="E47" s="339">
        <f t="shared" si="17"/>
        <v>0</v>
      </c>
      <c r="F47" s="339">
        <f t="shared" si="17"/>
        <v>0</v>
      </c>
      <c r="G47" s="339">
        <f t="shared" si="17"/>
        <v>0</v>
      </c>
      <c r="H47" s="339">
        <f t="shared" si="17"/>
        <v>0</v>
      </c>
      <c r="I47" s="339">
        <f t="shared" si="17"/>
        <v>0</v>
      </c>
      <c r="J47" s="339">
        <f t="shared" si="17"/>
        <v>0</v>
      </c>
      <c r="K47" s="339">
        <f t="shared" si="17"/>
        <v>0</v>
      </c>
      <c r="L47" s="339">
        <f t="shared" si="17"/>
        <v>640000</v>
      </c>
      <c r="M47" s="339">
        <f t="shared" si="17"/>
        <v>0</v>
      </c>
      <c r="N47" s="340">
        <f t="shared" si="17"/>
        <v>0</v>
      </c>
      <c r="O47" s="340"/>
      <c r="P47" s="340"/>
      <c r="Q47" s="340">
        <f t="shared" ref="Q47:R47" si="18">IF(ISNUMBER(SMALL(Q44:Q46,COUNTIF(Q44:Q46,0)+1)),SMALL(Q44:Q46,COUNTIF(Q44:Q46,0)+1),0)</f>
        <v>280000</v>
      </c>
      <c r="R47" s="340">
        <f t="shared" si="18"/>
        <v>320000</v>
      </c>
      <c r="AN47" s="255"/>
      <c r="AQ47" s="255"/>
      <c r="AT47" s="255"/>
    </row>
    <row r="48" spans="1:46" outlineLevel="1">
      <c r="A48" s="1551" t="s">
        <v>367</v>
      </c>
      <c r="B48" s="1552"/>
      <c r="C48" s="341" t="b">
        <f t="shared" ref="C48:N48" si="19">IF(C47&gt;0,INDEX($A$44:$A$46,MATCH(C47,C44:C46,0)))</f>
        <v>0</v>
      </c>
      <c r="D48" s="341" t="b">
        <f t="shared" si="19"/>
        <v>0</v>
      </c>
      <c r="E48" s="341" t="b">
        <f t="shared" si="19"/>
        <v>0</v>
      </c>
      <c r="F48" s="341" t="b">
        <f t="shared" si="19"/>
        <v>0</v>
      </c>
      <c r="G48" s="341" t="b">
        <f t="shared" si="19"/>
        <v>0</v>
      </c>
      <c r="H48" s="341" t="b">
        <f t="shared" si="19"/>
        <v>0</v>
      </c>
      <c r="I48" s="341" t="b">
        <f t="shared" si="19"/>
        <v>0</v>
      </c>
      <c r="J48" s="341" t="b">
        <f t="shared" si="19"/>
        <v>0</v>
      </c>
      <c r="K48" s="341" t="b">
        <f t="shared" si="19"/>
        <v>0</v>
      </c>
      <c r="L48" s="341" t="str">
        <f t="shared" si="19"/>
        <v>SMA</v>
      </c>
      <c r="M48" s="341" t="b">
        <f t="shared" si="19"/>
        <v>0</v>
      </c>
      <c r="N48" s="342" t="b">
        <f t="shared" si="19"/>
        <v>0</v>
      </c>
      <c r="O48" s="342"/>
      <c r="P48" s="342"/>
      <c r="Q48" s="342" t="str">
        <f t="shared" ref="Q48:R48" si="20">IF(Q47&gt;0,INDEX($A$44:$A$46,MATCH(Q47,Q44:Q46,0)))</f>
        <v>Huawei</v>
      </c>
      <c r="R48" s="342" t="str">
        <f t="shared" si="20"/>
        <v>SMA</v>
      </c>
      <c r="AN48" s="255"/>
      <c r="AQ48" s="255"/>
      <c r="AT48" s="255"/>
    </row>
    <row r="49" spans="1:46" ht="14" outlineLevel="1" thickBot="1">
      <c r="A49" s="320"/>
      <c r="B49" s="317"/>
      <c r="C49" s="317"/>
      <c r="D49" s="317"/>
      <c r="E49" s="317"/>
      <c r="F49" s="317"/>
      <c r="G49" s="317"/>
      <c r="H49" s="317"/>
      <c r="I49" s="317"/>
      <c r="J49" s="317"/>
      <c r="K49" s="317"/>
      <c r="L49" s="317"/>
      <c r="M49" s="317"/>
      <c r="N49" s="343"/>
      <c r="O49" s="343"/>
      <c r="P49" s="343"/>
      <c r="Q49" s="343"/>
      <c r="R49" s="343"/>
      <c r="AN49" s="255"/>
      <c r="AQ49" s="255"/>
      <c r="AT49" s="255"/>
    </row>
    <row r="50" spans="1:46" ht="14" outlineLevel="1" thickBot="1">
      <c r="A50" s="1545" t="s">
        <v>368</v>
      </c>
      <c r="B50" s="1546"/>
      <c r="C50" s="1546"/>
      <c r="D50" s="1546"/>
      <c r="E50" s="1546"/>
      <c r="F50" s="1546"/>
      <c r="G50" s="1546"/>
      <c r="H50" s="1546"/>
      <c r="I50" s="1546"/>
      <c r="J50" s="1546"/>
      <c r="K50" s="1546"/>
      <c r="L50" s="1546"/>
      <c r="M50" s="1546"/>
      <c r="N50" s="1546"/>
      <c r="O50" s="1546"/>
      <c r="P50" s="1546"/>
      <c r="Q50" s="1546"/>
      <c r="R50" s="1547"/>
      <c r="AN50" s="255"/>
      <c r="AQ50" s="255"/>
      <c r="AT50" s="255"/>
    </row>
    <row r="51" spans="1:46" outlineLevel="1">
      <c r="A51" s="344" t="s">
        <v>369</v>
      </c>
      <c r="B51" s="309" t="s">
        <v>370</v>
      </c>
      <c r="C51" s="309" t="s">
        <v>371</v>
      </c>
      <c r="D51" s="309" t="s">
        <v>372</v>
      </c>
      <c r="E51" s="309" t="s">
        <v>373</v>
      </c>
      <c r="F51" s="317"/>
      <c r="G51" s="317"/>
      <c r="H51" s="317"/>
      <c r="I51" s="317"/>
      <c r="J51" s="317"/>
      <c r="K51" s="317"/>
      <c r="L51" s="317"/>
      <c r="M51" s="317"/>
      <c r="N51" s="343"/>
      <c r="O51" s="343"/>
      <c r="P51" s="343"/>
      <c r="Q51" s="343"/>
      <c r="R51" s="343"/>
      <c r="AN51" s="255"/>
      <c r="AQ51" s="255"/>
      <c r="AT51" s="255"/>
    </row>
    <row r="52" spans="1:46" outlineLevel="1">
      <c r="A52" s="315" t="s">
        <v>160</v>
      </c>
      <c r="B52" s="321" cm="1">
        <f t="array" ref="B52">MIN(IF(C44:R44&gt;0,$C$44:$R$44))</f>
        <v>846274</v>
      </c>
      <c r="C52" s="345">
        <f>INDEX($C$37:$R$37,1,MATCH(B52,C44:R44,0))</f>
        <v>100</v>
      </c>
      <c r="D52" s="317">
        <f>INDEX(C38:R38,1,MATCH(B52,C44:R44,0))</f>
        <v>4</v>
      </c>
      <c r="E52" s="317">
        <f>IF('Costing Inputs'!M9=TRUE,1,0)</f>
        <v>0</v>
      </c>
      <c r="F52" s="317"/>
      <c r="G52" s="317"/>
      <c r="H52" s="317"/>
      <c r="I52" s="317"/>
      <c r="J52" s="317"/>
      <c r="K52" s="317"/>
      <c r="L52" s="317"/>
      <c r="M52" s="317"/>
      <c r="N52" s="343"/>
      <c r="O52" s="343"/>
      <c r="P52" s="343"/>
      <c r="Q52" s="343"/>
      <c r="R52" s="343"/>
      <c r="AN52" s="255"/>
      <c r="AQ52" s="255"/>
      <c r="AT52" s="255"/>
    </row>
    <row r="53" spans="1:46" outlineLevel="1">
      <c r="A53" s="315" t="s">
        <v>158</v>
      </c>
      <c r="B53" s="321" cm="1">
        <f t="array" ref="B53">MIN(IF(C45:R45&gt;0,$C$45:$R$45))</f>
        <v>320000</v>
      </c>
      <c r="C53" s="345">
        <f>INDEX($C$37:$R$37,1,MATCH(B53,C45:R45,0))</f>
        <v>110</v>
      </c>
      <c r="D53" s="317">
        <f>INDEX(C39:R39,1,MATCH(B53,C45:R45,0))</f>
        <v>4</v>
      </c>
      <c r="E53" s="317">
        <f>IF('Costing Inputs'!E9=TRUE,1,0)</f>
        <v>0</v>
      </c>
      <c r="F53" s="317"/>
      <c r="G53" s="317"/>
      <c r="H53" s="317"/>
      <c r="I53" s="317"/>
      <c r="J53" s="317"/>
      <c r="K53" s="317"/>
      <c r="L53" s="317"/>
      <c r="M53" s="317"/>
      <c r="N53" s="343"/>
      <c r="O53" s="343"/>
      <c r="P53" s="343"/>
      <c r="Q53" s="343"/>
      <c r="R53" s="343"/>
      <c r="AN53" s="255"/>
      <c r="AQ53" s="255"/>
      <c r="AT53" s="255"/>
    </row>
    <row r="54" spans="1:46" ht="14" outlineLevel="1" thickBot="1">
      <c r="A54" s="318" t="s">
        <v>159</v>
      </c>
      <c r="B54" s="321" cm="1">
        <f t="array" ref="B54">MIN(IF(C46:R46&gt;0,$C$46:$R$46))</f>
        <v>280000</v>
      </c>
      <c r="C54" s="345">
        <f>INDEX($C$37:$R$37,1,MATCH(B54,C46:R46,0))</f>
        <v>100</v>
      </c>
      <c r="D54" s="317">
        <f>INDEX(C40:R40,1,MATCH(B54,C46:R46,0))</f>
        <v>4</v>
      </c>
      <c r="E54" s="317">
        <f>IF('Costing Inputs'!I9=TRUE,1,0)</f>
        <v>0</v>
      </c>
      <c r="F54" s="317"/>
      <c r="G54" s="317"/>
      <c r="H54" s="317"/>
      <c r="I54" s="317"/>
      <c r="J54" s="317"/>
      <c r="K54" s="317"/>
      <c r="L54" s="317"/>
      <c r="M54" s="317"/>
      <c r="N54" s="343"/>
      <c r="O54" s="343"/>
      <c r="P54" s="343"/>
      <c r="Q54" s="343"/>
      <c r="R54" s="343"/>
      <c r="AN54" s="255"/>
      <c r="AQ54" s="255"/>
      <c r="AT54" s="255"/>
    </row>
    <row r="55" spans="1:46" ht="14" outlineLevel="1" thickBot="1">
      <c r="A55" s="346" t="str">
        <f>INDEX(C47:R48,2,MATCH(B55,C47:R47,0))</f>
        <v>Huawei</v>
      </c>
      <c r="B55" s="347" cm="1">
        <f t="array" ref="B55">MIN(IF(C47:R47&gt;0,C47:R47))</f>
        <v>280000</v>
      </c>
      <c r="C55" s="348">
        <f>INDEX(C37:R37,1,MATCH(B55,C47:R47,0))</f>
        <v>100</v>
      </c>
      <c r="D55" s="317">
        <f>INDEX(D52:D54,MATCH(A55,A52:A54,0),0)</f>
        <v>4</v>
      </c>
      <c r="E55" s="317">
        <f>IF('Costing Inputs'!M17=TRUE,1,0)</f>
        <v>1</v>
      </c>
      <c r="F55" s="317" t="s">
        <v>374</v>
      </c>
      <c r="G55" s="317"/>
      <c r="H55" s="317"/>
      <c r="I55" s="317"/>
      <c r="J55" s="317"/>
      <c r="K55" s="317"/>
      <c r="L55" s="317"/>
      <c r="M55" s="317"/>
      <c r="N55" s="343"/>
      <c r="O55" s="343"/>
      <c r="P55" s="343"/>
      <c r="Q55" s="343"/>
      <c r="R55" s="343"/>
      <c r="AN55" s="255"/>
      <c r="AQ55" s="255"/>
      <c r="AT55" s="255"/>
    </row>
    <row r="56" spans="1:46" ht="14" outlineLevel="1" thickBot="1">
      <c r="A56" s="338" t="str">
        <f>INDEX(A52:A55,MATCH(1,E52:E55,0),1)</f>
        <v>Huawei</v>
      </c>
      <c r="B56" s="339">
        <f>INDEX(B52:B54,MATCH(A56,A52:A54,0),0)</f>
        <v>280000</v>
      </c>
      <c r="C56" s="349">
        <f>INDEX(C52:C54,MATCH(B56,B52:B54,0),0)</f>
        <v>100</v>
      </c>
      <c r="D56" s="317">
        <f>INDEX(D52:D54,MATCH(B56,B52:B54,0),0)</f>
        <v>4</v>
      </c>
      <c r="E56" s="317"/>
      <c r="F56" s="317" t="s">
        <v>375</v>
      </c>
      <c r="G56" s="317"/>
      <c r="H56" s="317"/>
      <c r="I56" s="317"/>
      <c r="J56" s="317"/>
      <c r="K56" s="317"/>
      <c r="L56" s="317"/>
      <c r="M56" s="317"/>
      <c r="N56" s="343"/>
      <c r="O56" s="343"/>
      <c r="P56" s="343"/>
      <c r="Q56" s="343"/>
      <c r="R56" s="343"/>
      <c r="AN56" s="255"/>
      <c r="AQ56" s="255"/>
      <c r="AT56" s="255"/>
    </row>
    <row r="57" spans="1:46" ht="14" outlineLevel="1" thickBot="1">
      <c r="A57" s="337"/>
      <c r="B57" s="350"/>
      <c r="C57" s="351"/>
      <c r="D57" s="352"/>
      <c r="E57" s="353">
        <v>125000</v>
      </c>
      <c r="F57" s="353"/>
      <c r="G57" s="353"/>
      <c r="H57" s="353"/>
      <c r="I57" s="353"/>
      <c r="J57" s="353"/>
      <c r="K57" s="353"/>
      <c r="L57" s="353"/>
      <c r="M57" s="353"/>
      <c r="N57" s="354"/>
      <c r="O57" s="354"/>
      <c r="P57" s="354"/>
      <c r="Q57" s="354"/>
      <c r="R57" s="354"/>
      <c r="AN57" s="255"/>
      <c r="AQ57" s="255"/>
      <c r="AT57" s="255"/>
    </row>
    <row r="58" spans="1:46">
      <c r="B58" s="355"/>
      <c r="C58" s="356"/>
      <c r="D58" s="257"/>
      <c r="AN58" s="255"/>
      <c r="AQ58" s="255"/>
      <c r="AT58" s="255"/>
    </row>
    <row r="59" spans="1:46">
      <c r="B59" s="355"/>
      <c r="C59" s="356"/>
      <c r="D59" s="257"/>
      <c r="AN59" s="255"/>
      <c r="AQ59" s="255"/>
      <c r="AT59" s="255"/>
    </row>
    <row r="60" spans="1:46" ht="14" thickBot="1">
      <c r="A60" s="260" t="s">
        <v>376</v>
      </c>
      <c r="C60" s="257"/>
      <c r="E60" s="257"/>
      <c r="F60" s="257"/>
      <c r="G60" s="257"/>
      <c r="H60" s="257"/>
      <c r="I60" s="257"/>
      <c r="J60" s="257"/>
      <c r="K60" s="257"/>
      <c r="L60" s="257"/>
      <c r="M60" s="257"/>
      <c r="N60" s="257"/>
      <c r="O60" s="257"/>
      <c r="P60" s="257"/>
      <c r="Q60" s="257"/>
      <c r="R60" s="257"/>
      <c r="S60" s="257"/>
      <c r="T60" s="257"/>
      <c r="U60" s="257"/>
      <c r="V60" s="257"/>
      <c r="W60" s="257"/>
      <c r="X60" s="257"/>
      <c r="Y60" s="257"/>
      <c r="Z60" s="257"/>
      <c r="AA60" s="257"/>
      <c r="AB60" s="257"/>
      <c r="AC60" s="257"/>
      <c r="AD60" s="257"/>
      <c r="AE60" s="257"/>
      <c r="AF60" s="257"/>
      <c r="AG60" s="257"/>
      <c r="AH60" s="257"/>
      <c r="AI60" s="257"/>
      <c r="AJ60" s="357"/>
      <c r="AM60" s="255"/>
      <c r="AP60" s="255"/>
      <c r="AS60" s="255"/>
    </row>
    <row r="61" spans="1:46" ht="14" outlineLevel="1" thickBot="1">
      <c r="A61" s="358"/>
      <c r="B61" s="359" t="str">
        <f>'Ref 1'!$L$23</f>
        <v>Pitch Roof</v>
      </c>
      <c r="C61" s="360" t="str">
        <f>'Ref 1'!$L$23</f>
        <v>Pitch Roof</v>
      </c>
      <c r="D61" s="360" t="str">
        <f>'Ref 1'!$L$23</f>
        <v>Pitch Roof</v>
      </c>
      <c r="E61" s="360" t="str">
        <f>'Ref 1'!$L$23</f>
        <v>Pitch Roof</v>
      </c>
      <c r="F61" s="360" t="str">
        <f>'Ref 1'!$L$23</f>
        <v>Pitch Roof</v>
      </c>
      <c r="G61" s="360" t="str">
        <f>'Ref 1'!$L$23</f>
        <v>Pitch Roof</v>
      </c>
      <c r="H61" s="361" t="str">
        <f>'Ref 1'!$L$23</f>
        <v>Pitch Roof</v>
      </c>
      <c r="I61" s="359" t="str">
        <f>'Ref 1'!$L$24</f>
        <v>Flat Roof</v>
      </c>
      <c r="J61" s="360" t="str">
        <f>'Ref 1'!$L$24</f>
        <v>Flat Roof</v>
      </c>
      <c r="K61" s="360"/>
      <c r="L61" s="360" t="str">
        <f>'Ref 1'!$L$24</f>
        <v>Flat Roof</v>
      </c>
      <c r="M61" s="360" t="s">
        <v>17</v>
      </c>
      <c r="N61" s="674" t="str">
        <f>'Ref 1'!$L$24</f>
        <v>Flat Roof</v>
      </c>
      <c r="O61" s="674"/>
      <c r="P61" s="674"/>
      <c r="Q61" s="360" t="str">
        <f>'Ref 1'!$L$24</f>
        <v>Flat Roof</v>
      </c>
      <c r="R61" s="360" t="str">
        <f>'Ref 1'!$L$24</f>
        <v>Flat Roof</v>
      </c>
      <c r="S61" s="818"/>
      <c r="T61" s="361" t="str">
        <f>'Ref 1'!$L$24</f>
        <v>Flat Roof</v>
      </c>
      <c r="U61" s="362" t="str">
        <f>'Ref 1'!L25</f>
        <v>Carport</v>
      </c>
      <c r="V61" s="362" t="str">
        <f>'Ref 1'!L26</f>
        <v>Ground Mount</v>
      </c>
      <c r="W61" s="363"/>
      <c r="X61" s="364"/>
      <c r="Y61" s="364"/>
      <c r="Z61" s="364"/>
      <c r="AA61" s="364"/>
      <c r="AB61" s="364"/>
      <c r="AC61" s="364"/>
      <c r="AD61" s="364"/>
      <c r="AE61" s="364"/>
      <c r="AF61" s="364"/>
      <c r="AG61" s="364"/>
      <c r="AH61" s="364"/>
      <c r="AI61" s="364"/>
    </row>
    <row r="62" spans="1:46" outlineLevel="1">
      <c r="A62" s="365"/>
      <c r="B62" s="366" t="s">
        <v>19</v>
      </c>
      <c r="C62" s="367" t="s">
        <v>377</v>
      </c>
      <c r="D62" s="367" t="s">
        <v>378</v>
      </c>
      <c r="E62" s="367" t="s">
        <v>379</v>
      </c>
      <c r="F62" s="367" t="s">
        <v>380</v>
      </c>
      <c r="G62" s="367" t="s">
        <v>381</v>
      </c>
      <c r="H62" s="368" t="s">
        <v>382</v>
      </c>
      <c r="I62" s="366" t="s">
        <v>19</v>
      </c>
      <c r="J62" s="367" t="s">
        <v>377</v>
      </c>
      <c r="K62" s="367"/>
      <c r="L62" s="367" t="s">
        <v>378</v>
      </c>
      <c r="M62" s="367" t="s">
        <v>383</v>
      </c>
      <c r="N62" s="675" t="s">
        <v>383</v>
      </c>
      <c r="O62" s="675"/>
      <c r="P62" s="675"/>
      <c r="Q62" s="367" t="s">
        <v>380</v>
      </c>
      <c r="R62" s="367" t="s">
        <v>381</v>
      </c>
      <c r="S62" s="819"/>
      <c r="T62" s="368" t="s">
        <v>382</v>
      </c>
      <c r="U62" s="369" t="str">
        <f>'Ref 1'!L25</f>
        <v>Carport</v>
      </c>
      <c r="V62" s="369" t="str">
        <f>'Ref 1'!L26</f>
        <v>Ground Mount</v>
      </c>
      <c r="W62" s="370"/>
    </row>
    <row r="63" spans="1:46" ht="14.5" outlineLevel="1">
      <c r="A63" s="371" t="s">
        <v>384</v>
      </c>
      <c r="B63" s="372">
        <v>0.45</v>
      </c>
      <c r="C63" s="372">
        <v>0.92</v>
      </c>
      <c r="D63" s="372"/>
      <c r="E63" s="372"/>
      <c r="F63" s="372"/>
      <c r="G63" s="373">
        <v>0.4</v>
      </c>
      <c r="H63" s="372">
        <v>0.57999999999999996</v>
      </c>
      <c r="I63" s="372">
        <v>0.81299999999999994</v>
      </c>
      <c r="J63" s="372"/>
      <c r="K63" s="372"/>
      <c r="L63" s="372">
        <v>1.38</v>
      </c>
      <c r="M63" s="372">
        <v>1.38</v>
      </c>
      <c r="N63" s="372">
        <v>1.38</v>
      </c>
      <c r="O63" s="372"/>
      <c r="P63" s="372"/>
      <c r="Q63" s="372"/>
      <c r="R63" s="372">
        <v>1.38</v>
      </c>
      <c r="S63" s="372"/>
      <c r="T63" s="372">
        <v>1.38</v>
      </c>
      <c r="U63" s="374"/>
      <c r="V63" s="374">
        <v>1.1000000000000001</v>
      </c>
      <c r="W63" s="370"/>
    </row>
    <row r="64" spans="1:46" ht="14.5" outlineLevel="1">
      <c r="A64" s="371" t="s">
        <v>385</v>
      </c>
      <c r="B64" s="372"/>
      <c r="C64" s="372">
        <v>0.92</v>
      </c>
      <c r="D64" s="372"/>
      <c r="E64" s="372"/>
      <c r="F64" s="372"/>
      <c r="G64" s="373"/>
      <c r="H64" s="372"/>
      <c r="I64" s="372"/>
      <c r="J64" s="372">
        <v>2.4</v>
      </c>
      <c r="K64" s="372"/>
      <c r="L64" s="372">
        <v>2.15</v>
      </c>
      <c r="M64" s="372">
        <v>1.99</v>
      </c>
      <c r="N64" s="372">
        <v>1.99</v>
      </c>
      <c r="O64" s="372"/>
      <c r="P64" s="372"/>
      <c r="Q64" s="372">
        <v>1.99</v>
      </c>
      <c r="R64" s="372">
        <v>2.0299999999999998</v>
      </c>
      <c r="S64" s="372"/>
      <c r="T64" s="372"/>
      <c r="U64" s="374">
        <v>3.5</v>
      </c>
      <c r="V64" s="374">
        <v>1.68</v>
      </c>
      <c r="W64" s="370"/>
    </row>
    <row r="65" spans="1:31" ht="14.5" outlineLevel="1">
      <c r="A65" s="371" t="s">
        <v>386</v>
      </c>
      <c r="B65" s="262"/>
      <c r="C65" s="262">
        <v>1.2749999999999999</v>
      </c>
      <c r="D65" s="262">
        <v>0.76</v>
      </c>
      <c r="E65" s="262"/>
      <c r="F65" s="262"/>
      <c r="G65" s="375"/>
      <c r="H65" s="262"/>
      <c r="I65" s="262"/>
      <c r="J65" s="262">
        <v>1.81</v>
      </c>
      <c r="K65" s="262"/>
      <c r="L65" s="262">
        <v>1.44</v>
      </c>
      <c r="M65" s="262">
        <v>1.52</v>
      </c>
      <c r="N65" s="262">
        <v>1.52</v>
      </c>
      <c r="O65" s="262"/>
      <c r="P65" s="262"/>
      <c r="Q65" s="262"/>
      <c r="R65" s="262">
        <v>1.58</v>
      </c>
      <c r="S65" s="262"/>
      <c r="T65" s="262"/>
      <c r="U65" s="374"/>
      <c r="V65" s="374"/>
      <c r="W65" s="370"/>
    </row>
    <row r="66" spans="1:31" ht="14.5" outlineLevel="1">
      <c r="A66" s="371" t="s">
        <v>387</v>
      </c>
      <c r="B66" s="262">
        <v>0.45</v>
      </c>
      <c r="C66" s="262"/>
      <c r="D66" s="262"/>
      <c r="E66" s="262"/>
      <c r="F66" s="262"/>
      <c r="G66" s="375"/>
      <c r="H66" s="262"/>
      <c r="I66" s="262"/>
      <c r="J66" s="262"/>
      <c r="K66" s="262"/>
      <c r="L66" s="262"/>
      <c r="M66" s="262"/>
      <c r="N66" s="262"/>
      <c r="O66" s="262"/>
      <c r="P66" s="262"/>
      <c r="Q66" s="262"/>
      <c r="R66" s="262"/>
      <c r="S66" s="262"/>
      <c r="T66" s="262"/>
      <c r="U66" s="374">
        <v>3.1</v>
      </c>
      <c r="V66" s="374"/>
      <c r="W66" s="370"/>
    </row>
    <row r="67" spans="1:31" ht="14.5" outlineLevel="1">
      <c r="A67" s="371" t="s">
        <v>388</v>
      </c>
      <c r="B67" s="262"/>
      <c r="C67" s="262">
        <v>0.86</v>
      </c>
      <c r="D67" s="262">
        <v>1.19</v>
      </c>
      <c r="E67" s="262"/>
      <c r="F67" s="262"/>
      <c r="G67" s="375"/>
      <c r="H67" s="262">
        <v>1.63</v>
      </c>
      <c r="I67" s="262"/>
      <c r="J67" s="262">
        <v>2.2000000000000002</v>
      </c>
      <c r="K67" s="262"/>
      <c r="L67" s="262">
        <v>2.04</v>
      </c>
      <c r="M67" s="262">
        <v>1.49</v>
      </c>
      <c r="N67" s="262">
        <v>1.49</v>
      </c>
      <c r="O67" s="262"/>
      <c r="P67" s="262"/>
      <c r="Q67" s="262">
        <v>2.52</v>
      </c>
      <c r="R67" s="262">
        <v>2.1800000000000002</v>
      </c>
      <c r="S67" s="262"/>
      <c r="T67" s="262">
        <v>2.62</v>
      </c>
      <c r="U67" s="374">
        <v>4.0999999999999996</v>
      </c>
      <c r="V67" s="374">
        <v>1.08</v>
      </c>
      <c r="W67" s="370"/>
    </row>
    <row r="68" spans="1:31" ht="15" outlineLevel="1" thickBot="1">
      <c r="A68" s="376" t="s">
        <v>389</v>
      </c>
      <c r="B68" s="262"/>
      <c r="C68" s="262">
        <v>1.06</v>
      </c>
      <c r="D68" s="262"/>
      <c r="E68" s="262">
        <v>0.83</v>
      </c>
      <c r="F68" s="262">
        <v>0.83</v>
      </c>
      <c r="G68" s="373"/>
      <c r="H68" s="262">
        <v>0.89</v>
      </c>
      <c r="I68" s="262"/>
      <c r="J68" s="262">
        <v>1.81</v>
      </c>
      <c r="K68" s="262"/>
      <c r="L68" s="262"/>
      <c r="M68" s="262">
        <v>1.51</v>
      </c>
      <c r="N68" s="262">
        <v>1.51</v>
      </c>
      <c r="O68" s="262"/>
      <c r="P68" s="262"/>
      <c r="Q68" s="262">
        <v>1.51</v>
      </c>
      <c r="R68" s="262">
        <v>1.56</v>
      </c>
      <c r="S68" s="262"/>
      <c r="T68" s="262">
        <v>1.64</v>
      </c>
      <c r="U68" s="377">
        <v>3.5</v>
      </c>
      <c r="V68" s="377">
        <v>1.1000000000000001</v>
      </c>
      <c r="W68" s="370"/>
    </row>
    <row r="69" spans="1:31" outlineLevel="1">
      <c r="A69" s="378" t="s">
        <v>390</v>
      </c>
      <c r="B69" s="379">
        <f t="shared" ref="B69:L69" si="21">MIN(B63:B68)</f>
        <v>0.45</v>
      </c>
      <c r="C69" s="380">
        <f t="shared" si="21"/>
        <v>0.86</v>
      </c>
      <c r="D69" s="380">
        <f t="shared" si="21"/>
        <v>0.76</v>
      </c>
      <c r="E69" s="380">
        <f t="shared" si="21"/>
        <v>0.83</v>
      </c>
      <c r="F69" s="380">
        <f t="shared" si="21"/>
        <v>0.83</v>
      </c>
      <c r="G69" s="380">
        <f t="shared" si="21"/>
        <v>0.4</v>
      </c>
      <c r="H69" s="381">
        <f t="shared" si="21"/>
        <v>0.57999999999999996</v>
      </c>
      <c r="I69" s="379">
        <f t="shared" si="21"/>
        <v>0.81299999999999994</v>
      </c>
      <c r="J69" s="380">
        <f t="shared" si="21"/>
        <v>1.81</v>
      </c>
      <c r="K69" s="380"/>
      <c r="L69" s="380">
        <f t="shared" si="21"/>
        <v>1.38</v>
      </c>
      <c r="M69" s="380">
        <f t="shared" ref="M69" si="22">MIN(M63:M68)</f>
        <v>1.38</v>
      </c>
      <c r="N69" s="380">
        <f t="shared" ref="N69:V69" si="23">MIN(N63:N68)</f>
        <v>1.38</v>
      </c>
      <c r="O69" s="380"/>
      <c r="P69" s="380"/>
      <c r="Q69" s="380">
        <f t="shared" si="23"/>
        <v>1.51</v>
      </c>
      <c r="R69" s="380">
        <f t="shared" si="23"/>
        <v>1.38</v>
      </c>
      <c r="S69" s="820"/>
      <c r="T69" s="381">
        <f t="shared" si="23"/>
        <v>1.38</v>
      </c>
      <c r="U69" s="382">
        <f t="shared" si="23"/>
        <v>3.1</v>
      </c>
      <c r="V69" s="382">
        <f t="shared" si="23"/>
        <v>1.08</v>
      </c>
      <c r="W69" s="370"/>
    </row>
    <row r="70" spans="1:31" outlineLevel="1">
      <c r="A70" s="383" t="s">
        <v>349</v>
      </c>
      <c r="B70" s="384">
        <f>IF(Mounting_Type='Supplier database'!B61,IF(Roof_Struc='Supplier database'!B62,1,0),0)</f>
        <v>1</v>
      </c>
      <c r="C70" s="385">
        <f>IF(Mounting_Type='Supplier database'!C61,IF(Roof_Struc='Supplier database'!C62,1,0),0)</f>
        <v>0</v>
      </c>
      <c r="D70" s="385">
        <f>IF(Mounting_Type='Supplier database'!D61,IF(Roof_Struc='Supplier database'!D62,1,0),0)</f>
        <v>0</v>
      </c>
      <c r="E70" s="385">
        <f>IF(Mounting_Type='Supplier database'!E61,IF(Roof_Struc='Supplier database'!E62,1,0),0)</f>
        <v>0</v>
      </c>
      <c r="F70" s="385">
        <f>IF(Mounting_Type='Supplier database'!F61,IF(Roof_Struc='Supplier database'!F62,1,0),0)</f>
        <v>0</v>
      </c>
      <c r="G70" s="385">
        <f>IF(Mounting_Type='Supplier database'!G61,IF(Roof_Struc='Supplier database'!G62,1,0),0)</f>
        <v>0</v>
      </c>
      <c r="H70" s="386">
        <f>IF(Mounting_Type='Supplier database'!H61,IF(Roof_Struc='Supplier database'!H62,1,0),0)</f>
        <v>0</v>
      </c>
      <c r="I70" s="384">
        <f>IF(Mounting_Type='Supplier database'!I61,IF(Roof_Struc='Supplier database'!I62,1,0),0)</f>
        <v>0</v>
      </c>
      <c r="J70" s="385">
        <f>IF(Mounting_Type='Supplier database'!J61,IF(Roof_Struc='Supplier database'!J62,1,0),0)</f>
        <v>0</v>
      </c>
      <c r="K70" s="385"/>
      <c r="L70" s="385">
        <f>IF(Mounting_Type='Supplier database'!L61,IF(Roof_Struc='Supplier database'!L62,1,0),0)</f>
        <v>0</v>
      </c>
      <c r="M70" s="385">
        <f>IF(Mounting_Type='Supplier database'!M61,IF(Roof_Struc='Supplier database'!M62,1,0),0)</f>
        <v>0</v>
      </c>
      <c r="N70" s="385">
        <f>IF(Mounting_Type='Supplier database'!N61,IF(Roof_Struc='Supplier database'!N62,1,0),0)</f>
        <v>0</v>
      </c>
      <c r="O70" s="385"/>
      <c r="P70" s="385"/>
      <c r="Q70" s="385">
        <f>IF(Mounting_Type='Supplier database'!Q61,IF(Roof_Struc='Supplier database'!Q62,1,0),0)</f>
        <v>0</v>
      </c>
      <c r="R70" s="385">
        <f>IF(Mounting_Type='Supplier database'!R61,IF(Roof_Struc='Supplier database'!R62,1,0),0)</f>
        <v>0</v>
      </c>
      <c r="S70" s="821"/>
      <c r="T70" s="386">
        <f>IF(Mounting_Type='Supplier database'!T61,IF(Roof_Struc='Supplier database'!T62,1,0),0)</f>
        <v>0</v>
      </c>
      <c r="U70" s="369">
        <f>IF(Mounting_Type='Supplier database'!U61,IF(Roof_Struc='Supplier database'!U62,1,0),0)</f>
        <v>0</v>
      </c>
      <c r="V70" s="369">
        <f>IF(Mounting_Type='Supplier database'!V61,IF(Roof_Struc='Supplier database'!V62,1,0),0)</f>
        <v>0</v>
      </c>
      <c r="W70" s="370"/>
    </row>
    <row r="71" spans="1:31" outlineLevel="1">
      <c r="A71" s="383" t="s">
        <v>350</v>
      </c>
      <c r="B71" s="384" t="str">
        <f>INDEX($A$63:$A$68,MATCH(B69,B63:B68,0))</f>
        <v>Lumax</v>
      </c>
      <c r="C71" s="385" t="str">
        <f t="shared" ref="C71:J71" si="24">INDEX($A$63:$A$68,MATCH(C69,C63:C68,0))</f>
        <v>Valsa</v>
      </c>
      <c r="D71" s="385" t="str">
        <f t="shared" si="24"/>
        <v>Preform</v>
      </c>
      <c r="E71" s="385" t="str">
        <f t="shared" si="24"/>
        <v>Rubicon</v>
      </c>
      <c r="F71" s="385" t="str">
        <f t="shared" si="24"/>
        <v>Rubicon</v>
      </c>
      <c r="G71" s="385" t="str">
        <f t="shared" si="24"/>
        <v>Lumax</v>
      </c>
      <c r="H71" s="386" t="str">
        <f t="shared" si="24"/>
        <v>Lumax</v>
      </c>
      <c r="I71" s="384" t="str">
        <f t="shared" si="24"/>
        <v>Lumax</v>
      </c>
      <c r="J71" s="385" t="str">
        <f t="shared" si="24"/>
        <v>Preform</v>
      </c>
      <c r="K71" s="385"/>
      <c r="L71" s="385" t="str">
        <f>INDEX($A$63:$A$68,MATCH(L69,L63:L68,0))</f>
        <v>Lumax</v>
      </c>
      <c r="M71" s="385" t="str">
        <f>INDEX($A$63:$A$68,MATCH(M69,M63:M68,0))</f>
        <v>Lumax</v>
      </c>
      <c r="N71" s="385" t="str">
        <f t="shared" ref="N71:V71" si="25">INDEX($A$63:$A$68,MATCH(N69,N63:N68,0))</f>
        <v>Lumax</v>
      </c>
      <c r="O71" s="385"/>
      <c r="P71" s="385"/>
      <c r="Q71" s="385" t="str">
        <f t="shared" si="25"/>
        <v>Rubicon</v>
      </c>
      <c r="R71" s="385" t="str">
        <f t="shared" si="25"/>
        <v>Lumax</v>
      </c>
      <c r="S71" s="821"/>
      <c r="T71" s="386" t="str">
        <f t="shared" si="25"/>
        <v>Lumax</v>
      </c>
      <c r="U71" s="369" t="str">
        <f t="shared" si="25"/>
        <v>Schletter</v>
      </c>
      <c r="V71" s="369" t="str">
        <f t="shared" si="25"/>
        <v>Valsa</v>
      </c>
      <c r="W71" s="370"/>
    </row>
    <row r="72" spans="1:31" ht="14" outlineLevel="1" thickBot="1">
      <c r="A72" s="387" t="s">
        <v>351</v>
      </c>
      <c r="B72" s="388">
        <f t="shared" ref="B72:L72" si="26">B69*B70</f>
        <v>0.45</v>
      </c>
      <c r="C72" s="389">
        <f t="shared" si="26"/>
        <v>0</v>
      </c>
      <c r="D72" s="389">
        <f t="shared" si="26"/>
        <v>0</v>
      </c>
      <c r="E72" s="389">
        <f t="shared" si="26"/>
        <v>0</v>
      </c>
      <c r="F72" s="389">
        <f t="shared" si="26"/>
        <v>0</v>
      </c>
      <c r="G72" s="389">
        <f t="shared" si="26"/>
        <v>0</v>
      </c>
      <c r="H72" s="390">
        <f t="shared" si="26"/>
        <v>0</v>
      </c>
      <c r="I72" s="388">
        <f t="shared" si="26"/>
        <v>0</v>
      </c>
      <c r="J72" s="389">
        <f t="shared" si="26"/>
        <v>0</v>
      </c>
      <c r="K72" s="389"/>
      <c r="L72" s="389">
        <f t="shared" si="26"/>
        <v>0</v>
      </c>
      <c r="M72" s="389">
        <f t="shared" ref="M72" si="27">M69*M70</f>
        <v>0</v>
      </c>
      <c r="N72" s="389">
        <f t="shared" ref="N72:V72" si="28">N69*N70</f>
        <v>0</v>
      </c>
      <c r="O72" s="389"/>
      <c r="P72" s="389"/>
      <c r="Q72" s="389">
        <f t="shared" si="28"/>
        <v>0</v>
      </c>
      <c r="R72" s="389">
        <f t="shared" si="28"/>
        <v>0</v>
      </c>
      <c r="S72" s="822"/>
      <c r="T72" s="390">
        <f t="shared" si="28"/>
        <v>0</v>
      </c>
      <c r="U72" s="391">
        <f t="shared" si="28"/>
        <v>0</v>
      </c>
      <c r="V72" s="391">
        <f t="shared" si="28"/>
        <v>0</v>
      </c>
      <c r="W72" s="370"/>
    </row>
    <row r="73" spans="1:31" ht="14" outlineLevel="1" thickBot="1">
      <c r="A73" s="365"/>
      <c r="B73" s="392"/>
      <c r="C73" s="392"/>
      <c r="D73" s="392"/>
      <c r="E73" s="392"/>
      <c r="F73" s="392"/>
      <c r="G73" s="392"/>
      <c r="H73" s="392"/>
      <c r="I73" s="392"/>
      <c r="J73" s="392"/>
      <c r="K73" s="392"/>
      <c r="L73" s="393"/>
      <c r="M73" s="393"/>
      <c r="N73" s="393"/>
      <c r="O73" s="393"/>
      <c r="P73" s="393"/>
      <c r="Q73" s="393"/>
      <c r="R73" s="392"/>
      <c r="S73" s="392"/>
      <c r="T73" s="392"/>
      <c r="U73" s="392"/>
      <c r="V73" s="392"/>
      <c r="W73" s="370"/>
    </row>
    <row r="74" spans="1:31" outlineLevel="1">
      <c r="A74" s="394" t="s">
        <v>350</v>
      </c>
      <c r="B74" s="395" t="str">
        <f>INDEX(B71:V71,MATCH(1,B70:V70,0))</f>
        <v>Lumax</v>
      </c>
      <c r="C74" s="392"/>
      <c r="D74" s="392"/>
      <c r="E74" s="392"/>
      <c r="F74" s="392"/>
      <c r="G74" s="392"/>
      <c r="H74" s="392"/>
      <c r="I74" s="392"/>
      <c r="J74" s="392"/>
      <c r="K74" s="392"/>
      <c r="L74" s="393"/>
      <c r="M74" s="393"/>
      <c r="N74" s="393"/>
      <c r="O74" s="393"/>
      <c r="P74" s="393"/>
      <c r="Q74" s="393"/>
      <c r="R74" s="392"/>
      <c r="S74" s="392"/>
      <c r="T74" s="392"/>
      <c r="U74" s="392"/>
      <c r="V74" s="392"/>
      <c r="W74" s="370"/>
    </row>
    <row r="75" spans="1:31" ht="14" outlineLevel="1" thickBot="1">
      <c r="A75" s="396" t="s">
        <v>352</v>
      </c>
      <c r="B75" s="397">
        <f>INDEX(B72:V72,MATCH(1,B70:V70,0))</f>
        <v>0.45</v>
      </c>
      <c r="C75" s="392"/>
      <c r="D75" s="392"/>
      <c r="E75" s="392"/>
      <c r="F75" s="392"/>
      <c r="G75" s="392"/>
      <c r="H75" s="392"/>
      <c r="I75" s="392"/>
      <c r="J75" s="392"/>
      <c r="K75" s="392"/>
      <c r="L75" s="393"/>
      <c r="M75" s="393"/>
      <c r="N75" s="393"/>
      <c r="O75" s="393"/>
      <c r="P75" s="393"/>
      <c r="Q75" s="393"/>
      <c r="R75" s="392"/>
      <c r="S75" s="392"/>
      <c r="T75" s="392"/>
      <c r="U75" s="392"/>
      <c r="V75" s="392"/>
      <c r="W75" s="370"/>
    </row>
    <row r="76" spans="1:31" ht="14" outlineLevel="1" thickBot="1">
      <c r="A76" s="398"/>
      <c r="B76" s="399"/>
      <c r="C76" s="399"/>
      <c r="D76" s="399"/>
      <c r="E76" s="399"/>
      <c r="F76" s="399"/>
      <c r="G76" s="399"/>
      <c r="H76" s="399"/>
      <c r="I76" s="399"/>
      <c r="J76" s="399"/>
      <c r="K76" s="399"/>
      <c r="L76" s="399"/>
      <c r="M76" s="399"/>
      <c r="N76" s="399"/>
      <c r="O76" s="399"/>
      <c r="P76" s="399"/>
      <c r="Q76" s="399"/>
      <c r="R76" s="399"/>
      <c r="S76" s="399"/>
      <c r="T76" s="399"/>
      <c r="U76" s="399"/>
      <c r="V76" s="399"/>
      <c r="W76" s="400"/>
    </row>
    <row r="77" spans="1:31">
      <c r="AC77" s="401"/>
      <c r="AD77" s="401"/>
      <c r="AE77" s="401"/>
    </row>
    <row r="78" spans="1:31">
      <c r="AC78" s="401"/>
      <c r="AD78" s="401"/>
      <c r="AE78" s="401"/>
    </row>
    <row r="79" spans="1:31">
      <c r="AC79" s="401"/>
      <c r="AD79" s="401"/>
      <c r="AE79" s="401"/>
    </row>
    <row r="80" spans="1:31">
      <c r="AC80" s="401"/>
      <c r="AD80" s="401"/>
      <c r="AE80" s="401"/>
    </row>
    <row r="81" spans="1:44">
      <c r="F81" s="357"/>
      <c r="AL81" s="255"/>
      <c r="AO81" s="255"/>
      <c r="AR81" s="255"/>
    </row>
    <row r="82" spans="1:44">
      <c r="A82" s="255" t="s">
        <v>391</v>
      </c>
      <c r="C82" s="6" t="s">
        <v>392</v>
      </c>
      <c r="D82" s="6" t="s">
        <v>393</v>
      </c>
      <c r="E82" s="357"/>
      <c r="F82" s="357"/>
      <c r="AL82" s="255"/>
      <c r="AO82" s="255"/>
      <c r="AR82" s="255"/>
    </row>
    <row r="83" spans="1:44">
      <c r="A83" s="402" t="s">
        <v>394</v>
      </c>
      <c r="B83" s="402" t="s">
        <v>395</v>
      </c>
      <c r="C83" s="402" t="s">
        <v>396</v>
      </c>
      <c r="D83" s="402" t="s">
        <v>396</v>
      </c>
      <c r="E83" s="402" t="s">
        <v>397</v>
      </c>
      <c r="F83" s="403"/>
      <c r="AL83" s="255"/>
      <c r="AO83" s="255"/>
      <c r="AR83" s="255"/>
    </row>
    <row r="84" spans="1:44">
      <c r="A84" s="262" t="s">
        <v>398</v>
      </c>
      <c r="B84" s="262" t="s">
        <v>235</v>
      </c>
      <c r="C84" s="17">
        <v>0.5</v>
      </c>
      <c r="D84" s="17">
        <v>1</v>
      </c>
      <c r="E84" s="16"/>
      <c r="F84" s="357"/>
      <c r="I84" s="834" t="s">
        <v>399</v>
      </c>
      <c r="J84" s="835">
        <v>0.3</v>
      </c>
      <c r="AL84" s="255"/>
      <c r="AO84" s="255"/>
      <c r="AR84" s="255"/>
    </row>
    <row r="85" spans="1:44">
      <c r="F85" s="357"/>
      <c r="AL85" s="255"/>
      <c r="AO85" s="255"/>
      <c r="AR85" s="255"/>
    </row>
    <row r="86" spans="1:44">
      <c r="A86" s="255" t="s">
        <v>265</v>
      </c>
      <c r="AL86" s="255"/>
      <c r="AO86" s="255"/>
      <c r="AR86" s="255"/>
    </row>
    <row r="87" spans="1:44">
      <c r="A87" s="402" t="s">
        <v>394</v>
      </c>
      <c r="B87" s="402" t="s">
        <v>395</v>
      </c>
      <c r="C87" s="404">
        <v>20</v>
      </c>
      <c r="D87" s="404">
        <v>32</v>
      </c>
      <c r="E87" s="404">
        <v>40</v>
      </c>
      <c r="F87" s="404">
        <v>50</v>
      </c>
      <c r="G87" s="404">
        <v>63</v>
      </c>
      <c r="H87" s="404">
        <v>100</v>
      </c>
      <c r="I87" s="404">
        <v>125</v>
      </c>
      <c r="J87" s="404">
        <v>160</v>
      </c>
      <c r="K87" s="404">
        <v>200</v>
      </c>
      <c r="L87" s="404">
        <v>250</v>
      </c>
      <c r="Q87" s="255" t="s">
        <v>400</v>
      </c>
      <c r="R87" s="255" t="s">
        <v>401</v>
      </c>
      <c r="S87" s="255"/>
      <c r="T87" s="6" t="s">
        <v>402</v>
      </c>
      <c r="AL87" s="255"/>
      <c r="AO87" s="255"/>
      <c r="AR87" s="255"/>
    </row>
    <row r="88" spans="1:44">
      <c r="A88" s="262" t="s">
        <v>403</v>
      </c>
      <c r="B88" s="262" t="s">
        <v>235</v>
      </c>
      <c r="C88" s="527">
        <f>1928*(1+$J$84)</f>
        <v>2506.4</v>
      </c>
      <c r="D88" s="527">
        <f t="shared" ref="D88:H88" si="29">1928*(1+$J$84)</f>
        <v>2506.4</v>
      </c>
      <c r="E88" s="527">
        <f t="shared" si="29"/>
        <v>2506.4</v>
      </c>
      <c r="F88" s="527">
        <f t="shared" si="29"/>
        <v>2506.4</v>
      </c>
      <c r="G88" s="527">
        <f t="shared" si="29"/>
        <v>2506.4</v>
      </c>
      <c r="H88" s="527">
        <f t="shared" si="29"/>
        <v>2506.4</v>
      </c>
      <c r="I88" s="527">
        <f>(1+$J$84)*2041</f>
        <v>2653.3</v>
      </c>
      <c r="J88" s="527">
        <f>(1+$J$84)*2496</f>
        <v>3244.8</v>
      </c>
      <c r="K88" s="527">
        <f>(1+$J$84)*4291</f>
        <v>5578.3</v>
      </c>
      <c r="L88" s="527">
        <f>(1+$J$84)*4291</f>
        <v>5578.3</v>
      </c>
      <c r="Q88" s="404">
        <f>1.25*Inverter_Capacity*1000/SQRT(3)/400</f>
        <v>180.42195912175805</v>
      </c>
      <c r="R88" s="404">
        <f>IFERROR(INDEX(C87:N87,1,MATCH(TRUE,C89:N89,0)),Q88)</f>
        <v>200</v>
      </c>
      <c r="S88" s="823"/>
      <c r="T88" s="406">
        <f>HLOOKUP(R88,C87:L88,2,1)</f>
        <v>5578.3</v>
      </c>
      <c r="AL88" s="255"/>
      <c r="AO88" s="255"/>
      <c r="AR88" s="255"/>
    </row>
    <row r="89" spans="1:44">
      <c r="C89" s="6" t="b">
        <f>$Q$88&lt;=C87</f>
        <v>0</v>
      </c>
      <c r="D89" s="6" t="b">
        <f t="shared" ref="D89:J89" si="30">$Q$88&lt;=D87</f>
        <v>0</v>
      </c>
      <c r="E89" s="6" t="b">
        <f t="shared" si="30"/>
        <v>0</v>
      </c>
      <c r="F89" s="6" t="b">
        <f t="shared" si="30"/>
        <v>0</v>
      </c>
      <c r="G89" s="6" t="b">
        <f t="shared" si="30"/>
        <v>0</v>
      </c>
      <c r="H89" s="6" t="b">
        <f t="shared" si="30"/>
        <v>0</v>
      </c>
      <c r="I89" s="6" t="b">
        <f t="shared" si="30"/>
        <v>0</v>
      </c>
      <c r="J89" s="6" t="b">
        <f t="shared" si="30"/>
        <v>0</v>
      </c>
      <c r="K89" s="6" t="b">
        <f>$Q$88&lt;=K87</f>
        <v>1</v>
      </c>
      <c r="L89" s="6" t="b">
        <f>$Q$88&lt;=L87</f>
        <v>1</v>
      </c>
      <c r="AL89" s="255"/>
      <c r="AO89" s="255"/>
      <c r="AR89" s="255"/>
    </row>
    <row r="90" spans="1:44">
      <c r="A90" s="255" t="s">
        <v>404</v>
      </c>
      <c r="D90" s="357"/>
      <c r="Q90" s="255" t="s">
        <v>405</v>
      </c>
      <c r="R90" s="255" t="s">
        <v>401</v>
      </c>
      <c r="S90" s="255"/>
      <c r="T90" s="255" t="s">
        <v>406</v>
      </c>
      <c r="AL90" s="255"/>
      <c r="AO90" s="255"/>
      <c r="AR90" s="255"/>
    </row>
    <row r="91" spans="1:44">
      <c r="A91" s="402" t="s">
        <v>394</v>
      </c>
      <c r="B91" s="402" t="s">
        <v>395</v>
      </c>
      <c r="C91" s="404">
        <v>40</v>
      </c>
      <c r="D91" s="404">
        <v>100</v>
      </c>
      <c r="E91" s="404">
        <v>160</v>
      </c>
      <c r="F91" s="404">
        <v>250</v>
      </c>
      <c r="G91" s="404">
        <v>400</v>
      </c>
      <c r="H91" s="405">
        <v>500</v>
      </c>
      <c r="I91" s="404">
        <v>630</v>
      </c>
      <c r="J91" s="404">
        <v>800</v>
      </c>
      <c r="K91" s="404">
        <v>1000</v>
      </c>
      <c r="L91" s="404">
        <v>1250</v>
      </c>
      <c r="M91" s="404">
        <v>1600</v>
      </c>
      <c r="N91" s="404">
        <v>2000</v>
      </c>
      <c r="O91" s="404">
        <v>2500</v>
      </c>
      <c r="P91" s="404">
        <v>4000</v>
      </c>
      <c r="Q91" s="404">
        <f>Q88*Inverter_Quantity</f>
        <v>721.6878364870322</v>
      </c>
      <c r="R91" s="404">
        <f>IFERROR(INDEX(C91:P91,1,MATCH(TRUE,C93:P93,0)),Q91)</f>
        <v>800</v>
      </c>
      <c r="S91" s="823"/>
      <c r="T91" s="406">
        <f>HLOOKUP(R91,C91:P92,2,1)</f>
        <v>94267</v>
      </c>
    </row>
    <row r="92" spans="1:44">
      <c r="A92" s="262" t="s">
        <v>403</v>
      </c>
      <c r="B92" s="262" t="s">
        <v>235</v>
      </c>
      <c r="C92" s="527">
        <f>1928*(1+$J$84)+$C$113</f>
        <v>24896.400000000001</v>
      </c>
      <c r="D92" s="527">
        <f>1928*(1+$J$84)+$C$113</f>
        <v>24896.400000000001</v>
      </c>
      <c r="E92" s="527">
        <f>$C$113+(1+$J$84)*2496</f>
        <v>25634.799999999999</v>
      </c>
      <c r="F92" s="527">
        <f>$C$113+(1+$J$84)*4291</f>
        <v>27968.3</v>
      </c>
      <c r="G92" s="527">
        <f>$C$113+(1+$J$84)*10550</f>
        <v>36105</v>
      </c>
      <c r="H92" s="527">
        <f>$C$113+(1+$J$84)*11630</f>
        <v>37509</v>
      </c>
      <c r="I92" s="527">
        <f>$C$113+(1+$J$84)*33800</f>
        <v>66330</v>
      </c>
      <c r="J92" s="527">
        <f>$C$113+(1+$J$84)*55290</f>
        <v>94267</v>
      </c>
      <c r="K92" s="527">
        <f>$C$113+(1+$J$84)*55290</f>
        <v>94267</v>
      </c>
      <c r="L92" s="527">
        <f>$C$113+(1+$J$84)*55290</f>
        <v>94267</v>
      </c>
      <c r="M92" s="527">
        <f>$C$113+(1+$J$84)*77660</f>
        <v>123348</v>
      </c>
      <c r="N92" s="527">
        <f>$C$113+(1+$J$84)*91670</f>
        <v>141561</v>
      </c>
      <c r="O92" s="527">
        <f>$C$113+(1+$J$84)*97890</f>
        <v>149647</v>
      </c>
      <c r="P92" s="527">
        <f>$C$113+(1+$J$84)*119600</f>
        <v>177870</v>
      </c>
    </row>
    <row r="93" spans="1:44">
      <c r="A93" s="6" t="s">
        <v>407</v>
      </c>
      <c r="C93" s="6" t="b">
        <f t="shared" ref="C93:N93" si="31">$Q$91&lt;=C91</f>
        <v>0</v>
      </c>
      <c r="D93" s="6" t="b">
        <f t="shared" si="31"/>
        <v>0</v>
      </c>
      <c r="E93" s="6" t="b">
        <f t="shared" si="31"/>
        <v>0</v>
      </c>
      <c r="F93" s="6" t="b">
        <f t="shared" si="31"/>
        <v>0</v>
      </c>
      <c r="G93" s="6" t="b">
        <f t="shared" si="31"/>
        <v>0</v>
      </c>
      <c r="H93" s="6" t="b">
        <f t="shared" si="31"/>
        <v>0</v>
      </c>
      <c r="I93" s="6" t="b">
        <f t="shared" si="31"/>
        <v>0</v>
      </c>
      <c r="J93" s="6" t="b">
        <f t="shared" si="31"/>
        <v>1</v>
      </c>
      <c r="L93" s="6" t="b">
        <f t="shared" si="31"/>
        <v>1</v>
      </c>
      <c r="M93" s="6" t="b">
        <f t="shared" si="31"/>
        <v>1</v>
      </c>
      <c r="N93" s="6" t="b">
        <f t="shared" si="31"/>
        <v>1</v>
      </c>
      <c r="O93" s="6" t="b">
        <f t="shared" ref="O93:P93" si="32">$Q$91&lt;=O91</f>
        <v>1</v>
      </c>
      <c r="P93" s="6" t="b">
        <f t="shared" si="32"/>
        <v>1</v>
      </c>
    </row>
    <row r="94" spans="1:44">
      <c r="A94" s="6" t="s">
        <v>408</v>
      </c>
      <c r="C94" s="6" t="b">
        <f>$Q$94&lt;=C91</f>
        <v>0</v>
      </c>
      <c r="D94" s="6" t="b">
        <f t="shared" ref="D94:P94" si="33">$Q$94&lt;=D91</f>
        <v>0</v>
      </c>
      <c r="E94" s="6" t="b">
        <f t="shared" si="33"/>
        <v>0</v>
      </c>
      <c r="F94" s="6" t="b">
        <f t="shared" si="33"/>
        <v>0</v>
      </c>
      <c r="G94" s="6" t="b">
        <f t="shared" si="33"/>
        <v>1</v>
      </c>
      <c r="H94" s="6" t="b">
        <f t="shared" si="33"/>
        <v>1</v>
      </c>
      <c r="I94" s="6" t="b">
        <f t="shared" si="33"/>
        <v>1</v>
      </c>
      <c r="J94" s="6" t="b">
        <f t="shared" si="33"/>
        <v>1</v>
      </c>
      <c r="K94" s="6" t="b">
        <f t="shared" si="33"/>
        <v>1</v>
      </c>
      <c r="L94" s="6" t="b">
        <f t="shared" si="33"/>
        <v>1</v>
      </c>
      <c r="M94" s="6" t="b">
        <f t="shared" si="33"/>
        <v>1</v>
      </c>
      <c r="N94" s="6" t="b">
        <f t="shared" si="33"/>
        <v>1</v>
      </c>
      <c r="O94" s="6" t="b">
        <f t="shared" si="33"/>
        <v>1</v>
      </c>
      <c r="P94" s="6" t="b">
        <f t="shared" si="33"/>
        <v>1</v>
      </c>
      <c r="Q94" s="404">
        <f>'Design Inputs'!E42*1000/(SQRT(3)*400)</f>
        <v>360.8439182435161</v>
      </c>
      <c r="R94" s="404">
        <f>IFERROR(INDEX(C91:P91,1,MATCH(TRUE,C94:P94,0)),Q94)</f>
        <v>400</v>
      </c>
      <c r="T94" s="6" t="s">
        <v>408</v>
      </c>
    </row>
    <row r="95" spans="1:44">
      <c r="A95" s="6" t="s">
        <v>283</v>
      </c>
      <c r="C95" s="6" t="b">
        <f>$Q$95&lt;=C91</f>
        <v>0</v>
      </c>
      <c r="D95" s="6" t="b">
        <f t="shared" ref="D95:P95" si="34">$Q$95&lt;=D91</f>
        <v>0</v>
      </c>
      <c r="E95" s="6" t="b">
        <f t="shared" si="34"/>
        <v>0</v>
      </c>
      <c r="F95" s="6" t="b">
        <f t="shared" si="34"/>
        <v>0</v>
      </c>
      <c r="G95" s="6" t="b">
        <f t="shared" si="34"/>
        <v>0</v>
      </c>
      <c r="H95" s="6" t="b">
        <f t="shared" si="34"/>
        <v>0</v>
      </c>
      <c r="I95" s="6" t="b">
        <f t="shared" si="34"/>
        <v>0</v>
      </c>
      <c r="J95" s="6" t="b">
        <f t="shared" si="34"/>
        <v>1</v>
      </c>
      <c r="K95" s="6" t="b">
        <f t="shared" si="34"/>
        <v>1</v>
      </c>
      <c r="L95" s="6" t="b">
        <f t="shared" si="34"/>
        <v>1</v>
      </c>
      <c r="M95" s="6" t="b">
        <f t="shared" si="34"/>
        <v>1</v>
      </c>
      <c r="N95" s="6" t="b">
        <f t="shared" si="34"/>
        <v>1</v>
      </c>
      <c r="O95" s="6" t="b">
        <f t="shared" si="34"/>
        <v>1</v>
      </c>
      <c r="P95" s="6" t="b">
        <f t="shared" si="34"/>
        <v>1</v>
      </c>
      <c r="Q95" s="404">
        <f>Generator_Size*1000/(SQRT(3)*400)*0.9</f>
        <v>779.4228634059948</v>
      </c>
      <c r="R95" s="404">
        <f>IFERROR(INDEX(C91:P91,1,MATCH(TRUE,C95:P95,0)),Q95)</f>
        <v>800</v>
      </c>
      <c r="T95" s="6" t="s">
        <v>283</v>
      </c>
    </row>
    <row r="98" spans="1:44">
      <c r="A98" s="255" t="s">
        <v>409</v>
      </c>
      <c r="H98" s="357"/>
    </row>
    <row r="99" spans="1:44">
      <c r="A99" s="402" t="s">
        <v>394</v>
      </c>
      <c r="B99" s="402" t="s">
        <v>395</v>
      </c>
      <c r="C99" s="402" t="s">
        <v>237</v>
      </c>
      <c r="D99" s="402"/>
      <c r="H99" s="357"/>
    </row>
    <row r="100" spans="1:44">
      <c r="A100" s="262" t="s">
        <v>410</v>
      </c>
      <c r="B100" s="262" t="s">
        <v>235</v>
      </c>
      <c r="C100" s="407">
        <v>9000</v>
      </c>
      <c r="D100" s="408"/>
    </row>
    <row r="101" spans="1:44">
      <c r="C101" s="257"/>
      <c r="D101" s="357"/>
    </row>
    <row r="102" spans="1:44">
      <c r="A102" s="258" t="s">
        <v>411</v>
      </c>
      <c r="B102" s="12"/>
      <c r="C102" s="409"/>
      <c r="D102" s="410"/>
    </row>
    <row r="103" spans="1:44">
      <c r="A103" s="402" t="s">
        <v>394</v>
      </c>
      <c r="B103" s="402" t="s">
        <v>395</v>
      </c>
      <c r="C103" s="402" t="s">
        <v>237</v>
      </c>
      <c r="D103" s="402"/>
    </row>
    <row r="104" spans="1:44">
      <c r="A104" s="262" t="s">
        <v>412</v>
      </c>
      <c r="B104" s="262" t="s">
        <v>235</v>
      </c>
      <c r="C104" s="407">
        <v>13500</v>
      </c>
      <c r="D104" s="408"/>
    </row>
    <row r="105" spans="1:44">
      <c r="C105" s="257"/>
      <c r="D105" s="357"/>
      <c r="AN105" s="255"/>
      <c r="AO105" s="255"/>
      <c r="AP105" s="255"/>
    </row>
    <row r="106" spans="1:44">
      <c r="A106" s="258" t="s">
        <v>413</v>
      </c>
      <c r="B106" s="12"/>
      <c r="C106" s="409"/>
      <c r="D106" s="410"/>
      <c r="AN106" s="255"/>
      <c r="AO106" s="255"/>
      <c r="AP106" s="255"/>
    </row>
    <row r="107" spans="1:44">
      <c r="A107" s="402" t="s">
        <v>394</v>
      </c>
      <c r="B107" s="402" t="s">
        <v>395</v>
      </c>
      <c r="C107" s="402" t="s">
        <v>237</v>
      </c>
      <c r="D107" s="402"/>
      <c r="AN107" s="255"/>
      <c r="AO107" s="255"/>
      <c r="AP107" s="255"/>
    </row>
    <row r="108" spans="1:44">
      <c r="A108" s="262" t="s">
        <v>414</v>
      </c>
      <c r="B108" s="262" t="s">
        <v>235</v>
      </c>
      <c r="C108" s="407">
        <v>14000</v>
      </c>
      <c r="D108" s="408"/>
      <c r="AN108" s="255"/>
      <c r="AO108" s="255"/>
      <c r="AP108" s="255"/>
      <c r="AQ108" s="255"/>
      <c r="AR108" s="255"/>
    </row>
    <row r="109" spans="1:44">
      <c r="AN109" s="255"/>
      <c r="AO109" s="255"/>
      <c r="AP109" s="255"/>
      <c r="AQ109" s="255"/>
      <c r="AR109" s="255"/>
    </row>
    <row r="110" spans="1:44">
      <c r="AM110" s="255"/>
      <c r="AN110" s="255"/>
      <c r="AO110" s="255"/>
      <c r="AP110" s="255"/>
      <c r="AQ110" s="255"/>
      <c r="AR110" s="255"/>
    </row>
    <row r="111" spans="1:44">
      <c r="A111" s="255" t="s">
        <v>415</v>
      </c>
      <c r="AM111" s="255"/>
      <c r="AN111" s="255"/>
      <c r="AO111" s="255"/>
      <c r="AP111" s="255"/>
      <c r="AQ111" s="255"/>
      <c r="AR111" s="255"/>
    </row>
    <row r="112" spans="1:44">
      <c r="A112" s="402" t="s">
        <v>394</v>
      </c>
      <c r="B112" s="402" t="s">
        <v>395</v>
      </c>
      <c r="C112" s="402" t="s">
        <v>416</v>
      </c>
      <c r="D112" s="402"/>
      <c r="AM112" s="255"/>
      <c r="AN112" s="255"/>
      <c r="AO112" s="255"/>
      <c r="AP112" s="255"/>
      <c r="AQ112" s="255"/>
      <c r="AR112" s="255"/>
    </row>
    <row r="113" spans="1:46">
      <c r="A113" s="262" t="s">
        <v>403</v>
      </c>
      <c r="B113" s="262" t="s">
        <v>235</v>
      </c>
      <c r="C113" s="407">
        <v>22390</v>
      </c>
      <c r="D113" s="408"/>
      <c r="AQ113" s="255"/>
      <c r="AR113" s="255"/>
    </row>
    <row r="114" spans="1:46">
      <c r="A114" s="14"/>
      <c r="B114" s="14"/>
      <c r="C114" s="411"/>
      <c r="D114" s="412"/>
      <c r="AQ114" s="255"/>
      <c r="AR114" s="255"/>
    </row>
    <row r="115" spans="1:46">
      <c r="A115" s="255" t="s">
        <v>417</v>
      </c>
      <c r="C115" s="257"/>
      <c r="D115" s="357"/>
      <c r="AQ115" s="255"/>
      <c r="AR115" s="255"/>
    </row>
    <row r="116" spans="1:46">
      <c r="A116" s="402" t="s">
        <v>394</v>
      </c>
      <c r="B116" s="402" t="s">
        <v>395</v>
      </c>
      <c r="C116" s="402" t="s">
        <v>416</v>
      </c>
      <c r="D116" s="402"/>
      <c r="AM116" s="255"/>
      <c r="AN116" s="255"/>
      <c r="AO116" s="255"/>
      <c r="AP116" s="255"/>
      <c r="AQ116" s="255"/>
      <c r="AR116" s="255"/>
    </row>
    <row r="117" spans="1:46">
      <c r="A117" s="262" t="s">
        <v>418</v>
      </c>
      <c r="B117" s="262" t="s">
        <v>235</v>
      </c>
      <c r="C117" s="407">
        <v>5500</v>
      </c>
      <c r="D117" s="408"/>
      <c r="AM117" s="255"/>
      <c r="AN117" s="255"/>
      <c r="AO117" s="255"/>
      <c r="AP117" s="255"/>
      <c r="AQ117" s="255"/>
      <c r="AR117" s="255"/>
    </row>
    <row r="118" spans="1:46">
      <c r="D118" s="357"/>
      <c r="AD118" s="6" t="s">
        <v>419</v>
      </c>
      <c r="AE118" s="805">
        <v>7.4999999999999997E-3</v>
      </c>
      <c r="AM118" s="255"/>
      <c r="AN118" s="255"/>
      <c r="AO118" s="255"/>
      <c r="AP118" s="255"/>
      <c r="AQ118" s="255"/>
      <c r="AR118" s="255"/>
    </row>
    <row r="119" spans="1:46">
      <c r="A119" s="255" t="s">
        <v>420</v>
      </c>
      <c r="Z119" s="6" t="s">
        <v>421</v>
      </c>
      <c r="AA119" s="803">
        <f>R88</f>
        <v>200</v>
      </c>
      <c r="AE119" s="6">
        <f>230*AE118</f>
        <v>1.7249999999999999</v>
      </c>
      <c r="AM119" s="255"/>
      <c r="AN119" s="255"/>
      <c r="AO119" s="255"/>
      <c r="AP119" s="255"/>
      <c r="AQ119" s="255"/>
      <c r="AR119" s="255"/>
      <c r="AS119" s="255"/>
      <c r="AT119" s="255"/>
    </row>
    <row r="120" spans="1:46">
      <c r="A120" s="402" t="s">
        <v>394</v>
      </c>
      <c r="B120" s="402" t="s">
        <v>395</v>
      </c>
      <c r="C120" s="402" t="s">
        <v>422</v>
      </c>
      <c r="D120" s="402" t="s">
        <v>423</v>
      </c>
      <c r="E120" s="413"/>
      <c r="Z120" s="6" t="s">
        <v>424</v>
      </c>
      <c r="AA120" s="803">
        <f>R91</f>
        <v>800</v>
      </c>
      <c r="AM120" s="255"/>
      <c r="AN120" s="255"/>
      <c r="AO120" s="255"/>
      <c r="AP120" s="255"/>
      <c r="AQ120" s="255"/>
      <c r="AR120" s="255"/>
      <c r="AS120" s="255"/>
      <c r="AT120" s="255"/>
    </row>
    <row r="121" spans="1:46">
      <c r="A121" s="262" t="s">
        <v>425</v>
      </c>
      <c r="B121" s="262" t="s">
        <v>235</v>
      </c>
      <c r="C121" s="407">
        <v>18000</v>
      </c>
      <c r="D121" s="407">
        <v>26000</v>
      </c>
      <c r="Z121" s="6" t="s">
        <v>426</v>
      </c>
      <c r="AA121" s="6">
        <f>AC_run</f>
        <v>15</v>
      </c>
      <c r="AQ121" s="255"/>
      <c r="AR121" s="255"/>
    </row>
    <row r="122" spans="1:46">
      <c r="A122" s="262" t="s">
        <v>427</v>
      </c>
      <c r="B122" s="262" t="s">
        <v>235</v>
      </c>
      <c r="C122" s="407"/>
      <c r="D122" s="262"/>
      <c r="Z122" s="6" t="s">
        <v>428</v>
      </c>
      <c r="AA122" s="804">
        <v>1.7199999999999999E-8</v>
      </c>
      <c r="AQ122" s="255" t="s">
        <v>429</v>
      </c>
      <c r="AR122" s="255" t="s">
        <v>429</v>
      </c>
    </row>
    <row r="123" spans="1:46">
      <c r="C123" s="257"/>
      <c r="Z123" s="6" t="s">
        <v>430</v>
      </c>
      <c r="AA123" s="803">
        <f>R94</f>
        <v>400</v>
      </c>
      <c r="AQ123" s="255"/>
      <c r="AR123" s="255"/>
    </row>
    <row r="124" spans="1:46" ht="14" thickBot="1">
      <c r="U124" s="23"/>
      <c r="Z124" s="6" t="s">
        <v>431</v>
      </c>
      <c r="AA124" s="803">
        <f>R95</f>
        <v>800</v>
      </c>
      <c r="AQ124" s="255"/>
      <c r="AR124" s="255"/>
    </row>
    <row r="125" spans="1:46">
      <c r="A125" s="789" t="s">
        <v>257</v>
      </c>
      <c r="B125" s="790">
        <v>75</v>
      </c>
      <c r="C125" s="790">
        <v>100</v>
      </c>
      <c r="D125" s="790">
        <v>150</v>
      </c>
      <c r="E125" s="790">
        <v>225</v>
      </c>
      <c r="F125" s="790">
        <v>300</v>
      </c>
      <c r="G125" s="790">
        <v>450</v>
      </c>
      <c r="H125" s="790">
        <f t="shared" ref="H125:I127" si="35">2*F125</f>
        <v>600</v>
      </c>
      <c r="I125" s="790">
        <f t="shared" si="35"/>
        <v>900</v>
      </c>
      <c r="J125" s="790">
        <f>3*G125</f>
        <v>1350</v>
      </c>
      <c r="K125" s="790">
        <f>4*G125</f>
        <v>1800</v>
      </c>
      <c r="L125" s="790"/>
      <c r="M125" s="790"/>
      <c r="N125" s="790"/>
      <c r="O125" s="790"/>
      <c r="P125" s="790"/>
      <c r="Q125" s="790"/>
      <c r="R125" s="791"/>
      <c r="S125" s="255"/>
      <c r="T125" s="612"/>
      <c r="U125" s="825" t="s">
        <v>432</v>
      </c>
      <c r="V125" s="613"/>
      <c r="W125" s="612"/>
      <c r="X125" s="613"/>
      <c r="AA125" s="804"/>
      <c r="AQ125" s="255"/>
      <c r="AR125" s="255"/>
    </row>
    <row r="126" spans="1:46">
      <c r="A126" s="606" t="s">
        <v>433</v>
      </c>
      <c r="B126" s="830">
        <f>ROUNDUP((1+$J$84)*270/3,0)</f>
        <v>117</v>
      </c>
      <c r="C126" s="830">
        <f>ROUNDUP((1+$J$84)*300/3,0)</f>
        <v>130</v>
      </c>
      <c r="D126" s="830">
        <f>ROUNDUP((1+$J$84)*350/3,0)</f>
        <v>152</v>
      </c>
      <c r="E126" s="830">
        <f>ROUNDUP((1+$J$84)*450/3,0)</f>
        <v>195</v>
      </c>
      <c r="F126" s="830">
        <f>ROUNDUP((1+$J$84)*602/3,0)</f>
        <v>261</v>
      </c>
      <c r="G126" s="830">
        <f>ROUNDUP((1+$J$84)*1175/3,0)</f>
        <v>510</v>
      </c>
      <c r="H126" s="830">
        <f t="shared" si="35"/>
        <v>522</v>
      </c>
      <c r="I126" s="830">
        <f t="shared" si="35"/>
        <v>1020</v>
      </c>
      <c r="J126" s="830">
        <f>3*G126</f>
        <v>1530</v>
      </c>
      <c r="K126" s="830">
        <f>4*G126</f>
        <v>2040</v>
      </c>
      <c r="L126" s="830"/>
      <c r="M126" s="830"/>
      <c r="N126" s="830"/>
      <c r="O126" s="830"/>
      <c r="P126" s="830"/>
      <c r="Q126" s="830"/>
      <c r="R126" s="836"/>
      <c r="T126" s="615"/>
      <c r="U126" s="23" t="s">
        <v>434</v>
      </c>
      <c r="V126" s="816">
        <f>400*AE105</f>
        <v>0</v>
      </c>
      <c r="W126" s="812"/>
      <c r="X126" s="616"/>
      <c r="AA126" s="804"/>
      <c r="AQ126" s="255"/>
      <c r="AR126" s="255"/>
    </row>
    <row r="127" spans="1:46">
      <c r="A127" s="606" t="s">
        <v>435</v>
      </c>
      <c r="B127" s="833">
        <v>70</v>
      </c>
      <c r="C127" s="833">
        <v>117</v>
      </c>
      <c r="D127" s="833">
        <v>175</v>
      </c>
      <c r="E127" s="833">
        <v>223</v>
      </c>
      <c r="F127" s="833">
        <v>306</v>
      </c>
      <c r="G127" s="833">
        <v>408</v>
      </c>
      <c r="H127" s="496">
        <f t="shared" si="35"/>
        <v>612</v>
      </c>
      <c r="I127" s="496">
        <f t="shared" si="35"/>
        <v>816</v>
      </c>
      <c r="J127" s="496">
        <f>3*G127</f>
        <v>1224</v>
      </c>
      <c r="K127" s="496">
        <f>4*G127</f>
        <v>1632</v>
      </c>
      <c r="L127" s="833"/>
      <c r="M127" s="833"/>
      <c r="N127" s="833"/>
      <c r="O127" s="833"/>
      <c r="P127" s="833"/>
      <c r="Q127" s="833"/>
      <c r="R127" s="837"/>
      <c r="S127" s="824"/>
      <c r="T127" s="615"/>
      <c r="U127" s="23"/>
      <c r="V127" s="616"/>
      <c r="W127" s="615"/>
      <c r="X127" s="616"/>
      <c r="AA127" s="804"/>
      <c r="AQ127" s="255"/>
      <c r="AR127" s="255"/>
    </row>
    <row r="128" spans="1:46">
      <c r="A128" s="606"/>
      <c r="B128" s="527"/>
      <c r="C128" s="527"/>
      <c r="D128" s="527"/>
      <c r="E128" s="527"/>
      <c r="F128" s="527"/>
      <c r="G128" s="527"/>
      <c r="H128" s="527"/>
      <c r="I128" s="527"/>
      <c r="J128" s="527"/>
      <c r="K128" s="527"/>
      <c r="L128" s="527"/>
      <c r="M128" s="527"/>
      <c r="N128" s="527"/>
      <c r="O128" s="527"/>
      <c r="P128" s="527"/>
      <c r="Q128" s="527"/>
      <c r="R128" s="792"/>
      <c r="S128" s="802"/>
      <c r="T128" s="615" t="s">
        <v>436</v>
      </c>
      <c r="U128" s="23" t="s">
        <v>437</v>
      </c>
      <c r="V128" s="817">
        <f>IFERROR((INDEX(B125:R129,2,MATCH(TRUE,B129:R129,0))),V129)</f>
        <v>261</v>
      </c>
      <c r="W128" s="813"/>
      <c r="X128" s="616"/>
      <c r="AA128" s="804"/>
      <c r="AQ128" s="255"/>
      <c r="AR128" s="255"/>
    </row>
    <row r="129" spans="1:44">
      <c r="A129" s="606"/>
      <c r="B129" s="262" t="b">
        <f>B127&gt;$B$134</f>
        <v>0</v>
      </c>
      <c r="C129" s="262" t="b">
        <f t="shared" ref="C129:K129" si="36">C127&gt;$B$134</f>
        <v>0</v>
      </c>
      <c r="D129" s="262" t="b">
        <f t="shared" si="36"/>
        <v>0</v>
      </c>
      <c r="E129" s="262" t="b">
        <f t="shared" si="36"/>
        <v>0</v>
      </c>
      <c r="F129" s="262" t="b">
        <f t="shared" si="36"/>
        <v>1</v>
      </c>
      <c r="G129" s="262" t="b">
        <f t="shared" si="36"/>
        <v>1</v>
      </c>
      <c r="H129" s="262" t="b">
        <f t="shared" si="36"/>
        <v>1</v>
      </c>
      <c r="I129" s="262" t="b">
        <f t="shared" si="36"/>
        <v>1</v>
      </c>
      <c r="J129" s="262" t="b">
        <f t="shared" si="36"/>
        <v>1</v>
      </c>
      <c r="K129" s="262" t="b">
        <f t="shared" si="36"/>
        <v>1</v>
      </c>
      <c r="L129" s="262"/>
      <c r="M129" s="262"/>
      <c r="N129" s="262"/>
      <c r="O129" s="262"/>
      <c r="P129" s="262"/>
      <c r="Q129" s="262"/>
      <c r="R129" s="605"/>
      <c r="T129" s="615"/>
      <c r="U129" s="23"/>
      <c r="V129" s="811"/>
      <c r="W129" s="814"/>
      <c r="X129" s="616"/>
      <c r="AA129" s="804"/>
      <c r="AQ129" s="255"/>
      <c r="AR129" s="255"/>
    </row>
    <row r="130" spans="1:44">
      <c r="A130" s="606"/>
      <c r="B130" s="262"/>
      <c r="C130" s="262"/>
      <c r="D130" s="262"/>
      <c r="E130" s="262"/>
      <c r="F130" s="262"/>
      <c r="G130" s="262"/>
      <c r="H130" s="262"/>
      <c r="I130" s="262"/>
      <c r="J130" s="262"/>
      <c r="K130" s="262"/>
      <c r="L130" s="262"/>
      <c r="M130" s="262"/>
      <c r="N130" s="262"/>
      <c r="O130" s="262"/>
      <c r="P130" s="262"/>
      <c r="Q130" s="262"/>
      <c r="R130" s="605"/>
      <c r="T130" s="615"/>
      <c r="U130" s="23"/>
      <c r="V130" s="811"/>
      <c r="W130" s="814"/>
      <c r="X130" s="616"/>
      <c r="AA130" s="804"/>
      <c r="AQ130" s="255"/>
      <c r="AR130" s="255"/>
    </row>
    <row r="131" spans="1:44">
      <c r="A131" s="615"/>
      <c r="R131" s="616"/>
      <c r="T131" s="615"/>
      <c r="U131" s="23"/>
      <c r="V131" s="811"/>
      <c r="W131" s="814"/>
      <c r="X131" s="616"/>
      <c r="AA131" s="804"/>
      <c r="AQ131" s="255"/>
      <c r="AR131" s="255"/>
    </row>
    <row r="132" spans="1:44" ht="14" thickBot="1">
      <c r="A132" s="606" t="s">
        <v>438</v>
      </c>
      <c r="B132" s="831">
        <f>Module_Quantity/12</f>
        <v>72.833333333333329</v>
      </c>
      <c r="C132" s="810"/>
      <c r="D132" s="810"/>
      <c r="E132" s="810"/>
      <c r="F132" s="810"/>
      <c r="G132" s="810"/>
      <c r="H132" s="810"/>
      <c r="I132" s="810"/>
      <c r="J132" s="810"/>
      <c r="K132" s="810"/>
      <c r="L132" s="810"/>
      <c r="M132" s="810"/>
      <c r="N132" s="810"/>
      <c r="O132" s="810"/>
      <c r="P132" s="810"/>
      <c r="Q132" s="810"/>
      <c r="R132" s="838"/>
      <c r="S132" s="824"/>
      <c r="T132" s="615"/>
      <c r="U132" s="23"/>
      <c r="V132" s="811"/>
      <c r="W132" s="815"/>
      <c r="X132" s="616"/>
      <c r="AA132" s="804"/>
      <c r="AQ132" s="255"/>
      <c r="AR132" s="255"/>
    </row>
    <row r="133" spans="1:44">
      <c r="A133" s="606" t="s">
        <v>439</v>
      </c>
      <c r="B133" s="832">
        <v>0.35</v>
      </c>
      <c r="C133" s="527"/>
      <c r="D133" s="527"/>
      <c r="E133" s="527"/>
      <c r="F133" s="527"/>
      <c r="G133" s="527"/>
      <c r="H133" s="527"/>
      <c r="I133" s="527"/>
      <c r="J133" s="527"/>
      <c r="K133" s="527"/>
      <c r="L133" s="527"/>
      <c r="M133" s="527"/>
      <c r="N133" s="527"/>
      <c r="O133" s="527"/>
      <c r="P133" s="527"/>
      <c r="Q133" s="527"/>
      <c r="R133" s="792"/>
      <c r="S133" s="802"/>
      <c r="T133" s="612"/>
      <c r="U133" s="825" t="s">
        <v>440</v>
      </c>
      <c r="V133" s="827">
        <f>MIN(V128:V129)</f>
        <v>261</v>
      </c>
      <c r="W133" s="612"/>
      <c r="X133" s="827"/>
      <c r="AA133" s="804"/>
      <c r="AQ133" s="255"/>
      <c r="AR133" s="255"/>
    </row>
    <row r="134" spans="1:44" ht="14" thickBot="1">
      <c r="A134" s="606" t="s">
        <v>441</v>
      </c>
      <c r="B134" s="262">
        <f>ROUNDUP((B132*2+(B132/2)/B133),0)</f>
        <v>250</v>
      </c>
      <c r="C134" s="262"/>
      <c r="D134" s="262"/>
      <c r="E134" s="262"/>
      <c r="F134" s="262"/>
      <c r="G134" s="262"/>
      <c r="H134" s="262"/>
      <c r="I134" s="262"/>
      <c r="J134" s="262"/>
      <c r="K134" s="262"/>
      <c r="L134" s="262"/>
      <c r="M134" s="262"/>
      <c r="N134" s="262"/>
      <c r="O134" s="262"/>
      <c r="P134" s="262"/>
      <c r="Q134" s="262"/>
      <c r="R134" s="605"/>
      <c r="T134" s="617"/>
      <c r="U134" s="826" t="s">
        <v>442</v>
      </c>
      <c r="V134" s="828">
        <f>HLOOKUP(V133,B125:R129,1,TRUE)</f>
        <v>225</v>
      </c>
      <c r="W134" s="617"/>
      <c r="X134" s="828"/>
      <c r="AA134" s="804"/>
      <c r="AQ134" s="255"/>
      <c r="AR134" s="255"/>
    </row>
    <row r="135" spans="1:44" ht="14" thickBot="1">
      <c r="A135" s="609"/>
      <c r="B135" s="607"/>
      <c r="C135" s="607"/>
      <c r="D135" s="607"/>
      <c r="E135" s="607"/>
      <c r="F135" s="607"/>
      <c r="G135" s="607"/>
      <c r="H135" s="607"/>
      <c r="I135" s="607"/>
      <c r="J135" s="607"/>
      <c r="K135" s="607"/>
      <c r="L135" s="607"/>
      <c r="M135" s="607"/>
      <c r="N135" s="607"/>
      <c r="O135" s="607"/>
      <c r="P135" s="607"/>
      <c r="Q135" s="607"/>
      <c r="R135" s="608"/>
      <c r="U135" s="23"/>
      <c r="V135" s="806"/>
      <c r="W135" s="806"/>
      <c r="AA135" s="804"/>
      <c r="AQ135" s="255"/>
      <c r="AR135" s="255"/>
    </row>
    <row r="136" spans="1:44" ht="18.75" customHeight="1">
      <c r="Z136" s="6" t="s">
        <v>443</v>
      </c>
      <c r="AA136" s="808">
        <v>35</v>
      </c>
      <c r="AB136" s="808">
        <v>50</v>
      </c>
      <c r="AC136" s="808">
        <v>70</v>
      </c>
      <c r="AD136" s="808">
        <v>95</v>
      </c>
      <c r="AE136" s="808">
        <v>120</v>
      </c>
      <c r="AF136" s="808">
        <v>150</v>
      </c>
      <c r="AG136" s="808">
        <v>185</v>
      </c>
      <c r="AH136" s="808">
        <v>240</v>
      </c>
      <c r="AR136" s="255" t="s">
        <v>429</v>
      </c>
    </row>
    <row r="137" spans="1:44" ht="18.75" customHeight="1" thickBot="1">
      <c r="J137" s="6" t="s">
        <v>444</v>
      </c>
      <c r="K137" s="6" t="s">
        <v>445</v>
      </c>
      <c r="L137" s="6" t="s">
        <v>446</v>
      </c>
      <c r="M137" s="6" t="s">
        <v>447</v>
      </c>
      <c r="N137" s="6" t="s">
        <v>448</v>
      </c>
      <c r="O137" s="6" t="s">
        <v>449</v>
      </c>
      <c r="P137" s="6" t="s">
        <v>450</v>
      </c>
      <c r="Q137" s="6" t="s">
        <v>451</v>
      </c>
      <c r="R137" s="6" t="s">
        <v>452</v>
      </c>
      <c r="U137" s="23"/>
      <c r="Z137" s="6" t="s">
        <v>453</v>
      </c>
      <c r="AA137" s="329">
        <v>135</v>
      </c>
      <c r="AB137" s="6">
        <v>163</v>
      </c>
      <c r="AC137" s="6">
        <v>207</v>
      </c>
      <c r="AD137" s="6">
        <v>251</v>
      </c>
      <c r="AE137" s="6">
        <v>290</v>
      </c>
      <c r="AF137" s="6">
        <v>332</v>
      </c>
      <c r="AG137" s="6">
        <v>378</v>
      </c>
      <c r="AH137" s="6">
        <v>445</v>
      </c>
    </row>
    <row r="138" spans="1:44" ht="18.75" customHeight="1">
      <c r="A138" s="789" t="s">
        <v>454</v>
      </c>
      <c r="B138" s="790">
        <v>35</v>
      </c>
      <c r="C138" s="790">
        <v>50</v>
      </c>
      <c r="D138" s="790">
        <v>70</v>
      </c>
      <c r="E138" s="790">
        <v>95</v>
      </c>
      <c r="F138" s="790">
        <v>120</v>
      </c>
      <c r="G138" s="790">
        <v>150</v>
      </c>
      <c r="H138" s="790">
        <v>185</v>
      </c>
      <c r="I138" s="790">
        <v>240</v>
      </c>
      <c r="J138" s="790">
        <v>300</v>
      </c>
      <c r="K138" s="790">
        <f>2*185</f>
        <v>370</v>
      </c>
      <c r="L138" s="790">
        <v>480</v>
      </c>
      <c r="M138" s="790">
        <f>3*185</f>
        <v>555</v>
      </c>
      <c r="N138" s="790">
        <f>3*240</f>
        <v>720</v>
      </c>
      <c r="O138" s="790">
        <f>4*185</f>
        <v>740</v>
      </c>
      <c r="P138" s="790">
        <f>4*240</f>
        <v>960</v>
      </c>
      <c r="Q138" s="790">
        <f>5*240</f>
        <v>1200</v>
      </c>
      <c r="R138" s="791">
        <f>6*240</f>
        <v>1440</v>
      </c>
      <c r="S138" s="255"/>
      <c r="T138" s="612"/>
      <c r="U138" s="825" t="s">
        <v>432</v>
      </c>
      <c r="V138" s="613"/>
      <c r="W138" s="612"/>
      <c r="X138" s="613"/>
    </row>
    <row r="139" spans="1:44" ht="18.75" customHeight="1">
      <c r="A139" s="606"/>
      <c r="B139" s="809"/>
      <c r="C139" s="809"/>
      <c r="D139" s="809"/>
      <c r="E139" s="809"/>
      <c r="F139" s="809"/>
      <c r="G139" s="809"/>
      <c r="H139" s="809"/>
      <c r="I139" s="809"/>
      <c r="J139" s="809"/>
      <c r="K139" s="809"/>
      <c r="L139" s="809"/>
      <c r="M139" s="809"/>
      <c r="N139" s="809"/>
      <c r="O139" s="809"/>
      <c r="P139" s="809"/>
      <c r="Q139" s="809"/>
      <c r="R139" s="839"/>
      <c r="T139" s="615"/>
      <c r="U139" s="23" t="s">
        <v>434</v>
      </c>
      <c r="V139" s="816">
        <f>400*AE118</f>
        <v>3</v>
      </c>
      <c r="W139" s="812"/>
      <c r="X139" s="616"/>
    </row>
    <row r="140" spans="1:44" ht="18.75" customHeight="1">
      <c r="A140" s="606" t="s">
        <v>455</v>
      </c>
      <c r="B140" s="810">
        <f t="shared" ref="B140:I140" si="37">AA137</f>
        <v>135</v>
      </c>
      <c r="C140" s="810">
        <f t="shared" si="37"/>
        <v>163</v>
      </c>
      <c r="D140" s="810">
        <f t="shared" si="37"/>
        <v>207</v>
      </c>
      <c r="E140" s="810">
        <f t="shared" si="37"/>
        <v>251</v>
      </c>
      <c r="F140" s="810">
        <f t="shared" si="37"/>
        <v>290</v>
      </c>
      <c r="G140" s="810">
        <f t="shared" si="37"/>
        <v>332</v>
      </c>
      <c r="H140" s="810">
        <f t="shared" si="37"/>
        <v>378</v>
      </c>
      <c r="I140" s="810">
        <f t="shared" si="37"/>
        <v>445</v>
      </c>
      <c r="J140" s="810">
        <f>2*G140</f>
        <v>664</v>
      </c>
      <c r="K140" s="810">
        <f t="shared" ref="K140:L141" si="38">2*H140</f>
        <v>756</v>
      </c>
      <c r="L140" s="810">
        <f t="shared" si="38"/>
        <v>890</v>
      </c>
      <c r="M140" s="810">
        <f>3*H140</f>
        <v>1134</v>
      </c>
      <c r="N140" s="810">
        <f>3*I140</f>
        <v>1335</v>
      </c>
      <c r="O140" s="810">
        <f>4*H140</f>
        <v>1512</v>
      </c>
      <c r="P140" s="810">
        <f>4*I140</f>
        <v>1780</v>
      </c>
      <c r="Q140" s="810">
        <f>5*I140</f>
        <v>2225</v>
      </c>
      <c r="R140" s="838">
        <f>6*I140</f>
        <v>2670</v>
      </c>
      <c r="S140" s="824"/>
      <c r="T140" s="615"/>
      <c r="U140" s="23"/>
      <c r="V140" s="616"/>
      <c r="W140" s="615"/>
      <c r="X140" s="616"/>
      <c r="Z140" s="6" t="s">
        <v>456</v>
      </c>
      <c r="AA140" s="808">
        <f t="shared" ref="AA140:AF140" si="39">AA136*2</f>
        <v>70</v>
      </c>
      <c r="AB140" s="808">
        <f t="shared" si="39"/>
        <v>100</v>
      </c>
      <c r="AC140" s="808">
        <f t="shared" si="39"/>
        <v>140</v>
      </c>
      <c r="AD140" s="808">
        <f t="shared" si="39"/>
        <v>190</v>
      </c>
      <c r="AE140" s="808">
        <f t="shared" si="39"/>
        <v>240</v>
      </c>
      <c r="AF140" s="808">
        <f t="shared" si="39"/>
        <v>300</v>
      </c>
      <c r="AG140" s="808">
        <f t="shared" ref="AG140:AH140" si="40">AG136*2</f>
        <v>370</v>
      </c>
      <c r="AH140" s="808">
        <f t="shared" si="40"/>
        <v>480</v>
      </c>
    </row>
    <row r="141" spans="1:44" ht="18.75" customHeight="1">
      <c r="A141" s="606" t="s">
        <v>457</v>
      </c>
      <c r="B141" s="527">
        <f>(1+$J$84)*455/1.15</f>
        <v>514.34782608695662</v>
      </c>
      <c r="C141" s="527">
        <f>(1+$J$84)*610/1.15</f>
        <v>689.56521739130437</v>
      </c>
      <c r="D141" s="527">
        <f>(1+$J$84)*846/1.15</f>
        <v>956.3478260869565</v>
      </c>
      <c r="E141" s="527">
        <f>(1+$J$84)*1146/1.15</f>
        <v>1295.4782608695652</v>
      </c>
      <c r="F141" s="527">
        <f>(1+$J$84)*1465/1.15</f>
        <v>1656.0869565217392</v>
      </c>
      <c r="G141" s="527">
        <f>(1+$J$84)*1765/1.15</f>
        <v>1995.217391304348</v>
      </c>
      <c r="H141" s="527">
        <f>(1+$J$84)*2168/1.15</f>
        <v>2450.7826086956525</v>
      </c>
      <c r="I141" s="527">
        <f>(1+$J$84)*2914/1.15</f>
        <v>3294.0869565217395</v>
      </c>
      <c r="J141" s="527">
        <f>2*G141</f>
        <v>3990.434782608696</v>
      </c>
      <c r="K141" s="527">
        <f t="shared" si="38"/>
        <v>4901.5652173913049</v>
      </c>
      <c r="L141" s="527">
        <f t="shared" si="38"/>
        <v>6588.1739130434789</v>
      </c>
      <c r="M141" s="527">
        <f>3*H141</f>
        <v>7352.3478260869579</v>
      </c>
      <c r="N141" s="527">
        <f>3*I141</f>
        <v>9882.2608695652179</v>
      </c>
      <c r="O141" s="527">
        <f>4*H141</f>
        <v>9803.1304347826099</v>
      </c>
      <c r="P141" s="527">
        <f>4*$I$141</f>
        <v>13176.347826086958</v>
      </c>
      <c r="Q141" s="527">
        <f>5*$I$141</f>
        <v>16470.434782608696</v>
      </c>
      <c r="R141" s="792">
        <f>6*$I$141</f>
        <v>19764.521739130436</v>
      </c>
      <c r="S141" s="802"/>
      <c r="T141" s="615" t="s">
        <v>436</v>
      </c>
      <c r="U141" s="23" t="s">
        <v>458</v>
      </c>
      <c r="V141" s="817">
        <f>IFERROR((INDEX(B141:R142,1,MATCH(TRUE,B142:R142,0))),V142)</f>
        <v>6588.1739130434789</v>
      </c>
      <c r="W141" s="813" t="s">
        <v>459</v>
      </c>
      <c r="X141" s="616">
        <f>INDEX(B141:R142,1,MATCH(TRUE,B143:R143,0))</f>
        <v>956.3478260869565</v>
      </c>
      <c r="AA141" s="6">
        <f>AA137*2</f>
        <v>270</v>
      </c>
      <c r="AB141" s="6">
        <f t="shared" ref="AB141:AH141" si="41">AB137*2</f>
        <v>326</v>
      </c>
      <c r="AC141" s="6">
        <f t="shared" si="41"/>
        <v>414</v>
      </c>
      <c r="AD141" s="6">
        <f t="shared" si="41"/>
        <v>502</v>
      </c>
      <c r="AE141" s="6">
        <f t="shared" si="41"/>
        <v>580</v>
      </c>
      <c r="AF141" s="6">
        <f t="shared" si="41"/>
        <v>664</v>
      </c>
      <c r="AG141" s="6">
        <f t="shared" si="41"/>
        <v>756</v>
      </c>
      <c r="AH141" s="6">
        <f t="shared" si="41"/>
        <v>890</v>
      </c>
    </row>
    <row r="142" spans="1:44" ht="18.75" customHeight="1">
      <c r="A142" s="606" t="s">
        <v>460</v>
      </c>
      <c r="B142" s="262" t="b">
        <f t="shared" ref="B142:R142" si="42">B140&gt;$AA$120</f>
        <v>0</v>
      </c>
      <c r="C142" s="262" t="b">
        <f t="shared" si="42"/>
        <v>0</v>
      </c>
      <c r="D142" s="262" t="b">
        <f t="shared" si="42"/>
        <v>0</v>
      </c>
      <c r="E142" s="262" t="b">
        <f t="shared" si="42"/>
        <v>0</v>
      </c>
      <c r="F142" s="262" t="b">
        <f t="shared" si="42"/>
        <v>0</v>
      </c>
      <c r="G142" s="262" t="b">
        <f t="shared" si="42"/>
        <v>0</v>
      </c>
      <c r="H142" s="262" t="b">
        <f t="shared" si="42"/>
        <v>0</v>
      </c>
      <c r="I142" s="262" t="b">
        <f t="shared" si="42"/>
        <v>0</v>
      </c>
      <c r="J142" s="262" t="b">
        <f t="shared" si="42"/>
        <v>0</v>
      </c>
      <c r="K142" s="262" t="b">
        <f t="shared" si="42"/>
        <v>0</v>
      </c>
      <c r="L142" s="262" t="b">
        <f t="shared" si="42"/>
        <v>1</v>
      </c>
      <c r="M142" s="262" t="b">
        <f t="shared" si="42"/>
        <v>1</v>
      </c>
      <c r="N142" s="262" t="b">
        <f t="shared" si="42"/>
        <v>1</v>
      </c>
      <c r="O142" s="262" t="b">
        <f t="shared" si="42"/>
        <v>1</v>
      </c>
      <c r="P142" s="262" t="b">
        <f t="shared" si="42"/>
        <v>1</v>
      </c>
      <c r="Q142" s="262" t="b">
        <f t="shared" si="42"/>
        <v>1</v>
      </c>
      <c r="R142" s="605" t="b">
        <f t="shared" si="42"/>
        <v>1</v>
      </c>
      <c r="T142" s="615"/>
      <c r="U142" s="23"/>
      <c r="V142" s="811"/>
      <c r="W142" s="814"/>
      <c r="X142" s="616">
        <f>INDEX(B148:R149,1,MATCH(TRUE,B150:R150,0))</f>
        <v>1028.6956521739132</v>
      </c>
      <c r="Z142" s="6" t="s">
        <v>461</v>
      </c>
      <c r="AA142" s="808">
        <f t="shared" ref="AA142:AH143" si="43">AA$136*3</f>
        <v>105</v>
      </c>
      <c r="AB142" s="808">
        <f t="shared" si="43"/>
        <v>150</v>
      </c>
      <c r="AC142" s="808">
        <f t="shared" si="43"/>
        <v>210</v>
      </c>
      <c r="AD142" s="808">
        <f t="shared" si="43"/>
        <v>285</v>
      </c>
      <c r="AE142" s="808">
        <f t="shared" si="43"/>
        <v>360</v>
      </c>
      <c r="AF142" s="808">
        <f t="shared" si="43"/>
        <v>450</v>
      </c>
      <c r="AG142" s="808">
        <f t="shared" si="43"/>
        <v>555</v>
      </c>
      <c r="AH142" s="808">
        <f t="shared" si="43"/>
        <v>720</v>
      </c>
    </row>
    <row r="143" spans="1:44" ht="18.75" customHeight="1">
      <c r="A143" s="606" t="s">
        <v>462</v>
      </c>
      <c r="B143" s="262" t="b">
        <f>B140&gt;$AA$119</f>
        <v>0</v>
      </c>
      <c r="C143" s="262" t="b">
        <f t="shared" ref="C143:R143" si="44">C140&gt;$AA$119</f>
        <v>0</v>
      </c>
      <c r="D143" s="262" t="b">
        <f t="shared" si="44"/>
        <v>1</v>
      </c>
      <c r="E143" s="262" t="b">
        <f t="shared" si="44"/>
        <v>1</v>
      </c>
      <c r="F143" s="262" t="b">
        <f t="shared" si="44"/>
        <v>1</v>
      </c>
      <c r="G143" s="262" t="b">
        <f t="shared" si="44"/>
        <v>1</v>
      </c>
      <c r="H143" s="262" t="b">
        <f t="shared" si="44"/>
        <v>1</v>
      </c>
      <c r="I143" s="262" t="b">
        <f t="shared" si="44"/>
        <v>1</v>
      </c>
      <c r="J143" s="262" t="b">
        <f t="shared" si="44"/>
        <v>1</v>
      </c>
      <c r="K143" s="262" t="b">
        <f t="shared" si="44"/>
        <v>1</v>
      </c>
      <c r="L143" s="262" t="b">
        <f t="shared" si="44"/>
        <v>1</v>
      </c>
      <c r="M143" s="262" t="b">
        <f t="shared" si="44"/>
        <v>1</v>
      </c>
      <c r="N143" s="262" t="b">
        <f t="shared" si="44"/>
        <v>1</v>
      </c>
      <c r="O143" s="262" t="b">
        <f t="shared" si="44"/>
        <v>1</v>
      </c>
      <c r="P143" s="262" t="b">
        <f t="shared" si="44"/>
        <v>1</v>
      </c>
      <c r="Q143" s="262" t="b">
        <f t="shared" si="44"/>
        <v>1</v>
      </c>
      <c r="R143" s="262" t="b">
        <f t="shared" si="44"/>
        <v>1</v>
      </c>
      <c r="T143" s="615"/>
      <c r="U143" s="23"/>
      <c r="V143" s="811"/>
      <c r="W143" s="814"/>
      <c r="X143" s="616" t="b">
        <f>INDEX(B149:R150,1,MATCH(TRUE,B150:R150,0))</f>
        <v>0</v>
      </c>
      <c r="Z143" s="6" t="s">
        <v>461</v>
      </c>
      <c r="AA143" s="808">
        <f t="shared" si="43"/>
        <v>105</v>
      </c>
      <c r="AB143" s="808">
        <f t="shared" si="43"/>
        <v>150</v>
      </c>
      <c r="AC143" s="808">
        <f t="shared" si="43"/>
        <v>210</v>
      </c>
      <c r="AD143" s="808">
        <f t="shared" si="43"/>
        <v>285</v>
      </c>
      <c r="AE143" s="808">
        <f t="shared" si="43"/>
        <v>360</v>
      </c>
      <c r="AF143" s="808">
        <f t="shared" si="43"/>
        <v>450</v>
      </c>
      <c r="AG143" s="808">
        <f t="shared" si="43"/>
        <v>555</v>
      </c>
      <c r="AH143" s="808">
        <f t="shared" si="43"/>
        <v>720</v>
      </c>
    </row>
    <row r="144" spans="1:44" ht="18.75" customHeight="1">
      <c r="A144" s="606" t="s">
        <v>463</v>
      </c>
      <c r="B144" s="262" t="b">
        <f>B140&gt;$AA$123</f>
        <v>0</v>
      </c>
      <c r="C144" s="262" t="b">
        <f t="shared" ref="C144:R144" si="45">C140&gt;$AA$123</f>
        <v>0</v>
      </c>
      <c r="D144" s="262" t="b">
        <f t="shared" si="45"/>
        <v>0</v>
      </c>
      <c r="E144" s="262" t="b">
        <f t="shared" si="45"/>
        <v>0</v>
      </c>
      <c r="F144" s="262" t="b">
        <f t="shared" si="45"/>
        <v>0</v>
      </c>
      <c r="G144" s="262" t="b">
        <f t="shared" si="45"/>
        <v>0</v>
      </c>
      <c r="H144" s="262" t="b">
        <f t="shared" si="45"/>
        <v>0</v>
      </c>
      <c r="I144" s="262" t="b">
        <f t="shared" si="45"/>
        <v>1</v>
      </c>
      <c r="J144" s="262" t="b">
        <f t="shared" si="45"/>
        <v>1</v>
      </c>
      <c r="K144" s="262" t="b">
        <f t="shared" si="45"/>
        <v>1</v>
      </c>
      <c r="L144" s="262" t="b">
        <f t="shared" si="45"/>
        <v>1</v>
      </c>
      <c r="M144" s="262" t="b">
        <f t="shared" si="45"/>
        <v>1</v>
      </c>
      <c r="N144" s="262" t="b">
        <f t="shared" si="45"/>
        <v>1</v>
      </c>
      <c r="O144" s="262" t="b">
        <f t="shared" si="45"/>
        <v>1</v>
      </c>
      <c r="P144" s="262" t="b">
        <f t="shared" si="45"/>
        <v>1</v>
      </c>
      <c r="Q144" s="262" t="b">
        <f t="shared" si="45"/>
        <v>1</v>
      </c>
      <c r="R144" s="262" t="b">
        <f t="shared" si="45"/>
        <v>1</v>
      </c>
      <c r="T144" s="615"/>
      <c r="U144" s="23"/>
      <c r="V144" s="811"/>
      <c r="W144" s="814"/>
      <c r="X144" s="616"/>
      <c r="AA144" s="808"/>
      <c r="AB144" s="808"/>
      <c r="AC144" s="808"/>
      <c r="AD144" s="808"/>
      <c r="AE144" s="808"/>
      <c r="AF144" s="808"/>
      <c r="AG144" s="808"/>
      <c r="AH144" s="808"/>
    </row>
    <row r="145" spans="1:59" ht="18.75" customHeight="1">
      <c r="A145" s="606" t="s">
        <v>464</v>
      </c>
      <c r="B145" s="262" t="b">
        <f>B140&gt;$AA$124</f>
        <v>0</v>
      </c>
      <c r="C145" s="262" t="b">
        <f t="shared" ref="C145:R145" si="46">C140&gt;$AA$124</f>
        <v>0</v>
      </c>
      <c r="D145" s="262" t="b">
        <f t="shared" si="46"/>
        <v>0</v>
      </c>
      <c r="E145" s="262" t="b">
        <f t="shared" si="46"/>
        <v>0</v>
      </c>
      <c r="F145" s="262" t="b">
        <f t="shared" si="46"/>
        <v>0</v>
      </c>
      <c r="G145" s="262" t="b">
        <f t="shared" si="46"/>
        <v>0</v>
      </c>
      <c r="H145" s="262" t="b">
        <f t="shared" si="46"/>
        <v>0</v>
      </c>
      <c r="I145" s="262" t="b">
        <f t="shared" si="46"/>
        <v>0</v>
      </c>
      <c r="J145" s="262" t="b">
        <f t="shared" si="46"/>
        <v>0</v>
      </c>
      <c r="K145" s="262" t="b">
        <f t="shared" si="46"/>
        <v>0</v>
      </c>
      <c r="L145" s="262" t="b">
        <f t="shared" si="46"/>
        <v>1</v>
      </c>
      <c r="M145" s="262" t="b">
        <f t="shared" si="46"/>
        <v>1</v>
      </c>
      <c r="N145" s="262" t="b">
        <f t="shared" si="46"/>
        <v>1</v>
      </c>
      <c r="O145" s="262" t="b">
        <f t="shared" si="46"/>
        <v>1</v>
      </c>
      <c r="P145" s="262" t="b">
        <f t="shared" si="46"/>
        <v>1</v>
      </c>
      <c r="Q145" s="262" t="b">
        <f t="shared" si="46"/>
        <v>1</v>
      </c>
      <c r="R145" s="262" t="b">
        <f t="shared" si="46"/>
        <v>1</v>
      </c>
      <c r="T145" s="615"/>
      <c r="U145" s="23"/>
      <c r="V145" s="811"/>
      <c r="W145" s="814"/>
      <c r="X145" s="616"/>
      <c r="AA145" s="808"/>
      <c r="AB145" s="808"/>
      <c r="AC145" s="808"/>
      <c r="AD145" s="808"/>
      <c r="AE145" s="808"/>
      <c r="AF145" s="808"/>
      <c r="AG145" s="808"/>
      <c r="AH145" s="808"/>
    </row>
    <row r="146" spans="1:59" ht="18.75" customHeight="1">
      <c r="A146" s="615"/>
      <c r="B146" s="255">
        <f>2*B138</f>
        <v>70</v>
      </c>
      <c r="C146" s="255">
        <f t="shared" ref="C146:R146" si="47">2*C138</f>
        <v>100</v>
      </c>
      <c r="D146" s="255">
        <f t="shared" si="47"/>
        <v>140</v>
      </c>
      <c r="E146" s="255">
        <f t="shared" si="47"/>
        <v>190</v>
      </c>
      <c r="F146" s="255">
        <f t="shared" si="47"/>
        <v>240</v>
      </c>
      <c r="G146" s="255">
        <f t="shared" si="47"/>
        <v>300</v>
      </c>
      <c r="H146" s="255">
        <f t="shared" si="47"/>
        <v>370</v>
      </c>
      <c r="I146" s="255">
        <f t="shared" si="47"/>
        <v>480</v>
      </c>
      <c r="J146" s="255">
        <f t="shared" si="47"/>
        <v>600</v>
      </c>
      <c r="K146" s="255">
        <f t="shared" si="47"/>
        <v>740</v>
      </c>
      <c r="L146" s="255">
        <f t="shared" si="47"/>
        <v>960</v>
      </c>
      <c r="M146" s="255">
        <f t="shared" si="47"/>
        <v>1110</v>
      </c>
      <c r="N146" s="255">
        <f t="shared" si="47"/>
        <v>1440</v>
      </c>
      <c r="O146" s="255">
        <f t="shared" si="47"/>
        <v>1480</v>
      </c>
      <c r="P146" s="255">
        <f t="shared" si="47"/>
        <v>1920</v>
      </c>
      <c r="Q146" s="255">
        <f t="shared" si="47"/>
        <v>2400</v>
      </c>
      <c r="R146" s="255">
        <f t="shared" si="47"/>
        <v>2880</v>
      </c>
      <c r="T146" s="615"/>
      <c r="U146" s="23"/>
      <c r="V146" s="811"/>
      <c r="W146" s="814"/>
      <c r="X146" s="616"/>
      <c r="AA146" s="6">
        <f>AA137*3</f>
        <v>405</v>
      </c>
      <c r="AB146" s="6">
        <f t="shared" ref="AB146:AH146" si="48">AB137*3</f>
        <v>489</v>
      </c>
      <c r="AC146" s="6">
        <f t="shared" si="48"/>
        <v>621</v>
      </c>
      <c r="AD146" s="6">
        <f t="shared" si="48"/>
        <v>753</v>
      </c>
      <c r="AE146" s="6">
        <f t="shared" si="48"/>
        <v>870</v>
      </c>
      <c r="AF146" s="6">
        <f t="shared" si="48"/>
        <v>996</v>
      </c>
      <c r="AG146" s="6">
        <f t="shared" si="48"/>
        <v>1134</v>
      </c>
      <c r="AH146" s="6">
        <f t="shared" si="48"/>
        <v>1335</v>
      </c>
    </row>
    <row r="147" spans="1:59" ht="18.75" customHeight="1" thickBot="1">
      <c r="A147" s="606" t="s">
        <v>465</v>
      </c>
      <c r="B147" s="810">
        <f t="shared" ref="B147:I147" si="49">AA141</f>
        <v>270</v>
      </c>
      <c r="C147" s="810">
        <f t="shared" si="49"/>
        <v>326</v>
      </c>
      <c r="D147" s="810">
        <f t="shared" si="49"/>
        <v>414</v>
      </c>
      <c r="E147" s="810">
        <f t="shared" si="49"/>
        <v>502</v>
      </c>
      <c r="F147" s="810">
        <f t="shared" si="49"/>
        <v>580</v>
      </c>
      <c r="G147" s="810">
        <f t="shared" si="49"/>
        <v>664</v>
      </c>
      <c r="H147" s="810">
        <f t="shared" si="49"/>
        <v>756</v>
      </c>
      <c r="I147" s="810">
        <f t="shared" si="49"/>
        <v>890</v>
      </c>
      <c r="J147" s="810">
        <f>2*J140</f>
        <v>1328</v>
      </c>
      <c r="K147" s="810">
        <f t="shared" ref="K147:R147" si="50">2*K140</f>
        <v>1512</v>
      </c>
      <c r="L147" s="810">
        <f t="shared" si="50"/>
        <v>1780</v>
      </c>
      <c r="M147" s="810">
        <f t="shared" si="50"/>
        <v>2268</v>
      </c>
      <c r="N147" s="810">
        <f t="shared" si="50"/>
        <v>2670</v>
      </c>
      <c r="O147" s="810">
        <f t="shared" si="50"/>
        <v>3024</v>
      </c>
      <c r="P147" s="810">
        <f t="shared" si="50"/>
        <v>3560</v>
      </c>
      <c r="Q147" s="810">
        <f t="shared" si="50"/>
        <v>4450</v>
      </c>
      <c r="R147" s="838">
        <f t="shared" si="50"/>
        <v>5340</v>
      </c>
      <c r="S147" s="824"/>
      <c r="T147" s="615"/>
      <c r="U147" s="23"/>
      <c r="V147" s="811"/>
      <c r="W147" s="815"/>
      <c r="X147" s="616"/>
      <c r="Z147" s="6" t="s">
        <v>466</v>
      </c>
      <c r="AA147" s="808">
        <f t="shared" ref="AA147:AH147" si="51">AA$136*4</f>
        <v>140</v>
      </c>
      <c r="AB147" s="808">
        <f t="shared" si="51"/>
        <v>200</v>
      </c>
      <c r="AC147" s="808">
        <f t="shared" si="51"/>
        <v>280</v>
      </c>
      <c r="AD147" s="808">
        <f t="shared" si="51"/>
        <v>380</v>
      </c>
      <c r="AE147" s="808">
        <f t="shared" si="51"/>
        <v>480</v>
      </c>
      <c r="AF147" s="808">
        <f t="shared" si="51"/>
        <v>600</v>
      </c>
      <c r="AG147" s="808">
        <f t="shared" si="51"/>
        <v>740</v>
      </c>
      <c r="AH147" s="808">
        <f t="shared" si="51"/>
        <v>960</v>
      </c>
    </row>
    <row r="148" spans="1:59" ht="18.75" customHeight="1">
      <c r="A148" s="606" t="s">
        <v>457</v>
      </c>
      <c r="B148" s="527">
        <f t="shared" ref="B148:G148" si="52">2*B141</f>
        <v>1028.6956521739132</v>
      </c>
      <c r="C148" s="527">
        <f t="shared" si="52"/>
        <v>1379.1304347826087</v>
      </c>
      <c r="D148" s="527">
        <f t="shared" si="52"/>
        <v>1912.695652173913</v>
      </c>
      <c r="E148" s="527">
        <f t="shared" si="52"/>
        <v>2590.9565217391305</v>
      </c>
      <c r="F148" s="527">
        <f t="shared" si="52"/>
        <v>3312.1739130434785</v>
      </c>
      <c r="G148" s="527">
        <f t="shared" si="52"/>
        <v>3990.434782608696</v>
      </c>
      <c r="H148" s="527">
        <f t="shared" ref="H148:I148" si="53">2*H141</f>
        <v>4901.5652173913049</v>
      </c>
      <c r="I148" s="527">
        <f t="shared" si="53"/>
        <v>6588.1739130434789</v>
      </c>
      <c r="J148" s="527">
        <f>2*J141</f>
        <v>7980.8695652173919</v>
      </c>
      <c r="K148" s="527">
        <f>2*K141</f>
        <v>9803.1304347826099</v>
      </c>
      <c r="L148" s="527">
        <f>2*L141</f>
        <v>13176.347826086958</v>
      </c>
      <c r="M148" s="527">
        <f>2*M141</f>
        <v>14704.695652173916</v>
      </c>
      <c r="N148" s="527">
        <f>2*N141</f>
        <v>19764.521739130436</v>
      </c>
      <c r="O148" s="527">
        <f t="shared" ref="O148:R148" si="54">2*O141</f>
        <v>19606.26086956522</v>
      </c>
      <c r="P148" s="527">
        <f t="shared" si="54"/>
        <v>26352.695652173916</v>
      </c>
      <c r="Q148" s="527">
        <f t="shared" si="54"/>
        <v>32940.869565217392</v>
      </c>
      <c r="R148" s="792">
        <f t="shared" si="54"/>
        <v>39529.043478260872</v>
      </c>
      <c r="S148" s="802"/>
      <c r="T148" s="612"/>
      <c r="U148" s="825" t="s">
        <v>467</v>
      </c>
      <c r="V148" s="827">
        <f>MIN(V141:V142)</f>
        <v>6588.1739130434789</v>
      </c>
      <c r="W148" s="612"/>
      <c r="X148" s="827">
        <f>MIN(X141:X142)</f>
        <v>956.3478260869565</v>
      </c>
      <c r="AA148" s="6">
        <f>AA137*4</f>
        <v>540</v>
      </c>
      <c r="AB148" s="6">
        <f t="shared" ref="AB148:AH148" si="55">AB137*4</f>
        <v>652</v>
      </c>
      <c r="AC148" s="6">
        <f t="shared" si="55"/>
        <v>828</v>
      </c>
      <c r="AD148" s="6">
        <f t="shared" si="55"/>
        <v>1004</v>
      </c>
      <c r="AE148" s="6">
        <f t="shared" si="55"/>
        <v>1160</v>
      </c>
      <c r="AF148" s="6">
        <f t="shared" si="55"/>
        <v>1328</v>
      </c>
      <c r="AG148" s="6">
        <f t="shared" si="55"/>
        <v>1512</v>
      </c>
      <c r="AH148" s="6">
        <f t="shared" si="55"/>
        <v>1780</v>
      </c>
    </row>
    <row r="149" spans="1:59" ht="18.75" customHeight="1" thickBot="1">
      <c r="A149" s="606" t="s">
        <v>460</v>
      </c>
      <c r="B149" s="262" t="b">
        <f t="shared" ref="B149:R149" si="56">B147&gt;$AA$120</f>
        <v>0</v>
      </c>
      <c r="C149" s="262" t="b">
        <f t="shared" si="56"/>
        <v>0</v>
      </c>
      <c r="D149" s="262" t="b">
        <f t="shared" si="56"/>
        <v>0</v>
      </c>
      <c r="E149" s="262" t="b">
        <f t="shared" si="56"/>
        <v>0</v>
      </c>
      <c r="F149" s="262" t="b">
        <f t="shared" si="56"/>
        <v>0</v>
      </c>
      <c r="G149" s="262" t="b">
        <f t="shared" si="56"/>
        <v>0</v>
      </c>
      <c r="H149" s="262" t="b">
        <f t="shared" si="56"/>
        <v>0</v>
      </c>
      <c r="I149" s="262" t="b">
        <f t="shared" si="56"/>
        <v>1</v>
      </c>
      <c r="J149" s="262" t="b">
        <f t="shared" si="56"/>
        <v>1</v>
      </c>
      <c r="K149" s="262" t="b">
        <f t="shared" si="56"/>
        <v>1</v>
      </c>
      <c r="L149" s="262" t="b">
        <f t="shared" si="56"/>
        <v>1</v>
      </c>
      <c r="M149" s="262" t="b">
        <f t="shared" si="56"/>
        <v>1</v>
      </c>
      <c r="N149" s="262" t="b">
        <f t="shared" si="56"/>
        <v>1</v>
      </c>
      <c r="O149" s="262" t="b">
        <f t="shared" si="56"/>
        <v>1</v>
      </c>
      <c r="P149" s="262" t="b">
        <f t="shared" si="56"/>
        <v>1</v>
      </c>
      <c r="Q149" s="262" t="b">
        <f t="shared" si="56"/>
        <v>1</v>
      </c>
      <c r="R149" s="605" t="b">
        <f t="shared" si="56"/>
        <v>1</v>
      </c>
      <c r="T149" s="617"/>
      <c r="U149" s="826" t="s">
        <v>442</v>
      </c>
      <c r="V149" s="828">
        <f>IFERROR(INDEX(B138:R150,1,MATCH(V148,B141:R141,0)),INDEX(B138:R150,1,MATCH(V148,B148:R148,0)))</f>
        <v>480</v>
      </c>
      <c r="W149" s="617"/>
      <c r="X149" s="828">
        <f>IFERROR(INDEX(B138:R151,1,MATCH(X148,B141:R141,0)),INDEX(B138:R151,1,MATCH(X148,B148:R148,0)))</f>
        <v>70</v>
      </c>
    </row>
    <row r="150" spans="1:59" ht="18.75" customHeight="1" thickBot="1">
      <c r="A150" s="609" t="s">
        <v>462</v>
      </c>
      <c r="B150" s="607" t="b">
        <f>B147&gt;$AA$119</f>
        <v>1</v>
      </c>
      <c r="C150" s="607" t="b">
        <f t="shared" ref="C150:R150" si="57">C147&gt;$AA$119</f>
        <v>1</v>
      </c>
      <c r="D150" s="607" t="b">
        <f t="shared" si="57"/>
        <v>1</v>
      </c>
      <c r="E150" s="607" t="b">
        <f t="shared" si="57"/>
        <v>1</v>
      </c>
      <c r="F150" s="607" t="b">
        <f t="shared" si="57"/>
        <v>1</v>
      </c>
      <c r="G150" s="607" t="b">
        <f t="shared" si="57"/>
        <v>1</v>
      </c>
      <c r="H150" s="607" t="b">
        <f t="shared" si="57"/>
        <v>1</v>
      </c>
      <c r="I150" s="607" t="b">
        <f t="shared" si="57"/>
        <v>1</v>
      </c>
      <c r="J150" s="607" t="b">
        <f t="shared" si="57"/>
        <v>1</v>
      </c>
      <c r="K150" s="607" t="b">
        <f t="shared" si="57"/>
        <v>1</v>
      </c>
      <c r="L150" s="607" t="b">
        <f t="shared" si="57"/>
        <v>1</v>
      </c>
      <c r="M150" s="607" t="b">
        <f t="shared" si="57"/>
        <v>1</v>
      </c>
      <c r="N150" s="607" t="b">
        <f t="shared" si="57"/>
        <v>1</v>
      </c>
      <c r="O150" s="607" t="b">
        <f t="shared" si="57"/>
        <v>1</v>
      </c>
      <c r="P150" s="607" t="b">
        <f t="shared" si="57"/>
        <v>1</v>
      </c>
      <c r="Q150" s="607" t="b">
        <f t="shared" si="57"/>
        <v>1</v>
      </c>
      <c r="R150" s="607" t="b">
        <f t="shared" si="57"/>
        <v>1</v>
      </c>
      <c r="U150" s="23"/>
      <c r="V150" s="806"/>
      <c r="W150" s="806"/>
      <c r="AA150" s="808"/>
      <c r="AB150" s="808"/>
      <c r="AC150" s="808"/>
      <c r="AD150" s="808"/>
      <c r="AE150" s="808"/>
      <c r="AF150" s="808"/>
      <c r="AG150" s="808"/>
      <c r="AH150" s="808"/>
    </row>
    <row r="151" spans="1:59" ht="18.75" customHeight="1">
      <c r="U151" s="23"/>
    </row>
    <row r="153" spans="1:59" ht="14" thickBot="1"/>
    <row r="154" spans="1:59" ht="14" thickBot="1">
      <c r="A154" s="789" t="s">
        <v>468</v>
      </c>
      <c r="B154" s="790">
        <v>50</v>
      </c>
      <c r="C154" s="790">
        <v>100</v>
      </c>
      <c r="D154" s="790">
        <v>150</v>
      </c>
      <c r="E154" s="790">
        <v>200</v>
      </c>
      <c r="F154" s="790">
        <v>250</v>
      </c>
      <c r="G154" s="790">
        <v>300</v>
      </c>
      <c r="H154" s="790">
        <v>350</v>
      </c>
      <c r="I154" s="790">
        <v>400</v>
      </c>
      <c r="J154" s="790">
        <v>450</v>
      </c>
      <c r="K154" s="790">
        <v>500</v>
      </c>
      <c r="L154" s="790">
        <v>550</v>
      </c>
      <c r="M154" s="790">
        <v>600</v>
      </c>
      <c r="N154" s="790">
        <v>650</v>
      </c>
      <c r="O154" s="790">
        <v>700</v>
      </c>
      <c r="P154" s="790">
        <v>750</v>
      </c>
      <c r="Q154" s="790">
        <v>800</v>
      </c>
      <c r="R154" s="790">
        <v>850</v>
      </c>
      <c r="S154" s="790">
        <v>900</v>
      </c>
      <c r="T154" s="790">
        <v>950</v>
      </c>
      <c r="U154" s="790">
        <v>1000</v>
      </c>
      <c r="V154" s="790">
        <v>1050</v>
      </c>
      <c r="W154" s="790">
        <v>1100</v>
      </c>
      <c r="X154" s="790">
        <v>1150</v>
      </c>
      <c r="Y154" s="790">
        <v>1200</v>
      </c>
      <c r="Z154" s="790">
        <v>1250</v>
      </c>
      <c r="AA154" s="790">
        <v>1300</v>
      </c>
      <c r="AB154" s="790">
        <v>1350</v>
      </c>
      <c r="AC154" s="790">
        <v>1400</v>
      </c>
      <c r="AD154" s="790">
        <v>1450</v>
      </c>
      <c r="AE154" s="790">
        <v>1500</v>
      </c>
    </row>
    <row r="155" spans="1:59">
      <c r="A155" s="606"/>
      <c r="B155" s="262"/>
      <c r="C155" s="262"/>
      <c r="D155" s="262"/>
      <c r="E155" s="262"/>
      <c r="F155" s="262"/>
      <c r="G155" s="262"/>
      <c r="H155" s="262"/>
      <c r="I155" s="262"/>
      <c r="J155" s="262"/>
      <c r="K155" s="262"/>
      <c r="L155" s="262"/>
      <c r="M155" s="262"/>
      <c r="N155" s="262"/>
      <c r="O155" s="262"/>
      <c r="P155" s="262"/>
      <c r="Q155" s="262"/>
      <c r="R155" s="262"/>
      <c r="S155" s="262"/>
      <c r="T155" s="262"/>
      <c r="U155" s="262"/>
      <c r="V155" s="262"/>
      <c r="W155" s="262"/>
      <c r="X155" s="262"/>
      <c r="Y155" s="262"/>
      <c r="Z155" s="262"/>
      <c r="AA155" s="262"/>
      <c r="AB155" s="262"/>
      <c r="AC155" s="262"/>
      <c r="AD155" s="262"/>
      <c r="AE155" s="262"/>
      <c r="BA155" s="612"/>
      <c r="BB155" s="825"/>
      <c r="BC155" s="613"/>
      <c r="BE155" s="612"/>
      <c r="BF155" s="825"/>
      <c r="BG155" s="613"/>
    </row>
    <row r="156" spans="1:59">
      <c r="A156" s="606" t="s">
        <v>469</v>
      </c>
      <c r="B156" s="775">
        <f>(51000+2030)*(B154/25)</f>
        <v>106060</v>
      </c>
      <c r="C156" s="775">
        <f t="shared" ref="C156:AE156" si="58">(51000+2030)*(C154/25)</f>
        <v>212120</v>
      </c>
      <c r="D156" s="775">
        <f t="shared" si="58"/>
        <v>318180</v>
      </c>
      <c r="E156" s="775">
        <f t="shared" si="58"/>
        <v>424240</v>
      </c>
      <c r="F156" s="775">
        <f t="shared" si="58"/>
        <v>530300</v>
      </c>
      <c r="G156" s="775">
        <f t="shared" si="58"/>
        <v>636360</v>
      </c>
      <c r="H156" s="775">
        <f t="shared" si="58"/>
        <v>742420</v>
      </c>
      <c r="I156" s="775">
        <f t="shared" si="58"/>
        <v>848480</v>
      </c>
      <c r="J156" s="775">
        <f t="shared" si="58"/>
        <v>954540</v>
      </c>
      <c r="K156" s="775">
        <f t="shared" si="58"/>
        <v>1060600</v>
      </c>
      <c r="L156" s="775">
        <f t="shared" si="58"/>
        <v>1166660</v>
      </c>
      <c r="M156" s="775">
        <f t="shared" si="58"/>
        <v>1272720</v>
      </c>
      <c r="N156" s="775">
        <f t="shared" si="58"/>
        <v>1378780</v>
      </c>
      <c r="O156" s="775">
        <f t="shared" si="58"/>
        <v>1484840</v>
      </c>
      <c r="P156" s="775">
        <f t="shared" si="58"/>
        <v>1590900</v>
      </c>
      <c r="Q156" s="775">
        <f t="shared" si="58"/>
        <v>1696960</v>
      </c>
      <c r="R156" s="775">
        <f t="shared" si="58"/>
        <v>1803020</v>
      </c>
      <c r="S156" s="775">
        <f t="shared" si="58"/>
        <v>1909080</v>
      </c>
      <c r="T156" s="775">
        <f t="shared" si="58"/>
        <v>2015140</v>
      </c>
      <c r="U156" s="775">
        <f t="shared" si="58"/>
        <v>2121200</v>
      </c>
      <c r="V156" s="775">
        <f t="shared" si="58"/>
        <v>2227260</v>
      </c>
      <c r="W156" s="775">
        <f t="shared" si="58"/>
        <v>2333320</v>
      </c>
      <c r="X156" s="775">
        <f t="shared" si="58"/>
        <v>2439380</v>
      </c>
      <c r="Y156" s="775">
        <f t="shared" si="58"/>
        <v>2545440</v>
      </c>
      <c r="Z156" s="775">
        <f t="shared" si="58"/>
        <v>2651500</v>
      </c>
      <c r="AA156" s="775">
        <f t="shared" si="58"/>
        <v>2757560</v>
      </c>
      <c r="AB156" s="775">
        <f t="shared" si="58"/>
        <v>2863620</v>
      </c>
      <c r="AC156" s="775">
        <f t="shared" si="58"/>
        <v>2969680</v>
      </c>
      <c r="AD156" s="775">
        <f t="shared" si="58"/>
        <v>3075740</v>
      </c>
      <c r="AE156" s="775">
        <f t="shared" si="58"/>
        <v>3181800</v>
      </c>
      <c r="BA156" s="615"/>
      <c r="BB156" s="23"/>
      <c r="BC156" s="816"/>
      <c r="BE156" s="615"/>
      <c r="BF156" s="23"/>
      <c r="BG156" s="816"/>
    </row>
    <row r="157" spans="1:59">
      <c r="A157" s="606" t="s">
        <v>470</v>
      </c>
      <c r="B157" s="527">
        <f>IF(B154&gt;=600,115500,(1950*(B154/25)))+IF((B154&lt;=120),72500,IF((B154&lt;=180),134300,IF((B154&lt;=300),190300,IF((B154&lt;=600),595300,IF((B154&lt;=1200),865800,IF((B154&lt;=2400),(865800*2)))))))</f>
        <v>76400</v>
      </c>
      <c r="C157" s="527">
        <f t="shared" ref="C157:AE157" si="59">IF(C154&gt;=600,115500,(1950*(C154/25)))+IF((C154&lt;=120),72500,IF((C154&lt;=180),134300,IF((C154&lt;=300),190300,IF((C154&lt;=600),595300,IF((C154&lt;=1200),865800,IF((C154&lt;=2400),(865800*2)))))))</f>
        <v>80300</v>
      </c>
      <c r="D157" s="527">
        <f t="shared" si="59"/>
        <v>146000</v>
      </c>
      <c r="E157" s="527">
        <f t="shared" si="59"/>
        <v>205900</v>
      </c>
      <c r="F157" s="527">
        <f t="shared" si="59"/>
        <v>209800</v>
      </c>
      <c r="G157" s="527">
        <f t="shared" si="59"/>
        <v>213700</v>
      </c>
      <c r="H157" s="527">
        <f t="shared" si="59"/>
        <v>622600</v>
      </c>
      <c r="I157" s="527">
        <f t="shared" si="59"/>
        <v>626500</v>
      </c>
      <c r="J157" s="527">
        <f t="shared" si="59"/>
        <v>630400</v>
      </c>
      <c r="K157" s="527">
        <f t="shared" si="59"/>
        <v>634300</v>
      </c>
      <c r="L157" s="527">
        <f t="shared" si="59"/>
        <v>638200</v>
      </c>
      <c r="M157" s="527">
        <f t="shared" si="59"/>
        <v>710800</v>
      </c>
      <c r="N157" s="527">
        <f t="shared" si="59"/>
        <v>981300</v>
      </c>
      <c r="O157" s="527">
        <f t="shared" si="59"/>
        <v>981300</v>
      </c>
      <c r="P157" s="527">
        <f t="shared" si="59"/>
        <v>981300</v>
      </c>
      <c r="Q157" s="527">
        <f t="shared" si="59"/>
        <v>981300</v>
      </c>
      <c r="R157" s="527">
        <f t="shared" si="59"/>
        <v>981300</v>
      </c>
      <c r="S157" s="527">
        <f t="shared" si="59"/>
        <v>981300</v>
      </c>
      <c r="T157" s="527">
        <f t="shared" si="59"/>
        <v>981300</v>
      </c>
      <c r="U157" s="527">
        <f t="shared" si="59"/>
        <v>981300</v>
      </c>
      <c r="V157" s="527">
        <f t="shared" si="59"/>
        <v>981300</v>
      </c>
      <c r="W157" s="527">
        <f t="shared" si="59"/>
        <v>981300</v>
      </c>
      <c r="X157" s="527">
        <f t="shared" si="59"/>
        <v>981300</v>
      </c>
      <c r="Y157" s="527">
        <f t="shared" si="59"/>
        <v>981300</v>
      </c>
      <c r="Z157" s="527">
        <f>IF(Z154&gt;=600,115500,(1950*(Z154/25)))+IF((Z154&lt;=120),72500,IF((Z154&lt;=180),134300,IF((Z154&lt;=300),190300,IF((Z154&lt;=600),595300,IF((Z154&lt;=1200),865800,IF((Z154&lt;=2400),(865800*2)))))))</f>
        <v>1847100</v>
      </c>
      <c r="AA157" s="527">
        <f t="shared" si="59"/>
        <v>1847100</v>
      </c>
      <c r="AB157" s="527">
        <f t="shared" si="59"/>
        <v>1847100</v>
      </c>
      <c r="AC157" s="527">
        <f t="shared" si="59"/>
        <v>1847100</v>
      </c>
      <c r="AD157" s="527">
        <f t="shared" si="59"/>
        <v>1847100</v>
      </c>
      <c r="AE157" s="527">
        <f t="shared" si="59"/>
        <v>1847100</v>
      </c>
      <c r="BA157" s="615"/>
      <c r="BB157" s="23"/>
      <c r="BC157" s="616"/>
      <c r="BE157" s="615"/>
      <c r="BF157" s="23"/>
      <c r="BG157" s="616"/>
    </row>
    <row r="158" spans="1:59">
      <c r="A158" s="606" t="s">
        <v>474</v>
      </c>
      <c r="B158" s="527" t="b">
        <f>IF(B154&gt;'Design Inputs'!$E$41,TRUE,FALSE)</f>
        <v>0</v>
      </c>
      <c r="C158" s="527" t="b">
        <f>IF(C154&gt;'Design Inputs'!$E$41,TRUE,FALSE)</f>
        <v>0</v>
      </c>
      <c r="D158" s="527" t="b">
        <f>IF(D154&gt;'Design Inputs'!$E$41,TRUE,FALSE)</f>
        <v>0</v>
      </c>
      <c r="E158" s="527" t="b">
        <f>IF(E154&gt;'Design Inputs'!$E$41,TRUE,FALSE)</f>
        <v>0</v>
      </c>
      <c r="F158" s="527" t="b">
        <f>IF(F154&gt;'Design Inputs'!$E$41,TRUE,FALSE)</f>
        <v>1</v>
      </c>
      <c r="G158" s="527" t="b">
        <f>IF(G154&gt;'Design Inputs'!$E$41,TRUE,FALSE)</f>
        <v>1</v>
      </c>
      <c r="H158" s="527" t="b">
        <f>IF(H154&gt;'Design Inputs'!$E$41,TRUE,FALSE)</f>
        <v>1</v>
      </c>
      <c r="I158" s="527" t="b">
        <f>IF(I154&gt;'Design Inputs'!$E$41,TRUE,FALSE)</f>
        <v>1</v>
      </c>
      <c r="J158" s="527" t="b">
        <f>IF(J154&gt;'Design Inputs'!$E$41,TRUE,FALSE)</f>
        <v>1</v>
      </c>
      <c r="K158" s="527" t="b">
        <f>IF(K154&gt;'Design Inputs'!$E$41,TRUE,FALSE)</f>
        <v>1</v>
      </c>
      <c r="L158" s="527" t="b">
        <f>IF(L154&gt;'Design Inputs'!$E$41,TRUE,FALSE)</f>
        <v>1</v>
      </c>
      <c r="M158" s="527" t="b">
        <f>IF(M154&gt;'Design Inputs'!$E$41,TRUE,FALSE)</f>
        <v>1</v>
      </c>
      <c r="N158" s="527" t="b">
        <f>IF(N154&gt;'Design Inputs'!$E$41,TRUE,FALSE)</f>
        <v>1</v>
      </c>
      <c r="O158" s="527" t="b">
        <f>IF(O154&gt;'Design Inputs'!$E$41,TRUE,FALSE)</f>
        <v>1</v>
      </c>
      <c r="P158" s="527" t="b">
        <f>IF(P154&gt;'Design Inputs'!$E$41,TRUE,FALSE)</f>
        <v>1</v>
      </c>
      <c r="Q158" s="527" t="b">
        <f>IF(Q154&gt;'Design Inputs'!$E$41,TRUE,FALSE)</f>
        <v>1</v>
      </c>
      <c r="R158" s="527" t="b">
        <f>IF(R154&gt;'Design Inputs'!$E$41,TRUE,FALSE)</f>
        <v>1</v>
      </c>
      <c r="S158" s="527" t="b">
        <f>IF(S154&gt;'Design Inputs'!$E$41,TRUE,FALSE)</f>
        <v>1</v>
      </c>
      <c r="T158" s="527" t="b">
        <f>IF(T154&gt;'Design Inputs'!$E$41,TRUE,FALSE)</f>
        <v>1</v>
      </c>
      <c r="U158" s="527" t="b">
        <f>IF(U154&gt;'Design Inputs'!$E$41,TRUE,FALSE)</f>
        <v>1</v>
      </c>
      <c r="V158" s="527" t="b">
        <f>IF(V154&gt;'Design Inputs'!$E$41,TRUE,FALSE)</f>
        <v>1</v>
      </c>
      <c r="W158" s="527" t="b">
        <f>IF(W154&gt;'Design Inputs'!$E$41,TRUE,FALSE)</f>
        <v>1</v>
      </c>
      <c r="X158" s="527" t="b">
        <f>IF(X154&gt;'Design Inputs'!$E$41,TRUE,FALSE)</f>
        <v>1</v>
      </c>
      <c r="Y158" s="527" t="b">
        <f>IF(Y154&gt;'Design Inputs'!$E$41,TRUE,FALSE)</f>
        <v>1</v>
      </c>
      <c r="Z158" s="527" t="b">
        <f>IF(Z154&gt;'Design Inputs'!$E$41,TRUE,FALSE)</f>
        <v>1</v>
      </c>
      <c r="AA158" s="527" t="b">
        <f>IF(AA154&gt;'Design Inputs'!$E$41,TRUE,FALSE)</f>
        <v>1</v>
      </c>
      <c r="AB158" s="527" t="b">
        <f>IF(AB154&gt;'Design Inputs'!$E$41,TRUE,FALSE)</f>
        <v>1</v>
      </c>
      <c r="AC158" s="527" t="b">
        <f>IF(AC154&gt;'Design Inputs'!$E$41,TRUE,FALSE)</f>
        <v>1</v>
      </c>
      <c r="AD158" s="527" t="b">
        <f>IF(AD154&gt;'Design Inputs'!$E$41,TRUE,FALSE)</f>
        <v>1</v>
      </c>
      <c r="AE158" s="527" t="b">
        <f>IF(AE154&gt;'Design Inputs'!$E$41,TRUE,FALSE)</f>
        <v>1</v>
      </c>
      <c r="BA158" s="615" t="s">
        <v>471</v>
      </c>
      <c r="BB158" s="23" t="s">
        <v>472</v>
      </c>
      <c r="BC158" s="934">
        <f>IFERROR((INDEX(B154:AE154,1,MATCH(TRUE,B158:AE158,0))),"Not a standard size. Needs a data tool and manual selection")</f>
        <v>250</v>
      </c>
      <c r="BE158" s="615" t="s">
        <v>473</v>
      </c>
      <c r="BF158" s="23" t="s">
        <v>458</v>
      </c>
      <c r="BG158" s="817">
        <f>IFERROR((INDEX(B141:R142,1,MATCH(TRUE,B144:R144,0))),BG159)</f>
        <v>3294.0869565217395</v>
      </c>
    </row>
    <row r="159" spans="1:59">
      <c r="A159" s="606"/>
      <c r="B159" s="262"/>
      <c r="C159" s="262"/>
      <c r="D159" s="262"/>
      <c r="E159" s="262"/>
      <c r="F159" s="262"/>
      <c r="G159" s="262"/>
      <c r="H159" s="262"/>
      <c r="I159" s="262"/>
      <c r="J159" s="262"/>
      <c r="K159" s="262"/>
      <c r="L159" s="262"/>
      <c r="M159" s="262"/>
      <c r="N159" s="262"/>
      <c r="O159" s="262"/>
      <c r="P159" s="262"/>
      <c r="Q159" s="262"/>
      <c r="R159" s="262"/>
      <c r="S159" s="262"/>
      <c r="T159" s="262"/>
      <c r="U159" s="262"/>
      <c r="V159" s="262"/>
      <c r="W159" s="262"/>
      <c r="X159" s="262"/>
      <c r="Y159" s="262"/>
      <c r="Z159" s="262"/>
      <c r="AA159" s="262"/>
      <c r="AB159" s="262"/>
      <c r="AC159" s="262"/>
      <c r="AD159" s="262"/>
      <c r="AE159" s="262"/>
      <c r="BA159" s="615" t="s">
        <v>475</v>
      </c>
      <c r="BB159" s="23" t="s">
        <v>476</v>
      </c>
      <c r="BC159" s="935">
        <f>INDEX(B161:AY161,1,MATCH(TRUE,B164:AY164,0))</f>
        <v>624</v>
      </c>
      <c r="BE159" s="615"/>
      <c r="BF159" s="23"/>
      <c r="BG159" s="811"/>
    </row>
    <row r="160" spans="1:59">
      <c r="A160" s="615"/>
      <c r="K160" s="616"/>
      <c r="BA160" s="615"/>
      <c r="BB160" s="23"/>
      <c r="BC160" s="811"/>
      <c r="BE160" s="615"/>
      <c r="BF160" s="23"/>
      <c r="BG160" s="811"/>
    </row>
    <row r="161" spans="1:59">
      <c r="A161" s="793" t="s">
        <v>477</v>
      </c>
      <c r="B161" s="496">
        <f>6*8</f>
        <v>48</v>
      </c>
      <c r="C161" s="496">
        <f>B161*2</f>
        <v>96</v>
      </c>
      <c r="D161" s="496">
        <f>C161+48</f>
        <v>144</v>
      </c>
      <c r="E161" s="496">
        <f>D161+48</f>
        <v>192</v>
      </c>
      <c r="F161" s="496">
        <f t="shared" ref="F161:AX161" si="60">E161+48</f>
        <v>240</v>
      </c>
      <c r="G161" s="496">
        <f t="shared" si="60"/>
        <v>288</v>
      </c>
      <c r="H161" s="496">
        <f t="shared" si="60"/>
        <v>336</v>
      </c>
      <c r="I161" s="496">
        <f t="shared" si="60"/>
        <v>384</v>
      </c>
      <c r="J161" s="496">
        <f t="shared" si="60"/>
        <v>432</v>
      </c>
      <c r="K161" s="496">
        <f t="shared" si="60"/>
        <v>480</v>
      </c>
      <c r="L161" s="496">
        <f t="shared" si="60"/>
        <v>528</v>
      </c>
      <c r="M161" s="496">
        <f t="shared" si="60"/>
        <v>576</v>
      </c>
      <c r="N161" s="496">
        <f t="shared" si="60"/>
        <v>624</v>
      </c>
      <c r="O161" s="496">
        <f t="shared" si="60"/>
        <v>672</v>
      </c>
      <c r="P161" s="496">
        <f t="shared" si="60"/>
        <v>720</v>
      </c>
      <c r="Q161" s="496">
        <f t="shared" si="60"/>
        <v>768</v>
      </c>
      <c r="R161" s="496">
        <f t="shared" si="60"/>
        <v>816</v>
      </c>
      <c r="S161" s="496">
        <f t="shared" si="60"/>
        <v>864</v>
      </c>
      <c r="T161" s="496">
        <f t="shared" si="60"/>
        <v>912</v>
      </c>
      <c r="U161" s="496">
        <f t="shared" si="60"/>
        <v>960</v>
      </c>
      <c r="V161" s="496">
        <f t="shared" si="60"/>
        <v>1008</v>
      </c>
      <c r="W161" s="496">
        <f t="shared" si="60"/>
        <v>1056</v>
      </c>
      <c r="X161" s="496">
        <f t="shared" si="60"/>
        <v>1104</v>
      </c>
      <c r="Y161" s="496">
        <f t="shared" si="60"/>
        <v>1152</v>
      </c>
      <c r="Z161" s="496">
        <f t="shared" si="60"/>
        <v>1200</v>
      </c>
      <c r="AA161" s="496">
        <f t="shared" si="60"/>
        <v>1248</v>
      </c>
      <c r="AB161" s="496">
        <f t="shared" si="60"/>
        <v>1296</v>
      </c>
      <c r="AC161" s="496">
        <f t="shared" si="60"/>
        <v>1344</v>
      </c>
      <c r="AD161" s="496">
        <f t="shared" si="60"/>
        <v>1392</v>
      </c>
      <c r="AE161" s="496">
        <f t="shared" si="60"/>
        <v>1440</v>
      </c>
      <c r="AF161" s="496">
        <f>AE161+48</f>
        <v>1488</v>
      </c>
      <c r="AG161" s="496">
        <f t="shared" si="60"/>
        <v>1536</v>
      </c>
      <c r="AH161" s="496">
        <f t="shared" si="60"/>
        <v>1584</v>
      </c>
      <c r="AI161" s="496">
        <f t="shared" si="60"/>
        <v>1632</v>
      </c>
      <c r="AJ161" s="496">
        <f t="shared" si="60"/>
        <v>1680</v>
      </c>
      <c r="AK161" s="496">
        <f t="shared" si="60"/>
        <v>1728</v>
      </c>
      <c r="AL161" s="496">
        <f t="shared" si="60"/>
        <v>1776</v>
      </c>
      <c r="AM161" s="496">
        <f t="shared" si="60"/>
        <v>1824</v>
      </c>
      <c r="AN161" s="496">
        <f t="shared" si="60"/>
        <v>1872</v>
      </c>
      <c r="AO161" s="496">
        <f t="shared" si="60"/>
        <v>1920</v>
      </c>
      <c r="AP161" s="496">
        <f t="shared" si="60"/>
        <v>1968</v>
      </c>
      <c r="AQ161" s="496">
        <f t="shared" si="60"/>
        <v>2016</v>
      </c>
      <c r="AR161" s="496">
        <f t="shared" si="60"/>
        <v>2064</v>
      </c>
      <c r="AS161" s="496">
        <f t="shared" si="60"/>
        <v>2112</v>
      </c>
      <c r="AT161" s="496">
        <f t="shared" si="60"/>
        <v>2160</v>
      </c>
      <c r="AU161" s="496">
        <f t="shared" si="60"/>
        <v>2208</v>
      </c>
      <c r="AV161" s="496">
        <f t="shared" si="60"/>
        <v>2256</v>
      </c>
      <c r="AW161" s="496">
        <f t="shared" si="60"/>
        <v>2304</v>
      </c>
      <c r="AX161" s="496">
        <f t="shared" si="60"/>
        <v>2352</v>
      </c>
      <c r="AY161" s="496">
        <f>AX161+48</f>
        <v>2400</v>
      </c>
      <c r="BA161" s="615"/>
      <c r="BB161" s="23"/>
      <c r="BC161" s="811"/>
      <c r="BE161" s="615"/>
      <c r="BF161" s="23"/>
      <c r="BG161" s="811"/>
    </row>
    <row r="162" spans="1:59" ht="14" thickBot="1">
      <c r="A162" s="606" t="s">
        <v>478</v>
      </c>
      <c r="B162" s="774"/>
      <c r="C162" s="774"/>
      <c r="D162" s="774"/>
      <c r="E162" s="774"/>
      <c r="F162" s="774"/>
      <c r="G162" s="774"/>
      <c r="H162" s="774"/>
      <c r="I162" s="774"/>
      <c r="J162" s="774"/>
      <c r="K162" s="774"/>
      <c r="L162" s="774"/>
      <c r="M162" s="774"/>
      <c r="N162" s="774"/>
      <c r="O162" s="774"/>
      <c r="P162" s="774"/>
      <c r="Q162" s="774"/>
      <c r="R162" s="774"/>
      <c r="S162" s="774"/>
      <c r="T162" s="774"/>
      <c r="U162" s="774"/>
      <c r="V162" s="774"/>
      <c r="W162" s="774"/>
      <c r="X162" s="774"/>
      <c r="Y162" s="774"/>
      <c r="Z162" s="774"/>
      <c r="AA162" s="774"/>
      <c r="AB162" s="774"/>
      <c r="AC162" s="774"/>
      <c r="AD162" s="774"/>
      <c r="AE162" s="774"/>
      <c r="AF162" s="774"/>
      <c r="AG162" s="774"/>
      <c r="AH162" s="774"/>
      <c r="AI162" s="774"/>
      <c r="AJ162" s="774"/>
      <c r="AK162" s="774"/>
      <c r="AL162" s="774"/>
      <c r="AM162" s="774"/>
      <c r="AN162" s="774"/>
      <c r="AO162" s="774"/>
      <c r="AP162" s="774"/>
      <c r="AQ162" s="774"/>
      <c r="AR162" s="774"/>
      <c r="AS162" s="774"/>
      <c r="AT162" s="774"/>
      <c r="AU162" s="774"/>
      <c r="AV162" s="774"/>
      <c r="AW162" s="774"/>
      <c r="AX162" s="774"/>
      <c r="AY162" s="774"/>
      <c r="BA162" s="617"/>
      <c r="BB162" s="826"/>
      <c r="BC162" s="936"/>
      <c r="BE162" s="615"/>
      <c r="BF162" s="23"/>
      <c r="BG162" s="811"/>
    </row>
    <row r="163" spans="1:59">
      <c r="A163" s="606"/>
      <c r="B163" s="775">
        <f>33400*(B161/8)</f>
        <v>200400</v>
      </c>
      <c r="C163" s="775">
        <f>33400*(C161/8)</f>
        <v>400800</v>
      </c>
      <c r="D163" s="775">
        <f t="shared" ref="D163:AY163" si="61">33400*(D161/8)</f>
        <v>601200</v>
      </c>
      <c r="E163" s="775">
        <f t="shared" si="61"/>
        <v>801600</v>
      </c>
      <c r="F163" s="775">
        <f t="shared" si="61"/>
        <v>1002000</v>
      </c>
      <c r="G163" s="775">
        <f t="shared" si="61"/>
        <v>1202400</v>
      </c>
      <c r="H163" s="775">
        <f t="shared" si="61"/>
        <v>1402800</v>
      </c>
      <c r="I163" s="775">
        <f t="shared" si="61"/>
        <v>1603200</v>
      </c>
      <c r="J163" s="775">
        <f t="shared" si="61"/>
        <v>1803600</v>
      </c>
      <c r="K163" s="775">
        <f t="shared" si="61"/>
        <v>2004000</v>
      </c>
      <c r="L163" s="775">
        <f t="shared" si="61"/>
        <v>2204400</v>
      </c>
      <c r="M163" s="775">
        <f t="shared" si="61"/>
        <v>2404800</v>
      </c>
      <c r="N163" s="775">
        <f t="shared" si="61"/>
        <v>2605200</v>
      </c>
      <c r="O163" s="775">
        <f t="shared" si="61"/>
        <v>2805600</v>
      </c>
      <c r="P163" s="775">
        <f t="shared" si="61"/>
        <v>3006000</v>
      </c>
      <c r="Q163" s="775">
        <f t="shared" si="61"/>
        <v>3206400</v>
      </c>
      <c r="R163" s="775">
        <f t="shared" si="61"/>
        <v>3406800</v>
      </c>
      <c r="S163" s="775">
        <f t="shared" si="61"/>
        <v>3607200</v>
      </c>
      <c r="T163" s="775">
        <f t="shared" si="61"/>
        <v>3807600</v>
      </c>
      <c r="U163" s="775">
        <f t="shared" si="61"/>
        <v>4008000</v>
      </c>
      <c r="V163" s="775">
        <f t="shared" si="61"/>
        <v>4208400</v>
      </c>
      <c r="W163" s="775">
        <f t="shared" si="61"/>
        <v>4408800</v>
      </c>
      <c r="X163" s="775">
        <f t="shared" si="61"/>
        <v>4609200</v>
      </c>
      <c r="Y163" s="775">
        <f t="shared" si="61"/>
        <v>4809600</v>
      </c>
      <c r="Z163" s="775">
        <f t="shared" si="61"/>
        <v>5010000</v>
      </c>
      <c r="AA163" s="775">
        <f t="shared" si="61"/>
        <v>5210400</v>
      </c>
      <c r="AB163" s="775">
        <f t="shared" si="61"/>
        <v>5410800</v>
      </c>
      <c r="AC163" s="775">
        <f t="shared" si="61"/>
        <v>5611200</v>
      </c>
      <c r="AD163" s="775">
        <f t="shared" si="61"/>
        <v>5811600</v>
      </c>
      <c r="AE163" s="775">
        <f t="shared" si="61"/>
        <v>6012000</v>
      </c>
      <c r="AF163" s="775">
        <f t="shared" si="61"/>
        <v>6212400</v>
      </c>
      <c r="AG163" s="775">
        <f t="shared" si="61"/>
        <v>6412800</v>
      </c>
      <c r="AH163" s="775">
        <f t="shared" si="61"/>
        <v>6613200</v>
      </c>
      <c r="AI163" s="775">
        <f t="shared" si="61"/>
        <v>6813600</v>
      </c>
      <c r="AJ163" s="775">
        <f t="shared" si="61"/>
        <v>7014000</v>
      </c>
      <c r="AK163" s="775">
        <f t="shared" si="61"/>
        <v>7214400</v>
      </c>
      <c r="AL163" s="775">
        <f t="shared" si="61"/>
        <v>7414800</v>
      </c>
      <c r="AM163" s="775">
        <f t="shared" si="61"/>
        <v>7615200</v>
      </c>
      <c r="AN163" s="775">
        <f t="shared" si="61"/>
        <v>7815600</v>
      </c>
      <c r="AO163" s="775">
        <f t="shared" si="61"/>
        <v>8016000</v>
      </c>
      <c r="AP163" s="775">
        <f t="shared" si="61"/>
        <v>8216400</v>
      </c>
      <c r="AQ163" s="775">
        <f t="shared" si="61"/>
        <v>8416800</v>
      </c>
      <c r="AR163" s="775">
        <f t="shared" si="61"/>
        <v>8617200</v>
      </c>
      <c r="AS163" s="775">
        <f t="shared" si="61"/>
        <v>8817600</v>
      </c>
      <c r="AT163" s="775">
        <f t="shared" si="61"/>
        <v>9018000</v>
      </c>
      <c r="AU163" s="775">
        <f t="shared" si="61"/>
        <v>9218400</v>
      </c>
      <c r="AV163" s="775">
        <f t="shared" si="61"/>
        <v>9418800</v>
      </c>
      <c r="AW163" s="775">
        <f t="shared" si="61"/>
        <v>9619200</v>
      </c>
      <c r="AX163" s="775">
        <f t="shared" si="61"/>
        <v>9819600</v>
      </c>
      <c r="AY163" s="775">
        <f t="shared" si="61"/>
        <v>10020000</v>
      </c>
      <c r="BE163" s="612"/>
      <c r="BF163" s="825" t="s">
        <v>467</v>
      </c>
      <c r="BG163" s="827">
        <f>MIN(BG158:BG159)</f>
        <v>3294.0869565217395</v>
      </c>
    </row>
    <row r="164" spans="1:59" ht="14" thickBot="1">
      <c r="A164" s="794" t="s">
        <v>479</v>
      </c>
      <c r="B164" s="527" t="b">
        <f>IF(B161&gt;'Design Inputs'!$E$48,TRUE,FALSE)</f>
        <v>0</v>
      </c>
      <c r="C164" s="527" t="b">
        <f>IF(C161&gt;'Design Inputs'!$E$48,TRUE,FALSE)</f>
        <v>0</v>
      </c>
      <c r="D164" s="527" t="b">
        <f>IF(D161&gt;'Design Inputs'!$E$48,TRUE,FALSE)</f>
        <v>0</v>
      </c>
      <c r="E164" s="527" t="b">
        <f>IF(E161&gt;'Design Inputs'!$E$48,TRUE,FALSE)</f>
        <v>0</v>
      </c>
      <c r="F164" s="527" t="b">
        <f>IF(F161&gt;'Design Inputs'!$E$48,TRUE,FALSE)</f>
        <v>0</v>
      </c>
      <c r="G164" s="527" t="b">
        <f>IF(G161&gt;'Design Inputs'!$E$48,TRUE,FALSE)</f>
        <v>0</v>
      </c>
      <c r="H164" s="527" t="b">
        <f>IF(H161&gt;'Design Inputs'!$E$48,TRUE,FALSE)</f>
        <v>0</v>
      </c>
      <c r="I164" s="527" t="b">
        <f>IF(I161&gt;'Design Inputs'!$E$48,TRUE,FALSE)</f>
        <v>0</v>
      </c>
      <c r="J164" s="527" t="b">
        <f>IF(J161&gt;'Design Inputs'!$E$48,TRUE,FALSE)</f>
        <v>0</v>
      </c>
      <c r="K164" s="527" t="b">
        <f>IF(K161&gt;'Design Inputs'!$E$48,TRUE,FALSE)</f>
        <v>0</v>
      </c>
      <c r="L164" s="527" t="b">
        <f>IF(L161&gt;'Design Inputs'!$E$48,TRUE,FALSE)</f>
        <v>0</v>
      </c>
      <c r="M164" s="527" t="b">
        <f>IF(M161&gt;'Design Inputs'!$E$48,TRUE,FALSE)</f>
        <v>0</v>
      </c>
      <c r="N164" s="527" t="b">
        <f>IF(N161&gt;'Design Inputs'!$E$48,TRUE,FALSE)</f>
        <v>1</v>
      </c>
      <c r="O164" s="527" t="b">
        <f>IF(O161&gt;'Design Inputs'!$E$48,TRUE,FALSE)</f>
        <v>1</v>
      </c>
      <c r="P164" s="527" t="b">
        <f>IF(P161&gt;'Design Inputs'!$E$48,TRUE,FALSE)</f>
        <v>1</v>
      </c>
      <c r="Q164" s="527" t="b">
        <f>IF(Q161&gt;'Design Inputs'!$E$48,TRUE,FALSE)</f>
        <v>1</v>
      </c>
      <c r="R164" s="527" t="b">
        <f>IF(R161&gt;'Design Inputs'!$E$48,TRUE,FALSE)</f>
        <v>1</v>
      </c>
      <c r="S164" s="527" t="b">
        <f>IF(S161&gt;'Design Inputs'!$E$48,TRUE,FALSE)</f>
        <v>1</v>
      </c>
      <c r="T164" s="527" t="b">
        <f>IF(T161&gt;'Design Inputs'!$E$48,TRUE,FALSE)</f>
        <v>1</v>
      </c>
      <c r="U164" s="527" t="b">
        <f>IF(U161&gt;'Design Inputs'!$E$48,TRUE,FALSE)</f>
        <v>1</v>
      </c>
      <c r="V164" s="527" t="b">
        <f>IF(V161&gt;'Design Inputs'!$E$48,TRUE,FALSE)</f>
        <v>1</v>
      </c>
      <c r="W164" s="527" t="b">
        <f>IF(W161&gt;'Design Inputs'!$E$48,TRUE,FALSE)</f>
        <v>1</v>
      </c>
      <c r="X164" s="527" t="b">
        <f>IF(X161&gt;'Design Inputs'!$E$48,TRUE,FALSE)</f>
        <v>1</v>
      </c>
      <c r="Y164" s="527" t="b">
        <f>IF(Y161&gt;'Design Inputs'!$E$48,TRUE,FALSE)</f>
        <v>1</v>
      </c>
      <c r="Z164" s="527" t="b">
        <f>IF(Z161&gt;'Design Inputs'!$E$48,TRUE,FALSE)</f>
        <v>1</v>
      </c>
      <c r="AA164" s="527" t="b">
        <f>IF(AA161&gt;'Design Inputs'!$E$48,TRUE,FALSE)</f>
        <v>1</v>
      </c>
      <c r="AB164" s="527" t="b">
        <f>IF(AB161&gt;'Design Inputs'!$E$48,TRUE,FALSE)</f>
        <v>1</v>
      </c>
      <c r="AC164" s="527" t="b">
        <f>IF(AC161&gt;'Design Inputs'!$E$48,TRUE,FALSE)</f>
        <v>1</v>
      </c>
      <c r="AD164" s="527" t="b">
        <f>IF(AD161&gt;'Design Inputs'!$E$48,TRUE,FALSE)</f>
        <v>1</v>
      </c>
      <c r="AE164" s="527" t="b">
        <f>IF(AE161&gt;'Design Inputs'!$E$48,TRUE,FALSE)</f>
        <v>1</v>
      </c>
      <c r="AF164" s="527" t="b">
        <f>IF(AF161&gt;'Design Inputs'!$E$48,TRUE,FALSE)</f>
        <v>1</v>
      </c>
      <c r="AG164" s="527" t="b">
        <f>IF(AG161&gt;'Design Inputs'!$E$48,TRUE,FALSE)</f>
        <v>1</v>
      </c>
      <c r="AH164" s="527" t="b">
        <f>IF(AH161&gt;'Design Inputs'!$E$48,TRUE,FALSE)</f>
        <v>1</v>
      </c>
      <c r="AI164" s="527" t="b">
        <f>IF(AI161&gt;'Design Inputs'!$E$48,TRUE,FALSE)</f>
        <v>1</v>
      </c>
      <c r="AJ164" s="527" t="b">
        <f>IF(AJ161&gt;'Design Inputs'!$E$48,TRUE,FALSE)</f>
        <v>1</v>
      </c>
      <c r="AK164" s="527" t="b">
        <f>IF(AK161&gt;'Design Inputs'!$E$48,TRUE,FALSE)</f>
        <v>1</v>
      </c>
      <c r="AL164" s="527" t="b">
        <f>IF(AL161&gt;'Design Inputs'!$E$48,TRUE,FALSE)</f>
        <v>1</v>
      </c>
      <c r="AM164" s="527" t="b">
        <f>IF(AM161&gt;'Design Inputs'!$E$48,TRUE,FALSE)</f>
        <v>1</v>
      </c>
      <c r="AN164" s="527" t="b">
        <f>IF(AN161&gt;'Design Inputs'!$E$48,TRUE,FALSE)</f>
        <v>1</v>
      </c>
      <c r="AO164" s="527" t="b">
        <f>IF(AO161&gt;'Design Inputs'!$E$48,TRUE,FALSE)</f>
        <v>1</v>
      </c>
      <c r="AP164" s="527" t="b">
        <f>IF(AP161&gt;'Design Inputs'!$E$48,TRUE,FALSE)</f>
        <v>1</v>
      </c>
      <c r="AQ164" s="527" t="b">
        <f>IF(AQ161&gt;'Design Inputs'!$E$48,TRUE,FALSE)</f>
        <v>1</v>
      </c>
      <c r="AR164" s="527" t="b">
        <f>IF(AR161&gt;'Design Inputs'!$E$48,TRUE,FALSE)</f>
        <v>1</v>
      </c>
      <c r="AS164" s="527" t="b">
        <f>IF(AS161&gt;'Design Inputs'!$E$48,TRUE,FALSE)</f>
        <v>1</v>
      </c>
      <c r="AT164" s="527" t="b">
        <f>IF(AT161&gt;'Design Inputs'!$E$48,TRUE,FALSE)</f>
        <v>1</v>
      </c>
      <c r="AU164" s="527" t="b">
        <f>IF(AU161&gt;'Design Inputs'!$E$48,TRUE,FALSE)</f>
        <v>1</v>
      </c>
      <c r="AV164" s="527" t="b">
        <f>IF(AV161&gt;'Design Inputs'!$E$48,TRUE,FALSE)</f>
        <v>1</v>
      </c>
      <c r="AW164" s="527" t="b">
        <f>IF(AW161&gt;'Design Inputs'!$E$48,TRUE,FALSE)</f>
        <v>1</v>
      </c>
      <c r="AX164" s="527" t="b">
        <f>IF(AX161&gt;'Design Inputs'!$E$48,TRUE,FALSE)</f>
        <v>1</v>
      </c>
      <c r="AY164" s="527" t="b">
        <f>IF(AY161&gt;'Design Inputs'!$E$48,TRUE,FALSE)</f>
        <v>1</v>
      </c>
      <c r="BE164" s="617"/>
      <c r="BF164" s="826" t="s">
        <v>442</v>
      </c>
      <c r="BG164" s="828">
        <f>IFERROR(INDEX(B138:R150,1,MATCH(BG163,B141:R141,0)),INDEX(B138:R150,1,MATCH(BG163,B148:R148,0)))</f>
        <v>240</v>
      </c>
    </row>
    <row r="165" spans="1:59">
      <c r="A165" s="794"/>
      <c r="B165" s="777"/>
      <c r="C165" s="777"/>
      <c r="D165" s="778"/>
      <c r="E165" s="778"/>
      <c r="F165" s="778"/>
      <c r="G165" s="778"/>
      <c r="H165" s="778"/>
      <c r="I165" s="779"/>
      <c r="J165" s="777"/>
      <c r="K165" s="616"/>
    </row>
    <row r="166" spans="1:59">
      <c r="A166" s="795" t="s">
        <v>349</v>
      </c>
      <c r="B166" s="781">
        <f>IF('Costing Inputs'!$V$18='Supplier database'!B161,1,0)</f>
        <v>0</v>
      </c>
      <c r="C166" s="781">
        <f>IF('Costing Inputs'!$V$18='Supplier database'!C161,1,0)</f>
        <v>0</v>
      </c>
      <c r="D166" s="781">
        <f>IF('Costing Inputs'!$V$18='Supplier database'!D161,1,0)</f>
        <v>0</v>
      </c>
      <c r="E166" s="781">
        <f>IF('Costing Inputs'!$V$18='Supplier database'!E161,1,0)</f>
        <v>0</v>
      </c>
      <c r="F166" s="781">
        <f>IF('Costing Inputs'!$V$18='Supplier database'!F161,1,0)</f>
        <v>0</v>
      </c>
      <c r="G166" s="781">
        <f>IF('Costing Inputs'!$V$18='Supplier database'!G161,1,0)</f>
        <v>0</v>
      </c>
      <c r="H166" s="781">
        <f>IF('Costing Inputs'!$V$18='Supplier database'!H161,1,0)</f>
        <v>0</v>
      </c>
      <c r="I166" s="781">
        <f>IF('Costing Inputs'!$V$18='Supplier database'!I161,1,0)</f>
        <v>0</v>
      </c>
      <c r="J166" s="781">
        <f>IF('Costing Inputs'!$V$18='Supplier database'!J161,1,0)</f>
        <v>0</v>
      </c>
      <c r="K166" s="781">
        <f>IF('Costing Inputs'!$V$18='Supplier database'!K161,1,0)</f>
        <v>0</v>
      </c>
      <c r="L166" s="781">
        <f>IF('Costing Inputs'!$V$18='Supplier database'!L161,1,0)</f>
        <v>0</v>
      </c>
      <c r="M166" s="781">
        <f>IF('Costing Inputs'!$V$18='Supplier database'!M161,1,0)</f>
        <v>0</v>
      </c>
      <c r="N166" s="781">
        <f>IF('Costing Inputs'!$V$18='Supplier database'!N161,1,0)</f>
        <v>1</v>
      </c>
      <c r="O166" s="781">
        <f>IF('Costing Inputs'!$V$18='Supplier database'!O161,1,0)</f>
        <v>0</v>
      </c>
      <c r="P166" s="781">
        <f>IF('Costing Inputs'!$V$18='Supplier database'!P161,1,0)</f>
        <v>0</v>
      </c>
      <c r="Q166" s="781">
        <f>IF('Costing Inputs'!$V$18='Supplier database'!Q161,1,0)</f>
        <v>0</v>
      </c>
      <c r="R166" s="781">
        <f>IF('Costing Inputs'!$V$18='Supplier database'!R161,1,0)</f>
        <v>0</v>
      </c>
      <c r="S166" s="781">
        <f>IF('Costing Inputs'!$V$18='Supplier database'!S161,1,0)</f>
        <v>0</v>
      </c>
      <c r="T166" s="781">
        <f>IF('Costing Inputs'!$V$18='Supplier database'!T161,1,0)</f>
        <v>0</v>
      </c>
      <c r="U166" s="781">
        <f>IF('Costing Inputs'!$V$18='Supplier database'!U161,1,0)</f>
        <v>0</v>
      </c>
      <c r="V166" s="781">
        <f>IF('Costing Inputs'!$V$18='Supplier database'!V161,1,0)</f>
        <v>0</v>
      </c>
      <c r="W166" s="781">
        <f>IF('Costing Inputs'!$V$18='Supplier database'!W161,1,0)</f>
        <v>0</v>
      </c>
      <c r="X166" s="781">
        <f>IF('Costing Inputs'!$V$18='Supplier database'!X161,1,0)</f>
        <v>0</v>
      </c>
      <c r="Y166" s="781">
        <f>IF('Costing Inputs'!$V$18='Supplier database'!Y161,1,0)</f>
        <v>0</v>
      </c>
      <c r="Z166" s="781">
        <f>IF('Costing Inputs'!$V$18='Supplier database'!Z161,1,0)</f>
        <v>0</v>
      </c>
      <c r="AA166" s="781">
        <f>IF('Costing Inputs'!$V$18='Supplier database'!AA161,1,0)</f>
        <v>0</v>
      </c>
      <c r="AB166" s="781">
        <f>IF('Costing Inputs'!$V$18='Supplier database'!AB161,1,0)</f>
        <v>0</v>
      </c>
      <c r="AC166" s="781">
        <f>IF('Costing Inputs'!$V$18='Supplier database'!AC161,1,0)</f>
        <v>0</v>
      </c>
      <c r="AD166" s="781">
        <f>IF('Costing Inputs'!$V$18='Supplier database'!AD161,1,0)</f>
        <v>0</v>
      </c>
      <c r="AE166" s="781">
        <f>IF('Costing Inputs'!$V$18='Supplier database'!AE161,1,0)</f>
        <v>0</v>
      </c>
      <c r="AF166" s="781">
        <f>IF('Costing Inputs'!$V$18='Supplier database'!AF161,1,0)</f>
        <v>0</v>
      </c>
      <c r="AG166" s="781">
        <f>IF('Costing Inputs'!$V$18='Supplier database'!AG161,1,0)</f>
        <v>0</v>
      </c>
      <c r="AH166" s="781">
        <f>IF('Costing Inputs'!$V$18='Supplier database'!AH161,1,0)</f>
        <v>0</v>
      </c>
      <c r="AI166" s="781">
        <f>IF('Costing Inputs'!$V$18='Supplier database'!AI161,1,0)</f>
        <v>0</v>
      </c>
      <c r="AJ166" s="781">
        <f>IF('Costing Inputs'!$V$18='Supplier database'!AJ161,1,0)</f>
        <v>0</v>
      </c>
      <c r="AK166" s="781">
        <f>IF('Costing Inputs'!$V$18='Supplier database'!AK161,1,0)</f>
        <v>0</v>
      </c>
      <c r="AL166" s="781">
        <f>IF('Costing Inputs'!$V$18='Supplier database'!AL161,1,0)</f>
        <v>0</v>
      </c>
      <c r="AM166" s="781">
        <f>IF('Costing Inputs'!$V$18='Supplier database'!AM161,1,0)</f>
        <v>0</v>
      </c>
      <c r="AN166" s="781">
        <f>IF('Costing Inputs'!$V$18='Supplier database'!AN161,1,0)</f>
        <v>0</v>
      </c>
      <c r="AO166" s="781">
        <f>IF('Costing Inputs'!$V$18='Supplier database'!AO161,1,0)</f>
        <v>0</v>
      </c>
      <c r="AP166" s="781">
        <f>IF('Costing Inputs'!$V$18='Supplier database'!AP161,1,0)</f>
        <v>0</v>
      </c>
      <c r="AQ166" s="781">
        <f>IF('Costing Inputs'!$V$18='Supplier database'!AQ161,1,0)</f>
        <v>0</v>
      </c>
      <c r="AR166" s="781">
        <f>IF('Costing Inputs'!$V$18='Supplier database'!AR161,1,0)</f>
        <v>0</v>
      </c>
      <c r="AS166" s="781">
        <f>IF('Costing Inputs'!$V$18='Supplier database'!AS161,1,0)</f>
        <v>0</v>
      </c>
      <c r="AT166" s="781">
        <f>IF('Costing Inputs'!$V$18='Supplier database'!AT161,1,0)</f>
        <v>0</v>
      </c>
      <c r="AU166" s="781">
        <f>IF('Costing Inputs'!$V$18='Supplier database'!AU161,1,0)</f>
        <v>0</v>
      </c>
      <c r="AV166" s="781">
        <f>IF('Costing Inputs'!$V$18='Supplier database'!AV161,1,0)</f>
        <v>0</v>
      </c>
      <c r="AW166" s="781">
        <f>IF('Costing Inputs'!$V$18='Supplier database'!AW161,1,0)</f>
        <v>0</v>
      </c>
      <c r="AX166" s="781">
        <f>IF('Costing Inputs'!$V$18='Supplier database'!AX161,1,0)</f>
        <v>0</v>
      </c>
      <c r="AY166" s="781">
        <f>IF('Costing Inputs'!$V$18='Supplier database'!AY161,1,0)</f>
        <v>0</v>
      </c>
    </row>
    <row r="167" spans="1:59">
      <c r="A167" s="795" t="s">
        <v>349</v>
      </c>
      <c r="B167" s="781">
        <f>IF('Costing Inputs'!$V$17='Supplier database'!B154,1,0)</f>
        <v>0</v>
      </c>
      <c r="C167" s="781">
        <f>IF('Costing Inputs'!$V$17='Supplier database'!C154,1,0)</f>
        <v>0</v>
      </c>
      <c r="D167" s="781">
        <f>IF('Costing Inputs'!$V$17='Supplier database'!D154,1,0)</f>
        <v>0</v>
      </c>
      <c r="E167" s="781">
        <f>IF('Costing Inputs'!$V$17='Supplier database'!E154,1,0)</f>
        <v>0</v>
      </c>
      <c r="F167" s="781">
        <f>IF('Costing Inputs'!$V$17='Supplier database'!F154,1,0)</f>
        <v>1</v>
      </c>
      <c r="G167" s="781">
        <f>IF('Costing Inputs'!$V$17='Supplier database'!G154,1,0)</f>
        <v>0</v>
      </c>
      <c r="H167" s="781">
        <f>IF('Costing Inputs'!$V$17='Supplier database'!H154,1,0)</f>
        <v>0</v>
      </c>
      <c r="I167" s="781">
        <f>IF('Costing Inputs'!$V$17='Supplier database'!I154,1,0)</f>
        <v>0</v>
      </c>
      <c r="J167" s="781">
        <f>IF('Costing Inputs'!$V$17='Supplier database'!J154,1,0)</f>
        <v>0</v>
      </c>
      <c r="K167" s="781">
        <f>IF('Costing Inputs'!$V$17='Supplier database'!K154,1,0)</f>
        <v>0</v>
      </c>
      <c r="L167" s="781">
        <f>IF('Costing Inputs'!$V$17='Supplier database'!L154,1,0)</f>
        <v>0</v>
      </c>
      <c r="M167" s="781">
        <f>IF('Costing Inputs'!$V$17='Supplier database'!M154,1,0)</f>
        <v>0</v>
      </c>
      <c r="N167" s="781">
        <f>IF('Costing Inputs'!$V$17='Supplier database'!N154,1,0)</f>
        <v>0</v>
      </c>
      <c r="O167" s="781">
        <f>IF('Costing Inputs'!$V$17='Supplier database'!O154,1,0)</f>
        <v>0</v>
      </c>
      <c r="P167" s="781">
        <f>IF('Costing Inputs'!$V$17='Supplier database'!P154,1,0)</f>
        <v>0</v>
      </c>
      <c r="Q167" s="781">
        <f>IF('Costing Inputs'!$V$17='Supplier database'!Q154,1,0)</f>
        <v>0</v>
      </c>
      <c r="R167" s="781">
        <f>IF('Costing Inputs'!$V$17='Supplier database'!R154,1,0)</f>
        <v>0</v>
      </c>
      <c r="S167" s="781">
        <f>IF('Costing Inputs'!$V$17='Supplier database'!S154,1,0)</f>
        <v>0</v>
      </c>
      <c r="T167" s="781">
        <f>IF('Costing Inputs'!$V$17='Supplier database'!T154,1,0)</f>
        <v>0</v>
      </c>
      <c r="U167" s="781">
        <f>IF('Costing Inputs'!$V$17='Supplier database'!U154,1,0)</f>
        <v>0</v>
      </c>
      <c r="V167" s="781">
        <f>IF('Costing Inputs'!$V$17='Supplier database'!V154,1,0)</f>
        <v>0</v>
      </c>
      <c r="W167" s="781">
        <f>IF('Costing Inputs'!$V$17='Supplier database'!W154,1,0)</f>
        <v>0</v>
      </c>
      <c r="X167" s="781">
        <f>IF('Costing Inputs'!$V$17='Supplier database'!X154,1,0)</f>
        <v>0</v>
      </c>
      <c r="Y167" s="781">
        <f>IF('Costing Inputs'!$V$17='Supplier database'!Y154,1,0)</f>
        <v>0</v>
      </c>
      <c r="Z167" s="781">
        <f>IF('Costing Inputs'!$V$17='Supplier database'!Z154,1,0)</f>
        <v>0</v>
      </c>
      <c r="AA167" s="781">
        <f>IF('Costing Inputs'!$V$17='Supplier database'!AA154,1,0)</f>
        <v>0</v>
      </c>
      <c r="AB167" s="781">
        <f>IF('Costing Inputs'!$V$17='Supplier database'!AB154,1,0)</f>
        <v>0</v>
      </c>
      <c r="AC167" s="781">
        <f>IF('Costing Inputs'!$V$17='Supplier database'!AC154,1,0)</f>
        <v>0</v>
      </c>
      <c r="AD167" s="781">
        <f>IF('Costing Inputs'!$V$17='Supplier database'!AD154,1,0)</f>
        <v>0</v>
      </c>
      <c r="AE167" s="781">
        <f>IF('Costing Inputs'!$V$17='Supplier database'!AE154,1,0)</f>
        <v>0</v>
      </c>
      <c r="AF167" s="781">
        <f>IF('Costing Inputs'!$V$17='Supplier database'!AF154,1,0)</f>
        <v>0</v>
      </c>
      <c r="AG167" s="781">
        <f>IF('Costing Inputs'!$V$17='Supplier database'!AG154,1,0)</f>
        <v>0</v>
      </c>
      <c r="AH167" s="781">
        <f>IF('Costing Inputs'!$V$17='Supplier database'!AH154,1,0)</f>
        <v>0</v>
      </c>
      <c r="AI167" s="781">
        <f>IF('Costing Inputs'!$V$17='Supplier database'!AI154,1,0)</f>
        <v>0</v>
      </c>
      <c r="AJ167" s="781">
        <f>IF('Costing Inputs'!$V$17='Supplier database'!AJ154,1,0)</f>
        <v>0</v>
      </c>
      <c r="AK167" s="781">
        <f>IF('Costing Inputs'!$V$17='Supplier database'!AK154,1,0)</f>
        <v>0</v>
      </c>
      <c r="AL167" s="781">
        <f>IF('Costing Inputs'!$V$17='Supplier database'!AL154,1,0)</f>
        <v>0</v>
      </c>
      <c r="AM167" s="781">
        <f>IF('Costing Inputs'!$V$17='Supplier database'!AM154,1,0)</f>
        <v>0</v>
      </c>
      <c r="AN167" s="781">
        <f>IF('Costing Inputs'!$V$17='Supplier database'!AN154,1,0)</f>
        <v>0</v>
      </c>
      <c r="AO167" s="781">
        <f>IF('Costing Inputs'!$V$17='Supplier database'!AO154,1,0)</f>
        <v>0</v>
      </c>
      <c r="AP167" s="781">
        <f>IF('Costing Inputs'!$V$17='Supplier database'!AP154,1,0)</f>
        <v>0</v>
      </c>
      <c r="AQ167" s="781">
        <f>IF('Costing Inputs'!$V$17='Supplier database'!AQ154,1,0)</f>
        <v>0</v>
      </c>
      <c r="AR167" s="781">
        <f>IF('Costing Inputs'!$V$17='Supplier database'!AR154,1,0)</f>
        <v>0</v>
      </c>
      <c r="AS167" s="781">
        <f>IF('Costing Inputs'!$V$17='Supplier database'!AS154,1,0)</f>
        <v>0</v>
      </c>
      <c r="AT167" s="781">
        <f>IF('Costing Inputs'!$V$17='Supplier database'!AT154,1,0)</f>
        <v>0</v>
      </c>
      <c r="AU167" s="781">
        <f>IF('Costing Inputs'!$V$17='Supplier database'!AU154,1,0)</f>
        <v>0</v>
      </c>
      <c r="AV167" s="781">
        <f>IF('Costing Inputs'!$V$17='Supplier database'!AV154,1,0)</f>
        <v>0</v>
      </c>
      <c r="AW167" s="781">
        <f>IF('Costing Inputs'!$V$17='Supplier database'!AW154,1,0)</f>
        <v>0</v>
      </c>
      <c r="AX167" s="781">
        <f>IF('Costing Inputs'!$V$17='Supplier database'!AX154,1,0)</f>
        <v>0</v>
      </c>
      <c r="AY167" s="781">
        <f>IF('Costing Inputs'!$V$17='Supplier database'!AY154,1,0)</f>
        <v>0</v>
      </c>
    </row>
    <row r="168" spans="1:59">
      <c r="A168" s="795" t="s">
        <v>351</v>
      </c>
      <c r="B168" s="788">
        <f>IF(OR(B166=1,B167=1),B167*B156+B166*B163+B157,0)</f>
        <v>0</v>
      </c>
      <c r="C168" s="788">
        <f t="shared" ref="C168:P168" si="62">IF(OR(C166=1,C167=1),C167*C156+C166*C163+C157,0)</f>
        <v>0</v>
      </c>
      <c r="D168" s="788">
        <f t="shared" si="62"/>
        <v>0</v>
      </c>
      <c r="E168" s="788">
        <f t="shared" si="62"/>
        <v>0</v>
      </c>
      <c r="F168" s="788">
        <f t="shared" si="62"/>
        <v>740100</v>
      </c>
      <c r="G168" s="788">
        <f t="shared" si="62"/>
        <v>0</v>
      </c>
      <c r="H168" s="788">
        <f t="shared" si="62"/>
        <v>0</v>
      </c>
      <c r="I168" s="788">
        <f t="shared" si="62"/>
        <v>0</v>
      </c>
      <c r="J168" s="788">
        <f t="shared" si="62"/>
        <v>0</v>
      </c>
      <c r="K168" s="788">
        <f t="shared" si="62"/>
        <v>0</v>
      </c>
      <c r="L168" s="788">
        <f t="shared" si="62"/>
        <v>0</v>
      </c>
      <c r="M168" s="788">
        <f t="shared" si="62"/>
        <v>0</v>
      </c>
      <c r="N168" s="788">
        <f t="shared" si="62"/>
        <v>3586500</v>
      </c>
      <c r="O168" s="788">
        <f t="shared" si="62"/>
        <v>0</v>
      </c>
      <c r="P168" s="788">
        <f t="shared" si="62"/>
        <v>0</v>
      </c>
      <c r="Q168" s="788">
        <f t="shared" ref="Q168:AY168" si="63">IF(OR(Q166=1,Q167=1),Q167*Q156+Q166*Q163+Q157,0)</f>
        <v>0</v>
      </c>
      <c r="R168" s="788">
        <f t="shared" si="63"/>
        <v>0</v>
      </c>
      <c r="S168" s="788">
        <f t="shared" si="63"/>
        <v>0</v>
      </c>
      <c r="T168" s="788">
        <f t="shared" si="63"/>
        <v>0</v>
      </c>
      <c r="U168" s="788">
        <f t="shared" si="63"/>
        <v>0</v>
      </c>
      <c r="V168" s="788">
        <f t="shared" si="63"/>
        <v>0</v>
      </c>
      <c r="W168" s="788">
        <f t="shared" si="63"/>
        <v>0</v>
      </c>
      <c r="X168" s="788">
        <f t="shared" si="63"/>
        <v>0</v>
      </c>
      <c r="Y168" s="788">
        <f t="shared" si="63"/>
        <v>0</v>
      </c>
      <c r="Z168" s="788">
        <f t="shared" si="63"/>
        <v>0</v>
      </c>
      <c r="AA168" s="788">
        <f t="shared" si="63"/>
        <v>0</v>
      </c>
      <c r="AB168" s="788">
        <f t="shared" si="63"/>
        <v>0</v>
      </c>
      <c r="AC168" s="788">
        <f t="shared" si="63"/>
        <v>0</v>
      </c>
      <c r="AD168" s="788">
        <f t="shared" si="63"/>
        <v>0</v>
      </c>
      <c r="AE168" s="788">
        <f t="shared" si="63"/>
        <v>0</v>
      </c>
      <c r="AF168" s="788">
        <f t="shared" si="63"/>
        <v>0</v>
      </c>
      <c r="AG168" s="788">
        <f t="shared" si="63"/>
        <v>0</v>
      </c>
      <c r="AH168" s="788">
        <f t="shared" si="63"/>
        <v>0</v>
      </c>
      <c r="AI168" s="788">
        <f t="shared" si="63"/>
        <v>0</v>
      </c>
      <c r="AJ168" s="788">
        <f t="shared" si="63"/>
        <v>0</v>
      </c>
      <c r="AK168" s="788">
        <f t="shared" si="63"/>
        <v>0</v>
      </c>
      <c r="AL168" s="788">
        <f t="shared" si="63"/>
        <v>0</v>
      </c>
      <c r="AM168" s="788">
        <f t="shared" si="63"/>
        <v>0</v>
      </c>
      <c r="AN168" s="788">
        <f t="shared" si="63"/>
        <v>0</v>
      </c>
      <c r="AO168" s="788">
        <f t="shared" si="63"/>
        <v>0</v>
      </c>
      <c r="AP168" s="788">
        <f t="shared" si="63"/>
        <v>0</v>
      </c>
      <c r="AQ168" s="788">
        <f t="shared" si="63"/>
        <v>0</v>
      </c>
      <c r="AR168" s="788">
        <f t="shared" si="63"/>
        <v>0</v>
      </c>
      <c r="AS168" s="788">
        <f t="shared" si="63"/>
        <v>0</v>
      </c>
      <c r="AT168" s="788">
        <f t="shared" si="63"/>
        <v>0</v>
      </c>
      <c r="AU168" s="788">
        <f t="shared" si="63"/>
        <v>0</v>
      </c>
      <c r="AV168" s="788">
        <f t="shared" si="63"/>
        <v>0</v>
      </c>
      <c r="AW168" s="788">
        <f t="shared" si="63"/>
        <v>0</v>
      </c>
      <c r="AX168" s="788">
        <f t="shared" si="63"/>
        <v>0</v>
      </c>
      <c r="AY168" s="788">
        <f t="shared" si="63"/>
        <v>0</v>
      </c>
    </row>
    <row r="169" spans="1:59">
      <c r="A169" s="782"/>
      <c r="C169" s="797"/>
      <c r="D169" s="797"/>
      <c r="E169" s="797"/>
      <c r="F169" s="797"/>
      <c r="G169" s="797"/>
      <c r="H169" s="797"/>
      <c r="I169" s="797"/>
      <c r="J169" s="797"/>
      <c r="K169" s="780"/>
    </row>
    <row r="170" spans="1:59" ht="14" thickBot="1">
      <c r="A170" s="783" t="s">
        <v>480</v>
      </c>
      <c r="B170" s="985">
        <f>SUM(B168:AY168)</f>
        <v>4326600</v>
      </c>
      <c r="D170" s="797"/>
      <c r="E170" s="797"/>
      <c r="F170" s="797"/>
      <c r="G170" s="797"/>
      <c r="H170" s="797"/>
      <c r="I170" s="797"/>
      <c r="J170" s="797"/>
      <c r="K170" s="780"/>
    </row>
    <row r="171" spans="1:59" ht="14" thickBot="1">
      <c r="A171" s="785"/>
      <c r="B171" s="510"/>
      <c r="C171" s="786"/>
      <c r="D171" s="786"/>
      <c r="E171" s="786"/>
      <c r="F171" s="786"/>
      <c r="G171" s="786"/>
      <c r="H171" s="786"/>
      <c r="I171" s="786"/>
      <c r="J171" s="786"/>
      <c r="K171" s="787"/>
    </row>
    <row r="172" spans="1:59" ht="14" thickBot="1"/>
    <row r="173" spans="1:59">
      <c r="A173" s="789" t="s">
        <v>481</v>
      </c>
      <c r="B173" s="790">
        <v>50</v>
      </c>
      <c r="C173" s="790">
        <v>100</v>
      </c>
      <c r="D173" s="790">
        <v>200</v>
      </c>
      <c r="E173" s="790">
        <v>300</v>
      </c>
      <c r="F173" s="790">
        <v>400</v>
      </c>
      <c r="G173" s="790">
        <v>500</v>
      </c>
      <c r="H173" s="790">
        <v>600</v>
      </c>
      <c r="I173" s="790">
        <v>750</v>
      </c>
      <c r="J173" s="790">
        <v>800</v>
      </c>
      <c r="K173" s="790">
        <v>900</v>
      </c>
      <c r="L173" s="790">
        <v>1000</v>
      </c>
      <c r="M173" s="790">
        <v>1250</v>
      </c>
      <c r="N173" s="790">
        <v>1350</v>
      </c>
      <c r="O173" s="790">
        <v>1500</v>
      </c>
      <c r="BA173" s="612"/>
      <c r="BB173" s="825"/>
      <c r="BC173" s="613"/>
      <c r="BE173" s="612"/>
      <c r="BF173" s="825"/>
      <c r="BG173" s="613"/>
    </row>
    <row r="174" spans="1:59">
      <c r="A174" s="606"/>
      <c r="B174" s="262"/>
      <c r="C174" s="262"/>
      <c r="D174" s="262"/>
      <c r="E174" s="262"/>
      <c r="F174" s="262"/>
      <c r="G174" s="262"/>
      <c r="H174" s="262"/>
      <c r="I174" s="262"/>
      <c r="J174" s="774"/>
      <c r="K174" s="774"/>
      <c r="L174" s="774"/>
      <c r="M174" s="774"/>
      <c r="N174" s="774"/>
      <c r="O174" s="774"/>
      <c r="BA174" s="615"/>
      <c r="BB174" s="23"/>
      <c r="BC174" s="816"/>
      <c r="BE174" s="615"/>
      <c r="BF174" s="23"/>
      <c r="BG174" s="816"/>
    </row>
    <row r="175" spans="1:59">
      <c r="A175" s="606"/>
      <c r="B175" s="775">
        <v>161662</v>
      </c>
      <c r="C175" s="775">
        <v>248262</v>
      </c>
      <c r="D175" s="775">
        <v>455262</v>
      </c>
      <c r="E175" s="775">
        <v>551862</v>
      </c>
      <c r="F175" s="775">
        <v>731262</v>
      </c>
      <c r="G175" s="775">
        <v>965862</v>
      </c>
      <c r="H175" s="775">
        <v>1007262</v>
      </c>
      <c r="I175" s="775">
        <v>1279862</v>
      </c>
      <c r="J175" s="937">
        <v>1480800</v>
      </c>
      <c r="K175" s="937">
        <v>1655252</v>
      </c>
      <c r="L175" s="937">
        <v>1985130</v>
      </c>
      <c r="M175" s="937">
        <v>2795152</v>
      </c>
      <c r="N175" s="937">
        <v>3340061.2</v>
      </c>
      <c r="O175" s="937">
        <v>3540061.2</v>
      </c>
      <c r="BA175" s="615"/>
      <c r="BB175" s="23"/>
      <c r="BC175" s="616"/>
      <c r="BE175" s="615"/>
      <c r="BF175" s="23"/>
      <c r="BG175" s="616"/>
    </row>
    <row r="176" spans="1:59">
      <c r="A176" s="606"/>
      <c r="B176" s="527"/>
      <c r="C176" s="527"/>
      <c r="D176" s="527"/>
      <c r="E176" s="527"/>
      <c r="F176" s="527"/>
      <c r="G176" s="527"/>
      <c r="H176" s="527"/>
      <c r="I176" s="527"/>
      <c r="J176" s="527"/>
      <c r="K176" s="527"/>
      <c r="L176" s="527"/>
      <c r="M176" s="527"/>
      <c r="N176" s="527"/>
      <c r="O176" s="527"/>
      <c r="BA176" s="615" t="s">
        <v>482</v>
      </c>
      <c r="BB176" s="23" t="s">
        <v>483</v>
      </c>
      <c r="BC176" s="934">
        <f>IFERROR((INDEX(B173:R173,1,MATCH(TRUE,B177:R177,0))),"Not a standard size. Needs a data tool and manual selection")</f>
        <v>600</v>
      </c>
      <c r="BE176" s="615" t="s">
        <v>473</v>
      </c>
      <c r="BF176" s="23" t="s">
        <v>458</v>
      </c>
      <c r="BG176" s="817">
        <f>IFERROR((INDEX(B141:R142,1,MATCH(TRUE,B145:R145,0))),BG177)</f>
        <v>6588.1739130434789</v>
      </c>
    </row>
    <row r="177" spans="1:59">
      <c r="A177" s="606" t="s">
        <v>484</v>
      </c>
      <c r="B177" s="775" t="b">
        <f>IF(B173&gt;'Design Inputs'!$L$47,TRUE,FALSE)</f>
        <v>0</v>
      </c>
      <c r="C177" s="775" t="b">
        <f>IF(C173&gt;'Design Inputs'!$L$47,TRUE,FALSE)</f>
        <v>0</v>
      </c>
      <c r="D177" s="775" t="b">
        <f>IF(D173&gt;'Design Inputs'!$L$47,TRUE,FALSE)</f>
        <v>0</v>
      </c>
      <c r="E177" s="775" t="b">
        <f>IF(E173&gt;'Design Inputs'!$L$47,TRUE,FALSE)</f>
        <v>0</v>
      </c>
      <c r="F177" s="775" t="b">
        <f>IF(F173&gt;'Design Inputs'!$L$47,TRUE,FALSE)</f>
        <v>0</v>
      </c>
      <c r="G177" s="775" t="b">
        <f>IF(G173&gt;'Design Inputs'!$L$47,TRUE,FALSE)</f>
        <v>0</v>
      </c>
      <c r="H177" s="775" t="b">
        <f>IF(H173&gt;'Design Inputs'!$L$47,TRUE,FALSE)</f>
        <v>1</v>
      </c>
      <c r="I177" s="775" t="b">
        <f>IF(I173&gt;'Design Inputs'!$L$47,TRUE,FALSE)</f>
        <v>1</v>
      </c>
      <c r="J177" s="775" t="b">
        <f>IF(J173&gt;'Design Inputs'!$L$47,TRUE,FALSE)</f>
        <v>1</v>
      </c>
      <c r="K177" s="775" t="b">
        <f>IF(K173&gt;'Design Inputs'!$L$47,TRUE,FALSE)</f>
        <v>1</v>
      </c>
      <c r="L177" s="775" t="b">
        <f>IF(L173&gt;'Design Inputs'!$L$47,TRUE,FALSE)</f>
        <v>1</v>
      </c>
      <c r="M177" s="775" t="b">
        <f>IF(M173&gt;'Design Inputs'!$L$47,TRUE,FALSE)</f>
        <v>1</v>
      </c>
      <c r="N177" s="775" t="b">
        <f>IF(N173&gt;'Design Inputs'!$L$47,TRUE,FALSE)</f>
        <v>1</v>
      </c>
      <c r="O177" s="775" t="b">
        <f>IF(O173&gt;'Design Inputs'!$L$47,TRUE,FALSE)</f>
        <v>1</v>
      </c>
      <c r="BA177" s="615"/>
      <c r="BB177" s="23"/>
      <c r="BC177" s="935"/>
      <c r="BE177" s="615"/>
      <c r="BF177" s="23"/>
      <c r="BG177" s="811"/>
    </row>
    <row r="178" spans="1:59">
      <c r="A178" s="615"/>
      <c r="K178" s="616"/>
      <c r="BA178" s="615"/>
      <c r="BB178" s="23"/>
      <c r="BC178" s="811"/>
      <c r="BE178" s="615"/>
      <c r="BF178" s="23"/>
      <c r="BG178" s="811"/>
    </row>
    <row r="179" spans="1:59">
      <c r="A179" s="793"/>
      <c r="B179" s="496"/>
      <c r="C179" s="496"/>
      <c r="D179" s="496"/>
      <c r="E179" s="496"/>
      <c r="F179" s="496"/>
      <c r="G179" s="496"/>
      <c r="H179" s="496"/>
      <c r="I179" s="496"/>
      <c r="J179" s="776"/>
      <c r="K179" s="616"/>
      <c r="BA179" s="615"/>
      <c r="BB179" s="23"/>
      <c r="BC179" s="811"/>
      <c r="BE179" s="615"/>
      <c r="BF179" s="23"/>
      <c r="BG179" s="811"/>
    </row>
    <row r="180" spans="1:59" ht="14" thickBot="1">
      <c r="A180" s="606"/>
      <c r="B180" s="774"/>
      <c r="C180" s="774"/>
      <c r="D180" s="774"/>
      <c r="E180" s="774"/>
      <c r="F180" s="774"/>
      <c r="G180" s="774"/>
      <c r="H180" s="774"/>
      <c r="I180" s="774"/>
      <c r="J180" s="262"/>
      <c r="K180" s="616"/>
      <c r="BA180" s="617"/>
      <c r="BB180" s="826"/>
      <c r="BC180" s="936"/>
      <c r="BE180" s="615"/>
      <c r="BF180" s="23"/>
      <c r="BG180" s="811"/>
    </row>
    <row r="181" spans="1:59">
      <c r="A181" s="606"/>
      <c r="B181" s="775"/>
      <c r="C181" s="775"/>
      <c r="D181" s="775"/>
      <c r="E181" s="775"/>
      <c r="F181" s="775"/>
      <c r="G181" s="775"/>
      <c r="H181" s="775"/>
      <c r="I181" s="775"/>
      <c r="J181" s="775"/>
      <c r="K181" s="616"/>
      <c r="BE181" s="612"/>
      <c r="BF181" s="825" t="s">
        <v>467</v>
      </c>
      <c r="BG181" s="827">
        <f>MIN(BG176:BG177)</f>
        <v>6588.1739130434789</v>
      </c>
    </row>
    <row r="182" spans="1:59" ht="14" thickBot="1">
      <c r="A182" s="794"/>
      <c r="B182" s="777"/>
      <c r="C182" s="777"/>
      <c r="D182" s="778"/>
      <c r="E182" s="778"/>
      <c r="F182" s="778"/>
      <c r="G182" s="778"/>
      <c r="H182" s="778"/>
      <c r="I182" s="779"/>
      <c r="J182" s="777"/>
      <c r="K182" s="616"/>
      <c r="BE182" s="617"/>
      <c r="BF182" s="826" t="s">
        <v>442</v>
      </c>
      <c r="BG182" s="828">
        <f>IFERROR(INDEX(B138:R150,1,MATCH(BG181,B141:R141,0)),INDEX(B138:R150,1,MATCH(BG181,B148:R148,0)))</f>
        <v>480</v>
      </c>
    </row>
    <row r="183" spans="1:59">
      <c r="A183" s="795" t="s">
        <v>349</v>
      </c>
      <c r="B183" s="781">
        <f>IF('Costing Inputs'!$V$16='Supplier database'!B173,1,0)</f>
        <v>0</v>
      </c>
      <c r="C183" s="781">
        <f>IF('Costing Inputs'!$V$16='Supplier database'!C173,1,0)</f>
        <v>0</v>
      </c>
      <c r="D183" s="781">
        <f>IF('Costing Inputs'!$V$16='Supplier database'!D173,1,0)</f>
        <v>0</v>
      </c>
      <c r="E183" s="781">
        <f>IF('Costing Inputs'!$V$16='Supplier database'!E173,1,0)</f>
        <v>0</v>
      </c>
      <c r="F183" s="781">
        <f>IF('Costing Inputs'!$V$16='Supplier database'!F173,1,0)</f>
        <v>0</v>
      </c>
      <c r="G183" s="781">
        <f>IF('Costing Inputs'!$V$16='Supplier database'!G173,1,0)</f>
        <v>0</v>
      </c>
      <c r="H183" s="781">
        <f>IF('Costing Inputs'!$V$16='Supplier database'!H173,1,0)</f>
        <v>0</v>
      </c>
      <c r="I183" s="781">
        <f>IF('Costing Inputs'!$V$16='Supplier database'!I173,1,0)</f>
        <v>0</v>
      </c>
      <c r="J183" s="781">
        <f>IF('Costing Inputs'!$V$16='Supplier database'!J173,1,0)</f>
        <v>0</v>
      </c>
      <c r="K183" s="781">
        <f>IF('Costing Inputs'!$V$16='Supplier database'!K173,1,0)</f>
        <v>0</v>
      </c>
    </row>
    <row r="184" spans="1:59">
      <c r="A184" s="795" t="s">
        <v>351</v>
      </c>
      <c r="B184" s="788">
        <f>B183*B175</f>
        <v>0</v>
      </c>
      <c r="C184" s="788">
        <f>C183*C175</f>
        <v>0</v>
      </c>
      <c r="D184" s="788">
        <f t="shared" ref="D184:K184" si="64">D183*D175</f>
        <v>0</v>
      </c>
      <c r="E184" s="788">
        <f t="shared" si="64"/>
        <v>0</v>
      </c>
      <c r="F184" s="788">
        <f t="shared" si="64"/>
        <v>0</v>
      </c>
      <c r="G184" s="788">
        <f t="shared" si="64"/>
        <v>0</v>
      </c>
      <c r="H184" s="788">
        <f t="shared" si="64"/>
        <v>0</v>
      </c>
      <c r="I184" s="788">
        <f t="shared" si="64"/>
        <v>0</v>
      </c>
      <c r="J184" s="788">
        <f t="shared" si="64"/>
        <v>0</v>
      </c>
      <c r="K184" s="796">
        <f t="shared" si="64"/>
        <v>0</v>
      </c>
    </row>
    <row r="185" spans="1:59">
      <c r="A185" s="782"/>
      <c r="C185" s="797"/>
      <c r="D185" s="797"/>
      <c r="E185" s="797"/>
      <c r="F185" s="797"/>
      <c r="G185" s="797"/>
      <c r="H185" s="797"/>
      <c r="I185" s="797"/>
      <c r="J185" s="797"/>
      <c r="K185" s="780"/>
    </row>
    <row r="186" spans="1:59" ht="14" thickBot="1">
      <c r="A186" s="783" t="s">
        <v>485</v>
      </c>
      <c r="B186" s="784">
        <f>IFERROR(INDEX(B184:V184,MATCH(1,B183:V183,0)),0)</f>
        <v>0</v>
      </c>
      <c r="D186" s="797"/>
      <c r="E186" s="797"/>
      <c r="F186" s="797"/>
      <c r="G186" s="797"/>
      <c r="H186" s="797"/>
      <c r="I186" s="797"/>
      <c r="J186" s="797"/>
      <c r="K186" s="780"/>
    </row>
    <row r="187" spans="1:59" ht="14" thickBot="1">
      <c r="A187" s="785"/>
      <c r="B187" s="510"/>
      <c r="C187" s="786"/>
      <c r="D187" s="786"/>
      <c r="E187" s="786"/>
      <c r="F187" s="786"/>
      <c r="G187" s="786"/>
      <c r="H187" s="786"/>
      <c r="I187" s="786"/>
      <c r="J187" s="786"/>
      <c r="K187" s="787"/>
    </row>
    <row r="188" spans="1:59" ht="15.5" thickBot="1">
      <c r="A188" s="263" t="s">
        <v>287</v>
      </c>
      <c r="B188" s="264"/>
      <c r="C188" s="264"/>
      <c r="D188" s="264"/>
      <c r="E188" s="264"/>
      <c r="F188" s="264"/>
      <c r="G188" s="264"/>
      <c r="H188" s="264"/>
      <c r="I188" s="264"/>
      <c r="J188" s="264"/>
      <c r="K188" s="264"/>
      <c r="L188" s="264"/>
      <c r="M188" s="264"/>
      <c r="N188" s="264"/>
      <c r="O188" s="264"/>
      <c r="P188" s="264"/>
      <c r="Q188" s="264"/>
    </row>
    <row r="189" spans="1:59" ht="14" thickTop="1"/>
    <row r="190" spans="1:59">
      <c r="A190" s="255" t="s">
        <v>486</v>
      </c>
      <c r="C190" s="414" t="s">
        <v>487</v>
      </c>
      <c r="D190" s="262" t="s">
        <v>392</v>
      </c>
      <c r="E190" s="262" t="s">
        <v>393</v>
      </c>
      <c r="F190" s="414" t="s">
        <v>488</v>
      </c>
    </row>
    <row r="191" spans="1:59">
      <c r="A191" s="402" t="s">
        <v>394</v>
      </c>
      <c r="B191" s="402" t="s">
        <v>395</v>
      </c>
      <c r="C191" s="402" t="s">
        <v>396</v>
      </c>
      <c r="D191" s="402" t="s">
        <v>396</v>
      </c>
      <c r="E191" s="402" t="s">
        <v>396</v>
      </c>
      <c r="F191" s="402" t="s">
        <v>396</v>
      </c>
      <c r="G191" s="402"/>
    </row>
    <row r="192" spans="1:59">
      <c r="A192" s="262" t="s">
        <v>489</v>
      </c>
      <c r="B192" s="262" t="s">
        <v>235</v>
      </c>
      <c r="C192" s="528">
        <f>0.9*(350/Module_Capacity)</f>
        <v>0.57272727272727275</v>
      </c>
      <c r="D192" s="528">
        <f>1.15*(335/Module_Capacity)</f>
        <v>0.70045454545454544</v>
      </c>
      <c r="E192" s="528">
        <f>1.25*(335/Module_Capacity)</f>
        <v>0.76136363636363646</v>
      </c>
      <c r="F192" s="528">
        <f>0.95*(350/Module_Capacity)</f>
        <v>0.6045454545454545</v>
      </c>
      <c r="G192" s="415"/>
    </row>
    <row r="193" spans="1:9">
      <c r="A193" s="262"/>
      <c r="B193" s="262"/>
      <c r="C193" s="262"/>
      <c r="D193" s="262"/>
      <c r="E193" s="262"/>
      <c r="F193" s="262"/>
      <c r="G193" s="408"/>
    </row>
    <row r="195" spans="1:9">
      <c r="A195" s="255" t="s">
        <v>490</v>
      </c>
      <c r="C195" s="414" t="s">
        <v>487</v>
      </c>
      <c r="D195" s="262" t="s">
        <v>392</v>
      </c>
      <c r="E195" s="262" t="s">
        <v>393</v>
      </c>
      <c r="F195" s="414" t="s">
        <v>491</v>
      </c>
    </row>
    <row r="196" spans="1:9">
      <c r="A196" s="402" t="s">
        <v>394</v>
      </c>
      <c r="B196" s="402" t="s">
        <v>395</v>
      </c>
      <c r="C196" s="402" t="s">
        <v>396</v>
      </c>
      <c r="D196" s="402" t="s">
        <v>396</v>
      </c>
      <c r="E196" s="402" t="s">
        <v>396</v>
      </c>
      <c r="F196" s="402" t="s">
        <v>396</v>
      </c>
      <c r="G196" s="402"/>
    </row>
    <row r="197" spans="1:9">
      <c r="A197" s="262" t="s">
        <v>489</v>
      </c>
      <c r="B197" s="262" t="s">
        <v>235</v>
      </c>
      <c r="C197" s="262">
        <v>0.25</v>
      </c>
      <c r="D197" s="262">
        <v>0.35</v>
      </c>
      <c r="E197" s="262">
        <v>0.45</v>
      </c>
      <c r="F197" s="262">
        <v>0.25</v>
      </c>
      <c r="G197" s="415"/>
    </row>
    <row r="198" spans="1:9">
      <c r="A198" s="262"/>
      <c r="B198" s="262"/>
      <c r="C198" s="262"/>
      <c r="D198" s="262"/>
      <c r="E198" s="262"/>
      <c r="F198" s="408"/>
      <c r="G198" s="408"/>
    </row>
    <row r="200" spans="1:9">
      <c r="A200" s="255" t="s">
        <v>492</v>
      </c>
    </row>
    <row r="201" spans="1:9">
      <c r="A201" s="402" t="s">
        <v>493</v>
      </c>
      <c r="B201" s="416" t="s">
        <v>494</v>
      </c>
      <c r="C201" s="416" t="s">
        <v>495</v>
      </c>
      <c r="D201" s="416" t="s">
        <v>496</v>
      </c>
      <c r="E201" s="416" t="s">
        <v>497</v>
      </c>
    </row>
    <row r="202" spans="1:9">
      <c r="A202" s="262" t="s">
        <v>498</v>
      </c>
      <c r="B202" s="262" t="s">
        <v>235</v>
      </c>
      <c r="C202" s="417">
        <v>700</v>
      </c>
      <c r="D202" s="417">
        <v>50</v>
      </c>
      <c r="E202" s="417">
        <f>1850/30</f>
        <v>61.666666666666664</v>
      </c>
    </row>
    <row r="203" spans="1:9">
      <c r="A203" s="262"/>
      <c r="B203" s="262"/>
      <c r="C203" s="262"/>
      <c r="D203" s="262"/>
      <c r="E203" s="262"/>
    </row>
    <row r="205" spans="1:9">
      <c r="A205" s="255" t="s">
        <v>499</v>
      </c>
    </row>
    <row r="206" spans="1:9">
      <c r="A206" s="402" t="s">
        <v>493</v>
      </c>
      <c r="B206" s="416" t="s">
        <v>494</v>
      </c>
      <c r="C206" s="416" t="s">
        <v>500</v>
      </c>
      <c r="D206" s="416"/>
      <c r="E206" s="416"/>
      <c r="I206" s="259"/>
    </row>
    <row r="207" spans="1:9">
      <c r="A207" s="262" t="s">
        <v>501</v>
      </c>
      <c r="B207" s="262" t="s">
        <v>235</v>
      </c>
      <c r="C207" s="417">
        <v>2400</v>
      </c>
      <c r="D207" s="417"/>
      <c r="E207" s="417"/>
    </row>
    <row r="208" spans="1:9">
      <c r="A208" s="262"/>
      <c r="B208" s="262"/>
      <c r="C208" s="262"/>
      <c r="D208" s="262"/>
      <c r="E208" s="262"/>
    </row>
    <row r="210" spans="1:5">
      <c r="A210" s="255" t="s">
        <v>502</v>
      </c>
    </row>
    <row r="211" spans="1:5">
      <c r="A211" s="402" t="s">
        <v>493</v>
      </c>
      <c r="B211" s="402" t="s">
        <v>494</v>
      </c>
      <c r="C211" s="402" t="s">
        <v>495</v>
      </c>
      <c r="D211" s="402" t="s">
        <v>496</v>
      </c>
      <c r="E211" s="402" t="s">
        <v>497</v>
      </c>
    </row>
    <row r="212" spans="1:5">
      <c r="A212" s="6" t="s">
        <v>498</v>
      </c>
    </row>
    <row r="215" spans="1:5">
      <c r="A215" s="255" t="s">
        <v>503</v>
      </c>
    </row>
    <row r="216" spans="1:5">
      <c r="A216" s="402" t="s">
        <v>493</v>
      </c>
      <c r="B216" s="402" t="s">
        <v>494</v>
      </c>
      <c r="C216" s="402" t="s">
        <v>504</v>
      </c>
      <c r="D216" s="402" t="s">
        <v>505</v>
      </c>
      <c r="E216" s="402"/>
    </row>
    <row r="217" spans="1:5">
      <c r="A217" s="262" t="s">
        <v>506</v>
      </c>
      <c r="B217" s="262" t="s">
        <v>235</v>
      </c>
      <c r="C217" s="417">
        <v>11000</v>
      </c>
      <c r="D217" s="724">
        <v>2.5000000000000001E-2</v>
      </c>
      <c r="E217" s="415"/>
    </row>
    <row r="219" spans="1:5">
      <c r="A219" s="255" t="s">
        <v>507</v>
      </c>
    </row>
    <row r="220" spans="1:5">
      <c r="A220" s="402" t="s">
        <v>493</v>
      </c>
      <c r="B220" s="402" t="s">
        <v>494</v>
      </c>
      <c r="C220" s="402" t="s">
        <v>504</v>
      </c>
      <c r="D220" s="402" t="s">
        <v>505</v>
      </c>
      <c r="E220" s="402"/>
    </row>
    <row r="221" spans="1:5">
      <c r="A221" s="262" t="s">
        <v>508</v>
      </c>
      <c r="B221" s="262" t="s">
        <v>235</v>
      </c>
      <c r="C221" s="417">
        <v>18000</v>
      </c>
      <c r="D221" s="417">
        <v>0.05</v>
      </c>
      <c r="E221" s="415"/>
    </row>
    <row r="223" spans="1:5">
      <c r="A223" s="255" t="s">
        <v>309</v>
      </c>
    </row>
    <row r="224" spans="1:5">
      <c r="A224" s="402" t="s">
        <v>493</v>
      </c>
      <c r="B224" s="416" t="s">
        <v>494</v>
      </c>
      <c r="C224" s="416" t="s">
        <v>500</v>
      </c>
      <c r="D224" s="416"/>
      <c r="E224" s="416"/>
    </row>
    <row r="225" spans="1:5">
      <c r="A225" s="262" t="s">
        <v>509</v>
      </c>
      <c r="B225" s="262" t="s">
        <v>235</v>
      </c>
      <c r="C225" s="417">
        <v>550</v>
      </c>
      <c r="D225" s="417"/>
      <c r="E225" s="417"/>
    </row>
    <row r="226" spans="1:5">
      <c r="A226" s="262"/>
      <c r="B226" s="262"/>
      <c r="C226" s="262"/>
      <c r="D226" s="262"/>
      <c r="E226" s="262"/>
    </row>
  </sheetData>
  <dataConsolidate/>
  <mergeCells count="7">
    <mergeCell ref="A50:R50"/>
    <mergeCell ref="T38:T40"/>
    <mergeCell ref="A48:B48"/>
    <mergeCell ref="A29:R29"/>
    <mergeCell ref="A30:R30"/>
    <mergeCell ref="A36:R36"/>
    <mergeCell ref="A42:R42"/>
  </mergeCells>
  <pageMargins left="0.7" right="0.7" top="0.75" bottom="0.75" header="0.3" footer="0.3"/>
  <pageSetup paperSize="9" orientation="portrait" horizontalDpi="200" verticalDpi="200" r:id="rId1"/>
  <ignoredErrors>
    <ignoredError sqref="I38 D46:E46 G5" formula="1"/>
  </ignoredErrors>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tabColor rgb="FF121B43"/>
  </sheetPr>
  <dimension ref="A1:H22"/>
  <sheetViews>
    <sheetView showGridLines="0" topLeftCell="A6" zoomScale="170" zoomScaleNormal="170" workbookViewId="0">
      <selection activeCell="D17" sqref="D17"/>
    </sheetView>
  </sheetViews>
  <sheetFormatPr defaultColWidth="8.7109375" defaultRowHeight="13.5"/>
  <cols>
    <col min="1" max="1" width="2.7109375" style="6" customWidth="1"/>
    <col min="2" max="2" width="2.42578125" style="6" customWidth="1"/>
    <col min="3" max="3" width="26.7109375" style="6" customWidth="1"/>
    <col min="4" max="4" width="12.28515625" style="6" bestFit="1" customWidth="1"/>
    <col min="5" max="5" width="36.140625" style="6" customWidth="1"/>
    <col min="6" max="6" width="3.42578125" style="6" customWidth="1"/>
    <col min="7" max="7" width="4.42578125" style="6" customWidth="1"/>
    <col min="8" max="8" width="11" style="6" bestFit="1" customWidth="1"/>
    <col min="9" max="9" width="7.42578125" style="6" customWidth="1"/>
    <col min="10" max="16384" width="8.7109375" style="6"/>
  </cols>
  <sheetData>
    <row r="1" spans="1:8">
      <c r="A1" s="477"/>
      <c r="B1" s="477"/>
      <c r="C1" s="477"/>
      <c r="D1" s="477"/>
      <c r="E1" s="477"/>
      <c r="F1" s="477"/>
      <c r="G1" s="477"/>
    </row>
    <row r="2" spans="1:8">
      <c r="A2" s="477"/>
      <c r="B2" s="477"/>
      <c r="C2" s="1555" t="s">
        <v>659</v>
      </c>
      <c r="D2" s="1555"/>
      <c r="E2" s="1555"/>
      <c r="F2" s="477"/>
      <c r="G2" s="477"/>
    </row>
    <row r="3" spans="1:8" ht="14">
      <c r="A3" s="477"/>
      <c r="B3" s="477"/>
      <c r="C3" s="478" t="s">
        <v>1064</v>
      </c>
      <c r="D3" s="414">
        <v>5</v>
      </c>
      <c r="E3" s="1355" t="s">
        <v>1065</v>
      </c>
      <c r="F3" s="477"/>
      <c r="G3" s="477"/>
    </row>
    <row r="4" spans="1:8" ht="14">
      <c r="A4" s="477"/>
      <c r="B4" s="477"/>
      <c r="C4" s="478" t="s">
        <v>660</v>
      </c>
      <c r="D4" s="479">
        <v>20</v>
      </c>
      <c r="E4" s="480" t="s">
        <v>661</v>
      </c>
      <c r="F4" s="477"/>
      <c r="G4" s="477"/>
    </row>
    <row r="5" spans="1:8" ht="14">
      <c r="A5" s="477"/>
      <c r="B5" s="477"/>
      <c r="C5" s="478" t="s">
        <v>1066</v>
      </c>
      <c r="D5" s="1356">
        <f>11%+3%</f>
        <v>0.14000000000000001</v>
      </c>
      <c r="E5" s="480" t="s">
        <v>1067</v>
      </c>
      <c r="F5" s="477"/>
      <c r="G5" s="477"/>
    </row>
    <row r="6" spans="1:8" ht="14">
      <c r="A6" s="477"/>
      <c r="B6" s="477"/>
      <c r="C6" s="478" t="s">
        <v>662</v>
      </c>
      <c r="D6" s="414">
        <v>10</v>
      </c>
      <c r="E6" s="480" t="s">
        <v>663</v>
      </c>
      <c r="F6" s="477"/>
      <c r="G6" s="477"/>
    </row>
    <row r="7" spans="1:8" ht="14">
      <c r="A7" s="477"/>
      <c r="B7" s="477"/>
      <c r="C7" s="478" t="s">
        <v>664</v>
      </c>
      <c r="D7" s="646">
        <v>0</v>
      </c>
      <c r="E7" s="480" t="s">
        <v>665</v>
      </c>
      <c r="F7" s="477"/>
      <c r="G7" s="477"/>
    </row>
    <row r="8" spans="1:8" ht="14">
      <c r="A8" s="477"/>
      <c r="B8" s="477"/>
      <c r="C8" s="478" t="s">
        <v>666</v>
      </c>
      <c r="D8" s="482">
        <v>0.08</v>
      </c>
      <c r="E8" s="480" t="s">
        <v>667</v>
      </c>
      <c r="F8" s="477"/>
      <c r="G8" s="477"/>
    </row>
    <row r="9" spans="1:8" ht="14">
      <c r="A9" s="477"/>
      <c r="B9" s="477"/>
      <c r="C9" s="478" t="s">
        <v>1074</v>
      </c>
      <c r="D9" s="482">
        <v>0.08</v>
      </c>
      <c r="E9" s="480"/>
      <c r="F9" s="477"/>
      <c r="G9" s="477"/>
    </row>
    <row r="10" spans="1:8" ht="14">
      <c r="A10" s="477"/>
      <c r="B10" s="477"/>
      <c r="C10" s="852" t="s">
        <v>1063</v>
      </c>
      <c r="D10" s="853">
        <v>7.0000000000000007E-2</v>
      </c>
      <c r="E10" s="480" t="s">
        <v>1075</v>
      </c>
      <c r="F10" s="477"/>
      <c r="G10" s="477"/>
      <c r="H10" s="798" t="s">
        <v>1131</v>
      </c>
    </row>
    <row r="11" spans="1:8" ht="14">
      <c r="A11" s="477"/>
      <c r="B11" s="477"/>
      <c r="C11" s="478" t="s">
        <v>535</v>
      </c>
      <c r="D11" s="482">
        <v>0.05</v>
      </c>
      <c r="E11" s="480"/>
      <c r="F11" s="477"/>
      <c r="G11" s="477"/>
      <c r="H11" s="1387">
        <f>3200+5200</f>
        <v>8400</v>
      </c>
    </row>
    <row r="12" spans="1:8" ht="14">
      <c r="A12" s="477"/>
      <c r="B12" s="477"/>
      <c r="C12" s="478" t="s">
        <v>1073</v>
      </c>
      <c r="D12" s="483">
        <v>0</v>
      </c>
      <c r="E12" s="480" t="s">
        <v>1072</v>
      </c>
      <c r="F12" s="477"/>
      <c r="G12" s="477"/>
      <c r="H12" s="6">
        <v>12</v>
      </c>
    </row>
    <row r="13" spans="1:8" ht="14">
      <c r="A13" s="477"/>
      <c r="B13" s="477"/>
      <c r="C13" s="478" t="s">
        <v>668</v>
      </c>
      <c r="D13" s="483">
        <v>0.02</v>
      </c>
      <c r="E13" s="480" t="s">
        <v>669</v>
      </c>
      <c r="F13" s="477"/>
      <c r="G13" s="477"/>
    </row>
    <row r="14" spans="1:8" ht="14">
      <c r="A14" s="477"/>
      <c r="B14" s="477"/>
      <c r="C14" s="478" t="s">
        <v>670</v>
      </c>
      <c r="D14" s="1388">
        <v>0.01</v>
      </c>
      <c r="E14" s="480" t="s">
        <v>671</v>
      </c>
      <c r="F14" s="477"/>
      <c r="G14" s="477"/>
      <c r="H14" s="1387">
        <f>H11*H12</f>
        <v>100800</v>
      </c>
    </row>
    <row r="15" spans="1:8" ht="14">
      <c r="A15" s="477"/>
      <c r="B15" s="477"/>
      <c r="C15" s="478" t="s">
        <v>672</v>
      </c>
      <c r="D15" s="481">
        <v>0.02</v>
      </c>
      <c r="E15" s="480" t="s">
        <v>673</v>
      </c>
      <c r="F15" s="477"/>
      <c r="G15" s="477"/>
    </row>
    <row r="16" spans="1:8" ht="14">
      <c r="A16" s="477"/>
      <c r="B16" s="477"/>
      <c r="C16" s="478" t="s">
        <v>674</v>
      </c>
      <c r="D16" s="1388">
        <v>0</v>
      </c>
      <c r="E16" s="480"/>
      <c r="F16" s="477"/>
      <c r="G16" s="477"/>
      <c r="H16" s="1394">
        <f>H14/'Costing Inputs'!S25</f>
        <v>1.277767215941578E-2</v>
      </c>
    </row>
    <row r="17" spans="1:7" ht="14">
      <c r="A17" s="477"/>
      <c r="B17" s="477"/>
      <c r="C17" s="478" t="s">
        <v>975</v>
      </c>
      <c r="D17" s="483">
        <v>0.04</v>
      </c>
      <c r="E17" s="1135"/>
      <c r="F17" s="477"/>
      <c r="G17" s="477"/>
    </row>
    <row r="18" spans="1:7" ht="14">
      <c r="A18" s="477"/>
      <c r="B18" s="477"/>
      <c r="C18" s="478" t="s">
        <v>675</v>
      </c>
      <c r="D18" s="933">
        <v>0.125</v>
      </c>
      <c r="E18" s="1135"/>
      <c r="F18" s="477"/>
      <c r="G18" s="477"/>
    </row>
    <row r="19" spans="1:7" ht="14">
      <c r="A19" s="477"/>
      <c r="B19" s="477"/>
      <c r="C19" s="478" t="s">
        <v>676</v>
      </c>
      <c r="D19" s="482" t="s">
        <v>94</v>
      </c>
      <c r="E19" s="1135"/>
      <c r="F19" s="477"/>
      <c r="G19" s="477"/>
    </row>
    <row r="20" spans="1:7">
      <c r="A20" s="477"/>
      <c r="B20" s="477"/>
      <c r="C20" s="477"/>
      <c r="D20" s="477"/>
      <c r="E20" s="477"/>
      <c r="F20" s="477"/>
      <c r="G20" s="477"/>
    </row>
    <row r="22" spans="1:7" ht="14">
      <c r="E22" s="484"/>
    </row>
  </sheetData>
  <mergeCells count="1">
    <mergeCell ref="C2:E2"/>
  </mergeCells>
  <dataValidations count="3">
    <dataValidation type="list" allowBlank="1" showInputMessage="1" showErrorMessage="1" sqref="D6" xr:uid="{00000000-0002-0000-0A00-000000000000}">
      <formula1>"5, 7, 10"</formula1>
    </dataValidation>
    <dataValidation type="list" allowBlank="1" showInputMessage="1" showErrorMessage="1" sqref="D7" xr:uid="{00000000-0002-0000-0A00-000002000000}">
      <formula1>"0%, 5%, 10%, 15%, 20%, 30%, 40%, 50%"</formula1>
    </dataValidation>
    <dataValidation type="list" allowBlank="1" showInputMessage="1" showErrorMessage="1" sqref="D19" xr:uid="{00000000-0002-0000-0A00-000003000000}">
      <formula1>#REF!</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tabColor theme="9" tint="-0.249977111117893"/>
  </sheetPr>
  <dimension ref="A1:BW339"/>
  <sheetViews>
    <sheetView topLeftCell="A77" zoomScale="70" zoomScaleNormal="70" workbookViewId="0">
      <selection activeCell="D77" sqref="D77"/>
    </sheetView>
  </sheetViews>
  <sheetFormatPr defaultColWidth="9.28515625" defaultRowHeight="14"/>
  <cols>
    <col min="1" max="1" width="5.42578125" style="68" customWidth="1"/>
    <col min="2" max="2" width="31.7109375" style="41" customWidth="1"/>
    <col min="3" max="3" width="17.7109375" style="41" customWidth="1"/>
    <col min="4" max="4" width="14" style="41" customWidth="1"/>
    <col min="5" max="5" width="12.28515625" style="41" customWidth="1"/>
    <col min="6" max="23" width="8.7109375" style="41" customWidth="1"/>
    <col min="24" max="24" width="9.42578125" style="41" customWidth="1"/>
    <col min="25" max="25" width="11.7109375" style="69" customWidth="1"/>
    <col min="26" max="26" width="15.5703125" style="59" customWidth="1"/>
    <col min="27" max="27" width="15.140625" style="40" customWidth="1"/>
    <col min="28" max="75" width="9.28515625" style="40"/>
    <col min="76" max="16384" width="9.28515625" style="41"/>
  </cols>
  <sheetData>
    <row r="1" spans="1:26" ht="14.5" thickBot="1">
      <c r="A1" s="36"/>
      <c r="B1" s="1557" t="s">
        <v>677</v>
      </c>
      <c r="C1" s="1558"/>
      <c r="D1" s="52"/>
      <c r="E1" s="37"/>
      <c r="F1" s="37"/>
      <c r="G1" s="37"/>
      <c r="H1" s="37"/>
      <c r="I1" s="37"/>
      <c r="J1" s="37"/>
      <c r="K1" s="37"/>
      <c r="L1" s="37"/>
      <c r="M1" s="37"/>
      <c r="N1" s="37"/>
      <c r="O1" s="37"/>
      <c r="P1" s="37"/>
      <c r="Q1" s="37"/>
      <c r="R1" s="37"/>
      <c r="S1" s="37"/>
      <c r="T1" s="37"/>
      <c r="U1" s="37"/>
      <c r="V1" s="37"/>
      <c r="W1" s="37"/>
      <c r="X1" s="37"/>
      <c r="Y1" s="38"/>
      <c r="Z1" s="39"/>
    </row>
    <row r="2" spans="1:26" ht="14.5" thickBot="1">
      <c r="A2" s="36"/>
      <c r="B2" s="42"/>
      <c r="C2" s="42"/>
      <c r="D2" s="88">
        <v>1</v>
      </c>
      <c r="E2" s="88">
        <v>2</v>
      </c>
      <c r="F2" s="88">
        <v>3</v>
      </c>
      <c r="G2" s="88">
        <v>4</v>
      </c>
      <c r="H2" s="88">
        <v>5</v>
      </c>
      <c r="I2" s="88">
        <v>6</v>
      </c>
      <c r="J2" s="88">
        <v>7</v>
      </c>
      <c r="K2" s="88">
        <v>8</v>
      </c>
      <c r="L2" s="88">
        <v>9</v>
      </c>
      <c r="M2" s="88">
        <v>10</v>
      </c>
      <c r="N2" s="88">
        <v>11</v>
      </c>
      <c r="O2" s="88">
        <v>12</v>
      </c>
      <c r="P2" s="88">
        <v>13</v>
      </c>
      <c r="Q2" s="88">
        <v>14</v>
      </c>
      <c r="R2" s="88">
        <v>15</v>
      </c>
      <c r="S2" s="88">
        <v>16</v>
      </c>
      <c r="T2" s="88">
        <v>17</v>
      </c>
      <c r="U2" s="88">
        <v>18</v>
      </c>
      <c r="V2" s="88">
        <v>19</v>
      </c>
      <c r="W2" s="88">
        <v>20</v>
      </c>
      <c r="X2" s="37"/>
      <c r="Y2" s="38"/>
      <c r="Z2" s="39"/>
    </row>
    <row r="3" spans="1:26" ht="14.5" thickTop="1">
      <c r="A3" s="36"/>
      <c r="B3" s="904" t="s">
        <v>678</v>
      </c>
      <c r="C3" s="904"/>
      <c r="D3" s="905">
        <f>'4.3 Emergent Data'!G19</f>
        <v>822288.67954109586</v>
      </c>
      <c r="E3" s="906">
        <f>D3*(1-'4.3 Emergent Data'!$G$17)</f>
        <v>817354.94746384933</v>
      </c>
      <c r="F3" s="906">
        <f>E3*(1-'4.3 Emergent Data'!$G$17)</f>
        <v>812450.81777906627</v>
      </c>
      <c r="G3" s="906">
        <f>F3*(1-'4.3 Emergent Data'!$G$17)</f>
        <v>807576.11287239182</v>
      </c>
      <c r="H3" s="906">
        <f>G3*(1-'4.3 Emergent Data'!$G$17)</f>
        <v>802730.65619515744</v>
      </c>
      <c r="I3" s="906">
        <f>H3*(1-'4.3 Emergent Data'!$G$17)</f>
        <v>797914.27225798648</v>
      </c>
      <c r="J3" s="906">
        <f>I3*(1-'4.3 Emergent Data'!$G$17)</f>
        <v>793126.7866244386</v>
      </c>
      <c r="K3" s="906">
        <f>J3*(1-'4.3 Emergent Data'!$G$17)</f>
        <v>788368.02590469201</v>
      </c>
      <c r="L3" s="906">
        <f>K3*(1-'4.3 Emergent Data'!$G$17)</f>
        <v>783637.81774926384</v>
      </c>
      <c r="M3" s="906">
        <f>L3*(1-'4.3 Emergent Data'!$G$17)</f>
        <v>778935.99084276822</v>
      </c>
      <c r="N3" s="906">
        <f>M3*(1-'4.3 Emergent Data'!$G$17)</f>
        <v>774262.37489771156</v>
      </c>
      <c r="O3" s="906">
        <f>N3*(1-'4.3 Emergent Data'!$G$17)</f>
        <v>769616.80064832524</v>
      </c>
      <c r="P3" s="906">
        <f>O3*(1-'4.3 Emergent Data'!$G$17)</f>
        <v>764999.09984443523</v>
      </c>
      <c r="Q3" s="906">
        <f>P3*(1-'4.3 Emergent Data'!$G$17)</f>
        <v>760409.10524536867</v>
      </c>
      <c r="R3" s="906">
        <f>Q3*(1-'4.3 Emergent Data'!$G$17)</f>
        <v>755846.65061389643</v>
      </c>
      <c r="S3" s="906">
        <f>R3*(1-'4.3 Emergent Data'!$G$17)</f>
        <v>751311.57071021304</v>
      </c>
      <c r="T3" s="906">
        <f>S3*(1-'4.3 Emergent Data'!$G$17)</f>
        <v>746803.70128595177</v>
      </c>
      <c r="U3" s="906">
        <f>T3*(1-'4.3 Emergent Data'!$G$17)</f>
        <v>742322.87907823606</v>
      </c>
      <c r="V3" s="906">
        <f>U3*(1-'4.3 Emergent Data'!$G$17)</f>
        <v>737868.94180376665</v>
      </c>
      <c r="W3" s="906">
        <f>V3*(1-'4.3 Emergent Data'!$G$17)</f>
        <v>733441.72815294401</v>
      </c>
      <c r="X3" s="916"/>
      <c r="Y3" s="38"/>
      <c r="Z3" s="39"/>
    </row>
    <row r="4" spans="1:26">
      <c r="A4" s="36"/>
      <c r="B4" s="904" t="s">
        <v>679</v>
      </c>
      <c r="C4" s="904"/>
      <c r="D4" s="906">
        <f>D3-D5-D6</f>
        <v>805842.90595027397</v>
      </c>
      <c r="E4" s="906">
        <f t="shared" ref="E4:H4" si="0">E3-E5-E6</f>
        <v>801007.84851457237</v>
      </c>
      <c r="F4" s="906">
        <f t="shared" si="0"/>
        <v>796201.80142348493</v>
      </c>
      <c r="G4" s="906">
        <f t="shared" si="0"/>
        <v>791424.590614944</v>
      </c>
      <c r="H4" s="906">
        <f t="shared" si="0"/>
        <v>786676.04307125427</v>
      </c>
      <c r="I4" s="906">
        <f t="shared" ref="I4:W4" si="1">I3-I5</f>
        <v>797914.27225798648</v>
      </c>
      <c r="J4" s="906">
        <f t="shared" si="1"/>
        <v>793126.7866244386</v>
      </c>
      <c r="K4" s="906">
        <f t="shared" si="1"/>
        <v>788368.02590469201</v>
      </c>
      <c r="L4" s="906">
        <f t="shared" si="1"/>
        <v>783637.81774926384</v>
      </c>
      <c r="M4" s="906">
        <f t="shared" si="1"/>
        <v>778935.99084276822</v>
      </c>
      <c r="N4" s="906">
        <f t="shared" si="1"/>
        <v>774262.37489771156</v>
      </c>
      <c r="O4" s="906">
        <f t="shared" si="1"/>
        <v>769616.80064832524</v>
      </c>
      <c r="P4" s="906">
        <f t="shared" si="1"/>
        <v>764999.09984443523</v>
      </c>
      <c r="Q4" s="906">
        <f t="shared" si="1"/>
        <v>760409.10524536867</v>
      </c>
      <c r="R4" s="906">
        <f t="shared" si="1"/>
        <v>755846.65061389643</v>
      </c>
      <c r="S4" s="906">
        <f t="shared" si="1"/>
        <v>751311.57071021304</v>
      </c>
      <c r="T4" s="906">
        <f t="shared" si="1"/>
        <v>746803.70128595177</v>
      </c>
      <c r="U4" s="906">
        <f t="shared" si="1"/>
        <v>742322.87907823606</v>
      </c>
      <c r="V4" s="906">
        <f t="shared" si="1"/>
        <v>737868.94180376665</v>
      </c>
      <c r="W4" s="906">
        <f t="shared" si="1"/>
        <v>733441.72815294401</v>
      </c>
      <c r="X4" s="44"/>
      <c r="Y4" s="38"/>
      <c r="Z4" s="39"/>
    </row>
    <row r="5" spans="1:26">
      <c r="A5" s="36"/>
      <c r="B5" s="904" t="s">
        <v>680</v>
      </c>
      <c r="C5" s="904"/>
      <c r="D5" s="906">
        <f>'4.3 Emergent Data'!G31</f>
        <v>0</v>
      </c>
      <c r="E5" s="906">
        <f>(D5/D3)*E3</f>
        <v>0</v>
      </c>
      <c r="F5" s="906">
        <f t="shared" ref="F5:W5" si="2">(E5/E3)*F3</f>
        <v>0</v>
      </c>
      <c r="G5" s="906">
        <f t="shared" si="2"/>
        <v>0</v>
      </c>
      <c r="H5" s="906">
        <f t="shared" si="2"/>
        <v>0</v>
      </c>
      <c r="I5" s="906">
        <f t="shared" si="2"/>
        <v>0</v>
      </c>
      <c r="J5" s="906">
        <f t="shared" si="2"/>
        <v>0</v>
      </c>
      <c r="K5" s="906">
        <f t="shared" si="2"/>
        <v>0</v>
      </c>
      <c r="L5" s="906">
        <f t="shared" si="2"/>
        <v>0</v>
      </c>
      <c r="M5" s="906">
        <f t="shared" si="2"/>
        <v>0</v>
      </c>
      <c r="N5" s="906">
        <f t="shared" si="2"/>
        <v>0</v>
      </c>
      <c r="O5" s="906">
        <f t="shared" si="2"/>
        <v>0</v>
      </c>
      <c r="P5" s="906">
        <f t="shared" si="2"/>
        <v>0</v>
      </c>
      <c r="Q5" s="906">
        <f t="shared" si="2"/>
        <v>0</v>
      </c>
      <c r="R5" s="906">
        <f t="shared" si="2"/>
        <v>0</v>
      </c>
      <c r="S5" s="906">
        <f t="shared" si="2"/>
        <v>0</v>
      </c>
      <c r="T5" s="906">
        <f t="shared" si="2"/>
        <v>0</v>
      </c>
      <c r="U5" s="906">
        <f t="shared" si="2"/>
        <v>0</v>
      </c>
      <c r="V5" s="906">
        <f t="shared" si="2"/>
        <v>0</v>
      </c>
      <c r="W5" s="906">
        <f t="shared" si="2"/>
        <v>0</v>
      </c>
      <c r="X5" s="44"/>
      <c r="Y5" s="38"/>
      <c r="Z5" s="39"/>
    </row>
    <row r="6" spans="1:26">
      <c r="A6" s="36"/>
      <c r="B6" s="904" t="s">
        <v>1078</v>
      </c>
      <c r="C6" s="904"/>
      <c r="D6" s="906">
        <f>D3*D9</f>
        <v>16445.773590821918</v>
      </c>
      <c r="E6" s="906">
        <f t="shared" ref="E6:H6" si="3">E3*E9</f>
        <v>16347.098949276988</v>
      </c>
      <c r="F6" s="906">
        <f t="shared" si="3"/>
        <v>16249.016355581325</v>
      </c>
      <c r="G6" s="906">
        <f t="shared" si="3"/>
        <v>16151.522257447838</v>
      </c>
      <c r="H6" s="906">
        <f t="shared" si="3"/>
        <v>16054.613123903149</v>
      </c>
      <c r="I6" s="906"/>
      <c r="J6" s="906"/>
      <c r="K6" s="906"/>
      <c r="L6" s="906"/>
      <c r="M6" s="906"/>
      <c r="N6" s="906"/>
      <c r="O6" s="906"/>
      <c r="P6" s="906"/>
      <c r="Q6" s="906"/>
      <c r="R6" s="906"/>
      <c r="S6" s="906"/>
      <c r="T6" s="906"/>
      <c r="U6" s="906"/>
      <c r="V6" s="906"/>
      <c r="W6" s="906"/>
      <c r="X6" s="44"/>
      <c r="Y6" s="38"/>
      <c r="Z6" s="39"/>
    </row>
    <row r="7" spans="1:26">
      <c r="A7" s="36"/>
      <c r="B7" s="950" t="s">
        <v>681</v>
      </c>
      <c r="C7" s="950">
        <v>2</v>
      </c>
      <c r="D7" s="906"/>
      <c r="E7" s="906"/>
      <c r="F7" s="906"/>
      <c r="G7" s="906"/>
      <c r="H7" s="906"/>
      <c r="I7" s="906"/>
      <c r="J7" s="906"/>
      <c r="K7" s="906"/>
      <c r="L7" s="906"/>
      <c r="M7" s="906"/>
      <c r="N7" s="906"/>
      <c r="O7" s="906"/>
      <c r="P7" s="906"/>
      <c r="Q7" s="906"/>
      <c r="R7" s="906"/>
      <c r="S7" s="906"/>
      <c r="T7" s="906"/>
      <c r="U7" s="906"/>
      <c r="V7" s="906"/>
      <c r="W7" s="906"/>
      <c r="X7" s="44"/>
      <c r="Y7" s="38"/>
      <c r="Z7" s="39"/>
    </row>
    <row r="8" spans="1:26">
      <c r="A8" s="36"/>
      <c r="B8" s="904" t="s">
        <v>682</v>
      </c>
      <c r="C8" s="904"/>
      <c r="D8" s="906">
        <f>'4.3 Emergent Data'!G33</f>
        <v>35001.209099999993</v>
      </c>
      <c r="E8" s="906">
        <f>(D8/D3)*E3</f>
        <v>34791.201845399992</v>
      </c>
      <c r="F8" s="906">
        <f t="shared" ref="F8:W8" si="4">(E8/E3)*F3</f>
        <v>34582.454634327594</v>
      </c>
      <c r="G8" s="906">
        <f t="shared" si="4"/>
        <v>34374.959906521624</v>
      </c>
      <c r="H8" s="906">
        <f t="shared" si="4"/>
        <v>34168.710147082493</v>
      </c>
      <c r="I8" s="906">
        <f t="shared" si="4"/>
        <v>33963.697886199996</v>
      </c>
      <c r="J8" s="906">
        <f t="shared" si="4"/>
        <v>33759.915698882796</v>
      </c>
      <c r="K8" s="906">
        <f t="shared" si="4"/>
        <v>33557.356204689502</v>
      </c>
      <c r="L8" s="906">
        <f t="shared" si="4"/>
        <v>33356.012067461364</v>
      </c>
      <c r="M8" s="906">
        <f t="shared" si="4"/>
        <v>33155.875995056595</v>
      </c>
      <c r="N8" s="906">
        <f t="shared" si="4"/>
        <v>32956.940739086254</v>
      </c>
      <c r="O8" s="906">
        <f t="shared" si="4"/>
        <v>32759.199094651733</v>
      </c>
      <c r="P8" s="906">
        <f t="shared" si="4"/>
        <v>32562.643900083822</v>
      </c>
      <c r="Q8" s="906">
        <f t="shared" si="4"/>
        <v>32367.268036683319</v>
      </c>
      <c r="R8" s="906">
        <f t="shared" si="4"/>
        <v>32173.064428463218</v>
      </c>
      <c r="S8" s="906">
        <f t="shared" si="4"/>
        <v>31980.026041892437</v>
      </c>
      <c r="T8" s="906">
        <f t="shared" si="4"/>
        <v>31788.145885641086</v>
      </c>
      <c r="U8" s="906">
        <f t="shared" si="4"/>
        <v>31597.417010327237</v>
      </c>
      <c r="V8" s="906">
        <f t="shared" si="4"/>
        <v>31407.832508265274</v>
      </c>
      <c r="W8" s="906">
        <f t="shared" si="4"/>
        <v>31219.385513215682</v>
      </c>
      <c r="X8" s="44"/>
      <c r="Y8" s="913"/>
      <c r="Z8" s="39"/>
    </row>
    <row r="9" spans="1:26">
      <c r="A9" s="36"/>
      <c r="B9" s="904" t="s">
        <v>683</v>
      </c>
      <c r="C9" s="904"/>
      <c r="D9" s="949">
        <v>0.02</v>
      </c>
      <c r="E9" s="949">
        <v>0.02</v>
      </c>
      <c r="F9" s="949">
        <v>0.02</v>
      </c>
      <c r="G9" s="949">
        <v>0.02</v>
      </c>
      <c r="H9" s="949">
        <v>0.02</v>
      </c>
      <c r="I9" s="907">
        <v>0</v>
      </c>
      <c r="J9" s="907">
        <v>0</v>
      </c>
      <c r="K9" s="907">
        <v>0</v>
      </c>
      <c r="L9" s="907">
        <v>0</v>
      </c>
      <c r="M9" s="907">
        <v>0</v>
      </c>
      <c r="N9" s="907">
        <v>0</v>
      </c>
      <c r="O9" s="907">
        <v>0</v>
      </c>
      <c r="P9" s="907">
        <v>0</v>
      </c>
      <c r="Q9" s="907">
        <v>0</v>
      </c>
      <c r="R9" s="907">
        <v>0</v>
      </c>
      <c r="S9" s="907">
        <v>0</v>
      </c>
      <c r="T9" s="907">
        <v>0</v>
      </c>
      <c r="U9" s="907">
        <v>0</v>
      </c>
      <c r="V9" s="907">
        <v>0</v>
      </c>
      <c r="W9" s="907">
        <v>0</v>
      </c>
      <c r="X9" s="44"/>
      <c r="Y9" s="38"/>
      <c r="Z9" s="39"/>
    </row>
    <row r="10" spans="1:26">
      <c r="A10" s="36"/>
      <c r="B10" s="37"/>
      <c r="C10" s="45"/>
      <c r="D10" s="917"/>
      <c r="E10" s="46"/>
      <c r="F10" s="46"/>
      <c r="G10" s="46"/>
      <c r="H10" s="46"/>
      <c r="I10" s="46"/>
      <c r="J10" s="46"/>
      <c r="K10" s="46"/>
      <c r="L10" s="46"/>
      <c r="M10" s="46"/>
      <c r="N10" s="46"/>
      <c r="O10" s="46"/>
      <c r="P10" s="46"/>
      <c r="Q10" s="46"/>
      <c r="R10" s="46"/>
      <c r="S10" s="46"/>
      <c r="T10" s="46"/>
      <c r="U10" s="46"/>
      <c r="V10" s="46"/>
      <c r="W10" s="46"/>
      <c r="X10" s="43"/>
      <c r="Y10" s="38"/>
      <c r="Z10" s="39"/>
    </row>
    <row r="11" spans="1:26" s="51" customFormat="1" ht="20">
      <c r="A11" s="47"/>
      <c r="B11" s="1559" t="s">
        <v>684</v>
      </c>
      <c r="C11" s="1559"/>
      <c r="D11" s="1559"/>
      <c r="E11" s="1559"/>
      <c r="F11" s="1559"/>
      <c r="G11" s="1559"/>
      <c r="H11" s="1559"/>
      <c r="I11" s="1559"/>
      <c r="J11" s="1559"/>
      <c r="K11" s="1559"/>
      <c r="L11" s="1559"/>
      <c r="M11" s="1559"/>
      <c r="N11" s="1559"/>
      <c r="O11" s="1559"/>
      <c r="P11" s="1559"/>
      <c r="Q11" s="1559"/>
      <c r="R11" s="1559"/>
      <c r="S11" s="1559"/>
      <c r="T11" s="1559"/>
      <c r="U11" s="1559"/>
      <c r="V11" s="1559"/>
      <c r="W11" s="1559"/>
      <c r="X11" s="48"/>
      <c r="Y11" s="49"/>
      <c r="Z11" s="50"/>
    </row>
    <row r="12" spans="1:26" ht="14.5" thickBot="1">
      <c r="A12" s="36"/>
      <c r="B12" s="37"/>
      <c r="C12" s="37"/>
      <c r="D12" s="37"/>
      <c r="E12" s="52"/>
      <c r="F12" s="37"/>
      <c r="G12" s="52"/>
      <c r="H12" s="37"/>
      <c r="I12" s="37"/>
      <c r="J12" s="37"/>
      <c r="K12" s="52"/>
      <c r="L12" s="52"/>
      <c r="M12" s="52"/>
      <c r="N12" s="52"/>
      <c r="O12" s="52"/>
      <c r="P12" s="52"/>
      <c r="Q12" s="52"/>
      <c r="R12" s="52"/>
      <c r="S12" s="52"/>
      <c r="T12" s="52"/>
      <c r="U12" s="52"/>
      <c r="V12" s="37"/>
      <c r="W12" s="37"/>
      <c r="X12" s="37"/>
      <c r="Y12" s="38"/>
      <c r="Z12" s="39"/>
    </row>
    <row r="13" spans="1:26" ht="16" thickBot="1">
      <c r="A13" s="36"/>
      <c r="B13" s="1561" t="s">
        <v>685</v>
      </c>
      <c r="C13" s="1562"/>
      <c r="D13" s="1562"/>
      <c r="E13" s="1562"/>
      <c r="F13" s="1562"/>
      <c r="G13" s="1562"/>
      <c r="H13" s="1562"/>
      <c r="I13" s="1563"/>
      <c r="J13" s="37"/>
      <c r="K13" s="52"/>
      <c r="L13" s="52"/>
      <c r="M13" s="52"/>
      <c r="N13" s="52"/>
      <c r="O13" s="52"/>
      <c r="P13" s="52"/>
      <c r="Q13" s="52"/>
      <c r="R13" s="52"/>
      <c r="S13" s="52"/>
      <c r="T13" s="52"/>
      <c r="U13" s="52"/>
      <c r="V13" s="37"/>
      <c r="W13" s="37"/>
      <c r="X13" s="37"/>
      <c r="Y13" s="38"/>
      <c r="Z13" s="39"/>
    </row>
    <row r="14" spans="1:26">
      <c r="A14" s="36"/>
      <c r="B14" s="37"/>
      <c r="C14" s="37"/>
      <c r="D14" s="37"/>
      <c r="E14" s="52"/>
      <c r="F14" s="37"/>
      <c r="G14" s="52"/>
      <c r="H14" s="37"/>
      <c r="I14" s="37"/>
      <c r="J14" s="37"/>
      <c r="K14" s="52"/>
      <c r="L14" s="52"/>
      <c r="M14" s="52"/>
      <c r="N14" s="52"/>
      <c r="O14" s="52"/>
      <c r="P14" s="52"/>
      <c r="Q14" s="52"/>
      <c r="R14" s="52"/>
      <c r="S14" s="52"/>
      <c r="T14" s="52"/>
      <c r="U14" s="52"/>
      <c r="V14" s="37"/>
      <c r="W14" s="37"/>
      <c r="X14" s="37"/>
      <c r="Y14" s="38"/>
      <c r="Z14" s="39"/>
    </row>
    <row r="15" spans="1:26" ht="14.5" thickBot="1">
      <c r="A15" s="36">
        <v>1</v>
      </c>
      <c r="B15" s="87" t="s">
        <v>686</v>
      </c>
      <c r="C15" s="88" t="s">
        <v>104</v>
      </c>
      <c r="D15" s="88">
        <v>1</v>
      </c>
      <c r="E15" s="88">
        <v>2</v>
      </c>
      <c r="F15" s="88">
        <v>3</v>
      </c>
      <c r="G15" s="88">
        <v>4</v>
      </c>
      <c r="H15" s="88">
        <v>5</v>
      </c>
      <c r="I15" s="88">
        <v>6</v>
      </c>
      <c r="J15" s="88">
        <v>7</v>
      </c>
      <c r="K15" s="88">
        <v>8</v>
      </c>
      <c r="L15" s="88">
        <v>9</v>
      </c>
      <c r="M15" s="88">
        <v>10</v>
      </c>
      <c r="N15" s="88">
        <v>11</v>
      </c>
      <c r="O15" s="88">
        <v>12</v>
      </c>
      <c r="P15" s="88">
        <v>13</v>
      </c>
      <c r="Q15" s="88">
        <v>14</v>
      </c>
      <c r="R15" s="88">
        <v>15</v>
      </c>
      <c r="S15" s="88">
        <v>16</v>
      </c>
      <c r="T15" s="88">
        <v>17</v>
      </c>
      <c r="U15" s="88">
        <v>18</v>
      </c>
      <c r="V15" s="88">
        <v>19</v>
      </c>
      <c r="W15" s="88">
        <v>20</v>
      </c>
      <c r="X15" s="89" t="s">
        <v>687</v>
      </c>
      <c r="Y15" s="38"/>
      <c r="Z15" s="39"/>
    </row>
    <row r="16" spans="1:26" ht="14.5" thickTop="1">
      <c r="A16" s="36"/>
      <c r="B16" s="90" t="s">
        <v>688</v>
      </c>
      <c r="C16" s="1136">
        <f>-EPC_Cost/1000</f>
        <v>-7888.760858973922</v>
      </c>
      <c r="D16" s="1136"/>
      <c r="E16" s="1136"/>
      <c r="F16" s="1136"/>
      <c r="G16" s="1136"/>
      <c r="H16" s="1136"/>
      <c r="I16" s="1136"/>
      <c r="J16" s="1136"/>
      <c r="K16" s="1136"/>
      <c r="L16" s="1136"/>
      <c r="M16" s="1136"/>
      <c r="N16" s="1136"/>
      <c r="O16" s="1136"/>
      <c r="P16" s="1136"/>
      <c r="Q16" s="1136"/>
      <c r="R16" s="1136"/>
      <c r="S16" s="1136"/>
      <c r="T16" s="1136"/>
      <c r="U16" s="1136"/>
      <c r="V16" s="1136"/>
      <c r="W16" s="1136"/>
      <c r="X16" s="1137"/>
      <c r="Y16" s="38"/>
      <c r="Z16" s="39"/>
    </row>
    <row r="17" spans="1:28">
      <c r="A17" s="36"/>
      <c r="B17" s="91" t="s">
        <v>983</v>
      </c>
      <c r="C17" s="1138"/>
      <c r="D17" s="1138">
        <f>(IF('Design Inputs'!$K$67&lt;1000,Tax_12B/1000,Tax_12B/1000*0.5))</f>
        <v>2129.9654319229589</v>
      </c>
      <c r="E17" s="1138">
        <f>IF('Design Inputs'!$K$67&lt;1000,0,Tax_12B/1000*0.3)</f>
        <v>0</v>
      </c>
      <c r="F17" s="1138">
        <f>IF('Design Inputs'!$K$67&lt;1000,0,Tax_12B/1000*0.2)</f>
        <v>0</v>
      </c>
      <c r="G17" s="1138"/>
      <c r="H17" s="1138"/>
      <c r="I17" s="1138"/>
      <c r="J17" s="1138"/>
      <c r="K17" s="1138"/>
      <c r="L17" s="1138"/>
      <c r="M17" s="1138"/>
      <c r="N17" s="1138"/>
      <c r="O17" s="1138"/>
      <c r="P17" s="1138"/>
      <c r="Q17" s="1138"/>
      <c r="R17" s="1138"/>
      <c r="S17" s="1138"/>
      <c r="T17" s="1138"/>
      <c r="U17" s="1138"/>
      <c r="V17" s="1138"/>
      <c r="W17" s="1138"/>
      <c r="X17" s="1139"/>
      <c r="Y17" s="38"/>
      <c r="Z17" s="39"/>
    </row>
    <row r="18" spans="1:28">
      <c r="A18" s="36"/>
      <c r="B18" s="91" t="s">
        <v>689</v>
      </c>
      <c r="C18" s="1138"/>
      <c r="D18" s="1140">
        <f>'4.3 Emergent Data'!G20/1000</f>
        <v>2178.4854928369978</v>
      </c>
      <c r="E18" s="1140">
        <f>D18/D3*(1+'Financial Inputs'!$D$9)*E3</f>
        <v>2338.6477462703742</v>
      </c>
      <c r="F18" s="1140">
        <f>E18/E3*(1+'Financial Inputs'!$D$9)*F3</f>
        <v>2510.5851285761723</v>
      </c>
      <c r="G18" s="1140">
        <f>F18/F3*(1+'Financial Inputs'!$D$9)*G3</f>
        <v>2695.1633472290923</v>
      </c>
      <c r="H18" s="1140">
        <f>G18/G3*(1+'Financial Inputs'!$D$9)*H3</f>
        <v>2893.3117565173757</v>
      </c>
      <c r="I18" s="1140">
        <f>H18/H3*(1+'Financial Inputs'!$D$9)*I3</f>
        <v>3106.0280368565332</v>
      </c>
      <c r="J18" s="1140">
        <f>I18/I3*(1+'Financial Inputs'!$D$9)*J3</f>
        <v>3334.3832181262255</v>
      </c>
      <c r="K18" s="1140">
        <f>J18/J3*(1+'Financial Inputs'!$D$9)*K3</f>
        <v>3579.5270723228659</v>
      </c>
      <c r="L18" s="1140">
        <f>K18/K3*(1+'Financial Inputs'!$D$9)*L3</f>
        <v>3842.6939026800428</v>
      </c>
      <c r="M18" s="1140">
        <f>L18/L3*(1+'Financial Inputs'!$D$9)*M3</f>
        <v>4125.2087584050796</v>
      </c>
      <c r="N18" s="1140">
        <f>M18/M3*(1+'Financial Inputs'!$D$9)*N3</f>
        <v>4428.4941063230217</v>
      </c>
      <c r="O18" s="1140">
        <f>N18/N3*(1+'Financial Inputs'!$D$9)*O3</f>
        <v>4754.0769930198903</v>
      </c>
      <c r="P18" s="1140">
        <f>O18/O3*(1+'Financial Inputs'!$D$9)*P3</f>
        <v>5103.596733546713</v>
      </c>
      <c r="Q18" s="1140">
        <f>P18/P3*(1+'Financial Inputs'!$D$9)*Q3</f>
        <v>5478.8131653970677</v>
      </c>
      <c r="R18" s="1140">
        <f>Q18/Q3*(1+'Financial Inputs'!$D$9)*R3</f>
        <v>5881.6155093170601</v>
      </c>
      <c r="S18" s="1140">
        <f>R18/R3*(1+'Financial Inputs'!$D$9)*S3</f>
        <v>6314.0318815620512</v>
      </c>
      <c r="T18" s="1140">
        <f>S18/S3*(1+'Financial Inputs'!$D$9)*T3</f>
        <v>6778.2395054944936</v>
      </c>
      <c r="U18" s="1140">
        <f>T18/T3*(1+'Financial Inputs'!$D$9)*U3</f>
        <v>7276.5756739384497</v>
      </c>
      <c r="V18" s="1140">
        <f>U18/U3*(1+'Financial Inputs'!$D$9)*V3</f>
        <v>7811.5495174864045</v>
      </c>
      <c r="W18" s="1140">
        <f>V18/V3*(1+'Financial Inputs'!$D$9)*W3</f>
        <v>8385.854638012006</v>
      </c>
      <c r="X18" s="1139">
        <f t="shared" ref="X18:X24" si="5">SUM(N18:W18)</f>
        <v>62212.84772409717</v>
      </c>
      <c r="Y18" s="38"/>
      <c r="Z18" s="39"/>
    </row>
    <row r="19" spans="1:28">
      <c r="A19" s="36"/>
      <c r="B19" s="951" t="s">
        <v>690</v>
      </c>
      <c r="C19" s="1138"/>
      <c r="D19" s="1141">
        <f>'4.3 Emergent Data'!D15/1000</f>
        <v>2178.4854928369978</v>
      </c>
      <c r="E19" s="1142">
        <f>D19/D3*(1+'Financial Inputs'!$D$9)*E3</f>
        <v>2338.6477462703742</v>
      </c>
      <c r="F19" s="1142">
        <f>E19/E3*(1+'Financial Inputs'!$D$9)*F3</f>
        <v>2510.5851285761723</v>
      </c>
      <c r="G19" s="1142">
        <f>F19/F3*(1+'Financial Inputs'!$D$9)*G3</f>
        <v>2695.1633472290923</v>
      </c>
      <c r="H19" s="1142">
        <f>G19/G3*(1+'Financial Inputs'!$D$9)*H3</f>
        <v>2893.3117565173757</v>
      </c>
      <c r="I19" s="1142">
        <f>H19/H3*(1+'Financial Inputs'!$D$9)*I3</f>
        <v>3106.0280368565332</v>
      </c>
      <c r="J19" s="1142">
        <f>I19/I3*(1+'Financial Inputs'!$D$9)*J3</f>
        <v>3334.3832181262255</v>
      </c>
      <c r="K19" s="1142">
        <f>J19/J3*(1+'Financial Inputs'!$D$9)*K3</f>
        <v>3579.5270723228659</v>
      </c>
      <c r="L19" s="1142">
        <f>K19/K3*(1+'Financial Inputs'!$D$9)*L3</f>
        <v>3842.6939026800428</v>
      </c>
      <c r="M19" s="1142">
        <f>L19/L3*(1+'Financial Inputs'!$D$9)*M3</f>
        <v>4125.2087584050796</v>
      </c>
      <c r="N19" s="1142">
        <f>M19/M3*(1+'Financial Inputs'!$D$9)*N3</f>
        <v>4428.4941063230217</v>
      </c>
      <c r="O19" s="1142">
        <f>N19/N3*(1+'Financial Inputs'!$D$9)*O3</f>
        <v>4754.0769930198903</v>
      </c>
      <c r="P19" s="1142">
        <f>O19/O3*(1+'Financial Inputs'!$D$9)*P3</f>
        <v>5103.596733546713</v>
      </c>
      <c r="Q19" s="1142">
        <f>P19/P3*(1+'Financial Inputs'!$D$9)*Q3</f>
        <v>5478.8131653970677</v>
      </c>
      <c r="R19" s="1142">
        <f>Q19/Q3*(1+'Financial Inputs'!$D$9)*R3</f>
        <v>5881.6155093170601</v>
      </c>
      <c r="S19" s="1142">
        <f>R19/R3*(1+'Financial Inputs'!$D$9)*S3</f>
        <v>6314.0318815620512</v>
      </c>
      <c r="T19" s="1142">
        <f>S19/S3*(1+'Financial Inputs'!$D$9)*T3</f>
        <v>6778.2395054944936</v>
      </c>
      <c r="U19" s="1142">
        <f>T19/T3*(1+'Financial Inputs'!$D$9)*U3</f>
        <v>7276.5756739384497</v>
      </c>
      <c r="V19" s="1142">
        <f>U19/U3*(1+'Financial Inputs'!$D$9)*V3</f>
        <v>7811.5495174864045</v>
      </c>
      <c r="W19" s="1143">
        <f>V19/V3*(1+'Financial Inputs'!$D$9)*W3</f>
        <v>8385.854638012006</v>
      </c>
      <c r="X19" s="1139">
        <f t="shared" si="5"/>
        <v>62212.84772409717</v>
      </c>
      <c r="Y19" s="38"/>
      <c r="Z19" s="39"/>
    </row>
    <row r="20" spans="1:28">
      <c r="A20" s="36"/>
      <c r="B20" s="951" t="s">
        <v>691</v>
      </c>
      <c r="C20" s="1138"/>
      <c r="D20" s="1144">
        <f>'4.3 Emergent Data'!D16/1000</f>
        <v>0</v>
      </c>
      <c r="E20" s="1145">
        <f>D20/D3*(1+'Financial Inputs'!$D$10)*E3</f>
        <v>0</v>
      </c>
      <c r="F20" s="1145">
        <f>E20/E3*(1+'Financial Inputs'!$D$10)*F3</f>
        <v>0</v>
      </c>
      <c r="G20" s="1145">
        <f>F20/F3*(1+'Financial Inputs'!$D$10)*G3</f>
        <v>0</v>
      </c>
      <c r="H20" s="1145">
        <f>G20/G3*(1+'Financial Inputs'!$D$10)*H3</f>
        <v>0</v>
      </c>
      <c r="I20" s="1145">
        <f>H20/H3*(1+'Financial Inputs'!$D$10)*I3</f>
        <v>0</v>
      </c>
      <c r="J20" s="1145">
        <f>I20/I3*(1+'Financial Inputs'!$D$10)*J3</f>
        <v>0</v>
      </c>
      <c r="K20" s="1145">
        <f>J20/J3*(1+'Financial Inputs'!$D$10)*K3</f>
        <v>0</v>
      </c>
      <c r="L20" s="1145">
        <f>K20/K3*(1+'Financial Inputs'!$D$10)*L3</f>
        <v>0</v>
      </c>
      <c r="M20" s="1145">
        <f>L20/L3*(1+'Financial Inputs'!$D$10)*M3</f>
        <v>0</v>
      </c>
      <c r="N20" s="1145">
        <f>M20/M3*(1+'Financial Inputs'!$D$10)*N3</f>
        <v>0</v>
      </c>
      <c r="O20" s="1145">
        <f>N20/N3*(1+'Financial Inputs'!$D$10)*O3</f>
        <v>0</v>
      </c>
      <c r="P20" s="1145">
        <f>O20/O3*(1+'Financial Inputs'!$D$10)*P3</f>
        <v>0</v>
      </c>
      <c r="Q20" s="1145">
        <f>P20/P3*(1+'Financial Inputs'!$D$10)*Q3</f>
        <v>0</v>
      </c>
      <c r="R20" s="1145">
        <f>Q20/Q3*(1+'Financial Inputs'!$D$10)*R3</f>
        <v>0</v>
      </c>
      <c r="S20" s="1145">
        <f>R20/R3*(1+'Financial Inputs'!$D$10)*S3</f>
        <v>0</v>
      </c>
      <c r="T20" s="1145">
        <f>S20/S3*(1+'Financial Inputs'!$D$10)*T3</f>
        <v>0</v>
      </c>
      <c r="U20" s="1145">
        <f>T20/T3*(1+'Financial Inputs'!$D$10)*U3</f>
        <v>0</v>
      </c>
      <c r="V20" s="1145">
        <f>U20/U3*(1+'Financial Inputs'!$D$10)*V3</f>
        <v>0</v>
      </c>
      <c r="W20" s="1146">
        <f>V20/V3*(1+'Financial Inputs'!$D$10)*W3</f>
        <v>0</v>
      </c>
      <c r="X20" s="1139">
        <f t="shared" si="5"/>
        <v>0</v>
      </c>
      <c r="Y20" s="38"/>
      <c r="Z20" s="39"/>
    </row>
    <row r="21" spans="1:28">
      <c r="A21" s="36"/>
      <c r="B21" s="91" t="s">
        <v>978</v>
      </c>
      <c r="C21" s="1138"/>
      <c r="D21" s="1166">
        <f>IF('Design Inputs'!$C$40="Y",Cashflows!D31,0)</f>
        <v>200</v>
      </c>
      <c r="E21" s="1166">
        <f>IF('Design Inputs'!$C$40="Y",Cashflows!E31,0)</f>
        <v>200</v>
      </c>
      <c r="F21" s="1166">
        <f>IF('Design Inputs'!$C$40="Y",Cashflows!F31,0)</f>
        <v>200</v>
      </c>
      <c r="G21" s="1166">
        <f>IF('Design Inputs'!$C$40="Y",Cashflows!G31,0)</f>
        <v>200</v>
      </c>
      <c r="H21" s="1166">
        <f>IF('Design Inputs'!$C$40="Y",Cashflows!H31,0)</f>
        <v>200</v>
      </c>
      <c r="I21" s="1166">
        <f>IF('Design Inputs'!$C$40="Y",Cashflows!I31,0)</f>
        <v>0</v>
      </c>
      <c r="J21" s="1166">
        <f>IF('Design Inputs'!$C$40="Y",Cashflows!J31,0)</f>
        <v>0</v>
      </c>
      <c r="K21" s="1166">
        <f>IF('Design Inputs'!$C$40="Y",Cashflows!K31,0)</f>
        <v>0</v>
      </c>
      <c r="L21" s="1166">
        <f>IF('Design Inputs'!$C$40="Y",Cashflows!L31,0)</f>
        <v>0</v>
      </c>
      <c r="M21" s="1166">
        <f>IF('Design Inputs'!$C$40="Y",Cashflows!M31,0)</f>
        <v>0</v>
      </c>
      <c r="N21" s="1166">
        <v>0</v>
      </c>
      <c r="O21" s="1166">
        <v>0</v>
      </c>
      <c r="P21" s="1166">
        <v>0</v>
      </c>
      <c r="Q21" s="1166">
        <v>0</v>
      </c>
      <c r="R21" s="1166">
        <v>0</v>
      </c>
      <c r="S21" s="1166">
        <v>0</v>
      </c>
      <c r="T21" s="1166">
        <v>0</v>
      </c>
      <c r="U21" s="1166">
        <v>0</v>
      </c>
      <c r="V21" s="1166">
        <v>0</v>
      </c>
      <c r="W21" s="1166">
        <v>0</v>
      </c>
      <c r="X21" s="1139">
        <v>0</v>
      </c>
      <c r="Y21" s="38"/>
      <c r="Z21" s="39"/>
    </row>
    <row r="22" spans="1:28">
      <c r="A22" s="36"/>
      <c r="B22" s="91" t="s">
        <v>692</v>
      </c>
      <c r="C22" s="1138"/>
      <c r="D22" s="1147">
        <f>-D9*D18</f>
        <v>-43.569709856739955</v>
      </c>
      <c r="E22" s="1147">
        <f t="shared" ref="E22:W22" si="6">-E9*E18</f>
        <v>-46.772954925407483</v>
      </c>
      <c r="F22" s="1147">
        <f t="shared" si="6"/>
        <v>-50.211702571523446</v>
      </c>
      <c r="G22" s="1147">
        <f t="shared" si="6"/>
        <v>-53.903266944581844</v>
      </c>
      <c r="H22" s="1147">
        <f t="shared" si="6"/>
        <v>-57.866235130347512</v>
      </c>
      <c r="I22" s="1147">
        <f t="shared" si="6"/>
        <v>0</v>
      </c>
      <c r="J22" s="1147">
        <f t="shared" si="6"/>
        <v>0</v>
      </c>
      <c r="K22" s="1147">
        <f t="shared" si="6"/>
        <v>0</v>
      </c>
      <c r="L22" s="1147">
        <f t="shared" si="6"/>
        <v>0</v>
      </c>
      <c r="M22" s="1147">
        <f t="shared" si="6"/>
        <v>0</v>
      </c>
      <c r="N22" s="1147">
        <f t="shared" si="6"/>
        <v>0</v>
      </c>
      <c r="O22" s="1147">
        <f t="shared" si="6"/>
        <v>0</v>
      </c>
      <c r="P22" s="1147">
        <f t="shared" si="6"/>
        <v>0</v>
      </c>
      <c r="Q22" s="1147">
        <f t="shared" si="6"/>
        <v>0</v>
      </c>
      <c r="R22" s="1147">
        <f t="shared" si="6"/>
        <v>0</v>
      </c>
      <c r="S22" s="1147">
        <f t="shared" si="6"/>
        <v>0</v>
      </c>
      <c r="T22" s="1147">
        <f t="shared" si="6"/>
        <v>0</v>
      </c>
      <c r="U22" s="1147">
        <f t="shared" si="6"/>
        <v>0</v>
      </c>
      <c r="V22" s="1147">
        <f t="shared" si="6"/>
        <v>0</v>
      </c>
      <c r="W22" s="1147">
        <f t="shared" si="6"/>
        <v>0</v>
      </c>
      <c r="X22" s="1139">
        <f t="shared" si="5"/>
        <v>0</v>
      </c>
      <c r="Y22" s="38"/>
      <c r="Z22" s="39"/>
    </row>
    <row r="23" spans="1:28">
      <c r="A23" s="36"/>
      <c r="B23" s="91" t="s">
        <v>1081</v>
      </c>
      <c r="C23" s="1138"/>
      <c r="D23" s="1138">
        <f>-('Cost Summary'!H37*'Financial Inputs'!D14)/1000</f>
        <v>-78.887608589739216</v>
      </c>
      <c r="E23" s="1138">
        <f>-('Cost Summary'!H37*'Financial Inputs'!D14)/1000*(1+'Financial Inputs'!$D$11+2%)</f>
        <v>-84.40974119102097</v>
      </c>
      <c r="F23" s="1138">
        <f>E$23*(1+'Financial Inputs'!$D$11+2%)</f>
        <v>-90.318423074392442</v>
      </c>
      <c r="G23" s="1138">
        <f>F$23*(1+'Financial Inputs'!$D$11+2%)</f>
        <v>-96.640712689599923</v>
      </c>
      <c r="H23" s="1138">
        <f>G$23*(1+'Financial Inputs'!$D$11+2%)</f>
        <v>-103.40556257787192</v>
      </c>
      <c r="I23" s="1138">
        <f>H$23*(1+'Financial Inputs'!$D$11+2%)</f>
        <v>-110.64395195832296</v>
      </c>
      <c r="J23" s="1138">
        <f>I$23*(1+'Financial Inputs'!$D$11+2%)</f>
        <v>-118.38902859540558</v>
      </c>
      <c r="K23" s="1138">
        <f>J$23*(1+'Financial Inputs'!$D$11+2%)</f>
        <v>-126.67626059708398</v>
      </c>
      <c r="L23" s="1138">
        <f>K$23*(1+'Financial Inputs'!$D$11+2%)</f>
        <v>-135.54359883887986</v>
      </c>
      <c r="M23" s="1138">
        <f>L$23*(1+'Financial Inputs'!$D$11+2%)</f>
        <v>-145.03165075760145</v>
      </c>
      <c r="N23" s="1138">
        <f>M$23*(1+'Financial Inputs'!$D$11+2%)</f>
        <v>-155.18386631063356</v>
      </c>
      <c r="O23" s="1138">
        <f>N$23*(1+'Financial Inputs'!$D$11+2%)</f>
        <v>-166.04673695237793</v>
      </c>
      <c r="P23" s="1138">
        <f>O$23*(1+'Financial Inputs'!$D$11+2%)</f>
        <v>-177.6700085390444</v>
      </c>
      <c r="Q23" s="1138">
        <f>P$23*(1+'Financial Inputs'!$D$11+2%)</f>
        <v>-190.10690913677752</v>
      </c>
      <c r="R23" s="1138">
        <f>Q$23*(1+'Financial Inputs'!$D$11+2%)</f>
        <v>-203.41439277635195</v>
      </c>
      <c r="S23" s="1138">
        <f>R$23*(1+'Financial Inputs'!$D$11+2%)</f>
        <v>-217.65340027069661</v>
      </c>
      <c r="T23" s="1138">
        <f>S$23*(1+'Financial Inputs'!$D$11+2%)</f>
        <v>-232.88913828964539</v>
      </c>
      <c r="U23" s="1138">
        <f>T$23*(1+'Financial Inputs'!$D$11+2%)</f>
        <v>-249.19137796992058</v>
      </c>
      <c r="V23" s="1138">
        <f>U$23*(1+'Financial Inputs'!$D$11+2%)</f>
        <v>-266.63477442781505</v>
      </c>
      <c r="W23" s="1138">
        <f>V$23*(1+'Financial Inputs'!$D$11+2%)</f>
        <v>-285.29920863776209</v>
      </c>
      <c r="X23" s="1139">
        <f t="shared" si="5"/>
        <v>-2144.089813311025</v>
      </c>
      <c r="Y23" s="38" t="b">
        <v>0</v>
      </c>
      <c r="Z23" s="53" t="s">
        <v>693</v>
      </c>
      <c r="AA23" s="54">
        <f>IRR(Cashflows!C24:W24)</f>
        <v>0.41732388987365798</v>
      </c>
    </row>
    <row r="24" spans="1:28">
      <c r="A24" s="36"/>
      <c r="B24" s="92" t="s">
        <v>694</v>
      </c>
      <c r="C24" s="1148">
        <f>SUM(C16:C23)</f>
        <v>-7888.760858973922</v>
      </c>
      <c r="D24" s="1148">
        <f t="shared" ref="D24:W24" si="7">SUM(D16:D23)-SUM(D19:D20)</f>
        <v>4385.9936063134774</v>
      </c>
      <c r="E24" s="1148">
        <f t="shared" si="7"/>
        <v>2407.4650501539463</v>
      </c>
      <c r="F24" s="1148">
        <f t="shared" si="7"/>
        <v>2570.0550029302563</v>
      </c>
      <c r="G24" s="1148">
        <f t="shared" si="7"/>
        <v>2744.6193675949107</v>
      </c>
      <c r="H24" s="1148">
        <f t="shared" si="7"/>
        <v>2932.0399588091564</v>
      </c>
      <c r="I24" s="1148">
        <f t="shared" si="7"/>
        <v>2995.3840848982104</v>
      </c>
      <c r="J24" s="1148">
        <f t="shared" si="7"/>
        <v>3215.9941895308198</v>
      </c>
      <c r="K24" s="1148">
        <f t="shared" si="7"/>
        <v>3452.8508117257816</v>
      </c>
      <c r="L24" s="1148">
        <f t="shared" si="7"/>
        <v>3707.1503038411629</v>
      </c>
      <c r="M24" s="1148">
        <f t="shared" si="7"/>
        <v>3980.1771076474779</v>
      </c>
      <c r="N24" s="1148">
        <f t="shared" si="7"/>
        <v>4273.310240012388</v>
      </c>
      <c r="O24" s="1148">
        <f t="shared" si="7"/>
        <v>4588.0302560675127</v>
      </c>
      <c r="P24" s="1148">
        <f t="shared" si="7"/>
        <v>4925.9267250076691</v>
      </c>
      <c r="Q24" s="1148">
        <f t="shared" si="7"/>
        <v>5288.7062562602905</v>
      </c>
      <c r="R24" s="1148">
        <f t="shared" si="7"/>
        <v>5678.2011165407075</v>
      </c>
      <c r="S24" s="1148">
        <f t="shared" si="7"/>
        <v>6096.3784812913555</v>
      </c>
      <c r="T24" s="1148">
        <f t="shared" si="7"/>
        <v>6545.3503672048482</v>
      </c>
      <c r="U24" s="1148">
        <f t="shared" si="7"/>
        <v>7027.3842959685289</v>
      </c>
      <c r="V24" s="1148">
        <f t="shared" si="7"/>
        <v>7544.914743058589</v>
      </c>
      <c r="W24" s="1148">
        <f t="shared" si="7"/>
        <v>8100.5554293742425</v>
      </c>
      <c r="X24" s="1149">
        <f t="shared" si="5"/>
        <v>60068.757910786138</v>
      </c>
      <c r="Y24" s="38"/>
      <c r="Z24" s="53" t="s">
        <v>252</v>
      </c>
      <c r="AA24" s="55">
        <f>'Design Inputs'!K71</f>
        <v>16.410985768616438</v>
      </c>
      <c r="AB24" s="56" t="s">
        <v>695</v>
      </c>
    </row>
    <row r="25" spans="1:28">
      <c r="A25" s="36"/>
      <c r="B25" s="93" t="s">
        <v>696</v>
      </c>
      <c r="C25" s="1150">
        <f>C24</f>
        <v>-7888.760858973922</v>
      </c>
      <c r="D25" s="1150">
        <f t="shared" ref="D25:W25" si="8">C25+D24</f>
        <v>-3502.7672526604447</v>
      </c>
      <c r="E25" s="1150">
        <f t="shared" si="8"/>
        <v>-1095.3022025064984</v>
      </c>
      <c r="F25" s="1150">
        <f t="shared" si="8"/>
        <v>1474.7528004237579</v>
      </c>
      <c r="G25" s="1150">
        <f t="shared" si="8"/>
        <v>4219.3721680186682</v>
      </c>
      <c r="H25" s="1150">
        <f t="shared" si="8"/>
        <v>7151.412126827825</v>
      </c>
      <c r="I25" s="1150">
        <f t="shared" si="8"/>
        <v>10146.796211726036</v>
      </c>
      <c r="J25" s="1150">
        <f t="shared" si="8"/>
        <v>13362.790401256856</v>
      </c>
      <c r="K25" s="1150">
        <f t="shared" si="8"/>
        <v>16815.641212982639</v>
      </c>
      <c r="L25" s="1150">
        <f t="shared" si="8"/>
        <v>20522.791516823803</v>
      </c>
      <c r="M25" s="1150">
        <f t="shared" si="8"/>
        <v>24502.968624471279</v>
      </c>
      <c r="N25" s="1150">
        <f t="shared" si="8"/>
        <v>28776.278864483669</v>
      </c>
      <c r="O25" s="1150">
        <f t="shared" si="8"/>
        <v>33364.309120551181</v>
      </c>
      <c r="P25" s="1150">
        <f t="shared" si="8"/>
        <v>38290.235845558847</v>
      </c>
      <c r="Q25" s="1150">
        <f t="shared" si="8"/>
        <v>43578.942101819135</v>
      </c>
      <c r="R25" s="1150">
        <f t="shared" si="8"/>
        <v>49257.143218359844</v>
      </c>
      <c r="S25" s="1150">
        <f t="shared" si="8"/>
        <v>55353.521699651203</v>
      </c>
      <c r="T25" s="1150">
        <f t="shared" si="8"/>
        <v>61898.872066856049</v>
      </c>
      <c r="U25" s="1150">
        <f t="shared" si="8"/>
        <v>68926.256362824584</v>
      </c>
      <c r="V25" s="1150">
        <f t="shared" si="8"/>
        <v>76471.171105883172</v>
      </c>
      <c r="W25" s="1150">
        <f t="shared" si="8"/>
        <v>84571.726535257418</v>
      </c>
      <c r="X25" s="1151">
        <f>W25</f>
        <v>84571.726535257418</v>
      </c>
      <c r="Y25" s="38"/>
      <c r="Z25" s="53" t="s">
        <v>634</v>
      </c>
      <c r="AA25" s="57">
        <f>'Design Inputs'!K71*'Design Inputs'!K67*1000</f>
        <v>7888760.8589739222</v>
      </c>
    </row>
    <row r="26" spans="1:28">
      <c r="A26" s="36"/>
      <c r="B26" s="37"/>
      <c r="C26" s="58"/>
      <c r="D26" s="37"/>
      <c r="E26" s="52"/>
      <c r="F26" s="37"/>
      <c r="G26" s="52"/>
      <c r="H26" s="37"/>
      <c r="I26" s="37"/>
      <c r="J26" s="37"/>
      <c r="K26" s="52"/>
      <c r="L26" s="52"/>
      <c r="M26" s="52"/>
      <c r="N26" s="52"/>
      <c r="O26" s="52"/>
      <c r="P26" s="52"/>
      <c r="Q26" s="52"/>
      <c r="R26" s="52"/>
      <c r="S26" s="52"/>
      <c r="T26" s="52"/>
      <c r="U26" s="52"/>
      <c r="V26" s="37"/>
      <c r="W26" s="37"/>
      <c r="X26" s="37"/>
      <c r="Y26" s="38"/>
      <c r="Z26" s="39"/>
    </row>
    <row r="27" spans="1:28" ht="14.5" thickBot="1">
      <c r="A27" s="36"/>
      <c r="B27" s="37"/>
      <c r="C27" s="37"/>
      <c r="D27" s="37"/>
      <c r="E27" s="52"/>
      <c r="F27" s="37"/>
      <c r="G27" s="52"/>
      <c r="H27" s="37"/>
      <c r="I27" s="37"/>
      <c r="J27" s="37"/>
      <c r="K27" s="52"/>
      <c r="L27" s="52"/>
      <c r="M27" s="52"/>
      <c r="N27" s="52"/>
      <c r="O27" s="52"/>
      <c r="P27" s="52"/>
      <c r="Q27" s="52"/>
      <c r="R27" s="52"/>
      <c r="S27" s="52"/>
      <c r="T27" s="52"/>
      <c r="U27" s="52"/>
      <c r="V27" s="37"/>
      <c r="W27" s="37"/>
      <c r="X27" s="37"/>
      <c r="Y27" s="38"/>
      <c r="Z27" s="39"/>
    </row>
    <row r="28" spans="1:28" ht="16" thickBot="1">
      <c r="A28" s="36"/>
      <c r="B28" s="1561" t="s">
        <v>995</v>
      </c>
      <c r="C28" s="1562"/>
      <c r="D28" s="1562"/>
      <c r="E28" s="1562"/>
      <c r="F28" s="1562"/>
      <c r="G28" s="1562"/>
      <c r="H28" s="1562"/>
      <c r="I28" s="1563"/>
      <c r="J28" s="37"/>
      <c r="K28" s="52"/>
      <c r="L28" s="52"/>
      <c r="M28" s="52"/>
      <c r="N28" s="52"/>
      <c r="O28" s="52"/>
      <c r="P28" s="52"/>
      <c r="Q28" s="52"/>
      <c r="R28" s="52"/>
      <c r="S28" s="52"/>
      <c r="T28" s="52"/>
      <c r="U28" s="52"/>
      <c r="V28" s="37"/>
      <c r="W28" s="37"/>
      <c r="X28" s="37"/>
      <c r="Y28" s="38"/>
      <c r="Z28" s="39"/>
    </row>
    <row r="29" spans="1:28">
      <c r="A29" s="36"/>
      <c r="B29" s="903" t="s">
        <v>697</v>
      </c>
      <c r="C29" s="37"/>
      <c r="D29" s="37"/>
      <c r="E29" s="52"/>
      <c r="F29" s="37"/>
      <c r="G29" s="52"/>
      <c r="H29" s="37"/>
      <c r="I29" s="37"/>
      <c r="J29" s="37"/>
      <c r="K29" s="52"/>
      <c r="L29" s="52"/>
      <c r="M29" s="52"/>
      <c r="N29" s="52"/>
      <c r="O29" s="52"/>
      <c r="P29" s="52"/>
      <c r="Q29" s="52"/>
      <c r="R29" s="52"/>
      <c r="S29" s="52"/>
      <c r="T29" s="52"/>
      <c r="U29" s="52"/>
      <c r="V29" s="37"/>
      <c r="W29" s="37"/>
      <c r="X29" s="37"/>
      <c r="Y29" s="38"/>
      <c r="Z29" s="39"/>
    </row>
    <row r="30" spans="1:28" ht="14.5" thickBot="1">
      <c r="A30" s="36">
        <v>1</v>
      </c>
      <c r="B30" s="87" t="s">
        <v>686</v>
      </c>
      <c r="C30" s="88" t="s">
        <v>104</v>
      </c>
      <c r="D30" s="88">
        <v>1</v>
      </c>
      <c r="E30" s="88">
        <v>2</v>
      </c>
      <c r="F30" s="88">
        <v>3</v>
      </c>
      <c r="G30" s="88">
        <v>4</v>
      </c>
      <c r="H30" s="88">
        <v>5</v>
      </c>
      <c r="I30" s="88">
        <v>6</v>
      </c>
      <c r="J30" s="88">
        <v>7</v>
      </c>
      <c r="K30" s="88">
        <v>8</v>
      </c>
      <c r="L30" s="88">
        <v>9</v>
      </c>
      <c r="M30" s="88">
        <v>10</v>
      </c>
      <c r="N30" s="88">
        <v>11</v>
      </c>
      <c r="O30" s="88">
        <v>12</v>
      </c>
      <c r="P30" s="88">
        <v>13</v>
      </c>
      <c r="Q30" s="88">
        <v>14</v>
      </c>
      <c r="R30" s="88">
        <v>15</v>
      </c>
      <c r="S30" s="88">
        <v>16</v>
      </c>
      <c r="T30" s="88">
        <v>17</v>
      </c>
      <c r="U30" s="88">
        <v>18</v>
      </c>
      <c r="V30" s="88">
        <v>19</v>
      </c>
      <c r="W30" s="88">
        <v>20</v>
      </c>
      <c r="X30" s="89" t="s">
        <v>687</v>
      </c>
      <c r="Y30" s="38"/>
      <c r="Z30" s="39"/>
    </row>
    <row r="31" spans="1:28" ht="15" thickTop="1" thickBot="1">
      <c r="A31" s="36"/>
      <c r="B31" s="91" t="s">
        <v>698</v>
      </c>
      <c r="C31" s="1138"/>
      <c r="D31" s="1140">
        <f>_xlfn.XLOOKUP(B29,B32:B35,D32:D35,0,1)</f>
        <v>200</v>
      </c>
      <c r="E31" s="1140">
        <f>LOOKUP($B$29,$B$32:$B$35,E32:E35)</f>
        <v>200</v>
      </c>
      <c r="F31" s="1140">
        <f>LOOKUP($B$29,$B$32:$B$35,F32:F35)</f>
        <v>200</v>
      </c>
      <c r="G31" s="1140">
        <f>LOOKUP($B$29,$B$32:$B$35,G32:G35)</f>
        <v>200</v>
      </c>
      <c r="H31" s="1140">
        <f>LOOKUP($B$29,$B$32:$B$35,H32:H35)</f>
        <v>200</v>
      </c>
      <c r="I31" s="1140">
        <f>I33</f>
        <v>0</v>
      </c>
      <c r="J31" s="1140">
        <f t="shared" ref="J31:M31" si="9">J33</f>
        <v>0</v>
      </c>
      <c r="K31" s="1140">
        <f t="shared" si="9"/>
        <v>0</v>
      </c>
      <c r="L31" s="1140">
        <f t="shared" si="9"/>
        <v>0</v>
      </c>
      <c r="M31" s="1140">
        <f t="shared" si="9"/>
        <v>0</v>
      </c>
      <c r="N31" s="1140">
        <f t="shared" ref="N31:W31" si="10">LOOKUP($B$29,$B$32:$B$35,N32:N35)</f>
        <v>0</v>
      </c>
      <c r="O31" s="1140">
        <f t="shared" si="10"/>
        <v>0</v>
      </c>
      <c r="P31" s="1140">
        <f t="shared" si="10"/>
        <v>0</v>
      </c>
      <c r="Q31" s="1140">
        <f t="shared" si="10"/>
        <v>0</v>
      </c>
      <c r="R31" s="1140">
        <f t="shared" si="10"/>
        <v>0</v>
      </c>
      <c r="S31" s="1140">
        <f t="shared" si="10"/>
        <v>0</v>
      </c>
      <c r="T31" s="1140">
        <f t="shared" si="10"/>
        <v>0</v>
      </c>
      <c r="U31" s="1140">
        <f t="shared" si="10"/>
        <v>0</v>
      </c>
      <c r="V31" s="1140">
        <f t="shared" si="10"/>
        <v>0</v>
      </c>
      <c r="W31" s="1140">
        <f t="shared" si="10"/>
        <v>0</v>
      </c>
      <c r="X31" s="1139"/>
      <c r="Y31" s="38"/>
      <c r="Z31" s="39"/>
    </row>
    <row r="32" spans="1:28" ht="14.5" thickBot="1">
      <c r="A32" s="36"/>
      <c r="B32" s="902" t="s">
        <v>697</v>
      </c>
      <c r="C32" s="1152">
        <f>200000/1000</f>
        <v>200</v>
      </c>
      <c r="D32" s="1141">
        <f>C32</f>
        <v>200</v>
      </c>
      <c r="E32" s="1142">
        <f t="shared" ref="E32:W32" si="11">IF(D9=0,0,(E9/D9)*D32)</f>
        <v>200</v>
      </c>
      <c r="F32" s="1142">
        <f t="shared" si="11"/>
        <v>200</v>
      </c>
      <c r="G32" s="1142">
        <f t="shared" si="11"/>
        <v>200</v>
      </c>
      <c r="H32" s="1142">
        <f t="shared" si="11"/>
        <v>200</v>
      </c>
      <c r="I32" s="1142">
        <f t="shared" si="11"/>
        <v>0</v>
      </c>
      <c r="J32" s="1142">
        <f t="shared" si="11"/>
        <v>0</v>
      </c>
      <c r="K32" s="1142">
        <f t="shared" si="11"/>
        <v>0</v>
      </c>
      <c r="L32" s="1142">
        <f t="shared" si="11"/>
        <v>0</v>
      </c>
      <c r="M32" s="1142">
        <f t="shared" si="11"/>
        <v>0</v>
      </c>
      <c r="N32" s="1142">
        <f t="shared" si="11"/>
        <v>0</v>
      </c>
      <c r="O32" s="1142">
        <f t="shared" si="11"/>
        <v>0</v>
      </c>
      <c r="P32" s="1142">
        <f t="shared" si="11"/>
        <v>0</v>
      </c>
      <c r="Q32" s="1142">
        <f t="shared" si="11"/>
        <v>0</v>
      </c>
      <c r="R32" s="1142">
        <f t="shared" si="11"/>
        <v>0</v>
      </c>
      <c r="S32" s="1142">
        <f t="shared" si="11"/>
        <v>0</v>
      </c>
      <c r="T32" s="1142">
        <f t="shared" si="11"/>
        <v>0</v>
      </c>
      <c r="U32" s="1142">
        <f t="shared" si="11"/>
        <v>0</v>
      </c>
      <c r="V32" s="1142">
        <f t="shared" si="11"/>
        <v>0</v>
      </c>
      <c r="W32" s="1143">
        <f t="shared" si="11"/>
        <v>0</v>
      </c>
      <c r="X32" s="1139">
        <f t="shared" ref="X32:X35" si="12">SUM(N32:W32)</f>
        <v>0</v>
      </c>
      <c r="Y32" s="38"/>
      <c r="Z32" s="39"/>
    </row>
    <row r="33" spans="1:28">
      <c r="A33" s="36"/>
      <c r="B33" s="902" t="s">
        <v>699</v>
      </c>
      <c r="C33" s="1147"/>
      <c r="D33" s="1164">
        <f>IF(AND('Design Inputs'!G18="Time of Use",'Design Inputs'!C40="Y"),'4.4 BESS Data'!Q20/1000,0)</f>
        <v>0</v>
      </c>
      <c r="E33" s="1153">
        <f>D33*(1+'Financial Inputs'!$D$9)</f>
        <v>0</v>
      </c>
      <c r="F33" s="1153">
        <f>E33*(1+'Financial Inputs'!$D$9)</f>
        <v>0</v>
      </c>
      <c r="G33" s="1153">
        <f>F33*(1+'Financial Inputs'!$D$9)</f>
        <v>0</v>
      </c>
      <c r="H33" s="1153">
        <f>G33*(1+'Financial Inputs'!$D$9)</f>
        <v>0</v>
      </c>
      <c r="I33" s="1153">
        <f>H33*(1+'Financial Inputs'!$D$9)</f>
        <v>0</v>
      </c>
      <c r="J33" s="1153">
        <f>I33*(1+'Financial Inputs'!$D$9)</f>
        <v>0</v>
      </c>
      <c r="K33" s="1153">
        <f>J33*(1+'Financial Inputs'!$D$9)</f>
        <v>0</v>
      </c>
      <c r="L33" s="1153">
        <f>K33*(1+'Financial Inputs'!$D$9)</f>
        <v>0</v>
      </c>
      <c r="M33" s="1153">
        <f>L33*(1+'Financial Inputs'!$D$9)</f>
        <v>0</v>
      </c>
      <c r="N33" s="1153">
        <f>M33*(1+'Financial Inputs'!$D$9)</f>
        <v>0</v>
      </c>
      <c r="O33" s="1153">
        <f>N33*(1+'Financial Inputs'!$D$9)</f>
        <v>0</v>
      </c>
      <c r="P33" s="1153">
        <f>O33*(1+'Financial Inputs'!$D$9)</f>
        <v>0</v>
      </c>
      <c r="Q33" s="1153">
        <f>P33*(1+'Financial Inputs'!$D$9)</f>
        <v>0</v>
      </c>
      <c r="R33" s="1153">
        <f>Q33*(1+'Financial Inputs'!$D$9)</f>
        <v>0</v>
      </c>
      <c r="S33" s="1153">
        <f>R33*(1+'Financial Inputs'!$D$9)</f>
        <v>0</v>
      </c>
      <c r="T33" s="1153">
        <f>S33*(1+'Financial Inputs'!$D$9)</f>
        <v>0</v>
      </c>
      <c r="U33" s="1153">
        <f>T33*(1+'Financial Inputs'!$D$9)</f>
        <v>0</v>
      </c>
      <c r="V33" s="1153">
        <f>U33*(1+'Financial Inputs'!$D$9)</f>
        <v>0</v>
      </c>
      <c r="W33" s="1165">
        <f>V33*(1+'Financial Inputs'!$D$9)</f>
        <v>0</v>
      </c>
      <c r="X33" s="1139">
        <f t="shared" si="12"/>
        <v>0</v>
      </c>
      <c r="Y33" s="38"/>
      <c r="Z33" s="39"/>
    </row>
    <row r="34" spans="1:28" ht="14.5" thickBot="1">
      <c r="A34" s="36"/>
      <c r="B34" s="902" t="s">
        <v>700</v>
      </c>
      <c r="C34" s="1154"/>
      <c r="D34" s="1164">
        <f>IF(AND('Design Inputs'!G18="Time of Use",'Design Inputs'!C40="Y"),'4.4 BESS Data'!I37/1000,0)</f>
        <v>0</v>
      </c>
      <c r="E34" s="1153">
        <f>D34*(1+'Financial Inputs'!$D$9)</f>
        <v>0</v>
      </c>
      <c r="F34" s="1153">
        <f>E34*(1+'Financial Inputs'!$D$9)</f>
        <v>0</v>
      </c>
      <c r="G34" s="1153">
        <f>F34*(1+'Financial Inputs'!$D$9)</f>
        <v>0</v>
      </c>
      <c r="H34" s="1153">
        <f>G34*(1+'Financial Inputs'!$D$9)</f>
        <v>0</v>
      </c>
      <c r="I34" s="1153">
        <f>H34*(1+'Financial Inputs'!$D$9)</f>
        <v>0</v>
      </c>
      <c r="J34" s="1153">
        <f>I34*(1+'Financial Inputs'!$D$9)</f>
        <v>0</v>
      </c>
      <c r="K34" s="1153">
        <f>J34*(1+'Financial Inputs'!$D$9)</f>
        <v>0</v>
      </c>
      <c r="L34" s="1153">
        <f>K34*(1+'Financial Inputs'!$D$9)</f>
        <v>0</v>
      </c>
      <c r="M34" s="1153">
        <f>L34*(1+'Financial Inputs'!$D$9)</f>
        <v>0</v>
      </c>
      <c r="N34" s="1153">
        <f>M34*(1+'Financial Inputs'!$D$9)</f>
        <v>0</v>
      </c>
      <c r="O34" s="1153">
        <f>N34*(1+'Financial Inputs'!$D$9)</f>
        <v>0</v>
      </c>
      <c r="P34" s="1153">
        <f>O34*(1+'Financial Inputs'!$D$9)</f>
        <v>0</v>
      </c>
      <c r="Q34" s="1153">
        <f>P34*(1+'Financial Inputs'!$D$9)</f>
        <v>0</v>
      </c>
      <c r="R34" s="1153">
        <f>Q34*(1+'Financial Inputs'!$D$9)</f>
        <v>0</v>
      </c>
      <c r="S34" s="1153">
        <f>R34*(1+'Financial Inputs'!$D$9)</f>
        <v>0</v>
      </c>
      <c r="T34" s="1153">
        <f>S34*(1+'Financial Inputs'!$D$9)</f>
        <v>0</v>
      </c>
      <c r="U34" s="1153">
        <f>T34*(1+'Financial Inputs'!$D$9)</f>
        <v>0</v>
      </c>
      <c r="V34" s="1153">
        <f>U34*(1+'Financial Inputs'!$D$9)</f>
        <v>0</v>
      </c>
      <c r="W34" s="1165">
        <f>V34*(1+'Financial Inputs'!$D$9)</f>
        <v>0</v>
      </c>
      <c r="X34" s="1139">
        <f t="shared" si="12"/>
        <v>0</v>
      </c>
      <c r="Y34" s="38"/>
      <c r="Z34" s="39"/>
    </row>
    <row r="35" spans="1:28" ht="14.5" thickBot="1">
      <c r="A35" s="36"/>
      <c r="B35" s="902" t="s">
        <v>701</v>
      </c>
      <c r="C35" s="1152">
        <f>150000/1000</f>
        <v>150</v>
      </c>
      <c r="D35" s="1144">
        <f>C35*12</f>
        <v>1800</v>
      </c>
      <c r="E35" s="1145">
        <f t="shared" ref="E35:W35" si="13">IF(D9=0,0,(E9/D9)*D35)</f>
        <v>1800</v>
      </c>
      <c r="F35" s="1145">
        <f t="shared" si="13"/>
        <v>1800</v>
      </c>
      <c r="G35" s="1145">
        <f t="shared" si="13"/>
        <v>1800</v>
      </c>
      <c r="H35" s="1145">
        <f t="shared" si="13"/>
        <v>1800</v>
      </c>
      <c r="I35" s="1145">
        <f t="shared" si="13"/>
        <v>0</v>
      </c>
      <c r="J35" s="1145">
        <f t="shared" si="13"/>
        <v>0</v>
      </c>
      <c r="K35" s="1145">
        <f t="shared" si="13"/>
        <v>0</v>
      </c>
      <c r="L35" s="1145">
        <f t="shared" si="13"/>
        <v>0</v>
      </c>
      <c r="M35" s="1145">
        <f t="shared" si="13"/>
        <v>0</v>
      </c>
      <c r="N35" s="1145">
        <f t="shared" si="13"/>
        <v>0</v>
      </c>
      <c r="O35" s="1145">
        <f t="shared" si="13"/>
        <v>0</v>
      </c>
      <c r="P35" s="1145">
        <f t="shared" si="13"/>
        <v>0</v>
      </c>
      <c r="Q35" s="1145">
        <f t="shared" si="13"/>
        <v>0</v>
      </c>
      <c r="R35" s="1145">
        <f t="shared" si="13"/>
        <v>0</v>
      </c>
      <c r="S35" s="1145">
        <f t="shared" si="13"/>
        <v>0</v>
      </c>
      <c r="T35" s="1145">
        <f t="shared" si="13"/>
        <v>0</v>
      </c>
      <c r="U35" s="1145">
        <f t="shared" si="13"/>
        <v>0</v>
      </c>
      <c r="V35" s="1145">
        <f t="shared" si="13"/>
        <v>0</v>
      </c>
      <c r="W35" s="1146">
        <f t="shared" si="13"/>
        <v>0</v>
      </c>
      <c r="X35" s="1139">
        <f t="shared" si="12"/>
        <v>0</v>
      </c>
      <c r="Y35" s="38"/>
      <c r="Z35" s="39"/>
    </row>
    <row r="36" spans="1:28">
      <c r="A36" s="36"/>
      <c r="B36" s="37"/>
      <c r="C36" s="58"/>
      <c r="D36" s="37"/>
      <c r="E36" s="52"/>
      <c r="F36" s="37"/>
      <c r="G36" s="52"/>
      <c r="H36" s="37"/>
      <c r="I36" s="37"/>
      <c r="J36" s="37"/>
      <c r="K36" s="52"/>
      <c r="L36" s="52"/>
      <c r="M36" s="52"/>
      <c r="N36" s="52"/>
      <c r="O36" s="52"/>
      <c r="P36" s="52"/>
      <c r="Q36" s="52"/>
      <c r="R36" s="52"/>
      <c r="S36" s="52"/>
      <c r="T36" s="52"/>
      <c r="U36" s="52"/>
      <c r="V36" s="37"/>
      <c r="W36" s="37"/>
      <c r="X36" s="37"/>
      <c r="Y36" s="38"/>
      <c r="Z36" s="39"/>
    </row>
    <row r="37" spans="1:28" s="40" customFormat="1" ht="20">
      <c r="A37" s="71"/>
      <c r="B37" s="1560" t="str">
        <f>CONCATENATE('Financial Inputs'!D3," Year Instalment Sale Agreement")</f>
        <v>5 Year Instalment Sale Agreement</v>
      </c>
      <c r="C37" s="1560"/>
      <c r="D37" s="1560"/>
      <c r="E37" s="1560"/>
      <c r="F37" s="1560"/>
      <c r="G37" s="1560"/>
      <c r="H37" s="1560"/>
      <c r="I37" s="1560"/>
      <c r="J37" s="1560"/>
      <c r="K37" s="1560"/>
      <c r="L37" s="1560"/>
      <c r="M37" s="1560"/>
      <c r="N37" s="1560"/>
      <c r="O37" s="1560"/>
      <c r="P37" s="1560"/>
      <c r="Q37" s="1560"/>
      <c r="R37" s="1560"/>
      <c r="S37" s="1560"/>
      <c r="T37" s="1560"/>
      <c r="U37" s="1560"/>
      <c r="V37" s="1560"/>
      <c r="W37" s="1560"/>
      <c r="X37" s="60"/>
      <c r="Y37" s="72"/>
      <c r="Z37" s="59"/>
    </row>
    <row r="38" spans="1:28" ht="14.5" thickBot="1">
      <c r="A38" s="36"/>
      <c r="B38" s="64"/>
      <c r="C38" s="64"/>
      <c r="D38" s="65"/>
      <c r="E38" s="65"/>
      <c r="F38" s="65"/>
      <c r="G38" s="65"/>
      <c r="H38" s="65"/>
      <c r="I38" s="65"/>
      <c r="J38" s="65"/>
      <c r="K38" s="65"/>
      <c r="L38" s="65"/>
      <c r="M38" s="65"/>
      <c r="N38" s="65"/>
      <c r="O38" s="65"/>
      <c r="P38" s="65"/>
      <c r="Q38" s="65"/>
      <c r="R38" s="65"/>
      <c r="S38" s="65"/>
      <c r="T38" s="65"/>
      <c r="U38" s="65"/>
      <c r="V38" s="65"/>
      <c r="W38" s="65"/>
      <c r="X38" s="65"/>
      <c r="Y38" s="38"/>
      <c r="Z38" s="39"/>
    </row>
    <row r="39" spans="1:28" ht="16" thickBot="1">
      <c r="A39" s="36"/>
      <c r="B39" s="1561" t="s">
        <v>709</v>
      </c>
      <c r="C39" s="1562"/>
      <c r="D39" s="1562"/>
      <c r="E39" s="1562"/>
      <c r="F39" s="1562"/>
      <c r="G39" s="1562"/>
      <c r="H39" s="1562"/>
      <c r="I39" s="1563"/>
      <c r="J39" s="37"/>
      <c r="K39" s="37"/>
      <c r="L39" s="61"/>
      <c r="M39" s="37"/>
      <c r="N39" s="37"/>
      <c r="O39" s="37"/>
      <c r="P39" s="37"/>
      <c r="Q39" s="37"/>
      <c r="R39" s="37"/>
      <c r="S39" s="37"/>
      <c r="T39" s="37"/>
      <c r="U39" s="37"/>
      <c r="V39" s="37"/>
      <c r="W39" s="37"/>
      <c r="X39" s="37"/>
      <c r="Y39" s="38"/>
      <c r="Z39" s="39"/>
    </row>
    <row r="40" spans="1:28">
      <c r="A40" s="36"/>
      <c r="B40" s="37"/>
      <c r="C40" s="37"/>
      <c r="D40" s="37"/>
      <c r="E40" s="37"/>
      <c r="F40" s="37"/>
      <c r="G40" s="37"/>
      <c r="H40" s="37"/>
      <c r="I40" s="37"/>
      <c r="J40" s="37"/>
      <c r="K40" s="37"/>
      <c r="L40" s="37"/>
      <c r="M40" s="37"/>
      <c r="N40" s="37"/>
      <c r="O40" s="37"/>
      <c r="P40" s="37"/>
      <c r="Q40" s="37"/>
      <c r="R40" s="37"/>
      <c r="S40" s="37"/>
      <c r="T40" s="37"/>
      <c r="U40" s="37"/>
      <c r="V40" s="37"/>
      <c r="W40" s="37"/>
      <c r="X40" s="37"/>
      <c r="Y40" s="38"/>
      <c r="Z40" s="39"/>
    </row>
    <row r="41" spans="1:28" ht="14.5" thickBot="1">
      <c r="A41" s="36">
        <v>7</v>
      </c>
      <c r="B41" s="94" t="s">
        <v>703</v>
      </c>
      <c r="C41" s="88">
        <v>0</v>
      </c>
      <c r="D41" s="88">
        <v>1</v>
      </c>
      <c r="E41" s="88">
        <v>2</v>
      </c>
      <c r="F41" s="88">
        <v>3</v>
      </c>
      <c r="G41" s="88">
        <v>4</v>
      </c>
      <c r="H41" s="88">
        <v>5</v>
      </c>
      <c r="I41" s="88">
        <v>6</v>
      </c>
      <c r="J41" s="88">
        <v>7</v>
      </c>
      <c r="K41" s="88">
        <v>8</v>
      </c>
      <c r="L41" s="88">
        <v>9</v>
      </c>
      <c r="M41" s="88">
        <v>10</v>
      </c>
      <c r="N41" s="88">
        <v>11</v>
      </c>
      <c r="O41" s="88">
        <v>12</v>
      </c>
      <c r="P41" s="88">
        <v>13</v>
      </c>
      <c r="Q41" s="88">
        <v>14</v>
      </c>
      <c r="R41" s="88">
        <v>15</v>
      </c>
      <c r="S41" s="88">
        <v>16</v>
      </c>
      <c r="T41" s="88">
        <v>17</v>
      </c>
      <c r="U41" s="88">
        <v>18</v>
      </c>
      <c r="V41" s="88">
        <v>19</v>
      </c>
      <c r="W41" s="88">
        <v>20</v>
      </c>
      <c r="X41" s="89" t="s">
        <v>687</v>
      </c>
      <c r="Y41" s="38"/>
      <c r="Z41" s="39"/>
    </row>
    <row r="42" spans="1:28" ht="14.5" thickTop="1">
      <c r="A42" s="62"/>
      <c r="B42" s="90" t="s">
        <v>688</v>
      </c>
      <c r="C42" s="1155">
        <f>-'Fedgroup Amort'!D4</f>
        <v>0</v>
      </c>
      <c r="D42" s="1155"/>
      <c r="E42" s="1155"/>
      <c r="F42" s="1155"/>
      <c r="G42" s="1155"/>
      <c r="H42" s="1155"/>
      <c r="I42" s="1155"/>
      <c r="J42" s="1155"/>
      <c r="K42" s="1155"/>
      <c r="L42" s="1155"/>
      <c r="M42" s="1155"/>
      <c r="N42" s="1155"/>
      <c r="O42" s="1155"/>
      <c r="P42" s="1155"/>
      <c r="Q42" s="1155"/>
      <c r="R42" s="1155"/>
      <c r="S42" s="1155"/>
      <c r="T42" s="1155"/>
      <c r="U42" s="1155"/>
      <c r="V42" s="1155"/>
      <c r="W42" s="1155"/>
      <c r="X42" s="1156"/>
      <c r="Y42" s="38"/>
      <c r="Z42" s="39"/>
    </row>
    <row r="43" spans="1:28">
      <c r="A43" s="62"/>
      <c r="B43" s="91" t="s">
        <v>983</v>
      </c>
      <c r="C43" s="1155"/>
      <c r="D43" s="1155">
        <f>D17</f>
        <v>2129.9654319229589</v>
      </c>
      <c r="E43" s="1380">
        <f t="shared" ref="E43:F43" si="14">E17</f>
        <v>0</v>
      </c>
      <c r="F43" s="1380">
        <f t="shared" si="14"/>
        <v>0</v>
      </c>
      <c r="G43" s="1155"/>
      <c r="H43" s="1155"/>
      <c r="I43" s="1155"/>
      <c r="J43" s="1155"/>
      <c r="K43" s="1155"/>
      <c r="L43" s="1155"/>
      <c r="M43" s="1155"/>
      <c r="N43" s="1155"/>
      <c r="O43" s="1155"/>
      <c r="P43" s="1155"/>
      <c r="Q43" s="1155"/>
      <c r="R43" s="1155"/>
      <c r="S43" s="1155"/>
      <c r="T43" s="1155"/>
      <c r="U43" s="1155"/>
      <c r="V43" s="1155"/>
      <c r="W43" s="1155"/>
      <c r="X43" s="1156"/>
      <c r="Y43" s="38"/>
      <c r="Z43" s="39"/>
    </row>
    <row r="44" spans="1:28">
      <c r="A44" s="36"/>
      <c r="B44" s="91" t="s">
        <v>689</v>
      </c>
      <c r="C44" s="1155"/>
      <c r="D44" s="1155">
        <f>D18</f>
        <v>2178.4854928369978</v>
      </c>
      <c r="E44" s="1155">
        <f t="shared" ref="E44:W44" si="15">E18</f>
        <v>2338.6477462703742</v>
      </c>
      <c r="F44" s="1155">
        <f t="shared" si="15"/>
        <v>2510.5851285761723</v>
      </c>
      <c r="G44" s="1155">
        <f t="shared" si="15"/>
        <v>2695.1633472290923</v>
      </c>
      <c r="H44" s="1155">
        <f t="shared" si="15"/>
        <v>2893.3117565173757</v>
      </c>
      <c r="I44" s="1155">
        <f t="shared" si="15"/>
        <v>3106.0280368565332</v>
      </c>
      <c r="J44" s="1155">
        <f t="shared" si="15"/>
        <v>3334.3832181262255</v>
      </c>
      <c r="K44" s="1155">
        <f t="shared" si="15"/>
        <v>3579.5270723228659</v>
      </c>
      <c r="L44" s="1155">
        <f t="shared" si="15"/>
        <v>3842.6939026800428</v>
      </c>
      <c r="M44" s="1155">
        <f t="shared" si="15"/>
        <v>4125.2087584050796</v>
      </c>
      <c r="N44" s="1155">
        <f t="shared" si="15"/>
        <v>4428.4941063230217</v>
      </c>
      <c r="O44" s="1155">
        <f t="shared" si="15"/>
        <v>4754.0769930198903</v>
      </c>
      <c r="P44" s="1155">
        <f t="shared" si="15"/>
        <v>5103.596733546713</v>
      </c>
      <c r="Q44" s="1155">
        <f t="shared" si="15"/>
        <v>5478.8131653970677</v>
      </c>
      <c r="R44" s="1155">
        <f t="shared" si="15"/>
        <v>5881.6155093170601</v>
      </c>
      <c r="S44" s="1155">
        <f t="shared" si="15"/>
        <v>6314.0318815620512</v>
      </c>
      <c r="T44" s="1155">
        <f t="shared" si="15"/>
        <v>6778.2395054944936</v>
      </c>
      <c r="U44" s="1155">
        <f t="shared" si="15"/>
        <v>7276.5756739384497</v>
      </c>
      <c r="V44" s="1155">
        <f t="shared" si="15"/>
        <v>7811.5495174864045</v>
      </c>
      <c r="W44" s="1155">
        <f t="shared" si="15"/>
        <v>8385.854638012006</v>
      </c>
      <c r="X44" s="1156">
        <f>SUM(N44:W44)</f>
        <v>62212.84772409717</v>
      </c>
      <c r="Y44" s="38"/>
      <c r="Z44" s="39"/>
    </row>
    <row r="45" spans="1:28">
      <c r="A45" s="36"/>
      <c r="B45" s="91" t="s">
        <v>978</v>
      </c>
      <c r="C45" s="1155"/>
      <c r="D45" s="1155">
        <f>D21</f>
        <v>200</v>
      </c>
      <c r="E45" s="1155">
        <f t="shared" ref="E45:W45" si="16">E21</f>
        <v>200</v>
      </c>
      <c r="F45" s="1155">
        <f t="shared" si="16"/>
        <v>200</v>
      </c>
      <c r="G45" s="1155">
        <f t="shared" si="16"/>
        <v>200</v>
      </c>
      <c r="H45" s="1155">
        <f t="shared" si="16"/>
        <v>200</v>
      </c>
      <c r="I45" s="1155">
        <f t="shared" si="16"/>
        <v>0</v>
      </c>
      <c r="J45" s="1155">
        <f t="shared" si="16"/>
        <v>0</v>
      </c>
      <c r="K45" s="1155">
        <f t="shared" si="16"/>
        <v>0</v>
      </c>
      <c r="L45" s="1155">
        <f t="shared" si="16"/>
        <v>0</v>
      </c>
      <c r="M45" s="1155">
        <f t="shared" si="16"/>
        <v>0</v>
      </c>
      <c r="N45" s="1155">
        <f t="shared" si="16"/>
        <v>0</v>
      </c>
      <c r="O45" s="1155">
        <f t="shared" si="16"/>
        <v>0</v>
      </c>
      <c r="P45" s="1155">
        <f t="shared" si="16"/>
        <v>0</v>
      </c>
      <c r="Q45" s="1155">
        <f t="shared" si="16"/>
        <v>0</v>
      </c>
      <c r="R45" s="1155">
        <f t="shared" si="16"/>
        <v>0</v>
      </c>
      <c r="S45" s="1155">
        <f t="shared" si="16"/>
        <v>0</v>
      </c>
      <c r="T45" s="1155">
        <f t="shared" si="16"/>
        <v>0</v>
      </c>
      <c r="U45" s="1155">
        <f t="shared" si="16"/>
        <v>0</v>
      </c>
      <c r="V45" s="1155">
        <f t="shared" si="16"/>
        <v>0</v>
      </c>
      <c r="W45" s="1155">
        <f t="shared" si="16"/>
        <v>0</v>
      </c>
      <c r="X45" s="1156">
        <f>SUM(N45:W45)</f>
        <v>0</v>
      </c>
      <c r="Y45" s="38"/>
      <c r="Z45" s="39"/>
    </row>
    <row r="46" spans="1:28">
      <c r="A46" s="36"/>
      <c r="B46" s="91" t="s">
        <v>977</v>
      </c>
      <c r="C46" s="1155"/>
      <c r="D46" s="1155">
        <f ca="1">'Fedgroup Amort'!P27/1000/1.15</f>
        <v>-2202.6919986892376</v>
      </c>
      <c r="E46" s="1155">
        <f ca="1">'Fedgroup Amort'!P39/1000/1.15</f>
        <v>-2202.6919986892376</v>
      </c>
      <c r="F46" s="1155">
        <f ca="1">'Fedgroup Amort'!P51/1000/1.15</f>
        <v>-2202.6919986892376</v>
      </c>
      <c r="G46" s="1155">
        <f ca="1">'Fedgroup Amort'!P63/1000/1.15</f>
        <v>-2202.6919986892376</v>
      </c>
      <c r="H46" s="1155">
        <f ca="1">'Fedgroup Amort'!P75/1000/1.15</f>
        <v>-2202.6919986892376</v>
      </c>
      <c r="I46" s="1155">
        <f ca="1">'Fedgroup Amort'!P87/1000/1.15</f>
        <v>0</v>
      </c>
      <c r="J46" s="1155">
        <f ca="1">'Fedgroup Amort'!P99/1000/1.15</f>
        <v>0</v>
      </c>
      <c r="K46" s="1155">
        <f ca="1">'Fedgroup Amort'!P111/1000/1.15</f>
        <v>0</v>
      </c>
      <c r="L46" s="1155">
        <f ca="1">'Fedgroup Amort'!P123/1000/1.15</f>
        <v>0</v>
      </c>
      <c r="M46" s="1155">
        <f ca="1">'Fedgroup Amort'!P135/1000/1.15</f>
        <v>0</v>
      </c>
      <c r="N46" s="1155"/>
      <c r="O46" s="1155"/>
      <c r="P46" s="1155"/>
      <c r="Q46" s="1155"/>
      <c r="R46" s="1155"/>
      <c r="S46" s="1155"/>
      <c r="T46" s="1155"/>
      <c r="U46" s="1155"/>
      <c r="V46" s="1155"/>
      <c r="W46" s="1155"/>
      <c r="X46" s="1156">
        <f t="shared" ref="X46:X49" si="17">SUM(N46:W46)</f>
        <v>0</v>
      </c>
      <c r="Y46" s="38"/>
      <c r="Z46" s="53" t="s">
        <v>981</v>
      </c>
      <c r="AA46" s="1167">
        <v>10</v>
      </c>
    </row>
    <row r="47" spans="1:28">
      <c r="A47" s="36"/>
      <c r="B47" s="91" t="s">
        <v>704</v>
      </c>
      <c r="C47" s="1155"/>
      <c r="D47" s="1155">
        <f ca="1">-'Fedgroup Amort'!$S27/1000</f>
        <v>-10.886489985384015</v>
      </c>
      <c r="E47" s="1155">
        <f ca="1">-'Fedgroup Amort'!$S39/1000</f>
        <v>-10.886489985384015</v>
      </c>
      <c r="F47" s="1155">
        <f ca="1">-'Fedgroup Amort'!$S51/1000</f>
        <v>-10.886489985384015</v>
      </c>
      <c r="G47" s="1155">
        <f ca="1">-'Fedgroup Amort'!$S63/1000</f>
        <v>-10.886489985384015</v>
      </c>
      <c r="H47" s="1155">
        <f ca="1">-'Fedgroup Amort'!$S75/1000</f>
        <v>-10.886489985384015</v>
      </c>
      <c r="I47" s="1155">
        <f ca="1">-'Fedgroup Amort'!$S87/1000</f>
        <v>0</v>
      </c>
      <c r="J47" s="1155">
        <f ca="1">-'Fedgroup Amort'!$S99/1000</f>
        <v>0</v>
      </c>
      <c r="K47" s="1155">
        <f ca="1">-'Fedgroup Amort'!$S111/1000</f>
        <v>0</v>
      </c>
      <c r="L47" s="1155">
        <f ca="1">-'Fedgroup Amort'!$S123/1000</f>
        <v>0</v>
      </c>
      <c r="M47" s="1155">
        <f ca="1">-'Fedgroup Amort'!$S135/1000</f>
        <v>0</v>
      </c>
      <c r="N47" s="1155"/>
      <c r="O47" s="1155"/>
      <c r="P47" s="1155"/>
      <c r="Q47" s="1155"/>
      <c r="R47" s="1155"/>
      <c r="S47" s="1155"/>
      <c r="T47" s="1155"/>
      <c r="U47" s="1155"/>
      <c r="V47" s="1155"/>
      <c r="W47" s="1155"/>
      <c r="X47" s="1156">
        <f>SUM(N47:W47)</f>
        <v>0</v>
      </c>
      <c r="Y47" s="38"/>
      <c r="Z47" s="53" t="s">
        <v>982</v>
      </c>
      <c r="AA47" s="57">
        <f ca="1">D46*-1000/12</f>
        <v>183557.66655743646</v>
      </c>
      <c r="AB47" s="56"/>
    </row>
    <row r="48" spans="1:28">
      <c r="A48" s="36"/>
      <c r="B48" s="91" t="s">
        <v>1081</v>
      </c>
      <c r="C48" s="1155"/>
      <c r="D48" s="1155">
        <f ca="1">IF(D46&lt;0,D23,D23)</f>
        <v>-78.887608589739216</v>
      </c>
      <c r="E48" s="1155">
        <f ca="1">IF(E46&lt;0,D48*(1+'Financial Inputs'!D11+2%),E23)</f>
        <v>-84.40974119102097</v>
      </c>
      <c r="F48" s="1155">
        <f ca="1">IF(F46&lt;0,E48*(1+'Financial Inputs'!E11+2%),F23)</f>
        <v>-86.097936014841395</v>
      </c>
      <c r="G48" s="1155">
        <f ca="1">IF(G46&lt;0,F48*(1+'Financial Inputs'!F11+2%),G23)</f>
        <v>-87.81989473513822</v>
      </c>
      <c r="H48" s="1155">
        <f ca="1">IF(H46&lt;0,G48*(1+'Financial Inputs'!G11+2%),H23)</f>
        <v>-89.576292629840992</v>
      </c>
      <c r="I48" s="1155">
        <f ca="1">IF(I46&lt;0,H48*(1+'Financial Inputs'!H11+2%),I23)</f>
        <v>-110.64395195832296</v>
      </c>
      <c r="J48" s="1155">
        <f ca="1">IF(J46&lt;0,I48*(1+'Financial Inputs'!I11+2%),J23)</f>
        <v>-118.38902859540558</v>
      </c>
      <c r="K48" s="1155">
        <f ca="1">IF(K46&lt;0,J48*(1+'Financial Inputs'!J11+2%),K23)</f>
        <v>-126.67626059708398</v>
      </c>
      <c r="L48" s="1155">
        <f ca="1">IF(L46&lt;0,K48*(1+'Financial Inputs'!K11+2%),L23)</f>
        <v>-135.54359883887986</v>
      </c>
      <c r="M48" s="1155">
        <f ca="1">IF(M46&lt;0,L48*(1+'Financial Inputs'!L11+2%),M23)</f>
        <v>-145.03165075760145</v>
      </c>
      <c r="N48" s="1155">
        <f>IF(N46&lt;0,M48*(1+'Financial Inputs'!M11+2%),N23)</f>
        <v>-155.18386631063356</v>
      </c>
      <c r="O48" s="1155">
        <f>IF(O46&lt;0,N48*(1+'Financial Inputs'!N11+2%),O23)</f>
        <v>-166.04673695237793</v>
      </c>
      <c r="P48" s="1155">
        <f>IF(P46&lt;0,O48*(1+'Financial Inputs'!O11+2%),P23)</f>
        <v>-177.6700085390444</v>
      </c>
      <c r="Q48" s="1155">
        <f>IF(Q46&lt;0,P48*(1+'Financial Inputs'!P11+2%),Q23)</f>
        <v>-190.10690913677752</v>
      </c>
      <c r="R48" s="1155">
        <f>IF(R46&lt;0,Q48*(1+'Financial Inputs'!Q11+2%),R23)</f>
        <v>-203.41439277635195</v>
      </c>
      <c r="S48" s="1155">
        <f>IF(S46&lt;0,R48*(1+'Financial Inputs'!R11+2%),S23)</f>
        <v>-217.65340027069661</v>
      </c>
      <c r="T48" s="1155">
        <f>IF(T46&lt;0,S48*(1+'Financial Inputs'!S11+2%),T23)</f>
        <v>-232.88913828964539</v>
      </c>
      <c r="U48" s="1155">
        <f>IF(U46&lt;0,T48*(1+'Financial Inputs'!T11+2%),U23)</f>
        <v>-249.19137796992058</v>
      </c>
      <c r="V48" s="1155">
        <f>IF(V46&lt;0,U48*(1+'Financial Inputs'!U11+2%),V23)</f>
        <v>-266.63477442781505</v>
      </c>
      <c r="W48" s="1155">
        <f>IF(W46&lt;0,V48*(1+'Financial Inputs'!V11+2%),W23)</f>
        <v>-285.29920863776209</v>
      </c>
      <c r="X48" s="1156">
        <f>SUM(N48:W48)</f>
        <v>-2144.089813311025</v>
      </c>
      <c r="Y48" s="38"/>
      <c r="Z48" s="39"/>
    </row>
    <row r="49" spans="1:26">
      <c r="A49" s="36"/>
      <c r="B49" s="91" t="s">
        <v>1082</v>
      </c>
      <c r="C49" s="1155"/>
      <c r="D49" s="1155">
        <f>D22</f>
        <v>-43.569709856739955</v>
      </c>
      <c r="E49" s="1155">
        <f t="shared" ref="E49:M49" si="18">E22</f>
        <v>-46.772954925407483</v>
      </c>
      <c r="F49" s="1155">
        <f t="shared" si="18"/>
        <v>-50.211702571523446</v>
      </c>
      <c r="G49" s="1155">
        <f t="shared" si="18"/>
        <v>-53.903266944581844</v>
      </c>
      <c r="H49" s="1155">
        <f t="shared" si="18"/>
        <v>-57.866235130347512</v>
      </c>
      <c r="I49" s="1155">
        <f t="shared" si="18"/>
        <v>0</v>
      </c>
      <c r="J49" s="1155">
        <f t="shared" si="18"/>
        <v>0</v>
      </c>
      <c r="K49" s="1155">
        <f t="shared" si="18"/>
        <v>0</v>
      </c>
      <c r="L49" s="1155">
        <f t="shared" si="18"/>
        <v>0</v>
      </c>
      <c r="M49" s="1155">
        <f t="shared" si="18"/>
        <v>0</v>
      </c>
      <c r="N49" s="1155"/>
      <c r="O49" s="1155"/>
      <c r="P49" s="1155"/>
      <c r="Q49" s="1155"/>
      <c r="R49" s="1155"/>
      <c r="S49" s="1155"/>
      <c r="T49" s="1155"/>
      <c r="U49" s="1155"/>
      <c r="V49" s="1155"/>
      <c r="W49" s="1155"/>
      <c r="X49" s="1156">
        <f t="shared" si="17"/>
        <v>0</v>
      </c>
      <c r="Y49" s="38"/>
      <c r="Z49" s="39"/>
    </row>
    <row r="50" spans="1:26">
      <c r="A50" s="36"/>
      <c r="B50" s="93" t="s">
        <v>694</v>
      </c>
      <c r="C50" s="1157">
        <f>SUM(C42:C49)</f>
        <v>0</v>
      </c>
      <c r="D50" s="1157">
        <f ca="1">SUM(D42:D49)</f>
        <v>2172.4151176388559</v>
      </c>
      <c r="E50" s="1157">
        <f t="shared" ref="E50:W50" ca="1" si="19">SUM(E42:E49)</f>
        <v>193.88656147932417</v>
      </c>
      <c r="F50" s="1157">
        <f t="shared" ca="1" si="19"/>
        <v>360.69700131518584</v>
      </c>
      <c r="G50" s="1157">
        <f t="shared" ca="1" si="19"/>
        <v>539.86169687475058</v>
      </c>
      <c r="H50" s="1157">
        <f t="shared" ca="1" si="19"/>
        <v>732.29074008256555</v>
      </c>
      <c r="I50" s="1157">
        <f t="shared" ca="1" si="19"/>
        <v>2995.3840848982104</v>
      </c>
      <c r="J50" s="1157">
        <f t="shared" ca="1" si="19"/>
        <v>3215.9941895308198</v>
      </c>
      <c r="K50" s="1157">
        <f t="shared" ca="1" si="19"/>
        <v>3452.850811725782</v>
      </c>
      <c r="L50" s="1157">
        <f t="shared" ca="1" si="19"/>
        <v>3707.1503038411629</v>
      </c>
      <c r="M50" s="1157">
        <f t="shared" ca="1" si="19"/>
        <v>3980.1771076474784</v>
      </c>
      <c r="N50" s="1157">
        <f t="shared" si="19"/>
        <v>4273.310240012388</v>
      </c>
      <c r="O50" s="1157">
        <f t="shared" si="19"/>
        <v>4588.0302560675127</v>
      </c>
      <c r="P50" s="1157">
        <f t="shared" si="19"/>
        <v>4925.9267250076682</v>
      </c>
      <c r="Q50" s="1157">
        <f t="shared" si="19"/>
        <v>5288.7062562602905</v>
      </c>
      <c r="R50" s="1157">
        <f t="shared" si="19"/>
        <v>5678.2011165407084</v>
      </c>
      <c r="S50" s="1157">
        <f t="shared" si="19"/>
        <v>6096.3784812913545</v>
      </c>
      <c r="T50" s="1157">
        <f t="shared" si="19"/>
        <v>6545.3503672048482</v>
      </c>
      <c r="U50" s="1157">
        <f t="shared" si="19"/>
        <v>7027.3842959685289</v>
      </c>
      <c r="V50" s="1157">
        <f t="shared" si="19"/>
        <v>7544.914743058589</v>
      </c>
      <c r="W50" s="1157">
        <f t="shared" si="19"/>
        <v>8100.5554293742443</v>
      </c>
      <c r="X50" s="1158">
        <f>SUM(N50:W50)</f>
        <v>60068.757910786131</v>
      </c>
      <c r="Y50" s="38"/>
      <c r="Z50" s="39"/>
    </row>
    <row r="51" spans="1:26">
      <c r="A51" s="36"/>
      <c r="B51" s="93" t="s">
        <v>696</v>
      </c>
      <c r="C51" s="1157"/>
      <c r="D51" s="1157">
        <f ca="1">D50+C50</f>
        <v>2172.4151176388559</v>
      </c>
      <c r="E51" s="1157">
        <f ca="1">E50+D50</f>
        <v>2366.3016791181799</v>
      </c>
      <c r="F51" s="1381">
        <f ca="1">F50+E51</f>
        <v>2726.9986804333657</v>
      </c>
      <c r="G51" s="1381">
        <f t="shared" ref="G51:W51" ca="1" si="20">G50+F51</f>
        <v>3266.8603773081163</v>
      </c>
      <c r="H51" s="1381">
        <f t="shared" ca="1" si="20"/>
        <v>3999.151117390682</v>
      </c>
      <c r="I51" s="1381">
        <f t="shared" ca="1" si="20"/>
        <v>6994.5352022888928</v>
      </c>
      <c r="J51" s="1381">
        <f t="shared" ca="1" si="20"/>
        <v>10210.529391819713</v>
      </c>
      <c r="K51" s="1381">
        <f t="shared" ca="1" si="20"/>
        <v>13663.380203545496</v>
      </c>
      <c r="L51" s="1381">
        <f t="shared" ca="1" si="20"/>
        <v>17370.530507386658</v>
      </c>
      <c r="M51" s="1381">
        <f t="shared" ca="1" si="20"/>
        <v>21350.707615034138</v>
      </c>
      <c r="N51" s="1381">
        <f t="shared" ca="1" si="20"/>
        <v>25624.017855046528</v>
      </c>
      <c r="O51" s="1381">
        <f t="shared" ca="1" si="20"/>
        <v>30212.04811111404</v>
      </c>
      <c r="P51" s="1381">
        <f t="shared" ca="1" si="20"/>
        <v>35137.974836121706</v>
      </c>
      <c r="Q51" s="1381">
        <f t="shared" ca="1" si="20"/>
        <v>40426.681092381994</v>
      </c>
      <c r="R51" s="1381">
        <f t="shared" ca="1" si="20"/>
        <v>46104.882208922703</v>
      </c>
      <c r="S51" s="1381">
        <f t="shared" ca="1" si="20"/>
        <v>52201.260690214054</v>
      </c>
      <c r="T51" s="1381">
        <f t="shared" ca="1" si="20"/>
        <v>58746.611057418901</v>
      </c>
      <c r="U51" s="1381">
        <f t="shared" ca="1" si="20"/>
        <v>65773.995353387436</v>
      </c>
      <c r="V51" s="1381">
        <f t="shared" ca="1" si="20"/>
        <v>73318.910096446023</v>
      </c>
      <c r="W51" s="1381">
        <f t="shared" ca="1" si="20"/>
        <v>81419.465525820269</v>
      </c>
      <c r="X51" s="1158">
        <f ca="1">W51</f>
        <v>81419.465525820269</v>
      </c>
      <c r="Y51" s="38"/>
      <c r="Z51" s="39"/>
    </row>
    <row r="52" spans="1:26">
      <c r="A52" s="36"/>
      <c r="B52" s="91" t="s">
        <v>706</v>
      </c>
      <c r="C52" s="95"/>
      <c r="D52" s="95">
        <f>'4.3 Emergent Data'!$D$27</f>
        <v>2.6492952499999998</v>
      </c>
      <c r="E52" s="95">
        <f>D52*(1+'Financial Inputs'!$D$9)</f>
        <v>2.8612388699999998</v>
      </c>
      <c r="F52" s="95">
        <f>E52*(1+'Financial Inputs'!$D$9)</f>
        <v>3.0901379796000001</v>
      </c>
      <c r="G52" s="95">
        <f>F52*(1+'Financial Inputs'!$D$9)</f>
        <v>3.3373490179680005</v>
      </c>
      <c r="H52" s="95">
        <f>G52*(1+'Financial Inputs'!$D$9)</f>
        <v>3.604336939405441</v>
      </c>
      <c r="I52" s="95">
        <f>H52*(1+'Financial Inputs'!$D$9)</f>
        <v>3.8926838945578766</v>
      </c>
      <c r="J52" s="95">
        <f>I52*(1+'Financial Inputs'!$D$9)</f>
        <v>4.204098606122507</v>
      </c>
      <c r="K52" s="95">
        <f>J52*(1+'Financial Inputs'!$D$9)</f>
        <v>4.5404264946123076</v>
      </c>
      <c r="L52" s="95">
        <f>K52*(1+'Financial Inputs'!$D$9)</f>
        <v>4.9036606141812928</v>
      </c>
      <c r="M52" s="95">
        <f>L52*(1+'Financial Inputs'!$D$9)</f>
        <v>5.2959534633157963</v>
      </c>
      <c r="N52" s="95">
        <f>M52*(1+'Financial Inputs'!$D$9)</f>
        <v>5.7196297403810608</v>
      </c>
      <c r="O52" s="95">
        <f>N52*(1+'Financial Inputs'!$D$9)</f>
        <v>6.1772001196115456</v>
      </c>
      <c r="P52" s="95">
        <f>O52*(1+'Financial Inputs'!$D$9)</f>
        <v>6.6713761291804694</v>
      </c>
      <c r="Q52" s="95">
        <f>P52*(1+'Financial Inputs'!$D$9)</f>
        <v>7.2050862195149072</v>
      </c>
      <c r="R52" s="95">
        <f>Q52*(1+'Financial Inputs'!$D$9)</f>
        <v>7.7814931170761001</v>
      </c>
      <c r="S52" s="95">
        <f>R52*(1+'Financial Inputs'!$D$9)</f>
        <v>8.404012566442189</v>
      </c>
      <c r="T52" s="95">
        <f>S52*(1+'Financial Inputs'!$D$9)</f>
        <v>9.0763335717575639</v>
      </c>
      <c r="U52" s="95">
        <f>T52*(1+'Financial Inputs'!$D$9)</f>
        <v>9.8024402574981693</v>
      </c>
      <c r="V52" s="95">
        <f>U52*(1+'Financial Inputs'!$D$9)</f>
        <v>10.586635478098023</v>
      </c>
      <c r="W52" s="95">
        <f>V52*(1+'Financial Inputs'!$D$9)</f>
        <v>11.433566316345866</v>
      </c>
      <c r="X52" s="96"/>
      <c r="Y52" s="38"/>
      <c r="Z52" s="70"/>
    </row>
    <row r="53" spans="1:26">
      <c r="A53" s="36"/>
      <c r="B53" s="1128" t="s">
        <v>707</v>
      </c>
      <c r="C53" s="1129"/>
      <c r="D53" s="1129">
        <f ca="1">IF(D41&lt;='Financial Inputs'!$D$3,-(D46+D47+D48)*1000/D$3,0)</f>
        <v>2.7879091057701824</v>
      </c>
      <c r="E53" s="1129">
        <f ca="1">IF(E41&lt;='Financial Inputs'!$D$3,-(E46+E47+E48)*1000/E$3,0)</f>
        <v>2.8114936319845061</v>
      </c>
      <c r="F53" s="1129">
        <f ca="1">IF(F41&lt;='Financial Inputs'!$D$3,-(F46+F47+F48)*1000/F$3,0)</f>
        <v>2.8305423225197925</v>
      </c>
      <c r="G53" s="1129">
        <f ca="1">IF(G41&lt;='Financial Inputs'!$D$3,-(G46+G47+G48)*1000/G$3,0)</f>
        <v>2.849760346704822</v>
      </c>
      <c r="H53" s="1129">
        <f ca="1">IF(H41&lt;='Financial Inputs'!$D$3,-(H46+H47+H48)*1000/H$3,0)</f>
        <v>2.8691501483463053</v>
      </c>
      <c r="I53" s="1129">
        <f>IF(I41&lt;='Financial Inputs'!$D$3,-(I46+I47+I48)*1000/I$3,0)</f>
        <v>0</v>
      </c>
      <c r="J53" s="1129">
        <f>IF(J41&lt;='Financial Inputs'!$D$3,-(J46+J47+J48)*1000/J$3,0)</f>
        <v>0</v>
      </c>
      <c r="K53" s="1129">
        <f>IF(K41&lt;='Financial Inputs'!$D$3,-(K46+K47+K48)*1000/K$3,0)</f>
        <v>0</v>
      </c>
      <c r="L53" s="1129">
        <f>IF(L41&lt;='Financial Inputs'!$D$3,-(L46+L47+L48)*1000/L$3,0)</f>
        <v>0</v>
      </c>
      <c r="M53" s="1129">
        <f>IF(M41&lt;='Financial Inputs'!$D$3,-(M46+M47+M48)*1000/M$3,0)</f>
        <v>0</v>
      </c>
      <c r="N53" s="1129"/>
      <c r="O53" s="1129"/>
      <c r="P53" s="1129"/>
      <c r="Q53" s="1129"/>
      <c r="R53" s="1129"/>
      <c r="S53" s="1129"/>
      <c r="T53" s="1129"/>
      <c r="U53" s="1129"/>
      <c r="V53" s="1129"/>
      <c r="W53" s="1129"/>
      <c r="X53" s="1130"/>
      <c r="Y53" s="38"/>
      <c r="Z53" s="70"/>
    </row>
    <row r="54" spans="1:26" ht="14.5" hidden="1" thickBot="1">
      <c r="A54" s="36"/>
      <c r="B54" s="37"/>
      <c r="C54" s="37"/>
      <c r="D54" s="37"/>
      <c r="E54" s="37"/>
      <c r="F54" s="37"/>
      <c r="G54" s="37"/>
      <c r="H54" s="37"/>
      <c r="I54" s="37"/>
      <c r="J54" s="37"/>
      <c r="K54" s="37"/>
      <c r="L54" s="37"/>
      <c r="M54" s="37"/>
      <c r="N54" s="37"/>
      <c r="O54" s="37"/>
      <c r="P54" s="37"/>
      <c r="Q54" s="37"/>
      <c r="R54" s="37"/>
      <c r="S54" s="37"/>
      <c r="T54" s="37"/>
      <c r="U54" s="37"/>
      <c r="V54" s="37"/>
      <c r="W54" s="37"/>
      <c r="X54" s="37"/>
      <c r="Y54" s="38"/>
      <c r="Z54" s="39"/>
    </row>
    <row r="55" spans="1:26" ht="16" hidden="1" thickBot="1">
      <c r="A55" s="36"/>
      <c r="B55" s="1561" t="s">
        <v>708</v>
      </c>
      <c r="C55" s="1562"/>
      <c r="D55" s="1562"/>
      <c r="E55" s="1562"/>
      <c r="F55" s="1562"/>
      <c r="G55" s="1562"/>
      <c r="H55" s="1562"/>
      <c r="I55" s="1563"/>
      <c r="J55" s="37"/>
      <c r="K55" s="37"/>
      <c r="L55" s="61"/>
      <c r="M55" s="37"/>
      <c r="N55" s="37"/>
      <c r="O55" s="37"/>
      <c r="P55" s="37"/>
      <c r="Q55" s="37"/>
      <c r="R55" s="37"/>
      <c r="S55" s="37"/>
      <c r="T55" s="37"/>
      <c r="U55" s="37"/>
      <c r="V55" s="37"/>
      <c r="W55" s="37"/>
      <c r="X55" s="37"/>
      <c r="Y55" s="38"/>
      <c r="Z55" s="39"/>
    </row>
    <row r="56" spans="1:26" hidden="1">
      <c r="A56" s="36"/>
      <c r="B56" s="37"/>
      <c r="C56" s="37"/>
      <c r="D56" s="37"/>
      <c r="E56" s="63"/>
      <c r="F56" s="63"/>
      <c r="G56" s="63"/>
      <c r="H56" s="63"/>
      <c r="I56" s="63"/>
      <c r="J56" s="63"/>
      <c r="K56" s="63"/>
      <c r="L56" s="63"/>
      <c r="M56" s="63"/>
      <c r="N56" s="63"/>
      <c r="O56" s="63"/>
      <c r="P56" s="63"/>
      <c r="Q56" s="63"/>
      <c r="R56" s="37"/>
      <c r="S56" s="37"/>
      <c r="T56" s="37"/>
      <c r="U56" s="37"/>
      <c r="V56" s="37"/>
      <c r="W56" s="37"/>
      <c r="X56" s="37"/>
      <c r="Y56" s="38"/>
      <c r="Z56" s="39"/>
    </row>
    <row r="57" spans="1:26" ht="14.5" hidden="1" thickBot="1">
      <c r="A57" s="36">
        <v>8</v>
      </c>
      <c r="B57" s="94" t="s">
        <v>703</v>
      </c>
      <c r="C57" s="88">
        <v>0</v>
      </c>
      <c r="D57" s="88">
        <v>1</v>
      </c>
      <c r="E57" s="88">
        <v>2</v>
      </c>
      <c r="F57" s="88">
        <v>3</v>
      </c>
      <c r="G57" s="88">
        <v>4</v>
      </c>
      <c r="H57" s="88">
        <v>5</v>
      </c>
      <c r="I57" s="88">
        <v>6</v>
      </c>
      <c r="J57" s="88">
        <v>7</v>
      </c>
      <c r="K57" s="88">
        <v>8</v>
      </c>
      <c r="L57" s="88">
        <v>9</v>
      </c>
      <c r="M57" s="88">
        <v>10</v>
      </c>
      <c r="N57" s="88">
        <v>11</v>
      </c>
      <c r="O57" s="88">
        <v>12</v>
      </c>
      <c r="P57" s="88">
        <v>13</v>
      </c>
      <c r="Q57" s="88">
        <v>14</v>
      </c>
      <c r="R57" s="88">
        <v>15</v>
      </c>
      <c r="S57" s="88">
        <v>16</v>
      </c>
      <c r="T57" s="88">
        <v>17</v>
      </c>
      <c r="U57" s="88">
        <v>18</v>
      </c>
      <c r="V57" s="88">
        <v>19</v>
      </c>
      <c r="W57" s="88">
        <v>20</v>
      </c>
      <c r="X57" s="89" t="s">
        <v>687</v>
      </c>
      <c r="Y57" s="38"/>
      <c r="Z57" s="39"/>
    </row>
    <row r="58" spans="1:26" ht="14.5" hidden="1" thickTop="1">
      <c r="A58" s="36"/>
      <c r="B58" s="90" t="s">
        <v>688</v>
      </c>
      <c r="C58" s="1155"/>
      <c r="D58" s="1155"/>
      <c r="E58" s="1155"/>
      <c r="F58" s="1155"/>
      <c r="G58" s="1155"/>
      <c r="H58" s="1155"/>
      <c r="I58" s="1155"/>
      <c r="J58" s="1155"/>
      <c r="K58" s="1155"/>
      <c r="L58" s="1155"/>
      <c r="M58" s="1155"/>
      <c r="N58" s="1155"/>
      <c r="O58" s="1155"/>
      <c r="P58" s="1155"/>
      <c r="Q58" s="1155"/>
      <c r="R58" s="1155"/>
      <c r="S58" s="1155"/>
      <c r="T58" s="1155"/>
      <c r="U58" s="1155"/>
      <c r="V58" s="1155"/>
      <c r="W58" s="1155"/>
      <c r="X58" s="1156"/>
      <c r="Y58" s="38"/>
      <c r="Z58" s="39"/>
    </row>
    <row r="59" spans="1:26" hidden="1">
      <c r="A59" s="36"/>
      <c r="B59" s="91" t="s">
        <v>983</v>
      </c>
      <c r="C59" s="1155"/>
      <c r="D59" s="1155"/>
      <c r="E59" s="1155"/>
      <c r="F59" s="1155"/>
      <c r="G59" s="1155"/>
      <c r="H59" s="1155"/>
      <c r="I59" s="1155"/>
      <c r="J59" s="1155"/>
      <c r="K59" s="1155"/>
      <c r="L59" s="1155"/>
      <c r="M59" s="1155"/>
      <c r="N59" s="1155"/>
      <c r="O59" s="1155"/>
      <c r="P59" s="1155"/>
      <c r="Q59" s="1155"/>
      <c r="R59" s="1155"/>
      <c r="S59" s="1155"/>
      <c r="T59" s="1155"/>
      <c r="U59" s="1155"/>
      <c r="V59" s="1155"/>
      <c r="W59" s="1155"/>
      <c r="X59" s="1156"/>
      <c r="Y59" s="38"/>
      <c r="Z59" s="39"/>
    </row>
    <row r="60" spans="1:26" hidden="1">
      <c r="A60" s="36"/>
      <c r="B60" s="91" t="s">
        <v>689</v>
      </c>
      <c r="C60" s="1155"/>
      <c r="D60" s="1155"/>
      <c r="E60" s="1155"/>
      <c r="F60" s="1155"/>
      <c r="G60" s="1155"/>
      <c r="H60" s="1155"/>
      <c r="I60" s="1155"/>
      <c r="J60" s="1155"/>
      <c r="K60" s="1155"/>
      <c r="L60" s="1155"/>
      <c r="M60" s="1155"/>
      <c r="N60" s="1155"/>
      <c r="O60" s="1155"/>
      <c r="P60" s="1155"/>
      <c r="Q60" s="1155"/>
      <c r="R60" s="1155"/>
      <c r="S60" s="1155"/>
      <c r="T60" s="1155"/>
      <c r="U60" s="1155"/>
      <c r="V60" s="1155"/>
      <c r="W60" s="1155"/>
      <c r="X60" s="1156">
        <f>SUM(N60:W60)</f>
        <v>0</v>
      </c>
      <c r="Y60" s="38"/>
      <c r="Z60" s="39"/>
    </row>
    <row r="61" spans="1:26" hidden="1">
      <c r="A61" s="36"/>
      <c r="B61" s="951" t="s">
        <v>978</v>
      </c>
      <c r="C61" s="1155"/>
      <c r="D61" s="1155"/>
      <c r="E61" s="1155"/>
      <c r="F61" s="1155"/>
      <c r="G61" s="1155"/>
      <c r="H61" s="1155"/>
      <c r="I61" s="1155"/>
      <c r="J61" s="1155"/>
      <c r="K61" s="1155"/>
      <c r="L61" s="1155"/>
      <c r="M61" s="1155"/>
      <c r="N61" s="1155"/>
      <c r="O61" s="1155"/>
      <c r="P61" s="1155"/>
      <c r="Q61" s="1155"/>
      <c r="R61" s="1155"/>
      <c r="S61" s="1155"/>
      <c r="T61" s="1155"/>
      <c r="U61" s="1155"/>
      <c r="V61" s="1155"/>
      <c r="W61" s="1155"/>
      <c r="X61" s="1156">
        <f>X45</f>
        <v>0</v>
      </c>
      <c r="Y61" s="38"/>
      <c r="Z61" s="39"/>
    </row>
    <row r="62" spans="1:26" hidden="1">
      <c r="A62" s="36"/>
      <c r="B62" s="91" t="s">
        <v>977</v>
      </c>
      <c r="C62" s="1155"/>
      <c r="D62" s="1155"/>
      <c r="E62" s="1155"/>
      <c r="F62" s="1155"/>
      <c r="G62" s="1155"/>
      <c r="H62" s="1155"/>
      <c r="I62" s="1155"/>
      <c r="J62" s="1155"/>
      <c r="K62" s="1155"/>
      <c r="L62" s="1155"/>
      <c r="M62" s="1155"/>
      <c r="N62" s="1155"/>
      <c r="O62" s="1155"/>
      <c r="P62" s="1155"/>
      <c r="Q62" s="1155"/>
      <c r="R62" s="1155"/>
      <c r="S62" s="1155"/>
      <c r="T62" s="1155"/>
      <c r="U62" s="1155"/>
      <c r="V62" s="1155"/>
      <c r="W62" s="1155"/>
      <c r="X62" s="1156">
        <f t="shared" ref="X62:X65" si="21">SUM(N62:W62)</f>
        <v>0</v>
      </c>
      <c r="Y62" s="38"/>
      <c r="Z62" s="39"/>
    </row>
    <row r="63" spans="1:26" hidden="1">
      <c r="A63" s="36"/>
      <c r="B63" s="91" t="s">
        <v>704</v>
      </c>
      <c r="C63" s="1155"/>
      <c r="D63" s="1155"/>
      <c r="E63" s="1155"/>
      <c r="F63" s="1155"/>
      <c r="G63" s="1155"/>
      <c r="H63" s="1155"/>
      <c r="I63" s="1155"/>
      <c r="J63" s="1155"/>
      <c r="K63" s="1155"/>
      <c r="L63" s="1155"/>
      <c r="M63" s="1155"/>
      <c r="N63" s="1155"/>
      <c r="O63" s="1155"/>
      <c r="P63" s="1155"/>
      <c r="Q63" s="1155"/>
      <c r="R63" s="1155"/>
      <c r="S63" s="1155"/>
      <c r="T63" s="1155"/>
      <c r="U63" s="1155"/>
      <c r="V63" s="1155"/>
      <c r="W63" s="1155"/>
      <c r="X63" s="1156">
        <f>SUM(N63:W63)</f>
        <v>0</v>
      </c>
      <c r="Y63" s="38"/>
      <c r="Z63" s="39"/>
    </row>
    <row r="64" spans="1:26" hidden="1">
      <c r="A64" s="36"/>
      <c r="B64" s="91" t="s">
        <v>705</v>
      </c>
      <c r="C64" s="1155"/>
      <c r="D64" s="1155"/>
      <c r="E64" s="1155"/>
      <c r="F64" s="1155"/>
      <c r="G64" s="1155"/>
      <c r="H64" s="1155"/>
      <c r="I64" s="1155"/>
      <c r="J64" s="1155"/>
      <c r="K64" s="1155"/>
      <c r="L64" s="1155"/>
      <c r="M64" s="1155"/>
      <c r="N64" s="1155"/>
      <c r="O64" s="1155"/>
      <c r="P64" s="1155"/>
      <c r="Q64" s="1155"/>
      <c r="R64" s="1155"/>
      <c r="S64" s="1155"/>
      <c r="T64" s="1155"/>
      <c r="U64" s="1155"/>
      <c r="V64" s="1155"/>
      <c r="W64" s="1155"/>
      <c r="X64" s="1156">
        <f>SUM(N64:W64)</f>
        <v>0</v>
      </c>
      <c r="Y64" s="38"/>
      <c r="Z64" s="39"/>
    </row>
    <row r="65" spans="1:75" hidden="1">
      <c r="A65" s="36"/>
      <c r="B65" s="967" t="str">
        <f>B49</f>
        <v>Loadshedding Losses</v>
      </c>
      <c r="C65" s="1155"/>
      <c r="D65" s="1155"/>
      <c r="E65" s="1155"/>
      <c r="F65" s="1155"/>
      <c r="G65" s="1155"/>
      <c r="H65" s="1155"/>
      <c r="I65" s="1155"/>
      <c r="J65" s="1155"/>
      <c r="K65" s="1155"/>
      <c r="L65" s="1155"/>
      <c r="M65" s="1155"/>
      <c r="N65" s="1155"/>
      <c r="O65" s="1155"/>
      <c r="P65" s="1155"/>
      <c r="Q65" s="1155"/>
      <c r="R65" s="1155"/>
      <c r="S65" s="1155"/>
      <c r="T65" s="1155"/>
      <c r="U65" s="1155"/>
      <c r="V65" s="1155"/>
      <c r="W65" s="1155"/>
      <c r="X65" s="1156">
        <f t="shared" si="21"/>
        <v>0</v>
      </c>
      <c r="Y65" s="38"/>
      <c r="Z65" s="39"/>
    </row>
    <row r="66" spans="1:75" hidden="1">
      <c r="A66" s="36"/>
      <c r="B66" s="93" t="s">
        <v>694</v>
      </c>
      <c r="C66" s="1157"/>
      <c r="D66" s="1157"/>
      <c r="E66" s="1157"/>
      <c r="F66" s="1157"/>
      <c r="G66" s="1157"/>
      <c r="H66" s="1157"/>
      <c r="I66" s="1157"/>
      <c r="J66" s="1157"/>
      <c r="K66" s="1157"/>
      <c r="L66" s="1157"/>
      <c r="M66" s="1157"/>
      <c r="N66" s="1157"/>
      <c r="O66" s="1157"/>
      <c r="P66" s="1157"/>
      <c r="Q66" s="1157"/>
      <c r="R66" s="1157"/>
      <c r="S66" s="1157"/>
      <c r="T66" s="1157"/>
      <c r="U66" s="1157"/>
      <c r="V66" s="1157"/>
      <c r="W66" s="1157"/>
      <c r="X66" s="1158">
        <f>SUM(N66:W66)</f>
        <v>0</v>
      </c>
      <c r="Y66" s="38"/>
      <c r="Z66" s="39"/>
    </row>
    <row r="67" spans="1:75" hidden="1">
      <c r="A67" s="36"/>
      <c r="B67" s="93" t="s">
        <v>696</v>
      </c>
      <c r="C67" s="1157"/>
      <c r="D67" s="1157"/>
      <c r="E67" s="1157"/>
      <c r="F67" s="1157"/>
      <c r="G67" s="1157"/>
      <c r="H67" s="1157"/>
      <c r="I67" s="1157"/>
      <c r="J67" s="1157"/>
      <c r="K67" s="1157"/>
      <c r="L67" s="1157"/>
      <c r="M67" s="1157"/>
      <c r="N67" s="1157"/>
      <c r="O67" s="1157"/>
      <c r="P67" s="1157"/>
      <c r="Q67" s="1157"/>
      <c r="R67" s="1157"/>
      <c r="S67" s="1157"/>
      <c r="T67" s="1157"/>
      <c r="U67" s="1157"/>
      <c r="V67" s="1157"/>
      <c r="W67" s="1157"/>
      <c r="X67" s="1158">
        <f>W67</f>
        <v>0</v>
      </c>
      <c r="Y67" s="38"/>
      <c r="Z67" s="39"/>
    </row>
    <row r="68" spans="1:75" hidden="1">
      <c r="A68" s="36"/>
      <c r="B68" s="91" t="s">
        <v>706</v>
      </c>
      <c r="C68" s="95"/>
      <c r="D68" s="95"/>
      <c r="E68" s="95"/>
      <c r="F68" s="95"/>
      <c r="G68" s="95"/>
      <c r="H68" s="95"/>
      <c r="I68" s="95"/>
      <c r="J68" s="95"/>
      <c r="K68" s="95"/>
      <c r="L68" s="95"/>
      <c r="M68" s="95"/>
      <c r="N68" s="95"/>
      <c r="O68" s="95"/>
      <c r="P68" s="95"/>
      <c r="Q68" s="95"/>
      <c r="R68" s="95"/>
      <c r="S68" s="95"/>
      <c r="T68" s="95"/>
      <c r="U68" s="95"/>
      <c r="V68" s="95"/>
      <c r="W68" s="95"/>
      <c r="X68" s="96"/>
      <c r="Y68" s="38"/>
      <c r="Z68" s="70"/>
    </row>
    <row r="69" spans="1:75" hidden="1">
      <c r="A69" s="36"/>
      <c r="B69" s="1128" t="s">
        <v>707</v>
      </c>
      <c r="C69" s="1129"/>
      <c r="D69" s="1129"/>
      <c r="E69" s="1129"/>
      <c r="F69" s="1129"/>
      <c r="G69" s="1129"/>
      <c r="H69" s="1129"/>
      <c r="I69" s="1129"/>
      <c r="J69" s="1129"/>
      <c r="K69" s="1129"/>
      <c r="L69" s="1129"/>
      <c r="M69" s="1129"/>
      <c r="N69" s="1129"/>
      <c r="O69" s="1129"/>
      <c r="P69" s="1129"/>
      <c r="Q69" s="1129"/>
      <c r="R69" s="1129"/>
      <c r="S69" s="1129"/>
      <c r="T69" s="1129"/>
      <c r="U69" s="1129"/>
      <c r="V69" s="1129"/>
      <c r="W69" s="1129"/>
      <c r="X69" s="1130"/>
      <c r="Y69" s="38"/>
      <c r="Z69" s="70"/>
    </row>
    <row r="70" spans="1:75">
      <c r="A70" s="36"/>
      <c r="B70" s="64"/>
      <c r="C70" s="64"/>
      <c r="D70" s="65"/>
      <c r="E70" s="65"/>
      <c r="F70" s="65"/>
      <c r="G70" s="65"/>
      <c r="H70" s="65"/>
      <c r="I70" s="65"/>
      <c r="J70" s="65"/>
      <c r="K70" s="65"/>
      <c r="L70" s="65"/>
      <c r="M70" s="65"/>
      <c r="N70" s="65"/>
      <c r="O70" s="65"/>
      <c r="P70" s="65"/>
      <c r="Q70" s="65"/>
      <c r="R70" s="65"/>
      <c r="S70" s="65"/>
      <c r="T70" s="65"/>
      <c r="U70" s="65"/>
      <c r="V70" s="65"/>
      <c r="W70" s="65"/>
      <c r="X70" s="65"/>
      <c r="Y70" s="38"/>
      <c r="Z70" s="39"/>
    </row>
    <row r="71" spans="1:75" s="73" customFormat="1" ht="20.5" hidden="1" thickBot="1">
      <c r="A71" s="76"/>
      <c r="B71" s="1556" t="s">
        <v>710</v>
      </c>
      <c r="C71" s="1556"/>
      <c r="D71" s="1556"/>
      <c r="E71" s="1556"/>
      <c r="F71" s="1556"/>
      <c r="G71" s="1556"/>
      <c r="H71" s="1556"/>
      <c r="I71" s="1556"/>
      <c r="J71" s="77"/>
      <c r="K71" s="77"/>
      <c r="L71" s="77"/>
      <c r="M71" s="77"/>
      <c r="N71" s="77"/>
      <c r="O71" s="77"/>
      <c r="P71" s="77"/>
      <c r="Q71" s="77"/>
      <c r="R71" s="77"/>
      <c r="S71" s="77"/>
      <c r="T71" s="77"/>
      <c r="U71" s="77"/>
      <c r="V71" s="77"/>
      <c r="W71" s="78"/>
      <c r="X71" s="77"/>
      <c r="Y71" s="79"/>
      <c r="Z71" s="74"/>
      <c r="AA71" s="75"/>
      <c r="AB71" s="75"/>
      <c r="AC71" s="75"/>
      <c r="AD71" s="75"/>
      <c r="AE71" s="75"/>
      <c r="AF71" s="75"/>
      <c r="AG71" s="75"/>
      <c r="AH71" s="75"/>
      <c r="AI71" s="75"/>
      <c r="AJ71" s="75"/>
      <c r="AK71" s="75"/>
      <c r="AL71" s="75"/>
      <c r="AM71" s="75"/>
      <c r="AN71" s="75"/>
      <c r="AO71" s="75"/>
      <c r="AP71" s="75"/>
      <c r="AQ71" s="75"/>
      <c r="AR71" s="75"/>
      <c r="AS71" s="75"/>
      <c r="AT71" s="75"/>
      <c r="AU71" s="75"/>
      <c r="AV71" s="75"/>
      <c r="AW71" s="75"/>
      <c r="AX71" s="75"/>
      <c r="AY71" s="75"/>
      <c r="AZ71" s="75"/>
      <c r="BA71" s="75"/>
      <c r="BB71" s="75"/>
      <c r="BC71" s="75"/>
      <c r="BD71" s="75"/>
      <c r="BE71" s="75"/>
      <c r="BF71" s="75"/>
      <c r="BG71" s="75"/>
      <c r="BH71" s="75"/>
      <c r="BI71" s="75"/>
      <c r="BJ71" s="75"/>
      <c r="BK71" s="75"/>
      <c r="BL71" s="75"/>
      <c r="BM71" s="75"/>
      <c r="BN71" s="75"/>
      <c r="BO71" s="75"/>
      <c r="BP71" s="75"/>
      <c r="BQ71" s="75"/>
      <c r="BR71" s="75"/>
      <c r="BS71" s="75"/>
      <c r="BT71" s="75"/>
      <c r="BU71" s="75"/>
      <c r="BV71" s="75"/>
      <c r="BW71" s="75"/>
    </row>
    <row r="72" spans="1:75" s="51" customFormat="1" ht="20">
      <c r="A72" s="47"/>
      <c r="B72" s="1560" t="s">
        <v>711</v>
      </c>
      <c r="C72" s="1560"/>
      <c r="D72" s="1560"/>
      <c r="E72" s="1560"/>
      <c r="F72" s="1560"/>
      <c r="G72" s="1560"/>
      <c r="H72" s="1560"/>
      <c r="I72" s="1560"/>
      <c r="J72" s="1560"/>
      <c r="K72" s="1560"/>
      <c r="L72" s="1560"/>
      <c r="M72" s="1560"/>
      <c r="N72" s="1560"/>
      <c r="O72" s="1560"/>
      <c r="P72" s="1560"/>
      <c r="Q72" s="1560"/>
      <c r="R72" s="1560"/>
      <c r="S72" s="1560"/>
      <c r="T72" s="1560"/>
      <c r="U72" s="1560"/>
      <c r="V72" s="1560"/>
      <c r="W72" s="1560"/>
      <c r="X72" s="80"/>
      <c r="Y72" s="49"/>
      <c r="Z72" s="50"/>
    </row>
    <row r="73" spans="1:75" ht="14.5" thickBot="1">
      <c r="A73" s="36"/>
      <c r="B73" s="37"/>
      <c r="C73" s="37"/>
      <c r="D73" s="37"/>
      <c r="E73" s="37"/>
      <c r="F73" s="37"/>
      <c r="G73" s="37"/>
      <c r="H73" s="37"/>
      <c r="I73" s="37"/>
      <c r="J73" s="37"/>
      <c r="K73" s="37"/>
      <c r="L73" s="37"/>
      <c r="M73" s="37"/>
      <c r="N73" s="37"/>
      <c r="O73" s="37"/>
      <c r="P73" s="37"/>
      <c r="Q73" s="37"/>
      <c r="R73" s="37"/>
      <c r="S73" s="37"/>
      <c r="T73" s="37"/>
      <c r="U73" s="37"/>
      <c r="V73" s="37"/>
      <c r="W73" s="37"/>
      <c r="X73" s="37"/>
      <c r="Y73" s="38"/>
      <c r="Z73" s="39"/>
    </row>
    <row r="74" spans="1:75" ht="16" thickBot="1">
      <c r="A74" s="36"/>
      <c r="B74" s="1561" t="s">
        <v>712</v>
      </c>
      <c r="C74" s="1562"/>
      <c r="D74" s="1562"/>
      <c r="E74" s="1562"/>
      <c r="F74" s="1562"/>
      <c r="G74" s="1562"/>
      <c r="H74" s="1562"/>
      <c r="I74" s="1563"/>
      <c r="J74" s="81"/>
      <c r="K74" s="37"/>
      <c r="L74" s="37"/>
      <c r="M74" s="37"/>
      <c r="N74" s="37"/>
      <c r="O74" s="37"/>
      <c r="P74" s="37"/>
      <c r="Q74" s="37"/>
      <c r="R74" s="37"/>
      <c r="S74" s="37"/>
      <c r="T74" s="37"/>
      <c r="U74" s="37"/>
      <c r="V74" s="37"/>
      <c r="W74" s="37"/>
      <c r="X74" s="37"/>
      <c r="Y74" s="38"/>
      <c r="Z74" s="39"/>
    </row>
    <row r="75" spans="1:75">
      <c r="A75" s="36"/>
      <c r="B75" s="37"/>
      <c r="C75" s="37"/>
      <c r="D75" s="37"/>
      <c r="E75" s="37"/>
      <c r="F75" s="37"/>
      <c r="G75" s="37"/>
      <c r="H75" s="37"/>
      <c r="I75" s="37"/>
      <c r="J75" s="37"/>
      <c r="K75" s="37"/>
      <c r="L75" s="37"/>
      <c r="M75" s="37"/>
      <c r="N75" s="37"/>
      <c r="O75" s="37"/>
      <c r="P75" s="37"/>
      <c r="Q75" s="37"/>
      <c r="R75" s="37"/>
      <c r="S75" s="37"/>
      <c r="T75" s="37"/>
      <c r="U75" s="37"/>
      <c r="V75" s="37"/>
      <c r="W75" s="37"/>
      <c r="X75" s="37"/>
      <c r="Y75" s="38"/>
      <c r="Z75" s="39"/>
    </row>
    <row r="76" spans="1:75" s="521" customFormat="1" ht="13.5" thickBot="1">
      <c r="A76" s="516">
        <v>12</v>
      </c>
      <c r="B76" s="517" t="s">
        <v>686</v>
      </c>
      <c r="C76" s="518">
        <v>0</v>
      </c>
      <c r="D76" s="88">
        <v>1</v>
      </c>
      <c r="E76" s="88">
        <v>2</v>
      </c>
      <c r="F76" s="88">
        <v>3</v>
      </c>
      <c r="G76" s="88">
        <v>4</v>
      </c>
      <c r="H76" s="88">
        <v>5</v>
      </c>
      <c r="I76" s="88">
        <v>6</v>
      </c>
      <c r="J76" s="88">
        <v>7</v>
      </c>
      <c r="K76" s="88">
        <v>8</v>
      </c>
      <c r="L76" s="88">
        <v>9</v>
      </c>
      <c r="M76" s="88">
        <v>10</v>
      </c>
      <c r="N76" s="88">
        <v>11</v>
      </c>
      <c r="O76" s="88">
        <v>12</v>
      </c>
      <c r="P76" s="88">
        <v>13</v>
      </c>
      <c r="Q76" s="88">
        <v>14</v>
      </c>
      <c r="R76" s="88">
        <v>15</v>
      </c>
      <c r="S76" s="88">
        <v>16</v>
      </c>
      <c r="T76" s="88">
        <v>17</v>
      </c>
      <c r="U76" s="88">
        <v>18</v>
      </c>
      <c r="V76" s="88">
        <v>19</v>
      </c>
      <c r="W76" s="88">
        <v>20</v>
      </c>
      <c r="X76" s="89" t="s">
        <v>687</v>
      </c>
      <c r="Y76" s="519"/>
      <c r="Z76" s="53"/>
      <c r="AA76" s="520"/>
      <c r="AB76" s="520"/>
      <c r="AC76" s="520"/>
      <c r="AD76" s="520"/>
      <c r="AE76" s="520"/>
      <c r="AF76" s="520"/>
      <c r="AG76" s="520"/>
      <c r="AH76" s="520"/>
      <c r="AI76" s="520"/>
      <c r="AJ76" s="520"/>
      <c r="AK76" s="520"/>
      <c r="AL76" s="520"/>
      <c r="AM76" s="520"/>
      <c r="AN76" s="520"/>
      <c r="AO76" s="520"/>
      <c r="AP76" s="520"/>
      <c r="AQ76" s="520"/>
      <c r="AR76" s="520"/>
      <c r="AS76" s="520"/>
      <c r="AT76" s="520"/>
      <c r="AU76" s="520"/>
      <c r="AV76" s="520"/>
      <c r="AW76" s="520"/>
      <c r="AX76" s="520"/>
      <c r="AY76" s="520"/>
      <c r="AZ76" s="520"/>
      <c r="BA76" s="520"/>
      <c r="BB76" s="520"/>
      <c r="BC76" s="520"/>
      <c r="BD76" s="520"/>
      <c r="BE76" s="520"/>
      <c r="BF76" s="520"/>
      <c r="BG76" s="520"/>
      <c r="BH76" s="520"/>
      <c r="BI76" s="520"/>
      <c r="BJ76" s="520"/>
      <c r="BK76" s="520"/>
      <c r="BL76" s="520"/>
      <c r="BM76" s="520"/>
      <c r="BN76" s="520"/>
      <c r="BO76" s="520"/>
      <c r="BP76" s="520"/>
      <c r="BQ76" s="520"/>
      <c r="BR76" s="520"/>
      <c r="BS76" s="520"/>
      <c r="BT76" s="520"/>
      <c r="BU76" s="520"/>
      <c r="BV76" s="520"/>
      <c r="BW76" s="520"/>
    </row>
    <row r="77" spans="1:75" s="521" customFormat="1" ht="13.5" thickTop="1">
      <c r="A77" s="516"/>
      <c r="B77" s="522" t="s">
        <v>711</v>
      </c>
      <c r="C77" s="1159"/>
      <c r="D77" s="1159">
        <f>D88</f>
        <v>1386.9378816212488</v>
      </c>
      <c r="E77" s="1159">
        <f t="shared" ref="E77:W77" si="22">E88</f>
        <v>1496.3404550175517</v>
      </c>
      <c r="F77" s="1159">
        <f t="shared" si="22"/>
        <v>1614.2590165735369</v>
      </c>
      <c r="G77" s="1159">
        <f t="shared" si="22"/>
        <v>1741.3497167017688</v>
      </c>
      <c r="H77" s="1159">
        <f t="shared" si="22"/>
        <v>1878.3188568876951</v>
      </c>
      <c r="I77" s="1159">
        <f t="shared" si="22"/>
        <v>2067.2721411134712</v>
      </c>
      <c r="J77" s="1159">
        <f t="shared" si="22"/>
        <v>2229.58322253182</v>
      </c>
      <c r="K77" s="1159">
        <f t="shared" si="22"/>
        <v>2404.4838930085684</v>
      </c>
      <c r="L77" s="1159">
        <f t="shared" si="22"/>
        <v>2592.9414780249422</v>
      </c>
      <c r="M77" s="1159">
        <f t="shared" si="22"/>
        <v>2795.9970745904079</v>
      </c>
      <c r="N77" s="1159">
        <f t="shared" si="22"/>
        <v>3014.7711436514128</v>
      </c>
      <c r="O77" s="1159">
        <f t="shared" si="22"/>
        <v>3250.46952438162</v>
      </c>
      <c r="P77" s="1159">
        <f t="shared" si="22"/>
        <v>3504.3899020524218</v>
      </c>
      <c r="Q77" s="1159">
        <f t="shared" si="22"/>
        <v>3777.9287635563687</v>
      </c>
      <c r="R77" s="1159">
        <f t="shared" si="22"/>
        <v>4072.5888772073299</v>
      </c>
      <c r="S77" s="1159">
        <f t="shared" si="22"/>
        <v>4389.9873361827831</v>
      </c>
      <c r="T77" s="1159">
        <f t="shared" si="22"/>
        <v>4731.8642079200108</v>
      </c>
      <c r="U77" s="1159">
        <f t="shared" si="22"/>
        <v>5100.0918349441808</v>
      </c>
      <c r="V77" s="1159">
        <f t="shared" si="22"/>
        <v>5496.6848360088807</v>
      </c>
      <c r="W77" s="1159">
        <f t="shared" si="22"/>
        <v>5923.8108600861397</v>
      </c>
      <c r="X77" s="1160">
        <f t="shared" ref="X77" si="23">SUM(N77:W77)</f>
        <v>43262.587285991154</v>
      </c>
      <c r="Y77" s="519"/>
      <c r="Z77" s="53"/>
      <c r="AA77" s="520"/>
      <c r="AB77" s="520"/>
      <c r="AC77" s="520"/>
      <c r="AD77" s="520"/>
      <c r="AE77" s="520"/>
      <c r="AF77" s="520"/>
      <c r="AG77" s="520"/>
      <c r="AH77" s="520"/>
      <c r="AI77" s="520"/>
      <c r="AJ77" s="520"/>
      <c r="AK77" s="520"/>
      <c r="AL77" s="520"/>
      <c r="AM77" s="520"/>
      <c r="AN77" s="520"/>
      <c r="AO77" s="520"/>
      <c r="AP77" s="520"/>
      <c r="AQ77" s="520"/>
      <c r="AR77" s="520"/>
      <c r="AS77" s="520"/>
      <c r="AT77" s="520"/>
      <c r="AU77" s="520"/>
      <c r="AV77" s="520"/>
      <c r="AW77" s="520"/>
      <c r="AX77" s="520"/>
      <c r="AY77" s="520"/>
      <c r="AZ77" s="520"/>
      <c r="BA77" s="520"/>
      <c r="BB77" s="520"/>
      <c r="BC77" s="520"/>
      <c r="BD77" s="520"/>
      <c r="BE77" s="520"/>
      <c r="BF77" s="520"/>
      <c r="BG77" s="520"/>
      <c r="BH77" s="520"/>
      <c r="BI77" s="520"/>
      <c r="BJ77" s="520"/>
      <c r="BK77" s="520"/>
      <c r="BL77" s="520"/>
      <c r="BM77" s="520"/>
      <c r="BN77" s="520"/>
      <c r="BO77" s="520"/>
      <c r="BP77" s="520"/>
      <c r="BQ77" s="520"/>
      <c r="BR77" s="520"/>
      <c r="BS77" s="520"/>
      <c r="BT77" s="520"/>
      <c r="BU77" s="520"/>
      <c r="BV77" s="520"/>
      <c r="BW77" s="520"/>
    </row>
    <row r="78" spans="1:75" s="521" customFormat="1" ht="13">
      <c r="A78" s="516"/>
      <c r="B78" s="523" t="s">
        <v>713</v>
      </c>
      <c r="C78" s="1161"/>
      <c r="D78" s="1161">
        <f>D77</f>
        <v>1386.9378816212488</v>
      </c>
      <c r="E78" s="1161">
        <f>E77+D78</f>
        <v>2883.2783366388003</v>
      </c>
      <c r="F78" s="1161">
        <f t="shared" ref="F78:W78" si="24">F77+E78</f>
        <v>4497.5373532123376</v>
      </c>
      <c r="G78" s="1161">
        <f t="shared" si="24"/>
        <v>6238.8870699141062</v>
      </c>
      <c r="H78" s="1161">
        <f t="shared" si="24"/>
        <v>8117.2059268018011</v>
      </c>
      <c r="I78" s="1161">
        <f t="shared" si="24"/>
        <v>10184.478067915272</v>
      </c>
      <c r="J78" s="1161">
        <f t="shared" si="24"/>
        <v>12414.061290447091</v>
      </c>
      <c r="K78" s="1161">
        <f t="shared" si="24"/>
        <v>14818.545183455659</v>
      </c>
      <c r="L78" s="1161">
        <f t="shared" si="24"/>
        <v>17411.486661480601</v>
      </c>
      <c r="M78" s="1161">
        <f t="shared" si="24"/>
        <v>20207.483736071008</v>
      </c>
      <c r="N78" s="1161">
        <f t="shared" si="24"/>
        <v>23222.254879722423</v>
      </c>
      <c r="O78" s="1161">
        <f t="shared" si="24"/>
        <v>26472.724404104043</v>
      </c>
      <c r="P78" s="1161">
        <f t="shared" si="24"/>
        <v>29977.114306156465</v>
      </c>
      <c r="Q78" s="1161">
        <f t="shared" si="24"/>
        <v>33755.043069712832</v>
      </c>
      <c r="R78" s="1161">
        <f t="shared" si="24"/>
        <v>37827.631946920163</v>
      </c>
      <c r="S78" s="1161">
        <f t="shared" si="24"/>
        <v>42217.619283102948</v>
      </c>
      <c r="T78" s="1161">
        <f t="shared" si="24"/>
        <v>46949.483491022955</v>
      </c>
      <c r="U78" s="1161">
        <f t="shared" si="24"/>
        <v>52049.575325967133</v>
      </c>
      <c r="V78" s="1161">
        <f t="shared" si="24"/>
        <v>57546.26016197601</v>
      </c>
      <c r="W78" s="1161">
        <f t="shared" si="24"/>
        <v>63470.071022062148</v>
      </c>
      <c r="X78" s="1162">
        <f>W78</f>
        <v>63470.071022062148</v>
      </c>
      <c r="Y78" s="519" t="b">
        <v>0</v>
      </c>
      <c r="Z78" s="53" t="s">
        <v>714</v>
      </c>
      <c r="AA78" s="57">
        <f>D77/12*1000</f>
        <v>115578.15680177073</v>
      </c>
      <c r="AB78" s="520"/>
      <c r="AC78" s="520"/>
      <c r="AD78" s="520"/>
      <c r="AE78" s="520"/>
      <c r="AF78" s="520"/>
      <c r="AG78" s="520"/>
      <c r="AH78" s="520"/>
      <c r="AI78" s="520"/>
      <c r="AJ78" s="520"/>
      <c r="AK78" s="520"/>
      <c r="AL78" s="520"/>
      <c r="AM78" s="520"/>
      <c r="AN78" s="520"/>
      <c r="AO78" s="520"/>
      <c r="AP78" s="520"/>
      <c r="AQ78" s="520"/>
      <c r="AR78" s="520"/>
      <c r="AS78" s="520"/>
      <c r="AT78" s="520"/>
      <c r="AU78" s="520"/>
      <c r="AV78" s="520"/>
      <c r="AW78" s="520"/>
      <c r="AX78" s="520"/>
      <c r="AY78" s="520"/>
      <c r="AZ78" s="520"/>
      <c r="BA78" s="520"/>
      <c r="BB78" s="520"/>
      <c r="BC78" s="520"/>
      <c r="BD78" s="520"/>
      <c r="BE78" s="520"/>
      <c r="BF78" s="520"/>
      <c r="BG78" s="520"/>
      <c r="BH78" s="520"/>
      <c r="BI78" s="520"/>
      <c r="BJ78" s="520"/>
      <c r="BK78" s="520"/>
      <c r="BL78" s="520"/>
      <c r="BM78" s="520"/>
      <c r="BN78" s="520"/>
      <c r="BO78" s="520"/>
      <c r="BP78" s="520"/>
      <c r="BQ78" s="520"/>
      <c r="BR78" s="520"/>
      <c r="BS78" s="520"/>
      <c r="BT78" s="520"/>
      <c r="BU78" s="520"/>
      <c r="BV78" s="520"/>
      <c r="BW78" s="520"/>
    </row>
    <row r="79" spans="1:75" s="521" customFormat="1" ht="12.5">
      <c r="A79" s="516"/>
      <c r="B79" s="524" t="s">
        <v>1084</v>
      </c>
      <c r="C79" s="525"/>
      <c r="D79" s="525">
        <f>D77/C81*1000</f>
        <v>491.47338115565157</v>
      </c>
      <c r="E79" s="525"/>
      <c r="F79" s="525"/>
      <c r="G79" s="525"/>
      <c r="H79" s="525"/>
      <c r="I79" s="525"/>
      <c r="J79" s="525"/>
      <c r="K79" s="525"/>
      <c r="L79" s="525"/>
      <c r="M79" s="525"/>
      <c r="N79" s="525"/>
      <c r="O79" s="525"/>
      <c r="P79" s="525"/>
      <c r="Q79" s="525"/>
      <c r="R79" s="525"/>
      <c r="S79" s="525"/>
      <c r="T79" s="525"/>
      <c r="U79" s="525"/>
      <c r="V79" s="525"/>
      <c r="W79" s="525"/>
      <c r="X79" s="526"/>
      <c r="Y79" s="519"/>
      <c r="Z79" s="53">
        <f>Module_Quantity*2</f>
        <v>1748</v>
      </c>
      <c r="AA79" s="520"/>
      <c r="AB79" s="520"/>
      <c r="AC79" s="520"/>
      <c r="AD79" s="520"/>
      <c r="AE79" s="520"/>
      <c r="AF79" s="520"/>
      <c r="AG79" s="520"/>
      <c r="AH79" s="520"/>
      <c r="AI79" s="520"/>
      <c r="AJ79" s="520"/>
      <c r="AK79" s="520"/>
      <c r="AL79" s="520"/>
      <c r="AM79" s="520"/>
      <c r="AN79" s="520"/>
      <c r="AO79" s="520"/>
      <c r="AP79" s="520"/>
      <c r="AQ79" s="520"/>
      <c r="AR79" s="520"/>
      <c r="AS79" s="520"/>
      <c r="AT79" s="520"/>
      <c r="AU79" s="520"/>
      <c r="AV79" s="520"/>
      <c r="AW79" s="520"/>
      <c r="AX79" s="520"/>
      <c r="AY79" s="520"/>
      <c r="AZ79" s="520"/>
      <c r="BA79" s="520"/>
      <c r="BB79" s="520"/>
      <c r="BC79" s="520"/>
      <c r="BD79" s="520"/>
      <c r="BE79" s="520"/>
      <c r="BF79" s="520"/>
      <c r="BG79" s="520"/>
      <c r="BH79" s="520"/>
      <c r="BI79" s="520"/>
      <c r="BJ79" s="520"/>
      <c r="BK79" s="520"/>
      <c r="BL79" s="520"/>
      <c r="BM79" s="520"/>
      <c r="BN79" s="520"/>
      <c r="BO79" s="520"/>
      <c r="BP79" s="520"/>
      <c r="BQ79" s="520"/>
      <c r="BR79" s="520"/>
      <c r="BS79" s="520"/>
      <c r="BT79" s="520"/>
      <c r="BU79" s="520"/>
      <c r="BV79" s="520"/>
      <c r="BW79" s="520"/>
    </row>
    <row r="80" spans="1:75">
      <c r="A80" s="36"/>
      <c r="B80" s="37"/>
      <c r="C80" s="37"/>
      <c r="D80" s="82"/>
      <c r="E80" s="82"/>
      <c r="F80" s="82"/>
      <c r="G80" s="82"/>
      <c r="H80" s="82"/>
      <c r="I80" s="82"/>
      <c r="J80" s="82"/>
      <c r="K80" s="82"/>
      <c r="L80" s="82"/>
      <c r="M80" s="82"/>
      <c r="N80" s="82"/>
      <c r="O80" s="82"/>
      <c r="P80" s="82"/>
      <c r="Q80" s="82"/>
      <c r="R80" s="82"/>
      <c r="S80" s="82"/>
      <c r="T80" s="82"/>
      <c r="U80" s="82"/>
      <c r="V80" s="82"/>
      <c r="W80" s="82"/>
      <c r="X80" s="82"/>
      <c r="Y80" s="38"/>
      <c r="Z80" s="39"/>
    </row>
    <row r="81" spans="1:75">
      <c r="A81" s="36"/>
      <c r="B81" s="37" t="s">
        <v>715</v>
      </c>
      <c r="C81" s="1378">
        <f>'Design Inputs'!D71</f>
        <v>2822</v>
      </c>
      <c r="D81" s="83"/>
      <c r="E81" s="82"/>
      <c r="F81" s="1173"/>
      <c r="G81" s="52">
        <f>1-(D91/D92)</f>
        <v>0.64964524253277045</v>
      </c>
      <c r="H81" s="82"/>
      <c r="I81" s="82"/>
      <c r="J81" s="82"/>
      <c r="K81" s="82"/>
      <c r="L81" s="82"/>
      <c r="M81" s="82"/>
      <c r="N81" s="82"/>
      <c r="O81" s="82"/>
      <c r="P81" s="82"/>
      <c r="Q81" s="82"/>
      <c r="R81" s="82"/>
      <c r="S81" s="82"/>
      <c r="T81" s="82"/>
      <c r="U81" s="82"/>
      <c r="V81" s="82"/>
      <c r="W81" s="82"/>
      <c r="X81" s="82"/>
      <c r="Y81" s="38"/>
      <c r="Z81" s="39"/>
    </row>
    <row r="82" spans="1:75">
      <c r="A82" s="36"/>
      <c r="B82" s="37"/>
      <c r="C82" s="37"/>
      <c r="D82" s="37"/>
      <c r="E82" s="82"/>
      <c r="F82" s="82"/>
      <c r="G82" s="529"/>
      <c r="H82" s="82"/>
      <c r="I82" s="82"/>
      <c r="J82" s="82"/>
      <c r="K82" s="82"/>
      <c r="L82" s="82"/>
      <c r="M82" s="82"/>
      <c r="N82" s="82"/>
      <c r="O82" s="82"/>
      <c r="P82" s="82"/>
      <c r="Q82" s="82"/>
      <c r="R82" s="82"/>
      <c r="S82" s="82"/>
      <c r="T82" s="82"/>
      <c r="U82" s="82"/>
      <c r="V82" s="82"/>
      <c r="W82" s="82"/>
      <c r="X82" s="82"/>
      <c r="Y82" s="38"/>
      <c r="Z82" s="39"/>
    </row>
    <row r="83" spans="1:75" s="40" customFormat="1" ht="20">
      <c r="A83" s="66"/>
      <c r="B83" s="1560" t="s">
        <v>716</v>
      </c>
      <c r="C83" s="1567"/>
      <c r="D83" s="1567"/>
      <c r="E83" s="1567"/>
      <c r="F83" s="1567"/>
      <c r="G83" s="1567"/>
      <c r="H83" s="1567"/>
      <c r="I83" s="1567"/>
      <c r="J83" s="1567"/>
      <c r="K83" s="1567"/>
      <c r="L83" s="1567"/>
      <c r="M83" s="1567"/>
      <c r="N83" s="1567"/>
      <c r="O83" s="1567"/>
      <c r="P83" s="1567"/>
      <c r="Q83" s="1567"/>
      <c r="R83" s="1567"/>
      <c r="S83" s="1567"/>
      <c r="T83" s="1567"/>
      <c r="U83" s="1567"/>
      <c r="V83" s="1567"/>
      <c r="W83" s="1567"/>
      <c r="X83" s="84"/>
      <c r="Y83" s="67"/>
      <c r="Z83" s="59"/>
    </row>
    <row r="84" spans="1:75" ht="14.5" thickBot="1">
      <c r="A84" s="36"/>
      <c r="B84" s="37"/>
      <c r="C84" s="37"/>
      <c r="D84" s="37"/>
      <c r="E84" s="37"/>
      <c r="F84" s="37"/>
      <c r="G84" s="37"/>
      <c r="H84" s="37"/>
      <c r="I84" s="37"/>
      <c r="J84" s="37"/>
      <c r="K84" s="37"/>
      <c r="L84" s="82"/>
      <c r="M84" s="82"/>
      <c r="N84" s="82"/>
      <c r="O84" s="82"/>
      <c r="P84" s="82"/>
      <c r="Q84" s="82"/>
      <c r="R84" s="82"/>
      <c r="S84" s="82"/>
      <c r="T84" s="82"/>
      <c r="U84" s="82"/>
      <c r="V84" s="82"/>
      <c r="W84" s="82"/>
      <c r="X84" s="82"/>
      <c r="Y84" s="38"/>
      <c r="Z84" s="39"/>
    </row>
    <row r="85" spans="1:75" ht="16" thickBot="1">
      <c r="A85" s="36"/>
      <c r="B85" s="1561" t="s">
        <v>31</v>
      </c>
      <c r="C85" s="1562"/>
      <c r="D85" s="1562"/>
      <c r="E85" s="1562"/>
      <c r="F85" s="1562"/>
      <c r="G85" s="1562"/>
      <c r="H85" s="1562"/>
      <c r="I85" s="1563"/>
      <c r="J85" s="82"/>
      <c r="K85" s="82"/>
      <c r="L85" s="82"/>
      <c r="M85" s="82"/>
      <c r="N85" s="82"/>
      <c r="O85" s="82"/>
      <c r="P85" s="82"/>
      <c r="Q85" s="82"/>
      <c r="R85" s="82"/>
      <c r="S85" s="82"/>
      <c r="T85" s="82"/>
      <c r="U85" s="82"/>
      <c r="V85" s="82"/>
      <c r="W85" s="82"/>
      <c r="X85" s="82"/>
      <c r="Y85" s="38"/>
      <c r="Z85" s="39"/>
    </row>
    <row r="86" spans="1:75" ht="15.5">
      <c r="A86" s="36"/>
      <c r="B86" s="1131"/>
      <c r="C86" s="1131"/>
      <c r="D86" s="1131"/>
      <c r="E86" s="1131"/>
      <c r="F86" s="1131"/>
      <c r="G86" s="1131"/>
      <c r="H86" s="1131"/>
      <c r="I86" s="1131"/>
      <c r="J86" s="82"/>
      <c r="K86" s="82"/>
      <c r="L86" s="82"/>
      <c r="M86" s="82"/>
      <c r="N86" s="82"/>
      <c r="O86" s="82"/>
      <c r="P86" s="82"/>
      <c r="Q86" s="82"/>
      <c r="R86" s="82"/>
      <c r="S86" s="82"/>
      <c r="T86" s="82"/>
      <c r="U86" s="82"/>
      <c r="V86" s="82"/>
      <c r="W86" s="82"/>
      <c r="X86" s="82"/>
      <c r="Y86" s="38"/>
      <c r="Z86" s="39"/>
    </row>
    <row r="87" spans="1:75" s="521" customFormat="1" ht="13.5" thickBot="1">
      <c r="A87" s="516">
        <v>13</v>
      </c>
      <c r="B87" s="517" t="s">
        <v>686</v>
      </c>
      <c r="C87" s="518" t="s">
        <v>104</v>
      </c>
      <c r="D87" s="88">
        <v>1</v>
      </c>
      <c r="E87" s="88">
        <v>2</v>
      </c>
      <c r="F87" s="88">
        <v>3</v>
      </c>
      <c r="G87" s="88">
        <v>4</v>
      </c>
      <c r="H87" s="88">
        <v>5</v>
      </c>
      <c r="I87" s="88">
        <v>6</v>
      </c>
      <c r="J87" s="88">
        <v>7</v>
      </c>
      <c r="K87" s="88">
        <v>8</v>
      </c>
      <c r="L87" s="88">
        <v>9</v>
      </c>
      <c r="M87" s="88">
        <v>10</v>
      </c>
      <c r="N87" s="88">
        <v>11</v>
      </c>
      <c r="O87" s="88">
        <v>12</v>
      </c>
      <c r="P87" s="88">
        <v>13</v>
      </c>
      <c r="Q87" s="88">
        <v>14</v>
      </c>
      <c r="R87" s="88">
        <v>15</v>
      </c>
      <c r="S87" s="88">
        <v>16</v>
      </c>
      <c r="T87" s="88">
        <v>17</v>
      </c>
      <c r="U87" s="88">
        <v>18</v>
      </c>
      <c r="V87" s="88">
        <v>19</v>
      </c>
      <c r="W87" s="88">
        <v>20</v>
      </c>
      <c r="X87" s="89" t="s">
        <v>687</v>
      </c>
      <c r="Y87" s="519"/>
      <c r="Z87" s="53"/>
      <c r="AA87" s="520"/>
      <c r="AB87" s="520"/>
      <c r="AC87" s="520"/>
      <c r="AD87" s="520"/>
      <c r="AE87" s="520"/>
      <c r="AF87" s="520"/>
      <c r="AG87" s="520"/>
      <c r="AH87" s="520"/>
      <c r="AI87" s="520"/>
      <c r="AJ87" s="520"/>
      <c r="AK87" s="520"/>
      <c r="AL87" s="520"/>
      <c r="AM87" s="520"/>
      <c r="AN87" s="520"/>
      <c r="AO87" s="520"/>
      <c r="AP87" s="520"/>
      <c r="AQ87" s="520"/>
      <c r="AR87" s="520"/>
      <c r="AS87" s="520"/>
      <c r="AT87" s="520"/>
      <c r="AU87" s="520"/>
      <c r="AV87" s="520"/>
      <c r="AW87" s="520"/>
      <c r="AX87" s="520"/>
      <c r="AY87" s="520"/>
      <c r="AZ87" s="520"/>
      <c r="BA87" s="520"/>
      <c r="BB87" s="520"/>
      <c r="BC87" s="520"/>
      <c r="BD87" s="520"/>
      <c r="BE87" s="520"/>
      <c r="BF87" s="520"/>
      <c r="BG87" s="520"/>
      <c r="BH87" s="520"/>
      <c r="BI87" s="520"/>
      <c r="BJ87" s="520"/>
      <c r="BK87" s="520"/>
      <c r="BL87" s="520"/>
      <c r="BM87" s="520"/>
      <c r="BN87" s="520"/>
      <c r="BO87" s="520"/>
      <c r="BP87" s="520"/>
      <c r="BQ87" s="520"/>
      <c r="BR87" s="520"/>
      <c r="BS87" s="520"/>
      <c r="BT87" s="520"/>
      <c r="BU87" s="520"/>
      <c r="BV87" s="520"/>
      <c r="BW87" s="520"/>
    </row>
    <row r="88" spans="1:75" s="521" customFormat="1" ht="13.5" thickTop="1">
      <c r="A88" s="516"/>
      <c r="B88" s="522" t="s">
        <v>717</v>
      </c>
      <c r="C88" s="1159"/>
      <c r="D88" s="1159">
        <f>(D92-D91)*D4/1000</f>
        <v>1386.9378816212488</v>
      </c>
      <c r="E88" s="1159">
        <f t="shared" ref="E88:W88" si="25">(E92-E91)*E4/1000</f>
        <v>1496.3404550175517</v>
      </c>
      <c r="F88" s="1159">
        <f t="shared" si="25"/>
        <v>1614.2590165735369</v>
      </c>
      <c r="G88" s="1159">
        <f t="shared" si="25"/>
        <v>1741.3497167017688</v>
      </c>
      <c r="H88" s="1159">
        <f t="shared" si="25"/>
        <v>1878.3188568876951</v>
      </c>
      <c r="I88" s="1159">
        <f t="shared" si="25"/>
        <v>2067.2721411134712</v>
      </c>
      <c r="J88" s="1159">
        <f t="shared" si="25"/>
        <v>2229.58322253182</v>
      </c>
      <c r="K88" s="1159">
        <f t="shared" si="25"/>
        <v>2404.4838930085684</v>
      </c>
      <c r="L88" s="1159">
        <f t="shared" si="25"/>
        <v>2592.9414780249422</v>
      </c>
      <c r="M88" s="1159">
        <f t="shared" si="25"/>
        <v>2795.9970745904079</v>
      </c>
      <c r="N88" s="1159">
        <f t="shared" si="25"/>
        <v>3014.7711436514128</v>
      </c>
      <c r="O88" s="1159">
        <f t="shared" si="25"/>
        <v>3250.46952438162</v>
      </c>
      <c r="P88" s="1159">
        <f t="shared" si="25"/>
        <v>3504.3899020524218</v>
      </c>
      <c r="Q88" s="1159">
        <f t="shared" si="25"/>
        <v>3777.9287635563687</v>
      </c>
      <c r="R88" s="1159">
        <f t="shared" si="25"/>
        <v>4072.5888772073299</v>
      </c>
      <c r="S88" s="1159">
        <f t="shared" si="25"/>
        <v>4389.9873361827831</v>
      </c>
      <c r="T88" s="1159">
        <f t="shared" si="25"/>
        <v>4731.8642079200108</v>
      </c>
      <c r="U88" s="1159">
        <f t="shared" si="25"/>
        <v>5100.0918349441808</v>
      </c>
      <c r="V88" s="1159">
        <f t="shared" si="25"/>
        <v>5496.6848360088807</v>
      </c>
      <c r="W88" s="1159">
        <f t="shared" si="25"/>
        <v>5923.8108600861397</v>
      </c>
      <c r="X88" s="1160">
        <f t="shared" ref="X88:X89" si="26">SUM(N88:W88)</f>
        <v>43262.587285991154</v>
      </c>
      <c r="Y88" s="519"/>
      <c r="Z88" s="53"/>
      <c r="AA88" s="520"/>
      <c r="AB88" s="520"/>
      <c r="AC88" s="520"/>
      <c r="AD88" s="520"/>
      <c r="AE88" s="520"/>
      <c r="AF88" s="520"/>
      <c r="AG88" s="520"/>
      <c r="AH88" s="520"/>
      <c r="AI88" s="520"/>
      <c r="AJ88" s="520"/>
      <c r="AK88" s="520"/>
      <c r="AL88" s="520"/>
      <c r="AM88" s="520"/>
      <c r="AN88" s="520"/>
      <c r="AO88" s="520"/>
      <c r="AP88" s="520"/>
      <c r="AQ88" s="520"/>
      <c r="AR88" s="520"/>
      <c r="AS88" s="520"/>
      <c r="AT88" s="520"/>
      <c r="AU88" s="520"/>
      <c r="AV88" s="520"/>
      <c r="AW88" s="520"/>
      <c r="AX88" s="520"/>
      <c r="AY88" s="520"/>
      <c r="AZ88" s="520"/>
      <c r="BA88" s="520"/>
      <c r="BB88" s="520"/>
      <c r="BC88" s="520"/>
      <c r="BD88" s="520"/>
      <c r="BE88" s="520"/>
      <c r="BF88" s="520"/>
      <c r="BG88" s="520"/>
      <c r="BH88" s="520"/>
      <c r="BI88" s="520"/>
      <c r="BJ88" s="520"/>
      <c r="BK88" s="520"/>
      <c r="BL88" s="520"/>
      <c r="BM88" s="520"/>
      <c r="BN88" s="520"/>
      <c r="BO88" s="520"/>
      <c r="BP88" s="520"/>
      <c r="BQ88" s="520"/>
      <c r="BR88" s="520"/>
      <c r="BS88" s="520"/>
      <c r="BT88" s="520"/>
      <c r="BU88" s="520"/>
      <c r="BV88" s="520"/>
      <c r="BW88" s="520"/>
    </row>
    <row r="89" spans="1:75" s="521" customFormat="1" ht="13">
      <c r="A89" s="516"/>
      <c r="B89" s="523" t="s">
        <v>718</v>
      </c>
      <c r="C89" s="1163"/>
      <c r="D89" s="1163">
        <f>IF(C107="Yes",('Design Inputs'!D60-Cashflows!D91)*Cashflows!D5/1000,0)</f>
        <v>0</v>
      </c>
      <c r="E89" s="1163">
        <f>D89*(1+'Financial Inputs'!$D$9)</f>
        <v>0</v>
      </c>
      <c r="F89" s="1163">
        <f>E89*(1+'Financial Inputs'!$D$9)</f>
        <v>0</v>
      </c>
      <c r="G89" s="1163">
        <f>F89*(1+'Financial Inputs'!$D$9)</f>
        <v>0</v>
      </c>
      <c r="H89" s="1163">
        <f>G89*(1+'Financial Inputs'!$D$9)</f>
        <v>0</v>
      </c>
      <c r="I89" s="1163">
        <f>H89*(1+'Financial Inputs'!$D$9)</f>
        <v>0</v>
      </c>
      <c r="J89" s="1163">
        <f>I89*(1+'Financial Inputs'!$D$9)</f>
        <v>0</v>
      </c>
      <c r="K89" s="1163">
        <f>J89*(1+'Financial Inputs'!$D$9)</f>
        <v>0</v>
      </c>
      <c r="L89" s="1163">
        <f>K89*(1+'Financial Inputs'!$D$9)</f>
        <v>0</v>
      </c>
      <c r="M89" s="1163">
        <f>L89*(1+'Financial Inputs'!$D$9)</f>
        <v>0</v>
      </c>
      <c r="N89" s="1163">
        <f>M89*(1+'Financial Inputs'!$D$9)</f>
        <v>0</v>
      </c>
      <c r="O89" s="1163">
        <f>N89*(1+'Financial Inputs'!$D$9)</f>
        <v>0</v>
      </c>
      <c r="P89" s="1163">
        <f>O89*(1+'Financial Inputs'!$D$9)</f>
        <v>0</v>
      </c>
      <c r="Q89" s="1163">
        <f>P89*(1+'Financial Inputs'!$D$9)</f>
        <v>0</v>
      </c>
      <c r="R89" s="1163">
        <f>Q89*(1+'Financial Inputs'!$D$9)</f>
        <v>0</v>
      </c>
      <c r="S89" s="1163">
        <f>R89*(1+'Financial Inputs'!$D$9)</f>
        <v>0</v>
      </c>
      <c r="T89" s="1163">
        <f>S89*(1+'Financial Inputs'!$D$9)</f>
        <v>0</v>
      </c>
      <c r="U89" s="1163">
        <f>T89*(1+'Financial Inputs'!$D$9)</f>
        <v>0</v>
      </c>
      <c r="V89" s="1163">
        <f>U89*(1+'Financial Inputs'!$D$9)</f>
        <v>0</v>
      </c>
      <c r="W89" s="1163">
        <f>V89*(1+'Financial Inputs'!$D$9)</f>
        <v>0</v>
      </c>
      <c r="X89" s="1160">
        <f t="shared" si="26"/>
        <v>0</v>
      </c>
      <c r="Y89" s="519"/>
      <c r="Z89" s="53"/>
      <c r="AA89" s="520"/>
      <c r="AB89" s="520"/>
      <c r="AC89" s="520"/>
      <c r="AD89" s="520"/>
      <c r="AE89" s="520"/>
      <c r="AF89" s="520"/>
      <c r="AG89" s="520"/>
      <c r="AH89" s="520"/>
      <c r="AI89" s="520"/>
      <c r="AJ89" s="520"/>
      <c r="AK89" s="520"/>
      <c r="AL89" s="520"/>
      <c r="AM89" s="520"/>
      <c r="AN89" s="520"/>
      <c r="AO89" s="520"/>
      <c r="AP89" s="520"/>
      <c r="AQ89" s="520"/>
      <c r="AR89" s="520"/>
      <c r="AS89" s="520"/>
      <c r="AT89" s="520"/>
      <c r="AU89" s="520"/>
      <c r="AV89" s="520"/>
      <c r="AW89" s="520"/>
      <c r="AX89" s="520"/>
      <c r="AY89" s="520"/>
      <c r="AZ89" s="520"/>
      <c r="BA89" s="520"/>
      <c r="BB89" s="520"/>
      <c r="BC89" s="520"/>
      <c r="BD89" s="520"/>
      <c r="BE89" s="520"/>
      <c r="BF89" s="520"/>
      <c r="BG89" s="520"/>
      <c r="BH89" s="520"/>
      <c r="BI89" s="520"/>
      <c r="BJ89" s="520"/>
      <c r="BK89" s="520"/>
      <c r="BL89" s="520"/>
      <c r="BM89" s="520"/>
      <c r="BN89" s="520"/>
      <c r="BO89" s="520"/>
      <c r="BP89" s="520"/>
      <c r="BQ89" s="520"/>
      <c r="BR89" s="520"/>
      <c r="BS89" s="520"/>
      <c r="BT89" s="520"/>
      <c r="BU89" s="520"/>
      <c r="BV89" s="520"/>
      <c r="BW89" s="520"/>
    </row>
    <row r="90" spans="1:75" s="521" customFormat="1" ht="13">
      <c r="A90" s="516"/>
      <c r="B90" s="523" t="s">
        <v>713</v>
      </c>
      <c r="C90" s="1161"/>
      <c r="D90" s="1161">
        <f>SUM(D88:D89)</f>
        <v>1386.9378816212488</v>
      </c>
      <c r="E90" s="1161">
        <f>SUM(E88:E89)+D90</f>
        <v>2883.2783366388003</v>
      </c>
      <c r="F90" s="1161">
        <f t="shared" ref="F90:W90" si="27">SUM(F88:F89)+E90</f>
        <v>4497.5373532123376</v>
      </c>
      <c r="G90" s="1161">
        <f t="shared" si="27"/>
        <v>6238.8870699141062</v>
      </c>
      <c r="H90" s="1161">
        <f t="shared" si="27"/>
        <v>8117.2059268018011</v>
      </c>
      <c r="I90" s="1161">
        <f t="shared" si="27"/>
        <v>10184.478067915272</v>
      </c>
      <c r="J90" s="1161">
        <f t="shared" si="27"/>
        <v>12414.061290447091</v>
      </c>
      <c r="K90" s="1161">
        <f t="shared" si="27"/>
        <v>14818.545183455659</v>
      </c>
      <c r="L90" s="1161">
        <f t="shared" si="27"/>
        <v>17411.486661480601</v>
      </c>
      <c r="M90" s="1161">
        <f t="shared" si="27"/>
        <v>20207.483736071008</v>
      </c>
      <c r="N90" s="1161">
        <f t="shared" si="27"/>
        <v>23222.254879722423</v>
      </c>
      <c r="O90" s="1161">
        <f t="shared" si="27"/>
        <v>26472.724404104043</v>
      </c>
      <c r="P90" s="1161">
        <f t="shared" si="27"/>
        <v>29977.114306156465</v>
      </c>
      <c r="Q90" s="1161">
        <f t="shared" si="27"/>
        <v>33755.043069712832</v>
      </c>
      <c r="R90" s="1161">
        <f t="shared" si="27"/>
        <v>37827.631946920163</v>
      </c>
      <c r="S90" s="1161">
        <f t="shared" si="27"/>
        <v>42217.619283102948</v>
      </c>
      <c r="T90" s="1161">
        <f t="shared" si="27"/>
        <v>46949.483491022955</v>
      </c>
      <c r="U90" s="1161">
        <f t="shared" si="27"/>
        <v>52049.575325967133</v>
      </c>
      <c r="V90" s="1161">
        <f t="shared" si="27"/>
        <v>57546.26016197601</v>
      </c>
      <c r="W90" s="1161">
        <f t="shared" si="27"/>
        <v>63470.071022062148</v>
      </c>
      <c r="X90" s="1162">
        <f>W90</f>
        <v>63470.071022062148</v>
      </c>
      <c r="Y90" s="519" t="b">
        <v>0</v>
      </c>
      <c r="Z90" s="53" t="s">
        <v>512</v>
      </c>
      <c r="AA90" s="57">
        <f>D88/12*1000</f>
        <v>115578.15680177073</v>
      </c>
      <c r="AB90" s="520"/>
      <c r="AC90" s="520"/>
      <c r="AD90" s="520"/>
      <c r="AE90" s="520"/>
      <c r="AF90" s="520"/>
      <c r="AG90" s="520"/>
      <c r="AH90" s="520"/>
      <c r="AI90" s="520"/>
      <c r="AJ90" s="520"/>
      <c r="AK90" s="520"/>
      <c r="AL90" s="520"/>
      <c r="AM90" s="520"/>
      <c r="AN90" s="520"/>
      <c r="AO90" s="520"/>
      <c r="AP90" s="520"/>
      <c r="AQ90" s="520"/>
      <c r="AR90" s="520"/>
      <c r="AS90" s="520"/>
      <c r="AT90" s="520"/>
      <c r="AU90" s="520"/>
      <c r="AV90" s="520"/>
      <c r="AW90" s="520"/>
      <c r="AX90" s="520"/>
      <c r="AY90" s="520"/>
      <c r="AZ90" s="520"/>
      <c r="BA90" s="520"/>
      <c r="BB90" s="520"/>
      <c r="BC90" s="520"/>
      <c r="BD90" s="520"/>
      <c r="BE90" s="520"/>
      <c r="BF90" s="520"/>
      <c r="BG90" s="520"/>
      <c r="BH90" s="520"/>
      <c r="BI90" s="520"/>
      <c r="BJ90" s="520"/>
      <c r="BK90" s="520"/>
      <c r="BL90" s="520"/>
      <c r="BM90" s="520"/>
      <c r="BN90" s="520"/>
      <c r="BO90" s="520"/>
      <c r="BP90" s="520"/>
      <c r="BQ90" s="520"/>
      <c r="BR90" s="520"/>
      <c r="BS90" s="520"/>
      <c r="BT90" s="520"/>
      <c r="BU90" s="520"/>
      <c r="BV90" s="520"/>
      <c r="BW90" s="520"/>
    </row>
    <row r="91" spans="1:75" s="521" customFormat="1" ht="12.5">
      <c r="A91" s="516"/>
      <c r="B91" s="524" t="s">
        <v>719</v>
      </c>
      <c r="C91" s="525"/>
      <c r="D91" s="525">
        <f>ppa_Tariff</f>
        <v>0.92819319477283313</v>
      </c>
      <c r="E91" s="525">
        <f>'Fedgroup Model'!F52</f>
        <v>0.99316671840693149</v>
      </c>
      <c r="F91" s="525">
        <f>'Fedgroup Model'!G52</f>
        <v>1.0626883886954168</v>
      </c>
      <c r="G91" s="525">
        <f>'Fedgroup Model'!H52</f>
        <v>1.1370765759040962</v>
      </c>
      <c r="H91" s="525">
        <f>'Fedgroup Model'!I52</f>
        <v>1.216671936217383</v>
      </c>
      <c r="I91" s="525">
        <f>'Fedgroup Model'!J52</f>
        <v>1.3018389717526</v>
      </c>
      <c r="J91" s="525">
        <f>'Fedgroup Model'!K52</f>
        <v>1.392967699775282</v>
      </c>
      <c r="K91" s="525">
        <f>'Fedgroup Model'!L52</f>
        <v>1.4904754387595518</v>
      </c>
      <c r="L91" s="525">
        <f>'Fedgroup Model'!M52</f>
        <v>1.5948087194727205</v>
      </c>
      <c r="M91" s="525">
        <f>'Fedgroup Model'!N52</f>
        <v>1.7064453298358111</v>
      </c>
      <c r="N91" s="525">
        <f>'Fedgroup Model'!O52</f>
        <v>1.8258965029243179</v>
      </c>
      <c r="O91" s="525">
        <f>'Fedgroup Model'!P52</f>
        <v>1.9537092581290203</v>
      </c>
      <c r="P91" s="525">
        <f>'Fedgroup Model'!Q52</f>
        <v>2.0904689061980517</v>
      </c>
      <c r="Q91" s="525">
        <f>'Fedgroup Model'!R52</f>
        <v>2.2368017296319156</v>
      </c>
      <c r="R91" s="525">
        <f>'Fedgroup Model'!S52</f>
        <v>2.3933778507061496</v>
      </c>
      <c r="S91" s="525">
        <f>'Fedgroup Model'!T52</f>
        <v>2.5609143002555803</v>
      </c>
      <c r="T91" s="525">
        <f>'Fedgroup Model'!U52</f>
        <v>2.7401783012734713</v>
      </c>
      <c r="U91" s="525">
        <f>'Fedgroup Model'!V52</f>
        <v>2.9319907823626146</v>
      </c>
      <c r="V91" s="525">
        <f>'Fedgroup Model'!W52</f>
        <v>3.1372301371279976</v>
      </c>
      <c r="W91" s="525">
        <f>'Fedgroup Model'!X52</f>
        <v>3.3568362467269575</v>
      </c>
      <c r="X91" s="526">
        <f>W91</f>
        <v>3.3568362467269575</v>
      </c>
      <c r="Y91" s="519"/>
      <c r="Z91" s="53"/>
      <c r="AA91" s="520"/>
      <c r="AB91" s="520"/>
      <c r="AC91" s="520"/>
      <c r="AD91" s="520"/>
      <c r="AE91" s="520"/>
      <c r="AF91" s="520"/>
      <c r="AG91" s="520"/>
      <c r="AH91" s="520"/>
      <c r="AI91" s="520"/>
      <c r="AJ91" s="520"/>
      <c r="AK91" s="520"/>
      <c r="AL91" s="520"/>
      <c r="AM91" s="520"/>
      <c r="AN91" s="520"/>
      <c r="AO91" s="520"/>
      <c r="AP91" s="520"/>
      <c r="AQ91" s="520"/>
      <c r="AR91" s="520"/>
      <c r="AS91" s="520"/>
      <c r="AT91" s="520"/>
      <c r="AU91" s="520"/>
      <c r="AV91" s="520"/>
      <c r="AW91" s="520"/>
      <c r="AX91" s="520"/>
      <c r="AY91" s="520"/>
      <c r="AZ91" s="520"/>
      <c r="BA91" s="520"/>
      <c r="BB91" s="520"/>
      <c r="BC91" s="520"/>
      <c r="BD91" s="520"/>
      <c r="BE91" s="520"/>
      <c r="BF91" s="520"/>
      <c r="BG91" s="520"/>
      <c r="BH91" s="520"/>
      <c r="BI91" s="520"/>
      <c r="BJ91" s="520"/>
      <c r="BK91" s="520"/>
      <c r="BL91" s="520"/>
      <c r="BM91" s="520"/>
      <c r="BN91" s="520"/>
      <c r="BO91" s="520"/>
      <c r="BP91" s="520"/>
      <c r="BQ91" s="520"/>
      <c r="BR91" s="520"/>
      <c r="BS91" s="520"/>
      <c r="BT91" s="520"/>
      <c r="BU91" s="520"/>
      <c r="BV91" s="520"/>
      <c r="BW91" s="520"/>
    </row>
    <row r="92" spans="1:75" s="521" customFormat="1" ht="12.5">
      <c r="A92" s="516"/>
      <c r="B92" s="1132" t="s">
        <v>706</v>
      </c>
      <c r="C92" s="1133"/>
      <c r="D92" s="1133">
        <f>'4.3 Emergent Data'!$D$27</f>
        <v>2.6492952499999998</v>
      </c>
      <c r="E92" s="1133">
        <f>D92*(1+'Financial Inputs'!$D$9)</f>
        <v>2.8612388699999998</v>
      </c>
      <c r="F92" s="1133">
        <f>E92*(1+'Financial Inputs'!$D$9)</f>
        <v>3.0901379796000001</v>
      </c>
      <c r="G92" s="1133">
        <f>F92*(1+'Financial Inputs'!$D$9)</f>
        <v>3.3373490179680005</v>
      </c>
      <c r="H92" s="1133">
        <f>G92*(1+'Financial Inputs'!$D$9)</f>
        <v>3.604336939405441</v>
      </c>
      <c r="I92" s="1133">
        <f>H92*(1+'Financial Inputs'!$D$9)</f>
        <v>3.8926838945578766</v>
      </c>
      <c r="J92" s="1133">
        <f>I92*(1+'Financial Inputs'!$D$9)</f>
        <v>4.204098606122507</v>
      </c>
      <c r="K92" s="1133">
        <f>J92*(1+'Financial Inputs'!$D$9)</f>
        <v>4.5404264946123076</v>
      </c>
      <c r="L92" s="1133">
        <f>K92*(1+'Financial Inputs'!$D$9)</f>
        <v>4.9036606141812928</v>
      </c>
      <c r="M92" s="1133">
        <f>L92*(1+'Financial Inputs'!$D$9)</f>
        <v>5.2959534633157963</v>
      </c>
      <c r="N92" s="1133">
        <f>M92*(1+'Financial Inputs'!$D$9)</f>
        <v>5.7196297403810608</v>
      </c>
      <c r="O92" s="1133">
        <f>N92*(1+'Financial Inputs'!$D$9)</f>
        <v>6.1772001196115456</v>
      </c>
      <c r="P92" s="1133">
        <f>O92*(1+'Financial Inputs'!$D$9)</f>
        <v>6.6713761291804694</v>
      </c>
      <c r="Q92" s="1133">
        <f>P92*(1+'Financial Inputs'!$D$9)</f>
        <v>7.2050862195149072</v>
      </c>
      <c r="R92" s="1133">
        <f>Q92*(1+'Financial Inputs'!$D$9)</f>
        <v>7.7814931170761001</v>
      </c>
      <c r="S92" s="1133">
        <f>R92*(1+'Financial Inputs'!$D$9)</f>
        <v>8.404012566442189</v>
      </c>
      <c r="T92" s="1133">
        <f>S92*(1+'Financial Inputs'!$D$9)</f>
        <v>9.0763335717575639</v>
      </c>
      <c r="U92" s="1133">
        <f>T92*(1+'Financial Inputs'!$D$9)</f>
        <v>9.8024402574981693</v>
      </c>
      <c r="V92" s="1133">
        <f>U92*(1+'Financial Inputs'!$D$9)</f>
        <v>10.586635478098023</v>
      </c>
      <c r="W92" s="1133">
        <f>V92*(1+'Financial Inputs'!$D$9)</f>
        <v>11.433566316345866</v>
      </c>
      <c r="X92" s="1134">
        <f>W92</f>
        <v>11.433566316345866</v>
      </c>
      <c r="Y92" s="519"/>
      <c r="Z92" s="53"/>
      <c r="AA92" s="520"/>
      <c r="AB92" s="520"/>
      <c r="AC92" s="520"/>
      <c r="AD92" s="520"/>
      <c r="AE92" s="520"/>
      <c r="AF92" s="520"/>
      <c r="AG92" s="520"/>
      <c r="AH92" s="520"/>
      <c r="AI92" s="520"/>
      <c r="AJ92" s="520"/>
      <c r="AK92" s="520"/>
      <c r="AL92" s="520"/>
      <c r="AM92" s="520"/>
      <c r="AN92" s="520"/>
      <c r="AO92" s="520"/>
      <c r="AP92" s="520"/>
      <c r="AQ92" s="520"/>
      <c r="AR92" s="520"/>
      <c r="AS92" s="520"/>
      <c r="AT92" s="520"/>
      <c r="AU92" s="520"/>
      <c r="AV92" s="520"/>
      <c r="AW92" s="520"/>
      <c r="AX92" s="520"/>
      <c r="AY92" s="520"/>
      <c r="AZ92" s="520"/>
      <c r="BA92" s="520"/>
      <c r="BB92" s="520"/>
      <c r="BC92" s="520"/>
      <c r="BD92" s="520"/>
      <c r="BE92" s="520"/>
      <c r="BF92" s="520"/>
      <c r="BG92" s="520"/>
      <c r="BH92" s="520"/>
      <c r="BI92" s="520"/>
      <c r="BJ92" s="520"/>
      <c r="BK92" s="520"/>
      <c r="BL92" s="520"/>
      <c r="BM92" s="520"/>
      <c r="BN92" s="520"/>
      <c r="BO92" s="520"/>
      <c r="BP92" s="520"/>
      <c r="BQ92" s="520"/>
      <c r="BR92" s="520"/>
      <c r="BS92" s="520"/>
      <c r="BT92" s="520"/>
      <c r="BU92" s="520"/>
      <c r="BV92" s="520"/>
      <c r="BW92" s="520"/>
    </row>
    <row r="93" spans="1:75" s="521" customFormat="1" ht="12.5">
      <c r="A93" s="516"/>
      <c r="B93" s="1201"/>
      <c r="C93" s="1201"/>
      <c r="D93" s="1201"/>
      <c r="E93" s="1201"/>
      <c r="F93" s="1201"/>
      <c r="G93" s="1201"/>
      <c r="H93" s="1201"/>
      <c r="I93" s="1201"/>
      <c r="J93" s="1201"/>
      <c r="K93" s="1201"/>
      <c r="L93" s="1201"/>
      <c r="M93" s="1201"/>
      <c r="N93" s="1201"/>
      <c r="O93" s="1201"/>
      <c r="P93" s="1201"/>
      <c r="Q93" s="1201"/>
      <c r="R93" s="1201"/>
      <c r="S93" s="1201"/>
      <c r="T93" s="1201"/>
      <c r="U93" s="1201"/>
      <c r="V93" s="1201"/>
      <c r="W93" s="1201"/>
      <c r="X93" s="1201"/>
      <c r="Y93" s="519"/>
      <c r="Z93" s="53"/>
      <c r="AA93" s="520"/>
      <c r="AB93" s="520"/>
      <c r="AC93" s="520"/>
      <c r="AD93" s="520"/>
      <c r="AE93" s="520"/>
      <c r="AF93" s="520"/>
      <c r="AG93" s="520"/>
      <c r="AH93" s="520"/>
      <c r="AI93" s="520"/>
      <c r="AJ93" s="520"/>
      <c r="AK93" s="520"/>
      <c r="AL93" s="520"/>
      <c r="AM93" s="520"/>
      <c r="AN93" s="520"/>
      <c r="AO93" s="520"/>
      <c r="AP93" s="520"/>
      <c r="AQ93" s="520"/>
      <c r="AR93" s="520"/>
      <c r="AS93" s="520"/>
      <c r="AT93" s="520"/>
      <c r="AU93" s="520"/>
      <c r="AV93" s="520"/>
      <c r="AW93" s="520"/>
      <c r="AX93" s="520"/>
      <c r="AY93" s="520"/>
      <c r="AZ93" s="520"/>
      <c r="BA93" s="520"/>
      <c r="BB93" s="520"/>
      <c r="BC93" s="520"/>
      <c r="BD93" s="520"/>
      <c r="BE93" s="520"/>
      <c r="BF93" s="520"/>
      <c r="BG93" s="520"/>
      <c r="BH93" s="520"/>
      <c r="BI93" s="520"/>
      <c r="BJ93" s="520"/>
      <c r="BK93" s="520"/>
      <c r="BL93" s="520"/>
      <c r="BM93" s="520"/>
      <c r="BN93" s="520"/>
      <c r="BO93" s="520"/>
      <c r="BP93" s="520"/>
      <c r="BQ93" s="520"/>
      <c r="BR93" s="520"/>
      <c r="BS93" s="520"/>
      <c r="BT93" s="520"/>
      <c r="BU93" s="520"/>
      <c r="BV93" s="520"/>
      <c r="BW93" s="520"/>
    </row>
    <row r="94" spans="1:75" s="521" customFormat="1" ht="12.5">
      <c r="A94" s="516"/>
      <c r="B94" s="1201"/>
      <c r="C94" s="1201"/>
      <c r="D94" s="1201"/>
      <c r="E94" s="1201"/>
      <c r="F94" s="1201"/>
      <c r="G94" s="1201"/>
      <c r="H94" s="1201"/>
      <c r="I94" s="1201"/>
      <c r="J94" s="1201"/>
      <c r="K94" s="1201"/>
      <c r="L94" s="1201"/>
      <c r="M94" s="1201"/>
      <c r="N94" s="1201"/>
      <c r="O94" s="1201"/>
      <c r="P94" s="1201"/>
      <c r="Q94" s="1201"/>
      <c r="R94" s="1201"/>
      <c r="S94" s="1201"/>
      <c r="T94" s="1201"/>
      <c r="U94" s="1201"/>
      <c r="V94" s="1201"/>
      <c r="W94" s="1201"/>
      <c r="X94" s="1201"/>
      <c r="Y94" s="519"/>
      <c r="Z94" s="53"/>
      <c r="AA94" s="520"/>
      <c r="AB94" s="520"/>
      <c r="AC94" s="520"/>
      <c r="AD94" s="520"/>
      <c r="AE94" s="520"/>
      <c r="AF94" s="520"/>
      <c r="AG94" s="520"/>
      <c r="AH94" s="520"/>
      <c r="AI94" s="520"/>
      <c r="AJ94" s="520"/>
      <c r="AK94" s="520"/>
      <c r="AL94" s="520"/>
      <c r="AM94" s="520"/>
      <c r="AN94" s="520"/>
      <c r="AO94" s="520"/>
      <c r="AP94" s="520"/>
      <c r="AQ94" s="520"/>
      <c r="AR94" s="520"/>
      <c r="AS94" s="520"/>
      <c r="AT94" s="520"/>
      <c r="AU94" s="520"/>
      <c r="AV94" s="520"/>
      <c r="AW94" s="520"/>
      <c r="AX94" s="520"/>
      <c r="AY94" s="520"/>
      <c r="AZ94" s="520"/>
      <c r="BA94" s="520"/>
      <c r="BB94" s="520"/>
      <c r="BC94" s="520"/>
      <c r="BD94" s="520"/>
      <c r="BE94" s="520"/>
      <c r="BF94" s="520"/>
      <c r="BG94" s="520"/>
      <c r="BH94" s="520"/>
      <c r="BI94" s="520"/>
      <c r="BJ94" s="520"/>
      <c r="BK94" s="520"/>
      <c r="BL94" s="520"/>
      <c r="BM94" s="520"/>
      <c r="BN94" s="520"/>
      <c r="BO94" s="520"/>
      <c r="BP94" s="520"/>
      <c r="BQ94" s="520"/>
      <c r="BR94" s="520"/>
      <c r="BS94" s="520"/>
      <c r="BT94" s="520"/>
      <c r="BU94" s="520"/>
      <c r="BV94" s="520"/>
      <c r="BW94" s="520"/>
    </row>
    <row r="95" spans="1:75" ht="14.5" hidden="1" thickBot="1">
      <c r="A95" s="1202"/>
      <c r="B95" s="1564" t="s">
        <v>1008</v>
      </c>
      <c r="C95" s="1565"/>
      <c r="D95" s="1565"/>
      <c r="E95" s="1565"/>
      <c r="F95" s="1565"/>
      <c r="G95" s="1565"/>
      <c r="H95" s="1565"/>
      <c r="I95" s="1566"/>
      <c r="J95" s="1203"/>
      <c r="K95" s="1203"/>
      <c r="L95" s="1203"/>
      <c r="M95" s="1203"/>
      <c r="N95" s="1203"/>
      <c r="O95" s="1203"/>
      <c r="P95" s="1203"/>
      <c r="Q95" s="1203"/>
      <c r="R95" s="1203"/>
      <c r="S95" s="1203"/>
      <c r="T95" s="1203"/>
      <c r="U95" s="1203"/>
      <c r="V95" s="1203"/>
      <c r="W95" s="1203"/>
      <c r="X95" s="1203"/>
      <c r="Y95" s="1204"/>
      <c r="Z95" s="39"/>
    </row>
    <row r="96" spans="1:75" hidden="1">
      <c r="A96" s="1202"/>
      <c r="B96" s="1205"/>
      <c r="C96" s="1206"/>
      <c r="D96" s="1203"/>
      <c r="E96" s="1203"/>
      <c r="F96" s="1203"/>
      <c r="G96" s="1203"/>
      <c r="H96" s="1203"/>
      <c r="I96" s="1203"/>
      <c r="J96" s="1203"/>
      <c r="K96" s="1203"/>
      <c r="L96" s="1203"/>
      <c r="M96" s="1203"/>
      <c r="N96" s="1203"/>
      <c r="O96" s="1203"/>
      <c r="P96" s="1203"/>
      <c r="Q96" s="1203"/>
      <c r="R96" s="1203"/>
      <c r="S96" s="1203"/>
      <c r="T96" s="1203"/>
      <c r="U96" s="1203"/>
      <c r="V96" s="1203"/>
      <c r="W96" s="1203"/>
      <c r="X96" s="1203"/>
      <c r="Y96" s="1204"/>
      <c r="Z96" s="39"/>
    </row>
    <row r="97" spans="1:75" s="521" customFormat="1" ht="13.5" hidden="1" thickBot="1">
      <c r="A97" s="1207">
        <v>14</v>
      </c>
      <c r="B97" s="517" t="s">
        <v>686</v>
      </c>
      <c r="C97" s="518" t="s">
        <v>104</v>
      </c>
      <c r="D97" s="518">
        <v>1</v>
      </c>
      <c r="E97" s="518">
        <v>2</v>
      </c>
      <c r="F97" s="518">
        <v>3</v>
      </c>
      <c r="G97" s="518">
        <v>4</v>
      </c>
      <c r="H97" s="518">
        <v>5</v>
      </c>
      <c r="I97" s="518">
        <v>6</v>
      </c>
      <c r="J97" s="518">
        <v>7</v>
      </c>
      <c r="K97" s="518">
        <v>8</v>
      </c>
      <c r="L97" s="518">
        <v>9</v>
      </c>
      <c r="M97" s="518">
        <v>10</v>
      </c>
      <c r="N97" s="518">
        <v>11</v>
      </c>
      <c r="O97" s="88">
        <v>12</v>
      </c>
      <c r="P97" s="518">
        <v>13</v>
      </c>
      <c r="Q97" s="518">
        <v>14</v>
      </c>
      <c r="R97" s="518">
        <v>15</v>
      </c>
      <c r="S97" s="518">
        <v>16</v>
      </c>
      <c r="T97" s="518">
        <v>17</v>
      </c>
      <c r="U97" s="518">
        <v>18</v>
      </c>
      <c r="V97" s="518">
        <v>19</v>
      </c>
      <c r="W97" s="518">
        <v>20</v>
      </c>
      <c r="X97" s="1208" t="s">
        <v>687</v>
      </c>
      <c r="Y97" s="1209"/>
      <c r="Z97" s="53"/>
      <c r="AA97" s="520"/>
      <c r="AB97" s="520"/>
      <c r="AC97" s="520"/>
      <c r="AD97" s="520"/>
      <c r="AE97" s="520"/>
      <c r="AF97" s="520"/>
      <c r="AG97" s="520"/>
      <c r="AH97" s="520"/>
      <c r="AI97" s="520"/>
      <c r="AJ97" s="520"/>
      <c r="AK97" s="520"/>
      <c r="AL97" s="520"/>
      <c r="AM97" s="520"/>
      <c r="AN97" s="520"/>
      <c r="AO97" s="520"/>
      <c r="AP97" s="520"/>
      <c r="AQ97" s="520"/>
      <c r="AR97" s="520"/>
      <c r="AS97" s="520"/>
      <c r="AT97" s="520"/>
      <c r="AU97" s="520"/>
      <c r="AV97" s="520"/>
      <c r="AW97" s="520"/>
      <c r="AX97" s="520"/>
      <c r="AY97" s="520"/>
      <c r="AZ97" s="520"/>
      <c r="BA97" s="520"/>
      <c r="BB97" s="520"/>
      <c r="BC97" s="520"/>
      <c r="BD97" s="520"/>
      <c r="BE97" s="520"/>
      <c r="BF97" s="520"/>
      <c r="BG97" s="520"/>
      <c r="BH97" s="520"/>
      <c r="BI97" s="520"/>
      <c r="BJ97" s="520"/>
      <c r="BK97" s="520"/>
      <c r="BL97" s="520"/>
      <c r="BM97" s="520"/>
      <c r="BN97" s="520"/>
      <c r="BO97" s="520"/>
      <c r="BP97" s="520"/>
      <c r="BQ97" s="520"/>
      <c r="BR97" s="520"/>
      <c r="BS97" s="520"/>
      <c r="BT97" s="520"/>
      <c r="BU97" s="520"/>
      <c r="BV97" s="520"/>
      <c r="BW97" s="520"/>
    </row>
    <row r="98" spans="1:75" ht="14.5" hidden="1" thickTop="1">
      <c r="A98" s="1202"/>
      <c r="B98" s="522" t="s">
        <v>1009</v>
      </c>
      <c r="C98" s="1210"/>
      <c r="D98" s="1210">
        <f>(D102-D101)*'4.3 Emergent Data'!G30/1000</f>
        <v>1611.1063039536411</v>
      </c>
      <c r="E98" s="1210">
        <f>D98*(1+'Financial Inputs'!$D$9)</f>
        <v>1739.9948082699325</v>
      </c>
      <c r="F98" s="1210">
        <f>E98*(1+'Financial Inputs'!$D$9)</f>
        <v>1879.1943929315273</v>
      </c>
      <c r="G98" s="1210">
        <f>F98*(1+'Financial Inputs'!$D$9)</f>
        <v>2029.5299443660497</v>
      </c>
      <c r="H98" s="1210">
        <f>G98*(1+'Financial Inputs'!$D$9)</f>
        <v>2191.8923399153337</v>
      </c>
      <c r="I98" s="1210">
        <f>H98*(1+'Financial Inputs'!$D$9)</f>
        <v>2367.2437271085605</v>
      </c>
      <c r="J98" s="1210">
        <f>I98*(1+'Financial Inputs'!$D$9)</f>
        <v>2556.6232252772456</v>
      </c>
      <c r="K98" s="1210">
        <f>J98*(1+'Financial Inputs'!$D$9)</f>
        <v>2761.1530832994254</v>
      </c>
      <c r="L98" s="1210">
        <f>K98*(1+'Financial Inputs'!$D$9)</f>
        <v>2982.0453299633796</v>
      </c>
      <c r="M98" s="1210">
        <f>L98*(1+'Financial Inputs'!$D$9)</f>
        <v>3220.6089563604501</v>
      </c>
      <c r="N98" s="1210">
        <f>M98*(1+'Financial Inputs'!$D$9)</f>
        <v>3478.2576728692861</v>
      </c>
      <c r="O98" s="1210">
        <f>N98*(1+'Financial Inputs'!$D$9)</f>
        <v>3756.5182866988293</v>
      </c>
      <c r="P98" s="1210">
        <f>O98*(1+'Financial Inputs'!$D$9)</f>
        <v>4057.0397496347359</v>
      </c>
      <c r="Q98" s="1210">
        <f>P98*(1+'Financial Inputs'!$D$9)</f>
        <v>4381.6029296055149</v>
      </c>
      <c r="R98" s="1210">
        <f>Q98*(1+'Financial Inputs'!$D$9)</f>
        <v>4732.1311639739561</v>
      </c>
      <c r="S98" s="1210">
        <f>R98*(1+'Financial Inputs'!$D$9)</f>
        <v>5110.7016570918731</v>
      </c>
      <c r="T98" s="1210">
        <f>S98*(1+'Financial Inputs'!$D$9)</f>
        <v>5519.5577896592231</v>
      </c>
      <c r="U98" s="1210">
        <f>T98*(1+'Financial Inputs'!$D$9)</f>
        <v>5961.1224128319609</v>
      </c>
      <c r="V98" s="1210">
        <f>U98*(1+'Financial Inputs'!$D$9)</f>
        <v>6438.0122058585184</v>
      </c>
      <c r="W98" s="1210">
        <f>V98*(1+'Financial Inputs'!$D$9)</f>
        <v>6953.0531823272004</v>
      </c>
      <c r="X98" s="1160">
        <f t="shared" ref="X98:X99" si="28">SUM(N98:W98)</f>
        <v>50387.997050551101</v>
      </c>
      <c r="Y98" s="1204"/>
      <c r="Z98" s="39"/>
    </row>
    <row r="99" spans="1:75" hidden="1">
      <c r="A99" s="1202"/>
      <c r="B99" s="522" t="s">
        <v>1012</v>
      </c>
      <c r="C99" s="1211"/>
      <c r="D99" s="1211">
        <f>(D103-D101)*IF(C107="Yes",'4.3 Emergent Data'!G31,'4.3 Emergent Data'!G33)/1000</f>
        <v>3.1501088190000024</v>
      </c>
      <c r="E99" s="1210">
        <f>D99*(1+'Financial Inputs'!$D$9)</f>
        <v>3.4021175245200026</v>
      </c>
      <c r="F99" s="1210">
        <f>E99*(1+'Financial Inputs'!$D$9)</f>
        <v>3.6742869264816029</v>
      </c>
      <c r="G99" s="1210">
        <f>F99*(1+'Financial Inputs'!$D$9)</f>
        <v>3.9682298806001315</v>
      </c>
      <c r="H99" s="1210">
        <f>G99*(1+'Financial Inputs'!$D$9)</f>
        <v>4.2856882710481425</v>
      </c>
      <c r="I99" s="1210">
        <f>H99*(1+'Financial Inputs'!$D$9)</f>
        <v>4.6285433327319945</v>
      </c>
      <c r="J99" s="1210">
        <f>I99*(1+'Financial Inputs'!$D$9)</f>
        <v>4.998826799350554</v>
      </c>
      <c r="K99" s="1210">
        <f>J99*(1+'Financial Inputs'!$D$9)</f>
        <v>5.3987329432985982</v>
      </c>
      <c r="L99" s="1210">
        <f>K99*(1+'Financial Inputs'!$D$9)</f>
        <v>5.8306315787624863</v>
      </c>
      <c r="M99" s="1210">
        <f>L99*(1+'Financial Inputs'!$D$9)</f>
        <v>6.2970821050634855</v>
      </c>
      <c r="N99" s="1210">
        <f>M99*(1+'Financial Inputs'!$D$9)</f>
        <v>6.8008486734685647</v>
      </c>
      <c r="O99" s="1210">
        <f>N99*(1+'Financial Inputs'!$D$9)</f>
        <v>7.3449165673460506</v>
      </c>
      <c r="P99" s="1210">
        <f>O99*(1+'Financial Inputs'!$D$9)</f>
        <v>7.9325098927337354</v>
      </c>
      <c r="Q99" s="1210">
        <f>P99*(1+'Financial Inputs'!$D$9)</f>
        <v>8.5671106841524356</v>
      </c>
      <c r="R99" s="1210">
        <f>Q99*(1+'Financial Inputs'!$D$9)</f>
        <v>9.2524795388846304</v>
      </c>
      <c r="S99" s="1210">
        <f>R99*(1+'Financial Inputs'!$D$9)</f>
        <v>9.9926779019954015</v>
      </c>
      <c r="T99" s="1210">
        <f>S99*(1+'Financial Inputs'!$D$9)</f>
        <v>10.792092134155034</v>
      </c>
      <c r="U99" s="1210">
        <f>T99*(1+'Financial Inputs'!$D$9)</f>
        <v>11.655459504887437</v>
      </c>
      <c r="V99" s="1210">
        <f>U99*(1+'Financial Inputs'!$D$9)</f>
        <v>12.587896265278433</v>
      </c>
      <c r="W99" s="1210">
        <f>V99*(1+'Financial Inputs'!$D$9)</f>
        <v>13.594927966500709</v>
      </c>
      <c r="X99" s="1160">
        <f t="shared" si="28"/>
        <v>98.520919129402429</v>
      </c>
      <c r="Y99" s="1204"/>
      <c r="Z99" s="39"/>
    </row>
    <row r="100" spans="1:75" hidden="1">
      <c r="A100" s="1202"/>
      <c r="B100" s="522" t="s">
        <v>1010</v>
      </c>
      <c r="C100" s="1210"/>
      <c r="D100" s="1210">
        <f>D98+D99</f>
        <v>1614.2564127726412</v>
      </c>
      <c r="E100" s="1210">
        <f>D100+SUM(E98:E99)</f>
        <v>3357.6533385670937</v>
      </c>
      <c r="F100" s="1210">
        <f t="shared" ref="F100:K100" si="29">E100+SUM(F98:F99)</f>
        <v>5240.5220184251029</v>
      </c>
      <c r="G100" s="1210">
        <f t="shared" si="29"/>
        <v>7274.0201926717527</v>
      </c>
      <c r="H100" s="1210">
        <f t="shared" si="29"/>
        <v>9470.1982208581339</v>
      </c>
      <c r="I100" s="1210">
        <f t="shared" si="29"/>
        <v>11842.070491299426</v>
      </c>
      <c r="J100" s="1210">
        <f t="shared" si="29"/>
        <v>14403.692543376023</v>
      </c>
      <c r="K100" s="1210">
        <f t="shared" si="29"/>
        <v>17170.244359618748</v>
      </c>
      <c r="L100" s="1210">
        <f t="shared" ref="L100" si="30">K100+SUM(L98:L99)</f>
        <v>20158.120321160888</v>
      </c>
      <c r="M100" s="1210">
        <f t="shared" ref="M100" si="31">L100+SUM(M98:M99)</f>
        <v>23385.026359626401</v>
      </c>
      <c r="N100" s="1210">
        <f t="shared" ref="N100" si="32">M100+SUM(N98:N99)</f>
        <v>26870.084881169154</v>
      </c>
      <c r="O100" s="1210">
        <f t="shared" ref="O100" si="33">N100+SUM(O98:O99)</f>
        <v>30633.948084435331</v>
      </c>
      <c r="P100" s="1210">
        <f t="shared" ref="P100:Q100" si="34">O100+SUM(P98:P99)</f>
        <v>34698.920343962804</v>
      </c>
      <c r="Q100" s="1210">
        <f t="shared" si="34"/>
        <v>39089.090384252471</v>
      </c>
      <c r="R100" s="1210">
        <f t="shared" ref="R100" si="35">Q100+SUM(R98:R99)</f>
        <v>43830.474027765311</v>
      </c>
      <c r="S100" s="1210">
        <f t="shared" ref="S100" si="36">R100+SUM(S98:S99)</f>
        <v>48951.168362759177</v>
      </c>
      <c r="T100" s="1210">
        <f t="shared" ref="T100" si="37">S100+SUM(T98:T99)</f>
        <v>54481.518244552557</v>
      </c>
      <c r="U100" s="1210">
        <f t="shared" ref="U100" si="38">T100+SUM(U98:U99)</f>
        <v>60454.296116889403</v>
      </c>
      <c r="V100" s="1210">
        <f t="shared" ref="V100:W100" si="39">U100+SUM(V98:V99)</f>
        <v>66904.896219013201</v>
      </c>
      <c r="W100" s="1210">
        <f t="shared" si="39"/>
        <v>73871.544329306897</v>
      </c>
      <c r="X100" s="1210">
        <f>W100</f>
        <v>73871.544329306897</v>
      </c>
      <c r="Y100" s="1204"/>
      <c r="Z100" s="39"/>
    </row>
    <row r="101" spans="1:75" hidden="1">
      <c r="A101" s="1202"/>
      <c r="B101" s="524" t="s">
        <v>1013</v>
      </c>
      <c r="C101" s="525"/>
      <c r="D101" s="1212">
        <v>0.69</v>
      </c>
      <c r="E101" s="525">
        <f>D101*(1+'Financial Inputs'!$D$9)</f>
        <v>0.74519999999999997</v>
      </c>
      <c r="F101" s="525">
        <f>E101*(1+'Financial Inputs'!$D$9)</f>
        <v>0.80481599999999998</v>
      </c>
      <c r="G101" s="525">
        <f>F101*(1+'Financial Inputs'!$D$9)</f>
        <v>0.86920128000000008</v>
      </c>
      <c r="H101" s="525">
        <f>G101*(1+'Financial Inputs'!$D$9)</f>
        <v>0.93873738240000015</v>
      </c>
      <c r="I101" s="525">
        <f>H101*(1+'Financial Inputs'!$D$9)</f>
        <v>1.0138363729920001</v>
      </c>
      <c r="J101" s="525">
        <f>I101*(1+'Financial Inputs'!$D$9)</f>
        <v>1.0949432828313601</v>
      </c>
      <c r="K101" s="525">
        <f>J101*(1+'Financial Inputs'!$D$9)</f>
        <v>1.1825387454578691</v>
      </c>
      <c r="L101" s="525">
        <f>K101*(1+'Financial Inputs'!$D$9)</f>
        <v>1.2771418450944987</v>
      </c>
      <c r="M101" s="525">
        <f>L101*(1+'Financial Inputs'!$D$9)</f>
        <v>1.3793131927020588</v>
      </c>
      <c r="N101" s="525">
        <f>M101*(1+'Financial Inputs'!$D$9)</f>
        <v>1.4896582481182237</v>
      </c>
      <c r="O101" s="525">
        <f>N101*(1+'Financial Inputs'!$D$9)</f>
        <v>1.6088309079676817</v>
      </c>
      <c r="P101" s="525">
        <f>O101*(1+'Financial Inputs'!$D$9)</f>
        <v>1.7375373806050964</v>
      </c>
      <c r="Q101" s="525">
        <f>P101*(1+'Financial Inputs'!$D$9)</f>
        <v>1.8765403710535042</v>
      </c>
      <c r="R101" s="525">
        <f>Q101*(1+'Financial Inputs'!$D$9)</f>
        <v>2.0266636007377845</v>
      </c>
      <c r="S101" s="525">
        <f>R101*(1+'Financial Inputs'!$D$9)</f>
        <v>2.1887966887968076</v>
      </c>
      <c r="T101" s="525">
        <f>S101*(1+'Financial Inputs'!$D$9)</f>
        <v>2.3639004239005521</v>
      </c>
      <c r="U101" s="525">
        <f>T101*(1+'Financial Inputs'!$D$9)</f>
        <v>2.5530124578125966</v>
      </c>
      <c r="V101" s="525">
        <f>U101*(1+'Financial Inputs'!$D$9)</f>
        <v>2.7572534544376044</v>
      </c>
      <c r="W101" s="525">
        <f>V101*(1+'Financial Inputs'!$D$9)</f>
        <v>2.977833730792613</v>
      </c>
      <c r="X101" s="525">
        <f>W101</f>
        <v>2.977833730792613</v>
      </c>
      <c r="Y101" s="1204"/>
      <c r="Z101" s="39"/>
    </row>
    <row r="102" spans="1:75" hidden="1">
      <c r="A102" s="1202"/>
      <c r="B102" s="524" t="s">
        <v>706</v>
      </c>
      <c r="C102" s="525"/>
      <c r="D102" s="525">
        <f>D92</f>
        <v>2.6492952499999998</v>
      </c>
      <c r="E102" s="525">
        <f t="shared" ref="E102:W102" si="40">E92</f>
        <v>2.8612388699999998</v>
      </c>
      <c r="F102" s="525">
        <f t="shared" si="40"/>
        <v>3.0901379796000001</v>
      </c>
      <c r="G102" s="525">
        <f t="shared" si="40"/>
        <v>3.3373490179680005</v>
      </c>
      <c r="H102" s="525">
        <f t="shared" si="40"/>
        <v>3.604336939405441</v>
      </c>
      <c r="I102" s="525">
        <f t="shared" si="40"/>
        <v>3.8926838945578766</v>
      </c>
      <c r="J102" s="525">
        <f t="shared" si="40"/>
        <v>4.204098606122507</v>
      </c>
      <c r="K102" s="525">
        <f t="shared" si="40"/>
        <v>4.5404264946123076</v>
      </c>
      <c r="L102" s="525">
        <f t="shared" si="40"/>
        <v>4.9036606141812928</v>
      </c>
      <c r="M102" s="525">
        <f t="shared" si="40"/>
        <v>5.2959534633157963</v>
      </c>
      <c r="N102" s="525">
        <f t="shared" si="40"/>
        <v>5.7196297403810608</v>
      </c>
      <c r="O102" s="525">
        <f t="shared" si="40"/>
        <v>6.1772001196115456</v>
      </c>
      <c r="P102" s="525">
        <f t="shared" si="40"/>
        <v>6.6713761291804694</v>
      </c>
      <c r="Q102" s="525">
        <f t="shared" si="40"/>
        <v>7.2050862195149072</v>
      </c>
      <c r="R102" s="525">
        <f t="shared" si="40"/>
        <v>7.7814931170761001</v>
      </c>
      <c r="S102" s="525">
        <f t="shared" si="40"/>
        <v>8.404012566442189</v>
      </c>
      <c r="T102" s="525">
        <f t="shared" si="40"/>
        <v>9.0763335717575639</v>
      </c>
      <c r="U102" s="525">
        <f t="shared" si="40"/>
        <v>9.8024402574981693</v>
      </c>
      <c r="V102" s="525">
        <f t="shared" si="40"/>
        <v>10.586635478098023</v>
      </c>
      <c r="W102" s="525">
        <f t="shared" si="40"/>
        <v>11.433566316345866</v>
      </c>
      <c r="X102" s="525">
        <f t="shared" ref="X102:X103" si="41">W102</f>
        <v>11.433566316345866</v>
      </c>
      <c r="Y102" s="1204"/>
      <c r="Z102" s="39"/>
    </row>
    <row r="103" spans="1:75" hidden="1">
      <c r="A103" s="1202"/>
      <c r="B103" s="524" t="s">
        <v>1011</v>
      </c>
      <c r="C103" s="525"/>
      <c r="D103" s="525">
        <f>'Design Inputs'!$D$60</f>
        <v>0.78</v>
      </c>
      <c r="E103" s="525">
        <f>D103*(1+'Financial Inputs'!$D$9)</f>
        <v>0.84240000000000004</v>
      </c>
      <c r="F103" s="525">
        <f>E103*(1+'Financial Inputs'!$D$9)</f>
        <v>0.90979200000000005</v>
      </c>
      <c r="G103" s="525">
        <f>F103*(1+'Financial Inputs'!$D$9)</f>
        <v>0.98257536000000012</v>
      </c>
      <c r="H103" s="525">
        <f>G103*(1+'Financial Inputs'!$D$9)</f>
        <v>1.0611813888000001</v>
      </c>
      <c r="I103" s="525">
        <f>H103*(1+'Financial Inputs'!$D$9)</f>
        <v>1.1460758999040002</v>
      </c>
      <c r="J103" s="525">
        <f>I103*(1+'Financial Inputs'!$D$9)</f>
        <v>1.2377619718963202</v>
      </c>
      <c r="K103" s="525">
        <f>J103*(1+'Financial Inputs'!$D$9)</f>
        <v>1.3367829296480258</v>
      </c>
      <c r="L103" s="525">
        <f>K103*(1+'Financial Inputs'!$D$9)</f>
        <v>1.4437255640198681</v>
      </c>
      <c r="M103" s="525">
        <f>L103*(1+'Financial Inputs'!$D$9)</f>
        <v>1.5592236091414575</v>
      </c>
      <c r="N103" s="525">
        <f>M103*(1+'Financial Inputs'!$D$9)</f>
        <v>1.6839614978727742</v>
      </c>
      <c r="O103" s="525">
        <f>N103*(1+'Financial Inputs'!$D$9)</f>
        <v>1.8186784177025963</v>
      </c>
      <c r="P103" s="525">
        <f>O103*(1+'Financial Inputs'!$D$9)</f>
        <v>1.9641726911188042</v>
      </c>
      <c r="Q103" s="525">
        <f>P103*(1+'Financial Inputs'!$D$9)</f>
        <v>2.1213065064083088</v>
      </c>
      <c r="R103" s="525">
        <f>Q103*(1+'Financial Inputs'!$D$9)</f>
        <v>2.2910110269209736</v>
      </c>
      <c r="S103" s="525">
        <f>R103*(1+'Financial Inputs'!$D$9)</f>
        <v>2.4742919090746516</v>
      </c>
      <c r="T103" s="525">
        <f>S103*(1+'Financial Inputs'!$D$9)</f>
        <v>2.672235261800624</v>
      </c>
      <c r="U103" s="525">
        <f>T103*(1+'Financial Inputs'!$D$9)</f>
        <v>2.8860140827446741</v>
      </c>
      <c r="V103" s="525">
        <f>U103*(1+'Financial Inputs'!$D$9)</f>
        <v>3.1168952093642481</v>
      </c>
      <c r="W103" s="525">
        <f>V103*(1+'Financial Inputs'!$D$9)</f>
        <v>3.3662468261133882</v>
      </c>
      <c r="X103" s="525">
        <f t="shared" si="41"/>
        <v>3.3662468261133882</v>
      </c>
      <c r="Y103" s="1204"/>
      <c r="Z103" s="39"/>
    </row>
    <row r="104" spans="1:75">
      <c r="A104" s="1202"/>
      <c r="B104" s="1205"/>
      <c r="C104" s="1213"/>
      <c r="D104" s="1203"/>
      <c r="E104" s="1203"/>
      <c r="F104" s="1203"/>
      <c r="G104" s="1203"/>
      <c r="H104" s="1203"/>
      <c r="I104" s="1203"/>
      <c r="J104" s="1203"/>
      <c r="K104" s="1203"/>
      <c r="L104" s="1203"/>
      <c r="M104" s="1203"/>
      <c r="N104" s="1203"/>
      <c r="O104" s="1203"/>
      <c r="P104" s="1203"/>
      <c r="Q104" s="1203"/>
      <c r="R104" s="1203"/>
      <c r="S104" s="1203"/>
      <c r="T104" s="1203"/>
      <c r="U104" s="1203"/>
      <c r="V104" s="1203"/>
      <c r="W104" s="1203"/>
      <c r="X104" s="1203"/>
      <c r="Y104" s="1204"/>
      <c r="Z104" s="39"/>
    </row>
    <row r="105" spans="1:75" ht="16">
      <c r="A105" s="1202"/>
      <c r="B105" s="1214" t="s">
        <v>985</v>
      </c>
      <c r="C105" s="1376" t="str">
        <f>'Fedgroup Model'!G47</f>
        <v>FAIL</v>
      </c>
      <c r="D105" s="1214"/>
      <c r="E105" s="1214"/>
      <c r="F105" s="1214"/>
      <c r="G105" s="1214"/>
      <c r="H105" s="1214"/>
      <c r="I105" s="1214"/>
      <c r="J105" s="1214"/>
      <c r="K105" s="1214"/>
      <c r="L105" s="1214"/>
      <c r="M105" s="1214"/>
      <c r="N105" s="1214"/>
      <c r="O105" s="1214"/>
      <c r="P105" s="1214"/>
      <c r="Q105" s="1214"/>
      <c r="R105" s="1214"/>
      <c r="S105" s="1214"/>
      <c r="T105" s="1214"/>
      <c r="U105" s="1214"/>
      <c r="V105" s="1214"/>
      <c r="W105" s="1214"/>
      <c r="X105" s="1214"/>
      <c r="Y105" s="1204"/>
      <c r="Z105" s="39"/>
    </row>
    <row r="106" spans="1:75">
      <c r="A106" s="1202"/>
      <c r="B106" s="1214" t="s">
        <v>993</v>
      </c>
      <c r="C106" s="1215">
        <f>G81</f>
        <v>0.64964524253277045</v>
      </c>
      <c r="D106" s="1214"/>
      <c r="E106" s="1214"/>
      <c r="F106" s="1214"/>
      <c r="G106" s="1214"/>
      <c r="H106" s="1214"/>
      <c r="I106" s="1214"/>
      <c r="J106" s="1214"/>
      <c r="K106" s="1214"/>
      <c r="L106" s="1214"/>
      <c r="M106" s="1214"/>
      <c r="N106" s="1214"/>
      <c r="O106" s="1214"/>
      <c r="P106" s="1214"/>
      <c r="Q106" s="1214"/>
      <c r="R106" s="1214"/>
      <c r="S106" s="1214"/>
      <c r="T106" s="1214"/>
      <c r="U106" s="1214"/>
      <c r="V106" s="1214"/>
      <c r="W106" s="1214"/>
      <c r="X106" s="1214"/>
      <c r="Y106" s="1204"/>
      <c r="Z106" s="39"/>
    </row>
    <row r="107" spans="1:75">
      <c r="A107" s="1202"/>
      <c r="B107" s="1214" t="s">
        <v>1001</v>
      </c>
      <c r="C107" s="1216" t="str">
        <f>'Design Inputs'!F54</f>
        <v>No</v>
      </c>
      <c r="D107" s="1214"/>
      <c r="E107" s="1214"/>
      <c r="F107" s="1214"/>
      <c r="G107" s="1214"/>
      <c r="H107" s="1214"/>
      <c r="I107" s="1214"/>
      <c r="J107" s="1214"/>
      <c r="K107" s="1214"/>
      <c r="L107" s="1214"/>
      <c r="M107" s="1214"/>
      <c r="N107" s="1214"/>
      <c r="O107" s="1214"/>
      <c r="P107" s="1214"/>
      <c r="Q107" s="1214"/>
      <c r="R107" s="1214"/>
      <c r="S107" s="1214"/>
      <c r="T107" s="1214"/>
      <c r="U107" s="1214"/>
      <c r="V107" s="1214"/>
      <c r="W107" s="1214"/>
      <c r="X107" s="1214"/>
      <c r="Y107" s="1204"/>
      <c r="Z107" s="39"/>
    </row>
    <row r="108" spans="1:75">
      <c r="A108" s="1202"/>
      <c r="B108" s="1214" t="s">
        <v>1002</v>
      </c>
      <c r="C108" s="1217">
        <f>'4.3 Emergent Data'!G29</f>
        <v>4.1095890410958902E-2</v>
      </c>
      <c r="D108" s="1214"/>
      <c r="E108" s="1214"/>
      <c r="F108" s="1214"/>
      <c r="G108" s="1214"/>
      <c r="H108" s="1214"/>
      <c r="I108" s="1214"/>
      <c r="J108" s="1214"/>
      <c r="K108" s="1214"/>
      <c r="L108" s="1214"/>
      <c r="M108" s="1214"/>
      <c r="N108" s="1214"/>
      <c r="O108" s="1214"/>
      <c r="P108" s="1214"/>
      <c r="Q108" s="1214"/>
      <c r="R108" s="1214"/>
      <c r="S108" s="1214"/>
      <c r="T108" s="1214"/>
      <c r="U108" s="1214"/>
      <c r="V108" s="1214"/>
      <c r="W108" s="1214"/>
      <c r="X108" s="1214"/>
      <c r="Y108" s="1204"/>
      <c r="Z108" s="39"/>
    </row>
    <row r="109" spans="1:75" s="40" customFormat="1">
      <c r="A109" s="85"/>
      <c r="Y109" s="86"/>
      <c r="Z109" s="59"/>
    </row>
    <row r="110" spans="1:75" s="40" customFormat="1">
      <c r="A110" s="85"/>
      <c r="Y110" s="86"/>
      <c r="Z110" s="59"/>
    </row>
    <row r="111" spans="1:75" s="40" customFormat="1">
      <c r="A111" s="85"/>
      <c r="Y111" s="86"/>
      <c r="Z111" s="59"/>
    </row>
    <row r="112" spans="1:75" s="40" customFormat="1">
      <c r="A112" s="85"/>
      <c r="Y112" s="86"/>
      <c r="Z112" s="59"/>
    </row>
    <row r="113" spans="1:26" s="40" customFormat="1">
      <c r="A113" s="85"/>
      <c r="Y113" s="86"/>
      <c r="Z113" s="59"/>
    </row>
    <row r="114" spans="1:26" s="40" customFormat="1">
      <c r="A114" s="85"/>
      <c r="Y114" s="86"/>
      <c r="Z114" s="59"/>
    </row>
    <row r="115" spans="1:26" s="40" customFormat="1">
      <c r="A115" s="85"/>
      <c r="Y115" s="86"/>
      <c r="Z115" s="59"/>
    </row>
    <row r="116" spans="1:26" s="40" customFormat="1">
      <c r="A116" s="85"/>
      <c r="Y116" s="86"/>
      <c r="Z116" s="59"/>
    </row>
    <row r="117" spans="1:26" s="40" customFormat="1">
      <c r="A117" s="85"/>
      <c r="Y117" s="86"/>
      <c r="Z117" s="59"/>
    </row>
    <row r="118" spans="1:26" s="40" customFormat="1">
      <c r="A118" s="85"/>
      <c r="Y118" s="86"/>
      <c r="Z118" s="59"/>
    </row>
    <row r="119" spans="1:26" s="40" customFormat="1">
      <c r="A119" s="85"/>
      <c r="Y119" s="86"/>
      <c r="Z119" s="59"/>
    </row>
    <row r="120" spans="1:26" s="40" customFormat="1">
      <c r="A120" s="85"/>
      <c r="Y120" s="86"/>
      <c r="Z120" s="59"/>
    </row>
    <row r="121" spans="1:26" s="40" customFormat="1">
      <c r="A121" s="85"/>
      <c r="Y121" s="86"/>
      <c r="Z121" s="59"/>
    </row>
    <row r="122" spans="1:26" s="40" customFormat="1">
      <c r="A122" s="85"/>
      <c r="Y122" s="86"/>
      <c r="Z122" s="59"/>
    </row>
    <row r="123" spans="1:26" s="40" customFormat="1">
      <c r="A123" s="85"/>
      <c r="Y123" s="86"/>
      <c r="Z123" s="59"/>
    </row>
    <row r="124" spans="1:26" s="40" customFormat="1">
      <c r="A124" s="85"/>
      <c r="Y124" s="86"/>
      <c r="Z124" s="59"/>
    </row>
    <row r="125" spans="1:26" s="40" customFormat="1">
      <c r="A125" s="85"/>
      <c r="Y125" s="86"/>
      <c r="Z125" s="59"/>
    </row>
    <row r="126" spans="1:26" s="40" customFormat="1">
      <c r="A126" s="85"/>
      <c r="Y126" s="86"/>
      <c r="Z126" s="59"/>
    </row>
    <row r="127" spans="1:26" s="40" customFormat="1">
      <c r="A127" s="85"/>
      <c r="Y127" s="86"/>
      <c r="Z127" s="59"/>
    </row>
    <row r="128" spans="1:26" s="40" customFormat="1">
      <c r="A128" s="85"/>
      <c r="Y128" s="86"/>
      <c r="Z128" s="59"/>
    </row>
    <row r="129" spans="1:26" s="40" customFormat="1">
      <c r="A129" s="85"/>
      <c r="Y129" s="86"/>
      <c r="Z129" s="59"/>
    </row>
    <row r="130" spans="1:26" s="40" customFormat="1">
      <c r="A130" s="85"/>
      <c r="Y130" s="86"/>
      <c r="Z130" s="59"/>
    </row>
    <row r="131" spans="1:26" s="40" customFormat="1">
      <c r="A131" s="85"/>
      <c r="Y131" s="86"/>
      <c r="Z131" s="59"/>
    </row>
    <row r="132" spans="1:26" s="40" customFormat="1">
      <c r="A132" s="85"/>
      <c r="Y132" s="86"/>
      <c r="Z132" s="59"/>
    </row>
    <row r="133" spans="1:26" s="40" customFormat="1">
      <c r="A133" s="85"/>
      <c r="Y133" s="86"/>
      <c r="Z133" s="59"/>
    </row>
    <row r="134" spans="1:26" s="40" customFormat="1">
      <c r="A134" s="85"/>
      <c r="Y134" s="86"/>
      <c r="Z134" s="59"/>
    </row>
    <row r="135" spans="1:26" s="40" customFormat="1">
      <c r="A135" s="85"/>
      <c r="Y135" s="86"/>
      <c r="Z135" s="59"/>
    </row>
    <row r="136" spans="1:26" s="40" customFormat="1">
      <c r="A136" s="85"/>
      <c r="Y136" s="86"/>
      <c r="Z136" s="59"/>
    </row>
    <row r="137" spans="1:26" s="40" customFormat="1">
      <c r="A137" s="85"/>
      <c r="Y137" s="86"/>
      <c r="Z137" s="59"/>
    </row>
    <row r="138" spans="1:26" s="40" customFormat="1">
      <c r="A138" s="85"/>
      <c r="Y138" s="86"/>
      <c r="Z138" s="59"/>
    </row>
    <row r="139" spans="1:26" s="40" customFormat="1">
      <c r="A139" s="85"/>
      <c r="Y139" s="86"/>
      <c r="Z139" s="59"/>
    </row>
    <row r="140" spans="1:26" s="40" customFormat="1">
      <c r="A140" s="85"/>
      <c r="Y140" s="86"/>
      <c r="Z140" s="59"/>
    </row>
    <row r="141" spans="1:26" s="40" customFormat="1">
      <c r="A141" s="85"/>
      <c r="Y141" s="86"/>
      <c r="Z141" s="59"/>
    </row>
    <row r="142" spans="1:26" s="40" customFormat="1">
      <c r="A142" s="85"/>
      <c r="Y142" s="86"/>
      <c r="Z142" s="59"/>
    </row>
    <row r="143" spans="1:26" s="40" customFormat="1">
      <c r="A143" s="85"/>
      <c r="Y143" s="86"/>
      <c r="Z143" s="59"/>
    </row>
    <row r="144" spans="1:26" s="40" customFormat="1">
      <c r="A144" s="85"/>
      <c r="Y144" s="86"/>
      <c r="Z144" s="59"/>
    </row>
    <row r="145" spans="1:26" s="40" customFormat="1">
      <c r="A145" s="85"/>
      <c r="Y145" s="86"/>
      <c r="Z145" s="59"/>
    </row>
    <row r="146" spans="1:26" s="40" customFormat="1">
      <c r="A146" s="85"/>
      <c r="Y146" s="86"/>
      <c r="Z146" s="59"/>
    </row>
    <row r="147" spans="1:26" s="40" customFormat="1">
      <c r="A147" s="85"/>
      <c r="Y147" s="86"/>
      <c r="Z147" s="59"/>
    </row>
    <row r="148" spans="1:26" s="40" customFormat="1">
      <c r="A148" s="85"/>
      <c r="Y148" s="86"/>
      <c r="Z148" s="59"/>
    </row>
    <row r="149" spans="1:26" s="40" customFormat="1">
      <c r="A149" s="85"/>
      <c r="Y149" s="86"/>
      <c r="Z149" s="59"/>
    </row>
    <row r="150" spans="1:26" s="40" customFormat="1">
      <c r="A150" s="85"/>
      <c r="Y150" s="86"/>
      <c r="Z150" s="59"/>
    </row>
    <row r="151" spans="1:26" s="40" customFormat="1">
      <c r="A151" s="85"/>
      <c r="Y151" s="86"/>
      <c r="Z151" s="59"/>
    </row>
    <row r="152" spans="1:26" s="40" customFormat="1">
      <c r="A152" s="85"/>
      <c r="Y152" s="86"/>
      <c r="Z152" s="59"/>
    </row>
    <row r="153" spans="1:26" s="40" customFormat="1">
      <c r="A153" s="85"/>
      <c r="Y153" s="86"/>
      <c r="Z153" s="59"/>
    </row>
    <row r="154" spans="1:26" s="40" customFormat="1">
      <c r="A154" s="85"/>
      <c r="Y154" s="86"/>
      <c r="Z154" s="59"/>
    </row>
    <row r="155" spans="1:26" s="40" customFormat="1">
      <c r="A155" s="85"/>
      <c r="Y155" s="86"/>
      <c r="Z155" s="59"/>
    </row>
    <row r="156" spans="1:26" s="40" customFormat="1">
      <c r="A156" s="85"/>
      <c r="Y156" s="86"/>
      <c r="Z156" s="59"/>
    </row>
    <row r="157" spans="1:26" s="40" customFormat="1">
      <c r="A157" s="85"/>
      <c r="Y157" s="86"/>
      <c r="Z157" s="59"/>
    </row>
    <row r="158" spans="1:26" s="40" customFormat="1">
      <c r="A158" s="85"/>
      <c r="Y158" s="86"/>
      <c r="Z158" s="59"/>
    </row>
    <row r="159" spans="1:26" s="40" customFormat="1">
      <c r="A159" s="85"/>
      <c r="Y159" s="86"/>
      <c r="Z159" s="59"/>
    </row>
    <row r="160" spans="1:26" s="40" customFormat="1">
      <c r="A160" s="85"/>
      <c r="Y160" s="86"/>
      <c r="Z160" s="59"/>
    </row>
    <row r="161" spans="1:26" s="40" customFormat="1">
      <c r="A161" s="85"/>
      <c r="Y161" s="86"/>
      <c r="Z161" s="59"/>
    </row>
    <row r="162" spans="1:26" s="40" customFormat="1">
      <c r="A162" s="85"/>
      <c r="Y162" s="86"/>
      <c r="Z162" s="59"/>
    </row>
    <row r="163" spans="1:26" s="40" customFormat="1">
      <c r="A163" s="85"/>
      <c r="Y163" s="86"/>
      <c r="Z163" s="59"/>
    </row>
    <row r="164" spans="1:26" s="40" customFormat="1">
      <c r="A164" s="85"/>
      <c r="Y164" s="86"/>
      <c r="Z164" s="59"/>
    </row>
    <row r="165" spans="1:26" s="40" customFormat="1">
      <c r="A165" s="85"/>
      <c r="Y165" s="86"/>
      <c r="Z165" s="59"/>
    </row>
    <row r="166" spans="1:26" s="40" customFormat="1">
      <c r="A166" s="85"/>
      <c r="Y166" s="86"/>
      <c r="Z166" s="59"/>
    </row>
    <row r="167" spans="1:26" s="40" customFormat="1">
      <c r="A167" s="85"/>
      <c r="Y167" s="86"/>
      <c r="Z167" s="59"/>
    </row>
    <row r="168" spans="1:26" s="40" customFormat="1">
      <c r="A168" s="85"/>
      <c r="Y168" s="86"/>
      <c r="Z168" s="59"/>
    </row>
    <row r="169" spans="1:26" s="40" customFormat="1">
      <c r="A169" s="85"/>
      <c r="Y169" s="86"/>
      <c r="Z169" s="59"/>
    </row>
    <row r="170" spans="1:26" s="40" customFormat="1">
      <c r="A170" s="85"/>
      <c r="Y170" s="86"/>
      <c r="Z170" s="59"/>
    </row>
    <row r="171" spans="1:26" s="40" customFormat="1">
      <c r="A171" s="85"/>
      <c r="Y171" s="86"/>
      <c r="Z171" s="59"/>
    </row>
    <row r="172" spans="1:26" s="40" customFormat="1">
      <c r="A172" s="85"/>
      <c r="Y172" s="86"/>
      <c r="Z172" s="59"/>
    </row>
    <row r="173" spans="1:26" s="40" customFormat="1">
      <c r="A173" s="85"/>
      <c r="Y173" s="86"/>
      <c r="Z173" s="59"/>
    </row>
    <row r="174" spans="1:26" s="40" customFormat="1">
      <c r="A174" s="85"/>
      <c r="Y174" s="86"/>
      <c r="Z174" s="59"/>
    </row>
    <row r="175" spans="1:26" s="40" customFormat="1">
      <c r="A175" s="85"/>
      <c r="Y175" s="86"/>
      <c r="Z175" s="59"/>
    </row>
    <row r="176" spans="1:26" s="40" customFormat="1">
      <c r="A176" s="85"/>
      <c r="Y176" s="86"/>
      <c r="Z176" s="59"/>
    </row>
    <row r="177" spans="1:26" s="40" customFormat="1">
      <c r="A177" s="85"/>
      <c r="Y177" s="86"/>
      <c r="Z177" s="59"/>
    </row>
    <row r="178" spans="1:26" s="40" customFormat="1">
      <c r="A178" s="85"/>
      <c r="Y178" s="86"/>
      <c r="Z178" s="59"/>
    </row>
    <row r="179" spans="1:26" s="40" customFormat="1">
      <c r="A179" s="85"/>
      <c r="Y179" s="86"/>
      <c r="Z179" s="59"/>
    </row>
    <row r="180" spans="1:26" s="40" customFormat="1">
      <c r="A180" s="85"/>
      <c r="Y180" s="86"/>
      <c r="Z180" s="59"/>
    </row>
    <row r="181" spans="1:26" s="40" customFormat="1">
      <c r="A181" s="85"/>
      <c r="Y181" s="86"/>
      <c r="Z181" s="59"/>
    </row>
    <row r="182" spans="1:26" s="40" customFormat="1">
      <c r="A182" s="85"/>
      <c r="Y182" s="86"/>
      <c r="Z182" s="59"/>
    </row>
    <row r="183" spans="1:26" s="40" customFormat="1">
      <c r="A183" s="85"/>
      <c r="Y183" s="86"/>
      <c r="Z183" s="59"/>
    </row>
    <row r="184" spans="1:26" s="40" customFormat="1">
      <c r="A184" s="85"/>
      <c r="Y184" s="86"/>
      <c r="Z184" s="59"/>
    </row>
    <row r="185" spans="1:26" s="40" customFormat="1">
      <c r="A185" s="85"/>
      <c r="Y185" s="86"/>
      <c r="Z185" s="59"/>
    </row>
    <row r="186" spans="1:26" s="40" customFormat="1">
      <c r="A186" s="85"/>
      <c r="Y186" s="86"/>
      <c r="Z186" s="59"/>
    </row>
    <row r="187" spans="1:26" s="40" customFormat="1">
      <c r="A187" s="85"/>
      <c r="Y187" s="86"/>
      <c r="Z187" s="59"/>
    </row>
    <row r="188" spans="1:26" s="40" customFormat="1">
      <c r="A188" s="85"/>
      <c r="Y188" s="86"/>
      <c r="Z188" s="59"/>
    </row>
    <row r="189" spans="1:26" s="40" customFormat="1">
      <c r="A189" s="85"/>
      <c r="Y189" s="86"/>
      <c r="Z189" s="59"/>
    </row>
    <row r="190" spans="1:26" s="40" customFormat="1">
      <c r="A190" s="85"/>
      <c r="Y190" s="86"/>
      <c r="Z190" s="59"/>
    </row>
    <row r="191" spans="1:26" s="40" customFormat="1">
      <c r="A191" s="85"/>
      <c r="Y191" s="86"/>
      <c r="Z191" s="59"/>
    </row>
    <row r="192" spans="1:26" s="40" customFormat="1">
      <c r="A192" s="85"/>
      <c r="Y192" s="86"/>
      <c r="Z192" s="59"/>
    </row>
    <row r="193" spans="1:26" s="40" customFormat="1">
      <c r="A193" s="85"/>
      <c r="Y193" s="86"/>
      <c r="Z193" s="59"/>
    </row>
    <row r="194" spans="1:26" s="40" customFormat="1">
      <c r="A194" s="85"/>
      <c r="Y194" s="86"/>
      <c r="Z194" s="59"/>
    </row>
    <row r="195" spans="1:26" s="40" customFormat="1">
      <c r="A195" s="85"/>
      <c r="Y195" s="86"/>
      <c r="Z195" s="59"/>
    </row>
    <row r="196" spans="1:26" s="40" customFormat="1">
      <c r="A196" s="85"/>
      <c r="Y196" s="86"/>
      <c r="Z196" s="59"/>
    </row>
    <row r="197" spans="1:26" s="40" customFormat="1">
      <c r="A197" s="85"/>
      <c r="Y197" s="86"/>
      <c r="Z197" s="59"/>
    </row>
    <row r="198" spans="1:26" s="40" customFormat="1">
      <c r="A198" s="85"/>
      <c r="Y198" s="86"/>
      <c r="Z198" s="59"/>
    </row>
    <row r="199" spans="1:26" s="40" customFormat="1">
      <c r="A199" s="85"/>
      <c r="Y199" s="86"/>
      <c r="Z199" s="59"/>
    </row>
    <row r="200" spans="1:26" s="40" customFormat="1">
      <c r="A200" s="85"/>
      <c r="Y200" s="86"/>
      <c r="Z200" s="59"/>
    </row>
    <row r="201" spans="1:26" s="40" customFormat="1">
      <c r="A201" s="85"/>
      <c r="Y201" s="86"/>
      <c r="Z201" s="59"/>
    </row>
    <row r="202" spans="1:26" s="40" customFormat="1">
      <c r="A202" s="85"/>
      <c r="Y202" s="86"/>
      <c r="Z202" s="59"/>
    </row>
    <row r="203" spans="1:26" s="40" customFormat="1">
      <c r="A203" s="85"/>
      <c r="Y203" s="86"/>
      <c r="Z203" s="59"/>
    </row>
    <row r="204" spans="1:26" s="40" customFormat="1">
      <c r="A204" s="85"/>
      <c r="Y204" s="86"/>
      <c r="Z204" s="59"/>
    </row>
    <row r="205" spans="1:26" s="40" customFormat="1">
      <c r="A205" s="85"/>
      <c r="Y205" s="86"/>
      <c r="Z205" s="59"/>
    </row>
    <row r="206" spans="1:26" s="40" customFormat="1">
      <c r="A206" s="85"/>
      <c r="Y206" s="86"/>
      <c r="Z206" s="59"/>
    </row>
    <row r="207" spans="1:26" s="40" customFormat="1">
      <c r="A207" s="85"/>
      <c r="Y207" s="86"/>
      <c r="Z207" s="59"/>
    </row>
    <row r="208" spans="1:26" s="40" customFormat="1">
      <c r="A208" s="85"/>
      <c r="Y208" s="86"/>
      <c r="Z208" s="59"/>
    </row>
    <row r="209" spans="1:26" s="40" customFormat="1">
      <c r="A209" s="85"/>
      <c r="Y209" s="86"/>
      <c r="Z209" s="59"/>
    </row>
    <row r="210" spans="1:26" s="40" customFormat="1">
      <c r="A210" s="85"/>
      <c r="Y210" s="86"/>
      <c r="Z210" s="59"/>
    </row>
    <row r="211" spans="1:26" s="40" customFormat="1">
      <c r="A211" s="85"/>
      <c r="Y211" s="86"/>
      <c r="Z211" s="59"/>
    </row>
    <row r="212" spans="1:26" s="40" customFormat="1">
      <c r="A212" s="85"/>
      <c r="Y212" s="86"/>
      <c r="Z212" s="59"/>
    </row>
    <row r="213" spans="1:26" s="40" customFormat="1">
      <c r="A213" s="85"/>
      <c r="Y213" s="86"/>
      <c r="Z213" s="59"/>
    </row>
    <row r="214" spans="1:26" s="40" customFormat="1">
      <c r="A214" s="85"/>
      <c r="Y214" s="86"/>
      <c r="Z214" s="59"/>
    </row>
    <row r="215" spans="1:26" s="40" customFormat="1">
      <c r="A215" s="85"/>
      <c r="Y215" s="86"/>
      <c r="Z215" s="59"/>
    </row>
    <row r="216" spans="1:26" s="40" customFormat="1">
      <c r="A216" s="85"/>
      <c r="Y216" s="86"/>
      <c r="Z216" s="59"/>
    </row>
    <row r="217" spans="1:26" s="40" customFormat="1">
      <c r="A217" s="85"/>
      <c r="Y217" s="86"/>
      <c r="Z217" s="59"/>
    </row>
    <row r="218" spans="1:26" s="40" customFormat="1">
      <c r="A218" s="85"/>
      <c r="Y218" s="86"/>
      <c r="Z218" s="59"/>
    </row>
    <row r="219" spans="1:26" s="40" customFormat="1">
      <c r="A219" s="85"/>
      <c r="Y219" s="86"/>
      <c r="Z219" s="59"/>
    </row>
    <row r="220" spans="1:26" s="40" customFormat="1">
      <c r="A220" s="85"/>
      <c r="Y220" s="86"/>
      <c r="Z220" s="59"/>
    </row>
    <row r="221" spans="1:26" s="40" customFormat="1">
      <c r="A221" s="85"/>
      <c r="Y221" s="86"/>
      <c r="Z221" s="59"/>
    </row>
    <row r="222" spans="1:26" s="40" customFormat="1">
      <c r="A222" s="85"/>
      <c r="Y222" s="86"/>
      <c r="Z222" s="59"/>
    </row>
    <row r="223" spans="1:26" s="40" customFormat="1">
      <c r="A223" s="85"/>
      <c r="Y223" s="86"/>
      <c r="Z223" s="59"/>
    </row>
    <row r="224" spans="1:26" s="40" customFormat="1">
      <c r="A224" s="85"/>
      <c r="Y224" s="86"/>
      <c r="Z224" s="59"/>
    </row>
    <row r="225" spans="1:26" s="40" customFormat="1">
      <c r="A225" s="85"/>
      <c r="Y225" s="86"/>
      <c r="Z225" s="59"/>
    </row>
    <row r="226" spans="1:26" s="40" customFormat="1">
      <c r="A226" s="85"/>
      <c r="Y226" s="86"/>
      <c r="Z226" s="59"/>
    </row>
    <row r="227" spans="1:26" s="40" customFormat="1">
      <c r="A227" s="85"/>
      <c r="Y227" s="86"/>
      <c r="Z227" s="59"/>
    </row>
    <row r="228" spans="1:26" s="40" customFormat="1">
      <c r="A228" s="85"/>
      <c r="Y228" s="86"/>
      <c r="Z228" s="59"/>
    </row>
    <row r="229" spans="1:26" s="40" customFormat="1">
      <c r="A229" s="85"/>
      <c r="Y229" s="86"/>
      <c r="Z229" s="59"/>
    </row>
    <row r="230" spans="1:26" s="40" customFormat="1">
      <c r="A230" s="85"/>
      <c r="Y230" s="86"/>
      <c r="Z230" s="59"/>
    </row>
    <row r="231" spans="1:26" s="40" customFormat="1">
      <c r="A231" s="85"/>
      <c r="Y231" s="86"/>
      <c r="Z231" s="59"/>
    </row>
    <row r="232" spans="1:26" s="40" customFormat="1">
      <c r="A232" s="85"/>
      <c r="Y232" s="86"/>
      <c r="Z232" s="59"/>
    </row>
    <row r="233" spans="1:26" s="40" customFormat="1">
      <c r="A233" s="85"/>
      <c r="Y233" s="86"/>
      <c r="Z233" s="59"/>
    </row>
    <row r="234" spans="1:26" s="40" customFormat="1">
      <c r="A234" s="85"/>
      <c r="Y234" s="86"/>
      <c r="Z234" s="59"/>
    </row>
    <row r="235" spans="1:26" s="40" customFormat="1">
      <c r="A235" s="85"/>
      <c r="Y235" s="86"/>
      <c r="Z235" s="59"/>
    </row>
    <row r="236" spans="1:26" s="40" customFormat="1">
      <c r="A236" s="85"/>
      <c r="Y236" s="86"/>
      <c r="Z236" s="59"/>
    </row>
    <row r="237" spans="1:26" s="40" customFormat="1">
      <c r="A237" s="85"/>
      <c r="Y237" s="86"/>
      <c r="Z237" s="59"/>
    </row>
    <row r="238" spans="1:26" s="40" customFormat="1">
      <c r="A238" s="85"/>
      <c r="Y238" s="86"/>
      <c r="Z238" s="59"/>
    </row>
    <row r="239" spans="1:26" s="40" customFormat="1">
      <c r="A239" s="85"/>
      <c r="Y239" s="86"/>
      <c r="Z239" s="59"/>
    </row>
    <row r="240" spans="1:26" s="40" customFormat="1">
      <c r="A240" s="85"/>
      <c r="Y240" s="86"/>
      <c r="Z240" s="59"/>
    </row>
    <row r="241" spans="1:26" s="40" customFormat="1">
      <c r="A241" s="85"/>
      <c r="Y241" s="86"/>
      <c r="Z241" s="59"/>
    </row>
    <row r="242" spans="1:26" s="40" customFormat="1">
      <c r="A242" s="85"/>
      <c r="Y242" s="86"/>
      <c r="Z242" s="59"/>
    </row>
    <row r="243" spans="1:26" s="40" customFormat="1">
      <c r="A243" s="85"/>
      <c r="Y243" s="86"/>
      <c r="Z243" s="59"/>
    </row>
    <row r="244" spans="1:26" s="40" customFormat="1">
      <c r="A244" s="85"/>
      <c r="Y244" s="86"/>
      <c r="Z244" s="59"/>
    </row>
    <row r="245" spans="1:26" s="40" customFormat="1">
      <c r="A245" s="85"/>
      <c r="Y245" s="86"/>
      <c r="Z245" s="59"/>
    </row>
    <row r="246" spans="1:26" s="40" customFormat="1">
      <c r="A246" s="85"/>
      <c r="Y246" s="86"/>
      <c r="Z246" s="59"/>
    </row>
    <row r="247" spans="1:26" s="40" customFormat="1">
      <c r="A247" s="85"/>
      <c r="Y247" s="86"/>
      <c r="Z247" s="59"/>
    </row>
    <row r="248" spans="1:26" s="40" customFormat="1">
      <c r="A248" s="85"/>
      <c r="Y248" s="86"/>
      <c r="Z248" s="59"/>
    </row>
    <row r="249" spans="1:26" s="40" customFormat="1">
      <c r="A249" s="85"/>
      <c r="Y249" s="86"/>
      <c r="Z249" s="59"/>
    </row>
    <row r="250" spans="1:26" s="40" customFormat="1">
      <c r="A250" s="85"/>
      <c r="Y250" s="86"/>
      <c r="Z250" s="59"/>
    </row>
    <row r="251" spans="1:26" s="40" customFormat="1">
      <c r="A251" s="85"/>
      <c r="Y251" s="86"/>
      <c r="Z251" s="59"/>
    </row>
    <row r="252" spans="1:26" s="40" customFormat="1">
      <c r="A252" s="85"/>
      <c r="Y252" s="86"/>
      <c r="Z252" s="59"/>
    </row>
    <row r="253" spans="1:26" s="40" customFormat="1">
      <c r="A253" s="85"/>
      <c r="Y253" s="86"/>
      <c r="Z253" s="59"/>
    </row>
    <row r="254" spans="1:26" s="40" customFormat="1">
      <c r="A254" s="85"/>
      <c r="Y254" s="86"/>
      <c r="Z254" s="59"/>
    </row>
    <row r="255" spans="1:26" s="40" customFormat="1">
      <c r="A255" s="85"/>
      <c r="Y255" s="86"/>
      <c r="Z255" s="59"/>
    </row>
    <row r="256" spans="1:26" s="40" customFormat="1">
      <c r="A256" s="85"/>
      <c r="Y256" s="86"/>
      <c r="Z256" s="59"/>
    </row>
    <row r="257" spans="1:26" s="40" customFormat="1">
      <c r="A257" s="85"/>
      <c r="Y257" s="86"/>
      <c r="Z257" s="59"/>
    </row>
    <row r="258" spans="1:26" s="40" customFormat="1">
      <c r="A258" s="85"/>
      <c r="Y258" s="86"/>
      <c r="Z258" s="59"/>
    </row>
    <row r="259" spans="1:26" s="40" customFormat="1">
      <c r="A259" s="85"/>
      <c r="Y259" s="86"/>
      <c r="Z259" s="59"/>
    </row>
    <row r="260" spans="1:26" s="40" customFormat="1">
      <c r="A260" s="85"/>
      <c r="Y260" s="86"/>
      <c r="Z260" s="59"/>
    </row>
    <row r="261" spans="1:26" s="40" customFormat="1">
      <c r="A261" s="85"/>
      <c r="Y261" s="86"/>
      <c r="Z261" s="59"/>
    </row>
    <row r="262" spans="1:26" s="40" customFormat="1">
      <c r="A262" s="85"/>
      <c r="Y262" s="86"/>
      <c r="Z262" s="59"/>
    </row>
    <row r="263" spans="1:26" s="40" customFormat="1">
      <c r="A263" s="85"/>
      <c r="Y263" s="86"/>
      <c r="Z263" s="59"/>
    </row>
    <row r="264" spans="1:26" s="40" customFormat="1">
      <c r="A264" s="85"/>
      <c r="Y264" s="86"/>
      <c r="Z264" s="59"/>
    </row>
    <row r="265" spans="1:26" s="40" customFormat="1">
      <c r="A265" s="85"/>
      <c r="Y265" s="86"/>
      <c r="Z265" s="59"/>
    </row>
    <row r="266" spans="1:26" s="40" customFormat="1">
      <c r="A266" s="85"/>
      <c r="Y266" s="86"/>
      <c r="Z266" s="59"/>
    </row>
    <row r="267" spans="1:26" s="40" customFormat="1">
      <c r="A267" s="85"/>
      <c r="Y267" s="86"/>
      <c r="Z267" s="59"/>
    </row>
    <row r="268" spans="1:26" s="40" customFormat="1">
      <c r="A268" s="85"/>
      <c r="Y268" s="86"/>
      <c r="Z268" s="59"/>
    </row>
    <row r="269" spans="1:26" s="40" customFormat="1">
      <c r="A269" s="85"/>
      <c r="Y269" s="86"/>
      <c r="Z269" s="59"/>
    </row>
    <row r="270" spans="1:26" s="40" customFormat="1">
      <c r="A270" s="85"/>
      <c r="Y270" s="86"/>
      <c r="Z270" s="59"/>
    </row>
    <row r="271" spans="1:26" s="40" customFormat="1">
      <c r="A271" s="85"/>
      <c r="Y271" s="86"/>
      <c r="Z271" s="59"/>
    </row>
    <row r="272" spans="1:26" s="40" customFormat="1">
      <c r="A272" s="85"/>
      <c r="Y272" s="86"/>
      <c r="Z272" s="59"/>
    </row>
    <row r="273" spans="1:26" s="40" customFormat="1">
      <c r="A273" s="85"/>
      <c r="Y273" s="86"/>
      <c r="Z273" s="59"/>
    </row>
    <row r="274" spans="1:26" s="40" customFormat="1">
      <c r="A274" s="85"/>
      <c r="Y274" s="86"/>
      <c r="Z274" s="59"/>
    </row>
    <row r="275" spans="1:26" s="40" customFormat="1">
      <c r="A275" s="85"/>
      <c r="Y275" s="86"/>
      <c r="Z275" s="59"/>
    </row>
    <row r="276" spans="1:26" s="40" customFormat="1">
      <c r="A276" s="85"/>
      <c r="Y276" s="86"/>
      <c r="Z276" s="59"/>
    </row>
    <row r="277" spans="1:26" s="40" customFormat="1">
      <c r="A277" s="85"/>
      <c r="Y277" s="86"/>
      <c r="Z277" s="59"/>
    </row>
    <row r="278" spans="1:26" s="40" customFormat="1">
      <c r="A278" s="85"/>
      <c r="Y278" s="86"/>
      <c r="Z278" s="59"/>
    </row>
    <row r="279" spans="1:26" s="40" customFormat="1">
      <c r="A279" s="85"/>
      <c r="Y279" s="86"/>
      <c r="Z279" s="59"/>
    </row>
    <row r="280" spans="1:26" s="40" customFormat="1">
      <c r="A280" s="85"/>
      <c r="Y280" s="86"/>
      <c r="Z280" s="59"/>
    </row>
    <row r="281" spans="1:26" s="40" customFormat="1">
      <c r="A281" s="85"/>
      <c r="Y281" s="86"/>
      <c r="Z281" s="59"/>
    </row>
    <row r="282" spans="1:26" s="40" customFormat="1">
      <c r="A282" s="85"/>
      <c r="Y282" s="86"/>
      <c r="Z282" s="59"/>
    </row>
    <row r="283" spans="1:26" s="40" customFormat="1">
      <c r="A283" s="85"/>
      <c r="Y283" s="86"/>
      <c r="Z283" s="59"/>
    </row>
    <row r="284" spans="1:26" s="40" customFormat="1">
      <c r="A284" s="85"/>
      <c r="Y284" s="86"/>
      <c r="Z284" s="59"/>
    </row>
    <row r="285" spans="1:26" s="40" customFormat="1">
      <c r="A285" s="85"/>
      <c r="Y285" s="86"/>
      <c r="Z285" s="59"/>
    </row>
    <row r="286" spans="1:26" s="40" customFormat="1">
      <c r="A286" s="85"/>
      <c r="Y286" s="86"/>
      <c r="Z286" s="59"/>
    </row>
    <row r="287" spans="1:26" s="40" customFormat="1">
      <c r="A287" s="85"/>
      <c r="Y287" s="86"/>
      <c r="Z287" s="59"/>
    </row>
    <row r="288" spans="1:26" s="40" customFormat="1">
      <c r="A288" s="85"/>
      <c r="Y288" s="86"/>
      <c r="Z288" s="59"/>
    </row>
    <row r="289" spans="1:26" s="40" customFormat="1">
      <c r="A289" s="85"/>
      <c r="Y289" s="86"/>
      <c r="Z289" s="59"/>
    </row>
    <row r="290" spans="1:26" s="40" customFormat="1">
      <c r="A290" s="85"/>
      <c r="Y290" s="86"/>
      <c r="Z290" s="59"/>
    </row>
    <row r="291" spans="1:26" s="40" customFormat="1">
      <c r="A291" s="85"/>
      <c r="Y291" s="86"/>
      <c r="Z291" s="59"/>
    </row>
    <row r="292" spans="1:26" s="40" customFormat="1">
      <c r="A292" s="85"/>
      <c r="Y292" s="86"/>
      <c r="Z292" s="59"/>
    </row>
    <row r="293" spans="1:26" s="40" customFormat="1">
      <c r="A293" s="85"/>
      <c r="Y293" s="86"/>
      <c r="Z293" s="59"/>
    </row>
    <row r="294" spans="1:26" s="40" customFormat="1">
      <c r="A294" s="85"/>
      <c r="Y294" s="86"/>
      <c r="Z294" s="59"/>
    </row>
    <row r="295" spans="1:26" s="40" customFormat="1">
      <c r="A295" s="85"/>
      <c r="Y295" s="86"/>
      <c r="Z295" s="59"/>
    </row>
    <row r="296" spans="1:26" s="40" customFormat="1">
      <c r="A296" s="85"/>
      <c r="Y296" s="86"/>
      <c r="Z296" s="59"/>
    </row>
    <row r="297" spans="1:26" s="40" customFormat="1">
      <c r="A297" s="85"/>
      <c r="Y297" s="86"/>
      <c r="Z297" s="59"/>
    </row>
    <row r="298" spans="1:26" s="40" customFormat="1">
      <c r="A298" s="85"/>
      <c r="Y298" s="86"/>
      <c r="Z298" s="59"/>
    </row>
    <row r="299" spans="1:26" s="40" customFormat="1">
      <c r="A299" s="85"/>
      <c r="Y299" s="86"/>
      <c r="Z299" s="59"/>
    </row>
    <row r="300" spans="1:26" s="40" customFormat="1">
      <c r="A300" s="85"/>
      <c r="Y300" s="86"/>
      <c r="Z300" s="59"/>
    </row>
    <row r="301" spans="1:26" s="40" customFormat="1">
      <c r="A301" s="85"/>
      <c r="Y301" s="86"/>
      <c r="Z301" s="59"/>
    </row>
    <row r="302" spans="1:26" s="40" customFormat="1">
      <c r="A302" s="85"/>
      <c r="Y302" s="86"/>
      <c r="Z302" s="59"/>
    </row>
    <row r="303" spans="1:26" s="40" customFormat="1">
      <c r="A303" s="85"/>
      <c r="Y303" s="86"/>
      <c r="Z303" s="59"/>
    </row>
    <row r="304" spans="1:26" s="40" customFormat="1">
      <c r="A304" s="85"/>
      <c r="Y304" s="86"/>
      <c r="Z304" s="59"/>
    </row>
    <row r="305" spans="1:26" s="40" customFormat="1">
      <c r="A305" s="85"/>
      <c r="Y305" s="86"/>
      <c r="Z305" s="59"/>
    </row>
    <row r="306" spans="1:26" s="40" customFormat="1">
      <c r="A306" s="85"/>
      <c r="Y306" s="86"/>
      <c r="Z306" s="59"/>
    </row>
    <row r="307" spans="1:26" s="40" customFormat="1">
      <c r="A307" s="85"/>
      <c r="Y307" s="86"/>
      <c r="Z307" s="59"/>
    </row>
    <row r="308" spans="1:26" s="40" customFormat="1">
      <c r="A308" s="85"/>
      <c r="Y308" s="86"/>
      <c r="Z308" s="59"/>
    </row>
    <row r="309" spans="1:26" s="40" customFormat="1">
      <c r="A309" s="85"/>
      <c r="Y309" s="86"/>
      <c r="Z309" s="59"/>
    </row>
    <row r="310" spans="1:26" s="40" customFormat="1">
      <c r="A310" s="85"/>
      <c r="Y310" s="86"/>
      <c r="Z310" s="59"/>
    </row>
    <row r="311" spans="1:26" s="40" customFormat="1">
      <c r="A311" s="85"/>
      <c r="Y311" s="86"/>
      <c r="Z311" s="59"/>
    </row>
    <row r="312" spans="1:26" s="40" customFormat="1">
      <c r="A312" s="85"/>
      <c r="Y312" s="86"/>
      <c r="Z312" s="59"/>
    </row>
    <row r="313" spans="1:26" s="40" customFormat="1">
      <c r="A313" s="85"/>
      <c r="Y313" s="86"/>
      <c r="Z313" s="59"/>
    </row>
    <row r="314" spans="1:26" s="40" customFormat="1">
      <c r="A314" s="85"/>
      <c r="Y314" s="86"/>
      <c r="Z314" s="59"/>
    </row>
    <row r="315" spans="1:26" s="40" customFormat="1">
      <c r="A315" s="85"/>
      <c r="Y315" s="86"/>
      <c r="Z315" s="59"/>
    </row>
    <row r="316" spans="1:26" s="40" customFormat="1">
      <c r="A316" s="85"/>
      <c r="Y316" s="86"/>
      <c r="Z316" s="59"/>
    </row>
    <row r="317" spans="1:26" s="40" customFormat="1">
      <c r="A317" s="85"/>
      <c r="Y317" s="86"/>
      <c r="Z317" s="59"/>
    </row>
    <row r="318" spans="1:26" s="40" customFormat="1">
      <c r="A318" s="85"/>
      <c r="Y318" s="86"/>
      <c r="Z318" s="59"/>
    </row>
    <row r="319" spans="1:26" s="40" customFormat="1">
      <c r="A319" s="85"/>
      <c r="Y319" s="86"/>
      <c r="Z319" s="59"/>
    </row>
    <row r="320" spans="1:26" s="40" customFormat="1">
      <c r="A320" s="85"/>
      <c r="Y320" s="86"/>
      <c r="Z320" s="59"/>
    </row>
    <row r="321" spans="1:26" s="40" customFormat="1">
      <c r="A321" s="85"/>
      <c r="Y321" s="86"/>
      <c r="Z321" s="59"/>
    </row>
    <row r="322" spans="1:26" s="40" customFormat="1">
      <c r="A322" s="85"/>
      <c r="Y322" s="86"/>
      <c r="Z322" s="59"/>
    </row>
    <row r="323" spans="1:26" s="40" customFormat="1">
      <c r="A323" s="85"/>
      <c r="Y323" s="86"/>
      <c r="Z323" s="59"/>
    </row>
    <row r="324" spans="1:26" s="40" customFormat="1">
      <c r="A324" s="85"/>
      <c r="Y324" s="86"/>
      <c r="Z324" s="59"/>
    </row>
    <row r="325" spans="1:26" s="40" customFormat="1">
      <c r="A325" s="85"/>
      <c r="Y325" s="86"/>
      <c r="Z325" s="59"/>
    </row>
    <row r="326" spans="1:26" s="40" customFormat="1">
      <c r="A326" s="85"/>
      <c r="Y326" s="86"/>
      <c r="Z326" s="59"/>
    </row>
    <row r="327" spans="1:26" s="40" customFormat="1">
      <c r="A327" s="85"/>
      <c r="Y327" s="86"/>
      <c r="Z327" s="59"/>
    </row>
    <row r="328" spans="1:26" s="40" customFormat="1">
      <c r="A328" s="85"/>
      <c r="Y328" s="86"/>
      <c r="Z328" s="59"/>
    </row>
    <row r="329" spans="1:26" s="40" customFormat="1">
      <c r="A329" s="85"/>
      <c r="Y329" s="86"/>
      <c r="Z329" s="59"/>
    </row>
    <row r="330" spans="1:26" s="40" customFormat="1">
      <c r="A330" s="85"/>
      <c r="Y330" s="86"/>
      <c r="Z330" s="59"/>
    </row>
    <row r="331" spans="1:26" s="40" customFormat="1">
      <c r="A331" s="85"/>
      <c r="Y331" s="86"/>
      <c r="Z331" s="59"/>
    </row>
    <row r="332" spans="1:26" s="40" customFormat="1">
      <c r="A332" s="85"/>
      <c r="Y332" s="86"/>
      <c r="Z332" s="59"/>
    </row>
    <row r="333" spans="1:26" s="40" customFormat="1">
      <c r="A333" s="85"/>
      <c r="Y333" s="86"/>
      <c r="Z333" s="59"/>
    </row>
    <row r="334" spans="1:26" s="40" customFormat="1">
      <c r="A334" s="85"/>
      <c r="Y334" s="86"/>
      <c r="Z334" s="59"/>
    </row>
    <row r="335" spans="1:26" s="40" customFormat="1">
      <c r="A335" s="85"/>
      <c r="Y335" s="86"/>
      <c r="Z335" s="59"/>
    </row>
    <row r="336" spans="1:26" s="40" customFormat="1">
      <c r="A336" s="85"/>
      <c r="Y336" s="86"/>
      <c r="Z336" s="59"/>
    </row>
    <row r="337" spans="1:26" s="40" customFormat="1">
      <c r="A337" s="85"/>
      <c r="Y337" s="86"/>
      <c r="Z337" s="59"/>
    </row>
    <row r="338" spans="1:26" s="40" customFormat="1">
      <c r="A338" s="85"/>
      <c r="Y338" s="86"/>
      <c r="Z338" s="59"/>
    </row>
    <row r="339" spans="1:26" s="40" customFormat="1">
      <c r="A339" s="85"/>
      <c r="Y339" s="86"/>
      <c r="Z339" s="59"/>
    </row>
  </sheetData>
  <mergeCells count="13">
    <mergeCell ref="B95:I95"/>
    <mergeCell ref="B85:I85"/>
    <mergeCell ref="B74:I74"/>
    <mergeCell ref="B72:W72"/>
    <mergeCell ref="B83:W83"/>
    <mergeCell ref="B71:I71"/>
    <mergeCell ref="B1:C1"/>
    <mergeCell ref="B11:W11"/>
    <mergeCell ref="B37:W37"/>
    <mergeCell ref="B13:I13"/>
    <mergeCell ref="B28:I28"/>
    <mergeCell ref="B39:I39"/>
    <mergeCell ref="B55:I55"/>
  </mergeCells>
  <conditionalFormatting sqref="C107">
    <cfRule type="containsText" dxfId="3" priority="3" operator="containsText" text="No">
      <formula>NOT(ISERROR(SEARCH("No",C107)))</formula>
    </cfRule>
    <cfRule type="containsText" dxfId="2" priority="4" operator="containsText" text="Yes">
      <formula>NOT(ISERROR(SEARCH("Yes",C107)))</formula>
    </cfRule>
  </conditionalFormatting>
  <conditionalFormatting sqref="C105">
    <cfRule type="containsText" dxfId="1" priority="1" operator="containsText" text="PASS">
      <formula>NOT(ISERROR(SEARCH("PASS",C105)))</formula>
    </cfRule>
    <cfRule type="containsText" dxfId="0" priority="2" operator="containsText" text="FAIL">
      <formula>NOT(ISERROR(SEARCH("FAIL",C105)))</formula>
    </cfRule>
  </conditionalFormatting>
  <dataValidations disablePrompts="1" count="2">
    <dataValidation type="list" allowBlank="1" showInputMessage="1" showErrorMessage="1" sqref="B29" xr:uid="{02B8FD3A-A929-490B-878B-F55EFDC495CE}">
      <formula1>$B$32:$B$35</formula1>
    </dataValidation>
    <dataValidation type="list" allowBlank="1" showInputMessage="1" showErrorMessage="1" sqref="C7" xr:uid="{E3DCE9A9-BA5A-475A-9C3E-2E27F40BAA13}">
      <formula1>"0,1,2,3"</formula1>
    </dataValidation>
  </dataValidations>
  <pageMargins left="0.7" right="0.7" top="0.75" bottom="0.75" header="0.3" footer="0.3"/>
  <pageSetup orientation="portrait" horizontalDpi="4294967293" r:id="rId1"/>
  <ignoredErrors>
    <ignoredError sqref="X61 E100:W100 E102:W102"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8675" r:id="rId4" name="Check Box 3">
              <controlPr defaultSize="0" autoFill="0" autoLine="0" autoPict="0">
                <anchor moveWithCells="1">
                  <from>
                    <xdr:col>24</xdr:col>
                    <xdr:colOff>190500</xdr:colOff>
                    <xdr:row>17</xdr:row>
                    <xdr:rowOff>190500</xdr:rowOff>
                  </from>
                  <to>
                    <xdr:col>24</xdr:col>
                    <xdr:colOff>952500</xdr:colOff>
                    <xdr:row>19</xdr:row>
                    <xdr:rowOff>38100</xdr:rowOff>
                  </to>
                </anchor>
              </controlPr>
            </control>
          </mc:Choice>
        </mc:AlternateContent>
        <mc:AlternateContent xmlns:mc="http://schemas.openxmlformats.org/markup-compatibility/2006">
          <mc:Choice Requires="x14">
            <control shapeId="28690" r:id="rId5" name="Check Box 18">
              <controlPr defaultSize="0" autoFill="0" autoLine="0" autoPict="0">
                <anchor moveWithCells="1">
                  <from>
                    <xdr:col>24</xdr:col>
                    <xdr:colOff>190500</xdr:colOff>
                    <xdr:row>36</xdr:row>
                    <xdr:rowOff>0</xdr:rowOff>
                  </from>
                  <to>
                    <xdr:col>24</xdr:col>
                    <xdr:colOff>977900</xdr:colOff>
                    <xdr:row>36</xdr:row>
                    <xdr:rowOff>0</xdr:rowOff>
                  </to>
                </anchor>
              </controlPr>
            </control>
          </mc:Choice>
        </mc:AlternateContent>
        <mc:AlternateContent xmlns:mc="http://schemas.openxmlformats.org/markup-compatibility/2006">
          <mc:Choice Requires="x14">
            <control shapeId="28691" r:id="rId6" name="Check Box 19">
              <controlPr defaultSize="0" autoFill="0" autoLine="0" autoPict="0">
                <anchor moveWithCells="1">
                  <from>
                    <xdr:col>24</xdr:col>
                    <xdr:colOff>190500</xdr:colOff>
                    <xdr:row>36</xdr:row>
                    <xdr:rowOff>0</xdr:rowOff>
                  </from>
                  <to>
                    <xdr:col>24</xdr:col>
                    <xdr:colOff>977900</xdr:colOff>
                    <xdr:row>36</xdr:row>
                    <xdr:rowOff>0</xdr:rowOff>
                  </to>
                </anchor>
              </controlPr>
            </control>
          </mc:Choice>
        </mc:AlternateContent>
        <mc:AlternateContent xmlns:mc="http://schemas.openxmlformats.org/markup-compatibility/2006">
          <mc:Choice Requires="x14">
            <control shapeId="28692" r:id="rId7" name="Check Box 20">
              <controlPr defaultSize="0" autoFill="0" autoLine="0" autoPict="0">
                <anchor moveWithCells="1">
                  <from>
                    <xdr:col>24</xdr:col>
                    <xdr:colOff>190500</xdr:colOff>
                    <xdr:row>36</xdr:row>
                    <xdr:rowOff>0</xdr:rowOff>
                  </from>
                  <to>
                    <xdr:col>24</xdr:col>
                    <xdr:colOff>977900</xdr:colOff>
                    <xdr:row>36</xdr:row>
                    <xdr:rowOff>0</xdr:rowOff>
                  </to>
                </anchor>
              </controlPr>
            </control>
          </mc:Choice>
        </mc:AlternateContent>
        <mc:AlternateContent xmlns:mc="http://schemas.openxmlformats.org/markup-compatibility/2006">
          <mc:Choice Requires="x14">
            <control shapeId="28693" r:id="rId8" name="Check Box 21">
              <controlPr defaultSize="0" autoFill="0" autoLine="0" autoPict="0">
                <anchor moveWithCells="1">
                  <from>
                    <xdr:col>24</xdr:col>
                    <xdr:colOff>190500</xdr:colOff>
                    <xdr:row>36</xdr:row>
                    <xdr:rowOff>0</xdr:rowOff>
                  </from>
                  <to>
                    <xdr:col>24</xdr:col>
                    <xdr:colOff>977900</xdr:colOff>
                    <xdr:row>36</xdr:row>
                    <xdr:rowOff>0</xdr:rowOff>
                  </to>
                </anchor>
              </controlPr>
            </control>
          </mc:Choice>
        </mc:AlternateContent>
        <mc:AlternateContent xmlns:mc="http://schemas.openxmlformats.org/markup-compatibility/2006">
          <mc:Choice Requires="x14">
            <control shapeId="28694" r:id="rId9" name="Check Box 22">
              <controlPr defaultSize="0" autoFill="0" autoLine="0" autoPict="0">
                <anchor moveWithCells="1">
                  <from>
                    <xdr:col>24</xdr:col>
                    <xdr:colOff>190500</xdr:colOff>
                    <xdr:row>36</xdr:row>
                    <xdr:rowOff>0</xdr:rowOff>
                  </from>
                  <to>
                    <xdr:col>24</xdr:col>
                    <xdr:colOff>977900</xdr:colOff>
                    <xdr:row>36</xdr:row>
                    <xdr:rowOff>0</xdr:rowOff>
                  </to>
                </anchor>
              </controlPr>
            </control>
          </mc:Choice>
        </mc:AlternateContent>
        <mc:AlternateContent xmlns:mc="http://schemas.openxmlformats.org/markup-compatibility/2006">
          <mc:Choice Requires="x14">
            <control shapeId="28695" r:id="rId10" name="Check Box 23">
              <controlPr defaultSize="0" autoFill="0" autoLine="0" autoPict="0">
                <anchor moveWithCells="1">
                  <from>
                    <xdr:col>24</xdr:col>
                    <xdr:colOff>190500</xdr:colOff>
                    <xdr:row>49</xdr:row>
                    <xdr:rowOff>0</xdr:rowOff>
                  </from>
                  <to>
                    <xdr:col>24</xdr:col>
                    <xdr:colOff>977900</xdr:colOff>
                    <xdr:row>50</xdr:row>
                    <xdr:rowOff>38100</xdr:rowOff>
                  </to>
                </anchor>
              </controlPr>
            </control>
          </mc:Choice>
        </mc:AlternateContent>
        <mc:AlternateContent xmlns:mc="http://schemas.openxmlformats.org/markup-compatibility/2006">
          <mc:Choice Requires="x14">
            <control shapeId="28696" r:id="rId11" name="Check Box 24">
              <controlPr defaultSize="0" autoFill="0" autoLine="0" autoPict="0">
                <anchor moveWithCells="1">
                  <from>
                    <xdr:col>24</xdr:col>
                    <xdr:colOff>190500</xdr:colOff>
                    <xdr:row>65</xdr:row>
                    <xdr:rowOff>0</xdr:rowOff>
                  </from>
                  <to>
                    <xdr:col>24</xdr:col>
                    <xdr:colOff>977900</xdr:colOff>
                    <xdr:row>71</xdr:row>
                    <xdr:rowOff>12700</xdr:rowOff>
                  </to>
                </anchor>
              </controlPr>
            </control>
          </mc:Choice>
        </mc:AlternateContent>
        <mc:AlternateContent xmlns:mc="http://schemas.openxmlformats.org/markup-compatibility/2006">
          <mc:Choice Requires="x14">
            <control shapeId="28697" r:id="rId12" name="Check Box 25">
              <controlPr defaultSize="0" autoFill="0" autoLine="0" autoPict="0">
                <anchor moveWithCells="1">
                  <from>
                    <xdr:col>24</xdr:col>
                    <xdr:colOff>190500</xdr:colOff>
                    <xdr:row>70</xdr:row>
                    <xdr:rowOff>0</xdr:rowOff>
                  </from>
                  <to>
                    <xdr:col>24</xdr:col>
                    <xdr:colOff>977900</xdr:colOff>
                    <xdr:row>114</xdr:row>
                    <xdr:rowOff>165100</xdr:rowOff>
                  </to>
                </anchor>
              </controlPr>
            </control>
          </mc:Choice>
        </mc:AlternateContent>
        <mc:AlternateContent xmlns:mc="http://schemas.openxmlformats.org/markup-compatibility/2006">
          <mc:Choice Requires="x14">
            <control shapeId="28698" r:id="rId13" name="Check Box 26">
              <controlPr defaultSize="0" autoFill="0" autoLine="0" autoPict="0">
                <anchor moveWithCells="1">
                  <from>
                    <xdr:col>24</xdr:col>
                    <xdr:colOff>190500</xdr:colOff>
                    <xdr:row>70</xdr:row>
                    <xdr:rowOff>0</xdr:rowOff>
                  </from>
                  <to>
                    <xdr:col>24</xdr:col>
                    <xdr:colOff>977900</xdr:colOff>
                    <xdr:row>92</xdr:row>
                    <xdr:rowOff>127000</xdr:rowOff>
                  </to>
                </anchor>
              </controlPr>
            </control>
          </mc:Choice>
        </mc:AlternateContent>
        <mc:AlternateContent xmlns:mc="http://schemas.openxmlformats.org/markup-compatibility/2006">
          <mc:Choice Requires="x14">
            <control shapeId="28699" r:id="rId14" name="Check Box 27">
              <controlPr defaultSize="0" autoFill="0" autoLine="0" autoPict="0">
                <anchor moveWithCells="1">
                  <from>
                    <xdr:col>24</xdr:col>
                    <xdr:colOff>190500</xdr:colOff>
                    <xdr:row>70</xdr:row>
                    <xdr:rowOff>0</xdr:rowOff>
                  </from>
                  <to>
                    <xdr:col>24</xdr:col>
                    <xdr:colOff>977900</xdr:colOff>
                    <xdr:row>80</xdr:row>
                    <xdr:rowOff>114300</xdr:rowOff>
                  </to>
                </anchor>
              </controlPr>
            </control>
          </mc:Choice>
        </mc:AlternateContent>
        <mc:AlternateContent xmlns:mc="http://schemas.openxmlformats.org/markup-compatibility/2006">
          <mc:Choice Requires="x14">
            <control shapeId="28700" r:id="rId15" name="Check Box 28">
              <controlPr defaultSize="0" autoFill="0" autoLine="0" autoPict="0">
                <anchor moveWithCells="1">
                  <from>
                    <xdr:col>24</xdr:col>
                    <xdr:colOff>190500</xdr:colOff>
                    <xdr:row>77</xdr:row>
                    <xdr:rowOff>0</xdr:rowOff>
                  </from>
                  <to>
                    <xdr:col>24</xdr:col>
                    <xdr:colOff>977900</xdr:colOff>
                    <xdr:row>79</xdr:row>
                    <xdr:rowOff>50800</xdr:rowOff>
                  </to>
                </anchor>
              </controlPr>
            </control>
          </mc:Choice>
        </mc:AlternateContent>
        <mc:AlternateContent xmlns:mc="http://schemas.openxmlformats.org/markup-compatibility/2006">
          <mc:Choice Requires="x14">
            <control shapeId="28701" r:id="rId16" name="Check Box 29">
              <controlPr defaultSize="0" autoFill="0" autoLine="0" autoPict="0">
                <anchor moveWithCells="1">
                  <from>
                    <xdr:col>24</xdr:col>
                    <xdr:colOff>190500</xdr:colOff>
                    <xdr:row>89</xdr:row>
                    <xdr:rowOff>0</xdr:rowOff>
                  </from>
                  <to>
                    <xdr:col>24</xdr:col>
                    <xdr:colOff>977900</xdr:colOff>
                    <xdr:row>90</xdr:row>
                    <xdr:rowOff>50800</xdr:rowOff>
                  </to>
                </anchor>
              </controlPr>
            </control>
          </mc:Choice>
        </mc:AlternateContent>
        <mc:AlternateContent xmlns:mc="http://schemas.openxmlformats.org/markup-compatibility/2006">
          <mc:Choice Requires="x14">
            <control shapeId="28702" r:id="rId17" name="Check Box 30">
              <controlPr defaultSize="0" autoFill="0" autoLine="0" autoPict="0">
                <anchor moveWithCells="1">
                  <from>
                    <xdr:col>24</xdr:col>
                    <xdr:colOff>190500</xdr:colOff>
                    <xdr:row>104</xdr:row>
                    <xdr:rowOff>0</xdr:rowOff>
                  </from>
                  <to>
                    <xdr:col>24</xdr:col>
                    <xdr:colOff>977900</xdr:colOff>
                    <xdr:row>112</xdr:row>
                    <xdr:rowOff>0</xdr:rowOff>
                  </to>
                </anchor>
              </controlPr>
            </control>
          </mc:Choice>
        </mc:AlternateContent>
        <mc:AlternateContent xmlns:mc="http://schemas.openxmlformats.org/markup-compatibility/2006">
          <mc:Choice Requires="x14">
            <control shapeId="28703" r:id="rId18" name="Check Box 31">
              <controlPr defaultSize="0" autoFill="0" autoLine="0" autoPict="0">
                <anchor moveWithCells="1">
                  <from>
                    <xdr:col>24</xdr:col>
                    <xdr:colOff>190500</xdr:colOff>
                    <xdr:row>36</xdr:row>
                    <xdr:rowOff>0</xdr:rowOff>
                  </from>
                  <to>
                    <xdr:col>24</xdr:col>
                    <xdr:colOff>977900</xdr:colOff>
                    <xdr:row>36</xdr:row>
                    <xdr:rowOff>0</xdr:rowOff>
                  </to>
                </anchor>
              </controlPr>
            </control>
          </mc:Choice>
        </mc:AlternateContent>
        <mc:AlternateContent xmlns:mc="http://schemas.openxmlformats.org/markup-compatibility/2006">
          <mc:Choice Requires="x14">
            <control shapeId="28704" r:id="rId19" name="Check Box 32">
              <controlPr defaultSize="0" autoFill="0" autoLine="0" autoPict="0">
                <anchor moveWithCells="1">
                  <from>
                    <xdr:col>24</xdr:col>
                    <xdr:colOff>190500</xdr:colOff>
                    <xdr:row>34</xdr:row>
                    <xdr:rowOff>190500</xdr:rowOff>
                  </from>
                  <to>
                    <xdr:col>24</xdr:col>
                    <xdr:colOff>952500</xdr:colOff>
                    <xdr:row>35</xdr:row>
                    <xdr:rowOff>0</xdr:rowOff>
                  </to>
                </anchor>
              </controlPr>
            </control>
          </mc:Choice>
        </mc:AlternateContent>
        <mc:AlternateContent xmlns:mc="http://schemas.openxmlformats.org/markup-compatibility/2006">
          <mc:Choice Requires="x14">
            <control shapeId="28717" r:id="rId20" name="Check Box 45">
              <controlPr defaultSize="0" autoFill="0" autoLine="0" autoPict="0">
                <anchor moveWithCells="1">
                  <from>
                    <xdr:col>24</xdr:col>
                    <xdr:colOff>190500</xdr:colOff>
                    <xdr:row>36</xdr:row>
                    <xdr:rowOff>0</xdr:rowOff>
                  </from>
                  <to>
                    <xdr:col>24</xdr:col>
                    <xdr:colOff>952500</xdr:colOff>
                    <xdr:row>36</xdr:row>
                    <xdr:rowOff>0</xdr:rowOff>
                  </to>
                </anchor>
              </controlPr>
            </control>
          </mc:Choice>
        </mc:AlternateContent>
        <mc:AlternateContent xmlns:mc="http://schemas.openxmlformats.org/markup-compatibility/2006">
          <mc:Choice Requires="x14">
            <control shapeId="28719" r:id="rId21" name="Check Box 47">
              <controlPr defaultSize="0" autoFill="0" autoLine="0" autoPict="0">
                <anchor moveWithCells="1">
                  <from>
                    <xdr:col>24</xdr:col>
                    <xdr:colOff>190500</xdr:colOff>
                    <xdr:row>36</xdr:row>
                    <xdr:rowOff>0</xdr:rowOff>
                  </from>
                  <to>
                    <xdr:col>24</xdr:col>
                    <xdr:colOff>952500</xdr:colOff>
                    <xdr:row>36</xdr:row>
                    <xdr:rowOff>0</xdr:rowOff>
                  </to>
                </anchor>
              </controlPr>
            </control>
          </mc:Choice>
        </mc:AlternateContent>
        <mc:AlternateContent xmlns:mc="http://schemas.openxmlformats.org/markup-compatibility/2006">
          <mc:Choice Requires="x14">
            <control shapeId="28721" r:id="rId22" name="Check Box 49">
              <controlPr defaultSize="0" autoFill="0" autoLine="0" autoPict="0">
                <anchor moveWithCells="1">
                  <from>
                    <xdr:col>24</xdr:col>
                    <xdr:colOff>190500</xdr:colOff>
                    <xdr:row>36</xdr:row>
                    <xdr:rowOff>0</xdr:rowOff>
                  </from>
                  <to>
                    <xdr:col>24</xdr:col>
                    <xdr:colOff>952500</xdr:colOff>
                    <xdr:row>36</xdr:row>
                    <xdr:rowOff>0</xdr:rowOff>
                  </to>
                </anchor>
              </controlPr>
            </control>
          </mc:Choice>
        </mc:AlternateContent>
        <mc:AlternateContent xmlns:mc="http://schemas.openxmlformats.org/markup-compatibility/2006">
          <mc:Choice Requires="x14">
            <control shapeId="28723" r:id="rId23" name="Check Box 51">
              <controlPr defaultSize="0" autoFill="0" autoLine="0" autoPict="0">
                <anchor moveWithCells="1">
                  <from>
                    <xdr:col>24</xdr:col>
                    <xdr:colOff>190500</xdr:colOff>
                    <xdr:row>62</xdr:row>
                    <xdr:rowOff>190500</xdr:rowOff>
                  </from>
                  <to>
                    <xdr:col>24</xdr:col>
                    <xdr:colOff>952500</xdr:colOff>
                    <xdr:row>71</xdr:row>
                    <xdr:rowOff>12700</xdr:rowOff>
                  </to>
                </anchor>
              </controlPr>
            </control>
          </mc:Choice>
        </mc:AlternateContent>
        <mc:AlternateContent xmlns:mc="http://schemas.openxmlformats.org/markup-compatibility/2006">
          <mc:Choice Requires="x14">
            <control shapeId="28725" r:id="rId24" name="Check Box 53">
              <controlPr defaultSize="0" autoFill="0" autoLine="0" autoPict="0">
                <anchor moveWithCells="1">
                  <from>
                    <xdr:col>24</xdr:col>
                    <xdr:colOff>190500</xdr:colOff>
                    <xdr:row>96</xdr:row>
                    <xdr:rowOff>0</xdr:rowOff>
                  </from>
                  <to>
                    <xdr:col>24</xdr:col>
                    <xdr:colOff>977900</xdr:colOff>
                    <xdr:row>110</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5">
    <tabColor rgb="FFFFC000"/>
  </sheetPr>
  <dimension ref="A1:X8765"/>
  <sheetViews>
    <sheetView zoomScaleNormal="100" workbookViewId="0">
      <selection activeCell="E10" sqref="E10"/>
    </sheetView>
  </sheetViews>
  <sheetFormatPr defaultColWidth="0" defaultRowHeight="13.5"/>
  <cols>
    <col min="1" max="1" width="7.42578125" style="6" customWidth="1"/>
    <col min="2" max="2" width="18.42578125" style="6" customWidth="1"/>
    <col min="3" max="3" width="13.7109375" style="6" customWidth="1"/>
    <col min="4" max="4" width="14.28515625" style="6" bestFit="1" customWidth="1"/>
    <col min="5" max="5" width="6.42578125" style="6" customWidth="1"/>
    <col min="6" max="6" width="30.7109375" style="6" customWidth="1"/>
    <col min="7" max="7" width="36.7109375" style="6" customWidth="1"/>
    <col min="8" max="8" width="16.140625" style="6" customWidth="1"/>
    <col min="9" max="9" width="20.7109375" style="6" customWidth="1"/>
    <col min="10" max="10" width="16" style="6" customWidth="1"/>
    <col min="11" max="11" width="11.42578125" style="6" customWidth="1"/>
    <col min="12" max="12" width="13.28515625" style="6" customWidth="1"/>
    <col min="13" max="13" width="12.42578125" style="6" customWidth="1"/>
    <col min="14" max="14" width="10.42578125" style="6" customWidth="1"/>
    <col min="15" max="15" width="12.42578125" style="6" customWidth="1"/>
    <col min="16" max="16" width="11.42578125" style="6" customWidth="1"/>
    <col min="17" max="18" width="13.7109375" style="6" customWidth="1"/>
    <col min="19" max="20" width="18.28515625" style="6" customWidth="1"/>
    <col min="21" max="21" width="11.42578125" style="6" customWidth="1"/>
    <col min="22" max="24" width="8.7109375" style="6" customWidth="1"/>
    <col min="25" max="16384" width="6.42578125" style="6" hidden="1"/>
  </cols>
  <sheetData>
    <row r="1" spans="1:23" ht="14" thickBot="1"/>
    <row r="2" spans="1:23" ht="14" thickBot="1">
      <c r="B2" s="418" t="s">
        <v>510</v>
      </c>
      <c r="C2" s="419" t="s">
        <v>511</v>
      </c>
      <c r="D2" s="420" t="s">
        <v>512</v>
      </c>
      <c r="F2" s="1575" t="s">
        <v>513</v>
      </c>
      <c r="G2" s="1576"/>
      <c r="I2" s="1568" t="s">
        <v>514</v>
      </c>
      <c r="J2" s="1569"/>
      <c r="K2" s="1569"/>
      <c r="L2" s="1570"/>
      <c r="W2" s="421"/>
    </row>
    <row r="3" spans="1:23">
      <c r="A3" s="422"/>
      <c r="B3" s="423"/>
      <c r="C3" s="424"/>
      <c r="D3" s="425"/>
      <c r="F3" s="426" t="s">
        <v>515</v>
      </c>
      <c r="G3" s="644">
        <f>'Cost Summary'!H38*Project_Size*1000</f>
        <v>7888760.8589739222</v>
      </c>
      <c r="I3" s="427"/>
      <c r="J3" s="428" t="s">
        <v>32</v>
      </c>
      <c r="K3" s="428" t="s">
        <v>516</v>
      </c>
      <c r="L3" s="429" t="s">
        <v>31</v>
      </c>
      <c r="T3" s="1577"/>
      <c r="U3" s="1577"/>
      <c r="V3" s="1577"/>
    </row>
    <row r="4" spans="1:23">
      <c r="A4" s="422"/>
      <c r="B4" s="11" t="s">
        <v>517</v>
      </c>
      <c r="C4" s="403">
        <v>4.4299999999999999E-2</v>
      </c>
      <c r="D4" s="430">
        <f>(LOW_Peak+Tariff_Additional)*$G$30*C4</f>
        <v>96506.907332679009</v>
      </c>
      <c r="E4" s="431"/>
      <c r="F4" s="432"/>
      <c r="G4" s="433"/>
      <c r="I4" s="434" t="s">
        <v>518</v>
      </c>
      <c r="J4" s="435">
        <f>IF('Design Inputs'!$D$54="Flat Rate",'Design Inputs'!$D$55,'Design Inputs'!D57)*(1+'4.3 Emergent Data'!$G$21)</f>
        <v>2.6492952500000002</v>
      </c>
      <c r="K4" s="435">
        <f>IF('Design Inputs'!$D$54="Flat Rate",'Design Inputs'!$D$55,'Design Inputs'!E57)*(1+'4.3 Emergent Data'!$G$21)</f>
        <v>2.6492952500000002</v>
      </c>
      <c r="L4" s="436">
        <f>IF('Design Inputs'!$D$54="Flat Rate",'Design Inputs'!$D$55,'Design Inputs'!F57)*(1+'4.3 Emergent Data'!$G$21)</f>
        <v>2.6492952500000002</v>
      </c>
    </row>
    <row r="5" spans="1:23">
      <c r="A5" s="422"/>
      <c r="B5" s="11" t="s">
        <v>519</v>
      </c>
      <c r="C5" s="403">
        <v>0.1961</v>
      </c>
      <c r="D5" s="430">
        <f>(LOW_OffPeak+Tariff_Additional)*$G$30*C5</f>
        <v>427201.00514533528</v>
      </c>
      <c r="E5" s="431"/>
      <c r="F5" s="432"/>
      <c r="G5" s="437"/>
      <c r="I5" s="434" t="s">
        <v>520</v>
      </c>
      <c r="J5" s="435">
        <f>IF('Design Inputs'!$D$54="Flat Rate",'Design Inputs'!$D$55,'Design Inputs'!D58)*(1+'4.3 Emergent Data'!$G$21)</f>
        <v>2.6492952500000002</v>
      </c>
      <c r="K5" s="435">
        <f>IF('Design Inputs'!$D$54="Flat Rate",'Design Inputs'!$D$55,'Design Inputs'!E58)*(1+'4.3 Emergent Data'!$G$21)</f>
        <v>2.6492952500000002</v>
      </c>
      <c r="L5" s="436">
        <f>IF('Design Inputs'!$D$54="Flat Rate",'Design Inputs'!$D$55,'Design Inputs'!F58)*(1+'4.3 Emergent Data'!$G$21)</f>
        <v>2.6492952500000002</v>
      </c>
    </row>
    <row r="6" spans="1:23">
      <c r="A6" s="422"/>
      <c r="B6" s="11" t="s">
        <v>521</v>
      </c>
      <c r="C6" s="403">
        <v>0.63729999999999998</v>
      </c>
      <c r="D6" s="430">
        <f>(LOW_Std+Tariff_Additional)*$G$30*C6</f>
        <v>1388348.8045850187</v>
      </c>
      <c r="E6" s="431"/>
      <c r="F6" s="1578" t="s">
        <v>522</v>
      </c>
      <c r="G6" s="1579"/>
      <c r="I6" s="434" t="s">
        <v>523</v>
      </c>
      <c r="J6" s="435">
        <f>'Design Inputs'!D59</f>
        <v>0</v>
      </c>
      <c r="K6" s="438"/>
      <c r="L6" s="439"/>
    </row>
    <row r="7" spans="1:23">
      <c r="A7" s="422"/>
      <c r="B7" s="11" t="s">
        <v>524</v>
      </c>
      <c r="C7" s="403">
        <v>5.9999999999999995E-4</v>
      </c>
      <c r="D7" s="430">
        <f>(HIGH_Peak+Tariff_Additional)*$G$30*C7</f>
        <v>1307.0912957021985</v>
      </c>
      <c r="E7" s="431"/>
      <c r="F7" s="432" t="s">
        <v>525</v>
      </c>
      <c r="G7" s="440">
        <v>0.27</v>
      </c>
      <c r="I7" s="434" t="s">
        <v>526</v>
      </c>
      <c r="J7" s="435">
        <f>IF('Design Inputs'!F54="Yes",'Design Inputs'!D60,0)*(1+'4.3 Emergent Data'!G21)</f>
        <v>0</v>
      </c>
      <c r="K7" s="438"/>
      <c r="L7" s="439"/>
    </row>
    <row r="8" spans="1:23">
      <c r="A8" s="422"/>
      <c r="B8" s="11" t="s">
        <v>527</v>
      </c>
      <c r="C8" s="403">
        <v>2.7300000000000001E-2</v>
      </c>
      <c r="D8" s="430">
        <f>(HIGH_OffPeak+Tariff_Additional)*$G$30*C8</f>
        <v>59472.653954450041</v>
      </c>
      <c r="E8" s="431"/>
      <c r="F8" s="432" t="s">
        <v>528</v>
      </c>
      <c r="G8" s="441">
        <f>G11</f>
        <v>0.05</v>
      </c>
      <c r="I8" s="442"/>
      <c r="J8" s="443"/>
      <c r="K8" s="438"/>
      <c r="L8" s="439"/>
    </row>
    <row r="9" spans="1:23" ht="14" thickBot="1">
      <c r="A9" s="422"/>
      <c r="B9" s="11" t="s">
        <v>529</v>
      </c>
      <c r="C9" s="403">
        <v>9.4399999999999998E-2</v>
      </c>
      <c r="D9" s="430">
        <f>(HIGH_Std+Tariff_Additional)*$G$30*C9</f>
        <v>205649.0305238126</v>
      </c>
      <c r="E9" s="431"/>
      <c r="F9" s="432" t="s">
        <v>530</v>
      </c>
      <c r="G9" s="676">
        <v>0.1125</v>
      </c>
      <c r="H9" s="6" t="s">
        <v>531</v>
      </c>
      <c r="I9" s="444" t="s">
        <v>532</v>
      </c>
      <c r="J9" s="445">
        <f>'Design Inputs'!K69</f>
        <v>2.6492952500000007</v>
      </c>
      <c r="K9" s="446"/>
      <c r="L9" s="447"/>
    </row>
    <row r="10" spans="1:23" ht="14" thickBot="1">
      <c r="A10" s="422"/>
      <c r="B10" s="448" t="s">
        <v>533</v>
      </c>
      <c r="C10" s="449">
        <f>SUM(C4:C9)</f>
        <v>1</v>
      </c>
      <c r="D10" s="450">
        <f>SUM(D4:D9)</f>
        <v>2178485.4928369978</v>
      </c>
      <c r="E10" s="431"/>
      <c r="F10" s="432" t="s">
        <v>534</v>
      </c>
      <c r="G10" s="433">
        <v>0.05</v>
      </c>
    </row>
    <row r="11" spans="1:23" ht="14" thickTop="1">
      <c r="A11" s="422"/>
      <c r="B11" s="11"/>
      <c r="D11" s="261"/>
      <c r="F11" s="432" t="s">
        <v>535</v>
      </c>
      <c r="G11" s="441">
        <f>'Financial Inputs'!D11</f>
        <v>0.05</v>
      </c>
      <c r="J11" s="6">
        <f>'4.3 Emergent Data'!D17/'4.3 Emergent Data'!G19</f>
        <v>2.6492952500000007</v>
      </c>
    </row>
    <row r="12" spans="1:23">
      <c r="A12" s="422"/>
      <c r="B12" s="10" t="s">
        <v>536</v>
      </c>
      <c r="C12" s="451">
        <v>1</v>
      </c>
      <c r="D12" s="452">
        <f>'4.3 Emergent Data'!J7*G31</f>
        <v>0</v>
      </c>
      <c r="F12" s="432" t="s">
        <v>537</v>
      </c>
      <c r="G12" s="453">
        <v>0.15</v>
      </c>
    </row>
    <row r="13" spans="1:23" ht="14" thickBot="1">
      <c r="A13" s="422"/>
      <c r="B13" s="448" t="s">
        <v>538</v>
      </c>
      <c r="C13" s="449">
        <f>C12</f>
        <v>1</v>
      </c>
      <c r="D13" s="450">
        <f>D12</f>
        <v>0</v>
      </c>
      <c r="F13" s="1578" t="s">
        <v>539</v>
      </c>
      <c r="G13" s="1579"/>
    </row>
    <row r="14" spans="1:23" ht="14" thickTop="1">
      <c r="A14" s="422"/>
      <c r="B14" s="13"/>
      <c r="C14" s="12"/>
      <c r="D14" s="256"/>
      <c r="E14" s="403"/>
      <c r="F14" s="432" t="s">
        <v>540</v>
      </c>
      <c r="G14" s="843">
        <f>G7*G3*1</f>
        <v>2129965.4319229592</v>
      </c>
      <c r="H14" s="798" t="s">
        <v>973</v>
      </c>
      <c r="I14" s="1571"/>
      <c r="J14" s="1571"/>
      <c r="K14" s="1571"/>
      <c r="L14" s="1571"/>
    </row>
    <row r="15" spans="1:23">
      <c r="A15" s="422"/>
      <c r="B15" s="260" t="s">
        <v>541</v>
      </c>
      <c r="C15" s="403">
        <f>D10/D17</f>
        <v>1</v>
      </c>
      <c r="D15" s="430">
        <f>D10</f>
        <v>2178485.4928369978</v>
      </c>
      <c r="E15" s="454"/>
      <c r="F15" s="432" t="s">
        <v>542</v>
      </c>
      <c r="G15" s="645">
        <f>'Design Inputs'!N13*Projectsize</f>
        <v>897466.9</v>
      </c>
      <c r="H15" s="6" t="s">
        <v>543</v>
      </c>
    </row>
    <row r="16" spans="1:23" ht="14" thickBot="1">
      <c r="A16" s="422"/>
      <c r="B16" s="455" t="s">
        <v>544</v>
      </c>
      <c r="C16" s="456">
        <f>D13/D17</f>
        <v>0</v>
      </c>
      <c r="D16" s="457">
        <f>D13</f>
        <v>0</v>
      </c>
      <c r="E16" s="403"/>
      <c r="F16" s="432" t="s">
        <v>545</v>
      </c>
      <c r="G16" s="441">
        <v>2.5000000000000001E-2</v>
      </c>
      <c r="J16" s="863"/>
      <c r="M16" s="864"/>
    </row>
    <row r="17" spans="1:22" ht="14.5" thickTop="1" thickBot="1">
      <c r="A17" s="422"/>
      <c r="B17" s="458" t="s">
        <v>34</v>
      </c>
      <c r="C17" s="459">
        <f>SUM(C15:C16)</f>
        <v>1</v>
      </c>
      <c r="D17" s="460">
        <f>SUM(D10,D13)</f>
        <v>2178485.4928369978</v>
      </c>
      <c r="E17" s="454"/>
      <c r="F17" s="432" t="s">
        <v>546</v>
      </c>
      <c r="G17" s="441">
        <v>6.0000000000000001E-3</v>
      </c>
      <c r="I17" s="1580" t="s">
        <v>547</v>
      </c>
      <c r="J17" s="1581"/>
      <c r="K17" s="1581"/>
      <c r="L17" s="1582"/>
      <c r="M17" s="864"/>
    </row>
    <row r="18" spans="1:22" ht="14" thickBot="1">
      <c r="A18" s="422"/>
      <c r="B18" s="461"/>
      <c r="E18" s="454"/>
      <c r="F18" s="432" t="s">
        <v>548</v>
      </c>
      <c r="G18" s="441">
        <v>6.0000000000000001E-3</v>
      </c>
      <c r="I18" s="427"/>
      <c r="J18" s="428" t="s">
        <v>32</v>
      </c>
      <c r="K18" s="428" t="s">
        <v>516</v>
      </c>
      <c r="L18" s="429" t="s">
        <v>31</v>
      </c>
    </row>
    <row r="19" spans="1:22">
      <c r="A19" s="422"/>
      <c r="B19" s="1572" t="s">
        <v>533</v>
      </c>
      <c r="C19" s="1573"/>
      <c r="D19" s="1574"/>
      <c r="E19" s="454"/>
      <c r="F19" s="432" t="s">
        <v>549</v>
      </c>
      <c r="G19" s="645">
        <f>'Design Inputs'!D91*(1-'4.3 Emergent Data'!G16)</f>
        <v>822288.67954109586</v>
      </c>
      <c r="H19" s="912"/>
      <c r="I19" s="434" t="s">
        <v>518</v>
      </c>
      <c r="J19" s="928"/>
      <c r="K19" s="928"/>
      <c r="L19" s="929"/>
      <c r="M19" s="909"/>
      <c r="N19" s="909"/>
      <c r="O19" s="909"/>
      <c r="P19" s="909"/>
      <c r="Q19" s="909"/>
      <c r="R19" s="909"/>
      <c r="S19" s="909"/>
      <c r="T19" s="909"/>
      <c r="U19" s="909"/>
      <c r="V19" s="909"/>
    </row>
    <row r="20" spans="1:22">
      <c r="A20" s="422"/>
      <c r="B20" s="462" t="str">
        <f t="shared" ref="B20:C25" si="0">B4</f>
        <v>LowPeak</v>
      </c>
      <c r="C20" s="7">
        <f t="shared" si="0"/>
        <v>4.4299999999999999E-2</v>
      </c>
      <c r="D20" s="463">
        <f>LOW_Peak+Tariff_Additional</f>
        <v>2.6492952500000002</v>
      </c>
      <c r="E20" s="454"/>
      <c r="F20" s="432" t="s">
        <v>550</v>
      </c>
      <c r="G20" s="433">
        <f>D17</f>
        <v>2178485.4928369978</v>
      </c>
      <c r="I20" s="434" t="s">
        <v>520</v>
      </c>
      <c r="J20" s="928"/>
      <c r="K20" s="928"/>
      <c r="L20" s="929"/>
      <c r="M20" s="909"/>
      <c r="N20" s="909"/>
      <c r="O20" s="909"/>
      <c r="P20" s="909"/>
      <c r="Q20" s="909"/>
      <c r="R20" s="909"/>
      <c r="S20" s="909"/>
      <c r="T20" s="909"/>
      <c r="U20" s="909"/>
      <c r="V20" s="909"/>
    </row>
    <row r="21" spans="1:22">
      <c r="A21" s="422"/>
      <c r="B21" s="462" t="str">
        <f t="shared" si="0"/>
        <v>LowOff</v>
      </c>
      <c r="C21" s="7">
        <f t="shared" si="0"/>
        <v>0.1961</v>
      </c>
      <c r="D21" s="463">
        <f>LOW_OffPeak+Tariff_Additional</f>
        <v>2.6492952500000002</v>
      </c>
      <c r="E21" s="454"/>
      <c r="F21" s="432" t="s">
        <v>551</v>
      </c>
      <c r="G21" s="440">
        <v>0</v>
      </c>
      <c r="H21" s="6" t="s">
        <v>552</v>
      </c>
      <c r="I21" s="434" t="s">
        <v>523</v>
      </c>
      <c r="J21" s="928"/>
      <c r="K21" s="930" t="s">
        <v>553</v>
      </c>
      <c r="L21" s="439"/>
      <c r="M21" s="909"/>
      <c r="N21" s="909"/>
      <c r="O21" s="909"/>
      <c r="P21" s="909"/>
      <c r="Q21" s="909"/>
      <c r="R21" s="909"/>
      <c r="S21" s="909"/>
      <c r="T21" s="909"/>
    </row>
    <row r="22" spans="1:22">
      <c r="A22" s="422"/>
      <c r="B22" s="462" t="str">
        <f t="shared" si="0"/>
        <v>LowSTD</v>
      </c>
      <c r="C22" s="7">
        <f t="shared" si="0"/>
        <v>0.63729999999999998</v>
      </c>
      <c r="D22" s="463">
        <f>LOW_Std+Tariff_Additional</f>
        <v>2.6492952500000002</v>
      </c>
      <c r="E22" s="403"/>
      <c r="F22" s="432" t="s">
        <v>554</v>
      </c>
      <c r="G22" s="441">
        <v>0.09</v>
      </c>
      <c r="I22" s="434"/>
      <c r="J22" s="931"/>
      <c r="K22" s="931"/>
      <c r="L22" s="439"/>
    </row>
    <row r="23" spans="1:22" ht="14" thickBot="1">
      <c r="A23" s="422"/>
      <c r="B23" s="462" t="str">
        <f t="shared" si="0"/>
        <v>HighPeak</v>
      </c>
      <c r="C23" s="7">
        <f t="shared" si="0"/>
        <v>5.9999999999999995E-4</v>
      </c>
      <c r="D23" s="463">
        <f>HIGH_Peak+Tariff_Additional</f>
        <v>2.6492952500000002</v>
      </c>
      <c r="E23" s="7"/>
      <c r="F23" s="464" t="s">
        <v>555</v>
      </c>
      <c r="G23" s="465">
        <v>0.08</v>
      </c>
      <c r="I23" s="444" t="s">
        <v>556</v>
      </c>
      <c r="J23" s="932">
        <f>'Design Inputs'!K84</f>
        <v>0</v>
      </c>
      <c r="K23" s="446"/>
      <c r="L23" s="447"/>
    </row>
    <row r="24" spans="1:22" ht="14" thickBot="1">
      <c r="A24" s="422"/>
      <c r="B24" s="462" t="str">
        <f t="shared" si="0"/>
        <v>HighOFF</v>
      </c>
      <c r="C24" s="7">
        <f t="shared" si="0"/>
        <v>2.7300000000000001E-2</v>
      </c>
      <c r="D24" s="463">
        <f>HIGH_OffPeak+Tariff_Additional</f>
        <v>2.6492952500000002</v>
      </c>
    </row>
    <row r="25" spans="1:22" ht="14" thickBot="1">
      <c r="A25" s="422"/>
      <c r="B25" s="462" t="str">
        <f t="shared" si="0"/>
        <v>HighSTD</v>
      </c>
      <c r="C25" s="7">
        <f t="shared" si="0"/>
        <v>9.4399999999999998E-2</v>
      </c>
      <c r="D25" s="463">
        <f>HIGH_Std+Tariff_Additional</f>
        <v>2.6492952500000002</v>
      </c>
      <c r="F25" s="1575" t="s">
        <v>557</v>
      </c>
      <c r="G25" s="1576"/>
    </row>
    <row r="26" spans="1:22" ht="14" thickBot="1">
      <c r="A26" s="422"/>
      <c r="B26" s="466"/>
      <c r="C26" s="467"/>
      <c r="D26" s="468"/>
      <c r="F26" s="469" t="s">
        <v>558</v>
      </c>
      <c r="G26" s="920">
        <v>0.8</v>
      </c>
    </row>
    <row r="27" spans="1:22" ht="14.5" thickTop="1" thickBot="1">
      <c r="A27" s="422"/>
      <c r="B27" s="470" t="s">
        <v>559</v>
      </c>
      <c r="C27" s="471">
        <f>SUM(C20:C25)</f>
        <v>1</v>
      </c>
      <c r="D27" s="472">
        <f>D20*C20+D21*C21+D22*C22+D23*C23+D24*C24+D25*C25</f>
        <v>2.6492952499999998</v>
      </c>
      <c r="F27" s="469" t="s">
        <v>560</v>
      </c>
      <c r="G27" s="918">
        <f>'Financial Inputs'!D6</f>
        <v>10</v>
      </c>
    </row>
    <row r="28" spans="1:22" ht="14" thickBot="1">
      <c r="A28" s="422"/>
      <c r="E28" s="403"/>
      <c r="F28" s="1583" t="s">
        <v>561</v>
      </c>
      <c r="G28" s="1584"/>
      <c r="H28" s="1168" t="s">
        <v>984</v>
      </c>
    </row>
    <row r="29" spans="1:22">
      <c r="A29" s="422"/>
      <c r="F29" s="914" t="s">
        <v>562</v>
      </c>
      <c r="G29" s="919">
        <f>('Design Inputs'!L25-ROUNDDOWN('Design Inputs'!L25/7,0)*IF(AND('Design Inputs'!L23="N",'Design Inputs'!L24="N"),2,IF(OR('Design Inputs'!L23="N",'Design Inputs'!L24="N"),1,0))+(IF('Design Inputs'!L23="N",1,0)+IF('Design Inputs'!L24="N",1,0))*52)/365</f>
        <v>4.1095890410958902E-2</v>
      </c>
      <c r="H29" s="1169"/>
    </row>
    <row r="30" spans="1:22">
      <c r="A30" s="422"/>
      <c r="F30" s="469" t="s">
        <v>563</v>
      </c>
      <c r="G30" s="473">
        <f>G19-G31</f>
        <v>822288.67954109586</v>
      </c>
      <c r="H30" s="1170" cm="1">
        <f t="array" ref="H30">G30/Project_Size</f>
        <v>1710.6067808219177</v>
      </c>
    </row>
    <row r="31" spans="1:22">
      <c r="A31" s="422"/>
      <c r="F31" s="469" t="s">
        <v>564</v>
      </c>
      <c r="G31" s="473">
        <f>IF('Design Inputs'!F54="Yes", G29*G19,0)</f>
        <v>0</v>
      </c>
      <c r="H31" s="1170" cm="1">
        <f t="array" ref="H31">G31/Project_Size</f>
        <v>0</v>
      </c>
    </row>
    <row r="32" spans="1:22">
      <c r="A32" s="422"/>
      <c r="F32" s="469" t="s">
        <v>565</v>
      </c>
      <c r="G32" s="908">
        <f>IF('Design Inputs'!F54="No",('Design Inputs'!L25-ROUNDDOWN('Design Inputs'!L25/7,0)*IF(AND('Design Inputs'!L23="N",'Design Inputs'!L24="N"),2,IF(OR('Design Inputs'!L23="N",'Design Inputs'!L24="N"),1,0))+(IF('Design Inputs'!L23="N",1,0)+IF('Design Inputs'!L24="N",1,0))*52)/365,0)</f>
        <v>4.1095890410958902E-2</v>
      </c>
      <c r="H32" s="1171"/>
    </row>
    <row r="33" spans="1:8" ht="14" thickBot="1">
      <c r="A33" s="422"/>
      <c r="F33" s="474" t="s">
        <v>566</v>
      </c>
      <c r="G33" s="915">
        <f>IF('Design Inputs'!F54="No", G29*G15*(1-G16-G17-0.02),0)</f>
        <v>35001.209099999993</v>
      </c>
      <c r="H33" s="1172"/>
    </row>
    <row r="34" spans="1:8">
      <c r="A34" s="422"/>
    </row>
    <row r="35" spans="1:8" ht="14.25" customHeight="1">
      <c r="A35" s="422"/>
      <c r="G35" s="910"/>
    </row>
    <row r="36" spans="1:8">
      <c r="A36" s="422"/>
    </row>
    <row r="37" spans="1:8">
      <c r="A37" s="422"/>
    </row>
    <row r="38" spans="1:8">
      <c r="A38" s="422"/>
      <c r="G38" s="403"/>
    </row>
    <row r="39" spans="1:8">
      <c r="A39" s="422"/>
      <c r="G39" s="643"/>
    </row>
    <row r="40" spans="1:8">
      <c r="A40" s="422"/>
    </row>
    <row r="41" spans="1:8">
      <c r="A41" s="422"/>
      <c r="B41" s="461"/>
    </row>
    <row r="42" spans="1:8">
      <c r="A42" s="422"/>
      <c r="B42" s="461"/>
      <c r="G42" s="911"/>
    </row>
    <row r="43" spans="1:8">
      <c r="A43" s="422"/>
      <c r="B43" s="461"/>
    </row>
    <row r="44" spans="1:8">
      <c r="A44" s="422"/>
      <c r="B44" s="461"/>
    </row>
    <row r="45" spans="1:8">
      <c r="A45" s="422"/>
      <c r="B45" s="461"/>
    </row>
    <row r="46" spans="1:8">
      <c r="A46" s="422"/>
      <c r="B46" s="461"/>
    </row>
    <row r="47" spans="1:8">
      <c r="A47" s="422"/>
      <c r="B47" s="461"/>
    </row>
    <row r="48" spans="1:8">
      <c r="A48" s="422"/>
      <c r="B48" s="461"/>
    </row>
    <row r="49" spans="1:2">
      <c r="A49" s="422"/>
      <c r="B49" s="461"/>
    </row>
    <row r="50" spans="1:2">
      <c r="A50" s="422"/>
      <c r="B50" s="461"/>
    </row>
    <row r="51" spans="1:2">
      <c r="A51" s="422"/>
      <c r="B51" s="461"/>
    </row>
    <row r="52" spans="1:2">
      <c r="A52" s="422"/>
      <c r="B52" s="461"/>
    </row>
    <row r="53" spans="1:2">
      <c r="A53" s="422"/>
      <c r="B53" s="461"/>
    </row>
    <row r="54" spans="1:2">
      <c r="A54" s="422"/>
      <c r="B54" s="461"/>
    </row>
    <row r="55" spans="1:2">
      <c r="A55" s="422"/>
      <c r="B55" s="461"/>
    </row>
    <row r="56" spans="1:2">
      <c r="A56" s="422"/>
      <c r="B56" s="461"/>
    </row>
    <row r="57" spans="1:2">
      <c r="A57" s="422"/>
      <c r="B57" s="461"/>
    </row>
    <row r="58" spans="1:2">
      <c r="A58" s="422"/>
      <c r="B58" s="461"/>
    </row>
    <row r="59" spans="1:2">
      <c r="A59" s="422"/>
      <c r="B59" s="461"/>
    </row>
    <row r="60" spans="1:2">
      <c r="A60" s="422"/>
      <c r="B60" s="461"/>
    </row>
    <row r="61" spans="1:2">
      <c r="A61" s="422"/>
      <c r="B61" s="461"/>
    </row>
    <row r="62" spans="1:2">
      <c r="A62" s="422"/>
      <c r="B62" s="461"/>
    </row>
    <row r="63" spans="1:2">
      <c r="A63" s="422"/>
      <c r="B63" s="461"/>
    </row>
    <row r="64" spans="1:2">
      <c r="A64" s="422"/>
      <c r="B64" s="461"/>
    </row>
    <row r="65" spans="1:2">
      <c r="A65" s="422"/>
      <c r="B65" s="461"/>
    </row>
    <row r="66" spans="1:2">
      <c r="A66" s="422"/>
      <c r="B66" s="461"/>
    </row>
    <row r="67" spans="1:2">
      <c r="A67" s="422"/>
      <c r="B67" s="461"/>
    </row>
    <row r="68" spans="1:2">
      <c r="A68" s="422"/>
      <c r="B68" s="461"/>
    </row>
    <row r="69" spans="1:2">
      <c r="A69" s="422"/>
      <c r="B69" s="461"/>
    </row>
    <row r="70" spans="1:2">
      <c r="A70" s="422"/>
      <c r="B70" s="461"/>
    </row>
    <row r="71" spans="1:2">
      <c r="A71" s="422"/>
      <c r="B71" s="461"/>
    </row>
    <row r="72" spans="1:2">
      <c r="A72" s="422"/>
      <c r="B72" s="461"/>
    </row>
    <row r="73" spans="1:2">
      <c r="A73" s="422"/>
      <c r="B73" s="461"/>
    </row>
    <row r="74" spans="1:2">
      <c r="A74" s="422"/>
      <c r="B74" s="461"/>
    </row>
    <row r="75" spans="1:2">
      <c r="A75" s="422"/>
      <c r="B75" s="461"/>
    </row>
    <row r="76" spans="1:2">
      <c r="A76" s="422"/>
      <c r="B76" s="461"/>
    </row>
    <row r="77" spans="1:2">
      <c r="A77" s="422"/>
      <c r="B77" s="461"/>
    </row>
    <row r="78" spans="1:2">
      <c r="A78" s="422"/>
      <c r="B78" s="461"/>
    </row>
    <row r="79" spans="1:2">
      <c r="A79" s="422"/>
      <c r="B79" s="461"/>
    </row>
    <row r="80" spans="1:2">
      <c r="A80" s="422"/>
      <c r="B80" s="461"/>
    </row>
    <row r="81" spans="1:2">
      <c r="A81" s="422"/>
      <c r="B81" s="461"/>
    </row>
    <row r="82" spans="1:2">
      <c r="A82" s="422"/>
      <c r="B82" s="461"/>
    </row>
    <row r="83" spans="1:2">
      <c r="A83" s="422"/>
      <c r="B83" s="461"/>
    </row>
    <row r="84" spans="1:2">
      <c r="A84" s="422"/>
      <c r="B84" s="461"/>
    </row>
    <row r="85" spans="1:2">
      <c r="A85" s="422"/>
      <c r="B85" s="461"/>
    </row>
    <row r="86" spans="1:2">
      <c r="A86" s="422"/>
      <c r="B86" s="461"/>
    </row>
    <row r="87" spans="1:2">
      <c r="A87" s="422"/>
      <c r="B87" s="461"/>
    </row>
    <row r="88" spans="1:2">
      <c r="A88" s="422"/>
      <c r="B88" s="461"/>
    </row>
    <row r="89" spans="1:2">
      <c r="A89" s="422"/>
      <c r="B89" s="461"/>
    </row>
    <row r="90" spans="1:2">
      <c r="A90" s="422"/>
      <c r="B90" s="461"/>
    </row>
    <row r="91" spans="1:2">
      <c r="A91" s="422"/>
      <c r="B91" s="461"/>
    </row>
    <row r="92" spans="1:2">
      <c r="A92" s="422"/>
      <c r="B92" s="461"/>
    </row>
    <row r="93" spans="1:2">
      <c r="A93" s="422"/>
      <c r="B93" s="461"/>
    </row>
    <row r="94" spans="1:2">
      <c r="A94" s="422"/>
      <c r="B94" s="461"/>
    </row>
    <row r="95" spans="1:2">
      <c r="A95" s="422"/>
      <c r="B95" s="461"/>
    </row>
    <row r="96" spans="1:2">
      <c r="A96" s="422"/>
      <c r="B96" s="461"/>
    </row>
    <row r="97" spans="1:2">
      <c r="A97" s="422"/>
      <c r="B97" s="461"/>
    </row>
    <row r="98" spans="1:2">
      <c r="A98" s="422"/>
      <c r="B98" s="461"/>
    </row>
    <row r="99" spans="1:2">
      <c r="A99" s="422"/>
      <c r="B99" s="461"/>
    </row>
    <row r="100" spans="1:2">
      <c r="A100" s="422"/>
      <c r="B100" s="461"/>
    </row>
    <row r="101" spans="1:2">
      <c r="A101" s="422"/>
      <c r="B101" s="461"/>
    </row>
    <row r="102" spans="1:2">
      <c r="A102" s="422"/>
      <c r="B102" s="461"/>
    </row>
    <row r="103" spans="1:2">
      <c r="A103" s="422"/>
      <c r="B103" s="461"/>
    </row>
    <row r="104" spans="1:2">
      <c r="A104" s="422"/>
      <c r="B104" s="461"/>
    </row>
    <row r="105" spans="1:2">
      <c r="A105" s="422"/>
      <c r="B105" s="461"/>
    </row>
    <row r="106" spans="1:2">
      <c r="A106" s="422"/>
      <c r="B106" s="461"/>
    </row>
    <row r="107" spans="1:2">
      <c r="A107" s="422"/>
      <c r="B107" s="461"/>
    </row>
    <row r="108" spans="1:2">
      <c r="A108" s="422"/>
      <c r="B108" s="461"/>
    </row>
    <row r="109" spans="1:2">
      <c r="A109" s="422"/>
      <c r="B109" s="461"/>
    </row>
    <row r="110" spans="1:2">
      <c r="A110" s="422"/>
      <c r="B110" s="461"/>
    </row>
    <row r="111" spans="1:2">
      <c r="A111" s="422"/>
      <c r="B111" s="461"/>
    </row>
    <row r="112" spans="1:2">
      <c r="A112" s="422"/>
      <c r="B112" s="461"/>
    </row>
    <row r="113" spans="1:2">
      <c r="A113" s="422"/>
      <c r="B113" s="461"/>
    </row>
    <row r="114" spans="1:2">
      <c r="A114" s="422"/>
      <c r="B114" s="461"/>
    </row>
    <row r="115" spans="1:2">
      <c r="A115" s="422"/>
      <c r="B115" s="461"/>
    </row>
    <row r="116" spans="1:2">
      <c r="A116" s="422"/>
      <c r="B116" s="461"/>
    </row>
    <row r="117" spans="1:2">
      <c r="A117" s="422"/>
      <c r="B117" s="461"/>
    </row>
    <row r="118" spans="1:2">
      <c r="A118" s="422"/>
      <c r="B118" s="461"/>
    </row>
    <row r="119" spans="1:2">
      <c r="A119" s="422"/>
      <c r="B119" s="461"/>
    </row>
    <row r="120" spans="1:2">
      <c r="A120" s="422"/>
      <c r="B120" s="461"/>
    </row>
    <row r="121" spans="1:2">
      <c r="A121" s="422"/>
      <c r="B121" s="461"/>
    </row>
    <row r="122" spans="1:2">
      <c r="A122" s="422"/>
      <c r="B122" s="461"/>
    </row>
    <row r="123" spans="1:2">
      <c r="A123" s="422"/>
      <c r="B123" s="461"/>
    </row>
    <row r="124" spans="1:2">
      <c r="A124" s="422"/>
      <c r="B124" s="461"/>
    </row>
    <row r="125" spans="1:2">
      <c r="A125" s="422"/>
      <c r="B125" s="461"/>
    </row>
    <row r="126" spans="1:2">
      <c r="A126" s="422"/>
      <c r="B126" s="461"/>
    </row>
    <row r="127" spans="1:2">
      <c r="A127" s="422"/>
      <c r="B127" s="461"/>
    </row>
    <row r="128" spans="1:2">
      <c r="A128" s="422"/>
      <c r="B128" s="461"/>
    </row>
    <row r="129" spans="1:2">
      <c r="A129" s="422"/>
      <c r="B129" s="461"/>
    </row>
    <row r="130" spans="1:2">
      <c r="A130" s="422"/>
      <c r="B130" s="461"/>
    </row>
    <row r="131" spans="1:2">
      <c r="A131" s="422"/>
      <c r="B131" s="461"/>
    </row>
    <row r="132" spans="1:2">
      <c r="A132" s="422"/>
      <c r="B132" s="461"/>
    </row>
    <row r="133" spans="1:2">
      <c r="A133" s="422"/>
      <c r="B133" s="461"/>
    </row>
    <row r="134" spans="1:2">
      <c r="A134" s="422"/>
      <c r="B134" s="461"/>
    </row>
    <row r="135" spans="1:2">
      <c r="A135" s="422"/>
      <c r="B135" s="461"/>
    </row>
    <row r="136" spans="1:2">
      <c r="A136" s="422"/>
      <c r="B136" s="461"/>
    </row>
    <row r="137" spans="1:2">
      <c r="A137" s="422"/>
      <c r="B137" s="461"/>
    </row>
    <row r="138" spans="1:2">
      <c r="A138" s="422"/>
      <c r="B138" s="461"/>
    </row>
    <row r="139" spans="1:2">
      <c r="A139" s="422"/>
      <c r="B139" s="461"/>
    </row>
    <row r="140" spans="1:2">
      <c r="A140" s="422"/>
      <c r="B140" s="461"/>
    </row>
    <row r="141" spans="1:2">
      <c r="A141" s="422"/>
      <c r="B141" s="461"/>
    </row>
    <row r="142" spans="1:2">
      <c r="A142" s="422"/>
      <c r="B142" s="461"/>
    </row>
    <row r="143" spans="1:2">
      <c r="A143" s="422"/>
      <c r="B143" s="461"/>
    </row>
    <row r="144" spans="1:2">
      <c r="A144" s="422"/>
      <c r="B144" s="461"/>
    </row>
    <row r="145" spans="1:2">
      <c r="A145" s="422"/>
      <c r="B145" s="461"/>
    </row>
    <row r="146" spans="1:2">
      <c r="A146" s="422"/>
      <c r="B146" s="461"/>
    </row>
    <row r="147" spans="1:2">
      <c r="A147" s="422"/>
      <c r="B147" s="461"/>
    </row>
    <row r="148" spans="1:2">
      <c r="A148" s="422"/>
      <c r="B148" s="461"/>
    </row>
    <row r="149" spans="1:2">
      <c r="A149" s="422"/>
      <c r="B149" s="461"/>
    </row>
    <row r="150" spans="1:2">
      <c r="A150" s="422"/>
      <c r="B150" s="461"/>
    </row>
    <row r="151" spans="1:2">
      <c r="A151" s="422"/>
      <c r="B151" s="461"/>
    </row>
    <row r="152" spans="1:2">
      <c r="A152" s="422"/>
      <c r="B152" s="461"/>
    </row>
    <row r="153" spans="1:2">
      <c r="A153" s="422"/>
      <c r="B153" s="461"/>
    </row>
    <row r="154" spans="1:2">
      <c r="A154" s="422"/>
      <c r="B154" s="461"/>
    </row>
    <row r="155" spans="1:2">
      <c r="A155" s="422"/>
      <c r="B155" s="461"/>
    </row>
    <row r="156" spans="1:2">
      <c r="A156" s="422"/>
      <c r="B156" s="461"/>
    </row>
    <row r="157" spans="1:2">
      <c r="A157" s="422"/>
      <c r="B157" s="461"/>
    </row>
    <row r="158" spans="1:2">
      <c r="A158" s="422"/>
      <c r="B158" s="461"/>
    </row>
    <row r="159" spans="1:2">
      <c r="A159" s="422"/>
      <c r="B159" s="461"/>
    </row>
    <row r="160" spans="1:2">
      <c r="A160" s="422"/>
      <c r="B160" s="461"/>
    </row>
    <row r="161" spans="1:2">
      <c r="A161" s="422"/>
      <c r="B161" s="461"/>
    </row>
    <row r="162" spans="1:2">
      <c r="A162" s="422"/>
      <c r="B162" s="461"/>
    </row>
    <row r="163" spans="1:2">
      <c r="A163" s="422"/>
      <c r="B163" s="461"/>
    </row>
    <row r="164" spans="1:2">
      <c r="A164" s="422"/>
      <c r="B164" s="461"/>
    </row>
    <row r="165" spans="1:2">
      <c r="A165" s="422"/>
      <c r="B165" s="461"/>
    </row>
    <row r="166" spans="1:2">
      <c r="A166" s="422"/>
      <c r="B166" s="461"/>
    </row>
    <row r="167" spans="1:2">
      <c r="A167" s="422"/>
      <c r="B167" s="461"/>
    </row>
    <row r="168" spans="1:2">
      <c r="A168" s="422"/>
      <c r="B168" s="461"/>
    </row>
    <row r="169" spans="1:2">
      <c r="A169" s="422"/>
      <c r="B169" s="461"/>
    </row>
    <row r="170" spans="1:2">
      <c r="A170" s="422"/>
      <c r="B170" s="461"/>
    </row>
    <row r="171" spans="1:2">
      <c r="A171" s="422"/>
      <c r="B171" s="461"/>
    </row>
    <row r="172" spans="1:2">
      <c r="A172" s="422"/>
      <c r="B172" s="461"/>
    </row>
    <row r="173" spans="1:2">
      <c r="A173" s="422"/>
      <c r="B173" s="461"/>
    </row>
    <row r="174" spans="1:2">
      <c r="A174" s="422"/>
      <c r="B174" s="461"/>
    </row>
    <row r="175" spans="1:2">
      <c r="A175" s="422"/>
      <c r="B175" s="461"/>
    </row>
    <row r="176" spans="1:2">
      <c r="A176" s="422"/>
      <c r="B176" s="461"/>
    </row>
    <row r="177" spans="1:2">
      <c r="A177" s="422"/>
      <c r="B177" s="461"/>
    </row>
    <row r="178" spans="1:2">
      <c r="A178" s="422"/>
      <c r="B178" s="461"/>
    </row>
    <row r="179" spans="1:2">
      <c r="A179" s="422"/>
      <c r="B179" s="461"/>
    </row>
    <row r="180" spans="1:2">
      <c r="A180" s="422"/>
      <c r="B180" s="461"/>
    </row>
    <row r="181" spans="1:2">
      <c r="A181" s="422"/>
      <c r="B181" s="461"/>
    </row>
    <row r="182" spans="1:2">
      <c r="A182" s="422"/>
      <c r="B182" s="461"/>
    </row>
    <row r="183" spans="1:2">
      <c r="A183" s="422"/>
      <c r="B183" s="461"/>
    </row>
    <row r="184" spans="1:2">
      <c r="A184" s="422"/>
      <c r="B184" s="461"/>
    </row>
    <row r="185" spans="1:2">
      <c r="A185" s="422"/>
      <c r="B185" s="461"/>
    </row>
    <row r="186" spans="1:2">
      <c r="A186" s="422"/>
      <c r="B186" s="461"/>
    </row>
    <row r="187" spans="1:2">
      <c r="A187" s="422"/>
      <c r="B187" s="461"/>
    </row>
    <row r="188" spans="1:2">
      <c r="A188" s="422"/>
      <c r="B188" s="461"/>
    </row>
    <row r="189" spans="1:2">
      <c r="A189" s="422"/>
      <c r="B189" s="461"/>
    </row>
    <row r="190" spans="1:2">
      <c r="A190" s="422"/>
      <c r="B190" s="461"/>
    </row>
    <row r="191" spans="1:2">
      <c r="A191" s="422"/>
      <c r="B191" s="461"/>
    </row>
    <row r="192" spans="1:2">
      <c r="A192" s="422"/>
      <c r="B192" s="461"/>
    </row>
    <row r="193" spans="1:2">
      <c r="A193" s="422"/>
      <c r="B193" s="461"/>
    </row>
    <row r="194" spans="1:2">
      <c r="A194" s="422"/>
      <c r="B194" s="461"/>
    </row>
    <row r="195" spans="1:2">
      <c r="A195" s="422"/>
      <c r="B195" s="461"/>
    </row>
    <row r="196" spans="1:2">
      <c r="A196" s="422"/>
      <c r="B196" s="461"/>
    </row>
    <row r="197" spans="1:2">
      <c r="A197" s="422"/>
      <c r="B197" s="461"/>
    </row>
    <row r="198" spans="1:2">
      <c r="A198" s="422"/>
      <c r="B198" s="461"/>
    </row>
    <row r="199" spans="1:2">
      <c r="A199" s="422"/>
      <c r="B199" s="461"/>
    </row>
    <row r="200" spans="1:2">
      <c r="A200" s="422"/>
      <c r="B200" s="461"/>
    </row>
    <row r="201" spans="1:2">
      <c r="A201" s="422"/>
      <c r="B201" s="461"/>
    </row>
    <row r="202" spans="1:2">
      <c r="A202" s="422"/>
      <c r="B202" s="461"/>
    </row>
    <row r="203" spans="1:2">
      <c r="A203" s="422"/>
      <c r="B203" s="461"/>
    </row>
    <row r="204" spans="1:2">
      <c r="A204" s="422"/>
      <c r="B204" s="461"/>
    </row>
    <row r="205" spans="1:2">
      <c r="A205" s="422"/>
      <c r="B205" s="461"/>
    </row>
    <row r="206" spans="1:2">
      <c r="A206" s="422"/>
      <c r="B206" s="461"/>
    </row>
    <row r="207" spans="1:2">
      <c r="A207" s="422"/>
      <c r="B207" s="461"/>
    </row>
    <row r="208" spans="1:2">
      <c r="A208" s="422"/>
      <c r="B208" s="461"/>
    </row>
    <row r="209" spans="1:2">
      <c r="A209" s="422"/>
      <c r="B209" s="461"/>
    </row>
    <row r="210" spans="1:2">
      <c r="A210" s="422"/>
      <c r="B210" s="461"/>
    </row>
    <row r="211" spans="1:2">
      <c r="A211" s="422"/>
      <c r="B211" s="461"/>
    </row>
    <row r="212" spans="1:2">
      <c r="A212" s="422"/>
      <c r="B212" s="461"/>
    </row>
    <row r="213" spans="1:2">
      <c r="A213" s="422"/>
      <c r="B213" s="461"/>
    </row>
    <row r="214" spans="1:2">
      <c r="A214" s="422"/>
      <c r="B214" s="461"/>
    </row>
    <row r="215" spans="1:2">
      <c r="A215" s="422"/>
      <c r="B215" s="461"/>
    </row>
    <row r="216" spans="1:2">
      <c r="A216" s="422"/>
      <c r="B216" s="461"/>
    </row>
    <row r="217" spans="1:2">
      <c r="A217" s="422"/>
      <c r="B217" s="461"/>
    </row>
    <row r="218" spans="1:2">
      <c r="A218" s="422"/>
      <c r="B218" s="461"/>
    </row>
    <row r="219" spans="1:2">
      <c r="A219" s="422"/>
      <c r="B219" s="461"/>
    </row>
    <row r="220" spans="1:2">
      <c r="A220" s="422"/>
      <c r="B220" s="461"/>
    </row>
    <row r="221" spans="1:2">
      <c r="A221" s="422"/>
      <c r="B221" s="461"/>
    </row>
    <row r="222" spans="1:2">
      <c r="A222" s="422"/>
      <c r="B222" s="461"/>
    </row>
    <row r="223" spans="1:2">
      <c r="A223" s="422"/>
      <c r="B223" s="461"/>
    </row>
    <row r="224" spans="1:2">
      <c r="A224" s="422"/>
      <c r="B224" s="461"/>
    </row>
    <row r="225" spans="1:2">
      <c r="A225" s="422"/>
      <c r="B225" s="461"/>
    </row>
    <row r="226" spans="1:2">
      <c r="A226" s="422"/>
      <c r="B226" s="461"/>
    </row>
    <row r="227" spans="1:2">
      <c r="A227" s="422"/>
      <c r="B227" s="461"/>
    </row>
    <row r="228" spans="1:2">
      <c r="A228" s="422"/>
      <c r="B228" s="461"/>
    </row>
    <row r="229" spans="1:2">
      <c r="A229" s="422"/>
      <c r="B229" s="461"/>
    </row>
    <row r="230" spans="1:2">
      <c r="A230" s="422"/>
      <c r="B230" s="461"/>
    </row>
    <row r="231" spans="1:2">
      <c r="A231" s="422"/>
      <c r="B231" s="461"/>
    </row>
    <row r="232" spans="1:2">
      <c r="A232" s="422"/>
      <c r="B232" s="461"/>
    </row>
    <row r="233" spans="1:2">
      <c r="A233" s="422"/>
      <c r="B233" s="461"/>
    </row>
    <row r="234" spans="1:2">
      <c r="A234" s="422"/>
      <c r="B234" s="461"/>
    </row>
    <row r="235" spans="1:2">
      <c r="A235" s="422"/>
      <c r="B235" s="461"/>
    </row>
    <row r="236" spans="1:2">
      <c r="A236" s="422"/>
      <c r="B236" s="461"/>
    </row>
    <row r="237" spans="1:2">
      <c r="A237" s="422"/>
      <c r="B237" s="461"/>
    </row>
    <row r="238" spans="1:2">
      <c r="A238" s="422"/>
      <c r="B238" s="461"/>
    </row>
    <row r="239" spans="1:2">
      <c r="A239" s="422"/>
      <c r="B239" s="461"/>
    </row>
    <row r="240" spans="1:2">
      <c r="A240" s="422"/>
      <c r="B240" s="461"/>
    </row>
    <row r="241" spans="1:2">
      <c r="A241" s="422"/>
      <c r="B241" s="461"/>
    </row>
    <row r="242" spans="1:2">
      <c r="A242" s="422"/>
      <c r="B242" s="461"/>
    </row>
    <row r="243" spans="1:2">
      <c r="A243" s="422"/>
      <c r="B243" s="461"/>
    </row>
    <row r="244" spans="1:2">
      <c r="A244" s="422"/>
      <c r="B244" s="461"/>
    </row>
    <row r="245" spans="1:2">
      <c r="A245" s="422"/>
      <c r="B245" s="461"/>
    </row>
    <row r="246" spans="1:2">
      <c r="A246" s="422"/>
      <c r="B246" s="461"/>
    </row>
    <row r="247" spans="1:2">
      <c r="A247" s="422"/>
      <c r="B247" s="461"/>
    </row>
    <row r="248" spans="1:2">
      <c r="A248" s="422"/>
      <c r="B248" s="461"/>
    </row>
    <row r="249" spans="1:2">
      <c r="A249" s="422"/>
      <c r="B249" s="461"/>
    </row>
    <row r="250" spans="1:2">
      <c r="A250" s="422"/>
      <c r="B250" s="461"/>
    </row>
    <row r="251" spans="1:2">
      <c r="A251" s="422"/>
      <c r="B251" s="461"/>
    </row>
    <row r="252" spans="1:2">
      <c r="A252" s="422"/>
      <c r="B252" s="461"/>
    </row>
    <row r="253" spans="1:2">
      <c r="A253" s="422"/>
      <c r="B253" s="461"/>
    </row>
    <row r="254" spans="1:2">
      <c r="A254" s="422"/>
      <c r="B254" s="461"/>
    </row>
    <row r="255" spans="1:2">
      <c r="A255" s="422"/>
      <c r="B255" s="461"/>
    </row>
    <row r="256" spans="1:2">
      <c r="A256" s="422"/>
      <c r="B256" s="461"/>
    </row>
    <row r="257" spans="1:2">
      <c r="A257" s="422"/>
      <c r="B257" s="461"/>
    </row>
    <row r="258" spans="1:2">
      <c r="A258" s="422"/>
      <c r="B258" s="461"/>
    </row>
    <row r="259" spans="1:2">
      <c r="A259" s="422"/>
      <c r="B259" s="461"/>
    </row>
    <row r="260" spans="1:2">
      <c r="A260" s="422"/>
      <c r="B260" s="461"/>
    </row>
    <row r="261" spans="1:2">
      <c r="A261" s="422"/>
      <c r="B261" s="461"/>
    </row>
    <row r="262" spans="1:2">
      <c r="A262" s="422"/>
      <c r="B262" s="461"/>
    </row>
    <row r="263" spans="1:2">
      <c r="A263" s="422"/>
      <c r="B263" s="461"/>
    </row>
    <row r="264" spans="1:2">
      <c r="A264" s="422"/>
      <c r="B264" s="461"/>
    </row>
    <row r="265" spans="1:2">
      <c r="A265" s="422"/>
      <c r="B265" s="461"/>
    </row>
    <row r="266" spans="1:2">
      <c r="A266" s="422"/>
      <c r="B266" s="461"/>
    </row>
    <row r="267" spans="1:2">
      <c r="A267" s="422"/>
      <c r="B267" s="461"/>
    </row>
    <row r="268" spans="1:2">
      <c r="A268" s="422"/>
      <c r="B268" s="461"/>
    </row>
    <row r="269" spans="1:2">
      <c r="A269" s="422"/>
      <c r="B269" s="461"/>
    </row>
    <row r="270" spans="1:2">
      <c r="A270" s="422"/>
      <c r="B270" s="461"/>
    </row>
    <row r="271" spans="1:2">
      <c r="A271" s="422"/>
      <c r="B271" s="461"/>
    </row>
    <row r="272" spans="1:2">
      <c r="A272" s="422"/>
      <c r="B272" s="461"/>
    </row>
    <row r="273" spans="1:2">
      <c r="A273" s="422"/>
      <c r="B273" s="461"/>
    </row>
    <row r="274" spans="1:2">
      <c r="A274" s="422"/>
      <c r="B274" s="461"/>
    </row>
    <row r="275" spans="1:2">
      <c r="A275" s="422"/>
      <c r="B275" s="461"/>
    </row>
    <row r="276" spans="1:2">
      <c r="A276" s="422"/>
      <c r="B276" s="461"/>
    </row>
    <row r="277" spans="1:2">
      <c r="A277" s="422"/>
      <c r="B277" s="461"/>
    </row>
    <row r="278" spans="1:2">
      <c r="A278" s="422"/>
      <c r="B278" s="461"/>
    </row>
    <row r="279" spans="1:2">
      <c r="A279" s="422"/>
      <c r="B279" s="461"/>
    </row>
    <row r="280" spans="1:2">
      <c r="A280" s="422"/>
      <c r="B280" s="461"/>
    </row>
    <row r="281" spans="1:2">
      <c r="A281" s="422"/>
      <c r="B281" s="461"/>
    </row>
    <row r="282" spans="1:2">
      <c r="A282" s="422"/>
      <c r="B282" s="461"/>
    </row>
    <row r="283" spans="1:2">
      <c r="A283" s="422"/>
      <c r="B283" s="461"/>
    </row>
    <row r="284" spans="1:2">
      <c r="A284" s="422"/>
      <c r="B284" s="461"/>
    </row>
    <row r="285" spans="1:2">
      <c r="A285" s="422"/>
      <c r="B285" s="461"/>
    </row>
    <row r="286" spans="1:2">
      <c r="A286" s="422"/>
      <c r="B286" s="461"/>
    </row>
    <row r="287" spans="1:2">
      <c r="A287" s="422"/>
      <c r="B287" s="461"/>
    </row>
    <row r="288" spans="1:2">
      <c r="A288" s="422"/>
      <c r="B288" s="461"/>
    </row>
    <row r="289" spans="1:2">
      <c r="A289" s="422"/>
      <c r="B289" s="461"/>
    </row>
    <row r="290" spans="1:2">
      <c r="A290" s="422"/>
      <c r="B290" s="461"/>
    </row>
    <row r="291" spans="1:2">
      <c r="A291" s="422"/>
      <c r="B291" s="461"/>
    </row>
    <row r="292" spans="1:2">
      <c r="A292" s="422"/>
      <c r="B292" s="461"/>
    </row>
    <row r="293" spans="1:2">
      <c r="A293" s="422"/>
      <c r="B293" s="461"/>
    </row>
    <row r="294" spans="1:2">
      <c r="A294" s="422"/>
      <c r="B294" s="461"/>
    </row>
    <row r="295" spans="1:2">
      <c r="A295" s="422"/>
      <c r="B295" s="461"/>
    </row>
    <row r="296" spans="1:2">
      <c r="A296" s="422"/>
      <c r="B296" s="461"/>
    </row>
    <row r="297" spans="1:2">
      <c r="A297" s="422"/>
      <c r="B297" s="461"/>
    </row>
    <row r="298" spans="1:2">
      <c r="A298" s="422"/>
      <c r="B298" s="461"/>
    </row>
    <row r="299" spans="1:2">
      <c r="A299" s="422"/>
      <c r="B299" s="461"/>
    </row>
    <row r="300" spans="1:2">
      <c r="A300" s="422"/>
      <c r="B300" s="461"/>
    </row>
    <row r="301" spans="1:2">
      <c r="A301" s="422"/>
      <c r="B301" s="461"/>
    </row>
    <row r="302" spans="1:2">
      <c r="A302" s="422"/>
      <c r="B302" s="461"/>
    </row>
    <row r="303" spans="1:2">
      <c r="A303" s="422"/>
      <c r="B303" s="461"/>
    </row>
    <row r="304" spans="1:2">
      <c r="A304" s="422"/>
      <c r="B304" s="461"/>
    </row>
    <row r="305" spans="1:2">
      <c r="A305" s="422"/>
      <c r="B305" s="461"/>
    </row>
    <row r="306" spans="1:2">
      <c r="A306" s="422"/>
      <c r="B306" s="461"/>
    </row>
    <row r="307" spans="1:2">
      <c r="A307" s="422"/>
      <c r="B307" s="461"/>
    </row>
    <row r="308" spans="1:2">
      <c r="A308" s="422"/>
      <c r="B308" s="461"/>
    </row>
    <row r="309" spans="1:2">
      <c r="A309" s="422"/>
      <c r="B309" s="461"/>
    </row>
    <row r="310" spans="1:2">
      <c r="A310" s="422"/>
      <c r="B310" s="461"/>
    </row>
    <row r="311" spans="1:2">
      <c r="A311" s="422"/>
      <c r="B311" s="461"/>
    </row>
    <row r="312" spans="1:2">
      <c r="A312" s="422"/>
      <c r="B312" s="461"/>
    </row>
    <row r="313" spans="1:2">
      <c r="A313" s="422"/>
      <c r="B313" s="461"/>
    </row>
    <row r="314" spans="1:2">
      <c r="A314" s="422"/>
      <c r="B314" s="461"/>
    </row>
    <row r="315" spans="1:2">
      <c r="A315" s="422"/>
      <c r="B315" s="461"/>
    </row>
    <row r="316" spans="1:2">
      <c r="A316" s="422"/>
      <c r="B316" s="461"/>
    </row>
    <row r="317" spans="1:2">
      <c r="A317" s="422"/>
      <c r="B317" s="461"/>
    </row>
    <row r="318" spans="1:2">
      <c r="A318" s="422"/>
      <c r="B318" s="461"/>
    </row>
    <row r="319" spans="1:2">
      <c r="A319" s="422"/>
      <c r="B319" s="461"/>
    </row>
    <row r="320" spans="1:2">
      <c r="A320" s="422"/>
      <c r="B320" s="461"/>
    </row>
    <row r="321" spans="1:2">
      <c r="A321" s="422"/>
      <c r="B321" s="461"/>
    </row>
    <row r="322" spans="1:2">
      <c r="A322" s="422"/>
      <c r="B322" s="461"/>
    </row>
    <row r="323" spans="1:2">
      <c r="A323" s="422"/>
      <c r="B323" s="461"/>
    </row>
    <row r="324" spans="1:2">
      <c r="A324" s="422"/>
      <c r="B324" s="461"/>
    </row>
    <row r="325" spans="1:2">
      <c r="A325" s="422"/>
      <c r="B325" s="461"/>
    </row>
    <row r="326" spans="1:2">
      <c r="A326" s="422"/>
      <c r="B326" s="461"/>
    </row>
    <row r="327" spans="1:2">
      <c r="A327" s="422"/>
      <c r="B327" s="461"/>
    </row>
    <row r="328" spans="1:2">
      <c r="A328" s="422"/>
      <c r="B328" s="461"/>
    </row>
    <row r="329" spans="1:2">
      <c r="A329" s="422"/>
      <c r="B329" s="461"/>
    </row>
    <row r="330" spans="1:2">
      <c r="A330" s="422"/>
      <c r="B330" s="461"/>
    </row>
    <row r="331" spans="1:2">
      <c r="A331" s="422"/>
      <c r="B331" s="461"/>
    </row>
    <row r="332" spans="1:2">
      <c r="A332" s="422"/>
      <c r="B332" s="461"/>
    </row>
    <row r="333" spans="1:2">
      <c r="A333" s="422"/>
      <c r="B333" s="461"/>
    </row>
    <row r="334" spans="1:2">
      <c r="A334" s="422"/>
      <c r="B334" s="461"/>
    </row>
    <row r="335" spans="1:2">
      <c r="A335" s="422"/>
      <c r="B335" s="461"/>
    </row>
    <row r="336" spans="1:2">
      <c r="A336" s="422"/>
      <c r="B336" s="461"/>
    </row>
    <row r="337" spans="1:2">
      <c r="A337" s="422"/>
      <c r="B337" s="461"/>
    </row>
    <row r="338" spans="1:2">
      <c r="A338" s="422"/>
      <c r="B338" s="461"/>
    </row>
    <row r="339" spans="1:2">
      <c r="A339" s="422"/>
      <c r="B339" s="461"/>
    </row>
    <row r="340" spans="1:2">
      <c r="A340" s="422"/>
      <c r="B340" s="461"/>
    </row>
    <row r="341" spans="1:2">
      <c r="A341" s="422"/>
      <c r="B341" s="461"/>
    </row>
    <row r="342" spans="1:2">
      <c r="A342" s="422"/>
      <c r="B342" s="461"/>
    </row>
    <row r="343" spans="1:2">
      <c r="A343" s="422"/>
      <c r="B343" s="461"/>
    </row>
    <row r="344" spans="1:2">
      <c r="A344" s="422"/>
      <c r="B344" s="461"/>
    </row>
    <row r="345" spans="1:2">
      <c r="A345" s="422"/>
      <c r="B345" s="461"/>
    </row>
    <row r="346" spans="1:2">
      <c r="A346" s="422"/>
      <c r="B346" s="461"/>
    </row>
    <row r="347" spans="1:2">
      <c r="A347" s="422"/>
      <c r="B347" s="461"/>
    </row>
    <row r="348" spans="1:2">
      <c r="A348" s="422"/>
      <c r="B348" s="461"/>
    </row>
    <row r="349" spans="1:2">
      <c r="A349" s="422"/>
      <c r="B349" s="461"/>
    </row>
    <row r="350" spans="1:2">
      <c r="A350" s="422"/>
      <c r="B350" s="461"/>
    </row>
    <row r="351" spans="1:2">
      <c r="A351" s="422"/>
      <c r="B351" s="461"/>
    </row>
    <row r="352" spans="1:2">
      <c r="A352" s="422"/>
      <c r="B352" s="461"/>
    </row>
    <row r="353" spans="1:2">
      <c r="A353" s="422"/>
      <c r="B353" s="461"/>
    </row>
    <row r="354" spans="1:2">
      <c r="A354" s="422"/>
      <c r="B354" s="461"/>
    </row>
    <row r="355" spans="1:2">
      <c r="A355" s="422"/>
      <c r="B355" s="461"/>
    </row>
    <row r="356" spans="1:2">
      <c r="A356" s="422"/>
      <c r="B356" s="461"/>
    </row>
    <row r="357" spans="1:2">
      <c r="A357" s="422"/>
      <c r="B357" s="461"/>
    </row>
    <row r="358" spans="1:2">
      <c r="A358" s="422"/>
      <c r="B358" s="461"/>
    </row>
    <row r="359" spans="1:2">
      <c r="A359" s="422"/>
      <c r="B359" s="461"/>
    </row>
    <row r="360" spans="1:2">
      <c r="A360" s="422"/>
      <c r="B360" s="461"/>
    </row>
    <row r="361" spans="1:2">
      <c r="A361" s="422"/>
      <c r="B361" s="461"/>
    </row>
    <row r="362" spans="1:2">
      <c r="A362" s="422"/>
      <c r="B362" s="461"/>
    </row>
    <row r="363" spans="1:2">
      <c r="A363" s="422"/>
      <c r="B363" s="461"/>
    </row>
    <row r="364" spans="1:2">
      <c r="A364" s="422"/>
      <c r="B364" s="461"/>
    </row>
    <row r="365" spans="1:2">
      <c r="A365" s="422"/>
      <c r="B365" s="461"/>
    </row>
    <row r="366" spans="1:2">
      <c r="A366" s="422"/>
      <c r="B366" s="461"/>
    </row>
    <row r="367" spans="1:2">
      <c r="A367" s="422"/>
      <c r="B367" s="461"/>
    </row>
    <row r="368" spans="1:2">
      <c r="A368" s="422"/>
      <c r="B368" s="461"/>
    </row>
    <row r="369" spans="1:2">
      <c r="A369" s="422"/>
      <c r="B369" s="461"/>
    </row>
    <row r="370" spans="1:2">
      <c r="A370" s="422"/>
      <c r="B370" s="461"/>
    </row>
    <row r="371" spans="1:2">
      <c r="A371" s="422"/>
      <c r="B371" s="461"/>
    </row>
    <row r="372" spans="1:2">
      <c r="A372" s="422"/>
      <c r="B372" s="461"/>
    </row>
    <row r="373" spans="1:2">
      <c r="A373" s="422"/>
      <c r="B373" s="461"/>
    </row>
    <row r="374" spans="1:2">
      <c r="A374" s="422"/>
      <c r="B374" s="461"/>
    </row>
    <row r="375" spans="1:2">
      <c r="A375" s="422"/>
      <c r="B375" s="461"/>
    </row>
    <row r="376" spans="1:2">
      <c r="A376" s="422"/>
      <c r="B376" s="461"/>
    </row>
    <row r="377" spans="1:2">
      <c r="A377" s="422"/>
      <c r="B377" s="461"/>
    </row>
    <row r="378" spans="1:2">
      <c r="A378" s="422"/>
      <c r="B378" s="461"/>
    </row>
    <row r="379" spans="1:2">
      <c r="A379" s="422"/>
      <c r="B379" s="461"/>
    </row>
    <row r="380" spans="1:2">
      <c r="A380" s="422"/>
      <c r="B380" s="461"/>
    </row>
    <row r="381" spans="1:2">
      <c r="A381" s="422"/>
      <c r="B381" s="461"/>
    </row>
    <row r="382" spans="1:2">
      <c r="A382" s="422"/>
      <c r="B382" s="461"/>
    </row>
    <row r="383" spans="1:2">
      <c r="A383" s="422"/>
      <c r="B383" s="461"/>
    </row>
    <row r="384" spans="1:2">
      <c r="A384" s="422"/>
      <c r="B384" s="461"/>
    </row>
    <row r="385" spans="1:2">
      <c r="A385" s="422"/>
      <c r="B385" s="461"/>
    </row>
    <row r="386" spans="1:2">
      <c r="A386" s="422"/>
      <c r="B386" s="461"/>
    </row>
    <row r="387" spans="1:2">
      <c r="A387" s="422"/>
      <c r="B387" s="461"/>
    </row>
    <row r="388" spans="1:2">
      <c r="A388" s="422"/>
      <c r="B388" s="461"/>
    </row>
    <row r="389" spans="1:2">
      <c r="A389" s="422"/>
      <c r="B389" s="461"/>
    </row>
    <row r="390" spans="1:2">
      <c r="A390" s="422"/>
      <c r="B390" s="461"/>
    </row>
    <row r="391" spans="1:2">
      <c r="A391" s="422"/>
      <c r="B391" s="461"/>
    </row>
    <row r="392" spans="1:2">
      <c r="A392" s="422"/>
      <c r="B392" s="461"/>
    </row>
    <row r="393" spans="1:2">
      <c r="A393" s="422"/>
      <c r="B393" s="461"/>
    </row>
    <row r="394" spans="1:2">
      <c r="A394" s="422"/>
      <c r="B394" s="461"/>
    </row>
    <row r="395" spans="1:2">
      <c r="A395" s="422"/>
      <c r="B395" s="461"/>
    </row>
    <row r="396" spans="1:2">
      <c r="A396" s="422"/>
      <c r="B396" s="461"/>
    </row>
    <row r="397" spans="1:2">
      <c r="A397" s="422"/>
      <c r="B397" s="461"/>
    </row>
    <row r="398" spans="1:2">
      <c r="A398" s="422"/>
      <c r="B398" s="461"/>
    </row>
    <row r="399" spans="1:2">
      <c r="A399" s="422"/>
      <c r="B399" s="461"/>
    </row>
    <row r="400" spans="1:2">
      <c r="A400" s="422"/>
      <c r="B400" s="461"/>
    </row>
    <row r="401" spans="1:2">
      <c r="A401" s="422"/>
      <c r="B401" s="461"/>
    </row>
    <row r="402" spans="1:2">
      <c r="A402" s="422"/>
      <c r="B402" s="461"/>
    </row>
    <row r="403" spans="1:2">
      <c r="A403" s="422"/>
      <c r="B403" s="461"/>
    </row>
    <row r="404" spans="1:2">
      <c r="A404" s="422"/>
      <c r="B404" s="461"/>
    </row>
    <row r="405" spans="1:2">
      <c r="A405" s="422"/>
      <c r="B405" s="461"/>
    </row>
    <row r="406" spans="1:2">
      <c r="A406" s="422"/>
      <c r="B406" s="461"/>
    </row>
    <row r="407" spans="1:2">
      <c r="A407" s="422"/>
      <c r="B407" s="461"/>
    </row>
    <row r="408" spans="1:2">
      <c r="A408" s="422"/>
      <c r="B408" s="461"/>
    </row>
    <row r="409" spans="1:2">
      <c r="A409" s="422"/>
      <c r="B409" s="461"/>
    </row>
    <row r="410" spans="1:2">
      <c r="A410" s="422"/>
      <c r="B410" s="461"/>
    </row>
    <row r="411" spans="1:2">
      <c r="A411" s="422"/>
      <c r="B411" s="461"/>
    </row>
    <row r="412" spans="1:2">
      <c r="A412" s="422"/>
      <c r="B412" s="461"/>
    </row>
    <row r="413" spans="1:2">
      <c r="A413" s="422"/>
      <c r="B413" s="461"/>
    </row>
    <row r="414" spans="1:2">
      <c r="A414" s="422"/>
      <c r="B414" s="461"/>
    </row>
    <row r="415" spans="1:2">
      <c r="A415" s="422"/>
      <c r="B415" s="461"/>
    </row>
    <row r="416" spans="1:2">
      <c r="A416" s="422"/>
      <c r="B416" s="461"/>
    </row>
    <row r="417" spans="1:2">
      <c r="A417" s="422"/>
      <c r="B417" s="461"/>
    </row>
    <row r="418" spans="1:2">
      <c r="A418" s="422"/>
      <c r="B418" s="461"/>
    </row>
    <row r="419" spans="1:2">
      <c r="A419" s="422"/>
      <c r="B419" s="461"/>
    </row>
    <row r="420" spans="1:2">
      <c r="A420" s="422"/>
      <c r="B420" s="461"/>
    </row>
    <row r="421" spans="1:2">
      <c r="A421" s="422"/>
      <c r="B421" s="461"/>
    </row>
    <row r="422" spans="1:2">
      <c r="A422" s="422"/>
      <c r="B422" s="461"/>
    </row>
    <row r="423" spans="1:2">
      <c r="A423" s="422"/>
      <c r="B423" s="461"/>
    </row>
    <row r="424" spans="1:2">
      <c r="A424" s="422"/>
      <c r="B424" s="461"/>
    </row>
    <row r="425" spans="1:2">
      <c r="A425" s="422"/>
      <c r="B425" s="461"/>
    </row>
    <row r="426" spans="1:2">
      <c r="A426" s="422"/>
      <c r="B426" s="461"/>
    </row>
    <row r="427" spans="1:2">
      <c r="A427" s="422"/>
      <c r="B427" s="461"/>
    </row>
    <row r="428" spans="1:2">
      <c r="A428" s="422"/>
      <c r="B428" s="461"/>
    </row>
    <row r="429" spans="1:2">
      <c r="A429" s="422"/>
      <c r="B429" s="461"/>
    </row>
    <row r="430" spans="1:2">
      <c r="A430" s="422"/>
      <c r="B430" s="461"/>
    </row>
    <row r="431" spans="1:2">
      <c r="A431" s="422"/>
      <c r="B431" s="461"/>
    </row>
    <row r="432" spans="1:2">
      <c r="A432" s="422"/>
      <c r="B432" s="461"/>
    </row>
    <row r="433" spans="1:2">
      <c r="A433" s="422"/>
      <c r="B433" s="461"/>
    </row>
    <row r="434" spans="1:2">
      <c r="A434" s="422"/>
      <c r="B434" s="461"/>
    </row>
    <row r="435" spans="1:2">
      <c r="A435" s="422"/>
      <c r="B435" s="461"/>
    </row>
    <row r="436" spans="1:2">
      <c r="A436" s="422"/>
      <c r="B436" s="461"/>
    </row>
    <row r="437" spans="1:2">
      <c r="A437" s="422"/>
      <c r="B437" s="461"/>
    </row>
    <row r="438" spans="1:2">
      <c r="A438" s="422"/>
      <c r="B438" s="461"/>
    </row>
    <row r="439" spans="1:2">
      <c r="A439" s="422"/>
      <c r="B439" s="461"/>
    </row>
    <row r="440" spans="1:2">
      <c r="A440" s="422"/>
      <c r="B440" s="461"/>
    </row>
    <row r="441" spans="1:2">
      <c r="A441" s="422"/>
      <c r="B441" s="461"/>
    </row>
    <row r="442" spans="1:2">
      <c r="A442" s="422"/>
      <c r="B442" s="461"/>
    </row>
    <row r="443" spans="1:2">
      <c r="A443" s="422"/>
      <c r="B443" s="461"/>
    </row>
    <row r="444" spans="1:2">
      <c r="A444" s="422"/>
      <c r="B444" s="461"/>
    </row>
    <row r="445" spans="1:2">
      <c r="A445" s="422"/>
      <c r="B445" s="461"/>
    </row>
    <row r="446" spans="1:2">
      <c r="A446" s="422"/>
      <c r="B446" s="461"/>
    </row>
    <row r="447" spans="1:2">
      <c r="A447" s="422"/>
      <c r="B447" s="461"/>
    </row>
    <row r="448" spans="1:2">
      <c r="A448" s="422"/>
      <c r="B448" s="461"/>
    </row>
    <row r="449" spans="1:2">
      <c r="A449" s="422"/>
      <c r="B449" s="461"/>
    </row>
    <row r="450" spans="1:2">
      <c r="A450" s="422"/>
      <c r="B450" s="461"/>
    </row>
    <row r="451" spans="1:2">
      <c r="A451" s="422"/>
      <c r="B451" s="461"/>
    </row>
    <row r="452" spans="1:2">
      <c r="A452" s="422"/>
      <c r="B452" s="461"/>
    </row>
    <row r="453" spans="1:2">
      <c r="A453" s="422"/>
      <c r="B453" s="461"/>
    </row>
    <row r="454" spans="1:2">
      <c r="A454" s="422"/>
      <c r="B454" s="461"/>
    </row>
    <row r="455" spans="1:2">
      <c r="A455" s="422"/>
      <c r="B455" s="461"/>
    </row>
    <row r="456" spans="1:2">
      <c r="A456" s="422"/>
      <c r="B456" s="461"/>
    </row>
    <row r="457" spans="1:2">
      <c r="A457" s="422"/>
      <c r="B457" s="461"/>
    </row>
    <row r="458" spans="1:2">
      <c r="A458" s="422"/>
      <c r="B458" s="461"/>
    </row>
    <row r="459" spans="1:2">
      <c r="A459" s="422"/>
      <c r="B459" s="461"/>
    </row>
    <row r="460" spans="1:2">
      <c r="A460" s="422"/>
      <c r="B460" s="461"/>
    </row>
    <row r="461" spans="1:2">
      <c r="A461" s="422"/>
      <c r="B461" s="461"/>
    </row>
    <row r="462" spans="1:2">
      <c r="A462" s="422"/>
      <c r="B462" s="461"/>
    </row>
    <row r="463" spans="1:2">
      <c r="A463" s="422"/>
      <c r="B463" s="461"/>
    </row>
    <row r="464" spans="1:2">
      <c r="A464" s="422"/>
      <c r="B464" s="461"/>
    </row>
    <row r="465" spans="1:2">
      <c r="A465" s="422"/>
      <c r="B465" s="461"/>
    </row>
    <row r="466" spans="1:2">
      <c r="A466" s="422"/>
      <c r="B466" s="461"/>
    </row>
    <row r="467" spans="1:2">
      <c r="A467" s="422"/>
      <c r="B467" s="461"/>
    </row>
    <row r="468" spans="1:2">
      <c r="A468" s="422"/>
      <c r="B468" s="461"/>
    </row>
    <row r="469" spans="1:2">
      <c r="A469" s="422"/>
      <c r="B469" s="461"/>
    </row>
    <row r="470" spans="1:2">
      <c r="A470" s="422"/>
      <c r="B470" s="461"/>
    </row>
    <row r="471" spans="1:2">
      <c r="A471" s="422"/>
      <c r="B471" s="461"/>
    </row>
    <row r="472" spans="1:2">
      <c r="A472" s="422"/>
      <c r="B472" s="461"/>
    </row>
    <row r="473" spans="1:2">
      <c r="A473" s="422"/>
      <c r="B473" s="461"/>
    </row>
    <row r="474" spans="1:2">
      <c r="A474" s="422"/>
      <c r="B474" s="461"/>
    </row>
    <row r="475" spans="1:2">
      <c r="A475" s="422"/>
      <c r="B475" s="461"/>
    </row>
    <row r="476" spans="1:2">
      <c r="A476" s="422"/>
      <c r="B476" s="461"/>
    </row>
    <row r="477" spans="1:2">
      <c r="A477" s="422"/>
      <c r="B477" s="461"/>
    </row>
    <row r="478" spans="1:2">
      <c r="A478" s="422"/>
      <c r="B478" s="461"/>
    </row>
    <row r="479" spans="1:2">
      <c r="A479" s="422"/>
      <c r="B479" s="461"/>
    </row>
    <row r="480" spans="1:2">
      <c r="A480" s="422"/>
      <c r="B480" s="461"/>
    </row>
    <row r="481" spans="1:2">
      <c r="A481" s="422"/>
      <c r="B481" s="461"/>
    </row>
    <row r="482" spans="1:2">
      <c r="A482" s="422"/>
      <c r="B482" s="461"/>
    </row>
    <row r="483" spans="1:2">
      <c r="A483" s="422"/>
      <c r="B483" s="461"/>
    </row>
    <row r="484" spans="1:2">
      <c r="A484" s="422"/>
      <c r="B484" s="461"/>
    </row>
    <row r="485" spans="1:2">
      <c r="A485" s="422"/>
      <c r="B485" s="461"/>
    </row>
    <row r="486" spans="1:2">
      <c r="A486" s="422"/>
      <c r="B486" s="461"/>
    </row>
    <row r="487" spans="1:2">
      <c r="A487" s="422"/>
      <c r="B487" s="461"/>
    </row>
    <row r="488" spans="1:2">
      <c r="A488" s="422"/>
      <c r="B488" s="461"/>
    </row>
    <row r="489" spans="1:2">
      <c r="A489" s="422"/>
      <c r="B489" s="461"/>
    </row>
    <row r="490" spans="1:2">
      <c r="A490" s="422"/>
      <c r="B490" s="461"/>
    </row>
    <row r="491" spans="1:2">
      <c r="A491" s="422"/>
      <c r="B491" s="461"/>
    </row>
    <row r="492" spans="1:2">
      <c r="A492" s="422"/>
      <c r="B492" s="461"/>
    </row>
    <row r="493" spans="1:2">
      <c r="A493" s="422"/>
      <c r="B493" s="461"/>
    </row>
    <row r="494" spans="1:2">
      <c r="A494" s="422"/>
      <c r="B494" s="461"/>
    </row>
    <row r="495" spans="1:2">
      <c r="A495" s="422"/>
      <c r="B495" s="461"/>
    </row>
    <row r="496" spans="1:2">
      <c r="A496" s="422"/>
      <c r="B496" s="461"/>
    </row>
    <row r="497" spans="1:2">
      <c r="A497" s="422"/>
      <c r="B497" s="461"/>
    </row>
    <row r="498" spans="1:2">
      <c r="A498" s="422"/>
      <c r="B498" s="461"/>
    </row>
    <row r="499" spans="1:2">
      <c r="A499" s="422"/>
      <c r="B499" s="461"/>
    </row>
    <row r="500" spans="1:2">
      <c r="A500" s="422"/>
      <c r="B500" s="461"/>
    </row>
    <row r="501" spans="1:2">
      <c r="A501" s="422"/>
      <c r="B501" s="461"/>
    </row>
    <row r="502" spans="1:2">
      <c r="A502" s="422"/>
      <c r="B502" s="461"/>
    </row>
    <row r="503" spans="1:2">
      <c r="A503" s="422"/>
      <c r="B503" s="461"/>
    </row>
    <row r="504" spans="1:2">
      <c r="A504" s="422"/>
      <c r="B504" s="461"/>
    </row>
    <row r="505" spans="1:2">
      <c r="A505" s="422"/>
      <c r="B505" s="461"/>
    </row>
    <row r="506" spans="1:2">
      <c r="A506" s="422"/>
      <c r="B506" s="461"/>
    </row>
    <row r="507" spans="1:2">
      <c r="A507" s="422"/>
      <c r="B507" s="461"/>
    </row>
    <row r="508" spans="1:2">
      <c r="A508" s="422"/>
      <c r="B508" s="461"/>
    </row>
    <row r="509" spans="1:2">
      <c r="A509" s="422"/>
      <c r="B509" s="461"/>
    </row>
    <row r="510" spans="1:2">
      <c r="A510" s="422"/>
      <c r="B510" s="461"/>
    </row>
    <row r="511" spans="1:2">
      <c r="A511" s="422"/>
      <c r="B511" s="461"/>
    </row>
    <row r="512" spans="1:2">
      <c r="A512" s="422"/>
      <c r="B512" s="461"/>
    </row>
    <row r="513" spans="1:2">
      <c r="A513" s="422"/>
      <c r="B513" s="461"/>
    </row>
    <row r="514" spans="1:2">
      <c r="A514" s="422"/>
      <c r="B514" s="461"/>
    </row>
    <row r="515" spans="1:2">
      <c r="A515" s="422"/>
      <c r="B515" s="461"/>
    </row>
    <row r="516" spans="1:2">
      <c r="A516" s="422"/>
      <c r="B516" s="461"/>
    </row>
    <row r="517" spans="1:2">
      <c r="A517" s="422"/>
      <c r="B517" s="461"/>
    </row>
    <row r="518" spans="1:2">
      <c r="A518" s="422"/>
      <c r="B518" s="461"/>
    </row>
    <row r="519" spans="1:2">
      <c r="A519" s="422"/>
      <c r="B519" s="461"/>
    </row>
    <row r="520" spans="1:2">
      <c r="A520" s="422"/>
      <c r="B520" s="461"/>
    </row>
    <row r="521" spans="1:2">
      <c r="A521" s="422"/>
      <c r="B521" s="461"/>
    </row>
    <row r="522" spans="1:2">
      <c r="A522" s="422"/>
      <c r="B522" s="461"/>
    </row>
    <row r="523" spans="1:2">
      <c r="A523" s="422"/>
      <c r="B523" s="461"/>
    </row>
    <row r="524" spans="1:2">
      <c r="A524" s="422"/>
      <c r="B524" s="461"/>
    </row>
    <row r="525" spans="1:2">
      <c r="A525" s="422"/>
      <c r="B525" s="461"/>
    </row>
    <row r="526" spans="1:2">
      <c r="A526" s="422"/>
      <c r="B526" s="461"/>
    </row>
    <row r="527" spans="1:2">
      <c r="A527" s="422"/>
      <c r="B527" s="461"/>
    </row>
    <row r="528" spans="1:2">
      <c r="A528" s="422"/>
      <c r="B528" s="461"/>
    </row>
    <row r="529" spans="1:2">
      <c r="A529" s="422"/>
      <c r="B529" s="461"/>
    </row>
    <row r="530" spans="1:2">
      <c r="A530" s="422"/>
      <c r="B530" s="461"/>
    </row>
    <row r="531" spans="1:2">
      <c r="A531" s="422"/>
      <c r="B531" s="461"/>
    </row>
    <row r="532" spans="1:2">
      <c r="A532" s="422"/>
      <c r="B532" s="461"/>
    </row>
    <row r="533" spans="1:2">
      <c r="A533" s="422"/>
      <c r="B533" s="461"/>
    </row>
    <row r="534" spans="1:2">
      <c r="A534" s="422"/>
      <c r="B534" s="461"/>
    </row>
    <row r="535" spans="1:2">
      <c r="A535" s="422"/>
      <c r="B535" s="461"/>
    </row>
    <row r="536" spans="1:2">
      <c r="A536" s="422"/>
      <c r="B536" s="461"/>
    </row>
    <row r="537" spans="1:2">
      <c r="A537" s="422"/>
      <c r="B537" s="461"/>
    </row>
    <row r="538" spans="1:2">
      <c r="A538" s="422"/>
      <c r="B538" s="461"/>
    </row>
    <row r="539" spans="1:2">
      <c r="A539" s="422"/>
      <c r="B539" s="461"/>
    </row>
    <row r="540" spans="1:2">
      <c r="A540" s="422"/>
      <c r="B540" s="461"/>
    </row>
    <row r="541" spans="1:2">
      <c r="A541" s="422"/>
      <c r="B541" s="461"/>
    </row>
    <row r="542" spans="1:2">
      <c r="A542" s="422"/>
      <c r="B542" s="461"/>
    </row>
    <row r="543" spans="1:2">
      <c r="A543" s="422"/>
      <c r="B543" s="461"/>
    </row>
    <row r="544" spans="1:2">
      <c r="A544" s="422"/>
      <c r="B544" s="461"/>
    </row>
    <row r="545" spans="1:2">
      <c r="A545" s="422"/>
      <c r="B545" s="461"/>
    </row>
    <row r="546" spans="1:2">
      <c r="A546" s="422"/>
      <c r="B546" s="461"/>
    </row>
    <row r="547" spans="1:2">
      <c r="A547" s="422"/>
      <c r="B547" s="461"/>
    </row>
    <row r="548" spans="1:2">
      <c r="A548" s="422"/>
      <c r="B548" s="461"/>
    </row>
    <row r="549" spans="1:2">
      <c r="A549" s="422"/>
      <c r="B549" s="461"/>
    </row>
    <row r="550" spans="1:2">
      <c r="A550" s="422"/>
      <c r="B550" s="461"/>
    </row>
    <row r="551" spans="1:2">
      <c r="A551" s="422"/>
      <c r="B551" s="461"/>
    </row>
    <row r="552" spans="1:2">
      <c r="A552" s="422"/>
      <c r="B552" s="461"/>
    </row>
    <row r="553" spans="1:2">
      <c r="A553" s="422"/>
      <c r="B553" s="461"/>
    </row>
    <row r="554" spans="1:2">
      <c r="A554" s="422"/>
      <c r="B554" s="461"/>
    </row>
    <row r="555" spans="1:2">
      <c r="A555" s="422"/>
      <c r="B555" s="461"/>
    </row>
    <row r="556" spans="1:2">
      <c r="A556" s="422"/>
      <c r="B556" s="461"/>
    </row>
    <row r="557" spans="1:2">
      <c r="A557" s="422"/>
      <c r="B557" s="461"/>
    </row>
    <row r="558" spans="1:2">
      <c r="A558" s="422"/>
      <c r="B558" s="461"/>
    </row>
    <row r="559" spans="1:2">
      <c r="A559" s="422"/>
      <c r="B559" s="461"/>
    </row>
    <row r="560" spans="1:2">
      <c r="A560" s="422"/>
      <c r="B560" s="461"/>
    </row>
    <row r="561" spans="1:2">
      <c r="A561" s="422"/>
      <c r="B561" s="461"/>
    </row>
    <row r="562" spans="1:2">
      <c r="A562" s="422"/>
      <c r="B562" s="461"/>
    </row>
    <row r="563" spans="1:2">
      <c r="A563" s="422"/>
      <c r="B563" s="461"/>
    </row>
    <row r="564" spans="1:2">
      <c r="A564" s="422"/>
      <c r="B564" s="461"/>
    </row>
    <row r="565" spans="1:2">
      <c r="A565" s="422"/>
      <c r="B565" s="461"/>
    </row>
    <row r="566" spans="1:2">
      <c r="A566" s="422"/>
      <c r="B566" s="461"/>
    </row>
    <row r="567" spans="1:2">
      <c r="A567" s="422"/>
      <c r="B567" s="461"/>
    </row>
    <row r="568" spans="1:2">
      <c r="A568" s="422"/>
      <c r="B568" s="461"/>
    </row>
    <row r="569" spans="1:2">
      <c r="A569" s="422"/>
      <c r="B569" s="461"/>
    </row>
    <row r="570" spans="1:2">
      <c r="A570" s="422"/>
      <c r="B570" s="461"/>
    </row>
    <row r="571" spans="1:2">
      <c r="A571" s="422"/>
      <c r="B571" s="461"/>
    </row>
    <row r="572" spans="1:2">
      <c r="A572" s="422"/>
      <c r="B572" s="461"/>
    </row>
    <row r="573" spans="1:2">
      <c r="A573" s="422"/>
      <c r="B573" s="461"/>
    </row>
    <row r="574" spans="1:2">
      <c r="A574" s="422"/>
      <c r="B574" s="461"/>
    </row>
    <row r="575" spans="1:2">
      <c r="A575" s="422"/>
      <c r="B575" s="461"/>
    </row>
    <row r="576" spans="1:2">
      <c r="A576" s="422"/>
      <c r="B576" s="461"/>
    </row>
    <row r="577" spans="1:2">
      <c r="A577" s="422"/>
      <c r="B577" s="461"/>
    </row>
    <row r="578" spans="1:2">
      <c r="A578" s="422"/>
      <c r="B578" s="461"/>
    </row>
    <row r="579" spans="1:2">
      <c r="A579" s="422"/>
      <c r="B579" s="461"/>
    </row>
    <row r="580" spans="1:2">
      <c r="A580" s="422"/>
      <c r="B580" s="461"/>
    </row>
    <row r="581" spans="1:2">
      <c r="A581" s="422"/>
      <c r="B581" s="461"/>
    </row>
    <row r="582" spans="1:2">
      <c r="A582" s="422"/>
      <c r="B582" s="461"/>
    </row>
    <row r="583" spans="1:2">
      <c r="A583" s="422"/>
      <c r="B583" s="461"/>
    </row>
    <row r="584" spans="1:2">
      <c r="A584" s="422"/>
      <c r="B584" s="461"/>
    </row>
    <row r="585" spans="1:2">
      <c r="A585" s="422"/>
      <c r="B585" s="461"/>
    </row>
    <row r="586" spans="1:2">
      <c r="A586" s="422"/>
      <c r="B586" s="461"/>
    </row>
    <row r="587" spans="1:2">
      <c r="A587" s="422"/>
      <c r="B587" s="461"/>
    </row>
    <row r="588" spans="1:2">
      <c r="A588" s="422"/>
      <c r="B588" s="461"/>
    </row>
    <row r="589" spans="1:2">
      <c r="A589" s="422"/>
      <c r="B589" s="461"/>
    </row>
    <row r="590" spans="1:2">
      <c r="A590" s="422"/>
      <c r="B590" s="461"/>
    </row>
    <row r="591" spans="1:2">
      <c r="A591" s="422"/>
      <c r="B591" s="461"/>
    </row>
    <row r="592" spans="1:2">
      <c r="A592" s="422"/>
      <c r="B592" s="461"/>
    </row>
    <row r="593" spans="1:2">
      <c r="A593" s="422"/>
      <c r="B593" s="461"/>
    </row>
    <row r="594" spans="1:2">
      <c r="A594" s="422"/>
      <c r="B594" s="461"/>
    </row>
    <row r="595" spans="1:2">
      <c r="A595" s="422"/>
      <c r="B595" s="461"/>
    </row>
    <row r="596" spans="1:2">
      <c r="A596" s="422"/>
      <c r="B596" s="461"/>
    </row>
    <row r="597" spans="1:2">
      <c r="A597" s="422"/>
      <c r="B597" s="461"/>
    </row>
    <row r="598" spans="1:2">
      <c r="A598" s="422"/>
      <c r="B598" s="461"/>
    </row>
    <row r="599" spans="1:2">
      <c r="A599" s="422"/>
      <c r="B599" s="461"/>
    </row>
    <row r="600" spans="1:2">
      <c r="A600" s="422"/>
      <c r="B600" s="461"/>
    </row>
    <row r="601" spans="1:2">
      <c r="A601" s="422"/>
      <c r="B601" s="461"/>
    </row>
    <row r="602" spans="1:2">
      <c r="A602" s="422"/>
      <c r="B602" s="461"/>
    </row>
    <row r="603" spans="1:2">
      <c r="A603" s="422"/>
      <c r="B603" s="461"/>
    </row>
    <row r="604" spans="1:2">
      <c r="A604" s="422"/>
      <c r="B604" s="461"/>
    </row>
    <row r="605" spans="1:2">
      <c r="A605" s="422"/>
      <c r="B605" s="461"/>
    </row>
    <row r="606" spans="1:2">
      <c r="A606" s="422"/>
      <c r="B606" s="461"/>
    </row>
    <row r="607" spans="1:2">
      <c r="A607" s="422"/>
      <c r="B607" s="461"/>
    </row>
    <row r="608" spans="1:2">
      <c r="A608" s="422"/>
      <c r="B608" s="461"/>
    </row>
    <row r="609" spans="1:2">
      <c r="A609" s="422"/>
      <c r="B609" s="461"/>
    </row>
    <row r="610" spans="1:2">
      <c r="A610" s="422"/>
      <c r="B610" s="461"/>
    </row>
    <row r="611" spans="1:2">
      <c r="A611" s="422"/>
      <c r="B611" s="461"/>
    </row>
    <row r="612" spans="1:2">
      <c r="A612" s="422"/>
      <c r="B612" s="461"/>
    </row>
    <row r="613" spans="1:2">
      <c r="A613" s="422"/>
      <c r="B613" s="461"/>
    </row>
    <row r="614" spans="1:2">
      <c r="A614" s="422"/>
      <c r="B614" s="461"/>
    </row>
    <row r="615" spans="1:2">
      <c r="A615" s="422"/>
      <c r="B615" s="461"/>
    </row>
    <row r="616" spans="1:2">
      <c r="A616" s="422"/>
      <c r="B616" s="461"/>
    </row>
    <row r="617" spans="1:2">
      <c r="A617" s="422"/>
      <c r="B617" s="461"/>
    </row>
    <row r="618" spans="1:2">
      <c r="A618" s="422"/>
      <c r="B618" s="461"/>
    </row>
    <row r="619" spans="1:2">
      <c r="A619" s="422"/>
      <c r="B619" s="461"/>
    </row>
    <row r="620" spans="1:2">
      <c r="A620" s="422"/>
      <c r="B620" s="461"/>
    </row>
    <row r="621" spans="1:2">
      <c r="A621" s="422"/>
      <c r="B621" s="461"/>
    </row>
    <row r="622" spans="1:2">
      <c r="A622" s="422"/>
      <c r="B622" s="461"/>
    </row>
    <row r="623" spans="1:2">
      <c r="A623" s="422"/>
      <c r="B623" s="461"/>
    </row>
    <row r="624" spans="1:2">
      <c r="A624" s="422"/>
      <c r="B624" s="461"/>
    </row>
    <row r="625" spans="1:2">
      <c r="A625" s="422"/>
      <c r="B625" s="461"/>
    </row>
    <row r="626" spans="1:2">
      <c r="A626" s="422"/>
      <c r="B626" s="461"/>
    </row>
    <row r="627" spans="1:2">
      <c r="A627" s="422"/>
      <c r="B627" s="461"/>
    </row>
    <row r="628" spans="1:2">
      <c r="A628" s="422"/>
      <c r="B628" s="461"/>
    </row>
    <row r="629" spans="1:2">
      <c r="A629" s="422"/>
      <c r="B629" s="461"/>
    </row>
    <row r="630" spans="1:2">
      <c r="A630" s="422"/>
      <c r="B630" s="461"/>
    </row>
    <row r="631" spans="1:2">
      <c r="A631" s="422"/>
      <c r="B631" s="461"/>
    </row>
    <row r="632" spans="1:2">
      <c r="A632" s="422"/>
      <c r="B632" s="461"/>
    </row>
    <row r="633" spans="1:2">
      <c r="A633" s="422"/>
      <c r="B633" s="461"/>
    </row>
    <row r="634" spans="1:2">
      <c r="A634" s="422"/>
      <c r="B634" s="461"/>
    </row>
    <row r="635" spans="1:2">
      <c r="A635" s="422"/>
      <c r="B635" s="461"/>
    </row>
    <row r="636" spans="1:2">
      <c r="A636" s="422"/>
      <c r="B636" s="461"/>
    </row>
    <row r="637" spans="1:2">
      <c r="A637" s="422"/>
      <c r="B637" s="461"/>
    </row>
    <row r="638" spans="1:2">
      <c r="A638" s="422"/>
      <c r="B638" s="461"/>
    </row>
    <row r="639" spans="1:2">
      <c r="A639" s="422"/>
      <c r="B639" s="461"/>
    </row>
    <row r="640" spans="1:2">
      <c r="A640" s="422"/>
      <c r="B640" s="461"/>
    </row>
    <row r="641" spans="1:2">
      <c r="A641" s="422"/>
      <c r="B641" s="461"/>
    </row>
    <row r="642" spans="1:2">
      <c r="A642" s="422"/>
      <c r="B642" s="461"/>
    </row>
    <row r="643" spans="1:2">
      <c r="A643" s="422"/>
      <c r="B643" s="461"/>
    </row>
    <row r="644" spans="1:2">
      <c r="A644" s="422"/>
      <c r="B644" s="461"/>
    </row>
    <row r="645" spans="1:2">
      <c r="A645" s="422"/>
      <c r="B645" s="461"/>
    </row>
    <row r="646" spans="1:2">
      <c r="A646" s="422"/>
      <c r="B646" s="461"/>
    </row>
    <row r="647" spans="1:2">
      <c r="A647" s="422"/>
      <c r="B647" s="461"/>
    </row>
    <row r="648" spans="1:2">
      <c r="A648" s="422"/>
      <c r="B648" s="461"/>
    </row>
    <row r="649" spans="1:2">
      <c r="A649" s="422"/>
      <c r="B649" s="461"/>
    </row>
    <row r="650" spans="1:2">
      <c r="A650" s="422"/>
      <c r="B650" s="461"/>
    </row>
    <row r="651" spans="1:2">
      <c r="A651" s="422"/>
      <c r="B651" s="461"/>
    </row>
    <row r="652" spans="1:2">
      <c r="A652" s="422"/>
      <c r="B652" s="461"/>
    </row>
    <row r="653" spans="1:2">
      <c r="A653" s="422"/>
      <c r="B653" s="461"/>
    </row>
    <row r="654" spans="1:2">
      <c r="A654" s="422"/>
      <c r="B654" s="461"/>
    </row>
    <row r="655" spans="1:2">
      <c r="A655" s="422"/>
      <c r="B655" s="461"/>
    </row>
    <row r="656" spans="1:2">
      <c r="A656" s="422"/>
      <c r="B656" s="461"/>
    </row>
    <row r="657" spans="1:2">
      <c r="A657" s="422"/>
      <c r="B657" s="461"/>
    </row>
    <row r="658" spans="1:2">
      <c r="A658" s="422"/>
      <c r="B658" s="461"/>
    </row>
    <row r="659" spans="1:2">
      <c r="A659" s="422"/>
      <c r="B659" s="461"/>
    </row>
    <row r="660" spans="1:2">
      <c r="A660" s="422"/>
      <c r="B660" s="461"/>
    </row>
    <row r="661" spans="1:2">
      <c r="A661" s="422"/>
      <c r="B661" s="461"/>
    </row>
    <row r="662" spans="1:2">
      <c r="A662" s="422"/>
      <c r="B662" s="461"/>
    </row>
    <row r="663" spans="1:2">
      <c r="A663" s="422"/>
      <c r="B663" s="461"/>
    </row>
    <row r="664" spans="1:2">
      <c r="A664" s="422"/>
      <c r="B664" s="461"/>
    </row>
    <row r="665" spans="1:2">
      <c r="A665" s="422"/>
      <c r="B665" s="461"/>
    </row>
    <row r="666" spans="1:2">
      <c r="A666" s="422"/>
      <c r="B666" s="461"/>
    </row>
    <row r="667" spans="1:2">
      <c r="A667" s="422"/>
      <c r="B667" s="461"/>
    </row>
    <row r="668" spans="1:2">
      <c r="A668" s="422"/>
      <c r="B668" s="461"/>
    </row>
    <row r="669" spans="1:2">
      <c r="A669" s="422"/>
      <c r="B669" s="461"/>
    </row>
    <row r="670" spans="1:2">
      <c r="A670" s="422"/>
      <c r="B670" s="461"/>
    </row>
    <row r="671" spans="1:2">
      <c r="A671" s="422"/>
      <c r="B671" s="461"/>
    </row>
    <row r="672" spans="1:2">
      <c r="A672" s="422"/>
      <c r="B672" s="461"/>
    </row>
    <row r="673" spans="1:2">
      <c r="A673" s="422"/>
      <c r="B673" s="461"/>
    </row>
    <row r="674" spans="1:2">
      <c r="A674" s="422"/>
      <c r="B674" s="461"/>
    </row>
    <row r="675" spans="1:2">
      <c r="A675" s="422"/>
      <c r="B675" s="461"/>
    </row>
    <row r="676" spans="1:2">
      <c r="A676" s="422"/>
      <c r="B676" s="461"/>
    </row>
    <row r="677" spans="1:2">
      <c r="A677" s="422"/>
      <c r="B677" s="461"/>
    </row>
    <row r="678" spans="1:2">
      <c r="A678" s="422"/>
      <c r="B678" s="461"/>
    </row>
    <row r="679" spans="1:2">
      <c r="A679" s="422"/>
      <c r="B679" s="461"/>
    </row>
    <row r="680" spans="1:2">
      <c r="A680" s="422"/>
      <c r="B680" s="461"/>
    </row>
    <row r="681" spans="1:2">
      <c r="A681" s="422"/>
      <c r="B681" s="461"/>
    </row>
    <row r="682" spans="1:2">
      <c r="A682" s="422"/>
      <c r="B682" s="461"/>
    </row>
    <row r="683" spans="1:2">
      <c r="A683" s="422"/>
      <c r="B683" s="461"/>
    </row>
    <row r="684" spans="1:2">
      <c r="A684" s="422"/>
      <c r="B684" s="461"/>
    </row>
    <row r="685" spans="1:2">
      <c r="A685" s="422"/>
      <c r="B685" s="461"/>
    </row>
    <row r="686" spans="1:2">
      <c r="A686" s="422"/>
      <c r="B686" s="461"/>
    </row>
    <row r="687" spans="1:2">
      <c r="A687" s="422"/>
      <c r="B687" s="461"/>
    </row>
    <row r="688" spans="1:2">
      <c r="A688" s="422"/>
      <c r="B688" s="461"/>
    </row>
    <row r="689" spans="1:2">
      <c r="A689" s="422"/>
      <c r="B689" s="461"/>
    </row>
    <row r="690" spans="1:2">
      <c r="A690" s="422"/>
      <c r="B690" s="461"/>
    </row>
    <row r="691" spans="1:2">
      <c r="A691" s="422"/>
      <c r="B691" s="461"/>
    </row>
    <row r="692" spans="1:2">
      <c r="A692" s="422"/>
      <c r="B692" s="461"/>
    </row>
    <row r="693" spans="1:2">
      <c r="A693" s="422"/>
      <c r="B693" s="461"/>
    </row>
    <row r="694" spans="1:2">
      <c r="A694" s="422"/>
      <c r="B694" s="461"/>
    </row>
    <row r="695" spans="1:2">
      <c r="A695" s="422"/>
      <c r="B695" s="461"/>
    </row>
    <row r="696" spans="1:2">
      <c r="A696" s="422"/>
      <c r="B696" s="461"/>
    </row>
    <row r="697" spans="1:2">
      <c r="A697" s="422"/>
      <c r="B697" s="461"/>
    </row>
    <row r="698" spans="1:2">
      <c r="A698" s="422"/>
      <c r="B698" s="461"/>
    </row>
    <row r="699" spans="1:2">
      <c r="A699" s="422"/>
      <c r="B699" s="461"/>
    </row>
    <row r="700" spans="1:2">
      <c r="A700" s="422"/>
      <c r="B700" s="461"/>
    </row>
    <row r="701" spans="1:2">
      <c r="A701" s="422"/>
      <c r="B701" s="461"/>
    </row>
    <row r="702" spans="1:2">
      <c r="A702" s="422"/>
      <c r="B702" s="461"/>
    </row>
    <row r="703" spans="1:2">
      <c r="A703" s="422"/>
      <c r="B703" s="461"/>
    </row>
    <row r="704" spans="1:2">
      <c r="A704" s="422"/>
      <c r="B704" s="461"/>
    </row>
    <row r="705" spans="1:2">
      <c r="A705" s="422"/>
      <c r="B705" s="461"/>
    </row>
    <row r="706" spans="1:2">
      <c r="A706" s="422"/>
      <c r="B706" s="461"/>
    </row>
    <row r="707" spans="1:2">
      <c r="A707" s="422"/>
      <c r="B707" s="461"/>
    </row>
    <row r="708" spans="1:2">
      <c r="A708" s="422"/>
      <c r="B708" s="461"/>
    </row>
    <row r="709" spans="1:2">
      <c r="A709" s="422"/>
      <c r="B709" s="461"/>
    </row>
    <row r="710" spans="1:2">
      <c r="A710" s="422"/>
      <c r="B710" s="461"/>
    </row>
    <row r="711" spans="1:2">
      <c r="A711" s="422"/>
      <c r="B711" s="461"/>
    </row>
    <row r="712" spans="1:2">
      <c r="A712" s="422"/>
      <c r="B712" s="461"/>
    </row>
    <row r="713" spans="1:2">
      <c r="A713" s="422"/>
      <c r="B713" s="461"/>
    </row>
    <row r="714" spans="1:2">
      <c r="A714" s="422"/>
      <c r="B714" s="461"/>
    </row>
    <row r="715" spans="1:2">
      <c r="A715" s="422"/>
      <c r="B715" s="461"/>
    </row>
    <row r="716" spans="1:2">
      <c r="A716" s="422"/>
      <c r="B716" s="461"/>
    </row>
    <row r="717" spans="1:2">
      <c r="A717" s="422"/>
      <c r="B717" s="461"/>
    </row>
    <row r="718" spans="1:2">
      <c r="A718" s="422"/>
      <c r="B718" s="461"/>
    </row>
    <row r="719" spans="1:2">
      <c r="A719" s="422"/>
      <c r="B719" s="461"/>
    </row>
    <row r="720" spans="1:2">
      <c r="A720" s="422"/>
      <c r="B720" s="461"/>
    </row>
    <row r="721" spans="1:2">
      <c r="A721" s="422"/>
      <c r="B721" s="461"/>
    </row>
    <row r="722" spans="1:2">
      <c r="A722" s="422"/>
      <c r="B722" s="461"/>
    </row>
    <row r="723" spans="1:2">
      <c r="A723" s="422"/>
      <c r="B723" s="461"/>
    </row>
    <row r="724" spans="1:2">
      <c r="A724" s="422"/>
      <c r="B724" s="461"/>
    </row>
    <row r="725" spans="1:2">
      <c r="A725" s="422"/>
      <c r="B725" s="461"/>
    </row>
    <row r="726" spans="1:2">
      <c r="A726" s="422"/>
      <c r="B726" s="461"/>
    </row>
    <row r="727" spans="1:2">
      <c r="A727" s="422"/>
      <c r="B727" s="461"/>
    </row>
    <row r="728" spans="1:2">
      <c r="A728" s="422"/>
      <c r="B728" s="461"/>
    </row>
    <row r="729" spans="1:2">
      <c r="A729" s="422"/>
      <c r="B729" s="461"/>
    </row>
    <row r="730" spans="1:2">
      <c r="A730" s="422"/>
      <c r="B730" s="461"/>
    </row>
    <row r="731" spans="1:2">
      <c r="A731" s="422"/>
      <c r="B731" s="461"/>
    </row>
    <row r="732" spans="1:2">
      <c r="A732" s="422"/>
      <c r="B732" s="461"/>
    </row>
    <row r="733" spans="1:2">
      <c r="A733" s="422"/>
      <c r="B733" s="461"/>
    </row>
    <row r="734" spans="1:2">
      <c r="A734" s="422"/>
      <c r="B734" s="461"/>
    </row>
    <row r="735" spans="1:2">
      <c r="A735" s="422"/>
      <c r="B735" s="461"/>
    </row>
    <row r="736" spans="1:2">
      <c r="A736" s="422"/>
      <c r="B736" s="461"/>
    </row>
    <row r="737" spans="1:2">
      <c r="A737" s="422"/>
      <c r="B737" s="461"/>
    </row>
    <row r="738" spans="1:2">
      <c r="A738" s="422"/>
      <c r="B738" s="461"/>
    </row>
    <row r="739" spans="1:2">
      <c r="A739" s="422"/>
      <c r="B739" s="461"/>
    </row>
    <row r="740" spans="1:2">
      <c r="A740" s="422"/>
      <c r="B740" s="461"/>
    </row>
    <row r="741" spans="1:2">
      <c r="A741" s="422"/>
      <c r="B741" s="461"/>
    </row>
    <row r="742" spans="1:2">
      <c r="A742" s="422"/>
      <c r="B742" s="461"/>
    </row>
    <row r="743" spans="1:2">
      <c r="A743" s="422"/>
      <c r="B743" s="461"/>
    </row>
    <row r="744" spans="1:2">
      <c r="A744" s="422"/>
      <c r="B744" s="461"/>
    </row>
    <row r="745" spans="1:2">
      <c r="A745" s="422"/>
      <c r="B745" s="461"/>
    </row>
    <row r="746" spans="1:2">
      <c r="A746" s="422"/>
      <c r="B746" s="461"/>
    </row>
    <row r="747" spans="1:2">
      <c r="A747" s="422"/>
      <c r="B747" s="461"/>
    </row>
    <row r="748" spans="1:2">
      <c r="A748" s="422"/>
      <c r="B748" s="461"/>
    </row>
    <row r="749" spans="1:2">
      <c r="A749" s="422"/>
      <c r="B749" s="461"/>
    </row>
    <row r="750" spans="1:2">
      <c r="A750" s="422"/>
      <c r="B750" s="461"/>
    </row>
    <row r="751" spans="1:2">
      <c r="A751" s="422"/>
      <c r="B751" s="461"/>
    </row>
    <row r="752" spans="1:2">
      <c r="A752" s="422"/>
      <c r="B752" s="461"/>
    </row>
    <row r="753" spans="1:2">
      <c r="A753" s="422"/>
      <c r="B753" s="461"/>
    </row>
    <row r="754" spans="1:2">
      <c r="A754" s="422"/>
      <c r="B754" s="461"/>
    </row>
    <row r="755" spans="1:2">
      <c r="A755" s="422"/>
      <c r="B755" s="461"/>
    </row>
    <row r="756" spans="1:2">
      <c r="A756" s="422"/>
      <c r="B756" s="461"/>
    </row>
    <row r="757" spans="1:2">
      <c r="A757" s="422"/>
      <c r="B757" s="461"/>
    </row>
    <row r="758" spans="1:2">
      <c r="A758" s="422"/>
      <c r="B758" s="461"/>
    </row>
    <row r="759" spans="1:2">
      <c r="A759" s="422"/>
      <c r="B759" s="461"/>
    </row>
    <row r="760" spans="1:2">
      <c r="A760" s="422"/>
      <c r="B760" s="461"/>
    </row>
    <row r="761" spans="1:2">
      <c r="A761" s="422"/>
      <c r="B761" s="461"/>
    </row>
    <row r="762" spans="1:2">
      <c r="A762" s="422"/>
      <c r="B762" s="461"/>
    </row>
    <row r="763" spans="1:2">
      <c r="A763" s="422"/>
      <c r="B763" s="461"/>
    </row>
    <row r="764" spans="1:2">
      <c r="A764" s="422"/>
      <c r="B764" s="461"/>
    </row>
    <row r="765" spans="1:2">
      <c r="A765" s="422"/>
      <c r="B765" s="461"/>
    </row>
    <row r="766" spans="1:2">
      <c r="A766" s="422"/>
      <c r="B766" s="461"/>
    </row>
    <row r="767" spans="1:2">
      <c r="A767" s="422"/>
      <c r="B767" s="461"/>
    </row>
    <row r="768" spans="1:2">
      <c r="A768" s="422"/>
      <c r="B768" s="461"/>
    </row>
    <row r="769" spans="1:2">
      <c r="A769" s="422"/>
      <c r="B769" s="461"/>
    </row>
    <row r="770" spans="1:2">
      <c r="A770" s="422"/>
      <c r="B770" s="461"/>
    </row>
    <row r="771" spans="1:2">
      <c r="A771" s="422"/>
      <c r="B771" s="461"/>
    </row>
    <row r="772" spans="1:2">
      <c r="A772" s="422"/>
      <c r="B772" s="461"/>
    </row>
    <row r="773" spans="1:2">
      <c r="A773" s="422"/>
      <c r="B773" s="461"/>
    </row>
    <row r="774" spans="1:2">
      <c r="A774" s="422"/>
      <c r="B774" s="461"/>
    </row>
    <row r="775" spans="1:2">
      <c r="A775" s="422"/>
      <c r="B775" s="461"/>
    </row>
    <row r="776" spans="1:2">
      <c r="A776" s="422"/>
      <c r="B776" s="461"/>
    </row>
    <row r="777" spans="1:2">
      <c r="A777" s="422"/>
      <c r="B777" s="461"/>
    </row>
    <row r="778" spans="1:2">
      <c r="A778" s="422"/>
      <c r="B778" s="461"/>
    </row>
    <row r="779" spans="1:2">
      <c r="A779" s="422"/>
      <c r="B779" s="461"/>
    </row>
    <row r="780" spans="1:2">
      <c r="A780" s="422"/>
      <c r="B780" s="461"/>
    </row>
    <row r="781" spans="1:2">
      <c r="A781" s="422"/>
      <c r="B781" s="461"/>
    </row>
    <row r="782" spans="1:2">
      <c r="A782" s="422"/>
      <c r="B782" s="461"/>
    </row>
    <row r="783" spans="1:2">
      <c r="A783" s="422"/>
      <c r="B783" s="461"/>
    </row>
    <row r="784" spans="1:2">
      <c r="A784" s="422"/>
      <c r="B784" s="461"/>
    </row>
    <row r="785" spans="1:2">
      <c r="A785" s="422"/>
      <c r="B785" s="461"/>
    </row>
    <row r="786" spans="1:2">
      <c r="A786" s="422"/>
      <c r="B786" s="461"/>
    </row>
    <row r="787" spans="1:2">
      <c r="A787" s="422"/>
      <c r="B787" s="461"/>
    </row>
    <row r="788" spans="1:2">
      <c r="A788" s="422"/>
      <c r="B788" s="461"/>
    </row>
    <row r="789" spans="1:2">
      <c r="A789" s="422"/>
      <c r="B789" s="461"/>
    </row>
    <row r="790" spans="1:2">
      <c r="A790" s="422"/>
      <c r="B790" s="461"/>
    </row>
    <row r="791" spans="1:2">
      <c r="A791" s="422"/>
      <c r="B791" s="461"/>
    </row>
    <row r="792" spans="1:2">
      <c r="A792" s="422"/>
      <c r="B792" s="461"/>
    </row>
    <row r="793" spans="1:2">
      <c r="A793" s="422"/>
      <c r="B793" s="461"/>
    </row>
    <row r="794" spans="1:2">
      <c r="A794" s="422"/>
      <c r="B794" s="461"/>
    </row>
    <row r="795" spans="1:2">
      <c r="A795" s="422"/>
      <c r="B795" s="461"/>
    </row>
    <row r="796" spans="1:2">
      <c r="A796" s="422"/>
      <c r="B796" s="461"/>
    </row>
    <row r="797" spans="1:2">
      <c r="A797" s="422"/>
      <c r="B797" s="461"/>
    </row>
    <row r="798" spans="1:2">
      <c r="A798" s="422"/>
      <c r="B798" s="461"/>
    </row>
    <row r="799" spans="1:2">
      <c r="A799" s="422"/>
      <c r="B799" s="461"/>
    </row>
    <row r="800" spans="1:2">
      <c r="A800" s="422"/>
      <c r="B800" s="461"/>
    </row>
    <row r="801" spans="1:2">
      <c r="A801" s="422"/>
      <c r="B801" s="461"/>
    </row>
    <row r="802" spans="1:2">
      <c r="A802" s="422"/>
      <c r="B802" s="461"/>
    </row>
    <row r="803" spans="1:2">
      <c r="A803" s="422"/>
      <c r="B803" s="461"/>
    </row>
    <row r="804" spans="1:2">
      <c r="A804" s="422"/>
      <c r="B804" s="461"/>
    </row>
    <row r="805" spans="1:2">
      <c r="A805" s="422"/>
      <c r="B805" s="461"/>
    </row>
    <row r="806" spans="1:2">
      <c r="A806" s="422"/>
      <c r="B806" s="461"/>
    </row>
    <row r="807" spans="1:2">
      <c r="A807" s="422"/>
      <c r="B807" s="461"/>
    </row>
    <row r="808" spans="1:2">
      <c r="A808" s="422"/>
      <c r="B808" s="461"/>
    </row>
    <row r="809" spans="1:2">
      <c r="A809" s="422"/>
      <c r="B809" s="461"/>
    </row>
    <row r="810" spans="1:2">
      <c r="A810" s="422"/>
      <c r="B810" s="461"/>
    </row>
    <row r="811" spans="1:2">
      <c r="A811" s="422"/>
      <c r="B811" s="461"/>
    </row>
    <row r="812" spans="1:2">
      <c r="A812" s="422"/>
      <c r="B812" s="461"/>
    </row>
    <row r="813" spans="1:2">
      <c r="A813" s="422"/>
      <c r="B813" s="461"/>
    </row>
    <row r="814" spans="1:2">
      <c r="A814" s="422"/>
      <c r="B814" s="461"/>
    </row>
    <row r="815" spans="1:2">
      <c r="A815" s="422"/>
      <c r="B815" s="461"/>
    </row>
    <row r="816" spans="1:2">
      <c r="A816" s="422"/>
      <c r="B816" s="461"/>
    </row>
    <row r="817" spans="1:2">
      <c r="A817" s="422"/>
      <c r="B817" s="461"/>
    </row>
    <row r="818" spans="1:2">
      <c r="A818" s="422"/>
      <c r="B818" s="461"/>
    </row>
    <row r="819" spans="1:2">
      <c r="A819" s="422"/>
      <c r="B819" s="461"/>
    </row>
    <row r="820" spans="1:2">
      <c r="A820" s="422"/>
      <c r="B820" s="461"/>
    </row>
    <row r="821" spans="1:2">
      <c r="A821" s="422"/>
      <c r="B821" s="461"/>
    </row>
    <row r="822" spans="1:2">
      <c r="A822" s="422"/>
      <c r="B822" s="461"/>
    </row>
    <row r="823" spans="1:2">
      <c r="A823" s="422"/>
      <c r="B823" s="461"/>
    </row>
    <row r="824" spans="1:2">
      <c r="A824" s="422"/>
      <c r="B824" s="461"/>
    </row>
    <row r="825" spans="1:2">
      <c r="A825" s="422"/>
      <c r="B825" s="461"/>
    </row>
    <row r="826" spans="1:2">
      <c r="A826" s="422"/>
      <c r="B826" s="461"/>
    </row>
    <row r="827" spans="1:2">
      <c r="A827" s="422"/>
      <c r="B827" s="461"/>
    </row>
    <row r="828" spans="1:2">
      <c r="A828" s="422"/>
      <c r="B828" s="461"/>
    </row>
    <row r="829" spans="1:2">
      <c r="A829" s="422"/>
      <c r="B829" s="461"/>
    </row>
    <row r="830" spans="1:2">
      <c r="A830" s="422"/>
      <c r="B830" s="461"/>
    </row>
    <row r="831" spans="1:2">
      <c r="A831" s="422"/>
      <c r="B831" s="461"/>
    </row>
    <row r="832" spans="1:2">
      <c r="A832" s="422"/>
      <c r="B832" s="461"/>
    </row>
    <row r="833" spans="1:2">
      <c r="A833" s="422"/>
      <c r="B833" s="461"/>
    </row>
    <row r="834" spans="1:2">
      <c r="A834" s="422"/>
      <c r="B834" s="461"/>
    </row>
    <row r="835" spans="1:2">
      <c r="A835" s="422"/>
      <c r="B835" s="461"/>
    </row>
    <row r="836" spans="1:2">
      <c r="A836" s="422"/>
      <c r="B836" s="461"/>
    </row>
    <row r="837" spans="1:2">
      <c r="A837" s="422"/>
      <c r="B837" s="461"/>
    </row>
    <row r="838" spans="1:2">
      <c r="A838" s="422"/>
      <c r="B838" s="461"/>
    </row>
    <row r="839" spans="1:2">
      <c r="A839" s="422"/>
      <c r="B839" s="461"/>
    </row>
    <row r="840" spans="1:2">
      <c r="A840" s="422"/>
      <c r="B840" s="461"/>
    </row>
    <row r="841" spans="1:2">
      <c r="A841" s="422"/>
      <c r="B841" s="461"/>
    </row>
    <row r="842" spans="1:2">
      <c r="A842" s="422"/>
      <c r="B842" s="461"/>
    </row>
    <row r="843" spans="1:2">
      <c r="A843" s="422"/>
      <c r="B843" s="461"/>
    </row>
    <row r="844" spans="1:2">
      <c r="A844" s="422"/>
      <c r="B844" s="461"/>
    </row>
    <row r="845" spans="1:2">
      <c r="A845" s="422"/>
      <c r="B845" s="461"/>
    </row>
    <row r="846" spans="1:2">
      <c r="A846" s="422"/>
      <c r="B846" s="461"/>
    </row>
    <row r="847" spans="1:2">
      <c r="A847" s="422"/>
      <c r="B847" s="461"/>
    </row>
    <row r="848" spans="1:2">
      <c r="A848" s="422"/>
      <c r="B848" s="461"/>
    </row>
    <row r="849" spans="1:2">
      <c r="A849" s="422"/>
      <c r="B849" s="461"/>
    </row>
    <row r="850" spans="1:2">
      <c r="A850" s="422"/>
      <c r="B850" s="461"/>
    </row>
    <row r="851" spans="1:2">
      <c r="A851" s="422"/>
      <c r="B851" s="461"/>
    </row>
    <row r="852" spans="1:2">
      <c r="A852" s="422"/>
      <c r="B852" s="461"/>
    </row>
    <row r="853" spans="1:2">
      <c r="A853" s="422"/>
      <c r="B853" s="461"/>
    </row>
    <row r="854" spans="1:2">
      <c r="A854" s="422"/>
      <c r="B854" s="461"/>
    </row>
    <row r="855" spans="1:2">
      <c r="A855" s="422"/>
      <c r="B855" s="461"/>
    </row>
    <row r="856" spans="1:2">
      <c r="A856" s="422"/>
      <c r="B856" s="461"/>
    </row>
    <row r="857" spans="1:2">
      <c r="A857" s="422"/>
      <c r="B857" s="461"/>
    </row>
    <row r="858" spans="1:2">
      <c r="A858" s="422"/>
      <c r="B858" s="461"/>
    </row>
    <row r="859" spans="1:2">
      <c r="A859" s="422"/>
      <c r="B859" s="461"/>
    </row>
    <row r="860" spans="1:2">
      <c r="A860" s="422"/>
      <c r="B860" s="461"/>
    </row>
    <row r="861" spans="1:2">
      <c r="A861" s="422"/>
      <c r="B861" s="461"/>
    </row>
    <row r="862" spans="1:2">
      <c r="A862" s="422"/>
      <c r="B862" s="461"/>
    </row>
    <row r="863" spans="1:2">
      <c r="A863" s="422"/>
      <c r="B863" s="461"/>
    </row>
    <row r="864" spans="1:2">
      <c r="A864" s="422"/>
      <c r="B864" s="461"/>
    </row>
    <row r="865" spans="1:2">
      <c r="A865" s="422"/>
      <c r="B865" s="461"/>
    </row>
    <row r="866" spans="1:2">
      <c r="A866" s="422"/>
      <c r="B866" s="461"/>
    </row>
    <row r="867" spans="1:2">
      <c r="A867" s="422"/>
      <c r="B867" s="461"/>
    </row>
    <row r="868" spans="1:2">
      <c r="A868" s="422"/>
      <c r="B868" s="461"/>
    </row>
    <row r="869" spans="1:2">
      <c r="A869" s="422"/>
      <c r="B869" s="461"/>
    </row>
    <row r="870" spans="1:2">
      <c r="A870" s="422"/>
      <c r="B870" s="461"/>
    </row>
    <row r="871" spans="1:2">
      <c r="A871" s="422"/>
      <c r="B871" s="461"/>
    </row>
    <row r="872" spans="1:2">
      <c r="A872" s="422"/>
      <c r="B872" s="461"/>
    </row>
    <row r="873" spans="1:2">
      <c r="A873" s="422"/>
      <c r="B873" s="461"/>
    </row>
    <row r="874" spans="1:2">
      <c r="A874" s="422"/>
      <c r="B874" s="461"/>
    </row>
    <row r="875" spans="1:2">
      <c r="A875" s="422"/>
      <c r="B875" s="461"/>
    </row>
    <row r="876" spans="1:2">
      <c r="A876" s="422"/>
      <c r="B876" s="461"/>
    </row>
    <row r="877" spans="1:2">
      <c r="A877" s="422"/>
      <c r="B877" s="461"/>
    </row>
    <row r="878" spans="1:2">
      <c r="A878" s="422"/>
      <c r="B878" s="461"/>
    </row>
    <row r="879" spans="1:2">
      <c r="A879" s="422"/>
      <c r="B879" s="461"/>
    </row>
    <row r="880" spans="1:2">
      <c r="A880" s="422"/>
      <c r="B880" s="461"/>
    </row>
    <row r="881" spans="1:2">
      <c r="A881" s="422"/>
      <c r="B881" s="461"/>
    </row>
    <row r="882" spans="1:2">
      <c r="A882" s="422"/>
      <c r="B882" s="461"/>
    </row>
    <row r="883" spans="1:2">
      <c r="A883" s="422"/>
      <c r="B883" s="461"/>
    </row>
    <row r="884" spans="1:2">
      <c r="A884" s="422"/>
      <c r="B884" s="461"/>
    </row>
    <row r="885" spans="1:2">
      <c r="A885" s="422"/>
      <c r="B885" s="461"/>
    </row>
    <row r="886" spans="1:2">
      <c r="A886" s="422"/>
      <c r="B886" s="461"/>
    </row>
    <row r="887" spans="1:2">
      <c r="A887" s="422"/>
      <c r="B887" s="461"/>
    </row>
    <row r="888" spans="1:2">
      <c r="A888" s="422"/>
      <c r="B888" s="461"/>
    </row>
    <row r="889" spans="1:2">
      <c r="A889" s="422"/>
      <c r="B889" s="461"/>
    </row>
    <row r="890" spans="1:2">
      <c r="A890" s="422"/>
      <c r="B890" s="461"/>
    </row>
    <row r="891" spans="1:2">
      <c r="A891" s="422"/>
      <c r="B891" s="461"/>
    </row>
    <row r="892" spans="1:2">
      <c r="A892" s="422"/>
      <c r="B892" s="461"/>
    </row>
    <row r="893" spans="1:2">
      <c r="A893" s="422"/>
      <c r="B893" s="461"/>
    </row>
    <row r="894" spans="1:2">
      <c r="A894" s="422"/>
      <c r="B894" s="461"/>
    </row>
    <row r="895" spans="1:2">
      <c r="A895" s="422"/>
      <c r="B895" s="461"/>
    </row>
    <row r="896" spans="1:2">
      <c r="A896" s="422"/>
      <c r="B896" s="461"/>
    </row>
    <row r="897" spans="1:2">
      <c r="A897" s="422"/>
      <c r="B897" s="461"/>
    </row>
    <row r="898" spans="1:2">
      <c r="A898" s="422"/>
      <c r="B898" s="461"/>
    </row>
    <row r="899" spans="1:2">
      <c r="A899" s="422"/>
      <c r="B899" s="461"/>
    </row>
    <row r="900" spans="1:2">
      <c r="A900" s="422"/>
      <c r="B900" s="461"/>
    </row>
    <row r="901" spans="1:2">
      <c r="A901" s="422"/>
      <c r="B901" s="461"/>
    </row>
    <row r="902" spans="1:2">
      <c r="A902" s="422"/>
      <c r="B902" s="461"/>
    </row>
    <row r="903" spans="1:2">
      <c r="A903" s="422"/>
      <c r="B903" s="461"/>
    </row>
    <row r="904" spans="1:2">
      <c r="A904" s="422"/>
      <c r="B904" s="461"/>
    </row>
    <row r="905" spans="1:2">
      <c r="A905" s="422"/>
      <c r="B905" s="461"/>
    </row>
    <row r="906" spans="1:2">
      <c r="A906" s="422"/>
      <c r="B906" s="461"/>
    </row>
    <row r="907" spans="1:2">
      <c r="A907" s="422"/>
      <c r="B907" s="461"/>
    </row>
    <row r="908" spans="1:2">
      <c r="A908" s="422"/>
      <c r="B908" s="461"/>
    </row>
    <row r="909" spans="1:2">
      <c r="A909" s="422"/>
      <c r="B909" s="461"/>
    </row>
    <row r="910" spans="1:2">
      <c r="A910" s="422"/>
      <c r="B910" s="461"/>
    </row>
    <row r="911" spans="1:2">
      <c r="A911" s="422"/>
      <c r="B911" s="461"/>
    </row>
    <row r="912" spans="1:2">
      <c r="A912" s="422"/>
      <c r="B912" s="461"/>
    </row>
    <row r="913" spans="1:2">
      <c r="A913" s="422"/>
      <c r="B913" s="461"/>
    </row>
    <row r="914" spans="1:2">
      <c r="A914" s="422"/>
      <c r="B914" s="461"/>
    </row>
    <row r="915" spans="1:2">
      <c r="A915" s="422"/>
      <c r="B915" s="461"/>
    </row>
    <row r="916" spans="1:2">
      <c r="A916" s="422"/>
      <c r="B916" s="461"/>
    </row>
    <row r="917" spans="1:2">
      <c r="A917" s="422"/>
      <c r="B917" s="461"/>
    </row>
    <row r="918" spans="1:2">
      <c r="A918" s="422"/>
      <c r="B918" s="461"/>
    </row>
    <row r="919" spans="1:2">
      <c r="A919" s="422"/>
      <c r="B919" s="461"/>
    </row>
    <row r="920" spans="1:2">
      <c r="A920" s="422"/>
      <c r="B920" s="461"/>
    </row>
    <row r="921" spans="1:2">
      <c r="A921" s="422"/>
      <c r="B921" s="461"/>
    </row>
    <row r="922" spans="1:2">
      <c r="A922" s="422"/>
      <c r="B922" s="461"/>
    </row>
    <row r="923" spans="1:2">
      <c r="A923" s="422"/>
      <c r="B923" s="461"/>
    </row>
    <row r="924" spans="1:2">
      <c r="A924" s="422"/>
      <c r="B924" s="461"/>
    </row>
    <row r="925" spans="1:2">
      <c r="A925" s="422"/>
      <c r="B925" s="461"/>
    </row>
    <row r="926" spans="1:2">
      <c r="A926" s="422"/>
      <c r="B926" s="461"/>
    </row>
    <row r="927" spans="1:2">
      <c r="A927" s="422"/>
      <c r="B927" s="461"/>
    </row>
    <row r="928" spans="1:2">
      <c r="A928" s="422"/>
      <c r="B928" s="461"/>
    </row>
    <row r="929" spans="1:2">
      <c r="A929" s="422"/>
      <c r="B929" s="461"/>
    </row>
    <row r="930" spans="1:2">
      <c r="A930" s="422"/>
      <c r="B930" s="461"/>
    </row>
    <row r="931" spans="1:2">
      <c r="A931" s="422"/>
      <c r="B931" s="461"/>
    </row>
    <row r="932" spans="1:2">
      <c r="A932" s="422"/>
      <c r="B932" s="461"/>
    </row>
    <row r="933" spans="1:2">
      <c r="A933" s="422"/>
      <c r="B933" s="461"/>
    </row>
    <row r="934" spans="1:2">
      <c r="A934" s="422"/>
      <c r="B934" s="461"/>
    </row>
    <row r="935" spans="1:2">
      <c r="A935" s="422"/>
      <c r="B935" s="461"/>
    </row>
    <row r="936" spans="1:2">
      <c r="A936" s="422"/>
      <c r="B936" s="461"/>
    </row>
    <row r="937" spans="1:2">
      <c r="A937" s="422"/>
      <c r="B937" s="461"/>
    </row>
    <row r="938" spans="1:2">
      <c r="A938" s="422"/>
      <c r="B938" s="461"/>
    </row>
    <row r="939" spans="1:2">
      <c r="A939" s="422"/>
      <c r="B939" s="461"/>
    </row>
    <row r="940" spans="1:2">
      <c r="A940" s="422"/>
      <c r="B940" s="461"/>
    </row>
    <row r="941" spans="1:2">
      <c r="A941" s="422"/>
      <c r="B941" s="461"/>
    </row>
    <row r="942" spans="1:2">
      <c r="A942" s="422"/>
      <c r="B942" s="461"/>
    </row>
    <row r="943" spans="1:2">
      <c r="A943" s="422"/>
      <c r="B943" s="461"/>
    </row>
    <row r="944" spans="1:2">
      <c r="A944" s="422"/>
      <c r="B944" s="461"/>
    </row>
    <row r="945" spans="1:2">
      <c r="A945" s="422"/>
      <c r="B945" s="461"/>
    </row>
    <row r="946" spans="1:2">
      <c r="A946" s="422"/>
      <c r="B946" s="461"/>
    </row>
    <row r="947" spans="1:2">
      <c r="A947" s="422"/>
      <c r="B947" s="461"/>
    </row>
    <row r="948" spans="1:2">
      <c r="A948" s="422"/>
      <c r="B948" s="461"/>
    </row>
    <row r="949" spans="1:2">
      <c r="A949" s="422"/>
      <c r="B949" s="461"/>
    </row>
    <row r="950" spans="1:2">
      <c r="A950" s="422"/>
      <c r="B950" s="461"/>
    </row>
    <row r="951" spans="1:2">
      <c r="A951" s="422"/>
      <c r="B951" s="461"/>
    </row>
    <row r="952" spans="1:2">
      <c r="A952" s="422"/>
      <c r="B952" s="461"/>
    </row>
    <row r="953" spans="1:2">
      <c r="A953" s="422"/>
      <c r="B953" s="461"/>
    </row>
    <row r="954" spans="1:2">
      <c r="A954" s="422"/>
      <c r="B954" s="461"/>
    </row>
    <row r="955" spans="1:2">
      <c r="A955" s="422"/>
      <c r="B955" s="461"/>
    </row>
    <row r="956" spans="1:2">
      <c r="A956" s="422"/>
      <c r="B956" s="461"/>
    </row>
    <row r="957" spans="1:2">
      <c r="A957" s="422"/>
      <c r="B957" s="461"/>
    </row>
    <row r="958" spans="1:2">
      <c r="A958" s="422"/>
      <c r="B958" s="461"/>
    </row>
    <row r="959" spans="1:2">
      <c r="A959" s="422"/>
      <c r="B959" s="461"/>
    </row>
    <row r="960" spans="1:2">
      <c r="A960" s="422"/>
      <c r="B960" s="461"/>
    </row>
    <row r="961" spans="1:2">
      <c r="A961" s="422"/>
      <c r="B961" s="461"/>
    </row>
    <row r="962" spans="1:2">
      <c r="A962" s="422"/>
      <c r="B962" s="461"/>
    </row>
    <row r="963" spans="1:2">
      <c r="A963" s="422"/>
      <c r="B963" s="461"/>
    </row>
    <row r="964" spans="1:2">
      <c r="A964" s="422"/>
      <c r="B964" s="461"/>
    </row>
    <row r="965" spans="1:2">
      <c r="A965" s="422"/>
      <c r="B965" s="461"/>
    </row>
    <row r="966" spans="1:2">
      <c r="A966" s="422"/>
      <c r="B966" s="461"/>
    </row>
    <row r="967" spans="1:2">
      <c r="A967" s="422"/>
      <c r="B967" s="461"/>
    </row>
    <row r="968" spans="1:2">
      <c r="A968" s="422"/>
      <c r="B968" s="461"/>
    </row>
    <row r="969" spans="1:2">
      <c r="A969" s="422"/>
      <c r="B969" s="461"/>
    </row>
    <row r="970" spans="1:2">
      <c r="A970" s="422"/>
      <c r="B970" s="461"/>
    </row>
    <row r="971" spans="1:2">
      <c r="A971" s="422"/>
      <c r="B971" s="461"/>
    </row>
    <row r="972" spans="1:2">
      <c r="A972" s="422"/>
      <c r="B972" s="461"/>
    </row>
    <row r="973" spans="1:2">
      <c r="A973" s="422"/>
      <c r="B973" s="461"/>
    </row>
    <row r="974" spans="1:2">
      <c r="A974" s="422"/>
      <c r="B974" s="461"/>
    </row>
    <row r="975" spans="1:2">
      <c r="A975" s="422"/>
      <c r="B975" s="461"/>
    </row>
    <row r="976" spans="1:2">
      <c r="A976" s="422"/>
      <c r="B976" s="461"/>
    </row>
    <row r="977" spans="1:2">
      <c r="A977" s="422"/>
      <c r="B977" s="461"/>
    </row>
    <row r="978" spans="1:2">
      <c r="A978" s="422"/>
      <c r="B978" s="461"/>
    </row>
    <row r="979" spans="1:2">
      <c r="A979" s="422"/>
      <c r="B979" s="461"/>
    </row>
    <row r="980" spans="1:2">
      <c r="A980" s="422"/>
      <c r="B980" s="461"/>
    </row>
    <row r="981" spans="1:2">
      <c r="A981" s="422"/>
      <c r="B981" s="461"/>
    </row>
    <row r="982" spans="1:2">
      <c r="A982" s="422"/>
      <c r="B982" s="461"/>
    </row>
    <row r="983" spans="1:2">
      <c r="A983" s="422"/>
      <c r="B983" s="461"/>
    </row>
    <row r="984" spans="1:2">
      <c r="A984" s="422"/>
      <c r="B984" s="461"/>
    </row>
    <row r="985" spans="1:2">
      <c r="A985" s="422"/>
      <c r="B985" s="461"/>
    </row>
    <row r="986" spans="1:2">
      <c r="A986" s="422"/>
      <c r="B986" s="461"/>
    </row>
    <row r="987" spans="1:2">
      <c r="A987" s="422"/>
      <c r="B987" s="461"/>
    </row>
    <row r="988" spans="1:2">
      <c r="A988" s="422"/>
      <c r="B988" s="461"/>
    </row>
    <row r="989" spans="1:2">
      <c r="A989" s="422"/>
      <c r="B989" s="461"/>
    </row>
    <row r="990" spans="1:2">
      <c r="A990" s="422"/>
      <c r="B990" s="461"/>
    </row>
    <row r="991" spans="1:2">
      <c r="A991" s="422"/>
      <c r="B991" s="461"/>
    </row>
    <row r="992" spans="1:2">
      <c r="A992" s="422"/>
      <c r="B992" s="461"/>
    </row>
    <row r="993" spans="1:2">
      <c r="A993" s="422"/>
      <c r="B993" s="461"/>
    </row>
    <row r="994" spans="1:2">
      <c r="A994" s="422"/>
      <c r="B994" s="461"/>
    </row>
    <row r="995" spans="1:2">
      <c r="A995" s="422"/>
      <c r="B995" s="461"/>
    </row>
    <row r="996" spans="1:2">
      <c r="A996" s="422"/>
      <c r="B996" s="461"/>
    </row>
    <row r="997" spans="1:2">
      <c r="A997" s="422"/>
      <c r="B997" s="461"/>
    </row>
    <row r="998" spans="1:2">
      <c r="A998" s="422"/>
      <c r="B998" s="461"/>
    </row>
    <row r="999" spans="1:2">
      <c r="A999" s="422"/>
      <c r="B999" s="461"/>
    </row>
    <row r="1000" spans="1:2">
      <c r="A1000" s="422"/>
      <c r="B1000" s="461"/>
    </row>
    <row r="1001" spans="1:2">
      <c r="A1001" s="422"/>
      <c r="B1001" s="461"/>
    </row>
    <row r="1002" spans="1:2">
      <c r="A1002" s="422"/>
      <c r="B1002" s="461"/>
    </row>
    <row r="1003" spans="1:2">
      <c r="A1003" s="422"/>
      <c r="B1003" s="461"/>
    </row>
    <row r="1004" spans="1:2">
      <c r="A1004" s="422"/>
      <c r="B1004" s="461"/>
    </row>
    <row r="1005" spans="1:2">
      <c r="A1005" s="422"/>
      <c r="B1005" s="461"/>
    </row>
    <row r="1006" spans="1:2">
      <c r="A1006" s="422"/>
      <c r="B1006" s="461"/>
    </row>
    <row r="1007" spans="1:2">
      <c r="A1007" s="422"/>
      <c r="B1007" s="461"/>
    </row>
    <row r="1008" spans="1:2">
      <c r="A1008" s="422"/>
      <c r="B1008" s="461"/>
    </row>
    <row r="1009" spans="1:2">
      <c r="A1009" s="422"/>
      <c r="B1009" s="461"/>
    </row>
    <row r="1010" spans="1:2">
      <c r="A1010" s="422"/>
      <c r="B1010" s="461"/>
    </row>
    <row r="1011" spans="1:2">
      <c r="A1011" s="422"/>
      <c r="B1011" s="461"/>
    </row>
    <row r="1012" spans="1:2">
      <c r="A1012" s="422"/>
      <c r="B1012" s="461"/>
    </row>
    <row r="1013" spans="1:2">
      <c r="A1013" s="422"/>
      <c r="B1013" s="461"/>
    </row>
    <row r="1014" spans="1:2">
      <c r="A1014" s="422"/>
      <c r="B1014" s="461"/>
    </row>
    <row r="1015" spans="1:2">
      <c r="A1015" s="422"/>
      <c r="B1015" s="461"/>
    </row>
    <row r="1016" spans="1:2">
      <c r="A1016" s="422"/>
      <c r="B1016" s="461"/>
    </row>
    <row r="1017" spans="1:2">
      <c r="A1017" s="422"/>
      <c r="B1017" s="461"/>
    </row>
    <row r="1018" spans="1:2">
      <c r="A1018" s="422"/>
      <c r="B1018" s="461"/>
    </row>
    <row r="1019" spans="1:2">
      <c r="A1019" s="422"/>
      <c r="B1019" s="461"/>
    </row>
    <row r="1020" spans="1:2">
      <c r="A1020" s="422"/>
      <c r="B1020" s="461"/>
    </row>
    <row r="1021" spans="1:2">
      <c r="A1021" s="422"/>
      <c r="B1021" s="461"/>
    </row>
    <row r="1022" spans="1:2">
      <c r="A1022" s="422"/>
      <c r="B1022" s="461"/>
    </row>
    <row r="1023" spans="1:2">
      <c r="A1023" s="422"/>
      <c r="B1023" s="461"/>
    </row>
    <row r="1024" spans="1:2">
      <c r="A1024" s="422"/>
      <c r="B1024" s="461"/>
    </row>
    <row r="1025" spans="1:2">
      <c r="A1025" s="422"/>
      <c r="B1025" s="461"/>
    </row>
    <row r="1026" spans="1:2">
      <c r="A1026" s="422"/>
      <c r="B1026" s="461"/>
    </row>
    <row r="1027" spans="1:2">
      <c r="A1027" s="422"/>
      <c r="B1027" s="461"/>
    </row>
    <row r="1028" spans="1:2">
      <c r="A1028" s="422"/>
      <c r="B1028" s="461"/>
    </row>
    <row r="1029" spans="1:2">
      <c r="A1029" s="422"/>
      <c r="B1029" s="461"/>
    </row>
    <row r="1030" spans="1:2">
      <c r="A1030" s="422"/>
      <c r="B1030" s="461"/>
    </row>
    <row r="1031" spans="1:2">
      <c r="A1031" s="422"/>
      <c r="B1031" s="461"/>
    </row>
    <row r="1032" spans="1:2">
      <c r="A1032" s="422"/>
      <c r="B1032" s="461"/>
    </row>
    <row r="1033" spans="1:2">
      <c r="A1033" s="422"/>
      <c r="B1033" s="461"/>
    </row>
    <row r="1034" spans="1:2">
      <c r="A1034" s="422"/>
      <c r="B1034" s="461"/>
    </row>
    <row r="1035" spans="1:2">
      <c r="A1035" s="422"/>
      <c r="B1035" s="461"/>
    </row>
    <row r="1036" spans="1:2">
      <c r="A1036" s="422"/>
      <c r="B1036" s="461"/>
    </row>
    <row r="1037" spans="1:2">
      <c r="A1037" s="422"/>
      <c r="B1037" s="461"/>
    </row>
    <row r="1038" spans="1:2">
      <c r="A1038" s="422"/>
      <c r="B1038" s="461"/>
    </row>
    <row r="1039" spans="1:2">
      <c r="A1039" s="422"/>
      <c r="B1039" s="461"/>
    </row>
    <row r="1040" spans="1:2">
      <c r="A1040" s="422"/>
      <c r="B1040" s="461"/>
    </row>
    <row r="1041" spans="1:2">
      <c r="A1041" s="422"/>
      <c r="B1041" s="461"/>
    </row>
    <row r="1042" spans="1:2">
      <c r="A1042" s="422"/>
      <c r="B1042" s="461"/>
    </row>
    <row r="1043" spans="1:2">
      <c r="A1043" s="422"/>
      <c r="B1043" s="461"/>
    </row>
    <row r="1044" spans="1:2">
      <c r="A1044" s="422"/>
      <c r="B1044" s="461"/>
    </row>
    <row r="1045" spans="1:2">
      <c r="A1045" s="422"/>
      <c r="B1045" s="461"/>
    </row>
    <row r="1046" spans="1:2">
      <c r="A1046" s="422"/>
      <c r="B1046" s="461"/>
    </row>
    <row r="1047" spans="1:2">
      <c r="A1047" s="422"/>
      <c r="B1047" s="461"/>
    </row>
    <row r="1048" spans="1:2">
      <c r="A1048" s="422"/>
      <c r="B1048" s="461"/>
    </row>
    <row r="1049" spans="1:2">
      <c r="A1049" s="422"/>
      <c r="B1049" s="461"/>
    </row>
    <row r="1050" spans="1:2">
      <c r="A1050" s="422"/>
      <c r="B1050" s="461"/>
    </row>
    <row r="1051" spans="1:2">
      <c r="A1051" s="422"/>
      <c r="B1051" s="461"/>
    </row>
    <row r="1052" spans="1:2">
      <c r="A1052" s="422"/>
      <c r="B1052" s="461"/>
    </row>
    <row r="1053" spans="1:2">
      <c r="A1053" s="422"/>
      <c r="B1053" s="461"/>
    </row>
    <row r="1054" spans="1:2">
      <c r="A1054" s="422"/>
      <c r="B1054" s="461"/>
    </row>
    <row r="1055" spans="1:2">
      <c r="A1055" s="422"/>
      <c r="B1055" s="461"/>
    </row>
    <row r="1056" spans="1:2">
      <c r="A1056" s="422"/>
      <c r="B1056" s="461"/>
    </row>
    <row r="1057" spans="1:2">
      <c r="A1057" s="422"/>
      <c r="B1057" s="461"/>
    </row>
    <row r="1058" spans="1:2">
      <c r="A1058" s="422"/>
      <c r="B1058" s="461"/>
    </row>
    <row r="1059" spans="1:2">
      <c r="A1059" s="422"/>
      <c r="B1059" s="461"/>
    </row>
    <row r="1060" spans="1:2">
      <c r="A1060" s="422"/>
      <c r="B1060" s="461"/>
    </row>
    <row r="1061" spans="1:2">
      <c r="A1061" s="422"/>
      <c r="B1061" s="461"/>
    </row>
    <row r="1062" spans="1:2">
      <c r="A1062" s="422"/>
      <c r="B1062" s="461"/>
    </row>
    <row r="1063" spans="1:2">
      <c r="A1063" s="422"/>
      <c r="B1063" s="461"/>
    </row>
    <row r="1064" spans="1:2">
      <c r="A1064" s="422"/>
      <c r="B1064" s="461"/>
    </row>
    <row r="1065" spans="1:2">
      <c r="A1065" s="422"/>
      <c r="B1065" s="461"/>
    </row>
    <row r="1066" spans="1:2">
      <c r="A1066" s="422"/>
      <c r="B1066" s="461"/>
    </row>
    <row r="1067" spans="1:2">
      <c r="A1067" s="422"/>
      <c r="B1067" s="461"/>
    </row>
    <row r="1068" spans="1:2">
      <c r="A1068" s="422"/>
      <c r="B1068" s="461"/>
    </row>
    <row r="1069" spans="1:2">
      <c r="A1069" s="422"/>
      <c r="B1069" s="461"/>
    </row>
    <row r="1070" spans="1:2">
      <c r="A1070" s="422"/>
      <c r="B1070" s="461"/>
    </row>
    <row r="1071" spans="1:2">
      <c r="A1071" s="422"/>
      <c r="B1071" s="461"/>
    </row>
    <row r="1072" spans="1:2">
      <c r="A1072" s="422"/>
      <c r="B1072" s="461"/>
    </row>
    <row r="1073" spans="1:2">
      <c r="A1073" s="422"/>
      <c r="B1073" s="461"/>
    </row>
    <row r="1074" spans="1:2">
      <c r="A1074" s="422"/>
      <c r="B1074" s="461"/>
    </row>
    <row r="1075" spans="1:2">
      <c r="A1075" s="422"/>
      <c r="B1075" s="461"/>
    </row>
    <row r="1076" spans="1:2">
      <c r="A1076" s="422"/>
      <c r="B1076" s="461"/>
    </row>
    <row r="1077" spans="1:2">
      <c r="A1077" s="422"/>
      <c r="B1077" s="461"/>
    </row>
    <row r="1078" spans="1:2">
      <c r="A1078" s="422"/>
      <c r="B1078" s="461"/>
    </row>
    <row r="1079" spans="1:2">
      <c r="A1079" s="422"/>
      <c r="B1079" s="461"/>
    </row>
    <row r="1080" spans="1:2">
      <c r="A1080" s="422"/>
      <c r="B1080" s="461"/>
    </row>
    <row r="1081" spans="1:2">
      <c r="A1081" s="422"/>
      <c r="B1081" s="461"/>
    </row>
    <row r="1082" spans="1:2">
      <c r="A1082" s="422"/>
      <c r="B1082" s="461"/>
    </row>
    <row r="1083" spans="1:2">
      <c r="A1083" s="422"/>
      <c r="B1083" s="461"/>
    </row>
    <row r="1084" spans="1:2">
      <c r="A1084" s="422"/>
      <c r="B1084" s="461"/>
    </row>
    <row r="1085" spans="1:2">
      <c r="A1085" s="422"/>
      <c r="B1085" s="461"/>
    </row>
    <row r="1086" spans="1:2">
      <c r="A1086" s="422"/>
      <c r="B1086" s="461"/>
    </row>
    <row r="1087" spans="1:2">
      <c r="A1087" s="422"/>
      <c r="B1087" s="461"/>
    </row>
    <row r="1088" spans="1:2">
      <c r="A1088" s="422"/>
      <c r="B1088" s="461"/>
    </row>
    <row r="1089" spans="1:2">
      <c r="A1089" s="422"/>
      <c r="B1089" s="461"/>
    </row>
    <row r="1090" spans="1:2">
      <c r="A1090" s="422"/>
      <c r="B1090" s="461"/>
    </row>
    <row r="1091" spans="1:2">
      <c r="A1091" s="422"/>
      <c r="B1091" s="461"/>
    </row>
    <row r="1092" spans="1:2">
      <c r="A1092" s="422"/>
      <c r="B1092" s="461"/>
    </row>
    <row r="1093" spans="1:2">
      <c r="A1093" s="422"/>
      <c r="B1093" s="461"/>
    </row>
    <row r="1094" spans="1:2">
      <c r="A1094" s="422"/>
      <c r="B1094" s="461"/>
    </row>
    <row r="1095" spans="1:2">
      <c r="A1095" s="422"/>
      <c r="B1095" s="461"/>
    </row>
    <row r="1096" spans="1:2">
      <c r="A1096" s="422"/>
      <c r="B1096" s="461"/>
    </row>
    <row r="1097" spans="1:2">
      <c r="A1097" s="422"/>
      <c r="B1097" s="461"/>
    </row>
    <row r="1098" spans="1:2">
      <c r="A1098" s="422"/>
      <c r="B1098" s="461"/>
    </row>
    <row r="1099" spans="1:2">
      <c r="A1099" s="422"/>
      <c r="B1099" s="461"/>
    </row>
    <row r="1100" spans="1:2">
      <c r="A1100" s="422"/>
      <c r="B1100" s="461"/>
    </row>
    <row r="1101" spans="1:2">
      <c r="A1101" s="422"/>
      <c r="B1101" s="461"/>
    </row>
    <row r="1102" spans="1:2">
      <c r="A1102" s="422"/>
      <c r="B1102" s="461"/>
    </row>
    <row r="1103" spans="1:2">
      <c r="A1103" s="422"/>
      <c r="B1103" s="461"/>
    </row>
    <row r="1104" spans="1:2">
      <c r="A1104" s="422"/>
      <c r="B1104" s="461"/>
    </row>
    <row r="1105" spans="1:2">
      <c r="A1105" s="422"/>
      <c r="B1105" s="461"/>
    </row>
    <row r="1106" spans="1:2">
      <c r="A1106" s="422"/>
      <c r="B1106" s="461"/>
    </row>
    <row r="1107" spans="1:2">
      <c r="A1107" s="422"/>
      <c r="B1107" s="461"/>
    </row>
    <row r="1108" spans="1:2">
      <c r="A1108" s="422"/>
      <c r="B1108" s="461"/>
    </row>
    <row r="1109" spans="1:2">
      <c r="A1109" s="422"/>
      <c r="B1109" s="461"/>
    </row>
    <row r="1110" spans="1:2">
      <c r="A1110" s="422"/>
      <c r="B1110" s="461"/>
    </row>
    <row r="1111" spans="1:2">
      <c r="A1111" s="422"/>
      <c r="B1111" s="461"/>
    </row>
    <row r="1112" spans="1:2">
      <c r="A1112" s="422"/>
      <c r="B1112" s="461"/>
    </row>
    <row r="1113" spans="1:2">
      <c r="A1113" s="422"/>
      <c r="B1113" s="461"/>
    </row>
    <row r="1114" spans="1:2">
      <c r="A1114" s="422"/>
      <c r="B1114" s="461"/>
    </row>
    <row r="1115" spans="1:2">
      <c r="A1115" s="422"/>
      <c r="B1115" s="461"/>
    </row>
    <row r="1116" spans="1:2">
      <c r="A1116" s="422"/>
      <c r="B1116" s="461"/>
    </row>
    <row r="1117" spans="1:2">
      <c r="A1117" s="422"/>
      <c r="B1117" s="461"/>
    </row>
    <row r="1118" spans="1:2">
      <c r="A1118" s="422"/>
      <c r="B1118" s="461"/>
    </row>
    <row r="1119" spans="1:2">
      <c r="A1119" s="422"/>
      <c r="B1119" s="461"/>
    </row>
    <row r="1120" spans="1:2">
      <c r="A1120" s="422"/>
      <c r="B1120" s="461"/>
    </row>
    <row r="1121" spans="1:2">
      <c r="A1121" s="422"/>
      <c r="B1121" s="461"/>
    </row>
    <row r="1122" spans="1:2">
      <c r="A1122" s="422"/>
      <c r="B1122" s="461"/>
    </row>
    <row r="1123" spans="1:2">
      <c r="A1123" s="422"/>
      <c r="B1123" s="461"/>
    </row>
    <row r="1124" spans="1:2">
      <c r="A1124" s="422"/>
      <c r="B1124" s="461"/>
    </row>
    <row r="1125" spans="1:2">
      <c r="A1125" s="422"/>
      <c r="B1125" s="461"/>
    </row>
    <row r="1126" spans="1:2">
      <c r="A1126" s="422"/>
      <c r="B1126" s="461"/>
    </row>
    <row r="1127" spans="1:2">
      <c r="A1127" s="422"/>
      <c r="B1127" s="461"/>
    </row>
    <row r="1128" spans="1:2">
      <c r="A1128" s="422"/>
      <c r="B1128" s="461"/>
    </row>
    <row r="1129" spans="1:2">
      <c r="A1129" s="422"/>
      <c r="B1129" s="461"/>
    </row>
    <row r="1130" spans="1:2">
      <c r="A1130" s="422"/>
      <c r="B1130" s="461"/>
    </row>
    <row r="1131" spans="1:2">
      <c r="A1131" s="422"/>
      <c r="B1131" s="461"/>
    </row>
    <row r="1132" spans="1:2">
      <c r="A1132" s="422"/>
      <c r="B1132" s="461"/>
    </row>
    <row r="1133" spans="1:2">
      <c r="A1133" s="422"/>
      <c r="B1133" s="461"/>
    </row>
    <row r="1134" spans="1:2">
      <c r="A1134" s="422"/>
      <c r="B1134" s="461"/>
    </row>
    <row r="1135" spans="1:2">
      <c r="A1135" s="422"/>
      <c r="B1135" s="461"/>
    </row>
    <row r="1136" spans="1:2">
      <c r="A1136" s="422"/>
      <c r="B1136" s="461"/>
    </row>
    <row r="1137" spans="1:2">
      <c r="A1137" s="422"/>
      <c r="B1137" s="461"/>
    </row>
    <row r="1138" spans="1:2">
      <c r="A1138" s="422"/>
      <c r="B1138" s="461"/>
    </row>
    <row r="1139" spans="1:2">
      <c r="A1139" s="422"/>
      <c r="B1139" s="461"/>
    </row>
    <row r="1140" spans="1:2">
      <c r="A1140" s="422"/>
      <c r="B1140" s="461"/>
    </row>
    <row r="1141" spans="1:2">
      <c r="A1141" s="422"/>
      <c r="B1141" s="461"/>
    </row>
    <row r="1142" spans="1:2">
      <c r="A1142" s="422"/>
      <c r="B1142" s="461"/>
    </row>
    <row r="1143" spans="1:2">
      <c r="A1143" s="422"/>
      <c r="B1143" s="461"/>
    </row>
    <row r="1144" spans="1:2">
      <c r="A1144" s="422"/>
      <c r="B1144" s="461"/>
    </row>
    <row r="1145" spans="1:2">
      <c r="A1145" s="422"/>
      <c r="B1145" s="461"/>
    </row>
    <row r="1146" spans="1:2">
      <c r="A1146" s="422"/>
      <c r="B1146" s="461"/>
    </row>
    <row r="1147" spans="1:2">
      <c r="A1147" s="422"/>
      <c r="B1147" s="461"/>
    </row>
    <row r="1148" spans="1:2">
      <c r="A1148" s="422"/>
      <c r="B1148" s="461"/>
    </row>
    <row r="1149" spans="1:2">
      <c r="A1149" s="422"/>
      <c r="B1149" s="461"/>
    </row>
    <row r="1150" spans="1:2">
      <c r="A1150" s="422"/>
      <c r="B1150" s="461"/>
    </row>
    <row r="1151" spans="1:2">
      <c r="A1151" s="422"/>
      <c r="B1151" s="461"/>
    </row>
    <row r="1152" spans="1:2">
      <c r="A1152" s="422"/>
      <c r="B1152" s="461"/>
    </row>
    <row r="1153" spans="1:2">
      <c r="A1153" s="422"/>
      <c r="B1153" s="461"/>
    </row>
    <row r="1154" spans="1:2">
      <c r="A1154" s="422"/>
      <c r="B1154" s="461"/>
    </row>
    <row r="1155" spans="1:2">
      <c r="A1155" s="422"/>
      <c r="B1155" s="461"/>
    </row>
    <row r="1156" spans="1:2">
      <c r="A1156" s="422"/>
      <c r="B1156" s="461"/>
    </row>
    <row r="1157" spans="1:2">
      <c r="A1157" s="422"/>
      <c r="B1157" s="461"/>
    </row>
    <row r="1158" spans="1:2">
      <c r="A1158" s="422"/>
      <c r="B1158" s="461"/>
    </row>
    <row r="1159" spans="1:2">
      <c r="A1159" s="422"/>
      <c r="B1159" s="461"/>
    </row>
    <row r="1160" spans="1:2">
      <c r="A1160" s="422"/>
      <c r="B1160" s="461"/>
    </row>
    <row r="1161" spans="1:2">
      <c r="A1161" s="422"/>
      <c r="B1161" s="461"/>
    </row>
    <row r="1162" spans="1:2">
      <c r="A1162" s="422"/>
      <c r="B1162" s="461"/>
    </row>
    <row r="1163" spans="1:2">
      <c r="A1163" s="422"/>
      <c r="B1163" s="461"/>
    </row>
    <row r="1164" spans="1:2">
      <c r="A1164" s="422"/>
      <c r="B1164" s="461"/>
    </row>
    <row r="1165" spans="1:2">
      <c r="A1165" s="422"/>
      <c r="B1165" s="461"/>
    </row>
    <row r="1166" spans="1:2">
      <c r="A1166" s="422"/>
      <c r="B1166" s="461"/>
    </row>
    <row r="1167" spans="1:2">
      <c r="A1167" s="422"/>
      <c r="B1167" s="461"/>
    </row>
    <row r="1168" spans="1:2">
      <c r="A1168" s="422"/>
      <c r="B1168" s="461"/>
    </row>
    <row r="1169" spans="1:2">
      <c r="A1169" s="422"/>
      <c r="B1169" s="461"/>
    </row>
    <row r="1170" spans="1:2">
      <c r="A1170" s="422"/>
      <c r="B1170" s="461"/>
    </row>
    <row r="1171" spans="1:2">
      <c r="A1171" s="422"/>
      <c r="B1171" s="461"/>
    </row>
    <row r="1172" spans="1:2">
      <c r="A1172" s="422"/>
      <c r="B1172" s="461"/>
    </row>
    <row r="1173" spans="1:2">
      <c r="A1173" s="422"/>
      <c r="B1173" s="461"/>
    </row>
    <row r="1174" spans="1:2">
      <c r="A1174" s="422"/>
      <c r="B1174" s="461"/>
    </row>
    <row r="1175" spans="1:2">
      <c r="A1175" s="422"/>
      <c r="B1175" s="461"/>
    </row>
    <row r="1176" spans="1:2">
      <c r="A1176" s="422"/>
      <c r="B1176" s="461"/>
    </row>
    <row r="1177" spans="1:2">
      <c r="A1177" s="422"/>
      <c r="B1177" s="461"/>
    </row>
    <row r="1178" spans="1:2">
      <c r="A1178" s="422"/>
      <c r="B1178" s="461"/>
    </row>
    <row r="1179" spans="1:2">
      <c r="A1179" s="422"/>
      <c r="B1179" s="461"/>
    </row>
    <row r="1180" spans="1:2">
      <c r="A1180" s="422"/>
      <c r="B1180" s="461"/>
    </row>
    <row r="1181" spans="1:2">
      <c r="A1181" s="422"/>
      <c r="B1181" s="461"/>
    </row>
    <row r="1182" spans="1:2">
      <c r="A1182" s="422"/>
      <c r="B1182" s="461"/>
    </row>
    <row r="1183" spans="1:2">
      <c r="A1183" s="422"/>
      <c r="B1183" s="461"/>
    </row>
    <row r="1184" spans="1:2">
      <c r="A1184" s="422"/>
      <c r="B1184" s="461"/>
    </row>
    <row r="1185" spans="1:2">
      <c r="A1185" s="422"/>
      <c r="B1185" s="461"/>
    </row>
    <row r="1186" spans="1:2">
      <c r="A1186" s="422"/>
      <c r="B1186" s="461"/>
    </row>
    <row r="1187" spans="1:2">
      <c r="A1187" s="422"/>
      <c r="B1187" s="461"/>
    </row>
    <row r="1188" spans="1:2">
      <c r="A1188" s="422"/>
      <c r="B1188" s="461"/>
    </row>
    <row r="1189" spans="1:2">
      <c r="A1189" s="422"/>
      <c r="B1189" s="461"/>
    </row>
    <row r="1190" spans="1:2">
      <c r="A1190" s="422"/>
      <c r="B1190" s="461"/>
    </row>
    <row r="1191" spans="1:2">
      <c r="A1191" s="422"/>
      <c r="B1191" s="461"/>
    </row>
    <row r="1192" spans="1:2">
      <c r="A1192" s="422"/>
      <c r="B1192" s="461"/>
    </row>
    <row r="1193" spans="1:2">
      <c r="A1193" s="422"/>
      <c r="B1193" s="461"/>
    </row>
    <row r="1194" spans="1:2">
      <c r="A1194" s="422"/>
      <c r="B1194" s="461"/>
    </row>
    <row r="1195" spans="1:2">
      <c r="A1195" s="422"/>
      <c r="B1195" s="461"/>
    </row>
    <row r="1196" spans="1:2">
      <c r="A1196" s="422"/>
      <c r="B1196" s="461"/>
    </row>
    <row r="1197" spans="1:2">
      <c r="A1197" s="422"/>
      <c r="B1197" s="461"/>
    </row>
    <row r="1198" spans="1:2">
      <c r="A1198" s="422"/>
      <c r="B1198" s="461"/>
    </row>
    <row r="1199" spans="1:2">
      <c r="A1199" s="422"/>
      <c r="B1199" s="461"/>
    </row>
    <row r="1200" spans="1:2">
      <c r="A1200" s="422"/>
      <c r="B1200" s="461"/>
    </row>
    <row r="1201" spans="1:2">
      <c r="A1201" s="422"/>
      <c r="B1201" s="461"/>
    </row>
    <row r="1202" spans="1:2">
      <c r="A1202" s="422"/>
      <c r="B1202" s="461"/>
    </row>
    <row r="1203" spans="1:2">
      <c r="A1203" s="422"/>
      <c r="B1203" s="461"/>
    </row>
    <row r="1204" spans="1:2">
      <c r="A1204" s="422"/>
      <c r="B1204" s="461"/>
    </row>
    <row r="1205" spans="1:2">
      <c r="A1205" s="422"/>
      <c r="B1205" s="461"/>
    </row>
    <row r="1206" spans="1:2">
      <c r="A1206" s="422"/>
      <c r="B1206" s="461"/>
    </row>
    <row r="1207" spans="1:2">
      <c r="A1207" s="422"/>
      <c r="B1207" s="461"/>
    </row>
    <row r="1208" spans="1:2">
      <c r="A1208" s="422"/>
      <c r="B1208" s="461"/>
    </row>
    <row r="1209" spans="1:2">
      <c r="A1209" s="422"/>
      <c r="B1209" s="461"/>
    </row>
    <row r="1210" spans="1:2">
      <c r="A1210" s="422"/>
      <c r="B1210" s="461"/>
    </row>
    <row r="1211" spans="1:2">
      <c r="A1211" s="422"/>
      <c r="B1211" s="461"/>
    </row>
    <row r="1212" spans="1:2">
      <c r="A1212" s="422"/>
      <c r="B1212" s="461"/>
    </row>
    <row r="1213" spans="1:2">
      <c r="A1213" s="422"/>
      <c r="B1213" s="461"/>
    </row>
    <row r="1214" spans="1:2">
      <c r="A1214" s="422"/>
      <c r="B1214" s="461"/>
    </row>
    <row r="1215" spans="1:2">
      <c r="A1215" s="422"/>
      <c r="B1215" s="461"/>
    </row>
    <row r="1216" spans="1:2">
      <c r="A1216" s="422"/>
      <c r="B1216" s="461"/>
    </row>
    <row r="1217" spans="1:2">
      <c r="A1217" s="422"/>
      <c r="B1217" s="461"/>
    </row>
    <row r="1218" spans="1:2">
      <c r="A1218" s="422"/>
      <c r="B1218" s="461"/>
    </row>
    <row r="1219" spans="1:2">
      <c r="A1219" s="422"/>
      <c r="B1219" s="461"/>
    </row>
    <row r="1220" spans="1:2">
      <c r="A1220" s="422"/>
      <c r="B1220" s="461"/>
    </row>
    <row r="1221" spans="1:2">
      <c r="A1221" s="422"/>
      <c r="B1221" s="461"/>
    </row>
    <row r="1222" spans="1:2">
      <c r="A1222" s="422"/>
      <c r="B1222" s="461"/>
    </row>
    <row r="1223" spans="1:2">
      <c r="A1223" s="422"/>
      <c r="B1223" s="461"/>
    </row>
    <row r="1224" spans="1:2">
      <c r="A1224" s="422"/>
      <c r="B1224" s="461"/>
    </row>
    <row r="1225" spans="1:2">
      <c r="A1225" s="422"/>
      <c r="B1225" s="461"/>
    </row>
    <row r="1226" spans="1:2">
      <c r="A1226" s="422"/>
      <c r="B1226" s="461"/>
    </row>
    <row r="1227" spans="1:2">
      <c r="A1227" s="422"/>
      <c r="B1227" s="461"/>
    </row>
    <row r="1228" spans="1:2">
      <c r="A1228" s="422"/>
      <c r="B1228" s="461"/>
    </row>
    <row r="1229" spans="1:2">
      <c r="A1229" s="422"/>
      <c r="B1229" s="461"/>
    </row>
    <row r="1230" spans="1:2">
      <c r="A1230" s="422"/>
      <c r="B1230" s="461"/>
    </row>
    <row r="1231" spans="1:2">
      <c r="A1231" s="422"/>
      <c r="B1231" s="461"/>
    </row>
    <row r="1232" spans="1:2">
      <c r="A1232" s="422"/>
      <c r="B1232" s="461"/>
    </row>
    <row r="1233" spans="1:2">
      <c r="A1233" s="422"/>
      <c r="B1233" s="461"/>
    </row>
    <row r="1234" spans="1:2">
      <c r="A1234" s="422"/>
      <c r="B1234" s="461"/>
    </row>
    <row r="1235" spans="1:2">
      <c r="A1235" s="422"/>
      <c r="B1235" s="461"/>
    </row>
    <row r="1236" spans="1:2">
      <c r="A1236" s="422"/>
      <c r="B1236" s="461"/>
    </row>
    <row r="1237" spans="1:2">
      <c r="A1237" s="422"/>
      <c r="B1237" s="461"/>
    </row>
    <row r="1238" spans="1:2">
      <c r="A1238" s="422"/>
      <c r="B1238" s="461"/>
    </row>
    <row r="1239" spans="1:2">
      <c r="A1239" s="422"/>
      <c r="B1239" s="461"/>
    </row>
    <row r="1240" spans="1:2">
      <c r="A1240" s="422"/>
      <c r="B1240" s="461"/>
    </row>
    <row r="1241" spans="1:2">
      <c r="A1241" s="422"/>
      <c r="B1241" s="461"/>
    </row>
    <row r="1242" spans="1:2">
      <c r="A1242" s="422"/>
      <c r="B1242" s="461"/>
    </row>
    <row r="1243" spans="1:2">
      <c r="A1243" s="422"/>
      <c r="B1243" s="461"/>
    </row>
    <row r="1244" spans="1:2">
      <c r="A1244" s="422"/>
      <c r="B1244" s="461"/>
    </row>
    <row r="1245" spans="1:2">
      <c r="A1245" s="422"/>
      <c r="B1245" s="461"/>
    </row>
    <row r="1246" spans="1:2">
      <c r="A1246" s="422"/>
      <c r="B1246" s="461"/>
    </row>
    <row r="1247" spans="1:2">
      <c r="A1247" s="422"/>
      <c r="B1247" s="461"/>
    </row>
    <row r="1248" spans="1:2">
      <c r="A1248" s="422"/>
      <c r="B1248" s="461"/>
    </row>
    <row r="1249" spans="1:2">
      <c r="A1249" s="422"/>
      <c r="B1249" s="461"/>
    </row>
    <row r="1250" spans="1:2">
      <c r="A1250" s="422"/>
      <c r="B1250" s="461"/>
    </row>
    <row r="1251" spans="1:2">
      <c r="A1251" s="422"/>
      <c r="B1251" s="461"/>
    </row>
    <row r="1252" spans="1:2">
      <c r="A1252" s="422"/>
      <c r="B1252" s="461"/>
    </row>
    <row r="1253" spans="1:2">
      <c r="A1253" s="422"/>
      <c r="B1253" s="461"/>
    </row>
    <row r="1254" spans="1:2">
      <c r="A1254" s="422"/>
      <c r="B1254" s="461"/>
    </row>
    <row r="1255" spans="1:2">
      <c r="A1255" s="422"/>
      <c r="B1255" s="461"/>
    </row>
    <row r="1256" spans="1:2">
      <c r="A1256" s="422"/>
      <c r="B1256" s="461"/>
    </row>
    <row r="1257" spans="1:2">
      <c r="A1257" s="422"/>
      <c r="B1257" s="461"/>
    </row>
    <row r="1258" spans="1:2">
      <c r="A1258" s="422"/>
      <c r="B1258" s="461"/>
    </row>
    <row r="1259" spans="1:2">
      <c r="A1259" s="422"/>
      <c r="B1259" s="461"/>
    </row>
    <row r="1260" spans="1:2">
      <c r="A1260" s="422"/>
      <c r="B1260" s="461"/>
    </row>
    <row r="1261" spans="1:2">
      <c r="A1261" s="422"/>
      <c r="B1261" s="461"/>
    </row>
    <row r="1262" spans="1:2">
      <c r="A1262" s="422"/>
      <c r="B1262" s="461"/>
    </row>
    <row r="1263" spans="1:2">
      <c r="A1263" s="422"/>
      <c r="B1263" s="461"/>
    </row>
    <row r="1264" spans="1:2">
      <c r="A1264" s="422"/>
      <c r="B1264" s="461"/>
    </row>
    <row r="1265" spans="1:2">
      <c r="A1265" s="422"/>
      <c r="B1265" s="461"/>
    </row>
    <row r="1266" spans="1:2">
      <c r="A1266" s="422"/>
      <c r="B1266" s="461"/>
    </row>
    <row r="1267" spans="1:2">
      <c r="A1267" s="422"/>
      <c r="B1267" s="461"/>
    </row>
    <row r="1268" spans="1:2">
      <c r="A1268" s="422"/>
      <c r="B1268" s="461"/>
    </row>
    <row r="1269" spans="1:2">
      <c r="A1269" s="422"/>
      <c r="B1269" s="461"/>
    </row>
    <row r="1270" spans="1:2">
      <c r="A1270" s="422"/>
      <c r="B1270" s="461"/>
    </row>
    <row r="1271" spans="1:2">
      <c r="A1271" s="422"/>
      <c r="B1271" s="461"/>
    </row>
    <row r="1272" spans="1:2">
      <c r="A1272" s="422"/>
      <c r="B1272" s="461"/>
    </row>
    <row r="1273" spans="1:2">
      <c r="A1273" s="422"/>
      <c r="B1273" s="461"/>
    </row>
    <row r="1274" spans="1:2">
      <c r="A1274" s="422"/>
      <c r="B1274" s="461"/>
    </row>
    <row r="1275" spans="1:2">
      <c r="A1275" s="422"/>
      <c r="B1275" s="461"/>
    </row>
    <row r="1276" spans="1:2">
      <c r="A1276" s="422"/>
      <c r="B1276" s="461"/>
    </row>
    <row r="1277" spans="1:2">
      <c r="A1277" s="422"/>
      <c r="B1277" s="461"/>
    </row>
    <row r="1278" spans="1:2">
      <c r="A1278" s="422"/>
      <c r="B1278" s="461"/>
    </row>
    <row r="1279" spans="1:2">
      <c r="A1279" s="422"/>
      <c r="B1279" s="461"/>
    </row>
    <row r="1280" spans="1:2">
      <c r="A1280" s="422"/>
      <c r="B1280" s="461"/>
    </row>
    <row r="1281" spans="1:2">
      <c r="A1281" s="422"/>
      <c r="B1281" s="461"/>
    </row>
    <row r="1282" spans="1:2">
      <c r="A1282" s="422"/>
      <c r="B1282" s="461"/>
    </row>
    <row r="1283" spans="1:2">
      <c r="A1283" s="422"/>
      <c r="B1283" s="461"/>
    </row>
    <row r="1284" spans="1:2">
      <c r="A1284" s="422"/>
      <c r="B1284" s="461"/>
    </row>
    <row r="1285" spans="1:2">
      <c r="A1285" s="422"/>
      <c r="B1285" s="461"/>
    </row>
    <row r="1286" spans="1:2">
      <c r="A1286" s="422"/>
      <c r="B1286" s="461"/>
    </row>
    <row r="1287" spans="1:2">
      <c r="A1287" s="422"/>
      <c r="B1287" s="461"/>
    </row>
    <row r="1288" spans="1:2">
      <c r="A1288" s="422"/>
      <c r="B1288" s="461"/>
    </row>
    <row r="1289" spans="1:2">
      <c r="A1289" s="422"/>
      <c r="B1289" s="461"/>
    </row>
    <row r="1290" spans="1:2">
      <c r="A1290" s="422"/>
      <c r="B1290" s="461"/>
    </row>
    <row r="1291" spans="1:2">
      <c r="A1291" s="422"/>
      <c r="B1291" s="461"/>
    </row>
    <row r="1292" spans="1:2">
      <c r="A1292" s="422"/>
      <c r="B1292" s="461"/>
    </row>
    <row r="1293" spans="1:2">
      <c r="A1293" s="422"/>
      <c r="B1293" s="461"/>
    </row>
    <row r="1294" spans="1:2">
      <c r="A1294" s="422"/>
      <c r="B1294" s="461"/>
    </row>
    <row r="1295" spans="1:2">
      <c r="A1295" s="422"/>
      <c r="B1295" s="461"/>
    </row>
    <row r="1296" spans="1:2">
      <c r="A1296" s="422"/>
      <c r="B1296" s="461"/>
    </row>
    <row r="1297" spans="1:2">
      <c r="A1297" s="422"/>
      <c r="B1297" s="461"/>
    </row>
    <row r="1298" spans="1:2">
      <c r="A1298" s="422"/>
      <c r="B1298" s="461"/>
    </row>
    <row r="1299" spans="1:2">
      <c r="A1299" s="422"/>
      <c r="B1299" s="461"/>
    </row>
    <row r="1300" spans="1:2">
      <c r="A1300" s="422"/>
      <c r="B1300" s="461"/>
    </row>
    <row r="1301" spans="1:2">
      <c r="A1301" s="422"/>
      <c r="B1301" s="461"/>
    </row>
    <row r="1302" spans="1:2">
      <c r="A1302" s="422"/>
      <c r="B1302" s="461"/>
    </row>
    <row r="1303" spans="1:2">
      <c r="A1303" s="422"/>
      <c r="B1303" s="461"/>
    </row>
    <row r="1304" spans="1:2">
      <c r="A1304" s="422"/>
      <c r="B1304" s="461"/>
    </row>
    <row r="1305" spans="1:2">
      <c r="A1305" s="422"/>
      <c r="B1305" s="461"/>
    </row>
    <row r="1306" spans="1:2">
      <c r="A1306" s="422"/>
      <c r="B1306" s="461"/>
    </row>
    <row r="1307" spans="1:2">
      <c r="A1307" s="422"/>
      <c r="B1307" s="461"/>
    </row>
    <row r="1308" spans="1:2">
      <c r="A1308" s="422"/>
      <c r="B1308" s="461"/>
    </row>
    <row r="1309" spans="1:2">
      <c r="A1309" s="422"/>
      <c r="B1309" s="461"/>
    </row>
    <row r="1310" spans="1:2">
      <c r="A1310" s="422"/>
      <c r="B1310" s="461"/>
    </row>
    <row r="1311" spans="1:2">
      <c r="A1311" s="422"/>
      <c r="B1311" s="461"/>
    </row>
    <row r="1312" spans="1:2">
      <c r="A1312" s="422"/>
      <c r="B1312" s="461"/>
    </row>
    <row r="1313" spans="1:2">
      <c r="A1313" s="422"/>
      <c r="B1313" s="461"/>
    </row>
    <row r="1314" spans="1:2">
      <c r="A1314" s="422"/>
      <c r="B1314" s="461"/>
    </row>
    <row r="1315" spans="1:2">
      <c r="A1315" s="422"/>
      <c r="B1315" s="461"/>
    </row>
    <row r="1316" spans="1:2">
      <c r="A1316" s="422"/>
      <c r="B1316" s="461"/>
    </row>
    <row r="1317" spans="1:2">
      <c r="A1317" s="422"/>
      <c r="B1317" s="461"/>
    </row>
    <row r="1318" spans="1:2">
      <c r="A1318" s="422"/>
      <c r="B1318" s="461"/>
    </row>
    <row r="1319" spans="1:2">
      <c r="A1319" s="422"/>
      <c r="B1319" s="461"/>
    </row>
    <row r="1320" spans="1:2">
      <c r="A1320" s="422"/>
      <c r="B1320" s="461"/>
    </row>
    <row r="1321" spans="1:2">
      <c r="A1321" s="422"/>
      <c r="B1321" s="461"/>
    </row>
    <row r="1322" spans="1:2">
      <c r="A1322" s="422"/>
      <c r="B1322" s="461"/>
    </row>
    <row r="1323" spans="1:2">
      <c r="A1323" s="422"/>
      <c r="B1323" s="461"/>
    </row>
    <row r="1324" spans="1:2">
      <c r="A1324" s="422"/>
      <c r="B1324" s="461"/>
    </row>
    <row r="1325" spans="1:2">
      <c r="A1325" s="422"/>
      <c r="B1325" s="461"/>
    </row>
    <row r="1326" spans="1:2">
      <c r="A1326" s="422"/>
      <c r="B1326" s="461"/>
    </row>
    <row r="1327" spans="1:2">
      <c r="A1327" s="422"/>
      <c r="B1327" s="461"/>
    </row>
    <row r="1328" spans="1:2">
      <c r="A1328" s="422"/>
      <c r="B1328" s="461"/>
    </row>
    <row r="1329" spans="1:2">
      <c r="A1329" s="422"/>
      <c r="B1329" s="461"/>
    </row>
    <row r="1330" spans="1:2">
      <c r="A1330" s="422"/>
      <c r="B1330" s="461"/>
    </row>
    <row r="1331" spans="1:2">
      <c r="A1331" s="422"/>
      <c r="B1331" s="461"/>
    </row>
    <row r="1332" spans="1:2">
      <c r="A1332" s="422"/>
      <c r="B1332" s="461"/>
    </row>
    <row r="1333" spans="1:2">
      <c r="A1333" s="422"/>
      <c r="B1333" s="461"/>
    </row>
    <row r="1334" spans="1:2">
      <c r="A1334" s="422"/>
      <c r="B1334" s="461"/>
    </row>
    <row r="1335" spans="1:2">
      <c r="A1335" s="422"/>
      <c r="B1335" s="461"/>
    </row>
    <row r="1336" spans="1:2">
      <c r="A1336" s="422"/>
      <c r="B1336" s="461"/>
    </row>
    <row r="1337" spans="1:2">
      <c r="A1337" s="422"/>
      <c r="B1337" s="461"/>
    </row>
    <row r="1338" spans="1:2">
      <c r="A1338" s="422"/>
      <c r="B1338" s="461"/>
    </row>
    <row r="1339" spans="1:2">
      <c r="A1339" s="422"/>
      <c r="B1339" s="461"/>
    </row>
    <row r="1340" spans="1:2">
      <c r="A1340" s="422"/>
      <c r="B1340" s="461"/>
    </row>
    <row r="1341" spans="1:2">
      <c r="A1341" s="422"/>
      <c r="B1341" s="461"/>
    </row>
    <row r="1342" spans="1:2">
      <c r="A1342" s="422"/>
      <c r="B1342" s="461"/>
    </row>
    <row r="1343" spans="1:2">
      <c r="A1343" s="422"/>
      <c r="B1343" s="461"/>
    </row>
    <row r="1344" spans="1:2">
      <c r="A1344" s="422"/>
      <c r="B1344" s="461"/>
    </row>
    <row r="1345" spans="1:2">
      <c r="A1345" s="422"/>
      <c r="B1345" s="461"/>
    </row>
    <row r="1346" spans="1:2">
      <c r="A1346" s="422"/>
      <c r="B1346" s="461"/>
    </row>
    <row r="1347" spans="1:2">
      <c r="A1347" s="422"/>
      <c r="B1347" s="461"/>
    </row>
    <row r="1348" spans="1:2">
      <c r="A1348" s="422"/>
      <c r="B1348" s="461"/>
    </row>
    <row r="1349" spans="1:2">
      <c r="A1349" s="422"/>
      <c r="B1349" s="461"/>
    </row>
    <row r="1350" spans="1:2">
      <c r="A1350" s="422"/>
      <c r="B1350" s="461"/>
    </row>
    <row r="1351" spans="1:2">
      <c r="A1351" s="422"/>
      <c r="B1351" s="461"/>
    </row>
    <row r="1352" spans="1:2">
      <c r="A1352" s="422"/>
      <c r="B1352" s="461"/>
    </row>
    <row r="1353" spans="1:2">
      <c r="A1353" s="422"/>
      <c r="B1353" s="461"/>
    </row>
    <row r="1354" spans="1:2">
      <c r="A1354" s="422"/>
      <c r="B1354" s="461"/>
    </row>
    <row r="1355" spans="1:2">
      <c r="A1355" s="422"/>
      <c r="B1355" s="461"/>
    </row>
    <row r="1356" spans="1:2">
      <c r="A1356" s="422"/>
      <c r="B1356" s="461"/>
    </row>
    <row r="1357" spans="1:2">
      <c r="A1357" s="422"/>
      <c r="B1357" s="461"/>
    </row>
    <row r="1358" spans="1:2">
      <c r="A1358" s="422"/>
      <c r="B1358" s="461"/>
    </row>
    <row r="1359" spans="1:2">
      <c r="A1359" s="422"/>
      <c r="B1359" s="461"/>
    </row>
    <row r="1360" spans="1:2">
      <c r="A1360" s="422"/>
      <c r="B1360" s="461"/>
    </row>
    <row r="1361" spans="1:2">
      <c r="A1361" s="422"/>
      <c r="B1361" s="461"/>
    </row>
    <row r="1362" spans="1:2">
      <c r="A1362" s="422"/>
      <c r="B1362" s="461"/>
    </row>
    <row r="1363" spans="1:2">
      <c r="A1363" s="422"/>
      <c r="B1363" s="461"/>
    </row>
    <row r="1364" spans="1:2">
      <c r="A1364" s="422"/>
      <c r="B1364" s="461"/>
    </row>
    <row r="1365" spans="1:2">
      <c r="A1365" s="422"/>
      <c r="B1365" s="461"/>
    </row>
    <row r="1366" spans="1:2">
      <c r="A1366" s="422"/>
      <c r="B1366" s="461"/>
    </row>
    <row r="1367" spans="1:2">
      <c r="A1367" s="422"/>
      <c r="B1367" s="461"/>
    </row>
    <row r="1368" spans="1:2">
      <c r="A1368" s="422"/>
      <c r="B1368" s="461"/>
    </row>
    <row r="1369" spans="1:2">
      <c r="A1369" s="422"/>
      <c r="B1369" s="461"/>
    </row>
    <row r="1370" spans="1:2">
      <c r="A1370" s="422"/>
      <c r="B1370" s="461"/>
    </row>
    <row r="1371" spans="1:2">
      <c r="A1371" s="422"/>
      <c r="B1371" s="461"/>
    </row>
    <row r="1372" spans="1:2">
      <c r="A1372" s="422"/>
      <c r="B1372" s="461"/>
    </row>
    <row r="1373" spans="1:2">
      <c r="A1373" s="422"/>
      <c r="B1373" s="461"/>
    </row>
    <row r="1374" spans="1:2">
      <c r="A1374" s="422"/>
      <c r="B1374" s="461"/>
    </row>
    <row r="1375" spans="1:2">
      <c r="A1375" s="422"/>
      <c r="B1375" s="461"/>
    </row>
    <row r="1376" spans="1:2">
      <c r="A1376" s="422"/>
      <c r="B1376" s="461"/>
    </row>
    <row r="1377" spans="1:2">
      <c r="A1377" s="422"/>
      <c r="B1377" s="461"/>
    </row>
    <row r="1378" spans="1:2">
      <c r="A1378" s="422"/>
      <c r="B1378" s="461"/>
    </row>
    <row r="1379" spans="1:2">
      <c r="A1379" s="422"/>
      <c r="B1379" s="461"/>
    </row>
    <row r="1380" spans="1:2">
      <c r="A1380" s="422"/>
      <c r="B1380" s="461"/>
    </row>
    <row r="1381" spans="1:2">
      <c r="A1381" s="422"/>
      <c r="B1381" s="461"/>
    </row>
    <row r="1382" spans="1:2">
      <c r="A1382" s="422"/>
      <c r="B1382" s="461"/>
    </row>
    <row r="1383" spans="1:2">
      <c r="A1383" s="422"/>
      <c r="B1383" s="461"/>
    </row>
    <row r="1384" spans="1:2">
      <c r="A1384" s="422"/>
      <c r="B1384" s="461"/>
    </row>
    <row r="1385" spans="1:2">
      <c r="A1385" s="422"/>
      <c r="B1385" s="461"/>
    </row>
    <row r="1386" spans="1:2">
      <c r="A1386" s="422"/>
      <c r="B1386" s="461"/>
    </row>
    <row r="1387" spans="1:2">
      <c r="A1387" s="422"/>
      <c r="B1387" s="461"/>
    </row>
    <row r="1388" spans="1:2">
      <c r="A1388" s="422"/>
      <c r="B1388" s="461"/>
    </row>
    <row r="1389" spans="1:2">
      <c r="A1389" s="422"/>
      <c r="B1389" s="461"/>
    </row>
    <row r="1390" spans="1:2">
      <c r="A1390" s="422"/>
      <c r="B1390" s="461"/>
    </row>
    <row r="1391" spans="1:2">
      <c r="A1391" s="422"/>
      <c r="B1391" s="461"/>
    </row>
    <row r="1392" spans="1:2">
      <c r="A1392" s="422"/>
      <c r="B1392" s="461"/>
    </row>
    <row r="1393" spans="1:2">
      <c r="A1393" s="422"/>
      <c r="B1393" s="461"/>
    </row>
    <row r="1394" spans="1:2">
      <c r="A1394" s="422"/>
      <c r="B1394" s="461"/>
    </row>
    <row r="1395" spans="1:2">
      <c r="A1395" s="422"/>
      <c r="B1395" s="461"/>
    </row>
    <row r="1396" spans="1:2">
      <c r="A1396" s="422"/>
      <c r="B1396" s="461"/>
    </row>
    <row r="1397" spans="1:2">
      <c r="A1397" s="422"/>
      <c r="B1397" s="461"/>
    </row>
    <row r="1398" spans="1:2">
      <c r="A1398" s="422"/>
      <c r="B1398" s="461"/>
    </row>
    <row r="1399" spans="1:2">
      <c r="A1399" s="422"/>
      <c r="B1399" s="461"/>
    </row>
    <row r="1400" spans="1:2">
      <c r="A1400" s="422"/>
      <c r="B1400" s="461"/>
    </row>
    <row r="1401" spans="1:2">
      <c r="A1401" s="422"/>
      <c r="B1401" s="461"/>
    </row>
    <row r="1402" spans="1:2">
      <c r="A1402" s="422"/>
      <c r="B1402" s="461"/>
    </row>
    <row r="1403" spans="1:2">
      <c r="A1403" s="422"/>
      <c r="B1403" s="461"/>
    </row>
    <row r="1404" spans="1:2">
      <c r="A1404" s="422"/>
      <c r="B1404" s="461"/>
    </row>
    <row r="1405" spans="1:2">
      <c r="A1405" s="422"/>
      <c r="B1405" s="461"/>
    </row>
    <row r="1406" spans="1:2">
      <c r="A1406" s="422"/>
      <c r="B1406" s="461"/>
    </row>
    <row r="1407" spans="1:2">
      <c r="A1407" s="422"/>
      <c r="B1407" s="461"/>
    </row>
    <row r="1408" spans="1:2">
      <c r="A1408" s="422"/>
      <c r="B1408" s="461"/>
    </row>
    <row r="1409" spans="1:2">
      <c r="A1409" s="422"/>
      <c r="B1409" s="461"/>
    </row>
    <row r="1410" spans="1:2">
      <c r="A1410" s="422"/>
      <c r="B1410" s="461"/>
    </row>
    <row r="1411" spans="1:2">
      <c r="A1411" s="422"/>
      <c r="B1411" s="461"/>
    </row>
    <row r="1412" spans="1:2">
      <c r="A1412" s="422"/>
      <c r="B1412" s="461"/>
    </row>
    <row r="1413" spans="1:2">
      <c r="A1413" s="422"/>
      <c r="B1413" s="461"/>
    </row>
    <row r="1414" spans="1:2">
      <c r="A1414" s="422"/>
      <c r="B1414" s="461"/>
    </row>
    <row r="1415" spans="1:2">
      <c r="A1415" s="422"/>
      <c r="B1415" s="461"/>
    </row>
    <row r="1416" spans="1:2">
      <c r="A1416" s="422"/>
      <c r="B1416" s="461"/>
    </row>
    <row r="1417" spans="1:2">
      <c r="A1417" s="422"/>
      <c r="B1417" s="461"/>
    </row>
    <row r="1418" spans="1:2">
      <c r="A1418" s="422"/>
      <c r="B1418" s="461"/>
    </row>
    <row r="1419" spans="1:2">
      <c r="A1419" s="422"/>
      <c r="B1419" s="461"/>
    </row>
    <row r="1420" spans="1:2">
      <c r="A1420" s="422"/>
      <c r="B1420" s="461"/>
    </row>
    <row r="1421" spans="1:2">
      <c r="A1421" s="422"/>
      <c r="B1421" s="461"/>
    </row>
    <row r="1422" spans="1:2">
      <c r="A1422" s="422"/>
      <c r="B1422" s="461"/>
    </row>
    <row r="1423" spans="1:2">
      <c r="A1423" s="422"/>
      <c r="B1423" s="461"/>
    </row>
    <row r="1424" spans="1:2">
      <c r="A1424" s="422"/>
      <c r="B1424" s="461"/>
    </row>
    <row r="1425" spans="1:2">
      <c r="A1425" s="422"/>
      <c r="B1425" s="461"/>
    </row>
    <row r="1426" spans="1:2">
      <c r="A1426" s="422"/>
      <c r="B1426" s="461"/>
    </row>
    <row r="1427" spans="1:2">
      <c r="A1427" s="422"/>
      <c r="B1427" s="461"/>
    </row>
    <row r="1428" spans="1:2">
      <c r="A1428" s="422"/>
      <c r="B1428" s="461"/>
    </row>
    <row r="1429" spans="1:2">
      <c r="A1429" s="422"/>
      <c r="B1429" s="461"/>
    </row>
    <row r="1430" spans="1:2">
      <c r="A1430" s="422"/>
      <c r="B1430" s="461"/>
    </row>
    <row r="1431" spans="1:2">
      <c r="A1431" s="422"/>
      <c r="B1431" s="461"/>
    </row>
    <row r="1432" spans="1:2">
      <c r="A1432" s="422"/>
      <c r="B1432" s="461"/>
    </row>
    <row r="1433" spans="1:2">
      <c r="A1433" s="422"/>
      <c r="B1433" s="461"/>
    </row>
    <row r="1434" spans="1:2">
      <c r="A1434" s="422"/>
      <c r="B1434" s="461"/>
    </row>
    <row r="1435" spans="1:2">
      <c r="A1435" s="422"/>
      <c r="B1435" s="461"/>
    </row>
    <row r="1436" spans="1:2">
      <c r="A1436" s="422"/>
      <c r="B1436" s="461"/>
    </row>
    <row r="1437" spans="1:2">
      <c r="A1437" s="422"/>
      <c r="B1437" s="461"/>
    </row>
    <row r="1438" spans="1:2">
      <c r="A1438" s="422"/>
      <c r="B1438" s="461"/>
    </row>
    <row r="1439" spans="1:2">
      <c r="A1439" s="422"/>
      <c r="B1439" s="461"/>
    </row>
    <row r="1440" spans="1:2">
      <c r="A1440" s="422"/>
      <c r="B1440" s="461"/>
    </row>
    <row r="1441" spans="1:2">
      <c r="A1441" s="422"/>
      <c r="B1441" s="461"/>
    </row>
    <row r="1442" spans="1:2">
      <c r="A1442" s="422"/>
      <c r="B1442" s="461"/>
    </row>
    <row r="1443" spans="1:2">
      <c r="A1443" s="422"/>
      <c r="B1443" s="461"/>
    </row>
    <row r="1444" spans="1:2">
      <c r="A1444" s="422"/>
      <c r="B1444" s="461"/>
    </row>
    <row r="1445" spans="1:2">
      <c r="A1445" s="422"/>
      <c r="B1445" s="461"/>
    </row>
    <row r="1446" spans="1:2">
      <c r="A1446" s="422"/>
      <c r="B1446" s="461"/>
    </row>
    <row r="1447" spans="1:2">
      <c r="A1447" s="422"/>
      <c r="B1447" s="461"/>
    </row>
    <row r="1448" spans="1:2">
      <c r="A1448" s="422"/>
      <c r="B1448" s="461"/>
    </row>
    <row r="1449" spans="1:2">
      <c r="A1449" s="422"/>
      <c r="B1449" s="461"/>
    </row>
    <row r="1450" spans="1:2">
      <c r="A1450" s="422"/>
      <c r="B1450" s="461"/>
    </row>
    <row r="1451" spans="1:2">
      <c r="A1451" s="422"/>
      <c r="B1451" s="461"/>
    </row>
    <row r="1452" spans="1:2">
      <c r="A1452" s="422"/>
      <c r="B1452" s="461"/>
    </row>
    <row r="1453" spans="1:2">
      <c r="A1453" s="422"/>
      <c r="B1453" s="461"/>
    </row>
    <row r="1454" spans="1:2">
      <c r="A1454" s="422"/>
      <c r="B1454" s="461"/>
    </row>
    <row r="1455" spans="1:2">
      <c r="A1455" s="422"/>
      <c r="B1455" s="461"/>
    </row>
    <row r="1456" spans="1:2">
      <c r="A1456" s="422"/>
      <c r="B1456" s="461"/>
    </row>
    <row r="1457" spans="1:2">
      <c r="A1457" s="422"/>
      <c r="B1457" s="461"/>
    </row>
    <row r="1458" spans="1:2">
      <c r="A1458" s="422"/>
      <c r="B1458" s="461"/>
    </row>
    <row r="1459" spans="1:2">
      <c r="A1459" s="422"/>
      <c r="B1459" s="461"/>
    </row>
    <row r="1460" spans="1:2">
      <c r="A1460" s="422"/>
      <c r="B1460" s="461"/>
    </row>
    <row r="1461" spans="1:2">
      <c r="A1461" s="422"/>
      <c r="B1461" s="461"/>
    </row>
    <row r="1462" spans="1:2">
      <c r="A1462" s="422"/>
      <c r="B1462" s="461"/>
    </row>
    <row r="1463" spans="1:2">
      <c r="A1463" s="422"/>
      <c r="B1463" s="461"/>
    </row>
    <row r="1464" spans="1:2">
      <c r="A1464" s="422"/>
      <c r="B1464" s="461"/>
    </row>
    <row r="1465" spans="1:2">
      <c r="A1465" s="422"/>
      <c r="B1465" s="461"/>
    </row>
    <row r="1466" spans="1:2">
      <c r="A1466" s="422"/>
      <c r="B1466" s="461"/>
    </row>
    <row r="1467" spans="1:2">
      <c r="A1467" s="422"/>
      <c r="B1467" s="461"/>
    </row>
    <row r="1468" spans="1:2">
      <c r="A1468" s="422"/>
      <c r="B1468" s="461"/>
    </row>
    <row r="1469" spans="1:2">
      <c r="A1469" s="422"/>
      <c r="B1469" s="461"/>
    </row>
    <row r="1470" spans="1:2">
      <c r="A1470" s="422"/>
      <c r="B1470" s="461"/>
    </row>
    <row r="1471" spans="1:2">
      <c r="A1471" s="422"/>
      <c r="B1471" s="461"/>
    </row>
    <row r="1472" spans="1:2">
      <c r="A1472" s="422"/>
      <c r="B1472" s="461"/>
    </row>
    <row r="1473" spans="1:2">
      <c r="A1473" s="422"/>
      <c r="B1473" s="461"/>
    </row>
    <row r="1474" spans="1:2">
      <c r="A1474" s="422"/>
      <c r="B1474" s="461"/>
    </row>
    <row r="1475" spans="1:2">
      <c r="A1475" s="422"/>
      <c r="B1475" s="461"/>
    </row>
    <row r="1476" spans="1:2">
      <c r="A1476" s="422"/>
      <c r="B1476" s="461"/>
    </row>
    <row r="1477" spans="1:2">
      <c r="A1477" s="422"/>
      <c r="B1477" s="461"/>
    </row>
    <row r="1478" spans="1:2">
      <c r="A1478" s="422"/>
      <c r="B1478" s="461"/>
    </row>
    <row r="1479" spans="1:2">
      <c r="A1479" s="422"/>
      <c r="B1479" s="461"/>
    </row>
    <row r="1480" spans="1:2">
      <c r="A1480" s="422"/>
      <c r="B1480" s="461"/>
    </row>
    <row r="1481" spans="1:2">
      <c r="A1481" s="422"/>
      <c r="B1481" s="461"/>
    </row>
    <row r="1482" spans="1:2">
      <c r="A1482" s="422"/>
      <c r="B1482" s="461"/>
    </row>
    <row r="1483" spans="1:2">
      <c r="A1483" s="422"/>
      <c r="B1483" s="461"/>
    </row>
    <row r="1484" spans="1:2">
      <c r="A1484" s="422"/>
      <c r="B1484" s="461"/>
    </row>
    <row r="1485" spans="1:2">
      <c r="A1485" s="422"/>
      <c r="B1485" s="461"/>
    </row>
    <row r="1486" spans="1:2">
      <c r="A1486" s="422"/>
      <c r="B1486" s="461"/>
    </row>
    <row r="1487" spans="1:2">
      <c r="A1487" s="422"/>
      <c r="B1487" s="461"/>
    </row>
    <row r="1488" spans="1:2">
      <c r="A1488" s="422"/>
      <c r="B1488" s="461"/>
    </row>
    <row r="1489" spans="1:2">
      <c r="A1489" s="422"/>
      <c r="B1489" s="461"/>
    </row>
    <row r="1490" spans="1:2">
      <c r="A1490" s="422"/>
      <c r="B1490" s="461"/>
    </row>
    <row r="1491" spans="1:2">
      <c r="A1491" s="422"/>
      <c r="B1491" s="461"/>
    </row>
    <row r="1492" spans="1:2">
      <c r="A1492" s="422"/>
      <c r="B1492" s="461"/>
    </row>
    <row r="1493" spans="1:2">
      <c r="A1493" s="422"/>
      <c r="B1493" s="461"/>
    </row>
    <row r="1494" spans="1:2">
      <c r="A1494" s="422"/>
      <c r="B1494" s="461"/>
    </row>
    <row r="1495" spans="1:2">
      <c r="A1495" s="422"/>
      <c r="B1495" s="461"/>
    </row>
    <row r="1496" spans="1:2">
      <c r="A1496" s="422"/>
      <c r="B1496" s="461"/>
    </row>
    <row r="1497" spans="1:2">
      <c r="A1497" s="422"/>
      <c r="B1497" s="461"/>
    </row>
    <row r="1498" spans="1:2">
      <c r="A1498" s="422"/>
      <c r="B1498" s="461"/>
    </row>
    <row r="1499" spans="1:2">
      <c r="A1499" s="422"/>
      <c r="B1499" s="461"/>
    </row>
    <row r="1500" spans="1:2">
      <c r="A1500" s="422"/>
      <c r="B1500" s="461"/>
    </row>
    <row r="1501" spans="1:2">
      <c r="A1501" s="422"/>
      <c r="B1501" s="461"/>
    </row>
    <row r="1502" spans="1:2">
      <c r="A1502" s="422"/>
      <c r="B1502" s="461"/>
    </row>
    <row r="1503" spans="1:2">
      <c r="A1503" s="422"/>
      <c r="B1503" s="461"/>
    </row>
    <row r="1504" spans="1:2">
      <c r="A1504" s="422"/>
      <c r="B1504" s="461"/>
    </row>
    <row r="1505" spans="1:2">
      <c r="A1505" s="422"/>
      <c r="B1505" s="461"/>
    </row>
    <row r="1506" spans="1:2">
      <c r="A1506" s="422"/>
      <c r="B1506" s="461"/>
    </row>
    <row r="1507" spans="1:2">
      <c r="A1507" s="422"/>
      <c r="B1507" s="461"/>
    </row>
    <row r="1508" spans="1:2">
      <c r="A1508" s="422"/>
      <c r="B1508" s="461"/>
    </row>
    <row r="1509" spans="1:2">
      <c r="A1509" s="422"/>
      <c r="B1509" s="461"/>
    </row>
    <row r="1510" spans="1:2">
      <c r="A1510" s="422"/>
      <c r="B1510" s="461"/>
    </row>
    <row r="1511" spans="1:2">
      <c r="A1511" s="422"/>
      <c r="B1511" s="461"/>
    </row>
    <row r="1512" spans="1:2">
      <c r="A1512" s="422"/>
      <c r="B1512" s="461"/>
    </row>
    <row r="1513" spans="1:2">
      <c r="A1513" s="422"/>
      <c r="B1513" s="461"/>
    </row>
    <row r="1514" spans="1:2">
      <c r="A1514" s="422"/>
      <c r="B1514" s="461"/>
    </row>
    <row r="1515" spans="1:2">
      <c r="A1515" s="422"/>
      <c r="B1515" s="461"/>
    </row>
    <row r="1516" spans="1:2">
      <c r="A1516" s="422"/>
      <c r="B1516" s="461"/>
    </row>
    <row r="1517" spans="1:2">
      <c r="A1517" s="422"/>
      <c r="B1517" s="461"/>
    </row>
    <row r="1518" spans="1:2">
      <c r="A1518" s="422"/>
      <c r="B1518" s="461"/>
    </row>
    <row r="1519" spans="1:2">
      <c r="A1519" s="422"/>
      <c r="B1519" s="461"/>
    </row>
    <row r="1520" spans="1:2">
      <c r="A1520" s="422"/>
      <c r="B1520" s="461"/>
    </row>
    <row r="1521" spans="1:2">
      <c r="A1521" s="422"/>
      <c r="B1521" s="461"/>
    </row>
    <row r="1522" spans="1:2">
      <c r="A1522" s="422"/>
      <c r="B1522" s="461"/>
    </row>
    <row r="1523" spans="1:2">
      <c r="A1523" s="422"/>
      <c r="B1523" s="461"/>
    </row>
    <row r="1524" spans="1:2">
      <c r="A1524" s="422"/>
      <c r="B1524" s="461"/>
    </row>
    <row r="1525" spans="1:2">
      <c r="A1525" s="422"/>
      <c r="B1525" s="461"/>
    </row>
    <row r="1526" spans="1:2">
      <c r="A1526" s="422"/>
      <c r="B1526" s="461"/>
    </row>
    <row r="1527" spans="1:2">
      <c r="A1527" s="422"/>
      <c r="B1527" s="461"/>
    </row>
    <row r="1528" spans="1:2">
      <c r="A1528" s="422"/>
      <c r="B1528" s="461"/>
    </row>
    <row r="1529" spans="1:2">
      <c r="A1529" s="422"/>
      <c r="B1529" s="461"/>
    </row>
    <row r="1530" spans="1:2">
      <c r="A1530" s="422"/>
      <c r="B1530" s="461"/>
    </row>
    <row r="1531" spans="1:2">
      <c r="A1531" s="422"/>
      <c r="B1531" s="461"/>
    </row>
    <row r="1532" spans="1:2">
      <c r="A1532" s="422"/>
      <c r="B1532" s="461"/>
    </row>
    <row r="1533" spans="1:2">
      <c r="A1533" s="422"/>
      <c r="B1533" s="461"/>
    </row>
    <row r="1534" spans="1:2">
      <c r="A1534" s="422"/>
      <c r="B1534" s="461"/>
    </row>
    <row r="1535" spans="1:2">
      <c r="A1535" s="422"/>
      <c r="B1535" s="461"/>
    </row>
    <row r="1536" spans="1:2">
      <c r="A1536" s="422"/>
      <c r="B1536" s="461"/>
    </row>
    <row r="1537" spans="1:2">
      <c r="A1537" s="422"/>
      <c r="B1537" s="461"/>
    </row>
    <row r="1538" spans="1:2">
      <c r="A1538" s="422"/>
      <c r="B1538" s="461"/>
    </row>
    <row r="1539" spans="1:2">
      <c r="A1539" s="422"/>
      <c r="B1539" s="461"/>
    </row>
    <row r="1540" spans="1:2">
      <c r="A1540" s="422"/>
      <c r="B1540" s="461"/>
    </row>
    <row r="1541" spans="1:2">
      <c r="A1541" s="422"/>
      <c r="B1541" s="461"/>
    </row>
    <row r="1542" spans="1:2">
      <c r="A1542" s="422"/>
      <c r="B1542" s="461"/>
    </row>
    <row r="1543" spans="1:2">
      <c r="A1543" s="422"/>
      <c r="B1543" s="461"/>
    </row>
    <row r="1544" spans="1:2">
      <c r="A1544" s="422"/>
      <c r="B1544" s="461"/>
    </row>
    <row r="1545" spans="1:2">
      <c r="A1545" s="422"/>
      <c r="B1545" s="461"/>
    </row>
    <row r="1546" spans="1:2">
      <c r="A1546" s="422"/>
      <c r="B1546" s="461"/>
    </row>
    <row r="1547" spans="1:2">
      <c r="A1547" s="422"/>
      <c r="B1547" s="461"/>
    </row>
    <row r="1548" spans="1:2">
      <c r="A1548" s="422"/>
      <c r="B1548" s="461"/>
    </row>
    <row r="1549" spans="1:2">
      <c r="A1549" s="422"/>
      <c r="B1549" s="461"/>
    </row>
    <row r="1550" spans="1:2">
      <c r="A1550" s="422"/>
      <c r="B1550" s="461"/>
    </row>
    <row r="1551" spans="1:2">
      <c r="A1551" s="422"/>
      <c r="B1551" s="461"/>
    </row>
    <row r="1552" spans="1:2">
      <c r="A1552" s="422"/>
      <c r="B1552" s="461"/>
    </row>
    <row r="1553" spans="1:2">
      <c r="A1553" s="422"/>
      <c r="B1553" s="461"/>
    </row>
    <row r="1554" spans="1:2">
      <c r="A1554" s="422"/>
      <c r="B1554" s="461"/>
    </row>
    <row r="1555" spans="1:2">
      <c r="A1555" s="422"/>
      <c r="B1555" s="461"/>
    </row>
    <row r="1556" spans="1:2">
      <c r="A1556" s="422"/>
      <c r="B1556" s="461"/>
    </row>
    <row r="1557" spans="1:2">
      <c r="A1557" s="422"/>
      <c r="B1557" s="461"/>
    </row>
    <row r="1558" spans="1:2">
      <c r="A1558" s="422"/>
      <c r="B1558" s="461"/>
    </row>
    <row r="1559" spans="1:2">
      <c r="A1559" s="422"/>
      <c r="B1559" s="461"/>
    </row>
    <row r="1560" spans="1:2">
      <c r="A1560" s="422"/>
      <c r="B1560" s="461"/>
    </row>
    <row r="1561" spans="1:2">
      <c r="A1561" s="422"/>
      <c r="B1561" s="461"/>
    </row>
    <row r="1562" spans="1:2">
      <c r="A1562" s="422"/>
      <c r="B1562" s="461"/>
    </row>
    <row r="1563" spans="1:2">
      <c r="A1563" s="422"/>
      <c r="B1563" s="461"/>
    </row>
    <row r="1564" spans="1:2">
      <c r="A1564" s="422"/>
      <c r="B1564" s="461"/>
    </row>
    <row r="1565" spans="1:2">
      <c r="A1565" s="422"/>
      <c r="B1565" s="461"/>
    </row>
    <row r="1566" spans="1:2">
      <c r="A1566" s="422"/>
      <c r="B1566" s="461"/>
    </row>
    <row r="1567" spans="1:2">
      <c r="A1567" s="422"/>
      <c r="B1567" s="461"/>
    </row>
    <row r="1568" spans="1:2">
      <c r="A1568" s="422"/>
      <c r="B1568" s="461"/>
    </row>
    <row r="1569" spans="1:2">
      <c r="A1569" s="422"/>
      <c r="B1569" s="461"/>
    </row>
    <row r="1570" spans="1:2">
      <c r="A1570" s="422"/>
      <c r="B1570" s="461"/>
    </row>
    <row r="1571" spans="1:2">
      <c r="A1571" s="422"/>
      <c r="B1571" s="461"/>
    </row>
    <row r="1572" spans="1:2">
      <c r="A1572" s="422"/>
      <c r="B1572" s="461"/>
    </row>
    <row r="1573" spans="1:2">
      <c r="A1573" s="422"/>
      <c r="B1573" s="461"/>
    </row>
    <row r="1574" spans="1:2">
      <c r="A1574" s="422"/>
      <c r="B1574" s="461"/>
    </row>
    <row r="1575" spans="1:2">
      <c r="A1575" s="422"/>
      <c r="B1575" s="461"/>
    </row>
    <row r="1576" spans="1:2">
      <c r="A1576" s="422"/>
      <c r="B1576" s="461"/>
    </row>
    <row r="1577" spans="1:2">
      <c r="A1577" s="422"/>
      <c r="B1577" s="461"/>
    </row>
    <row r="1578" spans="1:2">
      <c r="A1578" s="422"/>
      <c r="B1578" s="461"/>
    </row>
    <row r="1579" spans="1:2">
      <c r="A1579" s="422"/>
      <c r="B1579" s="461"/>
    </row>
    <row r="1580" spans="1:2">
      <c r="A1580" s="422"/>
      <c r="B1580" s="461"/>
    </row>
    <row r="1581" spans="1:2">
      <c r="A1581" s="422"/>
      <c r="B1581" s="461"/>
    </row>
    <row r="1582" spans="1:2">
      <c r="A1582" s="422"/>
      <c r="B1582" s="461"/>
    </row>
    <row r="1583" spans="1:2">
      <c r="A1583" s="422"/>
      <c r="B1583" s="461"/>
    </row>
    <row r="1584" spans="1:2">
      <c r="A1584" s="422"/>
      <c r="B1584" s="461"/>
    </row>
    <row r="1585" spans="1:2">
      <c r="A1585" s="422"/>
      <c r="B1585" s="461"/>
    </row>
    <row r="1586" spans="1:2">
      <c r="A1586" s="422"/>
      <c r="B1586" s="461"/>
    </row>
    <row r="1587" spans="1:2">
      <c r="A1587" s="422"/>
      <c r="B1587" s="461"/>
    </row>
    <row r="1588" spans="1:2">
      <c r="A1588" s="422"/>
      <c r="B1588" s="461"/>
    </row>
    <row r="1589" spans="1:2">
      <c r="A1589" s="422"/>
      <c r="B1589" s="461"/>
    </row>
    <row r="1590" spans="1:2">
      <c r="A1590" s="422"/>
      <c r="B1590" s="461"/>
    </row>
    <row r="1591" spans="1:2">
      <c r="A1591" s="422"/>
      <c r="B1591" s="461"/>
    </row>
    <row r="1592" spans="1:2">
      <c r="A1592" s="422"/>
      <c r="B1592" s="461"/>
    </row>
    <row r="1593" spans="1:2">
      <c r="A1593" s="422"/>
      <c r="B1593" s="461"/>
    </row>
    <row r="1594" spans="1:2">
      <c r="A1594" s="422"/>
      <c r="B1594" s="461"/>
    </row>
    <row r="1595" spans="1:2">
      <c r="A1595" s="422"/>
      <c r="B1595" s="461"/>
    </row>
    <row r="1596" spans="1:2">
      <c r="A1596" s="422"/>
      <c r="B1596" s="461"/>
    </row>
    <row r="1597" spans="1:2">
      <c r="A1597" s="422"/>
      <c r="B1597" s="461"/>
    </row>
    <row r="1598" spans="1:2">
      <c r="A1598" s="422"/>
      <c r="B1598" s="461"/>
    </row>
    <row r="1599" spans="1:2">
      <c r="A1599" s="422"/>
      <c r="B1599" s="461"/>
    </row>
    <row r="1600" spans="1:2">
      <c r="A1600" s="422"/>
      <c r="B1600" s="461"/>
    </row>
    <row r="1601" spans="1:2">
      <c r="A1601" s="422"/>
      <c r="B1601" s="461"/>
    </row>
    <row r="1602" spans="1:2">
      <c r="A1602" s="422"/>
      <c r="B1602" s="461"/>
    </row>
    <row r="1603" spans="1:2">
      <c r="A1603" s="422"/>
      <c r="B1603" s="461"/>
    </row>
    <row r="1604" spans="1:2">
      <c r="A1604" s="422"/>
      <c r="B1604" s="461"/>
    </row>
    <row r="1605" spans="1:2">
      <c r="A1605" s="422"/>
      <c r="B1605" s="461"/>
    </row>
    <row r="1606" spans="1:2">
      <c r="A1606" s="422"/>
      <c r="B1606" s="461"/>
    </row>
    <row r="1607" spans="1:2">
      <c r="A1607" s="422"/>
      <c r="B1607" s="461"/>
    </row>
    <row r="1608" spans="1:2">
      <c r="A1608" s="422"/>
      <c r="B1608" s="461"/>
    </row>
    <row r="1609" spans="1:2">
      <c r="A1609" s="422"/>
      <c r="B1609" s="461"/>
    </row>
    <row r="1610" spans="1:2">
      <c r="A1610" s="422"/>
      <c r="B1610" s="461"/>
    </row>
    <row r="1611" spans="1:2">
      <c r="A1611" s="422"/>
      <c r="B1611" s="461"/>
    </row>
    <row r="1612" spans="1:2">
      <c r="A1612" s="422"/>
      <c r="B1612" s="461"/>
    </row>
    <row r="1613" spans="1:2">
      <c r="A1613" s="422"/>
      <c r="B1613" s="461"/>
    </row>
    <row r="1614" spans="1:2">
      <c r="A1614" s="422"/>
      <c r="B1614" s="461"/>
    </row>
    <row r="1615" spans="1:2">
      <c r="A1615" s="422"/>
      <c r="B1615" s="461"/>
    </row>
    <row r="1616" spans="1:2">
      <c r="A1616" s="422"/>
      <c r="B1616" s="461"/>
    </row>
    <row r="1617" spans="1:2">
      <c r="A1617" s="422"/>
      <c r="B1617" s="461"/>
    </row>
    <row r="1618" spans="1:2">
      <c r="A1618" s="422"/>
      <c r="B1618" s="461"/>
    </row>
    <row r="1619" spans="1:2">
      <c r="A1619" s="422"/>
      <c r="B1619" s="461"/>
    </row>
    <row r="1620" spans="1:2">
      <c r="A1620" s="422"/>
      <c r="B1620" s="461"/>
    </row>
    <row r="1621" spans="1:2">
      <c r="A1621" s="422"/>
      <c r="B1621" s="461"/>
    </row>
    <row r="1622" spans="1:2">
      <c r="A1622" s="422"/>
      <c r="B1622" s="461"/>
    </row>
    <row r="1623" spans="1:2">
      <c r="A1623" s="422"/>
      <c r="B1623" s="461"/>
    </row>
    <row r="1624" spans="1:2">
      <c r="A1624" s="422"/>
      <c r="B1624" s="461"/>
    </row>
    <row r="1625" spans="1:2">
      <c r="A1625" s="422"/>
      <c r="B1625" s="461"/>
    </row>
    <row r="1626" spans="1:2">
      <c r="A1626" s="422"/>
      <c r="B1626" s="461"/>
    </row>
    <row r="1627" spans="1:2">
      <c r="A1627" s="422"/>
      <c r="B1627" s="461"/>
    </row>
    <row r="1628" spans="1:2">
      <c r="A1628" s="422"/>
      <c r="B1628" s="461"/>
    </row>
    <row r="1629" spans="1:2">
      <c r="A1629" s="422"/>
      <c r="B1629" s="461"/>
    </row>
    <row r="1630" spans="1:2">
      <c r="A1630" s="422"/>
      <c r="B1630" s="461"/>
    </row>
    <row r="1631" spans="1:2">
      <c r="A1631" s="422"/>
      <c r="B1631" s="461"/>
    </row>
    <row r="1632" spans="1:2">
      <c r="A1632" s="422"/>
      <c r="B1632" s="461"/>
    </row>
    <row r="1633" spans="1:2">
      <c r="A1633" s="422"/>
      <c r="B1633" s="461"/>
    </row>
    <row r="1634" spans="1:2">
      <c r="A1634" s="422"/>
      <c r="B1634" s="461"/>
    </row>
    <row r="1635" spans="1:2">
      <c r="A1635" s="422"/>
      <c r="B1635" s="461"/>
    </row>
    <row r="1636" spans="1:2">
      <c r="A1636" s="422"/>
      <c r="B1636" s="461"/>
    </row>
    <row r="1637" spans="1:2">
      <c r="A1637" s="422"/>
      <c r="B1637" s="461"/>
    </row>
    <row r="1638" spans="1:2">
      <c r="A1638" s="422"/>
      <c r="B1638" s="461"/>
    </row>
    <row r="1639" spans="1:2">
      <c r="A1639" s="422"/>
      <c r="B1639" s="461"/>
    </row>
    <row r="1640" spans="1:2">
      <c r="A1640" s="422"/>
      <c r="B1640" s="461"/>
    </row>
    <row r="1641" spans="1:2">
      <c r="A1641" s="422"/>
      <c r="B1641" s="461"/>
    </row>
    <row r="1642" spans="1:2">
      <c r="A1642" s="422"/>
      <c r="B1642" s="461"/>
    </row>
    <row r="1643" spans="1:2">
      <c r="A1643" s="422"/>
      <c r="B1643" s="461"/>
    </row>
    <row r="1644" spans="1:2">
      <c r="A1644" s="422"/>
      <c r="B1644" s="461"/>
    </row>
    <row r="1645" spans="1:2">
      <c r="A1645" s="422"/>
      <c r="B1645" s="461"/>
    </row>
    <row r="1646" spans="1:2">
      <c r="A1646" s="422"/>
      <c r="B1646" s="461"/>
    </row>
    <row r="1647" spans="1:2">
      <c r="A1647" s="422"/>
      <c r="B1647" s="461"/>
    </row>
    <row r="1648" spans="1:2">
      <c r="A1648" s="422"/>
      <c r="B1648" s="461"/>
    </row>
    <row r="1649" spans="1:2">
      <c r="A1649" s="422"/>
      <c r="B1649" s="461"/>
    </row>
    <row r="1650" spans="1:2">
      <c r="A1650" s="422"/>
      <c r="B1650" s="461"/>
    </row>
    <row r="1651" spans="1:2">
      <c r="A1651" s="422"/>
      <c r="B1651" s="461"/>
    </row>
    <row r="1652" spans="1:2">
      <c r="A1652" s="422"/>
      <c r="B1652" s="461"/>
    </row>
    <row r="1653" spans="1:2">
      <c r="A1653" s="422"/>
      <c r="B1653" s="461"/>
    </row>
    <row r="1654" spans="1:2">
      <c r="A1654" s="422"/>
      <c r="B1654" s="461"/>
    </row>
    <row r="1655" spans="1:2">
      <c r="A1655" s="422"/>
      <c r="B1655" s="461"/>
    </row>
    <row r="1656" spans="1:2">
      <c r="A1656" s="422"/>
      <c r="B1656" s="461"/>
    </row>
    <row r="1657" spans="1:2">
      <c r="A1657" s="422"/>
      <c r="B1657" s="461"/>
    </row>
    <row r="1658" spans="1:2">
      <c r="A1658" s="422"/>
      <c r="B1658" s="461"/>
    </row>
    <row r="1659" spans="1:2">
      <c r="A1659" s="422"/>
      <c r="B1659" s="461"/>
    </row>
    <row r="1660" spans="1:2">
      <c r="A1660" s="422"/>
      <c r="B1660" s="461"/>
    </row>
    <row r="1661" spans="1:2">
      <c r="A1661" s="422"/>
      <c r="B1661" s="461"/>
    </row>
    <row r="1662" spans="1:2">
      <c r="A1662" s="422"/>
      <c r="B1662" s="461"/>
    </row>
    <row r="1663" spans="1:2">
      <c r="A1663" s="422"/>
      <c r="B1663" s="461"/>
    </row>
    <row r="1664" spans="1:2">
      <c r="A1664" s="422"/>
      <c r="B1664" s="461"/>
    </row>
    <row r="1665" spans="1:2">
      <c r="A1665" s="422"/>
      <c r="B1665" s="461"/>
    </row>
    <row r="1666" spans="1:2">
      <c r="A1666" s="422"/>
      <c r="B1666" s="461"/>
    </row>
    <row r="1667" spans="1:2">
      <c r="A1667" s="422"/>
      <c r="B1667" s="461"/>
    </row>
    <row r="1668" spans="1:2">
      <c r="A1668" s="422"/>
      <c r="B1668" s="461"/>
    </row>
    <row r="1669" spans="1:2">
      <c r="A1669" s="422"/>
      <c r="B1669" s="461"/>
    </row>
    <row r="1670" spans="1:2">
      <c r="A1670" s="422"/>
      <c r="B1670" s="461"/>
    </row>
    <row r="1671" spans="1:2">
      <c r="A1671" s="422"/>
      <c r="B1671" s="461"/>
    </row>
    <row r="1672" spans="1:2">
      <c r="A1672" s="422"/>
      <c r="B1672" s="461"/>
    </row>
    <row r="1673" spans="1:2">
      <c r="A1673" s="422"/>
      <c r="B1673" s="461"/>
    </row>
    <row r="1674" spans="1:2">
      <c r="A1674" s="422"/>
      <c r="B1674" s="461"/>
    </row>
    <row r="1675" spans="1:2">
      <c r="A1675" s="422"/>
      <c r="B1675" s="461"/>
    </row>
    <row r="1676" spans="1:2">
      <c r="A1676" s="422"/>
      <c r="B1676" s="461"/>
    </row>
    <row r="1677" spans="1:2">
      <c r="A1677" s="422"/>
      <c r="B1677" s="461"/>
    </row>
    <row r="1678" spans="1:2">
      <c r="A1678" s="422"/>
      <c r="B1678" s="461"/>
    </row>
    <row r="1679" spans="1:2">
      <c r="A1679" s="422"/>
      <c r="B1679" s="461"/>
    </row>
    <row r="1680" spans="1:2">
      <c r="A1680" s="422"/>
      <c r="B1680" s="461"/>
    </row>
    <row r="1681" spans="1:2">
      <c r="A1681" s="422"/>
      <c r="B1681" s="461"/>
    </row>
    <row r="1682" spans="1:2">
      <c r="A1682" s="422"/>
      <c r="B1682" s="461"/>
    </row>
    <row r="1683" spans="1:2">
      <c r="A1683" s="422"/>
      <c r="B1683" s="461"/>
    </row>
    <row r="1684" spans="1:2">
      <c r="A1684" s="422"/>
      <c r="B1684" s="461"/>
    </row>
    <row r="1685" spans="1:2">
      <c r="A1685" s="422"/>
      <c r="B1685" s="461"/>
    </row>
    <row r="1686" spans="1:2">
      <c r="A1686" s="422"/>
      <c r="B1686" s="461"/>
    </row>
    <row r="1687" spans="1:2">
      <c r="A1687" s="422"/>
      <c r="B1687" s="461"/>
    </row>
    <row r="1688" spans="1:2">
      <c r="A1688" s="422"/>
      <c r="B1688" s="461"/>
    </row>
    <row r="1689" spans="1:2">
      <c r="A1689" s="422"/>
      <c r="B1689" s="461"/>
    </row>
    <row r="1690" spans="1:2">
      <c r="A1690" s="422"/>
      <c r="B1690" s="461"/>
    </row>
    <row r="1691" spans="1:2">
      <c r="A1691" s="422"/>
      <c r="B1691" s="461"/>
    </row>
    <row r="1692" spans="1:2">
      <c r="A1692" s="422"/>
      <c r="B1692" s="461"/>
    </row>
    <row r="1693" spans="1:2">
      <c r="A1693" s="422"/>
      <c r="B1693" s="461"/>
    </row>
    <row r="1694" spans="1:2">
      <c r="A1694" s="422"/>
      <c r="B1694" s="461"/>
    </row>
    <row r="1695" spans="1:2">
      <c r="A1695" s="422"/>
      <c r="B1695" s="461"/>
    </row>
    <row r="1696" spans="1:2">
      <c r="A1696" s="422"/>
      <c r="B1696" s="461"/>
    </row>
    <row r="1697" spans="1:2">
      <c r="A1697" s="422"/>
      <c r="B1697" s="461"/>
    </row>
    <row r="1698" spans="1:2">
      <c r="A1698" s="422"/>
      <c r="B1698" s="461"/>
    </row>
    <row r="1699" spans="1:2">
      <c r="A1699" s="422"/>
      <c r="B1699" s="461"/>
    </row>
    <row r="1700" spans="1:2">
      <c r="A1700" s="422"/>
      <c r="B1700" s="461"/>
    </row>
    <row r="1701" spans="1:2">
      <c r="A1701" s="422"/>
      <c r="B1701" s="461"/>
    </row>
    <row r="1702" spans="1:2">
      <c r="A1702" s="422"/>
      <c r="B1702" s="461"/>
    </row>
    <row r="1703" spans="1:2">
      <c r="A1703" s="422"/>
      <c r="B1703" s="461"/>
    </row>
    <row r="1704" spans="1:2">
      <c r="A1704" s="422"/>
      <c r="B1704" s="461"/>
    </row>
    <row r="1705" spans="1:2">
      <c r="A1705" s="422"/>
      <c r="B1705" s="461"/>
    </row>
    <row r="1706" spans="1:2">
      <c r="A1706" s="422"/>
      <c r="B1706" s="461"/>
    </row>
    <row r="1707" spans="1:2">
      <c r="A1707" s="422"/>
      <c r="B1707" s="461"/>
    </row>
    <row r="1708" spans="1:2">
      <c r="A1708" s="422"/>
      <c r="B1708" s="461"/>
    </row>
    <row r="1709" spans="1:2">
      <c r="A1709" s="422"/>
      <c r="B1709" s="461"/>
    </row>
    <row r="1710" spans="1:2">
      <c r="A1710" s="422"/>
      <c r="B1710" s="461"/>
    </row>
    <row r="1711" spans="1:2">
      <c r="A1711" s="422"/>
      <c r="B1711" s="461"/>
    </row>
    <row r="1712" spans="1:2">
      <c r="A1712" s="422"/>
      <c r="B1712" s="461"/>
    </row>
    <row r="1713" spans="1:2">
      <c r="A1713" s="422"/>
      <c r="B1713" s="461"/>
    </row>
    <row r="1714" spans="1:2">
      <c r="A1714" s="422"/>
      <c r="B1714" s="461"/>
    </row>
    <row r="1715" spans="1:2">
      <c r="A1715" s="422"/>
      <c r="B1715" s="461"/>
    </row>
    <row r="1716" spans="1:2">
      <c r="A1716" s="422"/>
      <c r="B1716" s="461"/>
    </row>
    <row r="1717" spans="1:2">
      <c r="A1717" s="422"/>
      <c r="B1717" s="461"/>
    </row>
    <row r="1718" spans="1:2">
      <c r="A1718" s="422"/>
      <c r="B1718" s="461"/>
    </row>
    <row r="1719" spans="1:2">
      <c r="A1719" s="422"/>
      <c r="B1719" s="461"/>
    </row>
    <row r="1720" spans="1:2">
      <c r="A1720" s="422"/>
      <c r="B1720" s="461"/>
    </row>
    <row r="1721" spans="1:2">
      <c r="A1721" s="422"/>
      <c r="B1721" s="461"/>
    </row>
    <row r="1722" spans="1:2">
      <c r="A1722" s="422"/>
      <c r="B1722" s="461"/>
    </row>
    <row r="1723" spans="1:2">
      <c r="A1723" s="422"/>
      <c r="B1723" s="461"/>
    </row>
    <row r="1724" spans="1:2">
      <c r="A1724" s="422"/>
      <c r="B1724" s="461"/>
    </row>
    <row r="1725" spans="1:2">
      <c r="A1725" s="422"/>
      <c r="B1725" s="461"/>
    </row>
    <row r="1726" spans="1:2">
      <c r="A1726" s="422"/>
      <c r="B1726" s="461"/>
    </row>
    <row r="1727" spans="1:2">
      <c r="A1727" s="422"/>
      <c r="B1727" s="461"/>
    </row>
    <row r="1728" spans="1:2">
      <c r="A1728" s="422"/>
      <c r="B1728" s="461"/>
    </row>
    <row r="1729" spans="1:2">
      <c r="A1729" s="422"/>
      <c r="B1729" s="461"/>
    </row>
    <row r="1730" spans="1:2">
      <c r="A1730" s="422"/>
      <c r="B1730" s="461"/>
    </row>
    <row r="1731" spans="1:2">
      <c r="A1731" s="422"/>
      <c r="B1731" s="461"/>
    </row>
    <row r="1732" spans="1:2">
      <c r="A1732" s="422"/>
      <c r="B1732" s="461"/>
    </row>
    <row r="1733" spans="1:2">
      <c r="A1733" s="422"/>
      <c r="B1733" s="461"/>
    </row>
    <row r="1734" spans="1:2">
      <c r="A1734" s="422"/>
      <c r="B1734" s="461"/>
    </row>
    <row r="1735" spans="1:2">
      <c r="A1735" s="422"/>
      <c r="B1735" s="461"/>
    </row>
    <row r="1736" spans="1:2">
      <c r="A1736" s="422"/>
      <c r="B1736" s="461"/>
    </row>
    <row r="1737" spans="1:2">
      <c r="A1737" s="422"/>
      <c r="B1737" s="461"/>
    </row>
    <row r="1738" spans="1:2">
      <c r="A1738" s="422"/>
      <c r="B1738" s="461"/>
    </row>
    <row r="1739" spans="1:2">
      <c r="A1739" s="422"/>
      <c r="B1739" s="461"/>
    </row>
    <row r="1740" spans="1:2">
      <c r="A1740" s="422"/>
      <c r="B1740" s="461"/>
    </row>
    <row r="1741" spans="1:2">
      <c r="A1741" s="422"/>
      <c r="B1741" s="461"/>
    </row>
    <row r="1742" spans="1:2">
      <c r="A1742" s="422"/>
      <c r="B1742" s="461"/>
    </row>
    <row r="1743" spans="1:2">
      <c r="A1743" s="422"/>
      <c r="B1743" s="461"/>
    </row>
    <row r="1744" spans="1:2">
      <c r="A1744" s="422"/>
      <c r="B1744" s="461"/>
    </row>
    <row r="1745" spans="1:2">
      <c r="A1745" s="422"/>
      <c r="B1745" s="461"/>
    </row>
    <row r="1746" spans="1:2">
      <c r="A1746" s="422"/>
      <c r="B1746" s="461"/>
    </row>
    <row r="1747" spans="1:2">
      <c r="A1747" s="422"/>
      <c r="B1747" s="461"/>
    </row>
    <row r="1748" spans="1:2">
      <c r="A1748" s="422"/>
      <c r="B1748" s="461"/>
    </row>
    <row r="1749" spans="1:2">
      <c r="A1749" s="422"/>
      <c r="B1749" s="461"/>
    </row>
    <row r="1750" spans="1:2">
      <c r="A1750" s="422"/>
      <c r="B1750" s="461"/>
    </row>
    <row r="1751" spans="1:2">
      <c r="A1751" s="422"/>
      <c r="B1751" s="461"/>
    </row>
    <row r="1752" spans="1:2">
      <c r="A1752" s="422"/>
      <c r="B1752" s="461"/>
    </row>
    <row r="1753" spans="1:2">
      <c r="A1753" s="422"/>
      <c r="B1753" s="461"/>
    </row>
    <row r="1754" spans="1:2">
      <c r="A1754" s="422"/>
      <c r="B1754" s="461"/>
    </row>
    <row r="1755" spans="1:2">
      <c r="A1755" s="422"/>
      <c r="B1755" s="461"/>
    </row>
    <row r="1756" spans="1:2">
      <c r="A1756" s="422"/>
      <c r="B1756" s="461"/>
    </row>
    <row r="1757" spans="1:2">
      <c r="A1757" s="422"/>
      <c r="B1757" s="461"/>
    </row>
    <row r="1758" spans="1:2">
      <c r="A1758" s="422"/>
      <c r="B1758" s="461"/>
    </row>
    <row r="1759" spans="1:2">
      <c r="A1759" s="422"/>
      <c r="B1759" s="461"/>
    </row>
    <row r="1760" spans="1:2">
      <c r="A1760" s="422"/>
      <c r="B1760" s="461"/>
    </row>
    <row r="1761" spans="1:2">
      <c r="A1761" s="422"/>
      <c r="B1761" s="461"/>
    </row>
    <row r="1762" spans="1:2">
      <c r="A1762" s="422"/>
      <c r="B1762" s="461"/>
    </row>
    <row r="1763" spans="1:2">
      <c r="A1763" s="422"/>
      <c r="B1763" s="461"/>
    </row>
    <row r="1764" spans="1:2">
      <c r="A1764" s="422"/>
      <c r="B1764" s="461"/>
    </row>
    <row r="1765" spans="1:2">
      <c r="A1765" s="422"/>
      <c r="B1765" s="461"/>
    </row>
    <row r="1766" spans="1:2">
      <c r="A1766" s="422"/>
      <c r="B1766" s="461"/>
    </row>
    <row r="1767" spans="1:2">
      <c r="A1767" s="422"/>
      <c r="B1767" s="461"/>
    </row>
    <row r="1768" spans="1:2">
      <c r="A1768" s="422"/>
      <c r="B1768" s="461"/>
    </row>
    <row r="1769" spans="1:2">
      <c r="A1769" s="422"/>
      <c r="B1769" s="461"/>
    </row>
    <row r="1770" spans="1:2">
      <c r="A1770" s="422"/>
      <c r="B1770" s="461"/>
    </row>
    <row r="1771" spans="1:2">
      <c r="A1771" s="422"/>
      <c r="B1771" s="461"/>
    </row>
    <row r="1772" spans="1:2">
      <c r="A1772" s="422"/>
      <c r="B1772" s="461"/>
    </row>
    <row r="1773" spans="1:2">
      <c r="A1773" s="422"/>
      <c r="B1773" s="461"/>
    </row>
    <row r="1774" spans="1:2">
      <c r="A1774" s="422"/>
      <c r="B1774" s="461"/>
    </row>
    <row r="1775" spans="1:2">
      <c r="A1775" s="422"/>
      <c r="B1775" s="461"/>
    </row>
    <row r="1776" spans="1:2">
      <c r="A1776" s="422"/>
      <c r="B1776" s="461"/>
    </row>
    <row r="1777" spans="1:2">
      <c r="A1777" s="422"/>
      <c r="B1777" s="461"/>
    </row>
    <row r="1778" spans="1:2">
      <c r="A1778" s="422"/>
      <c r="B1778" s="461"/>
    </row>
    <row r="1779" spans="1:2">
      <c r="A1779" s="422"/>
      <c r="B1779" s="461"/>
    </row>
    <row r="1780" spans="1:2">
      <c r="A1780" s="422"/>
      <c r="B1780" s="461"/>
    </row>
    <row r="1781" spans="1:2">
      <c r="A1781" s="422"/>
      <c r="B1781" s="461"/>
    </row>
    <row r="1782" spans="1:2">
      <c r="A1782" s="422"/>
      <c r="B1782" s="461"/>
    </row>
    <row r="1783" spans="1:2">
      <c r="A1783" s="422"/>
      <c r="B1783" s="461"/>
    </row>
    <row r="1784" spans="1:2">
      <c r="A1784" s="422"/>
      <c r="B1784" s="461"/>
    </row>
    <row r="1785" spans="1:2">
      <c r="A1785" s="422"/>
      <c r="B1785" s="461"/>
    </row>
    <row r="1786" spans="1:2">
      <c r="A1786" s="422"/>
      <c r="B1786" s="461"/>
    </row>
    <row r="1787" spans="1:2">
      <c r="A1787" s="422"/>
      <c r="B1787" s="461"/>
    </row>
    <row r="1788" spans="1:2">
      <c r="A1788" s="422"/>
      <c r="B1788" s="461"/>
    </row>
    <row r="1789" spans="1:2">
      <c r="A1789" s="422"/>
      <c r="B1789" s="461"/>
    </row>
    <row r="1790" spans="1:2">
      <c r="A1790" s="422"/>
      <c r="B1790" s="461"/>
    </row>
    <row r="1791" spans="1:2">
      <c r="A1791" s="422"/>
      <c r="B1791" s="461"/>
    </row>
    <row r="1792" spans="1:2">
      <c r="A1792" s="422"/>
      <c r="B1792" s="461"/>
    </row>
    <row r="1793" spans="1:2">
      <c r="A1793" s="422"/>
      <c r="B1793" s="461"/>
    </row>
    <row r="1794" spans="1:2">
      <c r="A1794" s="422"/>
      <c r="B1794" s="461"/>
    </row>
    <row r="1795" spans="1:2">
      <c r="A1795" s="422"/>
      <c r="B1795" s="461"/>
    </row>
    <row r="1796" spans="1:2">
      <c r="A1796" s="422"/>
      <c r="B1796" s="461"/>
    </row>
    <row r="1797" spans="1:2">
      <c r="A1797" s="422"/>
      <c r="B1797" s="461"/>
    </row>
    <row r="1798" spans="1:2">
      <c r="A1798" s="422"/>
      <c r="B1798" s="461"/>
    </row>
    <row r="1799" spans="1:2">
      <c r="A1799" s="422"/>
      <c r="B1799" s="461"/>
    </row>
    <row r="1800" spans="1:2">
      <c r="A1800" s="422"/>
      <c r="B1800" s="461"/>
    </row>
    <row r="1801" spans="1:2">
      <c r="A1801" s="422"/>
      <c r="B1801" s="461"/>
    </row>
    <row r="1802" spans="1:2">
      <c r="A1802" s="422"/>
      <c r="B1802" s="461"/>
    </row>
    <row r="1803" spans="1:2">
      <c r="A1803" s="422"/>
      <c r="B1803" s="461"/>
    </row>
    <row r="1804" spans="1:2">
      <c r="A1804" s="422"/>
      <c r="B1804" s="461"/>
    </row>
    <row r="1805" spans="1:2">
      <c r="A1805" s="422"/>
      <c r="B1805" s="461"/>
    </row>
    <row r="1806" spans="1:2">
      <c r="A1806" s="422"/>
      <c r="B1806" s="461"/>
    </row>
    <row r="1807" spans="1:2">
      <c r="A1807" s="422"/>
      <c r="B1807" s="461"/>
    </row>
    <row r="1808" spans="1:2">
      <c r="A1808" s="422"/>
      <c r="B1808" s="461"/>
    </row>
    <row r="1809" spans="1:2">
      <c r="A1809" s="422"/>
      <c r="B1809" s="461"/>
    </row>
    <row r="1810" spans="1:2">
      <c r="A1810" s="422"/>
      <c r="B1810" s="461"/>
    </row>
    <row r="1811" spans="1:2">
      <c r="A1811" s="422"/>
      <c r="B1811" s="461"/>
    </row>
    <row r="1812" spans="1:2">
      <c r="A1812" s="422"/>
      <c r="B1812" s="461"/>
    </row>
    <row r="1813" spans="1:2">
      <c r="A1813" s="422"/>
      <c r="B1813" s="461"/>
    </row>
    <row r="1814" spans="1:2">
      <c r="A1814" s="422"/>
      <c r="B1814" s="461"/>
    </row>
    <row r="1815" spans="1:2">
      <c r="A1815" s="422"/>
      <c r="B1815" s="461"/>
    </row>
    <row r="1816" spans="1:2">
      <c r="A1816" s="422"/>
      <c r="B1816" s="461"/>
    </row>
    <row r="1817" spans="1:2">
      <c r="A1817" s="422"/>
      <c r="B1817" s="461"/>
    </row>
    <row r="1818" spans="1:2">
      <c r="A1818" s="422"/>
      <c r="B1818" s="461"/>
    </row>
    <row r="1819" spans="1:2">
      <c r="A1819" s="422"/>
      <c r="B1819" s="461"/>
    </row>
    <row r="1820" spans="1:2">
      <c r="A1820" s="422"/>
      <c r="B1820" s="461"/>
    </row>
    <row r="1821" spans="1:2">
      <c r="A1821" s="422"/>
      <c r="B1821" s="461"/>
    </row>
    <row r="1822" spans="1:2">
      <c r="A1822" s="422"/>
      <c r="B1822" s="461"/>
    </row>
    <row r="1823" spans="1:2">
      <c r="A1823" s="422"/>
      <c r="B1823" s="461"/>
    </row>
    <row r="1824" spans="1:2">
      <c r="A1824" s="422"/>
      <c r="B1824" s="461"/>
    </row>
    <row r="1825" spans="1:2">
      <c r="A1825" s="422"/>
      <c r="B1825" s="461"/>
    </row>
    <row r="1826" spans="1:2">
      <c r="A1826" s="422"/>
      <c r="B1826" s="461"/>
    </row>
    <row r="1827" spans="1:2">
      <c r="A1827" s="422"/>
      <c r="B1827" s="461"/>
    </row>
    <row r="1828" spans="1:2">
      <c r="A1828" s="422"/>
      <c r="B1828" s="461"/>
    </row>
    <row r="1829" spans="1:2">
      <c r="A1829" s="422"/>
      <c r="B1829" s="461"/>
    </row>
    <row r="1830" spans="1:2">
      <c r="A1830" s="422"/>
      <c r="B1830" s="461"/>
    </row>
    <row r="1831" spans="1:2">
      <c r="A1831" s="422"/>
      <c r="B1831" s="461"/>
    </row>
    <row r="1832" spans="1:2">
      <c r="A1832" s="422"/>
      <c r="B1832" s="461"/>
    </row>
    <row r="1833" spans="1:2">
      <c r="A1833" s="422"/>
      <c r="B1833" s="461"/>
    </row>
    <row r="1834" spans="1:2">
      <c r="A1834" s="422"/>
      <c r="B1834" s="461"/>
    </row>
    <row r="1835" spans="1:2">
      <c r="A1835" s="422"/>
      <c r="B1835" s="461"/>
    </row>
    <row r="1836" spans="1:2">
      <c r="A1836" s="422"/>
      <c r="B1836" s="461"/>
    </row>
    <row r="1837" spans="1:2">
      <c r="A1837" s="422"/>
      <c r="B1837" s="461"/>
    </row>
    <row r="1838" spans="1:2">
      <c r="A1838" s="422"/>
      <c r="B1838" s="461"/>
    </row>
    <row r="1839" spans="1:2">
      <c r="A1839" s="422"/>
      <c r="B1839" s="461"/>
    </row>
    <row r="1840" spans="1:2">
      <c r="A1840" s="422"/>
      <c r="B1840" s="461"/>
    </row>
    <row r="1841" spans="1:2">
      <c r="A1841" s="422"/>
      <c r="B1841" s="461"/>
    </row>
    <row r="1842" spans="1:2">
      <c r="A1842" s="422"/>
      <c r="B1842" s="461"/>
    </row>
    <row r="1843" spans="1:2">
      <c r="A1843" s="422"/>
      <c r="B1843" s="461"/>
    </row>
    <row r="1844" spans="1:2">
      <c r="A1844" s="422"/>
      <c r="B1844" s="461"/>
    </row>
    <row r="1845" spans="1:2">
      <c r="A1845" s="422"/>
      <c r="B1845" s="461"/>
    </row>
    <row r="1846" spans="1:2">
      <c r="A1846" s="422"/>
      <c r="B1846" s="461"/>
    </row>
    <row r="1847" spans="1:2">
      <c r="A1847" s="422"/>
      <c r="B1847" s="461"/>
    </row>
    <row r="1848" spans="1:2">
      <c r="A1848" s="422"/>
      <c r="B1848" s="461"/>
    </row>
    <row r="1849" spans="1:2">
      <c r="A1849" s="422"/>
      <c r="B1849" s="461"/>
    </row>
    <row r="1850" spans="1:2">
      <c r="A1850" s="422"/>
      <c r="B1850" s="461"/>
    </row>
    <row r="1851" spans="1:2">
      <c r="A1851" s="422"/>
      <c r="B1851" s="461"/>
    </row>
    <row r="1852" spans="1:2">
      <c r="A1852" s="422"/>
      <c r="B1852" s="461"/>
    </row>
    <row r="1853" spans="1:2">
      <c r="A1853" s="422"/>
      <c r="B1853" s="461"/>
    </row>
    <row r="1854" spans="1:2">
      <c r="A1854" s="422"/>
      <c r="B1854" s="461"/>
    </row>
    <row r="1855" spans="1:2">
      <c r="A1855" s="422"/>
      <c r="B1855" s="461"/>
    </row>
    <row r="1856" spans="1:2">
      <c r="A1856" s="422"/>
      <c r="B1856" s="461"/>
    </row>
    <row r="1857" spans="1:2">
      <c r="A1857" s="422"/>
      <c r="B1857" s="461"/>
    </row>
    <row r="1858" spans="1:2">
      <c r="A1858" s="422"/>
      <c r="B1858" s="461"/>
    </row>
    <row r="1859" spans="1:2">
      <c r="A1859" s="422"/>
      <c r="B1859" s="461"/>
    </row>
    <row r="1860" spans="1:2">
      <c r="A1860" s="422"/>
      <c r="B1860" s="461"/>
    </row>
    <row r="1861" spans="1:2">
      <c r="A1861" s="422"/>
      <c r="B1861" s="461"/>
    </row>
    <row r="1862" spans="1:2">
      <c r="A1862" s="422"/>
      <c r="B1862" s="461"/>
    </row>
    <row r="1863" spans="1:2">
      <c r="A1863" s="422"/>
      <c r="B1863" s="461"/>
    </row>
    <row r="1864" spans="1:2">
      <c r="A1864" s="422"/>
      <c r="B1864" s="461"/>
    </row>
    <row r="1865" spans="1:2">
      <c r="A1865" s="422"/>
      <c r="B1865" s="461"/>
    </row>
    <row r="1866" spans="1:2">
      <c r="A1866" s="422"/>
      <c r="B1866" s="461"/>
    </row>
    <row r="1867" spans="1:2">
      <c r="A1867" s="422"/>
      <c r="B1867" s="461"/>
    </row>
    <row r="1868" spans="1:2">
      <c r="A1868" s="422"/>
      <c r="B1868" s="461"/>
    </row>
    <row r="1869" spans="1:2">
      <c r="A1869" s="422"/>
      <c r="B1869" s="461"/>
    </row>
    <row r="1870" spans="1:2">
      <c r="A1870" s="422"/>
      <c r="B1870" s="461"/>
    </row>
    <row r="1871" spans="1:2">
      <c r="A1871" s="422"/>
      <c r="B1871" s="461"/>
    </row>
    <row r="1872" spans="1:2">
      <c r="A1872" s="422"/>
      <c r="B1872" s="461"/>
    </row>
    <row r="1873" spans="1:2">
      <c r="A1873" s="422"/>
      <c r="B1873" s="461"/>
    </row>
    <row r="1874" spans="1:2">
      <c r="A1874" s="422"/>
      <c r="B1874" s="461"/>
    </row>
    <row r="1875" spans="1:2">
      <c r="A1875" s="422"/>
      <c r="B1875" s="461"/>
    </row>
    <row r="1876" spans="1:2">
      <c r="A1876" s="422"/>
      <c r="B1876" s="461"/>
    </row>
    <row r="1877" spans="1:2">
      <c r="A1877" s="422"/>
      <c r="B1877" s="461"/>
    </row>
    <row r="1878" spans="1:2">
      <c r="A1878" s="422"/>
      <c r="B1878" s="461"/>
    </row>
    <row r="1879" spans="1:2">
      <c r="A1879" s="422"/>
      <c r="B1879" s="461"/>
    </row>
    <row r="1880" spans="1:2">
      <c r="A1880" s="422"/>
      <c r="B1880" s="461"/>
    </row>
    <row r="1881" spans="1:2">
      <c r="A1881" s="422"/>
      <c r="B1881" s="461"/>
    </row>
    <row r="1882" spans="1:2">
      <c r="A1882" s="422"/>
      <c r="B1882" s="461"/>
    </row>
    <row r="1883" spans="1:2">
      <c r="A1883" s="422"/>
      <c r="B1883" s="461"/>
    </row>
    <row r="1884" spans="1:2">
      <c r="A1884" s="422"/>
      <c r="B1884" s="461"/>
    </row>
    <row r="1885" spans="1:2">
      <c r="A1885" s="422"/>
      <c r="B1885" s="461"/>
    </row>
    <row r="1886" spans="1:2">
      <c r="A1886" s="422"/>
      <c r="B1886" s="461"/>
    </row>
    <row r="1887" spans="1:2">
      <c r="A1887" s="422"/>
      <c r="B1887" s="461"/>
    </row>
    <row r="1888" spans="1:2">
      <c r="A1888" s="422"/>
      <c r="B1888" s="461"/>
    </row>
    <row r="1889" spans="1:2">
      <c r="A1889" s="422"/>
      <c r="B1889" s="461"/>
    </row>
    <row r="1890" spans="1:2">
      <c r="A1890" s="422"/>
      <c r="B1890" s="461"/>
    </row>
    <row r="1891" spans="1:2">
      <c r="A1891" s="422"/>
      <c r="B1891" s="461"/>
    </row>
    <row r="1892" spans="1:2">
      <c r="A1892" s="422"/>
      <c r="B1892" s="461"/>
    </row>
    <row r="1893" spans="1:2">
      <c r="A1893" s="422"/>
      <c r="B1893" s="461"/>
    </row>
    <row r="1894" spans="1:2">
      <c r="A1894" s="422"/>
      <c r="B1894" s="461"/>
    </row>
    <row r="1895" spans="1:2">
      <c r="A1895" s="422"/>
      <c r="B1895" s="461"/>
    </row>
    <row r="1896" spans="1:2">
      <c r="A1896" s="422"/>
      <c r="B1896" s="461"/>
    </row>
    <row r="1897" spans="1:2">
      <c r="A1897" s="422"/>
      <c r="B1897" s="461"/>
    </row>
    <row r="1898" spans="1:2">
      <c r="A1898" s="422"/>
      <c r="B1898" s="461"/>
    </row>
    <row r="1899" spans="1:2">
      <c r="A1899" s="422"/>
      <c r="B1899" s="461"/>
    </row>
    <row r="1900" spans="1:2">
      <c r="A1900" s="422"/>
      <c r="B1900" s="461"/>
    </row>
    <row r="1901" spans="1:2">
      <c r="A1901" s="422"/>
      <c r="B1901" s="461"/>
    </row>
    <row r="1902" spans="1:2">
      <c r="A1902" s="422"/>
      <c r="B1902" s="461"/>
    </row>
    <row r="1903" spans="1:2">
      <c r="A1903" s="422"/>
      <c r="B1903" s="461"/>
    </row>
    <row r="1904" spans="1:2">
      <c r="A1904" s="422"/>
      <c r="B1904" s="461"/>
    </row>
    <row r="1905" spans="1:2">
      <c r="A1905" s="422"/>
      <c r="B1905" s="461"/>
    </row>
    <row r="1906" spans="1:2">
      <c r="A1906" s="422"/>
      <c r="B1906" s="461"/>
    </row>
    <row r="1907" spans="1:2">
      <c r="A1907" s="422"/>
      <c r="B1907" s="461"/>
    </row>
    <row r="1908" spans="1:2">
      <c r="A1908" s="422"/>
      <c r="B1908" s="461"/>
    </row>
    <row r="1909" spans="1:2">
      <c r="A1909" s="422"/>
      <c r="B1909" s="461"/>
    </row>
    <row r="1910" spans="1:2">
      <c r="A1910" s="422"/>
      <c r="B1910" s="461"/>
    </row>
    <row r="1911" spans="1:2">
      <c r="A1911" s="422"/>
      <c r="B1911" s="461"/>
    </row>
    <row r="1912" spans="1:2">
      <c r="A1912" s="422"/>
      <c r="B1912" s="461"/>
    </row>
    <row r="1913" spans="1:2">
      <c r="A1913" s="422"/>
      <c r="B1913" s="461"/>
    </row>
    <row r="1914" spans="1:2">
      <c r="A1914" s="422"/>
      <c r="B1914" s="461"/>
    </row>
    <row r="1915" spans="1:2">
      <c r="A1915" s="422"/>
      <c r="B1915" s="461"/>
    </row>
    <row r="1916" spans="1:2">
      <c r="A1916" s="422"/>
      <c r="B1916" s="461"/>
    </row>
    <row r="1917" spans="1:2">
      <c r="A1917" s="422"/>
      <c r="B1917" s="461"/>
    </row>
    <row r="1918" spans="1:2">
      <c r="A1918" s="422"/>
      <c r="B1918" s="461"/>
    </row>
    <row r="1919" spans="1:2">
      <c r="A1919" s="422"/>
      <c r="B1919" s="461"/>
    </row>
    <row r="1920" spans="1:2">
      <c r="A1920" s="422"/>
      <c r="B1920" s="461"/>
    </row>
    <row r="1921" spans="1:2">
      <c r="A1921" s="422"/>
      <c r="B1921" s="461"/>
    </row>
    <row r="1922" spans="1:2">
      <c r="A1922" s="422"/>
      <c r="B1922" s="461"/>
    </row>
    <row r="1923" spans="1:2">
      <c r="A1923" s="422"/>
      <c r="B1923" s="461"/>
    </row>
    <row r="1924" spans="1:2">
      <c r="A1924" s="422"/>
      <c r="B1924" s="461"/>
    </row>
    <row r="1925" spans="1:2">
      <c r="A1925" s="422"/>
      <c r="B1925" s="461"/>
    </row>
    <row r="1926" spans="1:2">
      <c r="A1926" s="422"/>
      <c r="B1926" s="461"/>
    </row>
    <row r="1927" spans="1:2">
      <c r="A1927" s="422"/>
      <c r="B1927" s="461"/>
    </row>
    <row r="1928" spans="1:2">
      <c r="A1928" s="422"/>
      <c r="B1928" s="461"/>
    </row>
    <row r="1929" spans="1:2">
      <c r="A1929" s="422"/>
      <c r="B1929" s="461"/>
    </row>
    <row r="1930" spans="1:2">
      <c r="A1930" s="422"/>
      <c r="B1930" s="461"/>
    </row>
    <row r="1931" spans="1:2">
      <c r="A1931" s="422"/>
      <c r="B1931" s="461"/>
    </row>
    <row r="1932" spans="1:2">
      <c r="A1932" s="422"/>
      <c r="B1932" s="461"/>
    </row>
    <row r="1933" spans="1:2">
      <c r="A1933" s="422"/>
      <c r="B1933" s="461"/>
    </row>
    <row r="1934" spans="1:2">
      <c r="A1934" s="422"/>
      <c r="B1934" s="461"/>
    </row>
    <row r="1935" spans="1:2">
      <c r="A1935" s="422"/>
      <c r="B1935" s="461"/>
    </row>
    <row r="1936" spans="1:2">
      <c r="A1936" s="422"/>
      <c r="B1936" s="461"/>
    </row>
    <row r="1937" spans="1:2">
      <c r="A1937" s="422"/>
      <c r="B1937" s="461"/>
    </row>
    <row r="1938" spans="1:2">
      <c r="A1938" s="422"/>
      <c r="B1938" s="461"/>
    </row>
    <row r="1939" spans="1:2">
      <c r="A1939" s="422"/>
      <c r="B1939" s="461"/>
    </row>
    <row r="1940" spans="1:2">
      <c r="A1940" s="422"/>
      <c r="B1940" s="461"/>
    </row>
    <row r="1941" spans="1:2">
      <c r="A1941" s="422"/>
      <c r="B1941" s="461"/>
    </row>
    <row r="1942" spans="1:2">
      <c r="A1942" s="422"/>
      <c r="B1942" s="461"/>
    </row>
    <row r="1943" spans="1:2">
      <c r="A1943" s="422"/>
      <c r="B1943" s="461"/>
    </row>
    <row r="1944" spans="1:2">
      <c r="A1944" s="422"/>
      <c r="B1944" s="461"/>
    </row>
    <row r="1945" spans="1:2">
      <c r="A1945" s="422"/>
      <c r="B1945" s="461"/>
    </row>
    <row r="1946" spans="1:2">
      <c r="A1946" s="422"/>
      <c r="B1946" s="461"/>
    </row>
    <row r="1947" spans="1:2">
      <c r="A1947" s="422"/>
      <c r="B1947" s="461"/>
    </row>
    <row r="1948" spans="1:2">
      <c r="A1948" s="422"/>
      <c r="B1948" s="461"/>
    </row>
    <row r="1949" spans="1:2">
      <c r="A1949" s="422"/>
      <c r="B1949" s="461"/>
    </row>
    <row r="1950" spans="1:2">
      <c r="A1950" s="422"/>
      <c r="B1950" s="461"/>
    </row>
    <row r="1951" spans="1:2">
      <c r="A1951" s="422"/>
      <c r="B1951" s="461"/>
    </row>
    <row r="1952" spans="1:2">
      <c r="A1952" s="422"/>
      <c r="B1952" s="461"/>
    </row>
    <row r="1953" spans="1:2">
      <c r="A1953" s="422"/>
      <c r="B1953" s="461"/>
    </row>
    <row r="1954" spans="1:2">
      <c r="A1954" s="422"/>
      <c r="B1954" s="461"/>
    </row>
    <row r="1955" spans="1:2">
      <c r="A1955" s="422"/>
      <c r="B1955" s="461"/>
    </row>
    <row r="1956" spans="1:2">
      <c r="A1956" s="422"/>
      <c r="B1956" s="461"/>
    </row>
    <row r="1957" spans="1:2">
      <c r="A1957" s="422"/>
      <c r="B1957" s="461"/>
    </row>
    <row r="1958" spans="1:2">
      <c r="A1958" s="422"/>
      <c r="B1958" s="461"/>
    </row>
    <row r="1959" spans="1:2">
      <c r="A1959" s="422"/>
      <c r="B1959" s="461"/>
    </row>
    <row r="1960" spans="1:2">
      <c r="A1960" s="422"/>
      <c r="B1960" s="461"/>
    </row>
    <row r="1961" spans="1:2">
      <c r="A1961" s="422"/>
      <c r="B1961" s="461"/>
    </row>
    <row r="1962" spans="1:2">
      <c r="A1962" s="422"/>
      <c r="B1962" s="461"/>
    </row>
    <row r="1963" spans="1:2">
      <c r="A1963" s="422"/>
      <c r="B1963" s="461"/>
    </row>
    <row r="1964" spans="1:2">
      <c r="A1964" s="422"/>
      <c r="B1964" s="461"/>
    </row>
    <row r="1965" spans="1:2">
      <c r="A1965" s="422"/>
      <c r="B1965" s="461"/>
    </row>
    <row r="1966" spans="1:2">
      <c r="A1966" s="422"/>
      <c r="B1966" s="461"/>
    </row>
    <row r="1967" spans="1:2">
      <c r="A1967" s="422"/>
      <c r="B1967" s="461"/>
    </row>
    <row r="1968" spans="1:2">
      <c r="A1968" s="422"/>
      <c r="B1968" s="461"/>
    </row>
    <row r="1969" spans="1:2">
      <c r="A1969" s="422"/>
      <c r="B1969" s="461"/>
    </row>
    <row r="1970" spans="1:2">
      <c r="A1970" s="422"/>
      <c r="B1970" s="461"/>
    </row>
    <row r="1971" spans="1:2">
      <c r="A1971" s="422"/>
      <c r="B1971" s="461"/>
    </row>
    <row r="1972" spans="1:2">
      <c r="A1972" s="422"/>
      <c r="B1972" s="461"/>
    </row>
    <row r="1973" spans="1:2">
      <c r="A1973" s="422"/>
      <c r="B1973" s="461"/>
    </row>
    <row r="1974" spans="1:2">
      <c r="A1974" s="422"/>
      <c r="B1974" s="461"/>
    </row>
    <row r="1975" spans="1:2">
      <c r="A1975" s="422"/>
      <c r="B1975" s="461"/>
    </row>
    <row r="1976" spans="1:2">
      <c r="A1976" s="422"/>
      <c r="B1976" s="461"/>
    </row>
    <row r="1977" spans="1:2">
      <c r="A1977" s="422"/>
      <c r="B1977" s="461"/>
    </row>
    <row r="1978" spans="1:2">
      <c r="A1978" s="422"/>
      <c r="B1978" s="461"/>
    </row>
    <row r="1979" spans="1:2">
      <c r="A1979" s="422"/>
      <c r="B1979" s="461"/>
    </row>
    <row r="1980" spans="1:2">
      <c r="A1980" s="422"/>
      <c r="B1980" s="461"/>
    </row>
    <row r="1981" spans="1:2">
      <c r="A1981" s="422"/>
      <c r="B1981" s="461"/>
    </row>
    <row r="1982" spans="1:2">
      <c r="A1982" s="422"/>
      <c r="B1982" s="461"/>
    </row>
    <row r="1983" spans="1:2">
      <c r="A1983" s="422"/>
      <c r="B1983" s="461"/>
    </row>
    <row r="1984" spans="1:2">
      <c r="A1984" s="422"/>
      <c r="B1984" s="461"/>
    </row>
    <row r="1985" spans="1:2">
      <c r="A1985" s="422"/>
      <c r="B1985" s="461"/>
    </row>
    <row r="1986" spans="1:2">
      <c r="A1986" s="422"/>
      <c r="B1986" s="461"/>
    </row>
    <row r="1987" spans="1:2">
      <c r="A1987" s="422"/>
      <c r="B1987" s="461"/>
    </row>
    <row r="1988" spans="1:2">
      <c r="A1988" s="422"/>
      <c r="B1988" s="461"/>
    </row>
    <row r="1989" spans="1:2">
      <c r="A1989" s="422"/>
      <c r="B1989" s="461"/>
    </row>
    <row r="1990" spans="1:2">
      <c r="A1990" s="422"/>
      <c r="B1990" s="461"/>
    </row>
    <row r="1991" spans="1:2">
      <c r="A1991" s="422"/>
      <c r="B1991" s="461"/>
    </row>
    <row r="1992" spans="1:2">
      <c r="A1992" s="422"/>
      <c r="B1992" s="461"/>
    </row>
    <row r="1993" spans="1:2">
      <c r="A1993" s="422"/>
      <c r="B1993" s="461"/>
    </row>
    <row r="1994" spans="1:2">
      <c r="A1994" s="422"/>
      <c r="B1994" s="461"/>
    </row>
    <row r="1995" spans="1:2">
      <c r="A1995" s="422"/>
      <c r="B1995" s="461"/>
    </row>
    <row r="1996" spans="1:2">
      <c r="A1996" s="422"/>
      <c r="B1996" s="461"/>
    </row>
    <row r="1997" spans="1:2">
      <c r="A1997" s="422"/>
      <c r="B1997" s="461"/>
    </row>
    <row r="1998" spans="1:2">
      <c r="A1998" s="422"/>
      <c r="B1998" s="461"/>
    </row>
    <row r="1999" spans="1:2">
      <c r="A1999" s="422"/>
      <c r="B1999" s="461"/>
    </row>
    <row r="2000" spans="1:2">
      <c r="A2000" s="422"/>
      <c r="B2000" s="461"/>
    </row>
    <row r="2001" spans="1:2">
      <c r="A2001" s="422"/>
      <c r="B2001" s="461"/>
    </row>
    <row r="2002" spans="1:2">
      <c r="A2002" s="422"/>
      <c r="B2002" s="461"/>
    </row>
    <row r="2003" spans="1:2">
      <c r="A2003" s="422"/>
      <c r="B2003" s="461"/>
    </row>
    <row r="2004" spans="1:2">
      <c r="A2004" s="422"/>
      <c r="B2004" s="461"/>
    </row>
    <row r="2005" spans="1:2">
      <c r="A2005" s="422"/>
      <c r="B2005" s="461"/>
    </row>
    <row r="2006" spans="1:2">
      <c r="A2006" s="422"/>
      <c r="B2006" s="461"/>
    </row>
    <row r="2007" spans="1:2">
      <c r="A2007" s="422"/>
      <c r="B2007" s="461"/>
    </row>
    <row r="2008" spans="1:2">
      <c r="A2008" s="422"/>
      <c r="B2008" s="461"/>
    </row>
    <row r="2009" spans="1:2">
      <c r="A2009" s="422"/>
      <c r="B2009" s="461"/>
    </row>
    <row r="2010" spans="1:2">
      <c r="A2010" s="422"/>
      <c r="B2010" s="461"/>
    </row>
    <row r="2011" spans="1:2">
      <c r="A2011" s="422"/>
      <c r="B2011" s="461"/>
    </row>
    <row r="2012" spans="1:2">
      <c r="A2012" s="422"/>
      <c r="B2012" s="461"/>
    </row>
    <row r="2013" spans="1:2">
      <c r="A2013" s="422"/>
      <c r="B2013" s="461"/>
    </row>
    <row r="2014" spans="1:2">
      <c r="A2014" s="422"/>
      <c r="B2014" s="461"/>
    </row>
    <row r="2015" spans="1:2">
      <c r="A2015" s="422"/>
      <c r="B2015" s="461"/>
    </row>
    <row r="2016" spans="1:2">
      <c r="A2016" s="422"/>
      <c r="B2016" s="461"/>
    </row>
    <row r="2017" spans="1:2">
      <c r="A2017" s="422"/>
      <c r="B2017" s="461"/>
    </row>
    <row r="2018" spans="1:2">
      <c r="A2018" s="422"/>
      <c r="B2018" s="461"/>
    </row>
    <row r="2019" spans="1:2">
      <c r="A2019" s="422"/>
      <c r="B2019" s="461"/>
    </row>
    <row r="2020" spans="1:2">
      <c r="A2020" s="422"/>
      <c r="B2020" s="461"/>
    </row>
    <row r="2021" spans="1:2">
      <c r="A2021" s="422"/>
      <c r="B2021" s="461"/>
    </row>
    <row r="2022" spans="1:2">
      <c r="A2022" s="422"/>
      <c r="B2022" s="461"/>
    </row>
    <row r="2023" spans="1:2">
      <c r="A2023" s="422"/>
      <c r="B2023" s="461"/>
    </row>
    <row r="2024" spans="1:2">
      <c r="A2024" s="422"/>
      <c r="B2024" s="461"/>
    </row>
    <row r="2025" spans="1:2">
      <c r="A2025" s="422"/>
      <c r="B2025" s="461"/>
    </row>
    <row r="2026" spans="1:2">
      <c r="A2026" s="422"/>
      <c r="B2026" s="461"/>
    </row>
    <row r="2027" spans="1:2">
      <c r="A2027" s="422"/>
      <c r="B2027" s="461"/>
    </row>
    <row r="2028" spans="1:2">
      <c r="A2028" s="422"/>
      <c r="B2028" s="461"/>
    </row>
    <row r="2029" spans="1:2">
      <c r="A2029" s="422"/>
      <c r="B2029" s="461"/>
    </row>
    <row r="2030" spans="1:2">
      <c r="A2030" s="422"/>
      <c r="B2030" s="461"/>
    </row>
    <row r="2031" spans="1:2">
      <c r="A2031" s="422"/>
      <c r="B2031" s="461"/>
    </row>
    <row r="2032" spans="1:2">
      <c r="A2032" s="422"/>
      <c r="B2032" s="461"/>
    </row>
    <row r="2033" spans="1:2">
      <c r="A2033" s="422"/>
      <c r="B2033" s="461"/>
    </row>
    <row r="2034" spans="1:2">
      <c r="A2034" s="422"/>
      <c r="B2034" s="461"/>
    </row>
    <row r="2035" spans="1:2">
      <c r="A2035" s="422"/>
      <c r="B2035" s="461"/>
    </row>
    <row r="2036" spans="1:2">
      <c r="A2036" s="422"/>
      <c r="B2036" s="461"/>
    </row>
    <row r="2037" spans="1:2">
      <c r="A2037" s="422"/>
      <c r="B2037" s="461"/>
    </row>
    <row r="2038" spans="1:2">
      <c r="A2038" s="422"/>
      <c r="B2038" s="461"/>
    </row>
    <row r="2039" spans="1:2">
      <c r="A2039" s="422"/>
      <c r="B2039" s="461"/>
    </row>
    <row r="2040" spans="1:2">
      <c r="A2040" s="422"/>
      <c r="B2040" s="461"/>
    </row>
    <row r="2041" spans="1:2">
      <c r="A2041" s="422"/>
      <c r="B2041" s="461"/>
    </row>
    <row r="2042" spans="1:2">
      <c r="A2042" s="422"/>
      <c r="B2042" s="461"/>
    </row>
    <row r="2043" spans="1:2">
      <c r="A2043" s="422"/>
      <c r="B2043" s="461"/>
    </row>
    <row r="2044" spans="1:2">
      <c r="A2044" s="422"/>
      <c r="B2044" s="461"/>
    </row>
    <row r="2045" spans="1:2">
      <c r="A2045" s="422"/>
      <c r="B2045" s="461"/>
    </row>
    <row r="2046" spans="1:2">
      <c r="A2046" s="422"/>
      <c r="B2046" s="461"/>
    </row>
    <row r="2047" spans="1:2">
      <c r="A2047" s="422"/>
      <c r="B2047" s="461"/>
    </row>
    <row r="2048" spans="1:2">
      <c r="A2048" s="422"/>
      <c r="B2048" s="461"/>
    </row>
    <row r="2049" spans="1:2">
      <c r="A2049" s="422"/>
      <c r="B2049" s="461"/>
    </row>
    <row r="2050" spans="1:2">
      <c r="A2050" s="422"/>
      <c r="B2050" s="461"/>
    </row>
    <row r="2051" spans="1:2">
      <c r="A2051" s="422"/>
      <c r="B2051" s="461"/>
    </row>
    <row r="2052" spans="1:2">
      <c r="A2052" s="422"/>
      <c r="B2052" s="461"/>
    </row>
    <row r="2053" spans="1:2">
      <c r="A2053" s="422"/>
      <c r="B2053" s="461"/>
    </row>
    <row r="2054" spans="1:2">
      <c r="A2054" s="422"/>
      <c r="B2054" s="461"/>
    </row>
    <row r="2055" spans="1:2">
      <c r="A2055" s="422"/>
      <c r="B2055" s="461"/>
    </row>
    <row r="2056" spans="1:2">
      <c r="A2056" s="422"/>
      <c r="B2056" s="461"/>
    </row>
    <row r="2057" spans="1:2">
      <c r="A2057" s="422"/>
      <c r="B2057" s="461"/>
    </row>
    <row r="2058" spans="1:2">
      <c r="A2058" s="422"/>
      <c r="B2058" s="461"/>
    </row>
    <row r="2059" spans="1:2">
      <c r="A2059" s="422"/>
      <c r="B2059" s="461"/>
    </row>
    <row r="2060" spans="1:2">
      <c r="A2060" s="422"/>
      <c r="B2060" s="461"/>
    </row>
    <row r="2061" spans="1:2">
      <c r="A2061" s="422"/>
      <c r="B2061" s="461"/>
    </row>
    <row r="2062" spans="1:2">
      <c r="A2062" s="422"/>
      <c r="B2062" s="461"/>
    </row>
    <row r="2063" spans="1:2">
      <c r="A2063" s="422"/>
      <c r="B2063" s="461"/>
    </row>
    <row r="2064" spans="1:2">
      <c r="A2064" s="422"/>
      <c r="B2064" s="461"/>
    </row>
    <row r="2065" spans="1:2">
      <c r="A2065" s="422"/>
      <c r="B2065" s="461"/>
    </row>
    <row r="2066" spans="1:2">
      <c r="A2066" s="422"/>
      <c r="B2066" s="461"/>
    </row>
    <row r="2067" spans="1:2">
      <c r="A2067" s="422"/>
      <c r="B2067" s="461"/>
    </row>
    <row r="2068" spans="1:2">
      <c r="A2068" s="422"/>
      <c r="B2068" s="461"/>
    </row>
    <row r="2069" spans="1:2">
      <c r="A2069" s="422"/>
      <c r="B2069" s="461"/>
    </row>
    <row r="2070" spans="1:2">
      <c r="A2070" s="422"/>
      <c r="B2070" s="461"/>
    </row>
    <row r="2071" spans="1:2">
      <c r="A2071" s="422"/>
      <c r="B2071" s="461"/>
    </row>
    <row r="2072" spans="1:2">
      <c r="A2072" s="422"/>
      <c r="B2072" s="461"/>
    </row>
    <row r="2073" spans="1:2">
      <c r="A2073" s="422"/>
      <c r="B2073" s="461"/>
    </row>
    <row r="2074" spans="1:2">
      <c r="A2074" s="422"/>
      <c r="B2074" s="461"/>
    </row>
    <row r="2075" spans="1:2">
      <c r="A2075" s="422"/>
      <c r="B2075" s="461"/>
    </row>
    <row r="2076" spans="1:2">
      <c r="A2076" s="422"/>
      <c r="B2076" s="461"/>
    </row>
    <row r="2077" spans="1:2">
      <c r="A2077" s="422"/>
      <c r="B2077" s="461"/>
    </row>
    <row r="2078" spans="1:2">
      <c r="A2078" s="422"/>
      <c r="B2078" s="461"/>
    </row>
    <row r="2079" spans="1:2">
      <c r="A2079" s="422"/>
      <c r="B2079" s="461"/>
    </row>
    <row r="2080" spans="1:2">
      <c r="A2080" s="422"/>
      <c r="B2080" s="461"/>
    </row>
    <row r="2081" spans="1:2">
      <c r="A2081" s="422"/>
      <c r="B2081" s="461"/>
    </row>
    <row r="2082" spans="1:2">
      <c r="A2082" s="422"/>
      <c r="B2082" s="461"/>
    </row>
    <row r="2083" spans="1:2">
      <c r="A2083" s="422"/>
      <c r="B2083" s="461"/>
    </row>
    <row r="2084" spans="1:2">
      <c r="A2084" s="422"/>
      <c r="B2084" s="461"/>
    </row>
    <row r="2085" spans="1:2">
      <c r="A2085" s="422"/>
      <c r="B2085" s="461"/>
    </row>
    <row r="2086" spans="1:2">
      <c r="A2086" s="422"/>
      <c r="B2086" s="461"/>
    </row>
    <row r="2087" spans="1:2">
      <c r="A2087" s="422"/>
      <c r="B2087" s="461"/>
    </row>
    <row r="2088" spans="1:2">
      <c r="A2088" s="422"/>
      <c r="B2088" s="461"/>
    </row>
    <row r="2089" spans="1:2">
      <c r="A2089" s="422"/>
      <c r="B2089" s="461"/>
    </row>
    <row r="2090" spans="1:2">
      <c r="A2090" s="422"/>
      <c r="B2090" s="461"/>
    </row>
    <row r="2091" spans="1:2">
      <c r="A2091" s="422"/>
      <c r="B2091" s="461"/>
    </row>
    <row r="2092" spans="1:2">
      <c r="A2092" s="422"/>
      <c r="B2092" s="461"/>
    </row>
    <row r="2093" spans="1:2">
      <c r="A2093" s="422"/>
      <c r="B2093" s="461"/>
    </row>
    <row r="2094" spans="1:2">
      <c r="A2094" s="422"/>
      <c r="B2094" s="461"/>
    </row>
    <row r="2095" spans="1:2">
      <c r="A2095" s="422"/>
      <c r="B2095" s="461"/>
    </row>
    <row r="2096" spans="1:2">
      <c r="A2096" s="422"/>
      <c r="B2096" s="461"/>
    </row>
    <row r="2097" spans="1:2">
      <c r="A2097" s="422"/>
      <c r="B2097" s="461"/>
    </row>
    <row r="2098" spans="1:2">
      <c r="A2098" s="422"/>
      <c r="B2098" s="461"/>
    </row>
    <row r="2099" spans="1:2">
      <c r="A2099" s="422"/>
      <c r="B2099" s="461"/>
    </row>
    <row r="2100" spans="1:2">
      <c r="A2100" s="422"/>
      <c r="B2100" s="461"/>
    </row>
    <row r="2101" spans="1:2">
      <c r="A2101" s="422"/>
      <c r="B2101" s="461"/>
    </row>
    <row r="2102" spans="1:2">
      <c r="A2102" s="422"/>
      <c r="B2102" s="461"/>
    </row>
    <row r="2103" spans="1:2">
      <c r="A2103" s="422"/>
      <c r="B2103" s="461"/>
    </row>
    <row r="2104" spans="1:2">
      <c r="A2104" s="422"/>
      <c r="B2104" s="461"/>
    </row>
    <row r="2105" spans="1:2">
      <c r="A2105" s="422"/>
      <c r="B2105" s="461"/>
    </row>
    <row r="2106" spans="1:2">
      <c r="A2106" s="422"/>
      <c r="B2106" s="461"/>
    </row>
    <row r="2107" spans="1:2">
      <c r="A2107" s="422"/>
      <c r="B2107" s="461"/>
    </row>
    <row r="2108" spans="1:2">
      <c r="A2108" s="422"/>
      <c r="B2108" s="461"/>
    </row>
    <row r="2109" spans="1:2">
      <c r="A2109" s="422"/>
      <c r="B2109" s="461"/>
    </row>
    <row r="2110" spans="1:2">
      <c r="A2110" s="422"/>
      <c r="B2110" s="461"/>
    </row>
    <row r="2111" spans="1:2">
      <c r="A2111" s="422"/>
      <c r="B2111" s="461"/>
    </row>
    <row r="2112" spans="1:2">
      <c r="A2112" s="422"/>
      <c r="B2112" s="461"/>
    </row>
    <row r="2113" spans="1:2">
      <c r="A2113" s="422"/>
      <c r="B2113" s="461"/>
    </row>
    <row r="2114" spans="1:2">
      <c r="A2114" s="422"/>
      <c r="B2114" s="461"/>
    </row>
    <row r="2115" spans="1:2">
      <c r="A2115" s="422"/>
      <c r="B2115" s="461"/>
    </row>
    <row r="2116" spans="1:2">
      <c r="A2116" s="422"/>
      <c r="B2116" s="461"/>
    </row>
    <row r="2117" spans="1:2">
      <c r="A2117" s="422"/>
      <c r="B2117" s="461"/>
    </row>
    <row r="2118" spans="1:2">
      <c r="A2118" s="422"/>
      <c r="B2118" s="461"/>
    </row>
    <row r="2119" spans="1:2">
      <c r="A2119" s="422"/>
      <c r="B2119" s="461"/>
    </row>
    <row r="2120" spans="1:2">
      <c r="A2120" s="422"/>
      <c r="B2120" s="461"/>
    </row>
    <row r="2121" spans="1:2">
      <c r="A2121" s="422"/>
      <c r="B2121" s="461"/>
    </row>
    <row r="2122" spans="1:2">
      <c r="A2122" s="422"/>
      <c r="B2122" s="461"/>
    </row>
    <row r="2123" spans="1:2">
      <c r="A2123" s="422"/>
      <c r="B2123" s="461"/>
    </row>
    <row r="2124" spans="1:2">
      <c r="A2124" s="422"/>
      <c r="B2124" s="461"/>
    </row>
    <row r="2125" spans="1:2">
      <c r="A2125" s="422"/>
      <c r="B2125" s="461"/>
    </row>
    <row r="2126" spans="1:2">
      <c r="A2126" s="422"/>
      <c r="B2126" s="461"/>
    </row>
    <row r="2127" spans="1:2">
      <c r="A2127" s="422"/>
      <c r="B2127" s="461"/>
    </row>
    <row r="2128" spans="1:2">
      <c r="A2128" s="422"/>
      <c r="B2128" s="461"/>
    </row>
    <row r="2129" spans="1:2">
      <c r="A2129" s="422"/>
      <c r="B2129" s="461"/>
    </row>
    <row r="2130" spans="1:2">
      <c r="A2130" s="422"/>
      <c r="B2130" s="461"/>
    </row>
    <row r="2131" spans="1:2">
      <c r="A2131" s="422"/>
      <c r="B2131" s="461"/>
    </row>
    <row r="2132" spans="1:2">
      <c r="A2132" s="422"/>
      <c r="B2132" s="461"/>
    </row>
    <row r="2133" spans="1:2">
      <c r="A2133" s="422"/>
      <c r="B2133" s="461"/>
    </row>
    <row r="2134" spans="1:2">
      <c r="A2134" s="422"/>
      <c r="B2134" s="461"/>
    </row>
    <row r="2135" spans="1:2">
      <c r="A2135" s="422"/>
      <c r="B2135" s="461"/>
    </row>
    <row r="2136" spans="1:2">
      <c r="A2136" s="422"/>
      <c r="B2136" s="461"/>
    </row>
    <row r="2137" spans="1:2">
      <c r="A2137" s="422"/>
      <c r="B2137" s="461"/>
    </row>
    <row r="2138" spans="1:2">
      <c r="A2138" s="422"/>
      <c r="B2138" s="461"/>
    </row>
    <row r="2139" spans="1:2">
      <c r="A2139" s="422"/>
      <c r="B2139" s="461"/>
    </row>
    <row r="2140" spans="1:2">
      <c r="A2140" s="422"/>
      <c r="B2140" s="461"/>
    </row>
    <row r="2141" spans="1:2">
      <c r="A2141" s="422"/>
      <c r="B2141" s="461"/>
    </row>
    <row r="2142" spans="1:2">
      <c r="A2142" s="422"/>
      <c r="B2142" s="461"/>
    </row>
    <row r="2143" spans="1:2">
      <c r="A2143" s="422"/>
      <c r="B2143" s="461"/>
    </row>
    <row r="2144" spans="1:2">
      <c r="A2144" s="422"/>
      <c r="B2144" s="461"/>
    </row>
    <row r="2145" spans="1:2">
      <c r="A2145" s="422"/>
      <c r="B2145" s="461"/>
    </row>
    <row r="2146" spans="1:2">
      <c r="A2146" s="422"/>
      <c r="B2146" s="461"/>
    </row>
    <row r="2147" spans="1:2">
      <c r="A2147" s="422"/>
      <c r="B2147" s="461"/>
    </row>
    <row r="2148" spans="1:2">
      <c r="A2148" s="422"/>
      <c r="B2148" s="461"/>
    </row>
    <row r="2149" spans="1:2">
      <c r="A2149" s="422"/>
      <c r="B2149" s="461"/>
    </row>
    <row r="2150" spans="1:2">
      <c r="A2150" s="422"/>
      <c r="B2150" s="461"/>
    </row>
    <row r="2151" spans="1:2">
      <c r="A2151" s="422"/>
      <c r="B2151" s="461"/>
    </row>
    <row r="2152" spans="1:2">
      <c r="A2152" s="422"/>
      <c r="B2152" s="461"/>
    </row>
    <row r="2153" spans="1:2">
      <c r="A2153" s="422"/>
      <c r="B2153" s="461"/>
    </row>
    <row r="2154" spans="1:2">
      <c r="A2154" s="422"/>
      <c r="B2154" s="461"/>
    </row>
    <row r="2155" spans="1:2">
      <c r="A2155" s="422"/>
      <c r="B2155" s="461"/>
    </row>
    <row r="2156" spans="1:2">
      <c r="A2156" s="422"/>
      <c r="B2156" s="461"/>
    </row>
    <row r="2157" spans="1:2">
      <c r="A2157" s="422"/>
      <c r="B2157" s="461"/>
    </row>
    <row r="2158" spans="1:2">
      <c r="A2158" s="422"/>
      <c r="B2158" s="461"/>
    </row>
    <row r="2159" spans="1:2">
      <c r="A2159" s="422"/>
      <c r="B2159" s="461"/>
    </row>
    <row r="2160" spans="1:2">
      <c r="A2160" s="422"/>
      <c r="B2160" s="461"/>
    </row>
    <row r="2161" spans="1:2">
      <c r="A2161" s="422"/>
      <c r="B2161" s="461"/>
    </row>
    <row r="2162" spans="1:2">
      <c r="A2162" s="422"/>
      <c r="B2162" s="461"/>
    </row>
    <row r="2163" spans="1:2">
      <c r="A2163" s="422"/>
      <c r="B2163" s="461"/>
    </row>
    <row r="2164" spans="1:2">
      <c r="A2164" s="422"/>
      <c r="B2164" s="461"/>
    </row>
    <row r="2165" spans="1:2">
      <c r="A2165" s="422"/>
      <c r="B2165" s="461"/>
    </row>
    <row r="2166" spans="1:2">
      <c r="A2166" s="422"/>
      <c r="B2166" s="461"/>
    </row>
    <row r="2167" spans="1:2">
      <c r="A2167" s="422"/>
      <c r="B2167" s="461"/>
    </row>
    <row r="2168" spans="1:2">
      <c r="A2168" s="422"/>
      <c r="B2168" s="461"/>
    </row>
    <row r="2169" spans="1:2">
      <c r="A2169" s="422"/>
      <c r="B2169" s="461"/>
    </row>
    <row r="2170" spans="1:2">
      <c r="A2170" s="422"/>
      <c r="B2170" s="461"/>
    </row>
    <row r="2171" spans="1:2">
      <c r="A2171" s="422"/>
      <c r="B2171" s="461"/>
    </row>
    <row r="2172" spans="1:2">
      <c r="A2172" s="422"/>
      <c r="B2172" s="461"/>
    </row>
    <row r="2173" spans="1:2">
      <c r="A2173" s="422"/>
      <c r="B2173" s="461"/>
    </row>
    <row r="2174" spans="1:2">
      <c r="A2174" s="422"/>
      <c r="B2174" s="461"/>
    </row>
    <row r="2175" spans="1:2">
      <c r="A2175" s="422"/>
      <c r="B2175" s="461"/>
    </row>
    <row r="2176" spans="1:2">
      <c r="A2176" s="422"/>
      <c r="B2176" s="461"/>
    </row>
    <row r="2177" spans="1:2">
      <c r="A2177" s="422"/>
      <c r="B2177" s="461"/>
    </row>
    <row r="2178" spans="1:2">
      <c r="A2178" s="422"/>
      <c r="B2178" s="461"/>
    </row>
    <row r="2179" spans="1:2">
      <c r="A2179" s="422"/>
      <c r="B2179" s="461"/>
    </row>
    <row r="2180" spans="1:2">
      <c r="A2180" s="422"/>
      <c r="B2180" s="461"/>
    </row>
    <row r="2181" spans="1:2">
      <c r="A2181" s="422"/>
      <c r="B2181" s="461"/>
    </row>
    <row r="2182" spans="1:2">
      <c r="A2182" s="422"/>
      <c r="B2182" s="461"/>
    </row>
    <row r="2183" spans="1:2">
      <c r="A2183" s="422"/>
      <c r="B2183" s="461"/>
    </row>
    <row r="2184" spans="1:2">
      <c r="A2184" s="422"/>
      <c r="B2184" s="461"/>
    </row>
    <row r="2185" spans="1:2">
      <c r="A2185" s="422"/>
      <c r="B2185" s="461"/>
    </row>
    <row r="2186" spans="1:2">
      <c r="A2186" s="422"/>
      <c r="B2186" s="461"/>
    </row>
    <row r="2187" spans="1:2">
      <c r="A2187" s="422"/>
      <c r="B2187" s="461"/>
    </row>
    <row r="2188" spans="1:2">
      <c r="A2188" s="422"/>
      <c r="B2188" s="461"/>
    </row>
    <row r="2189" spans="1:2">
      <c r="A2189" s="422"/>
      <c r="B2189" s="461"/>
    </row>
    <row r="2190" spans="1:2">
      <c r="A2190" s="422"/>
      <c r="B2190" s="461"/>
    </row>
    <row r="2191" spans="1:2">
      <c r="A2191" s="422"/>
      <c r="B2191" s="461"/>
    </row>
    <row r="2192" spans="1:2">
      <c r="A2192" s="422"/>
      <c r="B2192" s="461"/>
    </row>
    <row r="2193" spans="1:2">
      <c r="A2193" s="422"/>
      <c r="B2193" s="461"/>
    </row>
    <row r="2194" spans="1:2">
      <c r="A2194" s="422"/>
      <c r="B2194" s="461"/>
    </row>
    <row r="2195" spans="1:2">
      <c r="A2195" s="422"/>
      <c r="B2195" s="461"/>
    </row>
    <row r="2196" spans="1:2">
      <c r="A2196" s="422"/>
      <c r="B2196" s="461"/>
    </row>
    <row r="2197" spans="1:2">
      <c r="A2197" s="422"/>
      <c r="B2197" s="461"/>
    </row>
    <row r="2198" spans="1:2">
      <c r="A2198" s="422"/>
      <c r="B2198" s="461"/>
    </row>
    <row r="2199" spans="1:2">
      <c r="A2199" s="422"/>
      <c r="B2199" s="461"/>
    </row>
    <row r="2200" spans="1:2">
      <c r="A2200" s="422"/>
      <c r="B2200" s="461"/>
    </row>
    <row r="2201" spans="1:2">
      <c r="A2201" s="422"/>
      <c r="B2201" s="461"/>
    </row>
    <row r="2202" spans="1:2">
      <c r="A2202" s="422"/>
      <c r="B2202" s="461"/>
    </row>
    <row r="2203" spans="1:2">
      <c r="A2203" s="422"/>
      <c r="B2203" s="461"/>
    </row>
    <row r="2204" spans="1:2">
      <c r="A2204" s="422"/>
      <c r="B2204" s="461"/>
    </row>
    <row r="2205" spans="1:2">
      <c r="A2205" s="422"/>
      <c r="B2205" s="461"/>
    </row>
    <row r="2206" spans="1:2">
      <c r="A2206" s="422"/>
      <c r="B2206" s="461"/>
    </row>
    <row r="2207" spans="1:2">
      <c r="A2207" s="422"/>
      <c r="B2207" s="461"/>
    </row>
    <row r="2208" spans="1:2">
      <c r="A2208" s="422"/>
      <c r="B2208" s="461"/>
    </row>
    <row r="2209" spans="1:2">
      <c r="A2209" s="422"/>
      <c r="B2209" s="461"/>
    </row>
    <row r="2210" spans="1:2">
      <c r="A2210" s="422"/>
      <c r="B2210" s="461"/>
    </row>
    <row r="2211" spans="1:2">
      <c r="A2211" s="422"/>
      <c r="B2211" s="461"/>
    </row>
    <row r="2212" spans="1:2">
      <c r="A2212" s="422"/>
      <c r="B2212" s="461"/>
    </row>
    <row r="2213" spans="1:2">
      <c r="A2213" s="422"/>
      <c r="B2213" s="461"/>
    </row>
    <row r="2214" spans="1:2">
      <c r="A2214" s="422"/>
      <c r="B2214" s="461"/>
    </row>
    <row r="2215" spans="1:2">
      <c r="A2215" s="422"/>
      <c r="B2215" s="461"/>
    </row>
    <row r="2216" spans="1:2">
      <c r="A2216" s="422"/>
      <c r="B2216" s="461"/>
    </row>
    <row r="2217" spans="1:2">
      <c r="A2217" s="422"/>
      <c r="B2217" s="461"/>
    </row>
    <row r="2218" spans="1:2">
      <c r="A2218" s="422"/>
      <c r="B2218" s="461"/>
    </row>
    <row r="2219" spans="1:2">
      <c r="A2219" s="422"/>
      <c r="B2219" s="461"/>
    </row>
    <row r="2220" spans="1:2">
      <c r="A2220" s="422"/>
      <c r="B2220" s="461"/>
    </row>
    <row r="2221" spans="1:2">
      <c r="A2221" s="422"/>
      <c r="B2221" s="461"/>
    </row>
    <row r="2222" spans="1:2">
      <c r="A2222" s="422"/>
      <c r="B2222" s="461"/>
    </row>
    <row r="2223" spans="1:2">
      <c r="A2223" s="422"/>
      <c r="B2223" s="461"/>
    </row>
    <row r="2224" spans="1:2">
      <c r="A2224" s="422"/>
      <c r="B2224" s="461"/>
    </row>
    <row r="2225" spans="1:2">
      <c r="A2225" s="422"/>
      <c r="B2225" s="461"/>
    </row>
    <row r="2226" spans="1:2">
      <c r="A2226" s="422"/>
      <c r="B2226" s="461"/>
    </row>
    <row r="2227" spans="1:2">
      <c r="A2227" s="422"/>
      <c r="B2227" s="461"/>
    </row>
    <row r="2228" spans="1:2">
      <c r="A2228" s="422"/>
      <c r="B2228" s="461"/>
    </row>
    <row r="2229" spans="1:2">
      <c r="A2229" s="422"/>
      <c r="B2229" s="461"/>
    </row>
    <row r="2230" spans="1:2">
      <c r="A2230" s="422"/>
      <c r="B2230" s="461"/>
    </row>
    <row r="2231" spans="1:2">
      <c r="A2231" s="422"/>
      <c r="B2231" s="461"/>
    </row>
    <row r="2232" spans="1:2">
      <c r="A2232" s="422"/>
      <c r="B2232" s="461"/>
    </row>
    <row r="2233" spans="1:2">
      <c r="A2233" s="422"/>
      <c r="B2233" s="461"/>
    </row>
    <row r="2234" spans="1:2">
      <c r="A2234" s="422"/>
      <c r="B2234" s="461"/>
    </row>
    <row r="2235" spans="1:2">
      <c r="A2235" s="422"/>
      <c r="B2235" s="461"/>
    </row>
    <row r="2236" spans="1:2">
      <c r="A2236" s="422"/>
      <c r="B2236" s="461"/>
    </row>
    <row r="2237" spans="1:2">
      <c r="A2237" s="422"/>
      <c r="B2237" s="461"/>
    </row>
    <row r="2238" spans="1:2">
      <c r="A2238" s="422"/>
      <c r="B2238" s="461"/>
    </row>
    <row r="2239" spans="1:2">
      <c r="A2239" s="422"/>
      <c r="B2239" s="461"/>
    </row>
    <row r="2240" spans="1:2">
      <c r="A2240" s="422"/>
      <c r="B2240" s="461"/>
    </row>
    <row r="2241" spans="1:2">
      <c r="A2241" s="422"/>
      <c r="B2241" s="461"/>
    </row>
    <row r="2242" spans="1:2">
      <c r="A2242" s="422"/>
      <c r="B2242" s="461"/>
    </row>
    <row r="2243" spans="1:2">
      <c r="A2243" s="422"/>
      <c r="B2243" s="461"/>
    </row>
    <row r="2244" spans="1:2">
      <c r="A2244" s="422"/>
      <c r="B2244" s="461"/>
    </row>
    <row r="2245" spans="1:2">
      <c r="A2245" s="422"/>
      <c r="B2245" s="461"/>
    </row>
    <row r="2246" spans="1:2">
      <c r="A2246" s="422"/>
      <c r="B2246" s="461"/>
    </row>
    <row r="2247" spans="1:2">
      <c r="A2247" s="422"/>
      <c r="B2247" s="461"/>
    </row>
    <row r="2248" spans="1:2">
      <c r="A2248" s="422"/>
      <c r="B2248" s="461"/>
    </row>
    <row r="2249" spans="1:2">
      <c r="A2249" s="422"/>
      <c r="B2249" s="461"/>
    </row>
    <row r="2250" spans="1:2">
      <c r="A2250" s="422"/>
      <c r="B2250" s="461"/>
    </row>
    <row r="2251" spans="1:2">
      <c r="A2251" s="422"/>
      <c r="B2251" s="461"/>
    </row>
    <row r="2252" spans="1:2">
      <c r="A2252" s="422"/>
      <c r="B2252" s="461"/>
    </row>
    <row r="2253" spans="1:2">
      <c r="A2253" s="422"/>
      <c r="B2253" s="461"/>
    </row>
    <row r="2254" spans="1:2">
      <c r="A2254" s="422"/>
      <c r="B2254" s="461"/>
    </row>
    <row r="2255" spans="1:2">
      <c r="A2255" s="422"/>
      <c r="B2255" s="461"/>
    </row>
    <row r="2256" spans="1:2">
      <c r="A2256" s="422"/>
      <c r="B2256" s="461"/>
    </row>
    <row r="2257" spans="1:2">
      <c r="A2257" s="422"/>
      <c r="B2257" s="461"/>
    </row>
    <row r="2258" spans="1:2">
      <c r="A2258" s="422"/>
      <c r="B2258" s="461"/>
    </row>
    <row r="2259" spans="1:2">
      <c r="A2259" s="422"/>
      <c r="B2259" s="461"/>
    </row>
    <row r="2260" spans="1:2">
      <c r="A2260" s="422"/>
      <c r="B2260" s="461"/>
    </row>
    <row r="2261" spans="1:2">
      <c r="A2261" s="422"/>
      <c r="B2261" s="461"/>
    </row>
    <row r="2262" spans="1:2">
      <c r="A2262" s="422"/>
      <c r="B2262" s="461"/>
    </row>
    <row r="2263" spans="1:2">
      <c r="A2263" s="422"/>
      <c r="B2263" s="461"/>
    </row>
    <row r="2264" spans="1:2">
      <c r="A2264" s="422"/>
      <c r="B2264" s="461"/>
    </row>
    <row r="2265" spans="1:2">
      <c r="A2265" s="422"/>
      <c r="B2265" s="461"/>
    </row>
    <row r="2266" spans="1:2">
      <c r="A2266" s="422"/>
      <c r="B2266" s="461"/>
    </row>
    <row r="2267" spans="1:2">
      <c r="A2267" s="422"/>
      <c r="B2267" s="461"/>
    </row>
    <row r="2268" spans="1:2">
      <c r="A2268" s="422"/>
      <c r="B2268" s="461"/>
    </row>
    <row r="2269" spans="1:2">
      <c r="A2269" s="422"/>
      <c r="B2269" s="461"/>
    </row>
    <row r="2270" spans="1:2">
      <c r="A2270" s="422"/>
      <c r="B2270" s="461"/>
    </row>
    <row r="2271" spans="1:2">
      <c r="A2271" s="422"/>
      <c r="B2271" s="461"/>
    </row>
    <row r="2272" spans="1:2">
      <c r="A2272" s="422"/>
      <c r="B2272" s="461"/>
    </row>
    <row r="2273" spans="1:2">
      <c r="A2273" s="422"/>
      <c r="B2273" s="461"/>
    </row>
    <row r="2274" spans="1:2">
      <c r="A2274" s="422"/>
      <c r="B2274" s="461"/>
    </row>
    <row r="2275" spans="1:2">
      <c r="A2275" s="422"/>
      <c r="B2275" s="461"/>
    </row>
    <row r="2276" spans="1:2">
      <c r="A2276" s="422"/>
      <c r="B2276" s="461"/>
    </row>
    <row r="2277" spans="1:2">
      <c r="A2277" s="422"/>
      <c r="B2277" s="461"/>
    </row>
    <row r="2278" spans="1:2">
      <c r="A2278" s="422"/>
      <c r="B2278" s="461"/>
    </row>
    <row r="2279" spans="1:2">
      <c r="A2279" s="422"/>
      <c r="B2279" s="461"/>
    </row>
    <row r="2280" spans="1:2">
      <c r="A2280" s="422"/>
      <c r="B2280" s="461"/>
    </row>
    <row r="2281" spans="1:2">
      <c r="A2281" s="422"/>
      <c r="B2281" s="461"/>
    </row>
    <row r="2282" spans="1:2">
      <c r="A2282" s="422"/>
      <c r="B2282" s="461"/>
    </row>
    <row r="2283" spans="1:2">
      <c r="A2283" s="422"/>
      <c r="B2283" s="461"/>
    </row>
    <row r="2284" spans="1:2">
      <c r="A2284" s="422"/>
      <c r="B2284" s="461"/>
    </row>
    <row r="2285" spans="1:2">
      <c r="A2285" s="422"/>
      <c r="B2285" s="461"/>
    </row>
    <row r="2286" spans="1:2">
      <c r="A2286" s="422"/>
      <c r="B2286" s="461"/>
    </row>
    <row r="2287" spans="1:2">
      <c r="A2287" s="422"/>
      <c r="B2287" s="461"/>
    </row>
    <row r="2288" spans="1:2">
      <c r="A2288" s="422"/>
      <c r="B2288" s="461"/>
    </row>
    <row r="2289" spans="1:2">
      <c r="A2289" s="422"/>
      <c r="B2289" s="461"/>
    </row>
    <row r="2290" spans="1:2">
      <c r="A2290" s="422"/>
      <c r="B2290" s="461"/>
    </row>
    <row r="2291" spans="1:2">
      <c r="A2291" s="422"/>
      <c r="B2291" s="461"/>
    </row>
    <row r="2292" spans="1:2">
      <c r="A2292" s="422"/>
      <c r="B2292" s="461"/>
    </row>
    <row r="2293" spans="1:2">
      <c r="A2293" s="422"/>
      <c r="B2293" s="461"/>
    </row>
    <row r="2294" spans="1:2">
      <c r="A2294" s="422"/>
      <c r="B2294" s="461"/>
    </row>
    <row r="2295" spans="1:2">
      <c r="A2295" s="422"/>
      <c r="B2295" s="461"/>
    </row>
    <row r="2296" spans="1:2">
      <c r="A2296" s="422"/>
      <c r="B2296" s="461"/>
    </row>
    <row r="2297" spans="1:2">
      <c r="A2297" s="422"/>
      <c r="B2297" s="461"/>
    </row>
    <row r="2298" spans="1:2">
      <c r="A2298" s="422"/>
      <c r="B2298" s="461"/>
    </row>
    <row r="2299" spans="1:2">
      <c r="A2299" s="422"/>
      <c r="B2299" s="461"/>
    </row>
    <row r="2300" spans="1:2">
      <c r="A2300" s="422"/>
      <c r="B2300" s="461"/>
    </row>
    <row r="2301" spans="1:2">
      <c r="A2301" s="422"/>
      <c r="B2301" s="461"/>
    </row>
    <row r="2302" spans="1:2">
      <c r="A2302" s="422"/>
      <c r="B2302" s="461"/>
    </row>
    <row r="2303" spans="1:2">
      <c r="A2303" s="422"/>
      <c r="B2303" s="461"/>
    </row>
    <row r="2304" spans="1:2">
      <c r="A2304" s="422"/>
      <c r="B2304" s="461"/>
    </row>
    <row r="2305" spans="1:2">
      <c r="A2305" s="422"/>
      <c r="B2305" s="461"/>
    </row>
    <row r="2306" spans="1:2">
      <c r="A2306" s="422"/>
      <c r="B2306" s="461"/>
    </row>
    <row r="2307" spans="1:2">
      <c r="A2307" s="422"/>
      <c r="B2307" s="461"/>
    </row>
    <row r="2308" spans="1:2">
      <c r="A2308" s="422"/>
      <c r="B2308" s="461"/>
    </row>
    <row r="2309" spans="1:2">
      <c r="A2309" s="422"/>
      <c r="B2309" s="461"/>
    </row>
    <row r="2310" spans="1:2">
      <c r="A2310" s="422"/>
      <c r="B2310" s="461"/>
    </row>
    <row r="2311" spans="1:2">
      <c r="A2311" s="422"/>
      <c r="B2311" s="461"/>
    </row>
    <row r="2312" spans="1:2">
      <c r="A2312" s="422"/>
      <c r="B2312" s="461"/>
    </row>
    <row r="2313" spans="1:2">
      <c r="A2313" s="422"/>
      <c r="B2313" s="461"/>
    </row>
    <row r="2314" spans="1:2">
      <c r="A2314" s="422"/>
      <c r="B2314" s="461"/>
    </row>
    <row r="2315" spans="1:2">
      <c r="A2315" s="422"/>
      <c r="B2315" s="461"/>
    </row>
    <row r="2316" spans="1:2">
      <c r="A2316" s="422"/>
      <c r="B2316" s="461"/>
    </row>
    <row r="2317" spans="1:2">
      <c r="A2317" s="422"/>
      <c r="B2317" s="461"/>
    </row>
    <row r="2318" spans="1:2">
      <c r="A2318" s="422"/>
      <c r="B2318" s="461"/>
    </row>
    <row r="2319" spans="1:2">
      <c r="A2319" s="422"/>
      <c r="B2319" s="461"/>
    </row>
    <row r="2320" spans="1:2">
      <c r="A2320" s="422"/>
      <c r="B2320" s="461"/>
    </row>
    <row r="2321" spans="1:2">
      <c r="A2321" s="422"/>
      <c r="B2321" s="461"/>
    </row>
    <row r="2322" spans="1:2">
      <c r="A2322" s="422"/>
      <c r="B2322" s="461"/>
    </row>
    <row r="2323" spans="1:2">
      <c r="A2323" s="422"/>
      <c r="B2323" s="461"/>
    </row>
    <row r="2324" spans="1:2">
      <c r="A2324" s="422"/>
      <c r="B2324" s="461"/>
    </row>
    <row r="2325" spans="1:2">
      <c r="A2325" s="422"/>
      <c r="B2325" s="461"/>
    </row>
    <row r="2326" spans="1:2">
      <c r="A2326" s="422"/>
      <c r="B2326" s="461"/>
    </row>
    <row r="2327" spans="1:2">
      <c r="A2327" s="422"/>
      <c r="B2327" s="461"/>
    </row>
    <row r="2328" spans="1:2">
      <c r="A2328" s="422"/>
      <c r="B2328" s="461"/>
    </row>
    <row r="2329" spans="1:2">
      <c r="A2329" s="422"/>
      <c r="B2329" s="461"/>
    </row>
    <row r="2330" spans="1:2">
      <c r="A2330" s="422"/>
      <c r="B2330" s="461"/>
    </row>
    <row r="2331" spans="1:2">
      <c r="A2331" s="422"/>
      <c r="B2331" s="461"/>
    </row>
    <row r="2332" spans="1:2">
      <c r="A2332" s="422"/>
      <c r="B2332" s="461"/>
    </row>
    <row r="2333" spans="1:2">
      <c r="A2333" s="422"/>
      <c r="B2333" s="461"/>
    </row>
    <row r="2334" spans="1:2">
      <c r="A2334" s="422"/>
      <c r="B2334" s="461"/>
    </row>
    <row r="2335" spans="1:2">
      <c r="A2335" s="422"/>
      <c r="B2335" s="461"/>
    </row>
    <row r="2336" spans="1:2">
      <c r="A2336" s="422"/>
      <c r="B2336" s="461"/>
    </row>
    <row r="2337" spans="1:2">
      <c r="A2337" s="422"/>
      <c r="B2337" s="461"/>
    </row>
    <row r="2338" spans="1:2">
      <c r="A2338" s="422"/>
      <c r="B2338" s="461"/>
    </row>
    <row r="2339" spans="1:2">
      <c r="A2339" s="422"/>
      <c r="B2339" s="461"/>
    </row>
    <row r="2340" spans="1:2">
      <c r="A2340" s="422"/>
      <c r="B2340" s="461"/>
    </row>
    <row r="2341" spans="1:2">
      <c r="A2341" s="422"/>
      <c r="B2341" s="461"/>
    </row>
    <row r="2342" spans="1:2">
      <c r="A2342" s="422"/>
      <c r="B2342" s="461"/>
    </row>
    <row r="2343" spans="1:2">
      <c r="A2343" s="422"/>
      <c r="B2343" s="461"/>
    </row>
    <row r="2344" spans="1:2">
      <c r="A2344" s="422"/>
      <c r="B2344" s="461"/>
    </row>
    <row r="2345" spans="1:2">
      <c r="A2345" s="422"/>
      <c r="B2345" s="461"/>
    </row>
    <row r="2346" spans="1:2">
      <c r="A2346" s="422"/>
      <c r="B2346" s="461"/>
    </row>
    <row r="2347" spans="1:2">
      <c r="A2347" s="422"/>
      <c r="B2347" s="461"/>
    </row>
    <row r="2348" spans="1:2">
      <c r="A2348" s="422"/>
      <c r="B2348" s="461"/>
    </row>
    <row r="2349" spans="1:2">
      <c r="A2349" s="422"/>
      <c r="B2349" s="461"/>
    </row>
    <row r="2350" spans="1:2">
      <c r="A2350" s="422"/>
      <c r="B2350" s="461"/>
    </row>
    <row r="2351" spans="1:2">
      <c r="A2351" s="422"/>
      <c r="B2351" s="461"/>
    </row>
    <row r="2352" spans="1:2">
      <c r="A2352" s="422"/>
      <c r="B2352" s="461"/>
    </row>
    <row r="2353" spans="1:2">
      <c r="A2353" s="422"/>
      <c r="B2353" s="461"/>
    </row>
    <row r="2354" spans="1:2">
      <c r="A2354" s="422"/>
      <c r="B2354" s="461"/>
    </row>
    <row r="2355" spans="1:2">
      <c r="A2355" s="422"/>
      <c r="B2355" s="461"/>
    </row>
    <row r="2356" spans="1:2">
      <c r="A2356" s="422"/>
      <c r="B2356" s="461"/>
    </row>
    <row r="2357" spans="1:2">
      <c r="A2357" s="422"/>
      <c r="B2357" s="461"/>
    </row>
    <row r="2358" spans="1:2">
      <c r="A2358" s="422"/>
      <c r="B2358" s="461"/>
    </row>
    <row r="2359" spans="1:2">
      <c r="A2359" s="422"/>
      <c r="B2359" s="461"/>
    </row>
    <row r="2360" spans="1:2">
      <c r="A2360" s="422"/>
      <c r="B2360" s="461"/>
    </row>
    <row r="2361" spans="1:2">
      <c r="A2361" s="422"/>
      <c r="B2361" s="461"/>
    </row>
    <row r="2362" spans="1:2">
      <c r="A2362" s="422"/>
      <c r="B2362" s="461"/>
    </row>
    <row r="2363" spans="1:2">
      <c r="A2363" s="422"/>
      <c r="B2363" s="461"/>
    </row>
    <row r="2364" spans="1:2">
      <c r="A2364" s="422"/>
      <c r="B2364" s="461"/>
    </row>
    <row r="2365" spans="1:2">
      <c r="A2365" s="422"/>
      <c r="B2365" s="461"/>
    </row>
    <row r="2366" spans="1:2">
      <c r="A2366" s="422"/>
      <c r="B2366" s="461"/>
    </row>
    <row r="2367" spans="1:2">
      <c r="A2367" s="422"/>
      <c r="B2367" s="461"/>
    </row>
    <row r="2368" spans="1:2">
      <c r="A2368" s="422"/>
      <c r="B2368" s="461"/>
    </row>
    <row r="2369" spans="1:2">
      <c r="A2369" s="422"/>
      <c r="B2369" s="461"/>
    </row>
    <row r="2370" spans="1:2">
      <c r="A2370" s="422"/>
      <c r="B2370" s="461"/>
    </row>
    <row r="2371" spans="1:2">
      <c r="A2371" s="422"/>
      <c r="B2371" s="461"/>
    </row>
    <row r="2372" spans="1:2">
      <c r="A2372" s="422"/>
      <c r="B2372" s="461"/>
    </row>
    <row r="2373" spans="1:2">
      <c r="A2373" s="422"/>
      <c r="B2373" s="461"/>
    </row>
    <row r="2374" spans="1:2">
      <c r="A2374" s="422"/>
      <c r="B2374" s="461"/>
    </row>
    <row r="2375" spans="1:2">
      <c r="A2375" s="422"/>
      <c r="B2375" s="461"/>
    </row>
    <row r="2376" spans="1:2">
      <c r="A2376" s="422"/>
      <c r="B2376" s="461"/>
    </row>
    <row r="2377" spans="1:2">
      <c r="A2377" s="422"/>
      <c r="B2377" s="461"/>
    </row>
    <row r="2378" spans="1:2">
      <c r="A2378" s="422"/>
      <c r="B2378" s="461"/>
    </row>
    <row r="2379" spans="1:2">
      <c r="A2379" s="422"/>
      <c r="B2379" s="461"/>
    </row>
    <row r="2380" spans="1:2">
      <c r="A2380" s="422"/>
      <c r="B2380" s="461"/>
    </row>
    <row r="2381" spans="1:2">
      <c r="A2381" s="422"/>
      <c r="B2381" s="461"/>
    </row>
    <row r="2382" spans="1:2">
      <c r="A2382" s="422"/>
      <c r="B2382" s="461"/>
    </row>
    <row r="2383" spans="1:2">
      <c r="A2383" s="422"/>
      <c r="B2383" s="461"/>
    </row>
    <row r="2384" spans="1:2">
      <c r="A2384" s="422"/>
      <c r="B2384" s="461"/>
    </row>
    <row r="2385" spans="1:2">
      <c r="A2385" s="422"/>
      <c r="B2385" s="461"/>
    </row>
    <row r="2386" spans="1:2">
      <c r="A2386" s="422"/>
      <c r="B2386" s="461"/>
    </row>
    <row r="2387" spans="1:2">
      <c r="A2387" s="422"/>
      <c r="B2387" s="461"/>
    </row>
    <row r="2388" spans="1:2">
      <c r="A2388" s="422"/>
      <c r="B2388" s="461"/>
    </row>
    <row r="2389" spans="1:2">
      <c r="A2389" s="422"/>
      <c r="B2389" s="461"/>
    </row>
    <row r="2390" spans="1:2">
      <c r="A2390" s="422"/>
      <c r="B2390" s="461"/>
    </row>
    <row r="2391" spans="1:2">
      <c r="A2391" s="422"/>
      <c r="B2391" s="461"/>
    </row>
    <row r="2392" spans="1:2">
      <c r="A2392" s="422"/>
      <c r="B2392" s="461"/>
    </row>
    <row r="2393" spans="1:2">
      <c r="A2393" s="422"/>
      <c r="B2393" s="461"/>
    </row>
    <row r="2394" spans="1:2">
      <c r="A2394" s="422"/>
      <c r="B2394" s="461"/>
    </row>
    <row r="2395" spans="1:2">
      <c r="A2395" s="422"/>
      <c r="B2395" s="461"/>
    </row>
    <row r="2396" spans="1:2">
      <c r="A2396" s="422"/>
      <c r="B2396" s="461"/>
    </row>
    <row r="2397" spans="1:2">
      <c r="A2397" s="422"/>
      <c r="B2397" s="461"/>
    </row>
    <row r="2398" spans="1:2">
      <c r="A2398" s="422"/>
      <c r="B2398" s="461"/>
    </row>
    <row r="2399" spans="1:2">
      <c r="A2399" s="422"/>
      <c r="B2399" s="461"/>
    </row>
    <row r="2400" spans="1:2">
      <c r="A2400" s="422"/>
      <c r="B2400" s="461"/>
    </row>
    <row r="2401" spans="1:2">
      <c r="A2401" s="422"/>
      <c r="B2401" s="461"/>
    </row>
    <row r="2402" spans="1:2">
      <c r="A2402" s="422"/>
      <c r="B2402" s="461"/>
    </row>
    <row r="2403" spans="1:2">
      <c r="A2403" s="422"/>
      <c r="B2403" s="461"/>
    </row>
    <row r="2404" spans="1:2">
      <c r="A2404" s="422"/>
      <c r="B2404" s="461"/>
    </row>
    <row r="2405" spans="1:2">
      <c r="A2405" s="422"/>
      <c r="B2405" s="461"/>
    </row>
    <row r="2406" spans="1:2">
      <c r="A2406" s="422"/>
      <c r="B2406" s="461"/>
    </row>
    <row r="2407" spans="1:2">
      <c r="A2407" s="422"/>
      <c r="B2407" s="461"/>
    </row>
    <row r="2408" spans="1:2">
      <c r="A2408" s="422"/>
      <c r="B2408" s="461"/>
    </row>
    <row r="2409" spans="1:2">
      <c r="A2409" s="422"/>
      <c r="B2409" s="461"/>
    </row>
    <row r="2410" spans="1:2">
      <c r="A2410" s="422"/>
      <c r="B2410" s="461"/>
    </row>
    <row r="2411" spans="1:2">
      <c r="A2411" s="422"/>
      <c r="B2411" s="461"/>
    </row>
    <row r="2412" spans="1:2">
      <c r="A2412" s="422"/>
      <c r="B2412" s="461"/>
    </row>
    <row r="2413" spans="1:2">
      <c r="A2413" s="422"/>
      <c r="B2413" s="461"/>
    </row>
    <row r="2414" spans="1:2">
      <c r="A2414" s="422"/>
      <c r="B2414" s="461"/>
    </row>
    <row r="2415" spans="1:2">
      <c r="A2415" s="422"/>
      <c r="B2415" s="461"/>
    </row>
    <row r="2416" spans="1:2">
      <c r="A2416" s="422"/>
      <c r="B2416" s="461"/>
    </row>
    <row r="2417" spans="1:2">
      <c r="A2417" s="422"/>
      <c r="B2417" s="461"/>
    </row>
    <row r="2418" spans="1:2">
      <c r="A2418" s="422"/>
      <c r="B2418" s="461"/>
    </row>
    <row r="2419" spans="1:2">
      <c r="A2419" s="422"/>
      <c r="B2419" s="461"/>
    </row>
    <row r="2420" spans="1:2">
      <c r="A2420" s="422"/>
      <c r="B2420" s="461"/>
    </row>
    <row r="2421" spans="1:2">
      <c r="A2421" s="422"/>
      <c r="B2421" s="461"/>
    </row>
    <row r="2422" spans="1:2">
      <c r="A2422" s="422"/>
      <c r="B2422" s="461"/>
    </row>
    <row r="2423" spans="1:2">
      <c r="A2423" s="422"/>
      <c r="B2423" s="461"/>
    </row>
    <row r="2424" spans="1:2">
      <c r="A2424" s="422"/>
      <c r="B2424" s="461"/>
    </row>
    <row r="2425" spans="1:2">
      <c r="A2425" s="422"/>
      <c r="B2425" s="461"/>
    </row>
    <row r="2426" spans="1:2">
      <c r="A2426" s="422"/>
      <c r="B2426" s="461"/>
    </row>
    <row r="2427" spans="1:2">
      <c r="A2427" s="422"/>
      <c r="B2427" s="461"/>
    </row>
    <row r="2428" spans="1:2">
      <c r="A2428" s="422"/>
      <c r="B2428" s="461"/>
    </row>
    <row r="2429" spans="1:2">
      <c r="A2429" s="422"/>
      <c r="B2429" s="461"/>
    </row>
    <row r="2430" spans="1:2">
      <c r="A2430" s="422"/>
      <c r="B2430" s="461"/>
    </row>
    <row r="2431" spans="1:2">
      <c r="A2431" s="422"/>
      <c r="B2431" s="461"/>
    </row>
    <row r="2432" spans="1:2">
      <c r="A2432" s="422"/>
      <c r="B2432" s="461"/>
    </row>
    <row r="2433" spans="1:2">
      <c r="A2433" s="422"/>
      <c r="B2433" s="461"/>
    </row>
    <row r="2434" spans="1:2">
      <c r="A2434" s="422"/>
      <c r="B2434" s="461"/>
    </row>
    <row r="2435" spans="1:2">
      <c r="A2435" s="422"/>
      <c r="B2435" s="461"/>
    </row>
    <row r="2436" spans="1:2">
      <c r="A2436" s="422"/>
      <c r="B2436" s="461"/>
    </row>
    <row r="2437" spans="1:2">
      <c r="A2437" s="422"/>
      <c r="B2437" s="461"/>
    </row>
    <row r="2438" spans="1:2">
      <c r="A2438" s="422"/>
      <c r="B2438" s="461"/>
    </row>
    <row r="2439" spans="1:2">
      <c r="A2439" s="422"/>
      <c r="B2439" s="461"/>
    </row>
    <row r="2440" spans="1:2">
      <c r="A2440" s="422"/>
      <c r="B2440" s="461"/>
    </row>
    <row r="2441" spans="1:2">
      <c r="A2441" s="422"/>
      <c r="B2441" s="461"/>
    </row>
    <row r="2442" spans="1:2">
      <c r="A2442" s="422"/>
      <c r="B2442" s="461"/>
    </row>
    <row r="2443" spans="1:2">
      <c r="A2443" s="422"/>
      <c r="B2443" s="461"/>
    </row>
    <row r="2444" spans="1:2">
      <c r="A2444" s="422"/>
      <c r="B2444" s="461"/>
    </row>
    <row r="2445" spans="1:2">
      <c r="A2445" s="422"/>
      <c r="B2445" s="461"/>
    </row>
    <row r="2446" spans="1:2">
      <c r="A2446" s="422"/>
      <c r="B2446" s="461"/>
    </row>
    <row r="2447" spans="1:2">
      <c r="A2447" s="422"/>
      <c r="B2447" s="461"/>
    </row>
    <row r="2448" spans="1:2">
      <c r="A2448" s="422"/>
      <c r="B2448" s="461"/>
    </row>
    <row r="2449" spans="1:2">
      <c r="A2449" s="422"/>
      <c r="B2449" s="461"/>
    </row>
    <row r="2450" spans="1:2">
      <c r="A2450" s="422"/>
      <c r="B2450" s="461"/>
    </row>
    <row r="2451" spans="1:2">
      <c r="A2451" s="422"/>
      <c r="B2451" s="461"/>
    </row>
    <row r="2452" spans="1:2">
      <c r="A2452" s="422"/>
      <c r="B2452" s="461"/>
    </row>
    <row r="2453" spans="1:2">
      <c r="A2453" s="422"/>
      <c r="B2453" s="461"/>
    </row>
    <row r="2454" spans="1:2">
      <c r="A2454" s="422"/>
      <c r="B2454" s="461"/>
    </row>
    <row r="2455" spans="1:2">
      <c r="A2455" s="422"/>
      <c r="B2455" s="461"/>
    </row>
    <row r="2456" spans="1:2">
      <c r="A2456" s="422"/>
      <c r="B2456" s="461"/>
    </row>
    <row r="2457" spans="1:2">
      <c r="A2457" s="422"/>
      <c r="B2457" s="461"/>
    </row>
    <row r="2458" spans="1:2">
      <c r="A2458" s="422"/>
      <c r="B2458" s="461"/>
    </row>
    <row r="2459" spans="1:2">
      <c r="A2459" s="422"/>
      <c r="B2459" s="461"/>
    </row>
    <row r="2460" spans="1:2">
      <c r="A2460" s="422"/>
      <c r="B2460" s="461"/>
    </row>
    <row r="2461" spans="1:2">
      <c r="A2461" s="422"/>
      <c r="B2461" s="461"/>
    </row>
    <row r="2462" spans="1:2">
      <c r="A2462" s="422"/>
      <c r="B2462" s="461"/>
    </row>
    <row r="2463" spans="1:2">
      <c r="A2463" s="422"/>
      <c r="B2463" s="461"/>
    </row>
    <row r="2464" spans="1:2">
      <c r="A2464" s="422"/>
      <c r="B2464" s="461"/>
    </row>
    <row r="2465" spans="1:2">
      <c r="A2465" s="422"/>
      <c r="B2465" s="461"/>
    </row>
    <row r="2466" spans="1:2">
      <c r="A2466" s="422"/>
      <c r="B2466" s="461"/>
    </row>
    <row r="2467" spans="1:2">
      <c r="A2467" s="422"/>
      <c r="B2467" s="461"/>
    </row>
    <row r="2468" spans="1:2">
      <c r="A2468" s="422"/>
      <c r="B2468" s="461"/>
    </row>
    <row r="2469" spans="1:2">
      <c r="A2469" s="422"/>
      <c r="B2469" s="461"/>
    </row>
    <row r="2470" spans="1:2">
      <c r="A2470" s="422"/>
      <c r="B2470" s="461"/>
    </row>
    <row r="2471" spans="1:2">
      <c r="A2471" s="422"/>
      <c r="B2471" s="461"/>
    </row>
    <row r="2472" spans="1:2">
      <c r="A2472" s="422"/>
      <c r="B2472" s="461"/>
    </row>
    <row r="2473" spans="1:2">
      <c r="A2473" s="422"/>
      <c r="B2473" s="461"/>
    </row>
    <row r="2474" spans="1:2">
      <c r="A2474" s="422"/>
      <c r="B2474" s="461"/>
    </row>
    <row r="2475" spans="1:2">
      <c r="A2475" s="422"/>
      <c r="B2475" s="461"/>
    </row>
    <row r="2476" spans="1:2">
      <c r="A2476" s="422"/>
      <c r="B2476" s="461"/>
    </row>
    <row r="2477" spans="1:2">
      <c r="A2477" s="422"/>
      <c r="B2477" s="461"/>
    </row>
    <row r="2478" spans="1:2">
      <c r="A2478" s="422"/>
      <c r="B2478" s="461"/>
    </row>
    <row r="2479" spans="1:2">
      <c r="A2479" s="422"/>
      <c r="B2479" s="461"/>
    </row>
    <row r="2480" spans="1:2">
      <c r="A2480" s="422"/>
      <c r="B2480" s="461"/>
    </row>
    <row r="2481" spans="1:2">
      <c r="A2481" s="422"/>
      <c r="B2481" s="461"/>
    </row>
    <row r="2482" spans="1:2">
      <c r="A2482" s="422"/>
      <c r="B2482" s="461"/>
    </row>
    <row r="2483" spans="1:2">
      <c r="A2483" s="422"/>
      <c r="B2483" s="461"/>
    </row>
    <row r="2484" spans="1:2">
      <c r="A2484" s="422"/>
      <c r="B2484" s="461"/>
    </row>
    <row r="2485" spans="1:2">
      <c r="A2485" s="422"/>
      <c r="B2485" s="461"/>
    </row>
    <row r="2486" spans="1:2">
      <c r="A2486" s="422"/>
      <c r="B2486" s="461"/>
    </row>
    <row r="2487" spans="1:2">
      <c r="A2487" s="422"/>
      <c r="B2487" s="461"/>
    </row>
    <row r="2488" spans="1:2">
      <c r="A2488" s="422"/>
      <c r="B2488" s="461"/>
    </row>
    <row r="2489" spans="1:2">
      <c r="A2489" s="422"/>
      <c r="B2489" s="461"/>
    </row>
    <row r="2490" spans="1:2">
      <c r="A2490" s="422"/>
      <c r="B2490" s="461"/>
    </row>
    <row r="2491" spans="1:2">
      <c r="A2491" s="422"/>
      <c r="B2491" s="461"/>
    </row>
    <row r="2492" spans="1:2">
      <c r="A2492" s="422"/>
      <c r="B2492" s="461"/>
    </row>
    <row r="2493" spans="1:2">
      <c r="A2493" s="422"/>
      <c r="B2493" s="461"/>
    </row>
    <row r="2494" spans="1:2">
      <c r="A2494" s="422"/>
      <c r="B2494" s="461"/>
    </row>
    <row r="2495" spans="1:2">
      <c r="A2495" s="422"/>
      <c r="B2495" s="461"/>
    </row>
    <row r="2496" spans="1:2">
      <c r="A2496" s="422"/>
      <c r="B2496" s="461"/>
    </row>
    <row r="2497" spans="1:2">
      <c r="A2497" s="422"/>
      <c r="B2497" s="461"/>
    </row>
    <row r="2498" spans="1:2">
      <c r="A2498" s="422"/>
      <c r="B2498" s="461"/>
    </row>
    <row r="2499" spans="1:2">
      <c r="A2499" s="422"/>
      <c r="B2499" s="461"/>
    </row>
    <row r="2500" spans="1:2">
      <c r="A2500" s="422"/>
      <c r="B2500" s="461"/>
    </row>
    <row r="2501" spans="1:2">
      <c r="A2501" s="422"/>
      <c r="B2501" s="461"/>
    </row>
    <row r="2502" spans="1:2">
      <c r="A2502" s="422"/>
      <c r="B2502" s="461"/>
    </row>
    <row r="2503" spans="1:2">
      <c r="A2503" s="422"/>
      <c r="B2503" s="461"/>
    </row>
    <row r="2504" spans="1:2">
      <c r="A2504" s="422"/>
      <c r="B2504" s="461"/>
    </row>
    <row r="2505" spans="1:2">
      <c r="A2505" s="422"/>
      <c r="B2505" s="461"/>
    </row>
    <row r="2506" spans="1:2">
      <c r="A2506" s="422"/>
      <c r="B2506" s="461"/>
    </row>
    <row r="2507" spans="1:2">
      <c r="A2507" s="422"/>
      <c r="B2507" s="461"/>
    </row>
    <row r="2508" spans="1:2">
      <c r="A2508" s="422"/>
      <c r="B2508" s="461"/>
    </row>
    <row r="2509" spans="1:2">
      <c r="A2509" s="422"/>
      <c r="B2509" s="461"/>
    </row>
    <row r="2510" spans="1:2">
      <c r="A2510" s="422"/>
      <c r="B2510" s="461"/>
    </row>
    <row r="2511" spans="1:2">
      <c r="A2511" s="422"/>
      <c r="B2511" s="461"/>
    </row>
    <row r="2512" spans="1:2">
      <c r="A2512" s="422"/>
      <c r="B2512" s="461"/>
    </row>
    <row r="2513" spans="1:2">
      <c r="A2513" s="422"/>
      <c r="B2513" s="461"/>
    </row>
    <row r="2514" spans="1:2">
      <c r="A2514" s="422"/>
      <c r="B2514" s="461"/>
    </row>
    <row r="2515" spans="1:2">
      <c r="A2515" s="422"/>
      <c r="B2515" s="461"/>
    </row>
    <row r="2516" spans="1:2">
      <c r="A2516" s="422"/>
      <c r="B2516" s="461"/>
    </row>
    <row r="2517" spans="1:2">
      <c r="A2517" s="422"/>
      <c r="B2517" s="461"/>
    </row>
    <row r="2518" spans="1:2">
      <c r="A2518" s="422"/>
      <c r="B2518" s="461"/>
    </row>
    <row r="2519" spans="1:2">
      <c r="A2519" s="422"/>
      <c r="B2519" s="461"/>
    </row>
    <row r="2520" spans="1:2">
      <c r="A2520" s="422"/>
      <c r="B2520" s="461"/>
    </row>
    <row r="2521" spans="1:2">
      <c r="A2521" s="422"/>
      <c r="B2521" s="461"/>
    </row>
    <row r="2522" spans="1:2">
      <c r="A2522" s="422"/>
      <c r="B2522" s="461"/>
    </row>
    <row r="2523" spans="1:2">
      <c r="A2523" s="422"/>
      <c r="B2523" s="461"/>
    </row>
    <row r="2524" spans="1:2">
      <c r="A2524" s="422"/>
      <c r="B2524" s="461"/>
    </row>
    <row r="2525" spans="1:2">
      <c r="A2525" s="422"/>
      <c r="B2525" s="461"/>
    </row>
    <row r="2526" spans="1:2">
      <c r="A2526" s="422"/>
      <c r="B2526" s="461"/>
    </row>
    <row r="2527" spans="1:2">
      <c r="A2527" s="422"/>
      <c r="B2527" s="461"/>
    </row>
    <row r="2528" spans="1:2">
      <c r="A2528" s="422"/>
      <c r="B2528" s="461"/>
    </row>
    <row r="2529" spans="1:2">
      <c r="A2529" s="422"/>
      <c r="B2529" s="461"/>
    </row>
    <row r="2530" spans="1:2">
      <c r="A2530" s="422"/>
      <c r="B2530" s="461"/>
    </row>
    <row r="2531" spans="1:2">
      <c r="A2531" s="422"/>
      <c r="B2531" s="461"/>
    </row>
    <row r="2532" spans="1:2">
      <c r="A2532" s="422"/>
      <c r="B2532" s="461"/>
    </row>
    <row r="2533" spans="1:2">
      <c r="A2533" s="422"/>
      <c r="B2533" s="461"/>
    </row>
    <row r="2534" spans="1:2">
      <c r="A2534" s="422"/>
      <c r="B2534" s="461"/>
    </row>
    <row r="2535" spans="1:2">
      <c r="A2535" s="422"/>
      <c r="B2535" s="461"/>
    </row>
    <row r="2536" spans="1:2">
      <c r="A2536" s="422"/>
      <c r="B2536" s="461"/>
    </row>
    <row r="2537" spans="1:2">
      <c r="A2537" s="422"/>
      <c r="B2537" s="461"/>
    </row>
    <row r="2538" spans="1:2">
      <c r="A2538" s="422"/>
      <c r="B2538" s="461"/>
    </row>
    <row r="2539" spans="1:2">
      <c r="A2539" s="422"/>
      <c r="B2539" s="461"/>
    </row>
    <row r="2540" spans="1:2">
      <c r="A2540" s="422"/>
      <c r="B2540" s="461"/>
    </row>
    <row r="2541" spans="1:2">
      <c r="A2541" s="422"/>
      <c r="B2541" s="461"/>
    </row>
    <row r="2542" spans="1:2">
      <c r="A2542" s="422"/>
      <c r="B2542" s="461"/>
    </row>
    <row r="2543" spans="1:2">
      <c r="A2543" s="422"/>
      <c r="B2543" s="461"/>
    </row>
    <row r="2544" spans="1:2">
      <c r="A2544" s="422"/>
      <c r="B2544" s="461"/>
    </row>
    <row r="2545" spans="1:2">
      <c r="A2545" s="422"/>
      <c r="B2545" s="461"/>
    </row>
    <row r="2546" spans="1:2">
      <c r="A2546" s="422"/>
      <c r="B2546" s="461"/>
    </row>
    <row r="2547" spans="1:2">
      <c r="A2547" s="422"/>
      <c r="B2547" s="461"/>
    </row>
    <row r="2548" spans="1:2">
      <c r="A2548" s="422"/>
      <c r="B2548" s="461"/>
    </row>
    <row r="2549" spans="1:2">
      <c r="A2549" s="422"/>
      <c r="B2549" s="461"/>
    </row>
    <row r="2550" spans="1:2">
      <c r="A2550" s="422"/>
      <c r="B2550" s="461"/>
    </row>
    <row r="2551" spans="1:2">
      <c r="A2551" s="422"/>
      <c r="B2551" s="461"/>
    </row>
    <row r="2552" spans="1:2">
      <c r="A2552" s="422"/>
      <c r="B2552" s="461"/>
    </row>
    <row r="2553" spans="1:2">
      <c r="A2553" s="422"/>
      <c r="B2553" s="461"/>
    </row>
    <row r="2554" spans="1:2">
      <c r="A2554" s="422"/>
      <c r="B2554" s="461"/>
    </row>
    <row r="2555" spans="1:2">
      <c r="A2555" s="422"/>
      <c r="B2555" s="461"/>
    </row>
    <row r="2556" spans="1:2">
      <c r="A2556" s="422"/>
      <c r="B2556" s="461"/>
    </row>
    <row r="2557" spans="1:2">
      <c r="A2557" s="422"/>
      <c r="B2557" s="461"/>
    </row>
    <row r="2558" spans="1:2">
      <c r="A2558" s="422"/>
      <c r="B2558" s="461"/>
    </row>
    <row r="2559" spans="1:2">
      <c r="A2559" s="422"/>
      <c r="B2559" s="461"/>
    </row>
    <row r="2560" spans="1:2">
      <c r="A2560" s="422"/>
      <c r="B2560" s="461"/>
    </row>
    <row r="2561" spans="1:2">
      <c r="A2561" s="422"/>
      <c r="B2561" s="461"/>
    </row>
    <row r="2562" spans="1:2">
      <c r="A2562" s="422"/>
      <c r="B2562" s="461"/>
    </row>
    <row r="2563" spans="1:2">
      <c r="A2563" s="422"/>
      <c r="B2563" s="461"/>
    </row>
    <row r="2564" spans="1:2">
      <c r="A2564" s="422"/>
      <c r="B2564" s="461"/>
    </row>
    <row r="2565" spans="1:2">
      <c r="A2565" s="422"/>
      <c r="B2565" s="461"/>
    </row>
    <row r="2566" spans="1:2">
      <c r="A2566" s="422"/>
      <c r="B2566" s="461"/>
    </row>
    <row r="2567" spans="1:2">
      <c r="A2567" s="422"/>
      <c r="B2567" s="461"/>
    </row>
    <row r="2568" spans="1:2">
      <c r="A2568" s="422"/>
      <c r="B2568" s="461"/>
    </row>
    <row r="2569" spans="1:2">
      <c r="A2569" s="422"/>
      <c r="B2569" s="461"/>
    </row>
    <row r="2570" spans="1:2">
      <c r="A2570" s="422"/>
      <c r="B2570" s="461"/>
    </row>
    <row r="2571" spans="1:2">
      <c r="A2571" s="422"/>
      <c r="B2571" s="461"/>
    </row>
    <row r="2572" spans="1:2">
      <c r="A2572" s="422"/>
      <c r="B2572" s="461"/>
    </row>
    <row r="2573" spans="1:2">
      <c r="A2573" s="422"/>
      <c r="B2573" s="461"/>
    </row>
    <row r="2574" spans="1:2">
      <c r="A2574" s="422"/>
      <c r="B2574" s="461"/>
    </row>
    <row r="2575" spans="1:2">
      <c r="A2575" s="422"/>
      <c r="B2575" s="461"/>
    </row>
    <row r="2576" spans="1:2">
      <c r="A2576" s="422"/>
      <c r="B2576" s="461"/>
    </row>
    <row r="2577" spans="1:2">
      <c r="A2577" s="422"/>
      <c r="B2577" s="461"/>
    </row>
    <row r="2578" spans="1:2">
      <c r="A2578" s="422"/>
      <c r="B2578" s="461"/>
    </row>
    <row r="2579" spans="1:2">
      <c r="A2579" s="422"/>
      <c r="B2579" s="461"/>
    </row>
    <row r="2580" spans="1:2">
      <c r="A2580" s="422"/>
      <c r="B2580" s="461"/>
    </row>
    <row r="2581" spans="1:2">
      <c r="A2581" s="422"/>
      <c r="B2581" s="461"/>
    </row>
    <row r="2582" spans="1:2">
      <c r="A2582" s="422"/>
      <c r="B2582" s="461"/>
    </row>
    <row r="2583" spans="1:2">
      <c r="A2583" s="422"/>
      <c r="B2583" s="461"/>
    </row>
    <row r="2584" spans="1:2">
      <c r="A2584" s="422"/>
      <c r="B2584" s="461"/>
    </row>
    <row r="2585" spans="1:2">
      <c r="A2585" s="422"/>
      <c r="B2585" s="461"/>
    </row>
    <row r="2586" spans="1:2">
      <c r="A2586" s="422"/>
      <c r="B2586" s="461"/>
    </row>
    <row r="2587" spans="1:2">
      <c r="A2587" s="422"/>
      <c r="B2587" s="461"/>
    </row>
    <row r="2588" spans="1:2">
      <c r="A2588" s="422"/>
      <c r="B2588" s="461"/>
    </row>
    <row r="2589" spans="1:2">
      <c r="A2589" s="422"/>
      <c r="B2589" s="461"/>
    </row>
    <row r="2590" spans="1:2">
      <c r="A2590" s="422"/>
      <c r="B2590" s="461"/>
    </row>
    <row r="2591" spans="1:2">
      <c r="A2591" s="422"/>
      <c r="B2591" s="461"/>
    </row>
    <row r="2592" spans="1:2">
      <c r="A2592" s="422"/>
      <c r="B2592" s="461"/>
    </row>
    <row r="2593" spans="1:2">
      <c r="A2593" s="422"/>
      <c r="B2593" s="461"/>
    </row>
    <row r="2594" spans="1:2">
      <c r="A2594" s="422"/>
      <c r="B2594" s="461"/>
    </row>
    <row r="2595" spans="1:2">
      <c r="A2595" s="422"/>
      <c r="B2595" s="461"/>
    </row>
    <row r="2596" spans="1:2">
      <c r="A2596" s="422"/>
      <c r="B2596" s="461"/>
    </row>
    <row r="2597" spans="1:2">
      <c r="A2597" s="422"/>
      <c r="B2597" s="461"/>
    </row>
    <row r="2598" spans="1:2">
      <c r="A2598" s="422"/>
      <c r="B2598" s="461"/>
    </row>
    <row r="2599" spans="1:2">
      <c r="A2599" s="422"/>
      <c r="B2599" s="461"/>
    </row>
    <row r="2600" spans="1:2">
      <c r="A2600" s="422"/>
      <c r="B2600" s="461"/>
    </row>
    <row r="2601" spans="1:2">
      <c r="A2601" s="422"/>
      <c r="B2601" s="461"/>
    </row>
    <row r="2602" spans="1:2">
      <c r="A2602" s="422"/>
      <c r="B2602" s="461"/>
    </row>
    <row r="2603" spans="1:2">
      <c r="A2603" s="422"/>
      <c r="B2603" s="461"/>
    </row>
    <row r="2604" spans="1:2">
      <c r="A2604" s="422"/>
      <c r="B2604" s="461"/>
    </row>
    <row r="2605" spans="1:2">
      <c r="A2605" s="422"/>
      <c r="B2605" s="461"/>
    </row>
    <row r="2606" spans="1:2">
      <c r="A2606" s="422"/>
      <c r="B2606" s="461"/>
    </row>
    <row r="2607" spans="1:2">
      <c r="A2607" s="422"/>
      <c r="B2607" s="461"/>
    </row>
    <row r="2608" spans="1:2">
      <c r="A2608" s="422"/>
      <c r="B2608" s="461"/>
    </row>
    <row r="2609" spans="1:2">
      <c r="A2609" s="422"/>
      <c r="B2609" s="461"/>
    </row>
    <row r="2610" spans="1:2">
      <c r="A2610" s="422"/>
      <c r="B2610" s="461"/>
    </row>
    <row r="2611" spans="1:2">
      <c r="A2611" s="422"/>
      <c r="B2611" s="461"/>
    </row>
    <row r="2612" spans="1:2">
      <c r="A2612" s="422"/>
      <c r="B2612" s="461"/>
    </row>
    <row r="2613" spans="1:2">
      <c r="A2613" s="422"/>
      <c r="B2613" s="461"/>
    </row>
    <row r="2614" spans="1:2">
      <c r="A2614" s="422"/>
      <c r="B2614" s="461"/>
    </row>
    <row r="2615" spans="1:2">
      <c r="A2615" s="422"/>
      <c r="B2615" s="461"/>
    </row>
    <row r="2616" spans="1:2">
      <c r="A2616" s="422"/>
      <c r="B2616" s="461"/>
    </row>
    <row r="2617" spans="1:2">
      <c r="A2617" s="422"/>
      <c r="B2617" s="461"/>
    </row>
    <row r="2618" spans="1:2">
      <c r="A2618" s="422"/>
      <c r="B2618" s="461"/>
    </row>
    <row r="2619" spans="1:2">
      <c r="A2619" s="422"/>
      <c r="B2619" s="461"/>
    </row>
    <row r="2620" spans="1:2">
      <c r="A2620" s="422"/>
      <c r="B2620" s="461"/>
    </row>
    <row r="2621" spans="1:2">
      <c r="A2621" s="422"/>
      <c r="B2621" s="461"/>
    </row>
    <row r="2622" spans="1:2">
      <c r="A2622" s="422"/>
      <c r="B2622" s="461"/>
    </row>
    <row r="2623" spans="1:2">
      <c r="A2623" s="422"/>
      <c r="B2623" s="461"/>
    </row>
    <row r="2624" spans="1:2">
      <c r="A2624" s="422"/>
      <c r="B2624" s="461"/>
    </row>
    <row r="2625" spans="1:2">
      <c r="A2625" s="422"/>
      <c r="B2625" s="461"/>
    </row>
    <row r="2626" spans="1:2">
      <c r="A2626" s="422"/>
      <c r="B2626" s="461"/>
    </row>
    <row r="2627" spans="1:2">
      <c r="A2627" s="422"/>
      <c r="B2627" s="461"/>
    </row>
    <row r="2628" spans="1:2">
      <c r="A2628" s="422"/>
      <c r="B2628" s="461"/>
    </row>
    <row r="2629" spans="1:2">
      <c r="A2629" s="422"/>
      <c r="B2629" s="461"/>
    </row>
    <row r="2630" spans="1:2">
      <c r="A2630" s="422"/>
      <c r="B2630" s="461"/>
    </row>
    <row r="2631" spans="1:2">
      <c r="A2631" s="422"/>
      <c r="B2631" s="461"/>
    </row>
    <row r="2632" spans="1:2">
      <c r="A2632" s="422"/>
      <c r="B2632" s="461"/>
    </row>
    <row r="2633" spans="1:2">
      <c r="A2633" s="422"/>
      <c r="B2633" s="461"/>
    </row>
    <row r="2634" spans="1:2">
      <c r="A2634" s="422"/>
      <c r="B2634" s="461"/>
    </row>
    <row r="2635" spans="1:2">
      <c r="A2635" s="422"/>
      <c r="B2635" s="461"/>
    </row>
    <row r="2636" spans="1:2">
      <c r="A2636" s="422"/>
      <c r="B2636" s="461"/>
    </row>
    <row r="2637" spans="1:2">
      <c r="A2637" s="422"/>
      <c r="B2637" s="461"/>
    </row>
    <row r="2638" spans="1:2">
      <c r="A2638" s="422"/>
      <c r="B2638" s="461"/>
    </row>
    <row r="2639" spans="1:2">
      <c r="A2639" s="422"/>
      <c r="B2639" s="461"/>
    </row>
    <row r="2640" spans="1:2">
      <c r="A2640" s="422"/>
      <c r="B2640" s="461"/>
    </row>
    <row r="2641" spans="1:2">
      <c r="A2641" s="422"/>
      <c r="B2641" s="461"/>
    </row>
    <row r="2642" spans="1:2">
      <c r="A2642" s="422"/>
      <c r="B2642" s="461"/>
    </row>
    <row r="2643" spans="1:2">
      <c r="A2643" s="422"/>
      <c r="B2643" s="461"/>
    </row>
    <row r="2644" spans="1:2">
      <c r="A2644" s="422"/>
      <c r="B2644" s="461"/>
    </row>
    <row r="2645" spans="1:2">
      <c r="A2645" s="422"/>
      <c r="B2645" s="461"/>
    </row>
    <row r="2646" spans="1:2">
      <c r="A2646" s="422"/>
      <c r="B2646" s="461"/>
    </row>
    <row r="2647" spans="1:2">
      <c r="A2647" s="422"/>
      <c r="B2647" s="461"/>
    </row>
    <row r="2648" spans="1:2">
      <c r="A2648" s="422"/>
      <c r="B2648" s="461"/>
    </row>
    <row r="2649" spans="1:2">
      <c r="A2649" s="422"/>
      <c r="B2649" s="461"/>
    </row>
    <row r="2650" spans="1:2">
      <c r="A2650" s="422"/>
      <c r="B2650" s="461"/>
    </row>
    <row r="2651" spans="1:2">
      <c r="A2651" s="422"/>
      <c r="B2651" s="461"/>
    </row>
    <row r="2652" spans="1:2">
      <c r="A2652" s="422"/>
      <c r="B2652" s="461"/>
    </row>
    <row r="2653" spans="1:2">
      <c r="A2653" s="422"/>
      <c r="B2653" s="461"/>
    </row>
    <row r="2654" spans="1:2">
      <c r="A2654" s="422"/>
      <c r="B2654" s="461"/>
    </row>
    <row r="2655" spans="1:2">
      <c r="A2655" s="422"/>
      <c r="B2655" s="461"/>
    </row>
    <row r="2656" spans="1:2">
      <c r="A2656" s="422"/>
      <c r="B2656" s="461"/>
    </row>
    <row r="2657" spans="1:2">
      <c r="A2657" s="422"/>
      <c r="B2657" s="461"/>
    </row>
    <row r="2658" spans="1:2">
      <c r="A2658" s="422"/>
      <c r="B2658" s="461"/>
    </row>
    <row r="2659" spans="1:2">
      <c r="A2659" s="422"/>
      <c r="B2659" s="461"/>
    </row>
    <row r="2660" spans="1:2">
      <c r="A2660" s="422"/>
      <c r="B2660" s="461"/>
    </row>
    <row r="2661" spans="1:2">
      <c r="A2661" s="422"/>
      <c r="B2661" s="461"/>
    </row>
    <row r="2662" spans="1:2">
      <c r="A2662" s="422"/>
      <c r="B2662" s="461"/>
    </row>
    <row r="2663" spans="1:2">
      <c r="A2663" s="422"/>
      <c r="B2663" s="461"/>
    </row>
    <row r="2664" spans="1:2">
      <c r="A2664" s="422"/>
      <c r="B2664" s="461"/>
    </row>
    <row r="2665" spans="1:2">
      <c r="A2665" s="422"/>
      <c r="B2665" s="461"/>
    </row>
    <row r="2666" spans="1:2">
      <c r="A2666" s="422"/>
      <c r="B2666" s="461"/>
    </row>
    <row r="2667" spans="1:2">
      <c r="A2667" s="422"/>
      <c r="B2667" s="461"/>
    </row>
    <row r="2668" spans="1:2">
      <c r="A2668" s="422"/>
      <c r="B2668" s="461"/>
    </row>
    <row r="2669" spans="1:2">
      <c r="A2669" s="422"/>
      <c r="B2669" s="461"/>
    </row>
    <row r="2670" spans="1:2">
      <c r="A2670" s="422"/>
      <c r="B2670" s="461"/>
    </row>
    <row r="2671" spans="1:2">
      <c r="A2671" s="422"/>
      <c r="B2671" s="461"/>
    </row>
    <row r="2672" spans="1:2">
      <c r="A2672" s="422"/>
      <c r="B2672" s="461"/>
    </row>
    <row r="2673" spans="1:2">
      <c r="A2673" s="422"/>
      <c r="B2673" s="461"/>
    </row>
    <row r="2674" spans="1:2">
      <c r="A2674" s="422"/>
      <c r="B2674" s="461"/>
    </row>
    <row r="2675" spans="1:2">
      <c r="A2675" s="422"/>
      <c r="B2675" s="461"/>
    </row>
    <row r="2676" spans="1:2">
      <c r="A2676" s="422"/>
      <c r="B2676" s="461"/>
    </row>
    <row r="2677" spans="1:2">
      <c r="A2677" s="422"/>
      <c r="B2677" s="461"/>
    </row>
    <row r="2678" spans="1:2">
      <c r="A2678" s="422"/>
      <c r="B2678" s="461"/>
    </row>
    <row r="2679" spans="1:2">
      <c r="A2679" s="422"/>
      <c r="B2679" s="461"/>
    </row>
    <row r="2680" spans="1:2">
      <c r="A2680" s="422"/>
      <c r="B2680" s="461"/>
    </row>
    <row r="2681" spans="1:2">
      <c r="A2681" s="422"/>
      <c r="B2681" s="461"/>
    </row>
    <row r="2682" spans="1:2">
      <c r="A2682" s="422"/>
      <c r="B2682" s="461"/>
    </row>
    <row r="2683" spans="1:2">
      <c r="A2683" s="422"/>
      <c r="B2683" s="461"/>
    </row>
    <row r="2684" spans="1:2">
      <c r="A2684" s="422"/>
      <c r="B2684" s="461"/>
    </row>
    <row r="2685" spans="1:2">
      <c r="A2685" s="422"/>
      <c r="B2685" s="461"/>
    </row>
    <row r="2686" spans="1:2">
      <c r="A2686" s="422"/>
      <c r="B2686" s="461"/>
    </row>
    <row r="2687" spans="1:2">
      <c r="A2687" s="422"/>
      <c r="B2687" s="461"/>
    </row>
    <row r="2688" spans="1:2">
      <c r="A2688" s="422"/>
      <c r="B2688" s="461"/>
    </row>
    <row r="2689" spans="1:2">
      <c r="A2689" s="422"/>
      <c r="B2689" s="461"/>
    </row>
    <row r="2690" spans="1:2">
      <c r="A2690" s="422"/>
      <c r="B2690" s="461"/>
    </row>
    <row r="2691" spans="1:2">
      <c r="A2691" s="422"/>
      <c r="B2691" s="461"/>
    </row>
    <row r="2692" spans="1:2">
      <c r="A2692" s="422"/>
      <c r="B2692" s="461"/>
    </row>
    <row r="2693" spans="1:2">
      <c r="A2693" s="422"/>
      <c r="B2693" s="461"/>
    </row>
    <row r="2694" spans="1:2">
      <c r="A2694" s="422"/>
      <c r="B2694" s="461"/>
    </row>
    <row r="2695" spans="1:2">
      <c r="A2695" s="422"/>
      <c r="B2695" s="461"/>
    </row>
    <row r="2696" spans="1:2">
      <c r="A2696" s="422"/>
      <c r="B2696" s="461"/>
    </row>
    <row r="2697" spans="1:2">
      <c r="A2697" s="422"/>
      <c r="B2697" s="461"/>
    </row>
    <row r="2698" spans="1:2">
      <c r="A2698" s="422"/>
      <c r="B2698" s="461"/>
    </row>
    <row r="2699" spans="1:2">
      <c r="A2699" s="422"/>
      <c r="B2699" s="461"/>
    </row>
    <row r="2700" spans="1:2">
      <c r="A2700" s="422"/>
      <c r="B2700" s="461"/>
    </row>
    <row r="2701" spans="1:2">
      <c r="A2701" s="422"/>
      <c r="B2701" s="461"/>
    </row>
    <row r="2702" spans="1:2">
      <c r="A2702" s="422"/>
      <c r="B2702" s="461"/>
    </row>
    <row r="2703" spans="1:2">
      <c r="A2703" s="422"/>
      <c r="B2703" s="461"/>
    </row>
    <row r="2704" spans="1:2">
      <c r="A2704" s="422"/>
      <c r="B2704" s="461"/>
    </row>
    <row r="2705" spans="1:2">
      <c r="A2705" s="422"/>
      <c r="B2705" s="461"/>
    </row>
    <row r="2706" spans="1:2">
      <c r="A2706" s="422"/>
      <c r="B2706" s="461"/>
    </row>
    <row r="2707" spans="1:2">
      <c r="A2707" s="422"/>
      <c r="B2707" s="461"/>
    </row>
    <row r="2708" spans="1:2">
      <c r="A2708" s="422"/>
      <c r="B2708" s="461"/>
    </row>
    <row r="2709" spans="1:2">
      <c r="A2709" s="422"/>
      <c r="B2709" s="461"/>
    </row>
    <row r="2710" spans="1:2">
      <c r="A2710" s="422"/>
      <c r="B2710" s="461"/>
    </row>
    <row r="2711" spans="1:2">
      <c r="A2711" s="422"/>
      <c r="B2711" s="461"/>
    </row>
    <row r="2712" spans="1:2">
      <c r="A2712" s="422"/>
      <c r="B2712" s="461"/>
    </row>
    <row r="2713" spans="1:2">
      <c r="A2713" s="422"/>
      <c r="B2713" s="461"/>
    </row>
    <row r="2714" spans="1:2">
      <c r="A2714" s="422"/>
      <c r="B2714" s="461"/>
    </row>
    <row r="2715" spans="1:2">
      <c r="A2715" s="422"/>
      <c r="B2715" s="461"/>
    </row>
    <row r="2716" spans="1:2">
      <c r="A2716" s="422"/>
      <c r="B2716" s="461"/>
    </row>
    <row r="2717" spans="1:2">
      <c r="A2717" s="422"/>
      <c r="B2717" s="461"/>
    </row>
    <row r="2718" spans="1:2">
      <c r="A2718" s="422"/>
      <c r="B2718" s="461"/>
    </row>
    <row r="2719" spans="1:2">
      <c r="A2719" s="422"/>
      <c r="B2719" s="461"/>
    </row>
    <row r="2720" spans="1:2">
      <c r="A2720" s="422"/>
      <c r="B2720" s="461"/>
    </row>
    <row r="2721" spans="1:2">
      <c r="A2721" s="422"/>
      <c r="B2721" s="461"/>
    </row>
    <row r="2722" spans="1:2">
      <c r="A2722" s="422"/>
      <c r="B2722" s="461"/>
    </row>
    <row r="2723" spans="1:2">
      <c r="A2723" s="422"/>
      <c r="B2723" s="461"/>
    </row>
    <row r="2724" spans="1:2">
      <c r="A2724" s="422"/>
      <c r="B2724" s="461"/>
    </row>
    <row r="2725" spans="1:2">
      <c r="A2725" s="422"/>
      <c r="B2725" s="461"/>
    </row>
    <row r="2726" spans="1:2">
      <c r="A2726" s="422"/>
      <c r="B2726" s="461"/>
    </row>
    <row r="2727" spans="1:2">
      <c r="A2727" s="422"/>
      <c r="B2727" s="461"/>
    </row>
    <row r="2728" spans="1:2">
      <c r="A2728" s="422"/>
      <c r="B2728" s="461"/>
    </row>
    <row r="2729" spans="1:2">
      <c r="A2729" s="422"/>
      <c r="B2729" s="461"/>
    </row>
    <row r="2730" spans="1:2">
      <c r="A2730" s="422"/>
      <c r="B2730" s="461"/>
    </row>
    <row r="2731" spans="1:2">
      <c r="A2731" s="422"/>
      <c r="B2731" s="461"/>
    </row>
    <row r="2732" spans="1:2">
      <c r="A2732" s="422"/>
      <c r="B2732" s="461"/>
    </row>
    <row r="2733" spans="1:2">
      <c r="A2733" s="422"/>
      <c r="B2733" s="461"/>
    </row>
    <row r="2734" spans="1:2">
      <c r="A2734" s="422"/>
      <c r="B2734" s="461"/>
    </row>
    <row r="2735" spans="1:2">
      <c r="A2735" s="422"/>
      <c r="B2735" s="461"/>
    </row>
    <row r="2736" spans="1:2">
      <c r="A2736" s="422"/>
      <c r="B2736" s="461"/>
    </row>
    <row r="2737" spans="1:2">
      <c r="A2737" s="422"/>
      <c r="B2737" s="461"/>
    </row>
    <row r="2738" spans="1:2">
      <c r="A2738" s="422"/>
      <c r="B2738" s="461"/>
    </row>
    <row r="2739" spans="1:2">
      <c r="A2739" s="422"/>
      <c r="B2739" s="461"/>
    </row>
    <row r="2740" spans="1:2">
      <c r="A2740" s="422"/>
      <c r="B2740" s="461"/>
    </row>
    <row r="2741" spans="1:2">
      <c r="A2741" s="422"/>
      <c r="B2741" s="461"/>
    </row>
    <row r="2742" spans="1:2">
      <c r="A2742" s="422"/>
      <c r="B2742" s="461"/>
    </row>
    <row r="2743" spans="1:2">
      <c r="A2743" s="422"/>
      <c r="B2743" s="461"/>
    </row>
    <row r="2744" spans="1:2">
      <c r="A2744" s="422"/>
      <c r="B2744" s="461"/>
    </row>
    <row r="2745" spans="1:2">
      <c r="A2745" s="422"/>
      <c r="B2745" s="461"/>
    </row>
    <row r="2746" spans="1:2">
      <c r="A2746" s="422"/>
      <c r="B2746" s="461"/>
    </row>
    <row r="2747" spans="1:2">
      <c r="A2747" s="422"/>
      <c r="B2747" s="461"/>
    </row>
    <row r="2748" spans="1:2">
      <c r="A2748" s="422"/>
      <c r="B2748" s="461"/>
    </row>
    <row r="2749" spans="1:2">
      <c r="A2749" s="422"/>
      <c r="B2749" s="461"/>
    </row>
    <row r="2750" spans="1:2">
      <c r="A2750" s="422"/>
      <c r="B2750" s="461"/>
    </row>
    <row r="2751" spans="1:2">
      <c r="A2751" s="422"/>
      <c r="B2751" s="461"/>
    </row>
    <row r="2752" spans="1:2">
      <c r="A2752" s="422"/>
      <c r="B2752" s="461"/>
    </row>
    <row r="2753" spans="1:2">
      <c r="A2753" s="422"/>
      <c r="B2753" s="461"/>
    </row>
    <row r="2754" spans="1:2">
      <c r="A2754" s="422"/>
      <c r="B2754" s="461"/>
    </row>
    <row r="2755" spans="1:2">
      <c r="A2755" s="422"/>
      <c r="B2755" s="461"/>
    </row>
    <row r="2756" spans="1:2">
      <c r="A2756" s="422"/>
      <c r="B2756" s="461"/>
    </row>
    <row r="2757" spans="1:2">
      <c r="A2757" s="422"/>
      <c r="B2757" s="461"/>
    </row>
    <row r="2758" spans="1:2">
      <c r="A2758" s="422"/>
      <c r="B2758" s="461"/>
    </row>
    <row r="2759" spans="1:2">
      <c r="A2759" s="422"/>
      <c r="B2759" s="461"/>
    </row>
    <row r="2760" spans="1:2">
      <c r="A2760" s="422"/>
      <c r="B2760" s="461"/>
    </row>
    <row r="2761" spans="1:2">
      <c r="A2761" s="422"/>
      <c r="B2761" s="461"/>
    </row>
    <row r="2762" spans="1:2">
      <c r="A2762" s="422"/>
      <c r="B2762" s="461"/>
    </row>
    <row r="2763" spans="1:2">
      <c r="A2763" s="422"/>
      <c r="B2763" s="461"/>
    </row>
    <row r="2764" spans="1:2">
      <c r="A2764" s="422"/>
      <c r="B2764" s="461"/>
    </row>
    <row r="2765" spans="1:2">
      <c r="A2765" s="422"/>
      <c r="B2765" s="461"/>
    </row>
    <row r="2766" spans="1:2">
      <c r="A2766" s="422"/>
      <c r="B2766" s="461"/>
    </row>
    <row r="2767" spans="1:2">
      <c r="A2767" s="422"/>
      <c r="B2767" s="461"/>
    </row>
    <row r="2768" spans="1:2">
      <c r="A2768" s="422"/>
      <c r="B2768" s="461"/>
    </row>
    <row r="2769" spans="1:2">
      <c r="A2769" s="422"/>
      <c r="B2769" s="461"/>
    </row>
    <row r="2770" spans="1:2">
      <c r="A2770" s="422"/>
      <c r="B2770" s="461"/>
    </row>
    <row r="2771" spans="1:2">
      <c r="A2771" s="422"/>
      <c r="B2771" s="461"/>
    </row>
    <row r="2772" spans="1:2">
      <c r="A2772" s="422"/>
      <c r="B2772" s="461"/>
    </row>
    <row r="2773" spans="1:2">
      <c r="A2773" s="422"/>
      <c r="B2773" s="461"/>
    </row>
    <row r="2774" spans="1:2">
      <c r="A2774" s="422"/>
      <c r="B2774" s="461"/>
    </row>
    <row r="2775" spans="1:2">
      <c r="A2775" s="422"/>
      <c r="B2775" s="461"/>
    </row>
    <row r="2776" spans="1:2">
      <c r="A2776" s="422"/>
      <c r="B2776" s="461"/>
    </row>
    <row r="2777" spans="1:2">
      <c r="A2777" s="422"/>
      <c r="B2777" s="461"/>
    </row>
    <row r="2778" spans="1:2">
      <c r="A2778" s="422"/>
      <c r="B2778" s="461"/>
    </row>
    <row r="2779" spans="1:2">
      <c r="A2779" s="422"/>
      <c r="B2779" s="461"/>
    </row>
    <row r="2780" spans="1:2">
      <c r="A2780" s="422"/>
      <c r="B2780" s="461"/>
    </row>
    <row r="2781" spans="1:2">
      <c r="A2781" s="422"/>
      <c r="B2781" s="461"/>
    </row>
    <row r="2782" spans="1:2">
      <c r="A2782" s="422"/>
      <c r="B2782" s="461"/>
    </row>
    <row r="2783" spans="1:2">
      <c r="A2783" s="422"/>
      <c r="B2783" s="461"/>
    </row>
    <row r="2784" spans="1:2">
      <c r="A2784" s="422"/>
      <c r="B2784" s="461"/>
    </row>
    <row r="2785" spans="1:2">
      <c r="A2785" s="422"/>
      <c r="B2785" s="461"/>
    </row>
    <row r="2786" spans="1:2">
      <c r="A2786" s="422"/>
      <c r="B2786" s="461"/>
    </row>
    <row r="2787" spans="1:2">
      <c r="A2787" s="422"/>
      <c r="B2787" s="461"/>
    </row>
    <row r="2788" spans="1:2">
      <c r="A2788" s="422"/>
      <c r="B2788" s="461"/>
    </row>
    <row r="2789" spans="1:2">
      <c r="A2789" s="422"/>
      <c r="B2789" s="461"/>
    </row>
    <row r="2790" spans="1:2">
      <c r="A2790" s="422"/>
      <c r="B2790" s="461"/>
    </row>
    <row r="2791" spans="1:2">
      <c r="A2791" s="422"/>
      <c r="B2791" s="461"/>
    </row>
    <row r="2792" spans="1:2">
      <c r="A2792" s="422"/>
      <c r="B2792" s="461"/>
    </row>
    <row r="2793" spans="1:2">
      <c r="A2793" s="422"/>
      <c r="B2793" s="461"/>
    </row>
    <row r="2794" spans="1:2">
      <c r="A2794" s="422"/>
      <c r="B2794" s="461"/>
    </row>
    <row r="2795" spans="1:2">
      <c r="A2795" s="422"/>
      <c r="B2795" s="461"/>
    </row>
    <row r="2796" spans="1:2">
      <c r="A2796" s="422"/>
      <c r="B2796" s="461"/>
    </row>
    <row r="2797" spans="1:2">
      <c r="A2797" s="422"/>
      <c r="B2797" s="461"/>
    </row>
    <row r="2798" spans="1:2">
      <c r="A2798" s="422"/>
      <c r="B2798" s="461"/>
    </row>
    <row r="2799" spans="1:2">
      <c r="A2799" s="422"/>
      <c r="B2799" s="461"/>
    </row>
    <row r="2800" spans="1:2">
      <c r="A2800" s="422"/>
      <c r="B2800" s="461"/>
    </row>
    <row r="2801" spans="1:2">
      <c r="A2801" s="422"/>
      <c r="B2801" s="461"/>
    </row>
    <row r="2802" spans="1:2">
      <c r="A2802" s="422"/>
      <c r="B2802" s="461"/>
    </row>
    <row r="2803" spans="1:2">
      <c r="A2803" s="422"/>
      <c r="B2803" s="461"/>
    </row>
    <row r="2804" spans="1:2">
      <c r="A2804" s="422"/>
      <c r="B2804" s="461"/>
    </row>
    <row r="2805" spans="1:2">
      <c r="A2805" s="422"/>
      <c r="B2805" s="461"/>
    </row>
    <row r="2806" spans="1:2">
      <c r="A2806" s="422"/>
      <c r="B2806" s="461"/>
    </row>
    <row r="2807" spans="1:2">
      <c r="A2807" s="422"/>
      <c r="B2807" s="461"/>
    </row>
    <row r="2808" spans="1:2">
      <c r="A2808" s="422"/>
      <c r="B2808" s="461"/>
    </row>
    <row r="2809" spans="1:2">
      <c r="A2809" s="422"/>
      <c r="B2809" s="461"/>
    </row>
    <row r="2810" spans="1:2">
      <c r="A2810" s="422"/>
      <c r="B2810" s="461"/>
    </row>
    <row r="2811" spans="1:2">
      <c r="A2811" s="422"/>
      <c r="B2811" s="461"/>
    </row>
    <row r="2812" spans="1:2">
      <c r="A2812" s="422"/>
      <c r="B2812" s="461"/>
    </row>
    <row r="2813" spans="1:2">
      <c r="A2813" s="422"/>
      <c r="B2813" s="461"/>
    </row>
    <row r="2814" spans="1:2">
      <c r="A2814" s="422"/>
      <c r="B2814" s="461"/>
    </row>
    <row r="2815" spans="1:2">
      <c r="A2815" s="422"/>
      <c r="B2815" s="461"/>
    </row>
    <row r="2816" spans="1:2">
      <c r="A2816" s="422"/>
      <c r="B2816" s="461"/>
    </row>
    <row r="2817" spans="1:2">
      <c r="A2817" s="422"/>
      <c r="B2817" s="461"/>
    </row>
    <row r="2818" spans="1:2">
      <c r="A2818" s="422"/>
      <c r="B2818" s="461"/>
    </row>
    <row r="2819" spans="1:2">
      <c r="A2819" s="422"/>
      <c r="B2819" s="461"/>
    </row>
    <row r="2820" spans="1:2">
      <c r="A2820" s="422"/>
      <c r="B2820" s="461"/>
    </row>
    <row r="2821" spans="1:2">
      <c r="A2821" s="422"/>
      <c r="B2821" s="461"/>
    </row>
    <row r="2822" spans="1:2">
      <c r="A2822" s="422"/>
      <c r="B2822" s="461"/>
    </row>
    <row r="2823" spans="1:2">
      <c r="A2823" s="422"/>
      <c r="B2823" s="461"/>
    </row>
    <row r="2824" spans="1:2">
      <c r="A2824" s="422"/>
      <c r="B2824" s="461"/>
    </row>
    <row r="2825" spans="1:2">
      <c r="A2825" s="422"/>
      <c r="B2825" s="461"/>
    </row>
    <row r="2826" spans="1:2">
      <c r="A2826" s="422"/>
      <c r="B2826" s="461"/>
    </row>
    <row r="2827" spans="1:2">
      <c r="A2827" s="422"/>
      <c r="B2827" s="461"/>
    </row>
    <row r="2828" spans="1:2">
      <c r="A2828" s="422"/>
      <c r="B2828" s="461"/>
    </row>
    <row r="2829" spans="1:2">
      <c r="A2829" s="422"/>
      <c r="B2829" s="461"/>
    </row>
    <row r="2830" spans="1:2">
      <c r="A2830" s="422"/>
      <c r="B2830" s="461"/>
    </row>
    <row r="2831" spans="1:2">
      <c r="A2831" s="422"/>
      <c r="B2831" s="461"/>
    </row>
    <row r="2832" spans="1:2">
      <c r="A2832" s="422"/>
      <c r="B2832" s="461"/>
    </row>
    <row r="2833" spans="1:2">
      <c r="A2833" s="422"/>
      <c r="B2833" s="461"/>
    </row>
    <row r="2834" spans="1:2">
      <c r="A2834" s="422"/>
      <c r="B2834" s="461"/>
    </row>
    <row r="2835" spans="1:2">
      <c r="A2835" s="422"/>
      <c r="B2835" s="461"/>
    </row>
    <row r="2836" spans="1:2">
      <c r="A2836" s="422"/>
      <c r="B2836" s="461"/>
    </row>
    <row r="2837" spans="1:2">
      <c r="A2837" s="422"/>
      <c r="B2837" s="461"/>
    </row>
    <row r="2838" spans="1:2">
      <c r="A2838" s="422"/>
      <c r="B2838" s="461"/>
    </row>
    <row r="2839" spans="1:2">
      <c r="A2839" s="422"/>
      <c r="B2839" s="461"/>
    </row>
    <row r="2840" spans="1:2">
      <c r="A2840" s="422"/>
      <c r="B2840" s="461"/>
    </row>
    <row r="2841" spans="1:2">
      <c r="A2841" s="422"/>
      <c r="B2841" s="461"/>
    </row>
    <row r="2842" spans="1:2">
      <c r="A2842" s="422"/>
      <c r="B2842" s="461"/>
    </row>
    <row r="2843" spans="1:2">
      <c r="A2843" s="422"/>
      <c r="B2843" s="461"/>
    </row>
    <row r="2844" spans="1:2">
      <c r="A2844" s="422"/>
      <c r="B2844" s="461"/>
    </row>
    <row r="2845" spans="1:2">
      <c r="A2845" s="422"/>
      <c r="B2845" s="461"/>
    </row>
    <row r="2846" spans="1:2">
      <c r="A2846" s="422"/>
      <c r="B2846" s="461"/>
    </row>
    <row r="2847" spans="1:2">
      <c r="A2847" s="422"/>
      <c r="B2847" s="461"/>
    </row>
    <row r="2848" spans="1:2">
      <c r="A2848" s="422"/>
      <c r="B2848" s="461"/>
    </row>
    <row r="2849" spans="1:2">
      <c r="A2849" s="422"/>
      <c r="B2849" s="461"/>
    </row>
    <row r="2850" spans="1:2">
      <c r="A2850" s="422"/>
      <c r="B2850" s="461"/>
    </row>
    <row r="2851" spans="1:2">
      <c r="A2851" s="422"/>
      <c r="B2851" s="461"/>
    </row>
    <row r="2852" spans="1:2">
      <c r="A2852" s="422"/>
      <c r="B2852" s="461"/>
    </row>
    <row r="2853" spans="1:2">
      <c r="A2853" s="422"/>
      <c r="B2853" s="461"/>
    </row>
    <row r="2854" spans="1:2">
      <c r="A2854" s="422"/>
      <c r="B2854" s="461"/>
    </row>
    <row r="2855" spans="1:2">
      <c r="A2855" s="422"/>
      <c r="B2855" s="461"/>
    </row>
    <row r="2856" spans="1:2">
      <c r="A2856" s="422"/>
      <c r="B2856" s="461"/>
    </row>
    <row r="2857" spans="1:2">
      <c r="A2857" s="422"/>
      <c r="B2857" s="461"/>
    </row>
    <row r="2858" spans="1:2">
      <c r="A2858" s="422"/>
      <c r="B2858" s="461"/>
    </row>
    <row r="2859" spans="1:2">
      <c r="A2859" s="422"/>
      <c r="B2859" s="461"/>
    </row>
    <row r="2860" spans="1:2">
      <c r="A2860" s="422"/>
      <c r="B2860" s="461"/>
    </row>
    <row r="2861" spans="1:2">
      <c r="A2861" s="422"/>
      <c r="B2861" s="461"/>
    </row>
    <row r="2862" spans="1:2">
      <c r="A2862" s="422"/>
      <c r="B2862" s="461"/>
    </row>
    <row r="2863" spans="1:2">
      <c r="A2863" s="422"/>
      <c r="B2863" s="461"/>
    </row>
    <row r="2864" spans="1:2">
      <c r="A2864" s="422"/>
      <c r="B2864" s="461"/>
    </row>
    <row r="2865" spans="1:2">
      <c r="A2865" s="422"/>
      <c r="B2865" s="461"/>
    </row>
    <row r="2866" spans="1:2">
      <c r="A2866" s="422"/>
      <c r="B2866" s="461"/>
    </row>
    <row r="2867" spans="1:2">
      <c r="A2867" s="422"/>
      <c r="B2867" s="461"/>
    </row>
    <row r="2868" spans="1:2">
      <c r="A2868" s="422"/>
      <c r="B2868" s="461"/>
    </row>
    <row r="2869" spans="1:2">
      <c r="A2869" s="422"/>
      <c r="B2869" s="461"/>
    </row>
    <row r="2870" spans="1:2">
      <c r="A2870" s="422"/>
      <c r="B2870" s="461"/>
    </row>
    <row r="2871" spans="1:2">
      <c r="A2871" s="422"/>
      <c r="B2871" s="461"/>
    </row>
    <row r="2872" spans="1:2">
      <c r="A2872" s="422"/>
      <c r="B2872" s="461"/>
    </row>
    <row r="2873" spans="1:2">
      <c r="A2873" s="422"/>
      <c r="B2873" s="461"/>
    </row>
    <row r="2874" spans="1:2">
      <c r="A2874" s="422"/>
      <c r="B2874" s="461"/>
    </row>
    <row r="2875" spans="1:2">
      <c r="A2875" s="422"/>
      <c r="B2875" s="461"/>
    </row>
    <row r="2876" spans="1:2">
      <c r="A2876" s="422"/>
      <c r="B2876" s="461"/>
    </row>
    <row r="2877" spans="1:2">
      <c r="A2877" s="422"/>
      <c r="B2877" s="461"/>
    </row>
    <row r="2878" spans="1:2">
      <c r="A2878" s="422"/>
      <c r="B2878" s="461"/>
    </row>
    <row r="2879" spans="1:2">
      <c r="A2879" s="422"/>
      <c r="B2879" s="461"/>
    </row>
    <row r="2880" spans="1:2">
      <c r="A2880" s="422"/>
      <c r="B2880" s="461"/>
    </row>
    <row r="2881" spans="1:2">
      <c r="A2881" s="422"/>
      <c r="B2881" s="461"/>
    </row>
    <row r="2882" spans="1:2">
      <c r="A2882" s="422"/>
      <c r="B2882" s="461"/>
    </row>
    <row r="2883" spans="1:2">
      <c r="A2883" s="422"/>
      <c r="B2883" s="461"/>
    </row>
    <row r="2884" spans="1:2">
      <c r="A2884" s="422"/>
      <c r="B2884" s="461"/>
    </row>
    <row r="2885" spans="1:2">
      <c r="A2885" s="422"/>
      <c r="B2885" s="461"/>
    </row>
    <row r="2886" spans="1:2">
      <c r="A2886" s="422"/>
      <c r="B2886" s="461"/>
    </row>
    <row r="2887" spans="1:2">
      <c r="A2887" s="422"/>
      <c r="B2887" s="461"/>
    </row>
    <row r="2888" spans="1:2">
      <c r="A2888" s="422"/>
      <c r="B2888" s="461"/>
    </row>
    <row r="2889" spans="1:2">
      <c r="A2889" s="422"/>
      <c r="B2889" s="461"/>
    </row>
    <row r="2890" spans="1:2">
      <c r="A2890" s="422"/>
      <c r="B2890" s="461"/>
    </row>
    <row r="2891" spans="1:2">
      <c r="A2891" s="422"/>
      <c r="B2891" s="461"/>
    </row>
    <row r="2892" spans="1:2">
      <c r="A2892" s="422"/>
      <c r="B2892" s="461"/>
    </row>
    <row r="2893" spans="1:2">
      <c r="A2893" s="422"/>
      <c r="B2893" s="461"/>
    </row>
    <row r="2894" spans="1:2">
      <c r="A2894" s="422"/>
      <c r="B2894" s="461"/>
    </row>
    <row r="2895" spans="1:2">
      <c r="A2895" s="422"/>
      <c r="B2895" s="461"/>
    </row>
    <row r="2896" spans="1:2">
      <c r="A2896" s="422"/>
      <c r="B2896" s="461"/>
    </row>
    <row r="2897" spans="1:2">
      <c r="A2897" s="422"/>
      <c r="B2897" s="461"/>
    </row>
    <row r="2898" spans="1:2">
      <c r="A2898" s="422"/>
      <c r="B2898" s="461"/>
    </row>
    <row r="2899" spans="1:2">
      <c r="A2899" s="422"/>
      <c r="B2899" s="461"/>
    </row>
    <row r="2900" spans="1:2">
      <c r="A2900" s="422"/>
      <c r="B2900" s="461"/>
    </row>
    <row r="2901" spans="1:2">
      <c r="A2901" s="422"/>
      <c r="B2901" s="461"/>
    </row>
    <row r="2902" spans="1:2">
      <c r="A2902" s="422"/>
      <c r="B2902" s="461"/>
    </row>
    <row r="2903" spans="1:2">
      <c r="A2903" s="422"/>
      <c r="B2903" s="461"/>
    </row>
    <row r="2904" spans="1:2">
      <c r="A2904" s="422"/>
      <c r="B2904" s="461"/>
    </row>
    <row r="2905" spans="1:2">
      <c r="A2905" s="422"/>
      <c r="B2905" s="461"/>
    </row>
    <row r="2906" spans="1:2">
      <c r="A2906" s="422"/>
      <c r="B2906" s="461"/>
    </row>
    <row r="2907" spans="1:2">
      <c r="A2907" s="422"/>
      <c r="B2907" s="461"/>
    </row>
    <row r="2908" spans="1:2">
      <c r="A2908" s="422"/>
      <c r="B2908" s="461"/>
    </row>
    <row r="2909" spans="1:2">
      <c r="A2909" s="422"/>
      <c r="B2909" s="461"/>
    </row>
    <row r="2910" spans="1:2">
      <c r="A2910" s="422"/>
      <c r="B2910" s="461"/>
    </row>
    <row r="2911" spans="1:2">
      <c r="A2911" s="422"/>
      <c r="B2911" s="461"/>
    </row>
    <row r="2912" spans="1:2">
      <c r="A2912" s="422"/>
      <c r="B2912" s="461"/>
    </row>
    <row r="2913" spans="1:2">
      <c r="A2913" s="422"/>
      <c r="B2913" s="461"/>
    </row>
    <row r="2914" spans="1:2">
      <c r="A2914" s="422"/>
      <c r="B2914" s="461"/>
    </row>
    <row r="2915" spans="1:2">
      <c r="A2915" s="422"/>
      <c r="B2915" s="461"/>
    </row>
    <row r="2916" spans="1:2">
      <c r="A2916" s="422"/>
      <c r="B2916" s="461"/>
    </row>
    <row r="2917" spans="1:2">
      <c r="A2917" s="422"/>
      <c r="B2917" s="461"/>
    </row>
    <row r="2918" spans="1:2">
      <c r="A2918" s="422"/>
      <c r="B2918" s="461"/>
    </row>
    <row r="2919" spans="1:2">
      <c r="A2919" s="422"/>
      <c r="B2919" s="461"/>
    </row>
    <row r="2920" spans="1:2">
      <c r="A2920" s="422"/>
      <c r="B2920" s="461"/>
    </row>
    <row r="2921" spans="1:2">
      <c r="A2921" s="422"/>
      <c r="B2921" s="461"/>
    </row>
    <row r="2922" spans="1:2">
      <c r="A2922" s="422"/>
      <c r="B2922" s="461"/>
    </row>
    <row r="2923" spans="1:2">
      <c r="A2923" s="422"/>
      <c r="B2923" s="461"/>
    </row>
    <row r="2924" spans="1:2">
      <c r="A2924" s="422"/>
      <c r="B2924" s="461"/>
    </row>
    <row r="2925" spans="1:2">
      <c r="A2925" s="422"/>
      <c r="B2925" s="461"/>
    </row>
    <row r="2926" spans="1:2">
      <c r="A2926" s="422"/>
      <c r="B2926" s="461"/>
    </row>
    <row r="2927" spans="1:2">
      <c r="A2927" s="422"/>
      <c r="B2927" s="461"/>
    </row>
    <row r="2928" spans="1:2">
      <c r="A2928" s="422"/>
      <c r="B2928" s="461"/>
    </row>
    <row r="2929" spans="1:2">
      <c r="A2929" s="422"/>
      <c r="B2929" s="461"/>
    </row>
    <row r="2930" spans="1:2">
      <c r="A2930" s="422"/>
      <c r="B2930" s="461"/>
    </row>
    <row r="2931" spans="1:2">
      <c r="A2931" s="422"/>
      <c r="B2931" s="461"/>
    </row>
    <row r="2932" spans="1:2">
      <c r="A2932" s="422"/>
      <c r="B2932" s="461"/>
    </row>
    <row r="2933" spans="1:2">
      <c r="A2933" s="422"/>
      <c r="B2933" s="461"/>
    </row>
    <row r="2934" spans="1:2">
      <c r="A2934" s="422"/>
      <c r="B2934" s="461"/>
    </row>
    <row r="2935" spans="1:2">
      <c r="A2935" s="422"/>
      <c r="B2935" s="461"/>
    </row>
    <row r="2936" spans="1:2">
      <c r="A2936" s="422"/>
      <c r="B2936" s="461"/>
    </row>
    <row r="2937" spans="1:2">
      <c r="A2937" s="422"/>
      <c r="B2937" s="461"/>
    </row>
    <row r="2938" spans="1:2">
      <c r="A2938" s="422"/>
      <c r="B2938" s="461"/>
    </row>
    <row r="2939" spans="1:2">
      <c r="A2939" s="422"/>
      <c r="B2939" s="461"/>
    </row>
    <row r="2940" spans="1:2">
      <c r="A2940" s="422"/>
      <c r="B2940" s="461"/>
    </row>
    <row r="2941" spans="1:2">
      <c r="A2941" s="422"/>
      <c r="B2941" s="461"/>
    </row>
    <row r="2942" spans="1:2">
      <c r="A2942" s="422"/>
      <c r="B2942" s="461"/>
    </row>
    <row r="2943" spans="1:2">
      <c r="A2943" s="422"/>
      <c r="B2943" s="461"/>
    </row>
    <row r="2944" spans="1:2">
      <c r="A2944" s="422"/>
      <c r="B2944" s="461"/>
    </row>
    <row r="2945" spans="1:2">
      <c r="A2945" s="422"/>
      <c r="B2945" s="461"/>
    </row>
    <row r="2946" spans="1:2">
      <c r="A2946" s="422"/>
      <c r="B2946" s="461"/>
    </row>
    <row r="2947" spans="1:2">
      <c r="A2947" s="422"/>
      <c r="B2947" s="461"/>
    </row>
    <row r="2948" spans="1:2">
      <c r="A2948" s="422"/>
      <c r="B2948" s="461"/>
    </row>
    <row r="2949" spans="1:2">
      <c r="A2949" s="422"/>
      <c r="B2949" s="461"/>
    </row>
    <row r="2950" spans="1:2">
      <c r="A2950" s="422"/>
      <c r="B2950" s="461"/>
    </row>
    <row r="2951" spans="1:2">
      <c r="A2951" s="422"/>
      <c r="B2951" s="461"/>
    </row>
    <row r="2952" spans="1:2">
      <c r="A2952" s="422"/>
      <c r="B2952" s="461"/>
    </row>
    <row r="2953" spans="1:2">
      <c r="A2953" s="422"/>
      <c r="B2953" s="461"/>
    </row>
    <row r="2954" spans="1:2">
      <c r="A2954" s="422"/>
      <c r="B2954" s="461"/>
    </row>
    <row r="2955" spans="1:2">
      <c r="A2955" s="422"/>
      <c r="B2955" s="461"/>
    </row>
    <row r="2956" spans="1:2">
      <c r="A2956" s="422"/>
      <c r="B2956" s="461"/>
    </row>
    <row r="2957" spans="1:2">
      <c r="A2957" s="422"/>
      <c r="B2957" s="461"/>
    </row>
    <row r="2958" spans="1:2">
      <c r="A2958" s="422"/>
      <c r="B2958" s="461"/>
    </row>
    <row r="2959" spans="1:2">
      <c r="A2959" s="422"/>
      <c r="B2959" s="461"/>
    </row>
    <row r="2960" spans="1:2">
      <c r="A2960" s="422"/>
      <c r="B2960" s="461"/>
    </row>
    <row r="2961" spans="1:2">
      <c r="A2961" s="422"/>
      <c r="B2961" s="461"/>
    </row>
    <row r="2962" spans="1:2">
      <c r="A2962" s="422"/>
      <c r="B2962" s="461"/>
    </row>
    <row r="2963" spans="1:2">
      <c r="A2963" s="422"/>
      <c r="B2963" s="461"/>
    </row>
    <row r="2964" spans="1:2">
      <c r="A2964" s="422"/>
      <c r="B2964" s="461"/>
    </row>
    <row r="2965" spans="1:2">
      <c r="A2965" s="422"/>
      <c r="B2965" s="461"/>
    </row>
    <row r="2966" spans="1:2">
      <c r="A2966" s="422"/>
      <c r="B2966" s="461"/>
    </row>
    <row r="2967" spans="1:2">
      <c r="A2967" s="422"/>
      <c r="B2967" s="461"/>
    </row>
    <row r="2968" spans="1:2">
      <c r="A2968" s="422"/>
      <c r="B2968" s="461"/>
    </row>
    <row r="2969" spans="1:2">
      <c r="A2969" s="422"/>
      <c r="B2969" s="461"/>
    </row>
    <row r="2970" spans="1:2">
      <c r="A2970" s="422"/>
      <c r="B2970" s="461"/>
    </row>
    <row r="2971" spans="1:2">
      <c r="A2971" s="422"/>
      <c r="B2971" s="461"/>
    </row>
    <row r="2972" spans="1:2">
      <c r="A2972" s="422"/>
      <c r="B2972" s="461"/>
    </row>
    <row r="2973" spans="1:2">
      <c r="A2973" s="422"/>
      <c r="B2973" s="461"/>
    </row>
    <row r="2974" spans="1:2">
      <c r="A2974" s="422"/>
      <c r="B2974" s="461"/>
    </row>
    <row r="2975" spans="1:2">
      <c r="A2975" s="422"/>
      <c r="B2975" s="461"/>
    </row>
    <row r="2976" spans="1:2">
      <c r="A2976" s="422"/>
      <c r="B2976" s="461"/>
    </row>
    <row r="2977" spans="1:2">
      <c r="A2977" s="422"/>
      <c r="B2977" s="461"/>
    </row>
    <row r="2978" spans="1:2">
      <c r="A2978" s="422"/>
      <c r="B2978" s="461"/>
    </row>
    <row r="2979" spans="1:2">
      <c r="A2979" s="422"/>
      <c r="B2979" s="461"/>
    </row>
    <row r="2980" spans="1:2">
      <c r="A2980" s="422"/>
      <c r="B2980" s="461"/>
    </row>
    <row r="2981" spans="1:2">
      <c r="A2981" s="422"/>
      <c r="B2981" s="461"/>
    </row>
    <row r="2982" spans="1:2">
      <c r="A2982" s="422"/>
      <c r="B2982" s="461"/>
    </row>
    <row r="2983" spans="1:2">
      <c r="A2983" s="422"/>
      <c r="B2983" s="461"/>
    </row>
    <row r="2984" spans="1:2">
      <c r="A2984" s="422"/>
      <c r="B2984" s="461"/>
    </row>
    <row r="2985" spans="1:2">
      <c r="A2985" s="422"/>
      <c r="B2985" s="461"/>
    </row>
    <row r="2986" spans="1:2">
      <c r="A2986" s="422"/>
      <c r="B2986" s="461"/>
    </row>
    <row r="2987" spans="1:2">
      <c r="A2987" s="422"/>
      <c r="B2987" s="461"/>
    </row>
    <row r="2988" spans="1:2">
      <c r="A2988" s="422"/>
      <c r="B2988" s="461"/>
    </row>
    <row r="2989" spans="1:2">
      <c r="A2989" s="422"/>
      <c r="B2989" s="461"/>
    </row>
    <row r="2990" spans="1:2">
      <c r="A2990" s="422"/>
      <c r="B2990" s="461"/>
    </row>
    <row r="2991" spans="1:2">
      <c r="A2991" s="422"/>
      <c r="B2991" s="461"/>
    </row>
    <row r="2992" spans="1:2">
      <c r="A2992" s="422"/>
      <c r="B2992" s="461"/>
    </row>
    <row r="2993" spans="1:2">
      <c r="A2993" s="422"/>
      <c r="B2993" s="461"/>
    </row>
    <row r="2994" spans="1:2">
      <c r="A2994" s="422"/>
      <c r="B2994" s="461"/>
    </row>
    <row r="2995" spans="1:2">
      <c r="A2995" s="422"/>
      <c r="B2995" s="461"/>
    </row>
    <row r="2996" spans="1:2">
      <c r="A2996" s="422"/>
      <c r="B2996" s="461"/>
    </row>
    <row r="2997" spans="1:2">
      <c r="A2997" s="422"/>
      <c r="B2997" s="461"/>
    </row>
    <row r="2998" spans="1:2">
      <c r="A2998" s="422"/>
      <c r="B2998" s="461"/>
    </row>
    <row r="2999" spans="1:2">
      <c r="A2999" s="422"/>
      <c r="B2999" s="461"/>
    </row>
    <row r="3000" spans="1:2">
      <c r="A3000" s="422"/>
      <c r="B3000" s="461"/>
    </row>
    <row r="3001" spans="1:2">
      <c r="A3001" s="422"/>
      <c r="B3001" s="461"/>
    </row>
    <row r="3002" spans="1:2">
      <c r="A3002" s="422"/>
      <c r="B3002" s="461"/>
    </row>
    <row r="3003" spans="1:2">
      <c r="A3003" s="422"/>
      <c r="B3003" s="461"/>
    </row>
    <row r="3004" spans="1:2">
      <c r="A3004" s="422"/>
      <c r="B3004" s="461"/>
    </row>
    <row r="3005" spans="1:2">
      <c r="A3005" s="422"/>
      <c r="B3005" s="461"/>
    </row>
    <row r="3006" spans="1:2">
      <c r="A3006" s="422"/>
      <c r="B3006" s="461"/>
    </row>
    <row r="3007" spans="1:2">
      <c r="A3007" s="422"/>
      <c r="B3007" s="461"/>
    </row>
    <row r="3008" spans="1:2">
      <c r="A3008" s="422"/>
      <c r="B3008" s="461"/>
    </row>
    <row r="3009" spans="1:2">
      <c r="A3009" s="422"/>
      <c r="B3009" s="461"/>
    </row>
    <row r="3010" spans="1:2">
      <c r="A3010" s="422"/>
      <c r="B3010" s="461"/>
    </row>
    <row r="3011" spans="1:2">
      <c r="A3011" s="422"/>
      <c r="B3011" s="461"/>
    </row>
    <row r="3012" spans="1:2">
      <c r="A3012" s="422"/>
      <c r="B3012" s="461"/>
    </row>
    <row r="3013" spans="1:2">
      <c r="A3013" s="422"/>
      <c r="B3013" s="461"/>
    </row>
    <row r="3014" spans="1:2">
      <c r="A3014" s="422"/>
      <c r="B3014" s="461"/>
    </row>
    <row r="3015" spans="1:2">
      <c r="A3015" s="422"/>
      <c r="B3015" s="461"/>
    </row>
    <row r="3016" spans="1:2">
      <c r="A3016" s="422"/>
      <c r="B3016" s="461"/>
    </row>
    <row r="3017" spans="1:2">
      <c r="A3017" s="422"/>
      <c r="B3017" s="461"/>
    </row>
    <row r="3018" spans="1:2">
      <c r="A3018" s="422"/>
      <c r="B3018" s="461"/>
    </row>
    <row r="3019" spans="1:2">
      <c r="A3019" s="422"/>
      <c r="B3019" s="461"/>
    </row>
    <row r="3020" spans="1:2">
      <c r="A3020" s="422"/>
      <c r="B3020" s="461"/>
    </row>
    <row r="3021" spans="1:2">
      <c r="A3021" s="422"/>
      <c r="B3021" s="461"/>
    </row>
    <row r="3022" spans="1:2">
      <c r="A3022" s="422"/>
      <c r="B3022" s="461"/>
    </row>
    <row r="3023" spans="1:2">
      <c r="A3023" s="422"/>
      <c r="B3023" s="461"/>
    </row>
    <row r="3024" spans="1:2">
      <c r="A3024" s="422"/>
      <c r="B3024" s="461"/>
    </row>
    <row r="3025" spans="1:2">
      <c r="A3025" s="422"/>
      <c r="B3025" s="461"/>
    </row>
    <row r="3026" spans="1:2">
      <c r="A3026" s="422"/>
      <c r="B3026" s="461"/>
    </row>
    <row r="3027" spans="1:2">
      <c r="A3027" s="422"/>
      <c r="B3027" s="461"/>
    </row>
    <row r="3028" spans="1:2">
      <c r="A3028" s="422"/>
      <c r="B3028" s="461"/>
    </row>
    <row r="3029" spans="1:2">
      <c r="A3029" s="422"/>
      <c r="B3029" s="461"/>
    </row>
    <row r="3030" spans="1:2">
      <c r="A3030" s="422"/>
      <c r="B3030" s="461"/>
    </row>
    <row r="3031" spans="1:2">
      <c r="A3031" s="422"/>
      <c r="B3031" s="461"/>
    </row>
    <row r="3032" spans="1:2">
      <c r="A3032" s="422"/>
      <c r="B3032" s="461"/>
    </row>
    <row r="3033" spans="1:2">
      <c r="A3033" s="422"/>
      <c r="B3033" s="461"/>
    </row>
    <row r="3034" spans="1:2">
      <c r="A3034" s="422"/>
      <c r="B3034" s="461"/>
    </row>
    <row r="3035" spans="1:2">
      <c r="A3035" s="422"/>
      <c r="B3035" s="461"/>
    </row>
    <row r="3036" spans="1:2">
      <c r="A3036" s="422"/>
      <c r="B3036" s="461"/>
    </row>
    <row r="3037" spans="1:2">
      <c r="A3037" s="422"/>
      <c r="B3037" s="461"/>
    </row>
    <row r="3038" spans="1:2">
      <c r="A3038" s="422"/>
      <c r="B3038" s="461"/>
    </row>
    <row r="3039" spans="1:2">
      <c r="A3039" s="422"/>
      <c r="B3039" s="461"/>
    </row>
    <row r="3040" spans="1:2">
      <c r="A3040" s="422"/>
      <c r="B3040" s="461"/>
    </row>
    <row r="3041" spans="1:2">
      <c r="A3041" s="422"/>
      <c r="B3041" s="461"/>
    </row>
    <row r="3042" spans="1:2">
      <c r="A3042" s="422"/>
      <c r="B3042" s="461"/>
    </row>
    <row r="3043" spans="1:2">
      <c r="A3043" s="422"/>
      <c r="B3043" s="461"/>
    </row>
    <row r="3044" spans="1:2">
      <c r="A3044" s="422"/>
      <c r="B3044" s="461"/>
    </row>
    <row r="3045" spans="1:2">
      <c r="A3045" s="422"/>
      <c r="B3045" s="461"/>
    </row>
    <row r="3046" spans="1:2">
      <c r="A3046" s="422"/>
      <c r="B3046" s="461"/>
    </row>
    <row r="3047" spans="1:2">
      <c r="A3047" s="422"/>
      <c r="B3047" s="461"/>
    </row>
    <row r="3048" spans="1:2">
      <c r="A3048" s="422"/>
      <c r="B3048" s="461"/>
    </row>
    <row r="3049" spans="1:2">
      <c r="A3049" s="422"/>
      <c r="B3049" s="461"/>
    </row>
    <row r="3050" spans="1:2">
      <c r="A3050" s="422"/>
      <c r="B3050" s="461"/>
    </row>
    <row r="3051" spans="1:2">
      <c r="A3051" s="422"/>
      <c r="B3051" s="461"/>
    </row>
    <row r="3052" spans="1:2">
      <c r="A3052" s="422"/>
      <c r="B3052" s="461"/>
    </row>
    <row r="3053" spans="1:2">
      <c r="A3053" s="422"/>
      <c r="B3053" s="461"/>
    </row>
    <row r="3054" spans="1:2">
      <c r="A3054" s="422"/>
      <c r="B3054" s="461"/>
    </row>
    <row r="3055" spans="1:2">
      <c r="A3055" s="422"/>
      <c r="B3055" s="461"/>
    </row>
    <row r="3056" spans="1:2">
      <c r="A3056" s="422"/>
      <c r="B3056" s="461"/>
    </row>
    <row r="3057" spans="1:2">
      <c r="A3057" s="422"/>
      <c r="B3057" s="461"/>
    </row>
    <row r="3058" spans="1:2">
      <c r="A3058" s="422"/>
      <c r="B3058" s="461"/>
    </row>
    <row r="3059" spans="1:2">
      <c r="A3059" s="422"/>
      <c r="B3059" s="461"/>
    </row>
    <row r="3060" spans="1:2">
      <c r="A3060" s="422"/>
      <c r="B3060" s="461"/>
    </row>
    <row r="3061" spans="1:2">
      <c r="A3061" s="422"/>
      <c r="B3061" s="461"/>
    </row>
    <row r="3062" spans="1:2">
      <c r="A3062" s="422"/>
      <c r="B3062" s="461"/>
    </row>
    <row r="3063" spans="1:2">
      <c r="A3063" s="422"/>
      <c r="B3063" s="461"/>
    </row>
    <row r="3064" spans="1:2">
      <c r="A3064" s="422"/>
      <c r="B3064" s="461"/>
    </row>
    <row r="3065" spans="1:2">
      <c r="A3065" s="422"/>
      <c r="B3065" s="461"/>
    </row>
    <row r="3066" spans="1:2">
      <c r="A3066" s="422"/>
      <c r="B3066" s="461"/>
    </row>
    <row r="3067" spans="1:2">
      <c r="A3067" s="422"/>
      <c r="B3067" s="461"/>
    </row>
    <row r="3068" spans="1:2">
      <c r="A3068" s="422"/>
      <c r="B3068" s="461"/>
    </row>
    <row r="3069" spans="1:2">
      <c r="A3069" s="422"/>
      <c r="B3069" s="461"/>
    </row>
    <row r="3070" spans="1:2">
      <c r="A3070" s="422"/>
      <c r="B3070" s="461"/>
    </row>
    <row r="3071" spans="1:2">
      <c r="A3071" s="422"/>
      <c r="B3071" s="461"/>
    </row>
    <row r="3072" spans="1:2">
      <c r="A3072" s="422"/>
      <c r="B3072" s="461"/>
    </row>
    <row r="3073" spans="1:2">
      <c r="A3073" s="422"/>
      <c r="B3073" s="461"/>
    </row>
    <row r="3074" spans="1:2">
      <c r="A3074" s="422"/>
      <c r="B3074" s="461"/>
    </row>
    <row r="3075" spans="1:2">
      <c r="A3075" s="422"/>
      <c r="B3075" s="461"/>
    </row>
    <row r="3076" spans="1:2">
      <c r="A3076" s="422"/>
      <c r="B3076" s="461"/>
    </row>
    <row r="3077" spans="1:2">
      <c r="A3077" s="422"/>
      <c r="B3077" s="461"/>
    </row>
    <row r="3078" spans="1:2">
      <c r="A3078" s="422"/>
      <c r="B3078" s="461"/>
    </row>
    <row r="3079" spans="1:2">
      <c r="A3079" s="422"/>
      <c r="B3079" s="461"/>
    </row>
    <row r="3080" spans="1:2">
      <c r="A3080" s="422"/>
      <c r="B3080" s="461"/>
    </row>
    <row r="3081" spans="1:2">
      <c r="A3081" s="422"/>
      <c r="B3081" s="461"/>
    </row>
    <row r="3082" spans="1:2">
      <c r="A3082" s="422"/>
      <c r="B3082" s="461"/>
    </row>
    <row r="3083" spans="1:2">
      <c r="A3083" s="422"/>
      <c r="B3083" s="461"/>
    </row>
    <row r="3084" spans="1:2">
      <c r="A3084" s="422"/>
      <c r="B3084" s="461"/>
    </row>
    <row r="3085" spans="1:2">
      <c r="A3085" s="422"/>
      <c r="B3085" s="461"/>
    </row>
    <row r="3086" spans="1:2">
      <c r="A3086" s="422"/>
      <c r="B3086" s="461"/>
    </row>
    <row r="3087" spans="1:2">
      <c r="A3087" s="422"/>
      <c r="B3087" s="461"/>
    </row>
    <row r="3088" spans="1:2">
      <c r="A3088" s="422"/>
      <c r="B3088" s="461"/>
    </row>
    <row r="3089" spans="1:2">
      <c r="A3089" s="422"/>
      <c r="B3089" s="461"/>
    </row>
    <row r="3090" spans="1:2">
      <c r="A3090" s="422"/>
      <c r="B3090" s="461"/>
    </row>
    <row r="3091" spans="1:2">
      <c r="A3091" s="422"/>
      <c r="B3091" s="461"/>
    </row>
    <row r="3092" spans="1:2">
      <c r="A3092" s="422"/>
      <c r="B3092" s="461"/>
    </row>
    <row r="3093" spans="1:2">
      <c r="A3093" s="422"/>
      <c r="B3093" s="461"/>
    </row>
    <row r="3094" spans="1:2">
      <c r="A3094" s="422"/>
      <c r="B3094" s="461"/>
    </row>
    <row r="3095" spans="1:2">
      <c r="A3095" s="422"/>
      <c r="B3095" s="461"/>
    </row>
    <row r="3096" spans="1:2">
      <c r="A3096" s="422"/>
      <c r="B3096" s="461"/>
    </row>
    <row r="3097" spans="1:2">
      <c r="A3097" s="422"/>
      <c r="B3097" s="461"/>
    </row>
    <row r="3098" spans="1:2">
      <c r="A3098" s="422"/>
      <c r="B3098" s="461"/>
    </row>
    <row r="3099" spans="1:2">
      <c r="A3099" s="422"/>
      <c r="B3099" s="461"/>
    </row>
    <row r="3100" spans="1:2">
      <c r="A3100" s="422"/>
      <c r="B3100" s="461"/>
    </row>
    <row r="3101" spans="1:2">
      <c r="A3101" s="422"/>
      <c r="B3101" s="461"/>
    </row>
    <row r="3102" spans="1:2">
      <c r="A3102" s="422"/>
      <c r="B3102" s="461"/>
    </row>
    <row r="3103" spans="1:2">
      <c r="A3103" s="422"/>
      <c r="B3103" s="461"/>
    </row>
    <row r="3104" spans="1:2">
      <c r="A3104" s="422"/>
      <c r="B3104" s="461"/>
    </row>
    <row r="3105" spans="1:2">
      <c r="A3105" s="422"/>
      <c r="B3105" s="461"/>
    </row>
    <row r="3106" spans="1:2">
      <c r="A3106" s="422"/>
      <c r="B3106" s="461"/>
    </row>
    <row r="3107" spans="1:2">
      <c r="A3107" s="422"/>
      <c r="B3107" s="461"/>
    </row>
    <row r="3108" spans="1:2">
      <c r="A3108" s="422"/>
      <c r="B3108" s="461"/>
    </row>
    <row r="3109" spans="1:2">
      <c r="A3109" s="422"/>
      <c r="B3109" s="461"/>
    </row>
    <row r="3110" spans="1:2">
      <c r="A3110" s="422"/>
      <c r="B3110" s="461"/>
    </row>
    <row r="3111" spans="1:2">
      <c r="A3111" s="422"/>
      <c r="B3111" s="461"/>
    </row>
    <row r="3112" spans="1:2">
      <c r="A3112" s="422"/>
      <c r="B3112" s="461"/>
    </row>
    <row r="3113" spans="1:2">
      <c r="A3113" s="422"/>
      <c r="B3113" s="461"/>
    </row>
    <row r="3114" spans="1:2">
      <c r="A3114" s="422"/>
      <c r="B3114" s="461"/>
    </row>
    <row r="3115" spans="1:2">
      <c r="A3115" s="422"/>
      <c r="B3115" s="461"/>
    </row>
    <row r="3116" spans="1:2">
      <c r="A3116" s="422"/>
      <c r="B3116" s="461"/>
    </row>
    <row r="3117" spans="1:2">
      <c r="A3117" s="422"/>
      <c r="B3117" s="461"/>
    </row>
    <row r="3118" spans="1:2">
      <c r="A3118" s="422"/>
      <c r="B3118" s="461"/>
    </row>
    <row r="3119" spans="1:2">
      <c r="A3119" s="422"/>
      <c r="B3119" s="461"/>
    </row>
    <row r="3120" spans="1:2">
      <c r="A3120" s="422"/>
      <c r="B3120" s="461"/>
    </row>
    <row r="3121" spans="1:2">
      <c r="A3121" s="422"/>
      <c r="B3121" s="461"/>
    </row>
    <row r="3122" spans="1:2">
      <c r="A3122" s="422"/>
      <c r="B3122" s="461"/>
    </row>
    <row r="3123" spans="1:2">
      <c r="A3123" s="422"/>
      <c r="B3123" s="461"/>
    </row>
    <row r="3124" spans="1:2">
      <c r="A3124" s="422"/>
      <c r="B3124" s="461"/>
    </row>
    <row r="3125" spans="1:2">
      <c r="A3125" s="422"/>
      <c r="B3125" s="461"/>
    </row>
    <row r="3126" spans="1:2">
      <c r="A3126" s="422"/>
      <c r="B3126" s="461"/>
    </row>
    <row r="3127" spans="1:2">
      <c r="A3127" s="422"/>
      <c r="B3127" s="461"/>
    </row>
    <row r="3128" spans="1:2">
      <c r="A3128" s="422"/>
      <c r="B3128" s="461"/>
    </row>
    <row r="3129" spans="1:2">
      <c r="A3129" s="422"/>
      <c r="B3129" s="461"/>
    </row>
    <row r="3130" spans="1:2">
      <c r="A3130" s="422"/>
      <c r="B3130" s="461"/>
    </row>
    <row r="3131" spans="1:2">
      <c r="A3131" s="422"/>
      <c r="B3131" s="461"/>
    </row>
    <row r="3132" spans="1:2">
      <c r="A3132" s="422"/>
      <c r="B3132" s="461"/>
    </row>
    <row r="3133" spans="1:2">
      <c r="A3133" s="422"/>
      <c r="B3133" s="461"/>
    </row>
    <row r="3134" spans="1:2">
      <c r="A3134" s="422"/>
      <c r="B3134" s="461"/>
    </row>
    <row r="3135" spans="1:2">
      <c r="A3135" s="422"/>
      <c r="B3135" s="461"/>
    </row>
    <row r="3136" spans="1:2">
      <c r="A3136" s="422"/>
      <c r="B3136" s="461"/>
    </row>
    <row r="3137" spans="1:2">
      <c r="A3137" s="422"/>
      <c r="B3137" s="461"/>
    </row>
    <row r="3138" spans="1:2">
      <c r="A3138" s="422"/>
      <c r="B3138" s="461"/>
    </row>
    <row r="3139" spans="1:2">
      <c r="A3139" s="422"/>
      <c r="B3139" s="461"/>
    </row>
    <row r="3140" spans="1:2">
      <c r="A3140" s="422"/>
      <c r="B3140" s="461"/>
    </row>
    <row r="3141" spans="1:2">
      <c r="A3141" s="422"/>
      <c r="B3141" s="461"/>
    </row>
    <row r="3142" spans="1:2">
      <c r="A3142" s="422"/>
      <c r="B3142" s="461"/>
    </row>
    <row r="3143" spans="1:2">
      <c r="A3143" s="422"/>
      <c r="B3143" s="461"/>
    </row>
    <row r="3144" spans="1:2">
      <c r="A3144" s="422"/>
      <c r="B3144" s="461"/>
    </row>
    <row r="3145" spans="1:2">
      <c r="A3145" s="422"/>
      <c r="B3145" s="461"/>
    </row>
    <row r="3146" spans="1:2">
      <c r="A3146" s="422"/>
      <c r="B3146" s="461"/>
    </row>
    <row r="3147" spans="1:2">
      <c r="A3147" s="422"/>
      <c r="B3147" s="461"/>
    </row>
    <row r="3148" spans="1:2">
      <c r="A3148" s="422"/>
      <c r="B3148" s="461"/>
    </row>
    <row r="3149" spans="1:2">
      <c r="A3149" s="422"/>
      <c r="B3149" s="461"/>
    </row>
    <row r="3150" spans="1:2">
      <c r="A3150" s="422"/>
      <c r="B3150" s="461"/>
    </row>
    <row r="3151" spans="1:2">
      <c r="A3151" s="422"/>
      <c r="B3151" s="461"/>
    </row>
    <row r="3152" spans="1:2">
      <c r="A3152" s="422"/>
      <c r="B3152" s="461"/>
    </row>
    <row r="3153" spans="1:2">
      <c r="A3153" s="422"/>
      <c r="B3153" s="461"/>
    </row>
    <row r="3154" spans="1:2">
      <c r="A3154" s="422"/>
      <c r="B3154" s="461"/>
    </row>
    <row r="3155" spans="1:2">
      <c r="A3155" s="422"/>
      <c r="B3155" s="461"/>
    </row>
    <row r="3156" spans="1:2">
      <c r="A3156" s="422"/>
      <c r="B3156" s="461"/>
    </row>
    <row r="3157" spans="1:2">
      <c r="A3157" s="422"/>
      <c r="B3157" s="461"/>
    </row>
    <row r="3158" spans="1:2">
      <c r="A3158" s="422"/>
      <c r="B3158" s="461"/>
    </row>
    <row r="3159" spans="1:2">
      <c r="A3159" s="422"/>
      <c r="B3159" s="461"/>
    </row>
    <row r="3160" spans="1:2">
      <c r="A3160" s="422"/>
      <c r="B3160" s="461"/>
    </row>
    <row r="3161" spans="1:2">
      <c r="A3161" s="422"/>
      <c r="B3161" s="461"/>
    </row>
    <row r="3162" spans="1:2">
      <c r="A3162" s="422"/>
      <c r="B3162" s="461"/>
    </row>
    <row r="3163" spans="1:2">
      <c r="A3163" s="422"/>
      <c r="B3163" s="461"/>
    </row>
    <row r="3164" spans="1:2">
      <c r="A3164" s="422"/>
      <c r="B3164" s="461"/>
    </row>
    <row r="3165" spans="1:2">
      <c r="A3165" s="422"/>
      <c r="B3165" s="461"/>
    </row>
    <row r="3166" spans="1:2">
      <c r="A3166" s="422"/>
      <c r="B3166" s="461"/>
    </row>
    <row r="3167" spans="1:2">
      <c r="A3167" s="422"/>
      <c r="B3167" s="461"/>
    </row>
    <row r="3168" spans="1:2">
      <c r="A3168" s="422"/>
      <c r="B3168" s="461"/>
    </row>
    <row r="3169" spans="1:2">
      <c r="A3169" s="422"/>
      <c r="B3169" s="461"/>
    </row>
    <row r="3170" spans="1:2">
      <c r="A3170" s="422"/>
      <c r="B3170" s="461"/>
    </row>
    <row r="3171" spans="1:2">
      <c r="A3171" s="422"/>
      <c r="B3171" s="461"/>
    </row>
    <row r="3172" spans="1:2">
      <c r="A3172" s="422"/>
      <c r="B3172" s="461"/>
    </row>
    <row r="3173" spans="1:2">
      <c r="A3173" s="422"/>
      <c r="B3173" s="461"/>
    </row>
    <row r="3174" spans="1:2">
      <c r="A3174" s="422"/>
      <c r="B3174" s="461"/>
    </row>
    <row r="3175" spans="1:2">
      <c r="A3175" s="422"/>
      <c r="B3175" s="461"/>
    </row>
    <row r="3176" spans="1:2">
      <c r="A3176" s="422"/>
      <c r="B3176" s="461"/>
    </row>
    <row r="3177" spans="1:2">
      <c r="A3177" s="422"/>
      <c r="B3177" s="461"/>
    </row>
    <row r="3178" spans="1:2">
      <c r="A3178" s="422"/>
      <c r="B3178" s="461"/>
    </row>
    <row r="3179" spans="1:2">
      <c r="A3179" s="422"/>
      <c r="B3179" s="461"/>
    </row>
    <row r="3180" spans="1:2">
      <c r="A3180" s="422"/>
      <c r="B3180" s="461"/>
    </row>
    <row r="3181" spans="1:2">
      <c r="A3181" s="422"/>
      <c r="B3181" s="461"/>
    </row>
    <row r="3182" spans="1:2">
      <c r="A3182" s="422"/>
      <c r="B3182" s="461"/>
    </row>
    <row r="3183" spans="1:2">
      <c r="A3183" s="422"/>
      <c r="B3183" s="461"/>
    </row>
    <row r="3184" spans="1:2">
      <c r="A3184" s="422"/>
      <c r="B3184" s="461"/>
    </row>
    <row r="3185" spans="1:2">
      <c r="A3185" s="422"/>
      <c r="B3185" s="461"/>
    </row>
    <row r="3186" spans="1:2">
      <c r="A3186" s="422"/>
      <c r="B3186" s="461"/>
    </row>
    <row r="3187" spans="1:2">
      <c r="A3187" s="422"/>
      <c r="B3187" s="461"/>
    </row>
    <row r="3188" spans="1:2">
      <c r="A3188" s="422"/>
      <c r="B3188" s="461"/>
    </row>
    <row r="3189" spans="1:2">
      <c r="A3189" s="422"/>
      <c r="B3189" s="461"/>
    </row>
    <row r="3190" spans="1:2">
      <c r="A3190" s="422"/>
      <c r="B3190" s="461"/>
    </row>
    <row r="3191" spans="1:2">
      <c r="A3191" s="422"/>
      <c r="B3191" s="461"/>
    </row>
    <row r="3192" spans="1:2">
      <c r="A3192" s="422"/>
      <c r="B3192" s="461"/>
    </row>
    <row r="3193" spans="1:2">
      <c r="A3193" s="422"/>
      <c r="B3193" s="461"/>
    </row>
    <row r="3194" spans="1:2">
      <c r="A3194" s="422"/>
      <c r="B3194" s="461"/>
    </row>
    <row r="3195" spans="1:2">
      <c r="A3195" s="422"/>
      <c r="B3195" s="461"/>
    </row>
    <row r="3196" spans="1:2">
      <c r="A3196" s="422"/>
      <c r="B3196" s="461"/>
    </row>
    <row r="3197" spans="1:2">
      <c r="A3197" s="422"/>
      <c r="B3197" s="461"/>
    </row>
    <row r="3198" spans="1:2">
      <c r="A3198" s="422"/>
      <c r="B3198" s="461"/>
    </row>
    <row r="3199" spans="1:2">
      <c r="A3199" s="422"/>
      <c r="B3199" s="461"/>
    </row>
    <row r="3200" spans="1:2">
      <c r="A3200" s="422"/>
      <c r="B3200" s="461"/>
    </row>
    <row r="3201" spans="1:2">
      <c r="A3201" s="422"/>
      <c r="B3201" s="461"/>
    </row>
    <row r="3202" spans="1:2">
      <c r="A3202" s="422"/>
      <c r="B3202" s="461"/>
    </row>
    <row r="3203" spans="1:2">
      <c r="A3203" s="422"/>
      <c r="B3203" s="461"/>
    </row>
    <row r="3204" spans="1:2">
      <c r="A3204" s="422"/>
      <c r="B3204" s="461"/>
    </row>
    <row r="3205" spans="1:2">
      <c r="A3205" s="422"/>
      <c r="B3205" s="461"/>
    </row>
    <row r="3206" spans="1:2">
      <c r="A3206" s="422"/>
      <c r="B3206" s="461"/>
    </row>
    <row r="3207" spans="1:2">
      <c r="A3207" s="422"/>
      <c r="B3207" s="461"/>
    </row>
    <row r="3208" spans="1:2">
      <c r="A3208" s="422"/>
      <c r="B3208" s="461"/>
    </row>
    <row r="3209" spans="1:2">
      <c r="A3209" s="422"/>
      <c r="B3209" s="461"/>
    </row>
    <row r="3210" spans="1:2">
      <c r="A3210" s="422"/>
      <c r="B3210" s="461"/>
    </row>
    <row r="3211" spans="1:2">
      <c r="A3211" s="422"/>
      <c r="B3211" s="461"/>
    </row>
    <row r="3212" spans="1:2">
      <c r="A3212" s="422"/>
      <c r="B3212" s="461"/>
    </row>
    <row r="3213" spans="1:2">
      <c r="A3213" s="422"/>
      <c r="B3213" s="461"/>
    </row>
    <row r="3214" spans="1:2">
      <c r="A3214" s="422"/>
      <c r="B3214" s="461"/>
    </row>
    <row r="3215" spans="1:2">
      <c r="A3215" s="422"/>
      <c r="B3215" s="461"/>
    </row>
    <row r="3216" spans="1:2">
      <c r="A3216" s="422"/>
      <c r="B3216" s="461"/>
    </row>
    <row r="3217" spans="1:2">
      <c r="A3217" s="422"/>
      <c r="B3217" s="461"/>
    </row>
    <row r="3218" spans="1:2">
      <c r="A3218" s="422"/>
      <c r="B3218" s="461"/>
    </row>
    <row r="3219" spans="1:2">
      <c r="A3219" s="422"/>
      <c r="B3219" s="461"/>
    </row>
    <row r="3220" spans="1:2">
      <c r="A3220" s="422"/>
      <c r="B3220" s="461"/>
    </row>
    <row r="3221" spans="1:2">
      <c r="A3221" s="422"/>
      <c r="B3221" s="461"/>
    </row>
    <row r="3222" spans="1:2">
      <c r="A3222" s="422"/>
      <c r="B3222" s="461"/>
    </row>
    <row r="3223" spans="1:2">
      <c r="A3223" s="422"/>
      <c r="B3223" s="461"/>
    </row>
    <row r="3224" spans="1:2">
      <c r="A3224" s="422"/>
      <c r="B3224" s="461"/>
    </row>
    <row r="3225" spans="1:2">
      <c r="A3225" s="422"/>
      <c r="B3225" s="461"/>
    </row>
    <row r="3226" spans="1:2">
      <c r="A3226" s="422"/>
      <c r="B3226" s="461"/>
    </row>
    <row r="3227" spans="1:2">
      <c r="A3227" s="422"/>
      <c r="B3227" s="461"/>
    </row>
    <row r="3228" spans="1:2">
      <c r="A3228" s="422"/>
      <c r="B3228" s="461"/>
    </row>
    <row r="3229" spans="1:2">
      <c r="A3229" s="422"/>
      <c r="B3229" s="461"/>
    </row>
    <row r="3230" spans="1:2">
      <c r="A3230" s="422"/>
      <c r="B3230" s="461"/>
    </row>
    <row r="3231" spans="1:2">
      <c r="A3231" s="422"/>
      <c r="B3231" s="461"/>
    </row>
    <row r="3232" spans="1:2">
      <c r="A3232" s="422"/>
      <c r="B3232" s="461"/>
    </row>
    <row r="3233" spans="1:2">
      <c r="A3233" s="422"/>
      <c r="B3233" s="461"/>
    </row>
    <row r="3234" spans="1:2">
      <c r="A3234" s="422"/>
      <c r="B3234" s="461"/>
    </row>
    <row r="3235" spans="1:2">
      <c r="A3235" s="422"/>
      <c r="B3235" s="461"/>
    </row>
    <row r="3236" spans="1:2">
      <c r="A3236" s="422"/>
      <c r="B3236" s="461"/>
    </row>
    <row r="3237" spans="1:2">
      <c r="A3237" s="422"/>
      <c r="B3237" s="461"/>
    </row>
    <row r="3238" spans="1:2">
      <c r="A3238" s="422"/>
      <c r="B3238" s="461"/>
    </row>
    <row r="3239" spans="1:2">
      <c r="A3239" s="422"/>
      <c r="B3239" s="461"/>
    </row>
    <row r="3240" spans="1:2">
      <c r="A3240" s="422"/>
      <c r="B3240" s="461"/>
    </row>
    <row r="3241" spans="1:2">
      <c r="A3241" s="422"/>
      <c r="B3241" s="461"/>
    </row>
    <row r="3242" spans="1:2">
      <c r="A3242" s="422"/>
      <c r="B3242" s="461"/>
    </row>
    <row r="3243" spans="1:2">
      <c r="A3243" s="422"/>
      <c r="B3243" s="461"/>
    </row>
    <row r="3244" spans="1:2">
      <c r="A3244" s="422"/>
      <c r="B3244" s="461"/>
    </row>
    <row r="3245" spans="1:2">
      <c r="A3245" s="422"/>
      <c r="B3245" s="461"/>
    </row>
    <row r="3246" spans="1:2">
      <c r="A3246" s="422"/>
      <c r="B3246" s="461"/>
    </row>
    <row r="3247" spans="1:2">
      <c r="A3247" s="422"/>
      <c r="B3247" s="461"/>
    </row>
    <row r="3248" spans="1:2">
      <c r="A3248" s="422"/>
      <c r="B3248" s="461"/>
    </row>
    <row r="3249" spans="1:2">
      <c r="A3249" s="422"/>
      <c r="B3249" s="461"/>
    </row>
    <row r="3250" spans="1:2">
      <c r="A3250" s="422"/>
      <c r="B3250" s="461"/>
    </row>
    <row r="3251" spans="1:2">
      <c r="A3251" s="422"/>
      <c r="B3251" s="461"/>
    </row>
    <row r="3252" spans="1:2">
      <c r="A3252" s="422"/>
      <c r="B3252" s="461"/>
    </row>
    <row r="3253" spans="1:2">
      <c r="A3253" s="422"/>
      <c r="B3253" s="461"/>
    </row>
    <row r="3254" spans="1:2">
      <c r="A3254" s="422"/>
      <c r="B3254" s="461"/>
    </row>
    <row r="3255" spans="1:2">
      <c r="A3255" s="422"/>
      <c r="B3255" s="461"/>
    </row>
    <row r="3256" spans="1:2">
      <c r="A3256" s="422"/>
      <c r="B3256" s="461"/>
    </row>
    <row r="3257" spans="1:2">
      <c r="A3257" s="422"/>
      <c r="B3257" s="461"/>
    </row>
    <row r="3258" spans="1:2">
      <c r="A3258" s="422"/>
      <c r="B3258" s="461"/>
    </row>
    <row r="3259" spans="1:2">
      <c r="A3259" s="422"/>
      <c r="B3259" s="461"/>
    </row>
    <row r="3260" spans="1:2">
      <c r="A3260" s="422"/>
      <c r="B3260" s="461"/>
    </row>
    <row r="3261" spans="1:2">
      <c r="A3261" s="422"/>
      <c r="B3261" s="461"/>
    </row>
    <row r="3262" spans="1:2">
      <c r="A3262" s="422"/>
      <c r="B3262" s="461"/>
    </row>
    <row r="3263" spans="1:2">
      <c r="A3263" s="422"/>
      <c r="B3263" s="461"/>
    </row>
    <row r="3264" spans="1:2">
      <c r="A3264" s="422"/>
      <c r="B3264" s="461"/>
    </row>
    <row r="3265" spans="1:2">
      <c r="A3265" s="422"/>
      <c r="B3265" s="461"/>
    </row>
    <row r="3266" spans="1:2">
      <c r="A3266" s="422"/>
      <c r="B3266" s="461"/>
    </row>
    <row r="3267" spans="1:2">
      <c r="A3267" s="422"/>
      <c r="B3267" s="461"/>
    </row>
    <row r="3268" spans="1:2">
      <c r="A3268" s="422"/>
      <c r="B3268" s="461"/>
    </row>
    <row r="3269" spans="1:2">
      <c r="A3269" s="422"/>
      <c r="B3269" s="461"/>
    </row>
    <row r="3270" spans="1:2">
      <c r="A3270" s="422"/>
      <c r="B3270" s="461"/>
    </row>
    <row r="3271" spans="1:2">
      <c r="A3271" s="422"/>
      <c r="B3271" s="461"/>
    </row>
    <row r="3272" spans="1:2">
      <c r="A3272" s="422"/>
      <c r="B3272" s="461"/>
    </row>
    <row r="3273" spans="1:2">
      <c r="A3273" s="422"/>
      <c r="B3273" s="461"/>
    </row>
    <row r="3274" spans="1:2">
      <c r="A3274" s="422"/>
      <c r="B3274" s="461"/>
    </row>
    <row r="3275" spans="1:2">
      <c r="A3275" s="422"/>
      <c r="B3275" s="461"/>
    </row>
    <row r="3276" spans="1:2">
      <c r="A3276" s="422"/>
      <c r="B3276" s="461"/>
    </row>
    <row r="3277" spans="1:2">
      <c r="A3277" s="422"/>
      <c r="B3277" s="461"/>
    </row>
    <row r="3278" spans="1:2">
      <c r="A3278" s="422"/>
      <c r="B3278" s="461"/>
    </row>
    <row r="3279" spans="1:2">
      <c r="A3279" s="422"/>
      <c r="B3279" s="461"/>
    </row>
    <row r="3280" spans="1:2">
      <c r="A3280" s="422"/>
      <c r="B3280" s="461"/>
    </row>
    <row r="3281" spans="1:2">
      <c r="A3281" s="422"/>
      <c r="B3281" s="461"/>
    </row>
    <row r="3282" spans="1:2">
      <c r="A3282" s="422"/>
      <c r="B3282" s="461"/>
    </row>
    <row r="3283" spans="1:2">
      <c r="A3283" s="422"/>
      <c r="B3283" s="461"/>
    </row>
    <row r="3284" spans="1:2">
      <c r="A3284" s="422"/>
      <c r="B3284" s="461"/>
    </row>
    <row r="3285" spans="1:2">
      <c r="A3285" s="422"/>
      <c r="B3285" s="461"/>
    </row>
    <row r="3286" spans="1:2">
      <c r="A3286" s="422"/>
      <c r="B3286" s="461"/>
    </row>
    <row r="3287" spans="1:2">
      <c r="A3287" s="422"/>
      <c r="B3287" s="461"/>
    </row>
    <row r="3288" spans="1:2">
      <c r="A3288" s="422"/>
      <c r="B3288" s="461"/>
    </row>
    <row r="3289" spans="1:2">
      <c r="A3289" s="422"/>
      <c r="B3289" s="461"/>
    </row>
    <row r="3290" spans="1:2">
      <c r="A3290" s="422"/>
      <c r="B3290" s="461"/>
    </row>
    <row r="3291" spans="1:2">
      <c r="A3291" s="422"/>
      <c r="B3291" s="461"/>
    </row>
    <row r="3292" spans="1:2">
      <c r="A3292" s="422"/>
      <c r="B3292" s="461"/>
    </row>
    <row r="3293" spans="1:2">
      <c r="A3293" s="422"/>
      <c r="B3293" s="461"/>
    </row>
    <row r="3294" spans="1:2">
      <c r="A3294" s="422"/>
      <c r="B3294" s="461"/>
    </row>
    <row r="3295" spans="1:2">
      <c r="A3295" s="422"/>
      <c r="B3295" s="461"/>
    </row>
    <row r="3296" spans="1:2">
      <c r="A3296" s="422"/>
      <c r="B3296" s="461"/>
    </row>
    <row r="3297" spans="1:2">
      <c r="A3297" s="422"/>
      <c r="B3297" s="461"/>
    </row>
    <row r="3298" spans="1:2">
      <c r="A3298" s="422"/>
      <c r="B3298" s="461"/>
    </row>
    <row r="3299" spans="1:2">
      <c r="A3299" s="422"/>
      <c r="B3299" s="461"/>
    </row>
    <row r="3300" spans="1:2">
      <c r="A3300" s="422"/>
      <c r="B3300" s="461"/>
    </row>
    <row r="3301" spans="1:2">
      <c r="A3301" s="422"/>
      <c r="B3301" s="461"/>
    </row>
    <row r="3302" spans="1:2">
      <c r="A3302" s="422"/>
      <c r="B3302" s="461"/>
    </row>
    <row r="3303" spans="1:2">
      <c r="A3303" s="422"/>
      <c r="B3303" s="461"/>
    </row>
    <row r="3304" spans="1:2">
      <c r="A3304" s="422"/>
      <c r="B3304" s="461"/>
    </row>
    <row r="3305" spans="1:2">
      <c r="A3305" s="422"/>
      <c r="B3305" s="461"/>
    </row>
    <row r="3306" spans="1:2">
      <c r="A3306" s="422"/>
      <c r="B3306" s="461"/>
    </row>
    <row r="3307" spans="1:2">
      <c r="A3307" s="422"/>
      <c r="B3307" s="461"/>
    </row>
    <row r="3308" spans="1:2">
      <c r="A3308" s="422"/>
      <c r="B3308" s="461"/>
    </row>
    <row r="3309" spans="1:2">
      <c r="A3309" s="422"/>
      <c r="B3309" s="461"/>
    </row>
    <row r="3310" spans="1:2">
      <c r="A3310" s="422"/>
      <c r="B3310" s="461"/>
    </row>
    <row r="3311" spans="1:2">
      <c r="A3311" s="422"/>
      <c r="B3311" s="461"/>
    </row>
    <row r="3312" spans="1:2">
      <c r="A3312" s="422"/>
      <c r="B3312" s="461"/>
    </row>
    <row r="3313" spans="1:2">
      <c r="A3313" s="422"/>
      <c r="B3313" s="461"/>
    </row>
    <row r="3314" spans="1:2">
      <c r="A3314" s="422"/>
      <c r="B3314" s="461"/>
    </row>
    <row r="3315" spans="1:2">
      <c r="A3315" s="422"/>
      <c r="B3315" s="461"/>
    </row>
    <row r="3316" spans="1:2">
      <c r="A3316" s="422"/>
      <c r="B3316" s="461"/>
    </row>
    <row r="3317" spans="1:2">
      <c r="A3317" s="422"/>
      <c r="B3317" s="461"/>
    </row>
    <row r="3318" spans="1:2">
      <c r="A3318" s="422"/>
      <c r="B3318" s="461"/>
    </row>
    <row r="3319" spans="1:2">
      <c r="A3319" s="422"/>
      <c r="B3319" s="461"/>
    </row>
    <row r="3320" spans="1:2">
      <c r="A3320" s="422"/>
      <c r="B3320" s="461"/>
    </row>
    <row r="3321" spans="1:2">
      <c r="A3321" s="422"/>
      <c r="B3321" s="461"/>
    </row>
    <row r="3322" spans="1:2">
      <c r="A3322" s="422"/>
      <c r="B3322" s="461"/>
    </row>
    <row r="3323" spans="1:2">
      <c r="A3323" s="422"/>
      <c r="B3323" s="461"/>
    </row>
    <row r="3324" spans="1:2">
      <c r="A3324" s="422"/>
      <c r="B3324" s="461"/>
    </row>
    <row r="3325" spans="1:2">
      <c r="A3325" s="422"/>
      <c r="B3325" s="461"/>
    </row>
    <row r="3326" spans="1:2">
      <c r="A3326" s="422"/>
      <c r="B3326" s="461"/>
    </row>
    <row r="3327" spans="1:2">
      <c r="A3327" s="422"/>
      <c r="B3327" s="461"/>
    </row>
    <row r="3328" spans="1:2">
      <c r="A3328" s="422"/>
      <c r="B3328" s="461"/>
    </row>
    <row r="3329" spans="1:2">
      <c r="A3329" s="422"/>
      <c r="B3329" s="461"/>
    </row>
    <row r="3330" spans="1:2">
      <c r="A3330" s="422"/>
      <c r="B3330" s="461"/>
    </row>
    <row r="3331" spans="1:2">
      <c r="A3331" s="422"/>
      <c r="B3331" s="461"/>
    </row>
    <row r="3332" spans="1:2">
      <c r="A3332" s="422"/>
      <c r="B3332" s="461"/>
    </row>
    <row r="3333" spans="1:2">
      <c r="A3333" s="422"/>
      <c r="B3333" s="461"/>
    </row>
    <row r="3334" spans="1:2">
      <c r="A3334" s="422"/>
      <c r="B3334" s="461"/>
    </row>
    <row r="3335" spans="1:2">
      <c r="A3335" s="422"/>
      <c r="B3335" s="461"/>
    </row>
    <row r="3336" spans="1:2">
      <c r="A3336" s="422"/>
      <c r="B3336" s="461"/>
    </row>
    <row r="3337" spans="1:2">
      <c r="A3337" s="422"/>
      <c r="B3337" s="461"/>
    </row>
    <row r="3338" spans="1:2">
      <c r="A3338" s="422"/>
      <c r="B3338" s="461"/>
    </row>
    <row r="3339" spans="1:2">
      <c r="A3339" s="422"/>
      <c r="B3339" s="461"/>
    </row>
    <row r="3340" spans="1:2">
      <c r="A3340" s="422"/>
      <c r="B3340" s="461"/>
    </row>
    <row r="3341" spans="1:2">
      <c r="A3341" s="422"/>
      <c r="B3341" s="461"/>
    </row>
    <row r="3342" spans="1:2">
      <c r="A3342" s="422"/>
      <c r="B3342" s="461"/>
    </row>
    <row r="3343" spans="1:2">
      <c r="A3343" s="422"/>
      <c r="B3343" s="461"/>
    </row>
    <row r="3344" spans="1:2">
      <c r="A3344" s="422"/>
      <c r="B3344" s="461"/>
    </row>
    <row r="3345" spans="1:2">
      <c r="A3345" s="422"/>
      <c r="B3345" s="461"/>
    </row>
    <row r="3346" spans="1:2">
      <c r="A3346" s="422"/>
      <c r="B3346" s="461"/>
    </row>
    <row r="3347" spans="1:2">
      <c r="A3347" s="422"/>
      <c r="B3347" s="461"/>
    </row>
    <row r="3348" spans="1:2">
      <c r="A3348" s="422"/>
      <c r="B3348" s="461"/>
    </row>
    <row r="3349" spans="1:2">
      <c r="A3349" s="422"/>
      <c r="B3349" s="461"/>
    </row>
    <row r="3350" spans="1:2">
      <c r="A3350" s="422"/>
      <c r="B3350" s="461"/>
    </row>
    <row r="3351" spans="1:2">
      <c r="A3351" s="422"/>
      <c r="B3351" s="461"/>
    </row>
    <row r="3352" spans="1:2">
      <c r="A3352" s="422"/>
      <c r="B3352" s="461"/>
    </row>
    <row r="3353" spans="1:2">
      <c r="A3353" s="422"/>
      <c r="B3353" s="461"/>
    </row>
    <row r="3354" spans="1:2">
      <c r="A3354" s="422"/>
      <c r="B3354" s="461"/>
    </row>
    <row r="3355" spans="1:2">
      <c r="A3355" s="422"/>
      <c r="B3355" s="461"/>
    </row>
    <row r="3356" spans="1:2">
      <c r="A3356" s="422"/>
      <c r="B3356" s="461"/>
    </row>
    <row r="3357" spans="1:2">
      <c r="A3357" s="422"/>
      <c r="B3357" s="461"/>
    </row>
    <row r="3358" spans="1:2">
      <c r="A3358" s="422"/>
      <c r="B3358" s="461"/>
    </row>
    <row r="3359" spans="1:2">
      <c r="A3359" s="422"/>
      <c r="B3359" s="461"/>
    </row>
    <row r="3360" spans="1:2">
      <c r="A3360" s="422"/>
      <c r="B3360" s="461"/>
    </row>
    <row r="3361" spans="1:2">
      <c r="A3361" s="422"/>
      <c r="B3361" s="461"/>
    </row>
    <row r="3362" spans="1:2">
      <c r="A3362" s="422"/>
      <c r="B3362" s="461"/>
    </row>
    <row r="3363" spans="1:2">
      <c r="A3363" s="422"/>
      <c r="B3363" s="461"/>
    </row>
    <row r="3364" spans="1:2">
      <c r="A3364" s="422"/>
      <c r="B3364" s="461"/>
    </row>
    <row r="3365" spans="1:2">
      <c r="A3365" s="422"/>
      <c r="B3365" s="461"/>
    </row>
    <row r="3366" spans="1:2">
      <c r="A3366" s="422"/>
      <c r="B3366" s="461"/>
    </row>
    <row r="3367" spans="1:2">
      <c r="A3367" s="422"/>
      <c r="B3367" s="461"/>
    </row>
    <row r="3368" spans="1:2">
      <c r="A3368" s="422"/>
      <c r="B3368" s="461"/>
    </row>
    <row r="3369" spans="1:2">
      <c r="A3369" s="422"/>
      <c r="B3369" s="461"/>
    </row>
    <row r="3370" spans="1:2">
      <c r="A3370" s="422"/>
      <c r="B3370" s="461"/>
    </row>
    <row r="3371" spans="1:2">
      <c r="A3371" s="422"/>
      <c r="B3371" s="461"/>
    </row>
    <row r="3372" spans="1:2">
      <c r="A3372" s="422"/>
      <c r="B3372" s="461"/>
    </row>
    <row r="3373" spans="1:2">
      <c r="A3373" s="422"/>
      <c r="B3373" s="461"/>
    </row>
    <row r="3374" spans="1:2">
      <c r="A3374" s="422"/>
      <c r="B3374" s="461"/>
    </row>
    <row r="3375" spans="1:2">
      <c r="A3375" s="422"/>
      <c r="B3375" s="461"/>
    </row>
    <row r="3376" spans="1:2">
      <c r="A3376" s="422"/>
      <c r="B3376" s="461"/>
    </row>
    <row r="3377" spans="1:2">
      <c r="A3377" s="422"/>
      <c r="B3377" s="461"/>
    </row>
    <row r="3378" spans="1:2">
      <c r="A3378" s="422"/>
      <c r="B3378" s="461"/>
    </row>
    <row r="3379" spans="1:2">
      <c r="A3379" s="422"/>
      <c r="B3379" s="461"/>
    </row>
    <row r="3380" spans="1:2">
      <c r="A3380" s="422"/>
      <c r="B3380" s="461"/>
    </row>
    <row r="3381" spans="1:2">
      <c r="A3381" s="422"/>
      <c r="B3381" s="461"/>
    </row>
    <row r="3382" spans="1:2">
      <c r="A3382" s="422"/>
      <c r="B3382" s="461"/>
    </row>
    <row r="3383" spans="1:2">
      <c r="A3383" s="422"/>
      <c r="B3383" s="461"/>
    </row>
    <row r="3384" spans="1:2">
      <c r="A3384" s="422"/>
      <c r="B3384" s="461"/>
    </row>
    <row r="3385" spans="1:2">
      <c r="A3385" s="422"/>
      <c r="B3385" s="461"/>
    </row>
    <row r="3386" spans="1:2">
      <c r="A3386" s="422"/>
      <c r="B3386" s="461"/>
    </row>
    <row r="3387" spans="1:2">
      <c r="A3387" s="422"/>
      <c r="B3387" s="461"/>
    </row>
    <row r="3388" spans="1:2">
      <c r="A3388" s="422"/>
      <c r="B3388" s="461"/>
    </row>
    <row r="3389" spans="1:2">
      <c r="A3389" s="422"/>
      <c r="B3389" s="461"/>
    </row>
    <row r="3390" spans="1:2">
      <c r="A3390" s="422"/>
      <c r="B3390" s="461"/>
    </row>
    <row r="3391" spans="1:2">
      <c r="A3391" s="422"/>
      <c r="B3391" s="461"/>
    </row>
    <row r="3392" spans="1:2">
      <c r="A3392" s="422"/>
      <c r="B3392" s="461"/>
    </row>
    <row r="3393" spans="1:2">
      <c r="A3393" s="422"/>
      <c r="B3393" s="461"/>
    </row>
    <row r="3394" spans="1:2">
      <c r="A3394" s="422"/>
      <c r="B3394" s="461"/>
    </row>
    <row r="3395" spans="1:2">
      <c r="A3395" s="422"/>
      <c r="B3395" s="461"/>
    </row>
    <row r="3396" spans="1:2">
      <c r="A3396" s="422"/>
      <c r="B3396" s="461"/>
    </row>
    <row r="3397" spans="1:2">
      <c r="A3397" s="422"/>
      <c r="B3397" s="461"/>
    </row>
    <row r="3398" spans="1:2">
      <c r="A3398" s="422"/>
      <c r="B3398" s="461"/>
    </row>
    <row r="3399" spans="1:2">
      <c r="A3399" s="422"/>
      <c r="B3399" s="461"/>
    </row>
    <row r="3400" spans="1:2">
      <c r="A3400" s="422"/>
      <c r="B3400" s="461"/>
    </row>
    <row r="3401" spans="1:2">
      <c r="A3401" s="422"/>
      <c r="B3401" s="461"/>
    </row>
    <row r="3402" spans="1:2">
      <c r="A3402" s="422"/>
      <c r="B3402" s="461"/>
    </row>
    <row r="3403" spans="1:2">
      <c r="A3403" s="422"/>
      <c r="B3403" s="461"/>
    </row>
    <row r="3404" spans="1:2">
      <c r="A3404" s="422"/>
      <c r="B3404" s="461"/>
    </row>
    <row r="3405" spans="1:2">
      <c r="A3405" s="422"/>
      <c r="B3405" s="461"/>
    </row>
    <row r="3406" spans="1:2">
      <c r="A3406" s="422"/>
      <c r="B3406" s="461"/>
    </row>
    <row r="3407" spans="1:2">
      <c r="A3407" s="422"/>
      <c r="B3407" s="461"/>
    </row>
    <row r="3408" spans="1:2">
      <c r="A3408" s="422"/>
      <c r="B3408" s="461"/>
    </row>
    <row r="3409" spans="1:2">
      <c r="A3409" s="422"/>
      <c r="B3409" s="461"/>
    </row>
    <row r="3410" spans="1:2">
      <c r="A3410" s="422"/>
      <c r="B3410" s="461"/>
    </row>
    <row r="3411" spans="1:2">
      <c r="A3411" s="422"/>
      <c r="B3411" s="461"/>
    </row>
    <row r="3412" spans="1:2">
      <c r="A3412" s="422"/>
      <c r="B3412" s="461"/>
    </row>
    <row r="3413" spans="1:2">
      <c r="A3413" s="422"/>
      <c r="B3413" s="461"/>
    </row>
    <row r="3414" spans="1:2">
      <c r="A3414" s="422"/>
      <c r="B3414" s="461"/>
    </row>
    <row r="3415" spans="1:2">
      <c r="A3415" s="422"/>
      <c r="B3415" s="461"/>
    </row>
    <row r="3416" spans="1:2">
      <c r="A3416" s="422"/>
      <c r="B3416" s="461"/>
    </row>
    <row r="3417" spans="1:2">
      <c r="A3417" s="422"/>
      <c r="B3417" s="461"/>
    </row>
    <row r="3418" spans="1:2">
      <c r="A3418" s="422"/>
      <c r="B3418" s="461"/>
    </row>
    <row r="3419" spans="1:2">
      <c r="A3419" s="422"/>
      <c r="B3419" s="461"/>
    </row>
    <row r="3420" spans="1:2">
      <c r="A3420" s="422"/>
      <c r="B3420" s="461"/>
    </row>
    <row r="3421" spans="1:2">
      <c r="A3421" s="422"/>
      <c r="B3421" s="461"/>
    </row>
    <row r="3422" spans="1:2">
      <c r="A3422" s="422"/>
      <c r="B3422" s="461"/>
    </row>
    <row r="3423" spans="1:2">
      <c r="A3423" s="422"/>
      <c r="B3423" s="461"/>
    </row>
    <row r="3424" spans="1:2">
      <c r="A3424" s="422"/>
      <c r="B3424" s="461"/>
    </row>
    <row r="3425" spans="1:2">
      <c r="A3425" s="422"/>
      <c r="B3425" s="461"/>
    </row>
    <row r="3426" spans="1:2">
      <c r="A3426" s="422"/>
      <c r="B3426" s="461"/>
    </row>
    <row r="3427" spans="1:2">
      <c r="A3427" s="422"/>
      <c r="B3427" s="461"/>
    </row>
    <row r="3428" spans="1:2">
      <c r="A3428" s="422"/>
      <c r="B3428" s="461"/>
    </row>
    <row r="3429" spans="1:2">
      <c r="A3429" s="422"/>
      <c r="B3429" s="461"/>
    </row>
    <row r="3430" spans="1:2">
      <c r="A3430" s="422"/>
      <c r="B3430" s="461"/>
    </row>
    <row r="3431" spans="1:2">
      <c r="A3431" s="422"/>
      <c r="B3431" s="461"/>
    </row>
    <row r="3432" spans="1:2">
      <c r="A3432" s="422"/>
      <c r="B3432" s="461"/>
    </row>
    <row r="3433" spans="1:2">
      <c r="A3433" s="422"/>
      <c r="B3433" s="461"/>
    </row>
    <row r="3434" spans="1:2">
      <c r="A3434" s="422"/>
      <c r="B3434" s="461"/>
    </row>
    <row r="3435" spans="1:2">
      <c r="A3435" s="422"/>
      <c r="B3435" s="461"/>
    </row>
    <row r="3436" spans="1:2">
      <c r="A3436" s="422"/>
      <c r="B3436" s="461"/>
    </row>
    <row r="3437" spans="1:2">
      <c r="A3437" s="422"/>
      <c r="B3437" s="461"/>
    </row>
    <row r="3438" spans="1:2">
      <c r="A3438" s="422"/>
      <c r="B3438" s="461"/>
    </row>
    <row r="3439" spans="1:2">
      <c r="A3439" s="422"/>
      <c r="B3439" s="461"/>
    </row>
    <row r="3440" spans="1:2">
      <c r="A3440" s="422"/>
      <c r="B3440" s="461"/>
    </row>
    <row r="3441" spans="1:2">
      <c r="A3441" s="422"/>
      <c r="B3441" s="461"/>
    </row>
    <row r="3442" spans="1:2">
      <c r="A3442" s="422"/>
      <c r="B3442" s="461"/>
    </row>
    <row r="3443" spans="1:2">
      <c r="A3443" s="422"/>
      <c r="B3443" s="461"/>
    </row>
    <row r="3444" spans="1:2">
      <c r="A3444" s="422"/>
      <c r="B3444" s="461"/>
    </row>
    <row r="3445" spans="1:2">
      <c r="A3445" s="422"/>
      <c r="B3445" s="461"/>
    </row>
    <row r="3446" spans="1:2">
      <c r="A3446" s="422"/>
      <c r="B3446" s="461"/>
    </row>
    <row r="3447" spans="1:2">
      <c r="A3447" s="422"/>
      <c r="B3447" s="461"/>
    </row>
    <row r="3448" spans="1:2">
      <c r="A3448" s="422"/>
      <c r="B3448" s="461"/>
    </row>
    <row r="3449" spans="1:2">
      <c r="A3449" s="422"/>
      <c r="B3449" s="461"/>
    </row>
    <row r="3450" spans="1:2">
      <c r="A3450" s="422"/>
      <c r="B3450" s="461"/>
    </row>
    <row r="3451" spans="1:2">
      <c r="A3451" s="422"/>
      <c r="B3451" s="461"/>
    </row>
    <row r="3452" spans="1:2">
      <c r="A3452" s="422"/>
      <c r="B3452" s="461"/>
    </row>
    <row r="3453" spans="1:2">
      <c r="A3453" s="422"/>
      <c r="B3453" s="461"/>
    </row>
    <row r="3454" spans="1:2">
      <c r="A3454" s="422"/>
      <c r="B3454" s="461"/>
    </row>
    <row r="3455" spans="1:2">
      <c r="A3455" s="422"/>
      <c r="B3455" s="461"/>
    </row>
    <row r="3456" spans="1:2">
      <c r="A3456" s="422"/>
      <c r="B3456" s="461"/>
    </row>
    <row r="3457" spans="1:2">
      <c r="A3457" s="422"/>
      <c r="B3457" s="461"/>
    </row>
    <row r="3458" spans="1:2">
      <c r="A3458" s="422"/>
      <c r="B3458" s="461"/>
    </row>
    <row r="3459" spans="1:2">
      <c r="A3459" s="422"/>
      <c r="B3459" s="461"/>
    </row>
    <row r="3460" spans="1:2">
      <c r="A3460" s="422"/>
      <c r="B3460" s="461"/>
    </row>
    <row r="3461" spans="1:2">
      <c r="A3461" s="422"/>
      <c r="B3461" s="461"/>
    </row>
    <row r="3462" spans="1:2">
      <c r="A3462" s="422"/>
      <c r="B3462" s="461"/>
    </row>
    <row r="3463" spans="1:2">
      <c r="A3463" s="422"/>
      <c r="B3463" s="461"/>
    </row>
    <row r="3464" spans="1:2">
      <c r="A3464" s="422"/>
      <c r="B3464" s="461"/>
    </row>
    <row r="3465" spans="1:2">
      <c r="A3465" s="422"/>
      <c r="B3465" s="461"/>
    </row>
    <row r="3466" spans="1:2">
      <c r="A3466" s="422"/>
      <c r="B3466" s="461"/>
    </row>
    <row r="3467" spans="1:2">
      <c r="A3467" s="422"/>
      <c r="B3467" s="461"/>
    </row>
    <row r="3468" spans="1:2">
      <c r="A3468" s="422"/>
      <c r="B3468" s="461"/>
    </row>
    <row r="3469" spans="1:2">
      <c r="A3469" s="422"/>
      <c r="B3469" s="461"/>
    </row>
    <row r="3470" spans="1:2">
      <c r="A3470" s="422"/>
      <c r="B3470" s="461"/>
    </row>
    <row r="3471" spans="1:2">
      <c r="A3471" s="422"/>
      <c r="B3471" s="461"/>
    </row>
    <row r="3472" spans="1:2">
      <c r="A3472" s="422"/>
      <c r="B3472" s="461"/>
    </row>
    <row r="3473" spans="1:2">
      <c r="A3473" s="422"/>
      <c r="B3473" s="461"/>
    </row>
    <row r="3474" spans="1:2">
      <c r="A3474" s="422"/>
      <c r="B3474" s="461"/>
    </row>
    <row r="3475" spans="1:2">
      <c r="A3475" s="422"/>
      <c r="B3475" s="461"/>
    </row>
    <row r="3476" spans="1:2">
      <c r="A3476" s="422"/>
      <c r="B3476" s="461"/>
    </row>
    <row r="3477" spans="1:2">
      <c r="A3477" s="422"/>
      <c r="B3477" s="461"/>
    </row>
    <row r="3478" spans="1:2">
      <c r="A3478" s="422"/>
      <c r="B3478" s="461"/>
    </row>
    <row r="3479" spans="1:2">
      <c r="A3479" s="422"/>
      <c r="B3479" s="461"/>
    </row>
    <row r="3480" spans="1:2">
      <c r="A3480" s="422"/>
      <c r="B3480" s="461"/>
    </row>
    <row r="3481" spans="1:2">
      <c r="A3481" s="422"/>
      <c r="B3481" s="461"/>
    </row>
    <row r="3482" spans="1:2">
      <c r="A3482" s="422"/>
      <c r="B3482" s="461"/>
    </row>
    <row r="3483" spans="1:2">
      <c r="A3483" s="422"/>
      <c r="B3483" s="461"/>
    </row>
    <row r="3484" spans="1:2">
      <c r="A3484" s="422"/>
      <c r="B3484" s="461"/>
    </row>
    <row r="3485" spans="1:2">
      <c r="A3485" s="422"/>
      <c r="B3485" s="461"/>
    </row>
    <row r="3486" spans="1:2">
      <c r="A3486" s="422"/>
      <c r="B3486" s="461"/>
    </row>
    <row r="3487" spans="1:2">
      <c r="A3487" s="422"/>
      <c r="B3487" s="461"/>
    </row>
    <row r="3488" spans="1:2">
      <c r="A3488" s="422"/>
      <c r="B3488" s="461"/>
    </row>
    <row r="3489" spans="1:2">
      <c r="A3489" s="422"/>
      <c r="B3489" s="461"/>
    </row>
    <row r="3490" spans="1:2">
      <c r="A3490" s="422"/>
      <c r="B3490" s="461"/>
    </row>
    <row r="3491" spans="1:2">
      <c r="A3491" s="422"/>
      <c r="B3491" s="461"/>
    </row>
    <row r="3492" spans="1:2">
      <c r="A3492" s="422"/>
      <c r="B3492" s="461"/>
    </row>
    <row r="3493" spans="1:2">
      <c r="A3493" s="422"/>
      <c r="B3493" s="461"/>
    </row>
    <row r="3494" spans="1:2">
      <c r="A3494" s="422"/>
      <c r="B3494" s="461"/>
    </row>
    <row r="3495" spans="1:2">
      <c r="A3495" s="422"/>
      <c r="B3495" s="461"/>
    </row>
    <row r="3496" spans="1:2">
      <c r="A3496" s="422"/>
      <c r="B3496" s="461"/>
    </row>
    <row r="3497" spans="1:2">
      <c r="A3497" s="422"/>
      <c r="B3497" s="461"/>
    </row>
    <row r="3498" spans="1:2">
      <c r="A3498" s="422"/>
      <c r="B3498" s="461"/>
    </row>
    <row r="3499" spans="1:2">
      <c r="A3499" s="422"/>
      <c r="B3499" s="461"/>
    </row>
    <row r="3500" spans="1:2">
      <c r="A3500" s="422"/>
      <c r="B3500" s="461"/>
    </row>
    <row r="3501" spans="1:2">
      <c r="A3501" s="422"/>
      <c r="B3501" s="461"/>
    </row>
    <row r="3502" spans="1:2">
      <c r="A3502" s="422"/>
      <c r="B3502" s="461"/>
    </row>
    <row r="3503" spans="1:2">
      <c r="A3503" s="422"/>
      <c r="B3503" s="461"/>
    </row>
    <row r="3504" spans="1:2">
      <c r="A3504" s="422"/>
      <c r="B3504" s="461"/>
    </row>
    <row r="3505" spans="1:2">
      <c r="A3505" s="422"/>
      <c r="B3505" s="461"/>
    </row>
    <row r="3506" spans="1:2">
      <c r="A3506" s="422"/>
      <c r="B3506" s="461"/>
    </row>
    <row r="3507" spans="1:2">
      <c r="A3507" s="422"/>
      <c r="B3507" s="461"/>
    </row>
    <row r="3508" spans="1:2">
      <c r="A3508" s="422"/>
      <c r="B3508" s="461"/>
    </row>
    <row r="3509" spans="1:2">
      <c r="A3509" s="422"/>
      <c r="B3509" s="461"/>
    </row>
    <row r="3510" spans="1:2">
      <c r="A3510" s="422"/>
      <c r="B3510" s="461"/>
    </row>
    <row r="3511" spans="1:2">
      <c r="A3511" s="422"/>
      <c r="B3511" s="461"/>
    </row>
    <row r="3512" spans="1:2">
      <c r="A3512" s="422"/>
      <c r="B3512" s="461"/>
    </row>
    <row r="3513" spans="1:2">
      <c r="A3513" s="422"/>
      <c r="B3513" s="461"/>
    </row>
    <row r="3514" spans="1:2">
      <c r="A3514" s="422"/>
      <c r="B3514" s="461"/>
    </row>
    <row r="3515" spans="1:2">
      <c r="A3515" s="422"/>
      <c r="B3515" s="461"/>
    </row>
    <row r="3516" spans="1:2">
      <c r="A3516" s="422"/>
      <c r="B3516" s="461"/>
    </row>
    <row r="3517" spans="1:2">
      <c r="A3517" s="422"/>
      <c r="B3517" s="461"/>
    </row>
    <row r="3518" spans="1:2">
      <c r="A3518" s="422"/>
      <c r="B3518" s="461"/>
    </row>
    <row r="3519" spans="1:2">
      <c r="A3519" s="422"/>
      <c r="B3519" s="461"/>
    </row>
    <row r="3520" spans="1:2">
      <c r="A3520" s="422"/>
      <c r="B3520" s="461"/>
    </row>
    <row r="3521" spans="1:2">
      <c r="A3521" s="422"/>
      <c r="B3521" s="461"/>
    </row>
    <row r="3522" spans="1:2">
      <c r="A3522" s="422"/>
      <c r="B3522" s="461"/>
    </row>
    <row r="3523" spans="1:2">
      <c r="A3523" s="422"/>
      <c r="B3523" s="461"/>
    </row>
    <row r="3524" spans="1:2">
      <c r="A3524" s="422"/>
      <c r="B3524" s="461"/>
    </row>
    <row r="3525" spans="1:2">
      <c r="A3525" s="422"/>
      <c r="B3525" s="461"/>
    </row>
    <row r="3526" spans="1:2">
      <c r="A3526" s="422"/>
      <c r="B3526" s="461"/>
    </row>
    <row r="3527" spans="1:2">
      <c r="A3527" s="422"/>
      <c r="B3527" s="461"/>
    </row>
    <row r="3528" spans="1:2">
      <c r="A3528" s="422"/>
      <c r="B3528" s="461"/>
    </row>
    <row r="3529" spans="1:2">
      <c r="A3529" s="422"/>
      <c r="B3529" s="461"/>
    </row>
    <row r="3530" spans="1:2">
      <c r="A3530" s="422"/>
      <c r="B3530" s="461"/>
    </row>
    <row r="3531" spans="1:2">
      <c r="A3531" s="422"/>
      <c r="B3531" s="461"/>
    </row>
    <row r="3532" spans="1:2">
      <c r="A3532" s="422"/>
      <c r="B3532" s="461"/>
    </row>
    <row r="3533" spans="1:2">
      <c r="A3533" s="422"/>
      <c r="B3533" s="461"/>
    </row>
    <row r="3534" spans="1:2">
      <c r="A3534" s="422"/>
      <c r="B3534" s="461"/>
    </row>
    <row r="3535" spans="1:2">
      <c r="A3535" s="422"/>
      <c r="B3535" s="461"/>
    </row>
    <row r="3536" spans="1:2">
      <c r="A3536" s="422"/>
      <c r="B3536" s="461"/>
    </row>
    <row r="3537" spans="1:2">
      <c r="A3537" s="422"/>
      <c r="B3537" s="461"/>
    </row>
    <row r="3538" spans="1:2">
      <c r="A3538" s="422"/>
      <c r="B3538" s="461"/>
    </row>
    <row r="3539" spans="1:2">
      <c r="A3539" s="422"/>
      <c r="B3539" s="461"/>
    </row>
    <row r="3540" spans="1:2">
      <c r="A3540" s="422"/>
      <c r="B3540" s="461"/>
    </row>
    <row r="3541" spans="1:2">
      <c r="A3541" s="422"/>
      <c r="B3541" s="461"/>
    </row>
    <row r="3542" spans="1:2">
      <c r="A3542" s="422"/>
      <c r="B3542" s="461"/>
    </row>
    <row r="3543" spans="1:2">
      <c r="A3543" s="422"/>
      <c r="B3543" s="461"/>
    </row>
    <row r="3544" spans="1:2">
      <c r="A3544" s="422"/>
      <c r="B3544" s="461"/>
    </row>
    <row r="3545" spans="1:2">
      <c r="A3545" s="422"/>
      <c r="B3545" s="461"/>
    </row>
    <row r="3546" spans="1:2">
      <c r="A3546" s="422"/>
      <c r="B3546" s="461"/>
    </row>
    <row r="3547" spans="1:2">
      <c r="A3547" s="422"/>
      <c r="B3547" s="461"/>
    </row>
    <row r="3548" spans="1:2">
      <c r="A3548" s="422"/>
      <c r="B3548" s="461"/>
    </row>
    <row r="3549" spans="1:2">
      <c r="A3549" s="422"/>
      <c r="B3549" s="461"/>
    </row>
    <row r="3550" spans="1:2">
      <c r="A3550" s="422"/>
      <c r="B3550" s="461"/>
    </row>
    <row r="3551" spans="1:2">
      <c r="A3551" s="422"/>
      <c r="B3551" s="461"/>
    </row>
    <row r="3552" spans="1:2">
      <c r="A3552" s="422"/>
      <c r="B3552" s="461"/>
    </row>
    <row r="3553" spans="1:2">
      <c r="A3553" s="422"/>
      <c r="B3553" s="461"/>
    </row>
    <row r="3554" spans="1:2">
      <c r="A3554" s="422"/>
      <c r="B3554" s="461"/>
    </row>
    <row r="3555" spans="1:2">
      <c r="A3555" s="422"/>
      <c r="B3555" s="461"/>
    </row>
    <row r="3556" spans="1:2">
      <c r="A3556" s="422"/>
      <c r="B3556" s="461"/>
    </row>
    <row r="3557" spans="1:2">
      <c r="A3557" s="422"/>
      <c r="B3557" s="461"/>
    </row>
    <row r="3558" spans="1:2">
      <c r="A3558" s="422"/>
      <c r="B3558" s="461"/>
    </row>
    <row r="3559" spans="1:2">
      <c r="A3559" s="422"/>
      <c r="B3559" s="461"/>
    </row>
    <row r="3560" spans="1:2">
      <c r="A3560" s="422"/>
      <c r="B3560" s="461"/>
    </row>
    <row r="3561" spans="1:2">
      <c r="A3561" s="422"/>
      <c r="B3561" s="461"/>
    </row>
    <row r="3562" spans="1:2">
      <c r="A3562" s="422"/>
      <c r="B3562" s="461"/>
    </row>
    <row r="3563" spans="1:2">
      <c r="A3563" s="422"/>
      <c r="B3563" s="461"/>
    </row>
    <row r="3564" spans="1:2">
      <c r="A3564" s="422"/>
      <c r="B3564" s="461"/>
    </row>
    <row r="3565" spans="1:2">
      <c r="A3565" s="422"/>
      <c r="B3565" s="461"/>
    </row>
    <row r="3566" spans="1:2">
      <c r="A3566" s="422"/>
      <c r="B3566" s="461"/>
    </row>
    <row r="3567" spans="1:2">
      <c r="A3567" s="422"/>
      <c r="B3567" s="461"/>
    </row>
    <row r="3568" spans="1:2">
      <c r="A3568" s="422"/>
      <c r="B3568" s="461"/>
    </row>
    <row r="3569" spans="1:2">
      <c r="A3569" s="422"/>
      <c r="B3569" s="461"/>
    </row>
    <row r="3570" spans="1:2">
      <c r="A3570" s="422"/>
      <c r="B3570" s="461"/>
    </row>
    <row r="3571" spans="1:2">
      <c r="A3571" s="422"/>
      <c r="B3571" s="461"/>
    </row>
    <row r="3572" spans="1:2">
      <c r="A3572" s="422"/>
      <c r="B3572" s="461"/>
    </row>
    <row r="3573" spans="1:2">
      <c r="A3573" s="422"/>
      <c r="B3573" s="461"/>
    </row>
    <row r="3574" spans="1:2">
      <c r="A3574" s="422"/>
      <c r="B3574" s="461"/>
    </row>
    <row r="3575" spans="1:2">
      <c r="A3575" s="422"/>
      <c r="B3575" s="461"/>
    </row>
    <row r="3576" spans="1:2">
      <c r="A3576" s="422"/>
      <c r="B3576" s="461"/>
    </row>
    <row r="3577" spans="1:2">
      <c r="A3577" s="422"/>
      <c r="B3577" s="461"/>
    </row>
    <row r="3578" spans="1:2">
      <c r="A3578" s="422"/>
      <c r="B3578" s="461"/>
    </row>
    <row r="3579" spans="1:2">
      <c r="A3579" s="422"/>
      <c r="B3579" s="461"/>
    </row>
    <row r="3580" spans="1:2">
      <c r="A3580" s="422"/>
      <c r="B3580" s="461"/>
    </row>
    <row r="3581" spans="1:2">
      <c r="A3581" s="422"/>
      <c r="B3581" s="461"/>
    </row>
    <row r="3582" spans="1:2">
      <c r="A3582" s="422"/>
      <c r="B3582" s="461"/>
    </row>
    <row r="3583" spans="1:2">
      <c r="A3583" s="422"/>
      <c r="B3583" s="461"/>
    </row>
    <row r="3584" spans="1:2">
      <c r="A3584" s="422"/>
      <c r="B3584" s="461"/>
    </row>
    <row r="3585" spans="1:2">
      <c r="A3585" s="422"/>
      <c r="B3585" s="461"/>
    </row>
    <row r="3586" spans="1:2">
      <c r="A3586" s="422"/>
      <c r="B3586" s="461"/>
    </row>
    <row r="3587" spans="1:2">
      <c r="A3587" s="422"/>
      <c r="B3587" s="461"/>
    </row>
    <row r="3588" spans="1:2">
      <c r="A3588" s="422"/>
      <c r="B3588" s="461"/>
    </row>
    <row r="3589" spans="1:2">
      <c r="A3589" s="422"/>
      <c r="B3589" s="461"/>
    </row>
    <row r="3590" spans="1:2">
      <c r="A3590" s="422"/>
      <c r="B3590" s="461"/>
    </row>
    <row r="3591" spans="1:2">
      <c r="A3591" s="422"/>
      <c r="B3591" s="461"/>
    </row>
    <row r="3592" spans="1:2">
      <c r="A3592" s="422"/>
      <c r="B3592" s="461"/>
    </row>
    <row r="3593" spans="1:2">
      <c r="A3593" s="422"/>
      <c r="B3593" s="461"/>
    </row>
    <row r="3594" spans="1:2">
      <c r="A3594" s="422"/>
      <c r="B3594" s="461"/>
    </row>
    <row r="3595" spans="1:2">
      <c r="A3595" s="422"/>
      <c r="B3595" s="461"/>
    </row>
    <row r="3596" spans="1:2">
      <c r="A3596" s="422"/>
      <c r="B3596" s="461"/>
    </row>
    <row r="3597" spans="1:2">
      <c r="A3597" s="422"/>
      <c r="B3597" s="461"/>
    </row>
    <row r="3598" spans="1:2">
      <c r="A3598" s="422"/>
      <c r="B3598" s="461"/>
    </row>
    <row r="3599" spans="1:2">
      <c r="A3599" s="422"/>
      <c r="B3599" s="461"/>
    </row>
    <row r="3600" spans="1:2">
      <c r="A3600" s="422"/>
      <c r="B3600" s="461"/>
    </row>
    <row r="3601" spans="1:2">
      <c r="A3601" s="422"/>
      <c r="B3601" s="461"/>
    </row>
    <row r="3602" spans="1:2">
      <c r="A3602" s="422"/>
      <c r="B3602" s="461"/>
    </row>
    <row r="3603" spans="1:2">
      <c r="A3603" s="422"/>
      <c r="B3603" s="461"/>
    </row>
    <row r="3604" spans="1:2">
      <c r="A3604" s="422"/>
      <c r="B3604" s="461"/>
    </row>
    <row r="3605" spans="1:2">
      <c r="A3605" s="422"/>
      <c r="B3605" s="461"/>
    </row>
    <row r="3606" spans="1:2">
      <c r="A3606" s="422"/>
      <c r="B3606" s="461"/>
    </row>
    <row r="3607" spans="1:2">
      <c r="A3607" s="422"/>
      <c r="B3607" s="461"/>
    </row>
    <row r="3608" spans="1:2">
      <c r="A3608" s="422"/>
      <c r="B3608" s="461"/>
    </row>
    <row r="3609" spans="1:2">
      <c r="A3609" s="422"/>
      <c r="B3609" s="461"/>
    </row>
    <row r="3610" spans="1:2">
      <c r="A3610" s="422"/>
      <c r="B3610" s="461"/>
    </row>
    <row r="3611" spans="1:2">
      <c r="A3611" s="422"/>
      <c r="B3611" s="461"/>
    </row>
    <row r="3612" spans="1:2">
      <c r="A3612" s="422"/>
      <c r="B3612" s="461"/>
    </row>
    <row r="3613" spans="1:2">
      <c r="A3613" s="422"/>
      <c r="B3613" s="461"/>
    </row>
    <row r="3614" spans="1:2">
      <c r="A3614" s="422"/>
      <c r="B3614" s="461"/>
    </row>
    <row r="3615" spans="1:2">
      <c r="A3615" s="422"/>
      <c r="B3615" s="461"/>
    </row>
    <row r="3616" spans="1:2">
      <c r="A3616" s="422"/>
      <c r="B3616" s="461"/>
    </row>
    <row r="3617" spans="1:22">
      <c r="A3617" s="422"/>
      <c r="B3617" s="461"/>
    </row>
    <row r="3618" spans="1:22">
      <c r="A3618" s="422"/>
      <c r="B3618" s="461"/>
    </row>
    <row r="3619" spans="1:22">
      <c r="A3619" s="422"/>
      <c r="B3619" s="461"/>
    </row>
    <row r="3620" spans="1:22">
      <c r="A3620" s="422"/>
      <c r="B3620" s="461"/>
    </row>
    <row r="3621" spans="1:22">
      <c r="A3621" s="422"/>
      <c r="B3621" s="461"/>
    </row>
    <row r="3622" spans="1:22">
      <c r="A3622" s="422"/>
      <c r="B3622" s="461"/>
    </row>
    <row r="3623" spans="1:22">
      <c r="A3623" s="422"/>
      <c r="B3623" s="461"/>
    </row>
    <row r="3624" spans="1:22">
      <c r="A3624" s="422"/>
      <c r="B3624" s="461"/>
    </row>
    <row r="3625" spans="1:22">
      <c r="A3625" s="422"/>
      <c r="B3625" s="461"/>
    </row>
    <row r="3626" spans="1:22">
      <c r="A3626" s="422"/>
      <c r="B3626" s="461"/>
    </row>
    <row r="3627" spans="1:22">
      <c r="A3627" s="422"/>
      <c r="B3627" s="461"/>
    </row>
    <row r="3628" spans="1:22">
      <c r="A3628" s="422"/>
      <c r="B3628" s="461"/>
    </row>
    <row r="3629" spans="1:22" s="476" customFormat="1">
      <c r="A3629" s="475"/>
      <c r="B3629" s="461"/>
      <c r="C3629" s="6"/>
      <c r="D3629" s="6"/>
      <c r="H3629" s="6"/>
      <c r="I3629" s="6"/>
      <c r="J3629" s="6"/>
      <c r="K3629" s="6"/>
      <c r="L3629" s="6"/>
      <c r="M3629" s="6"/>
      <c r="N3629" s="6"/>
      <c r="O3629" s="6"/>
      <c r="P3629" s="6"/>
      <c r="Q3629" s="6"/>
      <c r="R3629" s="6"/>
      <c r="S3629" s="6"/>
      <c r="T3629" s="6"/>
      <c r="U3629" s="6"/>
      <c r="V3629" s="6"/>
    </row>
    <row r="3630" spans="1:22" s="476" customFormat="1">
      <c r="A3630" s="475"/>
      <c r="B3630" s="461"/>
      <c r="C3630" s="6"/>
      <c r="D3630" s="6"/>
      <c r="H3630" s="6"/>
      <c r="I3630" s="6"/>
      <c r="J3630" s="6"/>
      <c r="K3630" s="6"/>
      <c r="L3630" s="6"/>
      <c r="M3630" s="6"/>
      <c r="N3630" s="6"/>
      <c r="O3630" s="6"/>
      <c r="P3630" s="6"/>
      <c r="Q3630" s="6"/>
      <c r="R3630" s="6"/>
      <c r="S3630" s="6"/>
      <c r="T3630" s="6"/>
      <c r="U3630" s="6"/>
      <c r="V3630" s="6"/>
    </row>
    <row r="3631" spans="1:22">
      <c r="A3631" s="422"/>
      <c r="B3631" s="461"/>
    </row>
    <row r="3632" spans="1:22">
      <c r="A3632" s="422"/>
      <c r="B3632" s="461"/>
    </row>
    <row r="3633" spans="1:2">
      <c r="A3633" s="422"/>
      <c r="B3633" s="461"/>
    </row>
    <row r="3634" spans="1:2">
      <c r="A3634" s="422"/>
      <c r="B3634" s="461"/>
    </row>
    <row r="3635" spans="1:2">
      <c r="A3635" s="422"/>
      <c r="B3635" s="461"/>
    </row>
    <row r="3636" spans="1:2">
      <c r="A3636" s="422"/>
      <c r="B3636" s="461"/>
    </row>
    <row r="3637" spans="1:2">
      <c r="A3637" s="422"/>
      <c r="B3637" s="461"/>
    </row>
    <row r="3638" spans="1:2">
      <c r="A3638" s="422"/>
      <c r="B3638" s="461"/>
    </row>
    <row r="3639" spans="1:2">
      <c r="A3639" s="422"/>
      <c r="B3639" s="461"/>
    </row>
    <row r="3640" spans="1:2">
      <c r="A3640" s="422"/>
      <c r="B3640" s="461"/>
    </row>
    <row r="3641" spans="1:2">
      <c r="A3641" s="422"/>
      <c r="B3641" s="461"/>
    </row>
    <row r="3642" spans="1:2">
      <c r="A3642" s="422"/>
      <c r="B3642" s="461"/>
    </row>
    <row r="3643" spans="1:2">
      <c r="A3643" s="422"/>
      <c r="B3643" s="461"/>
    </row>
    <row r="3644" spans="1:2">
      <c r="A3644" s="422"/>
      <c r="B3644" s="461"/>
    </row>
    <row r="3645" spans="1:2">
      <c r="A3645" s="422"/>
      <c r="B3645" s="461"/>
    </row>
    <row r="3646" spans="1:2">
      <c r="A3646" s="422"/>
      <c r="B3646" s="461"/>
    </row>
    <row r="3647" spans="1:2">
      <c r="A3647" s="422"/>
      <c r="B3647" s="461"/>
    </row>
    <row r="3648" spans="1:2">
      <c r="A3648" s="422"/>
      <c r="B3648" s="461"/>
    </row>
    <row r="3649" spans="1:2">
      <c r="A3649" s="422"/>
      <c r="B3649" s="461"/>
    </row>
    <row r="3650" spans="1:2">
      <c r="A3650" s="422"/>
      <c r="B3650" s="461"/>
    </row>
    <row r="3651" spans="1:2">
      <c r="A3651" s="422"/>
      <c r="B3651" s="461"/>
    </row>
    <row r="3652" spans="1:2">
      <c r="A3652" s="422"/>
      <c r="B3652" s="461"/>
    </row>
    <row r="3653" spans="1:2">
      <c r="A3653" s="422"/>
      <c r="B3653" s="461"/>
    </row>
    <row r="3654" spans="1:2">
      <c r="A3654" s="422"/>
      <c r="B3654" s="461"/>
    </row>
    <row r="3655" spans="1:2">
      <c r="A3655" s="422"/>
      <c r="B3655" s="461"/>
    </row>
    <row r="3656" spans="1:2">
      <c r="A3656" s="422"/>
      <c r="B3656" s="461"/>
    </row>
    <row r="3657" spans="1:2">
      <c r="A3657" s="422"/>
      <c r="B3657" s="461"/>
    </row>
    <row r="3658" spans="1:2">
      <c r="A3658" s="422"/>
      <c r="B3658" s="461"/>
    </row>
    <row r="3659" spans="1:2">
      <c r="A3659" s="422"/>
      <c r="B3659" s="461"/>
    </row>
    <row r="3660" spans="1:2">
      <c r="A3660" s="422"/>
      <c r="B3660" s="461"/>
    </row>
    <row r="3661" spans="1:2">
      <c r="A3661" s="422"/>
      <c r="B3661" s="461"/>
    </row>
    <row r="3662" spans="1:2">
      <c r="A3662" s="422"/>
      <c r="B3662" s="461"/>
    </row>
    <row r="3663" spans="1:2">
      <c r="A3663" s="422"/>
      <c r="B3663" s="461"/>
    </row>
    <row r="3664" spans="1:2">
      <c r="A3664" s="422"/>
      <c r="B3664" s="461"/>
    </row>
    <row r="3665" spans="1:2">
      <c r="A3665" s="422"/>
      <c r="B3665" s="461"/>
    </row>
    <row r="3666" spans="1:2">
      <c r="A3666" s="422"/>
      <c r="B3666" s="461"/>
    </row>
    <row r="3667" spans="1:2">
      <c r="A3667" s="422"/>
      <c r="B3667" s="461"/>
    </row>
    <row r="3668" spans="1:2">
      <c r="A3668" s="422"/>
      <c r="B3668" s="461"/>
    </row>
    <row r="3669" spans="1:2">
      <c r="A3669" s="422"/>
      <c r="B3669" s="461"/>
    </row>
    <row r="3670" spans="1:2">
      <c r="A3670" s="422"/>
      <c r="B3670" s="461"/>
    </row>
    <row r="3671" spans="1:2">
      <c r="A3671" s="422"/>
      <c r="B3671" s="461"/>
    </row>
    <row r="3672" spans="1:2">
      <c r="A3672" s="422"/>
      <c r="B3672" s="461"/>
    </row>
    <row r="3673" spans="1:2">
      <c r="A3673" s="422"/>
      <c r="B3673" s="461"/>
    </row>
    <row r="3674" spans="1:2">
      <c r="A3674" s="422"/>
      <c r="B3674" s="461"/>
    </row>
    <row r="3675" spans="1:2">
      <c r="A3675" s="422"/>
      <c r="B3675" s="461"/>
    </row>
    <row r="3676" spans="1:2">
      <c r="A3676" s="422"/>
      <c r="B3676" s="461"/>
    </row>
    <row r="3677" spans="1:2">
      <c r="A3677" s="422"/>
      <c r="B3677" s="461"/>
    </row>
    <row r="3678" spans="1:2">
      <c r="A3678" s="422"/>
      <c r="B3678" s="461"/>
    </row>
    <row r="3679" spans="1:2">
      <c r="A3679" s="422"/>
      <c r="B3679" s="461"/>
    </row>
    <row r="3680" spans="1:2">
      <c r="A3680" s="422"/>
      <c r="B3680" s="461"/>
    </row>
    <row r="3681" spans="1:2">
      <c r="A3681" s="422"/>
      <c r="B3681" s="461"/>
    </row>
    <row r="3682" spans="1:2">
      <c r="A3682" s="422"/>
      <c r="B3682" s="461"/>
    </row>
    <row r="3683" spans="1:2">
      <c r="A3683" s="422"/>
      <c r="B3683" s="461"/>
    </row>
    <row r="3684" spans="1:2">
      <c r="A3684" s="422"/>
      <c r="B3684" s="461"/>
    </row>
    <row r="3685" spans="1:2">
      <c r="A3685" s="422"/>
      <c r="B3685" s="461"/>
    </row>
    <row r="3686" spans="1:2">
      <c r="A3686" s="422"/>
      <c r="B3686" s="461"/>
    </row>
    <row r="3687" spans="1:2">
      <c r="A3687" s="422"/>
      <c r="B3687" s="461"/>
    </row>
    <row r="3688" spans="1:2">
      <c r="A3688" s="422"/>
      <c r="B3688" s="461"/>
    </row>
    <row r="3689" spans="1:2">
      <c r="A3689" s="422"/>
      <c r="B3689" s="461"/>
    </row>
    <row r="3690" spans="1:2">
      <c r="A3690" s="422"/>
      <c r="B3690" s="461"/>
    </row>
    <row r="3691" spans="1:2">
      <c r="A3691" s="422"/>
      <c r="B3691" s="461"/>
    </row>
    <row r="3692" spans="1:2">
      <c r="A3692" s="422"/>
      <c r="B3692" s="461"/>
    </row>
    <row r="3693" spans="1:2">
      <c r="A3693" s="422"/>
      <c r="B3693" s="461"/>
    </row>
    <row r="3694" spans="1:2">
      <c r="A3694" s="422"/>
      <c r="B3694" s="461"/>
    </row>
    <row r="3695" spans="1:2">
      <c r="A3695" s="422"/>
      <c r="B3695" s="461"/>
    </row>
    <row r="3696" spans="1:2">
      <c r="A3696" s="422"/>
      <c r="B3696" s="461"/>
    </row>
    <row r="3697" spans="1:2">
      <c r="A3697" s="422"/>
      <c r="B3697" s="461"/>
    </row>
    <row r="3698" spans="1:2">
      <c r="A3698" s="422"/>
      <c r="B3698" s="461"/>
    </row>
    <row r="3699" spans="1:2">
      <c r="A3699" s="422"/>
      <c r="B3699" s="461"/>
    </row>
    <row r="3700" spans="1:2">
      <c r="A3700" s="422"/>
      <c r="B3700" s="461"/>
    </row>
    <row r="3701" spans="1:2">
      <c r="A3701" s="422"/>
      <c r="B3701" s="461"/>
    </row>
    <row r="3702" spans="1:2">
      <c r="A3702" s="422"/>
      <c r="B3702" s="461"/>
    </row>
    <row r="3703" spans="1:2">
      <c r="A3703" s="422"/>
      <c r="B3703" s="461"/>
    </row>
    <row r="3704" spans="1:2">
      <c r="A3704" s="422"/>
      <c r="B3704" s="461"/>
    </row>
    <row r="3705" spans="1:2">
      <c r="A3705" s="422"/>
      <c r="B3705" s="461"/>
    </row>
    <row r="3706" spans="1:2">
      <c r="A3706" s="422"/>
      <c r="B3706" s="461"/>
    </row>
    <row r="3707" spans="1:2">
      <c r="A3707" s="422"/>
      <c r="B3707" s="461"/>
    </row>
    <row r="3708" spans="1:2">
      <c r="A3708" s="422"/>
      <c r="B3708" s="461"/>
    </row>
    <row r="3709" spans="1:2">
      <c r="A3709" s="422"/>
      <c r="B3709" s="461"/>
    </row>
    <row r="3710" spans="1:2">
      <c r="A3710" s="422"/>
      <c r="B3710" s="461"/>
    </row>
    <row r="3711" spans="1:2">
      <c r="A3711" s="422"/>
      <c r="B3711" s="461"/>
    </row>
    <row r="3712" spans="1:2">
      <c r="A3712" s="422"/>
      <c r="B3712" s="461"/>
    </row>
    <row r="3713" spans="1:2">
      <c r="A3713" s="422"/>
      <c r="B3713" s="461"/>
    </row>
    <row r="3714" spans="1:2">
      <c r="A3714" s="422"/>
      <c r="B3714" s="461"/>
    </row>
    <row r="3715" spans="1:2">
      <c r="A3715" s="422"/>
      <c r="B3715" s="461"/>
    </row>
    <row r="3716" spans="1:2">
      <c r="A3716" s="422"/>
      <c r="B3716" s="461"/>
    </row>
    <row r="3717" spans="1:2">
      <c r="A3717" s="422"/>
      <c r="B3717" s="461"/>
    </row>
    <row r="3718" spans="1:2">
      <c r="A3718" s="422"/>
      <c r="B3718" s="461"/>
    </row>
    <row r="3719" spans="1:2">
      <c r="A3719" s="422"/>
      <c r="B3719" s="461"/>
    </row>
    <row r="3720" spans="1:2">
      <c r="A3720" s="422"/>
      <c r="B3720" s="461"/>
    </row>
    <row r="3721" spans="1:2">
      <c r="A3721" s="422"/>
      <c r="B3721" s="461"/>
    </row>
    <row r="3722" spans="1:2">
      <c r="A3722" s="422"/>
      <c r="B3722" s="461"/>
    </row>
    <row r="3723" spans="1:2">
      <c r="A3723" s="422"/>
      <c r="B3723" s="461"/>
    </row>
    <row r="3724" spans="1:2">
      <c r="A3724" s="422"/>
      <c r="B3724" s="461"/>
    </row>
    <row r="3725" spans="1:2">
      <c r="A3725" s="422"/>
      <c r="B3725" s="461"/>
    </row>
    <row r="3726" spans="1:2">
      <c r="A3726" s="422"/>
      <c r="B3726" s="461"/>
    </row>
    <row r="3727" spans="1:2">
      <c r="A3727" s="422"/>
      <c r="B3727" s="461"/>
    </row>
    <row r="3728" spans="1:2">
      <c r="A3728" s="422"/>
      <c r="B3728" s="461"/>
    </row>
    <row r="3729" spans="1:2">
      <c r="A3729" s="422"/>
      <c r="B3729" s="461"/>
    </row>
    <row r="3730" spans="1:2">
      <c r="A3730" s="422"/>
      <c r="B3730" s="461"/>
    </row>
    <row r="3731" spans="1:2">
      <c r="A3731" s="422"/>
      <c r="B3731" s="461"/>
    </row>
    <row r="3732" spans="1:2">
      <c r="A3732" s="422"/>
      <c r="B3732" s="461"/>
    </row>
    <row r="3733" spans="1:2">
      <c r="A3733" s="422"/>
      <c r="B3733" s="461"/>
    </row>
    <row r="3734" spans="1:2">
      <c r="A3734" s="422"/>
      <c r="B3734" s="461"/>
    </row>
    <row r="3735" spans="1:2">
      <c r="A3735" s="422"/>
      <c r="B3735" s="461"/>
    </row>
    <row r="3736" spans="1:2">
      <c r="A3736" s="422"/>
      <c r="B3736" s="461"/>
    </row>
    <row r="3737" spans="1:2">
      <c r="A3737" s="422"/>
      <c r="B3737" s="461"/>
    </row>
    <row r="3738" spans="1:2">
      <c r="A3738" s="422"/>
      <c r="B3738" s="461"/>
    </row>
    <row r="3739" spans="1:2">
      <c r="A3739" s="422"/>
      <c r="B3739" s="461"/>
    </row>
    <row r="3740" spans="1:2">
      <c r="A3740" s="422"/>
      <c r="B3740" s="461"/>
    </row>
    <row r="3741" spans="1:2">
      <c r="A3741" s="422"/>
      <c r="B3741" s="461"/>
    </row>
    <row r="3742" spans="1:2">
      <c r="A3742" s="422"/>
      <c r="B3742" s="461"/>
    </row>
    <row r="3743" spans="1:2">
      <c r="A3743" s="422"/>
      <c r="B3743" s="461"/>
    </row>
    <row r="3744" spans="1:2">
      <c r="A3744" s="422"/>
      <c r="B3744" s="461"/>
    </row>
    <row r="3745" spans="1:2">
      <c r="A3745" s="422"/>
      <c r="B3745" s="461"/>
    </row>
    <row r="3746" spans="1:2">
      <c r="A3746" s="422"/>
      <c r="B3746" s="461"/>
    </row>
    <row r="3747" spans="1:2">
      <c r="A3747" s="422"/>
      <c r="B3747" s="461"/>
    </row>
    <row r="3748" spans="1:2">
      <c r="A3748" s="422"/>
      <c r="B3748" s="461"/>
    </row>
    <row r="3749" spans="1:2">
      <c r="A3749" s="422"/>
      <c r="B3749" s="461"/>
    </row>
    <row r="3750" spans="1:2">
      <c r="A3750" s="422"/>
      <c r="B3750" s="461"/>
    </row>
    <row r="3751" spans="1:2">
      <c r="A3751" s="422"/>
      <c r="B3751" s="461"/>
    </row>
    <row r="3752" spans="1:2">
      <c r="A3752" s="422"/>
      <c r="B3752" s="461"/>
    </row>
    <row r="3753" spans="1:2">
      <c r="A3753" s="422"/>
      <c r="B3753" s="461"/>
    </row>
    <row r="3754" spans="1:2">
      <c r="A3754" s="422"/>
      <c r="B3754" s="461"/>
    </row>
    <row r="3755" spans="1:2">
      <c r="A3755" s="422"/>
      <c r="B3755" s="461"/>
    </row>
    <row r="3756" spans="1:2">
      <c r="A3756" s="422"/>
      <c r="B3756" s="461"/>
    </row>
    <row r="3757" spans="1:2">
      <c r="A3757" s="422"/>
      <c r="B3757" s="461"/>
    </row>
    <row r="3758" spans="1:2">
      <c r="A3758" s="422"/>
      <c r="B3758" s="461"/>
    </row>
    <row r="3759" spans="1:2">
      <c r="A3759" s="422"/>
      <c r="B3759" s="461"/>
    </row>
    <row r="3760" spans="1:2">
      <c r="A3760" s="422"/>
      <c r="B3760" s="461"/>
    </row>
    <row r="3761" spans="1:2">
      <c r="A3761" s="422"/>
      <c r="B3761" s="461"/>
    </row>
    <row r="3762" spans="1:2">
      <c r="A3762" s="422"/>
      <c r="B3762" s="461"/>
    </row>
    <row r="3763" spans="1:2">
      <c r="A3763" s="422"/>
      <c r="B3763" s="461"/>
    </row>
    <row r="3764" spans="1:2">
      <c r="A3764" s="422"/>
      <c r="B3764" s="461"/>
    </row>
    <row r="3765" spans="1:2">
      <c r="A3765" s="422"/>
      <c r="B3765" s="461"/>
    </row>
    <row r="3766" spans="1:2">
      <c r="A3766" s="422"/>
      <c r="B3766" s="461"/>
    </row>
    <row r="3767" spans="1:2">
      <c r="A3767" s="422"/>
      <c r="B3767" s="461"/>
    </row>
    <row r="3768" spans="1:2">
      <c r="A3768" s="422"/>
      <c r="B3768" s="461"/>
    </row>
    <row r="3769" spans="1:2">
      <c r="A3769" s="422"/>
      <c r="B3769" s="461"/>
    </row>
    <row r="3770" spans="1:2">
      <c r="A3770" s="422"/>
      <c r="B3770" s="461"/>
    </row>
    <row r="3771" spans="1:2">
      <c r="A3771" s="422"/>
      <c r="B3771" s="461"/>
    </row>
    <row r="3772" spans="1:2">
      <c r="A3772" s="422"/>
      <c r="B3772" s="461"/>
    </row>
    <row r="3773" spans="1:2">
      <c r="A3773" s="422"/>
      <c r="B3773" s="461"/>
    </row>
    <row r="3774" spans="1:2">
      <c r="A3774" s="422"/>
      <c r="B3774" s="461"/>
    </row>
    <row r="3775" spans="1:2">
      <c r="A3775" s="422"/>
      <c r="B3775" s="461"/>
    </row>
    <row r="3776" spans="1:2">
      <c r="A3776" s="422"/>
      <c r="B3776" s="461"/>
    </row>
    <row r="3777" spans="1:2">
      <c r="A3777" s="422"/>
      <c r="B3777" s="461"/>
    </row>
    <row r="3778" spans="1:2">
      <c r="A3778" s="422"/>
      <c r="B3778" s="461"/>
    </row>
    <row r="3779" spans="1:2">
      <c r="A3779" s="422"/>
      <c r="B3779" s="461"/>
    </row>
    <row r="3780" spans="1:2">
      <c r="A3780" s="422"/>
      <c r="B3780" s="461"/>
    </row>
    <row r="3781" spans="1:2">
      <c r="A3781" s="422"/>
      <c r="B3781" s="461"/>
    </row>
    <row r="3782" spans="1:2">
      <c r="A3782" s="422"/>
      <c r="B3782" s="461"/>
    </row>
    <row r="3783" spans="1:2">
      <c r="A3783" s="422"/>
      <c r="B3783" s="461"/>
    </row>
    <row r="3784" spans="1:2">
      <c r="A3784" s="422"/>
      <c r="B3784" s="461"/>
    </row>
    <row r="3785" spans="1:2">
      <c r="A3785" s="422"/>
      <c r="B3785" s="461"/>
    </row>
    <row r="3786" spans="1:2">
      <c r="A3786" s="422"/>
      <c r="B3786" s="461"/>
    </row>
    <row r="3787" spans="1:2">
      <c r="A3787" s="422"/>
      <c r="B3787" s="461"/>
    </row>
    <row r="3788" spans="1:2">
      <c r="A3788" s="422"/>
      <c r="B3788" s="461"/>
    </row>
    <row r="3789" spans="1:2">
      <c r="A3789" s="422"/>
      <c r="B3789" s="461"/>
    </row>
    <row r="3790" spans="1:2">
      <c r="A3790" s="422"/>
      <c r="B3790" s="461"/>
    </row>
    <row r="3791" spans="1:2">
      <c r="A3791" s="422"/>
      <c r="B3791" s="461"/>
    </row>
    <row r="3792" spans="1:2">
      <c r="A3792" s="422"/>
      <c r="B3792" s="461"/>
    </row>
    <row r="3793" spans="1:2">
      <c r="A3793" s="422"/>
      <c r="B3793" s="461"/>
    </row>
    <row r="3794" spans="1:2">
      <c r="A3794" s="422"/>
      <c r="B3794" s="461"/>
    </row>
    <row r="3795" spans="1:2">
      <c r="A3795" s="422"/>
      <c r="B3795" s="461"/>
    </row>
    <row r="3796" spans="1:2">
      <c r="A3796" s="422"/>
      <c r="B3796" s="461"/>
    </row>
    <row r="3797" spans="1:2">
      <c r="A3797" s="422"/>
      <c r="B3797" s="461"/>
    </row>
    <row r="3798" spans="1:2">
      <c r="A3798" s="422"/>
      <c r="B3798" s="461"/>
    </row>
    <row r="3799" spans="1:2">
      <c r="A3799" s="422"/>
      <c r="B3799" s="461"/>
    </row>
    <row r="3800" spans="1:2">
      <c r="A3800" s="422"/>
      <c r="B3800" s="461"/>
    </row>
    <row r="3801" spans="1:2">
      <c r="A3801" s="422"/>
      <c r="B3801" s="461"/>
    </row>
    <row r="3802" spans="1:2">
      <c r="A3802" s="422"/>
      <c r="B3802" s="461"/>
    </row>
    <row r="3803" spans="1:2">
      <c r="A3803" s="422"/>
      <c r="B3803" s="461"/>
    </row>
    <row r="3804" spans="1:2">
      <c r="A3804" s="422"/>
      <c r="B3804" s="461"/>
    </row>
    <row r="3805" spans="1:2">
      <c r="A3805" s="422"/>
      <c r="B3805" s="461"/>
    </row>
    <row r="3806" spans="1:2">
      <c r="A3806" s="422"/>
      <c r="B3806" s="461"/>
    </row>
    <row r="3807" spans="1:2">
      <c r="A3807" s="422"/>
      <c r="B3807" s="461"/>
    </row>
    <row r="3808" spans="1:2">
      <c r="A3808" s="422"/>
      <c r="B3808" s="461"/>
    </row>
    <row r="3809" spans="1:2">
      <c r="A3809" s="422"/>
      <c r="B3809" s="461"/>
    </row>
    <row r="3810" spans="1:2">
      <c r="A3810" s="422"/>
      <c r="B3810" s="461"/>
    </row>
    <row r="3811" spans="1:2">
      <c r="A3811" s="422"/>
      <c r="B3811" s="461"/>
    </row>
    <row r="3812" spans="1:2">
      <c r="A3812" s="422"/>
      <c r="B3812" s="461"/>
    </row>
    <row r="3813" spans="1:2">
      <c r="A3813" s="422"/>
      <c r="B3813" s="461"/>
    </row>
    <row r="3814" spans="1:2">
      <c r="A3814" s="422"/>
      <c r="B3814" s="461"/>
    </row>
    <row r="3815" spans="1:2">
      <c r="A3815" s="422"/>
      <c r="B3815" s="461"/>
    </row>
    <row r="3816" spans="1:2">
      <c r="A3816" s="422"/>
      <c r="B3816" s="461"/>
    </row>
    <row r="3817" spans="1:2">
      <c r="A3817" s="422"/>
      <c r="B3817" s="461"/>
    </row>
    <row r="3818" spans="1:2">
      <c r="A3818" s="422"/>
      <c r="B3818" s="461"/>
    </row>
    <row r="3819" spans="1:2">
      <c r="A3819" s="422"/>
      <c r="B3819" s="461"/>
    </row>
    <row r="3820" spans="1:2">
      <c r="A3820" s="422"/>
      <c r="B3820" s="461"/>
    </row>
    <row r="3821" spans="1:2">
      <c r="A3821" s="422"/>
      <c r="B3821" s="461"/>
    </row>
    <row r="3822" spans="1:2">
      <c r="A3822" s="422"/>
      <c r="B3822" s="461"/>
    </row>
    <row r="3823" spans="1:2">
      <c r="A3823" s="422"/>
      <c r="B3823" s="461"/>
    </row>
    <row r="3824" spans="1:2">
      <c r="A3824" s="422"/>
      <c r="B3824" s="461"/>
    </row>
    <row r="3825" spans="1:2">
      <c r="A3825" s="422"/>
      <c r="B3825" s="461"/>
    </row>
    <row r="3826" spans="1:2">
      <c r="A3826" s="422"/>
      <c r="B3826" s="461"/>
    </row>
    <row r="3827" spans="1:2">
      <c r="A3827" s="422"/>
      <c r="B3827" s="461"/>
    </row>
    <row r="3828" spans="1:2">
      <c r="A3828" s="422"/>
      <c r="B3828" s="461"/>
    </row>
    <row r="3829" spans="1:2">
      <c r="A3829" s="422"/>
      <c r="B3829" s="461"/>
    </row>
    <row r="3830" spans="1:2">
      <c r="A3830" s="422"/>
      <c r="B3830" s="461"/>
    </row>
    <row r="3831" spans="1:2">
      <c r="A3831" s="422"/>
      <c r="B3831" s="461"/>
    </row>
    <row r="3832" spans="1:2">
      <c r="A3832" s="422"/>
      <c r="B3832" s="461"/>
    </row>
    <row r="3833" spans="1:2">
      <c r="A3833" s="422"/>
      <c r="B3833" s="461"/>
    </row>
    <row r="3834" spans="1:2">
      <c r="A3834" s="422"/>
      <c r="B3834" s="461"/>
    </row>
    <row r="3835" spans="1:2">
      <c r="A3835" s="422"/>
      <c r="B3835" s="461"/>
    </row>
    <row r="3836" spans="1:2">
      <c r="A3836" s="422"/>
      <c r="B3836" s="461"/>
    </row>
    <row r="3837" spans="1:2">
      <c r="A3837" s="422"/>
      <c r="B3837" s="461"/>
    </row>
    <row r="3838" spans="1:2">
      <c r="A3838" s="422"/>
      <c r="B3838" s="461"/>
    </row>
    <row r="3839" spans="1:2">
      <c r="A3839" s="422"/>
      <c r="B3839" s="461"/>
    </row>
    <row r="3840" spans="1:2">
      <c r="A3840" s="422"/>
      <c r="B3840" s="461"/>
    </row>
    <row r="3841" spans="1:2">
      <c r="A3841" s="422"/>
      <c r="B3841" s="461"/>
    </row>
    <row r="3842" spans="1:2">
      <c r="A3842" s="422"/>
      <c r="B3842" s="461"/>
    </row>
    <row r="3843" spans="1:2">
      <c r="A3843" s="422"/>
      <c r="B3843" s="461"/>
    </row>
    <row r="3844" spans="1:2">
      <c r="A3844" s="422"/>
      <c r="B3844" s="461"/>
    </row>
    <row r="3845" spans="1:2">
      <c r="A3845" s="422"/>
      <c r="B3845" s="461"/>
    </row>
    <row r="3846" spans="1:2">
      <c r="A3846" s="422"/>
      <c r="B3846" s="461"/>
    </row>
    <row r="3847" spans="1:2">
      <c r="A3847" s="422"/>
      <c r="B3847" s="461"/>
    </row>
    <row r="3848" spans="1:2">
      <c r="A3848" s="422"/>
      <c r="B3848" s="461"/>
    </row>
    <row r="3849" spans="1:2">
      <c r="A3849" s="422"/>
      <c r="B3849" s="461"/>
    </row>
    <row r="3850" spans="1:2">
      <c r="A3850" s="422"/>
      <c r="B3850" s="461"/>
    </row>
    <row r="3851" spans="1:2">
      <c r="A3851" s="422"/>
      <c r="B3851" s="461"/>
    </row>
    <row r="3852" spans="1:2">
      <c r="A3852" s="422"/>
      <c r="B3852" s="461"/>
    </row>
    <row r="3853" spans="1:2">
      <c r="A3853" s="422"/>
      <c r="B3853" s="461"/>
    </row>
    <row r="3854" spans="1:2">
      <c r="A3854" s="422"/>
      <c r="B3854" s="461"/>
    </row>
    <row r="3855" spans="1:2">
      <c r="A3855" s="422"/>
      <c r="B3855" s="461"/>
    </row>
    <row r="3856" spans="1:2">
      <c r="A3856" s="422"/>
      <c r="B3856" s="461"/>
    </row>
    <row r="3857" spans="1:2">
      <c r="A3857" s="422"/>
      <c r="B3857" s="461"/>
    </row>
    <row r="3858" spans="1:2">
      <c r="A3858" s="422"/>
      <c r="B3858" s="461"/>
    </row>
    <row r="3859" spans="1:2">
      <c r="A3859" s="422"/>
      <c r="B3859" s="461"/>
    </row>
    <row r="3860" spans="1:2">
      <c r="A3860" s="422"/>
      <c r="B3860" s="461"/>
    </row>
    <row r="3861" spans="1:2">
      <c r="A3861" s="422"/>
      <c r="B3861" s="461"/>
    </row>
    <row r="3862" spans="1:2">
      <c r="A3862" s="422"/>
      <c r="B3862" s="461"/>
    </row>
    <row r="3863" spans="1:2">
      <c r="A3863" s="422"/>
      <c r="B3863" s="461"/>
    </row>
    <row r="3864" spans="1:2">
      <c r="A3864" s="422"/>
      <c r="B3864" s="461"/>
    </row>
    <row r="3865" spans="1:2">
      <c r="A3865" s="422"/>
      <c r="B3865" s="461"/>
    </row>
    <row r="3866" spans="1:2">
      <c r="A3866" s="422"/>
      <c r="B3866" s="461"/>
    </row>
    <row r="3867" spans="1:2">
      <c r="A3867" s="422"/>
      <c r="B3867" s="461"/>
    </row>
    <row r="3868" spans="1:2">
      <c r="A3868" s="422"/>
      <c r="B3868" s="461"/>
    </row>
    <row r="3869" spans="1:2">
      <c r="A3869" s="422"/>
      <c r="B3869" s="461"/>
    </row>
    <row r="3870" spans="1:2">
      <c r="A3870" s="422"/>
      <c r="B3870" s="461"/>
    </row>
    <row r="3871" spans="1:2">
      <c r="A3871" s="422"/>
      <c r="B3871" s="461"/>
    </row>
    <row r="3872" spans="1:2">
      <c r="A3872" s="422"/>
      <c r="B3872" s="461"/>
    </row>
    <row r="3873" spans="1:2">
      <c r="A3873" s="422"/>
      <c r="B3873" s="461"/>
    </row>
    <row r="3874" spans="1:2">
      <c r="A3874" s="422"/>
      <c r="B3874" s="461"/>
    </row>
    <row r="3875" spans="1:2">
      <c r="A3875" s="422"/>
      <c r="B3875" s="461"/>
    </row>
    <row r="3876" spans="1:2">
      <c r="A3876" s="422"/>
      <c r="B3876" s="461"/>
    </row>
    <row r="3877" spans="1:2">
      <c r="A3877" s="422"/>
      <c r="B3877" s="461"/>
    </row>
    <row r="3878" spans="1:2">
      <c r="A3878" s="422"/>
      <c r="B3878" s="461"/>
    </row>
    <row r="3879" spans="1:2">
      <c r="A3879" s="422"/>
      <c r="B3879" s="461"/>
    </row>
    <row r="3880" spans="1:2">
      <c r="A3880" s="422"/>
      <c r="B3880" s="461"/>
    </row>
    <row r="3881" spans="1:2">
      <c r="A3881" s="422"/>
      <c r="B3881" s="461"/>
    </row>
    <row r="3882" spans="1:2">
      <c r="A3882" s="422"/>
      <c r="B3882" s="461"/>
    </row>
    <row r="3883" spans="1:2">
      <c r="A3883" s="422"/>
      <c r="B3883" s="461"/>
    </row>
    <row r="3884" spans="1:2">
      <c r="A3884" s="422"/>
      <c r="B3884" s="461"/>
    </row>
    <row r="3885" spans="1:2">
      <c r="A3885" s="422"/>
      <c r="B3885" s="461"/>
    </row>
    <row r="3886" spans="1:2">
      <c r="A3886" s="422"/>
      <c r="B3886" s="461"/>
    </row>
    <row r="3887" spans="1:2">
      <c r="A3887" s="422"/>
      <c r="B3887" s="461"/>
    </row>
    <row r="3888" spans="1:2">
      <c r="A3888" s="422"/>
      <c r="B3888" s="461"/>
    </row>
    <row r="3889" spans="1:2">
      <c r="A3889" s="422"/>
      <c r="B3889" s="461"/>
    </row>
    <row r="3890" spans="1:2">
      <c r="A3890" s="422"/>
      <c r="B3890" s="461"/>
    </row>
    <row r="3891" spans="1:2">
      <c r="A3891" s="422"/>
      <c r="B3891" s="461"/>
    </row>
    <row r="3892" spans="1:2">
      <c r="A3892" s="422"/>
      <c r="B3892" s="461"/>
    </row>
    <row r="3893" spans="1:2">
      <c r="A3893" s="422"/>
      <c r="B3893" s="461"/>
    </row>
    <row r="3894" spans="1:2">
      <c r="A3894" s="422"/>
      <c r="B3894" s="461"/>
    </row>
    <row r="3895" spans="1:2">
      <c r="A3895" s="422"/>
      <c r="B3895" s="461"/>
    </row>
    <row r="3896" spans="1:2">
      <c r="A3896" s="422"/>
      <c r="B3896" s="461"/>
    </row>
    <row r="3897" spans="1:2">
      <c r="A3897" s="422"/>
      <c r="B3897" s="461"/>
    </row>
    <row r="3898" spans="1:2">
      <c r="A3898" s="422"/>
      <c r="B3898" s="461"/>
    </row>
    <row r="3899" spans="1:2">
      <c r="A3899" s="422"/>
      <c r="B3899" s="461"/>
    </row>
    <row r="3900" spans="1:2">
      <c r="A3900" s="422"/>
      <c r="B3900" s="461"/>
    </row>
    <row r="3901" spans="1:2">
      <c r="A3901" s="422"/>
      <c r="B3901" s="461"/>
    </row>
    <row r="3902" spans="1:2">
      <c r="A3902" s="422"/>
      <c r="B3902" s="461"/>
    </row>
    <row r="3903" spans="1:2">
      <c r="A3903" s="422"/>
      <c r="B3903" s="461"/>
    </row>
    <row r="3904" spans="1:2">
      <c r="A3904" s="422"/>
      <c r="B3904" s="461"/>
    </row>
    <row r="3905" spans="1:2">
      <c r="A3905" s="422"/>
      <c r="B3905" s="461"/>
    </row>
    <row r="3906" spans="1:2">
      <c r="A3906" s="422"/>
      <c r="B3906" s="461"/>
    </row>
    <row r="3907" spans="1:2">
      <c r="A3907" s="422"/>
      <c r="B3907" s="461"/>
    </row>
    <row r="3908" spans="1:2">
      <c r="A3908" s="422"/>
      <c r="B3908" s="461"/>
    </row>
    <row r="3909" spans="1:2">
      <c r="A3909" s="422"/>
      <c r="B3909" s="461"/>
    </row>
    <row r="3910" spans="1:2">
      <c r="A3910" s="422"/>
      <c r="B3910" s="461"/>
    </row>
    <row r="3911" spans="1:2">
      <c r="A3911" s="422"/>
      <c r="B3911" s="461"/>
    </row>
    <row r="3912" spans="1:2">
      <c r="A3912" s="422"/>
      <c r="B3912" s="461"/>
    </row>
    <row r="3913" spans="1:2">
      <c r="A3913" s="422"/>
      <c r="B3913" s="461"/>
    </row>
    <row r="3914" spans="1:2">
      <c r="A3914" s="422"/>
      <c r="B3914" s="461"/>
    </row>
    <row r="3915" spans="1:2">
      <c r="A3915" s="422"/>
      <c r="B3915" s="461"/>
    </row>
    <row r="3916" spans="1:2">
      <c r="A3916" s="422"/>
      <c r="B3916" s="461"/>
    </row>
    <row r="3917" spans="1:2">
      <c r="A3917" s="422"/>
      <c r="B3917" s="461"/>
    </row>
    <row r="3918" spans="1:2">
      <c r="A3918" s="422"/>
      <c r="B3918" s="461"/>
    </row>
    <row r="3919" spans="1:2">
      <c r="A3919" s="422"/>
      <c r="B3919" s="461"/>
    </row>
    <row r="3920" spans="1:2">
      <c r="A3920" s="422"/>
      <c r="B3920" s="461"/>
    </row>
    <row r="3921" spans="1:2">
      <c r="A3921" s="422"/>
      <c r="B3921" s="461"/>
    </row>
    <row r="3922" spans="1:2">
      <c r="A3922" s="422"/>
      <c r="B3922" s="461"/>
    </row>
    <row r="3923" spans="1:2">
      <c r="A3923" s="422"/>
      <c r="B3923" s="461"/>
    </row>
    <row r="3924" spans="1:2">
      <c r="A3924" s="422"/>
      <c r="B3924" s="461"/>
    </row>
    <row r="3925" spans="1:2">
      <c r="A3925" s="422"/>
      <c r="B3925" s="461"/>
    </row>
    <row r="3926" spans="1:2">
      <c r="A3926" s="422"/>
      <c r="B3926" s="461"/>
    </row>
    <row r="3927" spans="1:2">
      <c r="A3927" s="422"/>
      <c r="B3927" s="461"/>
    </row>
    <row r="3928" spans="1:2">
      <c r="A3928" s="422"/>
      <c r="B3928" s="461"/>
    </row>
    <row r="3929" spans="1:2">
      <c r="A3929" s="422"/>
      <c r="B3929" s="461"/>
    </row>
    <row r="3930" spans="1:2">
      <c r="A3930" s="422"/>
      <c r="B3930" s="461"/>
    </row>
    <row r="3931" spans="1:2">
      <c r="A3931" s="422"/>
      <c r="B3931" s="461"/>
    </row>
    <row r="3932" spans="1:2">
      <c r="A3932" s="422"/>
      <c r="B3932" s="461"/>
    </row>
    <row r="3933" spans="1:2">
      <c r="A3933" s="422"/>
      <c r="B3933" s="461"/>
    </row>
    <row r="3934" spans="1:2">
      <c r="A3934" s="422"/>
      <c r="B3934" s="461"/>
    </row>
    <row r="3935" spans="1:2">
      <c r="A3935" s="422"/>
      <c r="B3935" s="461"/>
    </row>
    <row r="3936" spans="1:2">
      <c r="A3936" s="422"/>
      <c r="B3936" s="461"/>
    </row>
    <row r="3937" spans="1:2">
      <c r="A3937" s="422"/>
      <c r="B3937" s="461"/>
    </row>
    <row r="3938" spans="1:2">
      <c r="A3938" s="422"/>
      <c r="B3938" s="461"/>
    </row>
    <row r="3939" spans="1:2">
      <c r="A3939" s="422"/>
      <c r="B3939" s="461"/>
    </row>
    <row r="3940" spans="1:2">
      <c r="A3940" s="422"/>
      <c r="B3940" s="461"/>
    </row>
    <row r="3941" spans="1:2">
      <c r="A3941" s="422"/>
      <c r="B3941" s="461"/>
    </row>
    <row r="3942" spans="1:2">
      <c r="A3942" s="422"/>
      <c r="B3942" s="461"/>
    </row>
    <row r="3943" spans="1:2">
      <c r="A3943" s="422"/>
      <c r="B3943" s="461"/>
    </row>
    <row r="3944" spans="1:2">
      <c r="A3944" s="422"/>
      <c r="B3944" s="461"/>
    </row>
    <row r="3945" spans="1:2">
      <c r="A3945" s="422"/>
      <c r="B3945" s="461"/>
    </row>
    <row r="3946" spans="1:2">
      <c r="A3946" s="422"/>
      <c r="B3946" s="461"/>
    </row>
    <row r="3947" spans="1:2">
      <c r="A3947" s="422"/>
      <c r="B3947" s="461"/>
    </row>
    <row r="3948" spans="1:2">
      <c r="A3948" s="422"/>
      <c r="B3948" s="461"/>
    </row>
    <row r="3949" spans="1:2">
      <c r="A3949" s="422"/>
      <c r="B3949" s="461"/>
    </row>
    <row r="3950" spans="1:2">
      <c r="A3950" s="422"/>
      <c r="B3950" s="461"/>
    </row>
    <row r="3951" spans="1:2">
      <c r="A3951" s="422"/>
      <c r="B3951" s="461"/>
    </row>
    <row r="3952" spans="1:2">
      <c r="A3952" s="422"/>
      <c r="B3952" s="461"/>
    </row>
    <row r="3953" spans="1:2">
      <c r="A3953" s="422"/>
      <c r="B3953" s="461"/>
    </row>
    <row r="3954" spans="1:2">
      <c r="A3954" s="422"/>
      <c r="B3954" s="461"/>
    </row>
    <row r="3955" spans="1:2">
      <c r="A3955" s="422"/>
      <c r="B3955" s="461"/>
    </row>
    <row r="3956" spans="1:2">
      <c r="A3956" s="422"/>
      <c r="B3956" s="461"/>
    </row>
    <row r="3957" spans="1:2">
      <c r="A3957" s="422"/>
      <c r="B3957" s="461"/>
    </row>
    <row r="3958" spans="1:2">
      <c r="A3958" s="422"/>
      <c r="B3958" s="461"/>
    </row>
    <row r="3959" spans="1:2">
      <c r="A3959" s="422"/>
      <c r="B3959" s="461"/>
    </row>
    <row r="3960" spans="1:2">
      <c r="A3960" s="422"/>
      <c r="B3960" s="461"/>
    </row>
    <row r="3961" spans="1:2">
      <c r="A3961" s="422"/>
      <c r="B3961" s="461"/>
    </row>
    <row r="3962" spans="1:2">
      <c r="A3962" s="422"/>
      <c r="B3962" s="461"/>
    </row>
    <row r="3963" spans="1:2">
      <c r="A3963" s="422"/>
      <c r="B3963" s="461"/>
    </row>
    <row r="3964" spans="1:2">
      <c r="A3964" s="422"/>
      <c r="B3964" s="461"/>
    </row>
    <row r="3965" spans="1:2">
      <c r="A3965" s="422"/>
      <c r="B3965" s="461"/>
    </row>
    <row r="3966" spans="1:2">
      <c r="A3966" s="422"/>
      <c r="B3966" s="461"/>
    </row>
    <row r="3967" spans="1:2">
      <c r="A3967" s="422"/>
      <c r="B3967" s="461"/>
    </row>
    <row r="3968" spans="1:2">
      <c r="A3968" s="422"/>
      <c r="B3968" s="461"/>
    </row>
    <row r="3969" spans="1:2">
      <c r="A3969" s="422"/>
      <c r="B3969" s="461"/>
    </row>
    <row r="3970" spans="1:2">
      <c r="A3970" s="422"/>
      <c r="B3970" s="461"/>
    </row>
    <row r="3971" spans="1:2">
      <c r="A3971" s="422"/>
      <c r="B3971" s="461"/>
    </row>
    <row r="3972" spans="1:2">
      <c r="A3972" s="422"/>
      <c r="B3972" s="461"/>
    </row>
    <row r="3973" spans="1:2">
      <c r="A3973" s="422"/>
      <c r="B3973" s="461"/>
    </row>
    <row r="3974" spans="1:2">
      <c r="A3974" s="422"/>
      <c r="B3974" s="461"/>
    </row>
    <row r="3975" spans="1:2">
      <c r="A3975" s="422"/>
      <c r="B3975" s="461"/>
    </row>
    <row r="3976" spans="1:2">
      <c r="A3976" s="422"/>
      <c r="B3976" s="461"/>
    </row>
    <row r="3977" spans="1:2">
      <c r="A3977" s="422"/>
      <c r="B3977" s="461"/>
    </row>
    <row r="3978" spans="1:2">
      <c r="A3978" s="422"/>
      <c r="B3978" s="461"/>
    </row>
    <row r="3979" spans="1:2">
      <c r="A3979" s="422"/>
      <c r="B3979" s="461"/>
    </row>
    <row r="3980" spans="1:2">
      <c r="A3980" s="422"/>
      <c r="B3980" s="461"/>
    </row>
    <row r="3981" spans="1:2">
      <c r="A3981" s="422"/>
      <c r="B3981" s="461"/>
    </row>
    <row r="3982" spans="1:2">
      <c r="A3982" s="422"/>
      <c r="B3982" s="461"/>
    </row>
    <row r="3983" spans="1:2">
      <c r="A3983" s="422"/>
      <c r="B3983" s="461"/>
    </row>
    <row r="3984" spans="1:2">
      <c r="A3984" s="422"/>
      <c r="B3984" s="461"/>
    </row>
    <row r="3985" spans="1:2">
      <c r="A3985" s="422"/>
      <c r="B3985" s="461"/>
    </row>
    <row r="3986" spans="1:2">
      <c r="A3986" s="422"/>
      <c r="B3986" s="461"/>
    </row>
    <row r="3987" spans="1:2">
      <c r="A3987" s="422"/>
      <c r="B3987" s="461"/>
    </row>
    <row r="3988" spans="1:2">
      <c r="A3988" s="422"/>
      <c r="B3988" s="461"/>
    </row>
    <row r="3989" spans="1:2">
      <c r="A3989" s="422"/>
      <c r="B3989" s="461"/>
    </row>
    <row r="3990" spans="1:2">
      <c r="A3990" s="422"/>
      <c r="B3990" s="461"/>
    </row>
    <row r="3991" spans="1:2">
      <c r="A3991" s="422"/>
      <c r="B3991" s="461"/>
    </row>
    <row r="3992" spans="1:2">
      <c r="A3992" s="422"/>
      <c r="B3992" s="461"/>
    </row>
    <row r="3993" spans="1:2">
      <c r="A3993" s="422"/>
      <c r="B3993" s="461"/>
    </row>
    <row r="3994" spans="1:2">
      <c r="A3994" s="422"/>
      <c r="B3994" s="461"/>
    </row>
    <row r="3995" spans="1:2">
      <c r="A3995" s="422"/>
      <c r="B3995" s="461"/>
    </row>
    <row r="3996" spans="1:2">
      <c r="A3996" s="422"/>
      <c r="B3996" s="461"/>
    </row>
    <row r="3997" spans="1:2">
      <c r="A3997" s="422"/>
      <c r="B3997" s="461"/>
    </row>
    <row r="3998" spans="1:2">
      <c r="A3998" s="422"/>
      <c r="B3998" s="461"/>
    </row>
    <row r="3999" spans="1:2">
      <c r="A3999" s="422"/>
      <c r="B3999" s="461"/>
    </row>
    <row r="4000" spans="1:2">
      <c r="A4000" s="422"/>
      <c r="B4000" s="461"/>
    </row>
    <row r="4001" spans="1:2">
      <c r="A4001" s="422"/>
      <c r="B4001" s="461"/>
    </row>
    <row r="4002" spans="1:2">
      <c r="A4002" s="422"/>
      <c r="B4002" s="461"/>
    </row>
    <row r="4003" spans="1:2">
      <c r="A4003" s="422"/>
      <c r="B4003" s="461"/>
    </row>
    <row r="4004" spans="1:2">
      <c r="A4004" s="422"/>
      <c r="B4004" s="461"/>
    </row>
    <row r="4005" spans="1:2">
      <c r="A4005" s="422"/>
      <c r="B4005" s="461"/>
    </row>
    <row r="4006" spans="1:2">
      <c r="A4006" s="422"/>
      <c r="B4006" s="461"/>
    </row>
    <row r="4007" spans="1:2">
      <c r="A4007" s="422"/>
      <c r="B4007" s="461"/>
    </row>
    <row r="4008" spans="1:2">
      <c r="A4008" s="422"/>
      <c r="B4008" s="461"/>
    </row>
    <row r="4009" spans="1:2">
      <c r="A4009" s="422"/>
      <c r="B4009" s="461"/>
    </row>
    <row r="4010" spans="1:2">
      <c r="A4010" s="422"/>
      <c r="B4010" s="461"/>
    </row>
    <row r="4011" spans="1:2">
      <c r="A4011" s="422"/>
      <c r="B4011" s="461"/>
    </row>
    <row r="4012" spans="1:2">
      <c r="A4012" s="422"/>
      <c r="B4012" s="461"/>
    </row>
    <row r="4013" spans="1:2">
      <c r="A4013" s="422"/>
      <c r="B4013" s="461"/>
    </row>
    <row r="4014" spans="1:2">
      <c r="A4014" s="422"/>
      <c r="B4014" s="461"/>
    </row>
    <row r="4015" spans="1:2">
      <c r="A4015" s="422"/>
      <c r="B4015" s="461"/>
    </row>
    <row r="4016" spans="1:2">
      <c r="A4016" s="422"/>
      <c r="B4016" s="461"/>
    </row>
    <row r="4017" spans="1:2">
      <c r="A4017" s="422"/>
      <c r="B4017" s="461"/>
    </row>
    <row r="4018" spans="1:2">
      <c r="A4018" s="422"/>
      <c r="B4018" s="461"/>
    </row>
    <row r="4019" spans="1:2">
      <c r="A4019" s="422"/>
      <c r="B4019" s="461"/>
    </row>
    <row r="4020" spans="1:2">
      <c r="A4020" s="422"/>
      <c r="B4020" s="461"/>
    </row>
    <row r="4021" spans="1:2">
      <c r="A4021" s="422"/>
      <c r="B4021" s="461"/>
    </row>
    <row r="4022" spans="1:2">
      <c r="A4022" s="422"/>
      <c r="B4022" s="461"/>
    </row>
    <row r="4023" spans="1:2">
      <c r="A4023" s="422"/>
      <c r="B4023" s="461"/>
    </row>
    <row r="4024" spans="1:2">
      <c r="A4024" s="422"/>
      <c r="B4024" s="461"/>
    </row>
    <row r="4025" spans="1:2">
      <c r="A4025" s="422"/>
      <c r="B4025" s="461"/>
    </row>
    <row r="4026" spans="1:2">
      <c r="A4026" s="422"/>
      <c r="B4026" s="461"/>
    </row>
    <row r="4027" spans="1:2">
      <c r="A4027" s="422"/>
      <c r="B4027" s="461"/>
    </row>
    <row r="4028" spans="1:2">
      <c r="A4028" s="422"/>
      <c r="B4028" s="461"/>
    </row>
    <row r="4029" spans="1:2">
      <c r="A4029" s="422"/>
      <c r="B4029" s="461"/>
    </row>
    <row r="4030" spans="1:2">
      <c r="A4030" s="422"/>
      <c r="B4030" s="461"/>
    </row>
    <row r="4031" spans="1:2">
      <c r="A4031" s="422"/>
      <c r="B4031" s="461"/>
    </row>
    <row r="4032" spans="1:2">
      <c r="A4032" s="422"/>
      <c r="B4032" s="461"/>
    </row>
    <row r="4033" spans="1:2">
      <c r="A4033" s="422"/>
      <c r="B4033" s="461"/>
    </row>
    <row r="4034" spans="1:2">
      <c r="A4034" s="422"/>
      <c r="B4034" s="461"/>
    </row>
    <row r="4035" spans="1:2">
      <c r="A4035" s="422"/>
      <c r="B4035" s="461"/>
    </row>
    <row r="4036" spans="1:2">
      <c r="A4036" s="422"/>
      <c r="B4036" s="461"/>
    </row>
    <row r="4037" spans="1:2">
      <c r="A4037" s="422"/>
      <c r="B4037" s="461"/>
    </row>
    <row r="4038" spans="1:2">
      <c r="A4038" s="422"/>
      <c r="B4038" s="461"/>
    </row>
    <row r="4039" spans="1:2">
      <c r="A4039" s="422"/>
      <c r="B4039" s="461"/>
    </row>
    <row r="4040" spans="1:2">
      <c r="A4040" s="422"/>
      <c r="B4040" s="461"/>
    </row>
    <row r="4041" spans="1:2">
      <c r="A4041" s="422"/>
      <c r="B4041" s="461"/>
    </row>
    <row r="4042" spans="1:2">
      <c r="A4042" s="422"/>
      <c r="B4042" s="461"/>
    </row>
    <row r="4043" spans="1:2">
      <c r="A4043" s="422"/>
      <c r="B4043" s="461"/>
    </row>
    <row r="4044" spans="1:2">
      <c r="A4044" s="422"/>
      <c r="B4044" s="461"/>
    </row>
    <row r="4045" spans="1:2">
      <c r="A4045" s="422"/>
      <c r="B4045" s="461"/>
    </row>
    <row r="4046" spans="1:2">
      <c r="A4046" s="422"/>
      <c r="B4046" s="461"/>
    </row>
    <row r="4047" spans="1:2">
      <c r="A4047" s="422"/>
      <c r="B4047" s="461"/>
    </row>
    <row r="4048" spans="1:2">
      <c r="A4048" s="422"/>
      <c r="B4048" s="461"/>
    </row>
    <row r="4049" spans="1:2">
      <c r="A4049" s="422"/>
      <c r="B4049" s="461"/>
    </row>
    <row r="4050" spans="1:2">
      <c r="A4050" s="422"/>
      <c r="B4050" s="461"/>
    </row>
    <row r="4051" spans="1:2">
      <c r="A4051" s="422"/>
      <c r="B4051" s="461"/>
    </row>
    <row r="4052" spans="1:2">
      <c r="A4052" s="422"/>
      <c r="B4052" s="461"/>
    </row>
    <row r="4053" spans="1:2">
      <c r="A4053" s="422"/>
      <c r="B4053" s="461"/>
    </row>
    <row r="4054" spans="1:2">
      <c r="A4054" s="422"/>
      <c r="B4054" s="461"/>
    </row>
    <row r="4055" spans="1:2">
      <c r="A4055" s="422"/>
      <c r="B4055" s="461"/>
    </row>
    <row r="4056" spans="1:2">
      <c r="A4056" s="422"/>
      <c r="B4056" s="461"/>
    </row>
    <row r="4057" spans="1:2">
      <c r="A4057" s="422"/>
      <c r="B4057" s="461"/>
    </row>
    <row r="4058" spans="1:2">
      <c r="A4058" s="422"/>
      <c r="B4058" s="461"/>
    </row>
    <row r="4059" spans="1:2">
      <c r="A4059" s="422"/>
      <c r="B4059" s="461"/>
    </row>
    <row r="4060" spans="1:2">
      <c r="A4060" s="422"/>
      <c r="B4060" s="461"/>
    </row>
    <row r="4061" spans="1:2">
      <c r="A4061" s="422"/>
      <c r="B4061" s="461"/>
    </row>
    <row r="4062" spans="1:2">
      <c r="A4062" s="422"/>
      <c r="B4062" s="461"/>
    </row>
    <row r="4063" spans="1:2">
      <c r="A4063" s="422"/>
      <c r="B4063" s="461"/>
    </row>
    <row r="4064" spans="1:2">
      <c r="A4064" s="422"/>
      <c r="B4064" s="461"/>
    </row>
    <row r="4065" spans="1:2">
      <c r="A4065" s="422"/>
      <c r="B4065" s="461"/>
    </row>
    <row r="4066" spans="1:2">
      <c r="A4066" s="422"/>
      <c r="B4066" s="461"/>
    </row>
    <row r="4067" spans="1:2">
      <c r="A4067" s="422"/>
      <c r="B4067" s="461"/>
    </row>
    <row r="4068" spans="1:2">
      <c r="A4068" s="422"/>
      <c r="B4068" s="461"/>
    </row>
    <row r="4069" spans="1:2">
      <c r="A4069" s="422"/>
      <c r="B4069" s="461"/>
    </row>
    <row r="4070" spans="1:2">
      <c r="A4070" s="422"/>
      <c r="B4070" s="461"/>
    </row>
    <row r="4071" spans="1:2">
      <c r="A4071" s="422"/>
      <c r="B4071" s="461"/>
    </row>
    <row r="4072" spans="1:2">
      <c r="A4072" s="422"/>
      <c r="B4072" s="461"/>
    </row>
    <row r="4073" spans="1:2">
      <c r="A4073" s="422"/>
      <c r="B4073" s="461"/>
    </row>
    <row r="4074" spans="1:2">
      <c r="A4074" s="422"/>
      <c r="B4074" s="461"/>
    </row>
    <row r="4075" spans="1:2">
      <c r="A4075" s="422"/>
      <c r="B4075" s="461"/>
    </row>
    <row r="4076" spans="1:2">
      <c r="A4076" s="422"/>
      <c r="B4076" s="461"/>
    </row>
    <row r="4077" spans="1:2">
      <c r="A4077" s="422"/>
      <c r="B4077" s="461"/>
    </row>
    <row r="4078" spans="1:2">
      <c r="A4078" s="422"/>
      <c r="B4078" s="461"/>
    </row>
    <row r="4079" spans="1:2">
      <c r="A4079" s="422"/>
      <c r="B4079" s="461"/>
    </row>
    <row r="4080" spans="1:2">
      <c r="A4080" s="422"/>
      <c r="B4080" s="461"/>
    </row>
    <row r="4081" spans="1:2">
      <c r="A4081" s="422"/>
      <c r="B4081" s="461"/>
    </row>
    <row r="4082" spans="1:2">
      <c r="A4082" s="422"/>
      <c r="B4082" s="461"/>
    </row>
    <row r="4083" spans="1:2">
      <c r="A4083" s="422"/>
      <c r="B4083" s="461"/>
    </row>
    <row r="4084" spans="1:2">
      <c r="A4084" s="422"/>
      <c r="B4084" s="461"/>
    </row>
    <row r="4085" spans="1:2">
      <c r="A4085" s="422"/>
      <c r="B4085" s="461"/>
    </row>
    <row r="4086" spans="1:2">
      <c r="A4086" s="422"/>
      <c r="B4086" s="461"/>
    </row>
    <row r="4087" spans="1:2">
      <c r="A4087" s="422"/>
      <c r="B4087" s="461"/>
    </row>
    <row r="4088" spans="1:2">
      <c r="A4088" s="422"/>
      <c r="B4088" s="461"/>
    </row>
    <row r="4089" spans="1:2">
      <c r="A4089" s="422"/>
      <c r="B4089" s="461"/>
    </row>
    <row r="4090" spans="1:2">
      <c r="A4090" s="422"/>
      <c r="B4090" s="461"/>
    </row>
    <row r="4091" spans="1:2">
      <c r="A4091" s="422"/>
      <c r="B4091" s="461"/>
    </row>
    <row r="4092" spans="1:2">
      <c r="A4092" s="422"/>
      <c r="B4092" s="461"/>
    </row>
    <row r="4093" spans="1:2">
      <c r="A4093" s="422"/>
      <c r="B4093" s="461"/>
    </row>
    <row r="4094" spans="1:2">
      <c r="A4094" s="422"/>
      <c r="B4094" s="461"/>
    </row>
    <row r="4095" spans="1:2">
      <c r="A4095" s="422"/>
      <c r="B4095" s="461"/>
    </row>
    <row r="4096" spans="1:2">
      <c r="A4096" s="422"/>
      <c r="B4096" s="461"/>
    </row>
    <row r="4097" spans="1:2">
      <c r="A4097" s="422"/>
      <c r="B4097" s="461"/>
    </row>
    <row r="4098" spans="1:2">
      <c r="A4098" s="422"/>
      <c r="B4098" s="461"/>
    </row>
    <row r="4099" spans="1:2">
      <c r="A4099" s="422"/>
      <c r="B4099" s="461"/>
    </row>
    <row r="4100" spans="1:2">
      <c r="A4100" s="422"/>
      <c r="B4100" s="461"/>
    </row>
    <row r="4101" spans="1:2">
      <c r="A4101" s="422"/>
      <c r="B4101" s="461"/>
    </row>
    <row r="4102" spans="1:2">
      <c r="A4102" s="422"/>
      <c r="B4102" s="461"/>
    </row>
    <row r="4103" spans="1:2">
      <c r="A4103" s="422"/>
      <c r="B4103" s="461"/>
    </row>
    <row r="4104" spans="1:2">
      <c r="A4104" s="422"/>
      <c r="B4104" s="461"/>
    </row>
    <row r="4105" spans="1:2">
      <c r="A4105" s="422"/>
      <c r="B4105" s="461"/>
    </row>
    <row r="4106" spans="1:2">
      <c r="A4106" s="422"/>
      <c r="B4106" s="461"/>
    </row>
    <row r="4107" spans="1:2">
      <c r="A4107" s="422"/>
      <c r="B4107" s="461"/>
    </row>
    <row r="4108" spans="1:2">
      <c r="A4108" s="422"/>
      <c r="B4108" s="461"/>
    </row>
    <row r="4109" spans="1:2">
      <c r="A4109" s="422"/>
      <c r="B4109" s="461"/>
    </row>
    <row r="4110" spans="1:2">
      <c r="A4110" s="422"/>
      <c r="B4110" s="461"/>
    </row>
    <row r="4111" spans="1:2">
      <c r="A4111" s="422"/>
      <c r="B4111" s="461"/>
    </row>
    <row r="4112" spans="1:2">
      <c r="A4112" s="422"/>
      <c r="B4112" s="461"/>
    </row>
    <row r="4113" spans="1:2">
      <c r="A4113" s="422"/>
      <c r="B4113" s="461"/>
    </row>
    <row r="4114" spans="1:2">
      <c r="A4114" s="422"/>
      <c r="B4114" s="461"/>
    </row>
    <row r="4115" spans="1:2">
      <c r="A4115" s="422"/>
      <c r="B4115" s="461"/>
    </row>
    <row r="4116" spans="1:2">
      <c r="A4116" s="422"/>
      <c r="B4116" s="461"/>
    </row>
    <row r="4117" spans="1:2">
      <c r="A4117" s="422"/>
      <c r="B4117" s="461"/>
    </row>
    <row r="4118" spans="1:2">
      <c r="A4118" s="422"/>
      <c r="B4118" s="461"/>
    </row>
    <row r="4119" spans="1:2">
      <c r="A4119" s="422"/>
      <c r="B4119" s="461"/>
    </row>
    <row r="4120" spans="1:2">
      <c r="A4120" s="422"/>
      <c r="B4120" s="461"/>
    </row>
    <row r="4121" spans="1:2">
      <c r="A4121" s="422"/>
      <c r="B4121" s="461"/>
    </row>
    <row r="4122" spans="1:2">
      <c r="A4122" s="422"/>
      <c r="B4122" s="461"/>
    </row>
    <row r="4123" spans="1:2">
      <c r="A4123" s="422"/>
      <c r="B4123" s="461"/>
    </row>
    <row r="4124" spans="1:2">
      <c r="A4124" s="422"/>
      <c r="B4124" s="461"/>
    </row>
    <row r="4125" spans="1:2">
      <c r="A4125" s="422"/>
      <c r="B4125" s="461"/>
    </row>
    <row r="4126" spans="1:2">
      <c r="A4126" s="422"/>
      <c r="B4126" s="461"/>
    </row>
    <row r="4127" spans="1:2">
      <c r="A4127" s="422"/>
      <c r="B4127" s="461"/>
    </row>
    <row r="4128" spans="1:2">
      <c r="A4128" s="422"/>
      <c r="B4128" s="461"/>
    </row>
    <row r="4129" spans="1:2">
      <c r="A4129" s="422"/>
      <c r="B4129" s="461"/>
    </row>
    <row r="4130" spans="1:2">
      <c r="A4130" s="422"/>
      <c r="B4130" s="461"/>
    </row>
    <row r="4131" spans="1:2">
      <c r="A4131" s="422"/>
      <c r="B4131" s="461"/>
    </row>
    <row r="4132" spans="1:2">
      <c r="A4132" s="422"/>
      <c r="B4132" s="461"/>
    </row>
    <row r="4133" spans="1:2">
      <c r="A4133" s="422"/>
      <c r="B4133" s="461"/>
    </row>
    <row r="4134" spans="1:2">
      <c r="A4134" s="422"/>
      <c r="B4134" s="461"/>
    </row>
    <row r="4135" spans="1:2">
      <c r="A4135" s="422"/>
      <c r="B4135" s="461"/>
    </row>
    <row r="4136" spans="1:2">
      <c r="A4136" s="422"/>
      <c r="B4136" s="461"/>
    </row>
    <row r="4137" spans="1:2">
      <c r="A4137" s="422"/>
      <c r="B4137" s="461"/>
    </row>
    <row r="4138" spans="1:2">
      <c r="A4138" s="422"/>
      <c r="B4138" s="461"/>
    </row>
    <row r="4139" spans="1:2">
      <c r="A4139" s="422"/>
      <c r="B4139" s="461"/>
    </row>
    <row r="4140" spans="1:2">
      <c r="A4140" s="422"/>
      <c r="B4140" s="461"/>
    </row>
    <row r="4141" spans="1:2">
      <c r="A4141" s="422"/>
      <c r="B4141" s="461"/>
    </row>
    <row r="4142" spans="1:2">
      <c r="A4142" s="422"/>
      <c r="B4142" s="461"/>
    </row>
    <row r="4143" spans="1:2">
      <c r="A4143" s="422"/>
      <c r="B4143" s="461"/>
    </row>
    <row r="4144" spans="1:2">
      <c r="A4144" s="422"/>
      <c r="B4144" s="461"/>
    </row>
    <row r="4145" spans="1:2">
      <c r="A4145" s="422"/>
      <c r="B4145" s="461"/>
    </row>
    <row r="4146" spans="1:2">
      <c r="A4146" s="422"/>
      <c r="B4146" s="461"/>
    </row>
    <row r="4147" spans="1:2">
      <c r="A4147" s="422"/>
      <c r="B4147" s="461"/>
    </row>
    <row r="4148" spans="1:2">
      <c r="A4148" s="422"/>
      <c r="B4148" s="461"/>
    </row>
    <row r="4149" spans="1:2">
      <c r="A4149" s="422"/>
      <c r="B4149" s="461"/>
    </row>
    <row r="4150" spans="1:2">
      <c r="A4150" s="422"/>
      <c r="B4150" s="461"/>
    </row>
    <row r="4151" spans="1:2">
      <c r="A4151" s="422"/>
      <c r="B4151" s="461"/>
    </row>
    <row r="4152" spans="1:2">
      <c r="A4152" s="422"/>
      <c r="B4152" s="461"/>
    </row>
    <row r="4153" spans="1:2">
      <c r="A4153" s="422"/>
      <c r="B4153" s="461"/>
    </row>
    <row r="4154" spans="1:2">
      <c r="A4154" s="422"/>
      <c r="B4154" s="461"/>
    </row>
    <row r="4155" spans="1:2">
      <c r="A4155" s="422"/>
      <c r="B4155" s="461"/>
    </row>
    <row r="4156" spans="1:2">
      <c r="A4156" s="422"/>
      <c r="B4156" s="461"/>
    </row>
    <row r="4157" spans="1:2">
      <c r="A4157" s="422"/>
      <c r="B4157" s="461"/>
    </row>
    <row r="4158" spans="1:2">
      <c r="A4158" s="422"/>
      <c r="B4158" s="461"/>
    </row>
    <row r="4159" spans="1:2">
      <c r="A4159" s="422"/>
      <c r="B4159" s="461"/>
    </row>
    <row r="4160" spans="1:2">
      <c r="A4160" s="422"/>
      <c r="B4160" s="461"/>
    </row>
    <row r="4161" spans="1:2">
      <c r="A4161" s="422"/>
      <c r="B4161" s="461"/>
    </row>
    <row r="4162" spans="1:2">
      <c r="A4162" s="422"/>
      <c r="B4162" s="461"/>
    </row>
    <row r="4163" spans="1:2">
      <c r="A4163" s="422"/>
      <c r="B4163" s="461"/>
    </row>
    <row r="4164" spans="1:2">
      <c r="A4164" s="422"/>
      <c r="B4164" s="461"/>
    </row>
    <row r="4165" spans="1:2">
      <c r="A4165" s="422"/>
      <c r="B4165" s="461"/>
    </row>
    <row r="4166" spans="1:2">
      <c r="A4166" s="422"/>
      <c r="B4166" s="461"/>
    </row>
    <row r="4167" spans="1:2">
      <c r="A4167" s="422"/>
      <c r="B4167" s="461"/>
    </row>
    <row r="4168" spans="1:2">
      <c r="A4168" s="422"/>
      <c r="B4168" s="461"/>
    </row>
    <row r="4169" spans="1:2">
      <c r="A4169" s="422"/>
      <c r="B4169" s="461"/>
    </row>
    <row r="4170" spans="1:2">
      <c r="A4170" s="422"/>
      <c r="B4170" s="461"/>
    </row>
    <row r="4171" spans="1:2">
      <c r="A4171" s="422"/>
      <c r="B4171" s="461"/>
    </row>
    <row r="4172" spans="1:2">
      <c r="A4172" s="422"/>
      <c r="B4172" s="461"/>
    </row>
    <row r="4173" spans="1:2">
      <c r="A4173" s="422"/>
      <c r="B4173" s="461"/>
    </row>
    <row r="4174" spans="1:2">
      <c r="A4174" s="422"/>
      <c r="B4174" s="461"/>
    </row>
    <row r="4175" spans="1:2">
      <c r="A4175" s="422"/>
      <c r="B4175" s="461"/>
    </row>
    <row r="4176" spans="1:2">
      <c r="A4176" s="422"/>
      <c r="B4176" s="461"/>
    </row>
    <row r="4177" spans="1:2">
      <c r="A4177" s="422"/>
      <c r="B4177" s="461"/>
    </row>
    <row r="4178" spans="1:2">
      <c r="A4178" s="422"/>
      <c r="B4178" s="461"/>
    </row>
    <row r="4179" spans="1:2">
      <c r="A4179" s="422"/>
      <c r="B4179" s="461"/>
    </row>
    <row r="4180" spans="1:2">
      <c r="A4180" s="422"/>
      <c r="B4180" s="461"/>
    </row>
    <row r="4181" spans="1:2">
      <c r="A4181" s="422"/>
      <c r="B4181" s="461"/>
    </row>
    <row r="4182" spans="1:2">
      <c r="A4182" s="422"/>
      <c r="B4182" s="461"/>
    </row>
    <row r="4183" spans="1:2">
      <c r="A4183" s="422"/>
      <c r="B4183" s="461"/>
    </row>
    <row r="4184" spans="1:2">
      <c r="A4184" s="422"/>
      <c r="B4184" s="461"/>
    </row>
    <row r="4185" spans="1:2">
      <c r="A4185" s="422"/>
      <c r="B4185" s="461"/>
    </row>
    <row r="4186" spans="1:2">
      <c r="A4186" s="422"/>
      <c r="B4186" s="461"/>
    </row>
    <row r="4187" spans="1:2">
      <c r="A4187" s="422"/>
      <c r="B4187" s="461"/>
    </row>
    <row r="4188" spans="1:2">
      <c r="A4188" s="422"/>
      <c r="B4188" s="461"/>
    </row>
    <row r="4189" spans="1:2">
      <c r="A4189" s="422"/>
      <c r="B4189" s="461"/>
    </row>
    <row r="4190" spans="1:2">
      <c r="A4190" s="422"/>
      <c r="B4190" s="461"/>
    </row>
    <row r="4191" spans="1:2">
      <c r="A4191" s="422"/>
      <c r="B4191" s="461"/>
    </row>
    <row r="4192" spans="1:2">
      <c r="A4192" s="422"/>
      <c r="B4192" s="461"/>
    </row>
    <row r="4193" spans="1:2">
      <c r="A4193" s="422"/>
      <c r="B4193" s="461"/>
    </row>
    <row r="4194" spans="1:2">
      <c r="A4194" s="422"/>
      <c r="B4194" s="461"/>
    </row>
    <row r="4195" spans="1:2">
      <c r="A4195" s="422"/>
      <c r="B4195" s="461"/>
    </row>
    <row r="4196" spans="1:2">
      <c r="A4196" s="422"/>
      <c r="B4196" s="461"/>
    </row>
    <row r="4197" spans="1:2">
      <c r="A4197" s="422"/>
      <c r="B4197" s="461"/>
    </row>
    <row r="4198" spans="1:2">
      <c r="A4198" s="422"/>
      <c r="B4198" s="461"/>
    </row>
    <row r="4199" spans="1:2">
      <c r="A4199" s="422"/>
      <c r="B4199" s="461"/>
    </row>
    <row r="4200" spans="1:2">
      <c r="A4200" s="422"/>
      <c r="B4200" s="461"/>
    </row>
    <row r="4201" spans="1:2">
      <c r="A4201" s="422"/>
      <c r="B4201" s="461"/>
    </row>
    <row r="4202" spans="1:2">
      <c r="A4202" s="422"/>
      <c r="B4202" s="461"/>
    </row>
    <row r="4203" spans="1:2">
      <c r="A4203" s="422"/>
      <c r="B4203" s="461"/>
    </row>
    <row r="4204" spans="1:2">
      <c r="A4204" s="422"/>
      <c r="B4204" s="461"/>
    </row>
    <row r="4205" spans="1:2">
      <c r="A4205" s="422"/>
      <c r="B4205" s="461"/>
    </row>
    <row r="4206" spans="1:2">
      <c r="A4206" s="422"/>
      <c r="B4206" s="461"/>
    </row>
    <row r="4207" spans="1:2">
      <c r="A4207" s="422"/>
      <c r="B4207" s="461"/>
    </row>
    <row r="4208" spans="1:2">
      <c r="A4208" s="422"/>
      <c r="B4208" s="461"/>
    </row>
    <row r="4209" spans="1:2">
      <c r="A4209" s="422"/>
      <c r="B4209" s="461"/>
    </row>
    <row r="4210" spans="1:2">
      <c r="A4210" s="422"/>
      <c r="B4210" s="461"/>
    </row>
    <row r="4211" spans="1:2">
      <c r="A4211" s="422"/>
      <c r="B4211" s="461"/>
    </row>
    <row r="4212" spans="1:2">
      <c r="A4212" s="422"/>
      <c r="B4212" s="461"/>
    </row>
    <row r="4213" spans="1:2">
      <c r="A4213" s="422"/>
      <c r="B4213" s="461"/>
    </row>
    <row r="4214" spans="1:2">
      <c r="A4214" s="422"/>
      <c r="B4214" s="461"/>
    </row>
    <row r="4215" spans="1:2">
      <c r="A4215" s="422"/>
      <c r="B4215" s="461"/>
    </row>
    <row r="4216" spans="1:2">
      <c r="A4216" s="422"/>
      <c r="B4216" s="461"/>
    </row>
    <row r="4217" spans="1:2">
      <c r="A4217" s="422"/>
      <c r="B4217" s="461"/>
    </row>
    <row r="4218" spans="1:2">
      <c r="A4218" s="422"/>
      <c r="B4218" s="461"/>
    </row>
    <row r="4219" spans="1:2">
      <c r="A4219" s="422"/>
      <c r="B4219" s="461"/>
    </row>
    <row r="4220" spans="1:2">
      <c r="A4220" s="422"/>
      <c r="B4220" s="461"/>
    </row>
    <row r="4221" spans="1:2">
      <c r="A4221" s="422"/>
      <c r="B4221" s="461"/>
    </row>
    <row r="4222" spans="1:2">
      <c r="A4222" s="422"/>
      <c r="B4222" s="461"/>
    </row>
    <row r="4223" spans="1:2">
      <c r="A4223" s="422"/>
      <c r="B4223" s="461"/>
    </row>
    <row r="4224" spans="1:2">
      <c r="A4224" s="422"/>
      <c r="B4224" s="461"/>
    </row>
    <row r="4225" spans="1:2">
      <c r="A4225" s="422"/>
      <c r="B4225" s="461"/>
    </row>
    <row r="4226" spans="1:2">
      <c r="A4226" s="422"/>
      <c r="B4226" s="461"/>
    </row>
    <row r="4227" spans="1:2">
      <c r="A4227" s="422"/>
      <c r="B4227" s="461"/>
    </row>
    <row r="4228" spans="1:2">
      <c r="A4228" s="422"/>
      <c r="B4228" s="461"/>
    </row>
    <row r="4229" spans="1:2">
      <c r="A4229" s="422"/>
      <c r="B4229" s="461"/>
    </row>
    <row r="4230" spans="1:2">
      <c r="A4230" s="422"/>
      <c r="B4230" s="461"/>
    </row>
    <row r="4231" spans="1:2">
      <c r="A4231" s="422"/>
      <c r="B4231" s="461"/>
    </row>
    <row r="4232" spans="1:2">
      <c r="A4232" s="422"/>
      <c r="B4232" s="461"/>
    </row>
    <row r="4233" spans="1:2">
      <c r="A4233" s="422"/>
      <c r="B4233" s="461"/>
    </row>
    <row r="4234" spans="1:2">
      <c r="A4234" s="422"/>
      <c r="B4234" s="461"/>
    </row>
    <row r="4235" spans="1:2">
      <c r="A4235" s="422"/>
      <c r="B4235" s="461"/>
    </row>
    <row r="4236" spans="1:2">
      <c r="A4236" s="422"/>
      <c r="B4236" s="461"/>
    </row>
    <row r="4237" spans="1:2">
      <c r="A4237" s="422"/>
      <c r="B4237" s="461"/>
    </row>
    <row r="4238" spans="1:2">
      <c r="A4238" s="422"/>
      <c r="B4238" s="461"/>
    </row>
    <row r="4239" spans="1:2">
      <c r="A4239" s="422"/>
      <c r="B4239" s="461"/>
    </row>
    <row r="4240" spans="1:2">
      <c r="A4240" s="422"/>
      <c r="B4240" s="461"/>
    </row>
    <row r="4241" spans="1:2">
      <c r="A4241" s="422"/>
      <c r="B4241" s="461"/>
    </row>
    <row r="4242" spans="1:2">
      <c r="A4242" s="422"/>
      <c r="B4242" s="461"/>
    </row>
    <row r="4243" spans="1:2">
      <c r="A4243" s="422"/>
      <c r="B4243" s="461"/>
    </row>
    <row r="4244" spans="1:2">
      <c r="A4244" s="422"/>
      <c r="B4244" s="461"/>
    </row>
    <row r="4245" spans="1:2">
      <c r="A4245" s="422"/>
      <c r="B4245" s="461"/>
    </row>
    <row r="4246" spans="1:2">
      <c r="A4246" s="422"/>
      <c r="B4246" s="461"/>
    </row>
    <row r="4247" spans="1:2">
      <c r="A4247" s="422"/>
      <c r="B4247" s="461"/>
    </row>
    <row r="4248" spans="1:2">
      <c r="A4248" s="422"/>
      <c r="B4248" s="461"/>
    </row>
    <row r="4249" spans="1:2">
      <c r="A4249" s="422"/>
      <c r="B4249" s="461"/>
    </row>
    <row r="4250" spans="1:2">
      <c r="A4250" s="422"/>
      <c r="B4250" s="461"/>
    </row>
    <row r="4251" spans="1:2">
      <c r="A4251" s="422"/>
      <c r="B4251" s="461"/>
    </row>
    <row r="4252" spans="1:2">
      <c r="A4252" s="422"/>
      <c r="B4252" s="461"/>
    </row>
    <row r="4253" spans="1:2">
      <c r="A4253" s="422"/>
      <c r="B4253" s="461"/>
    </row>
    <row r="4254" spans="1:2">
      <c r="A4254" s="422"/>
      <c r="B4254" s="461"/>
    </row>
    <row r="4255" spans="1:2">
      <c r="A4255" s="422"/>
      <c r="B4255" s="461"/>
    </row>
    <row r="4256" spans="1:2">
      <c r="A4256" s="422"/>
      <c r="B4256" s="461"/>
    </row>
    <row r="4257" spans="1:2">
      <c r="A4257" s="422"/>
      <c r="B4257" s="461"/>
    </row>
    <row r="4258" spans="1:2">
      <c r="A4258" s="422"/>
      <c r="B4258" s="461"/>
    </row>
    <row r="4259" spans="1:2">
      <c r="A4259" s="422"/>
      <c r="B4259" s="461"/>
    </row>
    <row r="4260" spans="1:2">
      <c r="A4260" s="422"/>
      <c r="B4260" s="461"/>
    </row>
    <row r="4261" spans="1:2">
      <c r="A4261" s="422"/>
      <c r="B4261" s="461"/>
    </row>
    <row r="4262" spans="1:2">
      <c r="A4262" s="422"/>
      <c r="B4262" s="461"/>
    </row>
    <row r="4263" spans="1:2">
      <c r="A4263" s="422"/>
      <c r="B4263" s="461"/>
    </row>
    <row r="4264" spans="1:2">
      <c r="A4264" s="422"/>
      <c r="B4264" s="461"/>
    </row>
    <row r="4265" spans="1:2">
      <c r="A4265" s="422"/>
      <c r="B4265" s="461"/>
    </row>
    <row r="4266" spans="1:2">
      <c r="A4266" s="422"/>
      <c r="B4266" s="461"/>
    </row>
    <row r="4267" spans="1:2">
      <c r="A4267" s="422"/>
      <c r="B4267" s="461"/>
    </row>
    <row r="4268" spans="1:2">
      <c r="A4268" s="422"/>
      <c r="B4268" s="461"/>
    </row>
    <row r="4269" spans="1:2">
      <c r="A4269" s="422"/>
      <c r="B4269" s="461"/>
    </row>
    <row r="4270" spans="1:2">
      <c r="A4270" s="422"/>
      <c r="B4270" s="461"/>
    </row>
    <row r="4271" spans="1:2">
      <c r="A4271" s="422"/>
      <c r="B4271" s="461"/>
    </row>
    <row r="4272" spans="1:2">
      <c r="A4272" s="422"/>
      <c r="B4272" s="461"/>
    </row>
    <row r="4273" spans="1:2">
      <c r="A4273" s="422"/>
      <c r="B4273" s="461"/>
    </row>
    <row r="4274" spans="1:2">
      <c r="A4274" s="422"/>
      <c r="B4274" s="461"/>
    </row>
    <row r="4275" spans="1:2">
      <c r="A4275" s="422"/>
      <c r="B4275" s="461"/>
    </row>
    <row r="4276" spans="1:2">
      <c r="A4276" s="422"/>
      <c r="B4276" s="461"/>
    </row>
    <row r="4277" spans="1:2">
      <c r="A4277" s="422"/>
      <c r="B4277" s="461"/>
    </row>
    <row r="4278" spans="1:2">
      <c r="A4278" s="422"/>
      <c r="B4278" s="461"/>
    </row>
    <row r="4279" spans="1:2">
      <c r="A4279" s="422"/>
      <c r="B4279" s="461"/>
    </row>
    <row r="4280" spans="1:2">
      <c r="A4280" s="422"/>
      <c r="B4280" s="461"/>
    </row>
    <row r="4281" spans="1:2">
      <c r="A4281" s="422"/>
      <c r="B4281" s="461"/>
    </row>
    <row r="4282" spans="1:2">
      <c r="A4282" s="422"/>
      <c r="B4282" s="461"/>
    </row>
    <row r="4283" spans="1:2">
      <c r="A4283" s="422"/>
      <c r="B4283" s="461"/>
    </row>
    <row r="4284" spans="1:2">
      <c r="A4284" s="422"/>
      <c r="B4284" s="461"/>
    </row>
    <row r="4285" spans="1:2">
      <c r="A4285" s="422"/>
      <c r="B4285" s="461"/>
    </row>
    <row r="4286" spans="1:2">
      <c r="A4286" s="422"/>
      <c r="B4286" s="461"/>
    </row>
    <row r="4287" spans="1:2">
      <c r="A4287" s="422"/>
      <c r="B4287" s="461"/>
    </row>
    <row r="4288" spans="1:2">
      <c r="A4288" s="422"/>
      <c r="B4288" s="461"/>
    </row>
    <row r="4289" spans="1:2">
      <c r="A4289" s="422"/>
      <c r="B4289" s="461"/>
    </row>
    <row r="4290" spans="1:2">
      <c r="A4290" s="422"/>
      <c r="B4290" s="461"/>
    </row>
    <row r="4291" spans="1:2">
      <c r="A4291" s="422"/>
      <c r="B4291" s="461"/>
    </row>
    <row r="4292" spans="1:2">
      <c r="A4292" s="422"/>
      <c r="B4292" s="461"/>
    </row>
    <row r="4293" spans="1:2">
      <c r="A4293" s="422"/>
      <c r="B4293" s="461"/>
    </row>
    <row r="4294" spans="1:2">
      <c r="A4294" s="422"/>
      <c r="B4294" s="461"/>
    </row>
    <row r="4295" spans="1:2">
      <c r="A4295" s="422"/>
      <c r="B4295" s="461"/>
    </row>
    <row r="4296" spans="1:2">
      <c r="A4296" s="422"/>
      <c r="B4296" s="461"/>
    </row>
    <row r="4297" spans="1:2">
      <c r="A4297" s="422"/>
      <c r="B4297" s="461"/>
    </row>
    <row r="4298" spans="1:2">
      <c r="A4298" s="422"/>
      <c r="B4298" s="461"/>
    </row>
    <row r="4299" spans="1:2">
      <c r="A4299" s="422"/>
      <c r="B4299" s="461"/>
    </row>
    <row r="4300" spans="1:2">
      <c r="A4300" s="422"/>
      <c r="B4300" s="461"/>
    </row>
    <row r="4301" spans="1:2">
      <c r="A4301" s="422"/>
      <c r="B4301" s="461"/>
    </row>
    <row r="4302" spans="1:2">
      <c r="A4302" s="422"/>
      <c r="B4302" s="461"/>
    </row>
    <row r="4303" spans="1:2">
      <c r="A4303" s="422"/>
      <c r="B4303" s="461"/>
    </row>
    <row r="4304" spans="1:2">
      <c r="A4304" s="422"/>
      <c r="B4304" s="461"/>
    </row>
    <row r="4305" spans="1:2">
      <c r="A4305" s="422"/>
      <c r="B4305" s="461"/>
    </row>
    <row r="4306" spans="1:2">
      <c r="A4306" s="422"/>
      <c r="B4306" s="461"/>
    </row>
    <row r="4307" spans="1:2">
      <c r="A4307" s="422"/>
      <c r="B4307" s="461"/>
    </row>
    <row r="4308" spans="1:2">
      <c r="A4308" s="422"/>
      <c r="B4308" s="461"/>
    </row>
    <row r="4309" spans="1:2">
      <c r="A4309" s="422"/>
      <c r="B4309" s="461"/>
    </row>
    <row r="4310" spans="1:2">
      <c r="A4310" s="422"/>
      <c r="B4310" s="461"/>
    </row>
    <row r="4311" spans="1:2">
      <c r="A4311" s="422"/>
      <c r="B4311" s="461"/>
    </row>
    <row r="4312" spans="1:2">
      <c r="A4312" s="422"/>
      <c r="B4312" s="461"/>
    </row>
    <row r="4313" spans="1:2">
      <c r="A4313" s="422"/>
      <c r="B4313" s="461"/>
    </row>
    <row r="4314" spans="1:2">
      <c r="A4314" s="422"/>
      <c r="B4314" s="461"/>
    </row>
    <row r="4315" spans="1:2">
      <c r="A4315" s="422"/>
      <c r="B4315" s="461"/>
    </row>
    <row r="4316" spans="1:2">
      <c r="A4316" s="422"/>
      <c r="B4316" s="461"/>
    </row>
    <row r="4317" spans="1:2">
      <c r="A4317" s="422"/>
      <c r="B4317" s="461"/>
    </row>
    <row r="4318" spans="1:2">
      <c r="A4318" s="422"/>
      <c r="B4318" s="461"/>
    </row>
    <row r="4319" spans="1:2">
      <c r="A4319" s="422"/>
      <c r="B4319" s="461"/>
    </row>
    <row r="4320" spans="1:2">
      <c r="A4320" s="422"/>
      <c r="B4320" s="461"/>
    </row>
    <row r="4321" spans="1:2">
      <c r="A4321" s="422"/>
      <c r="B4321" s="461"/>
    </row>
    <row r="4322" spans="1:2">
      <c r="A4322" s="422"/>
      <c r="B4322" s="461"/>
    </row>
    <row r="4323" spans="1:2">
      <c r="A4323" s="422"/>
      <c r="B4323" s="461"/>
    </row>
    <row r="4324" spans="1:2">
      <c r="A4324" s="422"/>
      <c r="B4324" s="461"/>
    </row>
    <row r="4325" spans="1:2">
      <c r="A4325" s="422"/>
      <c r="B4325" s="461"/>
    </row>
    <row r="4326" spans="1:2">
      <c r="A4326" s="422"/>
      <c r="B4326" s="461"/>
    </row>
    <row r="4327" spans="1:2">
      <c r="A4327" s="422"/>
      <c r="B4327" s="461"/>
    </row>
    <row r="4328" spans="1:2">
      <c r="A4328" s="422"/>
      <c r="B4328" s="461"/>
    </row>
    <row r="4329" spans="1:2">
      <c r="A4329" s="422"/>
      <c r="B4329" s="461"/>
    </row>
    <row r="4330" spans="1:2">
      <c r="A4330" s="422"/>
      <c r="B4330" s="461"/>
    </row>
    <row r="4331" spans="1:2">
      <c r="A4331" s="422"/>
      <c r="B4331" s="461"/>
    </row>
    <row r="4332" spans="1:2">
      <c r="A4332" s="422"/>
      <c r="B4332" s="461"/>
    </row>
    <row r="4333" spans="1:2">
      <c r="A4333" s="422"/>
      <c r="B4333" s="461"/>
    </row>
    <row r="4334" spans="1:2">
      <c r="A4334" s="422"/>
      <c r="B4334" s="461"/>
    </row>
    <row r="4335" spans="1:2">
      <c r="A4335" s="422"/>
      <c r="B4335" s="461"/>
    </row>
    <row r="4336" spans="1:2">
      <c r="A4336" s="422"/>
      <c r="B4336" s="461"/>
    </row>
    <row r="4337" spans="1:2">
      <c r="A4337" s="422"/>
      <c r="B4337" s="461"/>
    </row>
    <row r="4338" spans="1:2">
      <c r="A4338" s="422"/>
      <c r="B4338" s="461"/>
    </row>
    <row r="4339" spans="1:2">
      <c r="A4339" s="422"/>
      <c r="B4339" s="461"/>
    </row>
    <row r="4340" spans="1:2">
      <c r="A4340" s="422"/>
      <c r="B4340" s="461"/>
    </row>
    <row r="4341" spans="1:2">
      <c r="A4341" s="422"/>
      <c r="B4341" s="461"/>
    </row>
    <row r="4342" spans="1:2">
      <c r="A4342" s="422"/>
      <c r="B4342" s="461"/>
    </row>
    <row r="4343" spans="1:2">
      <c r="A4343" s="422"/>
      <c r="B4343" s="461"/>
    </row>
    <row r="4344" spans="1:2">
      <c r="A4344" s="422"/>
      <c r="B4344" s="461"/>
    </row>
    <row r="4345" spans="1:2">
      <c r="A4345" s="422"/>
      <c r="B4345" s="461"/>
    </row>
    <row r="4346" spans="1:2">
      <c r="A4346" s="422"/>
      <c r="B4346" s="461"/>
    </row>
    <row r="4347" spans="1:2">
      <c r="A4347" s="422"/>
      <c r="B4347" s="461"/>
    </row>
    <row r="4348" spans="1:2">
      <c r="A4348" s="422"/>
      <c r="B4348" s="461"/>
    </row>
    <row r="4349" spans="1:2">
      <c r="A4349" s="422"/>
      <c r="B4349" s="461"/>
    </row>
    <row r="4350" spans="1:2">
      <c r="A4350" s="422"/>
      <c r="B4350" s="461"/>
    </row>
    <row r="4351" spans="1:2">
      <c r="A4351" s="422"/>
      <c r="B4351" s="461"/>
    </row>
    <row r="4352" spans="1:2">
      <c r="A4352" s="422"/>
      <c r="B4352" s="461"/>
    </row>
    <row r="4353" spans="1:2">
      <c r="A4353" s="422"/>
      <c r="B4353" s="461"/>
    </row>
    <row r="4354" spans="1:2">
      <c r="A4354" s="422"/>
      <c r="B4354" s="461"/>
    </row>
    <row r="4355" spans="1:2">
      <c r="A4355" s="422"/>
      <c r="B4355" s="461"/>
    </row>
    <row r="4356" spans="1:2">
      <c r="A4356" s="422"/>
      <c r="B4356" s="461"/>
    </row>
    <row r="4357" spans="1:2">
      <c r="A4357" s="422"/>
      <c r="B4357" s="461"/>
    </row>
    <row r="4358" spans="1:2">
      <c r="A4358" s="422"/>
      <c r="B4358" s="461"/>
    </row>
    <row r="4359" spans="1:2">
      <c r="A4359" s="422"/>
      <c r="B4359" s="461"/>
    </row>
    <row r="4360" spans="1:2">
      <c r="A4360" s="422"/>
      <c r="B4360" s="461"/>
    </row>
    <row r="4361" spans="1:2">
      <c r="A4361" s="422"/>
      <c r="B4361" s="461"/>
    </row>
    <row r="4362" spans="1:2">
      <c r="A4362" s="422"/>
      <c r="B4362" s="461"/>
    </row>
    <row r="4363" spans="1:2">
      <c r="A4363" s="422"/>
      <c r="B4363" s="461"/>
    </row>
    <row r="4364" spans="1:2">
      <c r="A4364" s="422"/>
      <c r="B4364" s="461"/>
    </row>
    <row r="4365" spans="1:2">
      <c r="A4365" s="422"/>
      <c r="B4365" s="461"/>
    </row>
    <row r="4366" spans="1:2">
      <c r="A4366" s="422"/>
      <c r="B4366" s="461"/>
    </row>
    <row r="4367" spans="1:2">
      <c r="A4367" s="422"/>
      <c r="B4367" s="461"/>
    </row>
    <row r="4368" spans="1:2">
      <c r="A4368" s="422"/>
      <c r="B4368" s="461"/>
    </row>
    <row r="4369" spans="1:2">
      <c r="A4369" s="422"/>
      <c r="B4369" s="461"/>
    </row>
    <row r="4370" spans="1:2">
      <c r="A4370" s="422"/>
      <c r="B4370" s="461"/>
    </row>
    <row r="4371" spans="1:2">
      <c r="A4371" s="422"/>
      <c r="B4371" s="461"/>
    </row>
    <row r="4372" spans="1:2">
      <c r="A4372" s="422"/>
      <c r="B4372" s="461"/>
    </row>
    <row r="4373" spans="1:2">
      <c r="A4373" s="422"/>
      <c r="B4373" s="461"/>
    </row>
    <row r="4374" spans="1:2">
      <c r="A4374" s="422"/>
      <c r="B4374" s="461"/>
    </row>
    <row r="4375" spans="1:2">
      <c r="A4375" s="422"/>
      <c r="B4375" s="461"/>
    </row>
    <row r="4376" spans="1:2">
      <c r="A4376" s="422"/>
      <c r="B4376" s="461"/>
    </row>
    <row r="4377" spans="1:2">
      <c r="A4377" s="422"/>
      <c r="B4377" s="461"/>
    </row>
    <row r="4378" spans="1:2">
      <c r="A4378" s="422"/>
      <c r="B4378" s="461"/>
    </row>
    <row r="4379" spans="1:2">
      <c r="A4379" s="422"/>
      <c r="B4379" s="461"/>
    </row>
    <row r="4380" spans="1:2">
      <c r="A4380" s="422"/>
      <c r="B4380" s="461"/>
    </row>
    <row r="4381" spans="1:2">
      <c r="A4381" s="422"/>
      <c r="B4381" s="461"/>
    </row>
    <row r="4382" spans="1:2">
      <c r="A4382" s="422"/>
      <c r="B4382" s="461"/>
    </row>
    <row r="4383" spans="1:2">
      <c r="A4383" s="422"/>
      <c r="B4383" s="461"/>
    </row>
    <row r="4384" spans="1:2">
      <c r="A4384" s="422"/>
      <c r="B4384" s="461"/>
    </row>
    <row r="4385" spans="1:2">
      <c r="A4385" s="422"/>
      <c r="B4385" s="461"/>
    </row>
    <row r="4386" spans="1:2">
      <c r="A4386" s="422"/>
      <c r="B4386" s="461"/>
    </row>
    <row r="4387" spans="1:2">
      <c r="A4387" s="422"/>
      <c r="B4387" s="461"/>
    </row>
    <row r="4388" spans="1:2">
      <c r="A4388" s="422"/>
      <c r="B4388" s="461"/>
    </row>
    <row r="4389" spans="1:2">
      <c r="A4389" s="422"/>
      <c r="B4389" s="461"/>
    </row>
    <row r="4390" spans="1:2">
      <c r="A4390" s="422"/>
      <c r="B4390" s="461"/>
    </row>
    <row r="4391" spans="1:2">
      <c r="A4391" s="422"/>
      <c r="B4391" s="461"/>
    </row>
    <row r="4392" spans="1:2">
      <c r="A4392" s="422"/>
      <c r="B4392" s="461"/>
    </row>
    <row r="4393" spans="1:2">
      <c r="A4393" s="422"/>
      <c r="B4393" s="461"/>
    </row>
    <row r="4394" spans="1:2">
      <c r="A4394" s="422"/>
      <c r="B4394" s="461"/>
    </row>
    <row r="4395" spans="1:2">
      <c r="A4395" s="422"/>
      <c r="B4395" s="461"/>
    </row>
    <row r="4396" spans="1:2">
      <c r="A4396" s="422"/>
      <c r="B4396" s="461"/>
    </row>
    <row r="4397" spans="1:2">
      <c r="A4397" s="422"/>
      <c r="B4397" s="461"/>
    </row>
    <row r="4398" spans="1:2">
      <c r="A4398" s="422"/>
      <c r="B4398" s="461"/>
    </row>
    <row r="4399" spans="1:2">
      <c r="A4399" s="422"/>
      <c r="B4399" s="461"/>
    </row>
    <row r="4400" spans="1:2">
      <c r="A4400" s="422"/>
      <c r="B4400" s="461"/>
    </row>
    <row r="4401" spans="1:2">
      <c r="A4401" s="422"/>
      <c r="B4401" s="461"/>
    </row>
    <row r="4402" spans="1:2">
      <c r="A4402" s="422"/>
      <c r="B4402" s="461"/>
    </row>
    <row r="4403" spans="1:2">
      <c r="A4403" s="422"/>
      <c r="B4403" s="461"/>
    </row>
    <row r="4404" spans="1:2">
      <c r="A4404" s="422"/>
      <c r="B4404" s="461"/>
    </row>
    <row r="4405" spans="1:2">
      <c r="A4405" s="422"/>
      <c r="B4405" s="461"/>
    </row>
    <row r="4406" spans="1:2">
      <c r="A4406" s="422"/>
      <c r="B4406" s="461"/>
    </row>
    <row r="4407" spans="1:2">
      <c r="A4407" s="422"/>
      <c r="B4407" s="461"/>
    </row>
    <row r="4408" spans="1:2">
      <c r="A4408" s="422"/>
      <c r="B4408" s="461"/>
    </row>
    <row r="4409" spans="1:2">
      <c r="A4409" s="422"/>
      <c r="B4409" s="461"/>
    </row>
    <row r="4410" spans="1:2">
      <c r="A4410" s="422"/>
      <c r="B4410" s="461"/>
    </row>
    <row r="4411" spans="1:2">
      <c r="A4411" s="422"/>
      <c r="B4411" s="461"/>
    </row>
    <row r="4412" spans="1:2">
      <c r="A4412" s="422"/>
      <c r="B4412" s="461"/>
    </row>
    <row r="4413" spans="1:2">
      <c r="A4413" s="422"/>
      <c r="B4413" s="461"/>
    </row>
    <row r="4414" spans="1:2">
      <c r="A4414" s="422"/>
      <c r="B4414" s="461"/>
    </row>
    <row r="4415" spans="1:2">
      <c r="A4415" s="422"/>
      <c r="B4415" s="461"/>
    </row>
    <row r="4416" spans="1:2">
      <c r="A4416" s="422"/>
      <c r="B4416" s="461"/>
    </row>
    <row r="4417" spans="1:2">
      <c r="A4417" s="422"/>
      <c r="B4417" s="461"/>
    </row>
    <row r="4418" spans="1:2">
      <c r="A4418" s="422"/>
      <c r="B4418" s="461"/>
    </row>
    <row r="4419" spans="1:2">
      <c r="A4419" s="422"/>
      <c r="B4419" s="461"/>
    </row>
    <row r="4420" spans="1:2">
      <c r="A4420" s="422"/>
      <c r="B4420" s="461"/>
    </row>
    <row r="4421" spans="1:2">
      <c r="A4421" s="422"/>
      <c r="B4421" s="461"/>
    </row>
    <row r="4422" spans="1:2">
      <c r="A4422" s="422"/>
      <c r="B4422" s="461"/>
    </row>
    <row r="4423" spans="1:2">
      <c r="A4423" s="422"/>
      <c r="B4423" s="461"/>
    </row>
    <row r="4424" spans="1:2">
      <c r="A4424" s="422"/>
      <c r="B4424" s="461"/>
    </row>
    <row r="4425" spans="1:2">
      <c r="A4425" s="422"/>
      <c r="B4425" s="461"/>
    </row>
    <row r="4426" spans="1:2">
      <c r="A4426" s="422"/>
      <c r="B4426" s="461"/>
    </row>
    <row r="4427" spans="1:2">
      <c r="A4427" s="422"/>
      <c r="B4427" s="461"/>
    </row>
    <row r="4428" spans="1:2">
      <c r="A4428" s="422"/>
      <c r="B4428" s="461"/>
    </row>
    <row r="4429" spans="1:2">
      <c r="A4429" s="422"/>
      <c r="B4429" s="461"/>
    </row>
    <row r="4430" spans="1:2">
      <c r="A4430" s="422"/>
      <c r="B4430" s="461"/>
    </row>
    <row r="4431" spans="1:2">
      <c r="A4431" s="422"/>
      <c r="B4431" s="461"/>
    </row>
    <row r="4432" spans="1:2">
      <c r="A4432" s="422"/>
      <c r="B4432" s="461"/>
    </row>
    <row r="4433" spans="1:2">
      <c r="A4433" s="422"/>
      <c r="B4433" s="461"/>
    </row>
    <row r="4434" spans="1:2">
      <c r="A4434" s="422"/>
      <c r="B4434" s="461"/>
    </row>
    <row r="4435" spans="1:2">
      <c r="A4435" s="422"/>
      <c r="B4435" s="461"/>
    </row>
    <row r="4436" spans="1:2">
      <c r="A4436" s="422"/>
      <c r="B4436" s="461"/>
    </row>
    <row r="4437" spans="1:2">
      <c r="A4437" s="422"/>
      <c r="B4437" s="461"/>
    </row>
    <row r="4438" spans="1:2">
      <c r="A4438" s="422"/>
      <c r="B4438" s="461"/>
    </row>
    <row r="4439" spans="1:2">
      <c r="A4439" s="422"/>
      <c r="B4439" s="461"/>
    </row>
    <row r="4440" spans="1:2">
      <c r="A4440" s="422"/>
      <c r="B4440" s="461"/>
    </row>
    <row r="4441" spans="1:2">
      <c r="A4441" s="422"/>
      <c r="B4441" s="461"/>
    </row>
    <row r="4442" spans="1:2">
      <c r="A4442" s="422"/>
      <c r="B4442" s="461"/>
    </row>
    <row r="4443" spans="1:2">
      <c r="A4443" s="422"/>
      <c r="B4443" s="461"/>
    </row>
    <row r="4444" spans="1:2">
      <c r="A4444" s="422"/>
      <c r="B4444" s="461"/>
    </row>
    <row r="4445" spans="1:2">
      <c r="A4445" s="422"/>
      <c r="B4445" s="461"/>
    </row>
    <row r="4446" spans="1:2">
      <c r="A4446" s="422"/>
      <c r="B4446" s="461"/>
    </row>
    <row r="4447" spans="1:2">
      <c r="A4447" s="422"/>
      <c r="B4447" s="461"/>
    </row>
    <row r="4448" spans="1:2">
      <c r="A4448" s="422"/>
      <c r="B4448" s="461"/>
    </row>
    <row r="4449" spans="1:2">
      <c r="A4449" s="422"/>
      <c r="B4449" s="461"/>
    </row>
    <row r="4450" spans="1:2">
      <c r="A4450" s="422"/>
      <c r="B4450" s="461"/>
    </row>
    <row r="4451" spans="1:2">
      <c r="A4451" s="422"/>
      <c r="B4451" s="461"/>
    </row>
    <row r="4452" spans="1:2">
      <c r="A4452" s="422"/>
      <c r="B4452" s="461"/>
    </row>
    <row r="4453" spans="1:2">
      <c r="A4453" s="422"/>
      <c r="B4453" s="461"/>
    </row>
    <row r="4454" spans="1:2">
      <c r="A4454" s="422"/>
      <c r="B4454" s="461"/>
    </row>
    <row r="4455" spans="1:2">
      <c r="A4455" s="422"/>
      <c r="B4455" s="461"/>
    </row>
    <row r="4456" spans="1:2">
      <c r="A4456" s="422"/>
      <c r="B4456" s="461"/>
    </row>
    <row r="4457" spans="1:2">
      <c r="A4457" s="422"/>
      <c r="B4457" s="461"/>
    </row>
    <row r="4458" spans="1:2">
      <c r="A4458" s="422"/>
      <c r="B4458" s="461"/>
    </row>
    <row r="4459" spans="1:2">
      <c r="A4459" s="422"/>
      <c r="B4459" s="461"/>
    </row>
    <row r="4460" spans="1:2">
      <c r="A4460" s="422"/>
      <c r="B4460" s="461"/>
    </row>
    <row r="4461" spans="1:2">
      <c r="A4461" s="422"/>
      <c r="B4461" s="461"/>
    </row>
    <row r="4462" spans="1:2">
      <c r="A4462" s="422"/>
      <c r="B4462" s="461"/>
    </row>
    <row r="4463" spans="1:2">
      <c r="A4463" s="422"/>
      <c r="B4463" s="461"/>
    </row>
    <row r="4464" spans="1:2">
      <c r="A4464" s="422"/>
      <c r="B4464" s="461"/>
    </row>
    <row r="4465" spans="1:2">
      <c r="A4465" s="422"/>
      <c r="B4465" s="461"/>
    </row>
    <row r="4466" spans="1:2">
      <c r="A4466" s="422"/>
      <c r="B4466" s="461"/>
    </row>
    <row r="4467" spans="1:2">
      <c r="A4467" s="422"/>
      <c r="B4467" s="461"/>
    </row>
    <row r="4468" spans="1:2">
      <c r="A4468" s="422"/>
      <c r="B4468" s="461"/>
    </row>
    <row r="4469" spans="1:2">
      <c r="A4469" s="422"/>
      <c r="B4469" s="461"/>
    </row>
    <row r="4470" spans="1:2">
      <c r="A4470" s="422"/>
      <c r="B4470" s="461"/>
    </row>
    <row r="4471" spans="1:2">
      <c r="A4471" s="422"/>
      <c r="B4471" s="461"/>
    </row>
    <row r="4472" spans="1:2">
      <c r="A4472" s="422"/>
      <c r="B4472" s="461"/>
    </row>
    <row r="4473" spans="1:2">
      <c r="A4473" s="422"/>
      <c r="B4473" s="461"/>
    </row>
    <row r="4474" spans="1:2">
      <c r="A4474" s="422"/>
      <c r="B4474" s="461"/>
    </row>
    <row r="4475" spans="1:2">
      <c r="A4475" s="422"/>
      <c r="B4475" s="461"/>
    </row>
    <row r="4476" spans="1:2">
      <c r="A4476" s="422"/>
      <c r="B4476" s="461"/>
    </row>
    <row r="4477" spans="1:2">
      <c r="A4477" s="422"/>
      <c r="B4477" s="461"/>
    </row>
    <row r="4478" spans="1:2">
      <c r="A4478" s="422"/>
      <c r="B4478" s="461"/>
    </row>
    <row r="4479" spans="1:2">
      <c r="A4479" s="422"/>
      <c r="B4479" s="461"/>
    </row>
    <row r="4480" spans="1:2">
      <c r="A4480" s="422"/>
      <c r="B4480" s="461"/>
    </row>
    <row r="4481" spans="1:2">
      <c r="A4481" s="422"/>
      <c r="B4481" s="461"/>
    </row>
    <row r="4482" spans="1:2">
      <c r="A4482" s="422"/>
      <c r="B4482" s="461"/>
    </row>
    <row r="4483" spans="1:2">
      <c r="A4483" s="422"/>
      <c r="B4483" s="461"/>
    </row>
    <row r="4484" spans="1:2">
      <c r="A4484" s="422"/>
      <c r="B4484" s="461"/>
    </row>
    <row r="4485" spans="1:2">
      <c r="A4485" s="422"/>
      <c r="B4485" s="461"/>
    </row>
    <row r="4486" spans="1:2">
      <c r="A4486" s="422"/>
      <c r="B4486" s="461"/>
    </row>
    <row r="4487" spans="1:2">
      <c r="A4487" s="422"/>
      <c r="B4487" s="461"/>
    </row>
    <row r="4488" spans="1:2">
      <c r="A4488" s="422"/>
      <c r="B4488" s="461"/>
    </row>
    <row r="4489" spans="1:2">
      <c r="A4489" s="422"/>
      <c r="B4489" s="461"/>
    </row>
    <row r="4490" spans="1:2">
      <c r="A4490" s="422"/>
      <c r="B4490" s="461"/>
    </row>
    <row r="4491" spans="1:2">
      <c r="A4491" s="422"/>
      <c r="B4491" s="461"/>
    </row>
    <row r="4492" spans="1:2">
      <c r="A4492" s="422"/>
      <c r="B4492" s="461"/>
    </row>
    <row r="4493" spans="1:2">
      <c r="A4493" s="422"/>
      <c r="B4493" s="461"/>
    </row>
    <row r="4494" spans="1:2">
      <c r="A4494" s="422"/>
      <c r="B4494" s="461"/>
    </row>
    <row r="4495" spans="1:2">
      <c r="A4495" s="422"/>
      <c r="B4495" s="461"/>
    </row>
    <row r="4496" spans="1:2">
      <c r="A4496" s="422"/>
      <c r="B4496" s="461"/>
    </row>
    <row r="4497" spans="1:2">
      <c r="A4497" s="422"/>
      <c r="B4497" s="461"/>
    </row>
    <row r="4498" spans="1:2">
      <c r="A4498" s="422"/>
      <c r="B4498" s="461"/>
    </row>
    <row r="4499" spans="1:2">
      <c r="A4499" s="422"/>
      <c r="B4499" s="461"/>
    </row>
    <row r="4500" spans="1:2">
      <c r="A4500" s="422"/>
      <c r="B4500" s="461"/>
    </row>
    <row r="4501" spans="1:2">
      <c r="A4501" s="422"/>
      <c r="B4501" s="461"/>
    </row>
    <row r="4502" spans="1:2">
      <c r="A4502" s="422"/>
      <c r="B4502" s="461"/>
    </row>
    <row r="4503" spans="1:2">
      <c r="A4503" s="422"/>
      <c r="B4503" s="461"/>
    </row>
    <row r="4504" spans="1:2">
      <c r="A4504" s="422"/>
      <c r="B4504" s="461"/>
    </row>
    <row r="4505" spans="1:2">
      <c r="A4505" s="422"/>
      <c r="B4505" s="461"/>
    </row>
    <row r="4506" spans="1:2">
      <c r="A4506" s="422"/>
      <c r="B4506" s="461"/>
    </row>
    <row r="4507" spans="1:2">
      <c r="A4507" s="422"/>
      <c r="B4507" s="461"/>
    </row>
    <row r="4508" spans="1:2">
      <c r="A4508" s="422"/>
      <c r="B4508" s="461"/>
    </row>
    <row r="4509" spans="1:2">
      <c r="A4509" s="422"/>
      <c r="B4509" s="461"/>
    </row>
    <row r="4510" spans="1:2">
      <c r="A4510" s="422"/>
      <c r="B4510" s="461"/>
    </row>
    <row r="4511" spans="1:2">
      <c r="A4511" s="422"/>
      <c r="B4511" s="461"/>
    </row>
    <row r="4512" spans="1:2">
      <c r="A4512" s="422"/>
      <c r="B4512" s="461"/>
    </row>
    <row r="4513" spans="1:2">
      <c r="A4513" s="422"/>
      <c r="B4513" s="461"/>
    </row>
    <row r="4514" spans="1:2">
      <c r="A4514" s="422"/>
      <c r="B4514" s="461"/>
    </row>
    <row r="4515" spans="1:2">
      <c r="A4515" s="422"/>
      <c r="B4515" s="461"/>
    </row>
    <row r="4516" spans="1:2">
      <c r="A4516" s="422"/>
      <c r="B4516" s="461"/>
    </row>
    <row r="4517" spans="1:2">
      <c r="A4517" s="422"/>
      <c r="B4517" s="461"/>
    </row>
    <row r="4518" spans="1:2">
      <c r="A4518" s="422"/>
      <c r="B4518" s="461"/>
    </row>
    <row r="4519" spans="1:2">
      <c r="A4519" s="422"/>
      <c r="B4519" s="461"/>
    </row>
    <row r="4520" spans="1:2">
      <c r="A4520" s="422"/>
      <c r="B4520" s="461"/>
    </row>
    <row r="4521" spans="1:2">
      <c r="A4521" s="422"/>
      <c r="B4521" s="461"/>
    </row>
    <row r="4522" spans="1:2">
      <c r="A4522" s="422"/>
      <c r="B4522" s="461"/>
    </row>
    <row r="4523" spans="1:2">
      <c r="A4523" s="422"/>
      <c r="B4523" s="461"/>
    </row>
    <row r="4524" spans="1:2">
      <c r="A4524" s="422"/>
      <c r="B4524" s="461"/>
    </row>
    <row r="4525" spans="1:2">
      <c r="A4525" s="422"/>
      <c r="B4525" s="461"/>
    </row>
    <row r="4526" spans="1:2">
      <c r="A4526" s="422"/>
      <c r="B4526" s="461"/>
    </row>
    <row r="4527" spans="1:2">
      <c r="A4527" s="422"/>
      <c r="B4527" s="461"/>
    </row>
    <row r="4528" spans="1:2">
      <c r="A4528" s="422"/>
      <c r="B4528" s="461"/>
    </row>
    <row r="4529" spans="1:2">
      <c r="A4529" s="422"/>
      <c r="B4529" s="461"/>
    </row>
    <row r="4530" spans="1:2">
      <c r="A4530" s="422"/>
      <c r="B4530" s="461"/>
    </row>
    <row r="4531" spans="1:2">
      <c r="A4531" s="422"/>
      <c r="B4531" s="461"/>
    </row>
    <row r="4532" spans="1:2">
      <c r="A4532" s="422"/>
      <c r="B4532" s="461"/>
    </row>
    <row r="4533" spans="1:2">
      <c r="A4533" s="422"/>
      <c r="B4533" s="461"/>
    </row>
    <row r="4534" spans="1:2">
      <c r="A4534" s="422"/>
      <c r="B4534" s="461"/>
    </row>
    <row r="4535" spans="1:2">
      <c r="A4535" s="422"/>
      <c r="B4535" s="461"/>
    </row>
    <row r="4536" spans="1:2">
      <c r="A4536" s="422"/>
      <c r="B4536" s="461"/>
    </row>
    <row r="4537" spans="1:2">
      <c r="A4537" s="422"/>
      <c r="B4537" s="461"/>
    </row>
    <row r="4538" spans="1:2">
      <c r="A4538" s="422"/>
      <c r="B4538" s="461"/>
    </row>
    <row r="4539" spans="1:2">
      <c r="A4539" s="422"/>
      <c r="B4539" s="461"/>
    </row>
    <row r="4540" spans="1:2">
      <c r="A4540" s="422"/>
      <c r="B4540" s="461"/>
    </row>
    <row r="4541" spans="1:2">
      <c r="A4541" s="422"/>
      <c r="B4541" s="461"/>
    </row>
    <row r="4542" spans="1:2">
      <c r="A4542" s="422"/>
      <c r="B4542" s="461"/>
    </row>
    <row r="4543" spans="1:2">
      <c r="A4543" s="422"/>
      <c r="B4543" s="461"/>
    </row>
    <row r="4544" spans="1:2">
      <c r="A4544" s="422"/>
      <c r="B4544" s="461"/>
    </row>
    <row r="4545" spans="1:2">
      <c r="A4545" s="422"/>
      <c r="B4545" s="461"/>
    </row>
    <row r="4546" spans="1:2">
      <c r="A4546" s="422"/>
      <c r="B4546" s="461"/>
    </row>
    <row r="4547" spans="1:2">
      <c r="A4547" s="422"/>
      <c r="B4547" s="461"/>
    </row>
    <row r="4548" spans="1:2">
      <c r="A4548" s="422"/>
      <c r="B4548" s="461"/>
    </row>
    <row r="4549" spans="1:2">
      <c r="A4549" s="422"/>
      <c r="B4549" s="461"/>
    </row>
    <row r="4550" spans="1:2">
      <c r="A4550" s="422"/>
      <c r="B4550" s="461"/>
    </row>
    <row r="4551" spans="1:2">
      <c r="A4551" s="422"/>
      <c r="B4551" s="461"/>
    </row>
    <row r="4552" spans="1:2">
      <c r="A4552" s="422"/>
      <c r="B4552" s="461"/>
    </row>
    <row r="4553" spans="1:2">
      <c r="A4553" s="422"/>
      <c r="B4553" s="461"/>
    </row>
    <row r="4554" spans="1:2">
      <c r="A4554" s="422"/>
      <c r="B4554" s="461"/>
    </row>
    <row r="4555" spans="1:2">
      <c r="A4555" s="422"/>
      <c r="B4555" s="461"/>
    </row>
    <row r="4556" spans="1:2">
      <c r="A4556" s="422"/>
      <c r="B4556" s="461"/>
    </row>
    <row r="4557" spans="1:2">
      <c r="A4557" s="422"/>
      <c r="B4557" s="461"/>
    </row>
    <row r="4558" spans="1:2">
      <c r="A4558" s="422"/>
      <c r="B4558" s="461"/>
    </row>
    <row r="4559" spans="1:2">
      <c r="A4559" s="422"/>
      <c r="B4559" s="461"/>
    </row>
    <row r="4560" spans="1:2">
      <c r="A4560" s="422"/>
      <c r="B4560" s="461"/>
    </row>
    <row r="4561" spans="1:2">
      <c r="A4561" s="422"/>
      <c r="B4561" s="461"/>
    </row>
    <row r="4562" spans="1:2">
      <c r="A4562" s="422"/>
      <c r="B4562" s="461"/>
    </row>
    <row r="4563" spans="1:2">
      <c r="A4563" s="422"/>
      <c r="B4563" s="461"/>
    </row>
    <row r="4564" spans="1:2">
      <c r="A4564" s="422"/>
      <c r="B4564" s="461"/>
    </row>
    <row r="4565" spans="1:2">
      <c r="A4565" s="422"/>
      <c r="B4565" s="461"/>
    </row>
    <row r="4566" spans="1:2">
      <c r="A4566" s="422"/>
      <c r="B4566" s="461"/>
    </row>
    <row r="4567" spans="1:2">
      <c r="A4567" s="422"/>
      <c r="B4567" s="461"/>
    </row>
    <row r="4568" spans="1:2">
      <c r="A4568" s="422"/>
      <c r="B4568" s="461"/>
    </row>
    <row r="4569" spans="1:2">
      <c r="A4569" s="422"/>
      <c r="B4569" s="461"/>
    </row>
    <row r="4570" spans="1:2">
      <c r="A4570" s="422"/>
      <c r="B4570" s="461"/>
    </row>
    <row r="4571" spans="1:2">
      <c r="A4571" s="422"/>
      <c r="B4571" s="461"/>
    </row>
    <row r="4572" spans="1:2">
      <c r="A4572" s="422"/>
      <c r="B4572" s="461"/>
    </row>
    <row r="4573" spans="1:2">
      <c r="A4573" s="422"/>
      <c r="B4573" s="461"/>
    </row>
    <row r="4574" spans="1:2">
      <c r="A4574" s="422"/>
      <c r="B4574" s="461"/>
    </row>
    <row r="4575" spans="1:2">
      <c r="A4575" s="422"/>
      <c r="B4575" s="461"/>
    </row>
    <row r="4576" spans="1:2">
      <c r="A4576" s="422"/>
      <c r="B4576" s="461"/>
    </row>
    <row r="4577" spans="1:2">
      <c r="A4577" s="422"/>
      <c r="B4577" s="461"/>
    </row>
    <row r="4578" spans="1:2">
      <c r="A4578" s="422"/>
      <c r="B4578" s="461"/>
    </row>
    <row r="4579" spans="1:2">
      <c r="A4579" s="422"/>
      <c r="B4579" s="461"/>
    </row>
    <row r="4580" spans="1:2">
      <c r="A4580" s="422"/>
      <c r="B4580" s="461"/>
    </row>
    <row r="4581" spans="1:2">
      <c r="A4581" s="422"/>
      <c r="B4581" s="461"/>
    </row>
    <row r="4582" spans="1:2">
      <c r="A4582" s="422"/>
      <c r="B4582" s="461"/>
    </row>
    <row r="4583" spans="1:2">
      <c r="A4583" s="422"/>
      <c r="B4583" s="461"/>
    </row>
    <row r="4584" spans="1:2">
      <c r="A4584" s="422"/>
      <c r="B4584" s="461"/>
    </row>
    <row r="4585" spans="1:2">
      <c r="A4585" s="422"/>
      <c r="B4585" s="461"/>
    </row>
    <row r="4586" spans="1:2">
      <c r="A4586" s="422"/>
      <c r="B4586" s="461"/>
    </row>
    <row r="4587" spans="1:2">
      <c r="A4587" s="422"/>
      <c r="B4587" s="461"/>
    </row>
    <row r="4588" spans="1:2">
      <c r="A4588" s="422"/>
      <c r="B4588" s="461"/>
    </row>
    <row r="4589" spans="1:2">
      <c r="A4589" s="422"/>
      <c r="B4589" s="461"/>
    </row>
    <row r="4590" spans="1:2">
      <c r="A4590" s="422"/>
      <c r="B4590" s="461"/>
    </row>
    <row r="4591" spans="1:2">
      <c r="A4591" s="422"/>
      <c r="B4591" s="461"/>
    </row>
    <row r="4592" spans="1:2">
      <c r="A4592" s="422"/>
      <c r="B4592" s="461"/>
    </row>
    <row r="4593" spans="1:2">
      <c r="A4593" s="422"/>
      <c r="B4593" s="461"/>
    </row>
    <row r="4594" spans="1:2">
      <c r="A4594" s="422"/>
      <c r="B4594" s="461"/>
    </row>
    <row r="4595" spans="1:2">
      <c r="A4595" s="422"/>
      <c r="B4595" s="461"/>
    </row>
    <row r="4596" spans="1:2">
      <c r="A4596" s="422"/>
      <c r="B4596" s="461"/>
    </row>
    <row r="4597" spans="1:2">
      <c r="A4597" s="422"/>
      <c r="B4597" s="461"/>
    </row>
    <row r="4598" spans="1:2">
      <c r="A4598" s="422"/>
      <c r="B4598" s="461"/>
    </row>
    <row r="4599" spans="1:2">
      <c r="A4599" s="422"/>
      <c r="B4599" s="461"/>
    </row>
    <row r="4600" spans="1:2">
      <c r="A4600" s="422"/>
      <c r="B4600" s="461"/>
    </row>
    <row r="4601" spans="1:2">
      <c r="A4601" s="422"/>
      <c r="B4601" s="461"/>
    </row>
    <row r="4602" spans="1:2">
      <c r="A4602" s="422"/>
      <c r="B4602" s="461"/>
    </row>
    <row r="4603" spans="1:2">
      <c r="A4603" s="422"/>
      <c r="B4603" s="461"/>
    </row>
    <row r="4604" spans="1:2">
      <c r="A4604" s="422"/>
      <c r="B4604" s="461"/>
    </row>
    <row r="4605" spans="1:2">
      <c r="A4605" s="422"/>
      <c r="B4605" s="461"/>
    </row>
    <row r="4606" spans="1:2">
      <c r="A4606" s="422"/>
      <c r="B4606" s="461"/>
    </row>
    <row r="4607" spans="1:2">
      <c r="A4607" s="422"/>
      <c r="B4607" s="461"/>
    </row>
    <row r="4608" spans="1:2">
      <c r="A4608" s="422"/>
      <c r="B4608" s="461"/>
    </row>
    <row r="4609" spans="1:2">
      <c r="A4609" s="422"/>
      <c r="B4609" s="461"/>
    </row>
    <row r="4610" spans="1:2">
      <c r="A4610" s="422"/>
      <c r="B4610" s="461"/>
    </row>
    <row r="4611" spans="1:2">
      <c r="A4611" s="422"/>
      <c r="B4611" s="461"/>
    </row>
    <row r="4612" spans="1:2">
      <c r="A4612" s="422"/>
      <c r="B4612" s="461"/>
    </row>
    <row r="4613" spans="1:2">
      <c r="A4613" s="422"/>
      <c r="B4613" s="461"/>
    </row>
    <row r="4614" spans="1:2">
      <c r="A4614" s="422"/>
      <c r="B4614" s="461"/>
    </row>
    <row r="4615" spans="1:2">
      <c r="A4615" s="422"/>
      <c r="B4615" s="461"/>
    </row>
    <row r="4616" spans="1:2">
      <c r="A4616" s="422"/>
      <c r="B4616" s="461"/>
    </row>
    <row r="4617" spans="1:2">
      <c r="A4617" s="422"/>
      <c r="B4617" s="461"/>
    </row>
    <row r="4618" spans="1:2">
      <c r="A4618" s="422"/>
      <c r="B4618" s="461"/>
    </row>
    <row r="4619" spans="1:2">
      <c r="A4619" s="422"/>
      <c r="B4619" s="461"/>
    </row>
    <row r="4620" spans="1:2">
      <c r="A4620" s="422"/>
      <c r="B4620" s="461"/>
    </row>
    <row r="4621" spans="1:2">
      <c r="A4621" s="422"/>
      <c r="B4621" s="461"/>
    </row>
    <row r="4622" spans="1:2">
      <c r="A4622" s="422"/>
      <c r="B4622" s="461"/>
    </row>
    <row r="4623" spans="1:2">
      <c r="A4623" s="422"/>
      <c r="B4623" s="461"/>
    </row>
    <row r="4624" spans="1:2">
      <c r="A4624" s="422"/>
      <c r="B4624" s="461"/>
    </row>
    <row r="4625" spans="1:2">
      <c r="A4625" s="422"/>
      <c r="B4625" s="461"/>
    </row>
    <row r="4626" spans="1:2">
      <c r="A4626" s="422"/>
      <c r="B4626" s="461"/>
    </row>
    <row r="4627" spans="1:2">
      <c r="A4627" s="422"/>
      <c r="B4627" s="461"/>
    </row>
    <row r="4628" spans="1:2">
      <c r="A4628" s="422"/>
      <c r="B4628" s="461"/>
    </row>
    <row r="4629" spans="1:2">
      <c r="A4629" s="422"/>
      <c r="B4629" s="461"/>
    </row>
    <row r="4630" spans="1:2">
      <c r="A4630" s="422"/>
      <c r="B4630" s="461"/>
    </row>
    <row r="4631" spans="1:2">
      <c r="A4631" s="422"/>
      <c r="B4631" s="461"/>
    </row>
    <row r="4632" spans="1:2">
      <c r="A4632" s="422"/>
      <c r="B4632" s="461"/>
    </row>
    <row r="4633" spans="1:2">
      <c r="A4633" s="422"/>
      <c r="B4633" s="461"/>
    </row>
    <row r="4634" spans="1:2">
      <c r="A4634" s="422"/>
      <c r="B4634" s="461"/>
    </row>
    <row r="4635" spans="1:2">
      <c r="A4635" s="422"/>
      <c r="B4635" s="461"/>
    </row>
    <row r="4636" spans="1:2">
      <c r="A4636" s="422"/>
      <c r="B4636" s="461"/>
    </row>
    <row r="4637" spans="1:2">
      <c r="A4637" s="422"/>
      <c r="B4637" s="461"/>
    </row>
    <row r="4638" spans="1:2">
      <c r="A4638" s="422"/>
      <c r="B4638" s="461"/>
    </row>
    <row r="4639" spans="1:2">
      <c r="A4639" s="422"/>
      <c r="B4639" s="461"/>
    </row>
    <row r="4640" spans="1:2">
      <c r="A4640" s="422"/>
      <c r="B4640" s="461"/>
    </row>
    <row r="4641" spans="1:2">
      <c r="A4641" s="422"/>
      <c r="B4641" s="461"/>
    </row>
    <row r="4642" spans="1:2">
      <c r="A4642" s="422"/>
      <c r="B4642" s="461"/>
    </row>
    <row r="4643" spans="1:2">
      <c r="A4643" s="422"/>
      <c r="B4643" s="461"/>
    </row>
    <row r="4644" spans="1:2">
      <c r="A4644" s="422"/>
      <c r="B4644" s="461"/>
    </row>
    <row r="4645" spans="1:2">
      <c r="A4645" s="422"/>
      <c r="B4645" s="461"/>
    </row>
    <row r="4646" spans="1:2">
      <c r="A4646" s="422"/>
      <c r="B4646" s="461"/>
    </row>
    <row r="4647" spans="1:2">
      <c r="A4647" s="422"/>
      <c r="B4647" s="461"/>
    </row>
    <row r="4648" spans="1:2">
      <c r="A4648" s="422"/>
      <c r="B4648" s="461"/>
    </row>
    <row r="4649" spans="1:2">
      <c r="A4649" s="422"/>
      <c r="B4649" s="461"/>
    </row>
    <row r="4650" spans="1:2">
      <c r="A4650" s="422"/>
      <c r="B4650" s="461"/>
    </row>
    <row r="4651" spans="1:2">
      <c r="A4651" s="422"/>
      <c r="B4651" s="461"/>
    </row>
    <row r="4652" spans="1:2">
      <c r="A4652" s="422"/>
      <c r="B4652" s="461"/>
    </row>
    <row r="4653" spans="1:2">
      <c r="A4653" s="422"/>
      <c r="B4653" s="461"/>
    </row>
    <row r="4654" spans="1:2">
      <c r="A4654" s="422"/>
      <c r="B4654" s="461"/>
    </row>
    <row r="4655" spans="1:2">
      <c r="A4655" s="422"/>
      <c r="B4655" s="461"/>
    </row>
    <row r="4656" spans="1:2">
      <c r="A4656" s="422"/>
      <c r="B4656" s="461"/>
    </row>
    <row r="4657" spans="1:2">
      <c r="A4657" s="422"/>
      <c r="B4657" s="461"/>
    </row>
    <row r="4658" spans="1:2">
      <c r="A4658" s="422"/>
      <c r="B4658" s="461"/>
    </row>
    <row r="4659" spans="1:2">
      <c r="A4659" s="422"/>
      <c r="B4659" s="461"/>
    </row>
    <row r="4660" spans="1:2">
      <c r="A4660" s="422"/>
      <c r="B4660" s="461"/>
    </row>
    <row r="4661" spans="1:2">
      <c r="A4661" s="422"/>
      <c r="B4661" s="461"/>
    </row>
    <row r="4662" spans="1:2">
      <c r="A4662" s="422"/>
      <c r="B4662" s="461"/>
    </row>
    <row r="4663" spans="1:2">
      <c r="A4663" s="422"/>
      <c r="B4663" s="461"/>
    </row>
    <row r="4664" spans="1:2">
      <c r="A4664" s="422"/>
      <c r="B4664" s="461"/>
    </row>
    <row r="4665" spans="1:2">
      <c r="A4665" s="422"/>
      <c r="B4665" s="461"/>
    </row>
    <row r="4666" spans="1:2">
      <c r="A4666" s="422"/>
      <c r="B4666" s="461"/>
    </row>
    <row r="4667" spans="1:2">
      <c r="A4667" s="422"/>
      <c r="B4667" s="461"/>
    </row>
    <row r="4668" spans="1:2">
      <c r="A4668" s="422"/>
      <c r="B4668" s="461"/>
    </row>
    <row r="4669" spans="1:2">
      <c r="A4669" s="422"/>
      <c r="B4669" s="461"/>
    </row>
    <row r="4670" spans="1:2">
      <c r="A4670" s="422"/>
      <c r="B4670" s="461"/>
    </row>
    <row r="4671" spans="1:2">
      <c r="A4671" s="422"/>
      <c r="B4671" s="461"/>
    </row>
    <row r="4672" spans="1:2">
      <c r="A4672" s="422"/>
      <c r="B4672" s="461"/>
    </row>
    <row r="4673" spans="1:2">
      <c r="A4673" s="422"/>
      <c r="B4673" s="461"/>
    </row>
    <row r="4674" spans="1:2">
      <c r="A4674" s="422"/>
      <c r="B4674" s="461"/>
    </row>
    <row r="4675" spans="1:2">
      <c r="A4675" s="422"/>
      <c r="B4675" s="461"/>
    </row>
    <row r="4676" spans="1:2">
      <c r="A4676" s="422"/>
      <c r="B4676" s="461"/>
    </row>
    <row r="4677" spans="1:2">
      <c r="A4677" s="422"/>
      <c r="B4677" s="461"/>
    </row>
    <row r="4678" spans="1:2">
      <c r="A4678" s="422"/>
      <c r="B4678" s="461"/>
    </row>
    <row r="4679" spans="1:2">
      <c r="A4679" s="422"/>
      <c r="B4679" s="461"/>
    </row>
    <row r="4680" spans="1:2">
      <c r="A4680" s="422"/>
      <c r="B4680" s="461"/>
    </row>
    <row r="4681" spans="1:2">
      <c r="A4681" s="422"/>
      <c r="B4681" s="461"/>
    </row>
    <row r="4682" spans="1:2">
      <c r="A4682" s="422"/>
      <c r="B4682" s="461"/>
    </row>
    <row r="4683" spans="1:2">
      <c r="A4683" s="422"/>
      <c r="B4683" s="461"/>
    </row>
    <row r="4684" spans="1:2">
      <c r="A4684" s="422"/>
      <c r="B4684" s="461"/>
    </row>
    <row r="4685" spans="1:2">
      <c r="A4685" s="422"/>
      <c r="B4685" s="461"/>
    </row>
    <row r="4686" spans="1:2">
      <c r="A4686" s="422"/>
      <c r="B4686" s="461"/>
    </row>
    <row r="4687" spans="1:2">
      <c r="A4687" s="422"/>
      <c r="B4687" s="461"/>
    </row>
    <row r="4688" spans="1:2">
      <c r="A4688" s="422"/>
      <c r="B4688" s="461"/>
    </row>
    <row r="4689" spans="1:2">
      <c r="A4689" s="422"/>
      <c r="B4689" s="461"/>
    </row>
    <row r="4690" spans="1:2">
      <c r="A4690" s="422"/>
      <c r="B4690" s="461"/>
    </row>
    <row r="4691" spans="1:2">
      <c r="A4691" s="422"/>
      <c r="B4691" s="461"/>
    </row>
    <row r="4692" spans="1:2">
      <c r="A4692" s="422"/>
      <c r="B4692" s="461"/>
    </row>
    <row r="4693" spans="1:2">
      <c r="A4693" s="422"/>
      <c r="B4693" s="461"/>
    </row>
    <row r="4694" spans="1:2">
      <c r="A4694" s="422"/>
      <c r="B4694" s="461"/>
    </row>
    <row r="4695" spans="1:2">
      <c r="A4695" s="422"/>
      <c r="B4695" s="461"/>
    </row>
    <row r="4696" spans="1:2">
      <c r="A4696" s="422"/>
      <c r="B4696" s="461"/>
    </row>
    <row r="4697" spans="1:2">
      <c r="A4697" s="422"/>
      <c r="B4697" s="461"/>
    </row>
    <row r="4698" spans="1:2">
      <c r="A4698" s="422"/>
      <c r="B4698" s="461"/>
    </row>
    <row r="4699" spans="1:2">
      <c r="A4699" s="422"/>
      <c r="B4699" s="461"/>
    </row>
    <row r="4700" spans="1:2">
      <c r="A4700" s="422"/>
      <c r="B4700" s="461"/>
    </row>
    <row r="4701" spans="1:2">
      <c r="A4701" s="422"/>
      <c r="B4701" s="461"/>
    </row>
    <row r="4702" spans="1:2">
      <c r="A4702" s="422"/>
      <c r="B4702" s="461"/>
    </row>
    <row r="4703" spans="1:2">
      <c r="A4703" s="422"/>
      <c r="B4703" s="461"/>
    </row>
    <row r="4704" spans="1:2">
      <c r="A4704" s="422"/>
      <c r="B4704" s="461"/>
    </row>
    <row r="4705" spans="1:2">
      <c r="A4705" s="422"/>
      <c r="B4705" s="461"/>
    </row>
    <row r="4706" spans="1:2">
      <c r="A4706" s="422"/>
      <c r="B4706" s="461"/>
    </row>
    <row r="4707" spans="1:2">
      <c r="A4707" s="422"/>
      <c r="B4707" s="461"/>
    </row>
    <row r="4708" spans="1:2">
      <c r="A4708" s="422"/>
      <c r="B4708" s="461"/>
    </row>
    <row r="4709" spans="1:2">
      <c r="A4709" s="422"/>
      <c r="B4709" s="461"/>
    </row>
    <row r="4710" spans="1:2">
      <c r="A4710" s="422"/>
      <c r="B4710" s="461"/>
    </row>
    <row r="4711" spans="1:2">
      <c r="A4711" s="422"/>
      <c r="B4711" s="461"/>
    </row>
    <row r="4712" spans="1:2">
      <c r="A4712" s="422"/>
      <c r="B4712" s="461"/>
    </row>
    <row r="4713" spans="1:2">
      <c r="A4713" s="422"/>
      <c r="B4713" s="461"/>
    </row>
    <row r="4714" spans="1:2">
      <c r="A4714" s="422"/>
      <c r="B4714" s="461"/>
    </row>
    <row r="4715" spans="1:2">
      <c r="A4715" s="422"/>
      <c r="B4715" s="461"/>
    </row>
    <row r="4716" spans="1:2">
      <c r="A4716" s="422"/>
      <c r="B4716" s="461"/>
    </row>
    <row r="4717" spans="1:2">
      <c r="A4717" s="422"/>
      <c r="B4717" s="461"/>
    </row>
    <row r="4718" spans="1:2">
      <c r="A4718" s="422"/>
      <c r="B4718" s="461"/>
    </row>
    <row r="4719" spans="1:2">
      <c r="A4719" s="422"/>
      <c r="B4719" s="461"/>
    </row>
    <row r="4720" spans="1:2">
      <c r="A4720" s="422"/>
      <c r="B4720" s="461"/>
    </row>
    <row r="4721" spans="1:2">
      <c r="A4721" s="422"/>
      <c r="B4721" s="461"/>
    </row>
    <row r="4722" spans="1:2">
      <c r="A4722" s="422"/>
      <c r="B4722" s="461"/>
    </row>
    <row r="4723" spans="1:2">
      <c r="A4723" s="422"/>
      <c r="B4723" s="461"/>
    </row>
    <row r="4724" spans="1:2">
      <c r="A4724" s="422"/>
      <c r="B4724" s="461"/>
    </row>
    <row r="4725" spans="1:2">
      <c r="A4725" s="422"/>
      <c r="B4725" s="461"/>
    </row>
    <row r="4726" spans="1:2">
      <c r="A4726" s="422"/>
      <c r="B4726" s="461"/>
    </row>
    <row r="4727" spans="1:2">
      <c r="A4727" s="422"/>
      <c r="B4727" s="461"/>
    </row>
    <row r="4728" spans="1:2">
      <c r="A4728" s="422"/>
      <c r="B4728" s="461"/>
    </row>
    <row r="4729" spans="1:2">
      <c r="A4729" s="422"/>
      <c r="B4729" s="461"/>
    </row>
    <row r="4730" spans="1:2">
      <c r="A4730" s="422"/>
      <c r="B4730" s="461"/>
    </row>
    <row r="4731" spans="1:2">
      <c r="A4731" s="422"/>
      <c r="B4731" s="461"/>
    </row>
    <row r="4732" spans="1:2">
      <c r="A4732" s="422"/>
      <c r="B4732" s="461"/>
    </row>
    <row r="4733" spans="1:2">
      <c r="A4733" s="422"/>
      <c r="B4733" s="461"/>
    </row>
    <row r="4734" spans="1:2">
      <c r="A4734" s="422"/>
      <c r="B4734" s="461"/>
    </row>
    <row r="4735" spans="1:2">
      <c r="A4735" s="422"/>
      <c r="B4735" s="461"/>
    </row>
    <row r="4736" spans="1:2">
      <c r="A4736" s="422"/>
      <c r="B4736" s="461"/>
    </row>
    <row r="4737" spans="1:2">
      <c r="A4737" s="422"/>
      <c r="B4737" s="461"/>
    </row>
    <row r="4738" spans="1:2">
      <c r="A4738" s="422"/>
      <c r="B4738" s="461"/>
    </row>
    <row r="4739" spans="1:2">
      <c r="A4739" s="422"/>
      <c r="B4739" s="461"/>
    </row>
    <row r="4740" spans="1:2">
      <c r="A4740" s="422"/>
      <c r="B4740" s="461"/>
    </row>
    <row r="4741" spans="1:2">
      <c r="A4741" s="422"/>
      <c r="B4741" s="461"/>
    </row>
    <row r="4742" spans="1:2">
      <c r="A4742" s="422"/>
      <c r="B4742" s="461"/>
    </row>
    <row r="4743" spans="1:2">
      <c r="A4743" s="422"/>
      <c r="B4743" s="461"/>
    </row>
    <row r="4744" spans="1:2">
      <c r="A4744" s="422"/>
      <c r="B4744" s="461"/>
    </row>
    <row r="4745" spans="1:2">
      <c r="A4745" s="422"/>
      <c r="B4745" s="461"/>
    </row>
    <row r="4746" spans="1:2">
      <c r="A4746" s="422"/>
      <c r="B4746" s="461"/>
    </row>
    <row r="4747" spans="1:2">
      <c r="A4747" s="422"/>
      <c r="B4747" s="461"/>
    </row>
    <row r="4748" spans="1:2">
      <c r="A4748" s="422"/>
      <c r="B4748" s="461"/>
    </row>
    <row r="4749" spans="1:2">
      <c r="A4749" s="422"/>
      <c r="B4749" s="461"/>
    </row>
    <row r="4750" spans="1:2">
      <c r="A4750" s="422"/>
      <c r="B4750" s="461"/>
    </row>
    <row r="4751" spans="1:2">
      <c r="A4751" s="422"/>
      <c r="B4751" s="461"/>
    </row>
    <row r="4752" spans="1:2">
      <c r="A4752" s="422"/>
      <c r="B4752" s="461"/>
    </row>
    <row r="4753" spans="1:2">
      <c r="A4753" s="422"/>
      <c r="B4753" s="461"/>
    </row>
    <row r="4754" spans="1:2">
      <c r="A4754" s="422"/>
      <c r="B4754" s="461"/>
    </row>
    <row r="4755" spans="1:2">
      <c r="A4755" s="422"/>
      <c r="B4755" s="461"/>
    </row>
    <row r="4756" spans="1:2">
      <c r="A4756" s="422"/>
      <c r="B4756" s="461"/>
    </row>
    <row r="4757" spans="1:2">
      <c r="A4757" s="422"/>
      <c r="B4757" s="461"/>
    </row>
    <row r="4758" spans="1:2">
      <c r="A4758" s="422"/>
      <c r="B4758" s="461"/>
    </row>
    <row r="4759" spans="1:2">
      <c r="A4759" s="422"/>
      <c r="B4759" s="461"/>
    </row>
    <row r="4760" spans="1:2">
      <c r="A4760" s="422"/>
      <c r="B4760" s="461"/>
    </row>
    <row r="4761" spans="1:2">
      <c r="A4761" s="422"/>
      <c r="B4761" s="461"/>
    </row>
    <row r="4762" spans="1:2">
      <c r="A4762" s="422"/>
      <c r="B4762" s="461"/>
    </row>
    <row r="4763" spans="1:2">
      <c r="A4763" s="422"/>
      <c r="B4763" s="461"/>
    </row>
    <row r="4764" spans="1:2">
      <c r="A4764" s="422"/>
      <c r="B4764" s="461"/>
    </row>
    <row r="4765" spans="1:2">
      <c r="A4765" s="422"/>
      <c r="B4765" s="461"/>
    </row>
    <row r="4766" spans="1:2">
      <c r="A4766" s="422"/>
      <c r="B4766" s="461"/>
    </row>
    <row r="4767" spans="1:2">
      <c r="A4767" s="422"/>
      <c r="B4767" s="461"/>
    </row>
    <row r="4768" spans="1:2">
      <c r="A4768" s="422"/>
      <c r="B4768" s="461"/>
    </row>
    <row r="4769" spans="1:2">
      <c r="A4769" s="422"/>
      <c r="B4769" s="461"/>
    </row>
    <row r="4770" spans="1:2">
      <c r="A4770" s="422"/>
      <c r="B4770" s="461"/>
    </row>
    <row r="4771" spans="1:2">
      <c r="A4771" s="422"/>
      <c r="B4771" s="461"/>
    </row>
    <row r="4772" spans="1:2">
      <c r="A4772" s="422"/>
      <c r="B4772" s="461"/>
    </row>
    <row r="4773" spans="1:2">
      <c r="A4773" s="422"/>
      <c r="B4773" s="461"/>
    </row>
    <row r="4774" spans="1:2">
      <c r="A4774" s="422"/>
      <c r="B4774" s="461"/>
    </row>
    <row r="4775" spans="1:2">
      <c r="A4775" s="422"/>
      <c r="B4775" s="461"/>
    </row>
    <row r="4776" spans="1:2">
      <c r="A4776" s="422"/>
      <c r="B4776" s="461"/>
    </row>
    <row r="4777" spans="1:2">
      <c r="A4777" s="422"/>
      <c r="B4777" s="461"/>
    </row>
    <row r="4778" spans="1:2">
      <c r="A4778" s="422"/>
      <c r="B4778" s="461"/>
    </row>
    <row r="4779" spans="1:2">
      <c r="A4779" s="422"/>
      <c r="B4779" s="461"/>
    </row>
    <row r="4780" spans="1:2">
      <c r="A4780" s="422"/>
      <c r="B4780" s="461"/>
    </row>
    <row r="4781" spans="1:2">
      <c r="A4781" s="422"/>
      <c r="B4781" s="461"/>
    </row>
    <row r="4782" spans="1:2">
      <c r="A4782" s="422"/>
      <c r="B4782" s="461"/>
    </row>
    <row r="4783" spans="1:2">
      <c r="A4783" s="422"/>
      <c r="B4783" s="461"/>
    </row>
    <row r="4784" spans="1:2">
      <c r="A4784" s="422"/>
      <c r="B4784" s="461"/>
    </row>
    <row r="4785" spans="1:2">
      <c r="A4785" s="422"/>
      <c r="B4785" s="461"/>
    </row>
    <row r="4786" spans="1:2">
      <c r="A4786" s="422"/>
      <c r="B4786" s="461"/>
    </row>
    <row r="4787" spans="1:2">
      <c r="A4787" s="422"/>
      <c r="B4787" s="461"/>
    </row>
    <row r="4788" spans="1:2">
      <c r="A4788" s="422"/>
      <c r="B4788" s="461"/>
    </row>
    <row r="4789" spans="1:2">
      <c r="A4789" s="422"/>
      <c r="B4789" s="461"/>
    </row>
    <row r="4790" spans="1:2">
      <c r="A4790" s="422"/>
      <c r="B4790" s="461"/>
    </row>
    <row r="4791" spans="1:2">
      <c r="A4791" s="422"/>
      <c r="B4791" s="461"/>
    </row>
    <row r="4792" spans="1:2">
      <c r="A4792" s="422"/>
      <c r="B4792" s="461"/>
    </row>
    <row r="4793" spans="1:2">
      <c r="A4793" s="422"/>
      <c r="B4793" s="461"/>
    </row>
    <row r="4794" spans="1:2">
      <c r="A4794" s="422"/>
      <c r="B4794" s="461"/>
    </row>
    <row r="4795" spans="1:2">
      <c r="A4795" s="422"/>
      <c r="B4795" s="461"/>
    </row>
    <row r="4796" spans="1:2">
      <c r="A4796" s="422"/>
      <c r="B4796" s="461"/>
    </row>
    <row r="4797" spans="1:2">
      <c r="A4797" s="422"/>
      <c r="B4797" s="461"/>
    </row>
    <row r="4798" spans="1:2">
      <c r="A4798" s="422"/>
      <c r="B4798" s="461"/>
    </row>
    <row r="4799" spans="1:2">
      <c r="A4799" s="422"/>
      <c r="B4799" s="461"/>
    </row>
    <row r="4800" spans="1:2">
      <c r="A4800" s="422"/>
      <c r="B4800" s="461"/>
    </row>
    <row r="4801" spans="1:2">
      <c r="A4801" s="422"/>
      <c r="B4801" s="461"/>
    </row>
    <row r="4802" spans="1:2">
      <c r="A4802" s="422"/>
      <c r="B4802" s="461"/>
    </row>
    <row r="4803" spans="1:2">
      <c r="A4803" s="422"/>
      <c r="B4803" s="461"/>
    </row>
    <row r="4804" spans="1:2">
      <c r="A4804" s="422"/>
      <c r="B4804" s="461"/>
    </row>
    <row r="4805" spans="1:2">
      <c r="A4805" s="422"/>
      <c r="B4805" s="461"/>
    </row>
    <row r="4806" spans="1:2">
      <c r="A4806" s="422"/>
      <c r="B4806" s="461"/>
    </row>
    <row r="4807" spans="1:2">
      <c r="A4807" s="422"/>
      <c r="B4807" s="461"/>
    </row>
    <row r="4808" spans="1:2">
      <c r="A4808" s="422"/>
      <c r="B4808" s="461"/>
    </row>
    <row r="4809" spans="1:2">
      <c r="A4809" s="422"/>
      <c r="B4809" s="461"/>
    </row>
    <row r="4810" spans="1:2">
      <c r="A4810" s="422"/>
      <c r="B4810" s="461"/>
    </row>
    <row r="4811" spans="1:2">
      <c r="A4811" s="422"/>
      <c r="B4811" s="461"/>
    </row>
    <row r="4812" spans="1:2">
      <c r="A4812" s="422"/>
      <c r="B4812" s="461"/>
    </row>
    <row r="4813" spans="1:2">
      <c r="A4813" s="422"/>
      <c r="B4813" s="461"/>
    </row>
    <row r="4814" spans="1:2">
      <c r="A4814" s="422"/>
      <c r="B4814" s="461"/>
    </row>
    <row r="4815" spans="1:2">
      <c r="A4815" s="422"/>
      <c r="B4815" s="461"/>
    </row>
    <row r="4816" spans="1:2">
      <c r="A4816" s="422"/>
      <c r="B4816" s="461"/>
    </row>
    <row r="4817" spans="1:2">
      <c r="A4817" s="422"/>
      <c r="B4817" s="461"/>
    </row>
    <row r="4818" spans="1:2">
      <c r="A4818" s="422"/>
      <c r="B4818" s="461"/>
    </row>
    <row r="4819" spans="1:2">
      <c r="A4819" s="422"/>
      <c r="B4819" s="461"/>
    </row>
    <row r="4820" spans="1:2">
      <c r="A4820" s="422"/>
      <c r="B4820" s="461"/>
    </row>
    <row r="4821" spans="1:2">
      <c r="A4821" s="422"/>
      <c r="B4821" s="461"/>
    </row>
    <row r="4822" spans="1:2">
      <c r="A4822" s="422"/>
      <c r="B4822" s="461"/>
    </row>
    <row r="4823" spans="1:2">
      <c r="A4823" s="422"/>
      <c r="B4823" s="461"/>
    </row>
    <row r="4824" spans="1:2">
      <c r="A4824" s="422"/>
      <c r="B4824" s="461"/>
    </row>
    <row r="4825" spans="1:2">
      <c r="A4825" s="422"/>
      <c r="B4825" s="461"/>
    </row>
    <row r="4826" spans="1:2">
      <c r="A4826" s="422"/>
      <c r="B4826" s="461"/>
    </row>
    <row r="4827" spans="1:2">
      <c r="A4827" s="422"/>
      <c r="B4827" s="461"/>
    </row>
    <row r="4828" spans="1:2">
      <c r="A4828" s="422"/>
      <c r="B4828" s="461"/>
    </row>
    <row r="4829" spans="1:2">
      <c r="A4829" s="422"/>
      <c r="B4829" s="461"/>
    </row>
    <row r="4830" spans="1:2">
      <c r="A4830" s="422"/>
      <c r="B4830" s="461"/>
    </row>
    <row r="4831" spans="1:2">
      <c r="A4831" s="422"/>
      <c r="B4831" s="461"/>
    </row>
    <row r="4832" spans="1:2">
      <c r="A4832" s="422"/>
      <c r="B4832" s="461"/>
    </row>
    <row r="4833" spans="1:2">
      <c r="A4833" s="422"/>
      <c r="B4833" s="461"/>
    </row>
    <row r="4834" spans="1:2">
      <c r="A4834" s="422"/>
      <c r="B4834" s="461"/>
    </row>
    <row r="4835" spans="1:2">
      <c r="A4835" s="422"/>
      <c r="B4835" s="461"/>
    </row>
    <row r="4836" spans="1:2">
      <c r="A4836" s="422"/>
      <c r="B4836" s="461"/>
    </row>
    <row r="4837" spans="1:2">
      <c r="A4837" s="422"/>
      <c r="B4837" s="461"/>
    </row>
    <row r="4838" spans="1:2">
      <c r="A4838" s="422"/>
      <c r="B4838" s="461"/>
    </row>
    <row r="4839" spans="1:2">
      <c r="A4839" s="422"/>
      <c r="B4839" s="461"/>
    </row>
    <row r="4840" spans="1:2">
      <c r="A4840" s="422"/>
      <c r="B4840" s="461"/>
    </row>
    <row r="4841" spans="1:2">
      <c r="A4841" s="422"/>
      <c r="B4841" s="461"/>
    </row>
    <row r="4842" spans="1:2">
      <c r="A4842" s="422"/>
      <c r="B4842" s="461"/>
    </row>
    <row r="4843" spans="1:2">
      <c r="A4843" s="422"/>
      <c r="B4843" s="461"/>
    </row>
    <row r="4844" spans="1:2">
      <c r="A4844" s="422"/>
      <c r="B4844" s="461"/>
    </row>
    <row r="4845" spans="1:2">
      <c r="A4845" s="422"/>
      <c r="B4845" s="461"/>
    </row>
    <row r="4846" spans="1:2">
      <c r="A4846" s="422"/>
      <c r="B4846" s="461"/>
    </row>
    <row r="4847" spans="1:2">
      <c r="A4847" s="422"/>
      <c r="B4847" s="461"/>
    </row>
    <row r="4848" spans="1:2">
      <c r="A4848" s="422"/>
      <c r="B4848" s="461"/>
    </row>
    <row r="4849" spans="1:2">
      <c r="A4849" s="422"/>
      <c r="B4849" s="461"/>
    </row>
    <row r="4850" spans="1:2">
      <c r="A4850" s="422"/>
      <c r="B4850" s="461"/>
    </row>
    <row r="4851" spans="1:2">
      <c r="A4851" s="422"/>
      <c r="B4851" s="461"/>
    </row>
    <row r="4852" spans="1:2">
      <c r="A4852" s="422"/>
      <c r="B4852" s="461"/>
    </row>
    <row r="4853" spans="1:2">
      <c r="A4853" s="422"/>
      <c r="B4853" s="461"/>
    </row>
    <row r="4854" spans="1:2">
      <c r="A4854" s="422"/>
      <c r="B4854" s="461"/>
    </row>
    <row r="4855" spans="1:2">
      <c r="A4855" s="422"/>
      <c r="B4855" s="461"/>
    </row>
    <row r="4856" spans="1:2">
      <c r="A4856" s="422"/>
      <c r="B4856" s="461"/>
    </row>
    <row r="4857" spans="1:2">
      <c r="A4857" s="422"/>
      <c r="B4857" s="461"/>
    </row>
    <row r="4858" spans="1:2">
      <c r="A4858" s="422"/>
      <c r="B4858" s="461"/>
    </row>
    <row r="4859" spans="1:2">
      <c r="A4859" s="422"/>
      <c r="B4859" s="461"/>
    </row>
    <row r="4860" spans="1:2">
      <c r="A4860" s="422"/>
      <c r="B4860" s="461"/>
    </row>
    <row r="4861" spans="1:2">
      <c r="A4861" s="422"/>
      <c r="B4861" s="461"/>
    </row>
    <row r="4862" spans="1:2">
      <c r="A4862" s="422"/>
      <c r="B4862" s="461"/>
    </row>
    <row r="4863" spans="1:2">
      <c r="A4863" s="422"/>
      <c r="B4863" s="461"/>
    </row>
    <row r="4864" spans="1:2">
      <c r="A4864" s="422"/>
      <c r="B4864" s="461"/>
    </row>
    <row r="4865" spans="1:2">
      <c r="A4865" s="422"/>
      <c r="B4865" s="461"/>
    </row>
    <row r="4866" spans="1:2">
      <c r="A4866" s="422"/>
      <c r="B4866" s="461"/>
    </row>
    <row r="4867" spans="1:2">
      <c r="A4867" s="422"/>
      <c r="B4867" s="461"/>
    </row>
    <row r="4868" spans="1:2">
      <c r="A4868" s="422"/>
      <c r="B4868" s="461"/>
    </row>
    <row r="4869" spans="1:2">
      <c r="A4869" s="422"/>
      <c r="B4869" s="461"/>
    </row>
    <row r="4870" spans="1:2">
      <c r="A4870" s="422"/>
      <c r="B4870" s="461"/>
    </row>
    <row r="4871" spans="1:2">
      <c r="A4871" s="422"/>
      <c r="B4871" s="461"/>
    </row>
    <row r="4872" spans="1:2">
      <c r="A4872" s="422"/>
      <c r="B4872" s="461"/>
    </row>
    <row r="4873" spans="1:2">
      <c r="A4873" s="422"/>
      <c r="B4873" s="461"/>
    </row>
    <row r="4874" spans="1:2">
      <c r="A4874" s="422"/>
      <c r="B4874" s="461"/>
    </row>
    <row r="4875" spans="1:2">
      <c r="A4875" s="422"/>
      <c r="B4875" s="461"/>
    </row>
    <row r="4876" spans="1:2">
      <c r="A4876" s="422"/>
      <c r="B4876" s="461"/>
    </row>
    <row r="4877" spans="1:2">
      <c r="A4877" s="422"/>
      <c r="B4877" s="461"/>
    </row>
    <row r="4878" spans="1:2">
      <c r="A4878" s="422"/>
      <c r="B4878" s="461"/>
    </row>
    <row r="4879" spans="1:2">
      <c r="A4879" s="422"/>
      <c r="B4879" s="461"/>
    </row>
    <row r="4880" spans="1:2">
      <c r="A4880" s="422"/>
      <c r="B4880" s="461"/>
    </row>
    <row r="4881" spans="1:2">
      <c r="A4881" s="422"/>
      <c r="B4881" s="461"/>
    </row>
    <row r="4882" spans="1:2">
      <c r="A4882" s="422"/>
      <c r="B4882" s="461"/>
    </row>
    <row r="4883" spans="1:2">
      <c r="A4883" s="422"/>
      <c r="B4883" s="461"/>
    </row>
    <row r="4884" spans="1:2">
      <c r="A4884" s="422"/>
      <c r="B4884" s="461"/>
    </row>
    <row r="4885" spans="1:2">
      <c r="A4885" s="422"/>
      <c r="B4885" s="461"/>
    </row>
    <row r="4886" spans="1:2">
      <c r="A4886" s="422"/>
      <c r="B4886" s="461"/>
    </row>
    <row r="4887" spans="1:2">
      <c r="A4887" s="422"/>
      <c r="B4887" s="461"/>
    </row>
    <row r="4888" spans="1:2">
      <c r="A4888" s="422"/>
      <c r="B4888" s="461"/>
    </row>
    <row r="4889" spans="1:2">
      <c r="A4889" s="422"/>
      <c r="B4889" s="461"/>
    </row>
    <row r="4890" spans="1:2">
      <c r="A4890" s="422"/>
      <c r="B4890" s="461"/>
    </row>
    <row r="4891" spans="1:2">
      <c r="A4891" s="422"/>
      <c r="B4891" s="461"/>
    </row>
    <row r="4892" spans="1:2">
      <c r="A4892" s="422"/>
      <c r="B4892" s="461"/>
    </row>
    <row r="4893" spans="1:2">
      <c r="A4893" s="422"/>
      <c r="B4893" s="461"/>
    </row>
    <row r="4894" spans="1:2">
      <c r="A4894" s="422"/>
      <c r="B4894" s="461"/>
    </row>
    <row r="4895" spans="1:2">
      <c r="A4895" s="422"/>
      <c r="B4895" s="461"/>
    </row>
    <row r="4896" spans="1:2">
      <c r="A4896" s="422"/>
      <c r="B4896" s="461"/>
    </row>
    <row r="4897" spans="1:2">
      <c r="A4897" s="422"/>
      <c r="B4897" s="461"/>
    </row>
    <row r="4898" spans="1:2">
      <c r="A4898" s="422"/>
      <c r="B4898" s="461"/>
    </row>
    <row r="4899" spans="1:2">
      <c r="A4899" s="422"/>
      <c r="B4899" s="461"/>
    </row>
    <row r="4900" spans="1:2">
      <c r="A4900" s="422"/>
      <c r="B4900" s="461"/>
    </row>
    <row r="4901" spans="1:2">
      <c r="A4901" s="422"/>
      <c r="B4901" s="461"/>
    </row>
    <row r="4902" spans="1:2">
      <c r="A4902" s="422"/>
      <c r="B4902" s="461"/>
    </row>
    <row r="4903" spans="1:2">
      <c r="A4903" s="422"/>
      <c r="B4903" s="461"/>
    </row>
    <row r="4904" spans="1:2">
      <c r="A4904" s="422"/>
      <c r="B4904" s="461"/>
    </row>
    <row r="4905" spans="1:2">
      <c r="A4905" s="422"/>
      <c r="B4905" s="461"/>
    </row>
    <row r="4906" spans="1:2">
      <c r="A4906" s="422"/>
      <c r="B4906" s="461"/>
    </row>
    <row r="4907" spans="1:2">
      <c r="A4907" s="422"/>
      <c r="B4907" s="461"/>
    </row>
    <row r="4908" spans="1:2">
      <c r="A4908" s="422"/>
      <c r="B4908" s="461"/>
    </row>
    <row r="4909" spans="1:2">
      <c r="A4909" s="422"/>
      <c r="B4909" s="461"/>
    </row>
    <row r="4910" spans="1:2">
      <c r="A4910" s="422"/>
      <c r="B4910" s="461"/>
    </row>
    <row r="4911" spans="1:2">
      <c r="A4911" s="422"/>
      <c r="B4911" s="461"/>
    </row>
    <row r="4912" spans="1:2">
      <c r="A4912" s="422"/>
      <c r="B4912" s="461"/>
    </row>
    <row r="4913" spans="1:2">
      <c r="A4913" s="422"/>
      <c r="B4913" s="461"/>
    </row>
    <row r="4914" spans="1:2">
      <c r="A4914" s="422"/>
      <c r="B4914" s="461"/>
    </row>
    <row r="4915" spans="1:2">
      <c r="A4915" s="422"/>
      <c r="B4915" s="461"/>
    </row>
    <row r="4916" spans="1:2">
      <c r="A4916" s="422"/>
      <c r="B4916" s="461"/>
    </row>
    <row r="4917" spans="1:2">
      <c r="A4917" s="422"/>
      <c r="B4917" s="461"/>
    </row>
    <row r="4918" spans="1:2">
      <c r="A4918" s="422"/>
      <c r="B4918" s="461"/>
    </row>
    <row r="4919" spans="1:2">
      <c r="A4919" s="422"/>
      <c r="B4919" s="461"/>
    </row>
    <row r="4920" spans="1:2">
      <c r="A4920" s="422"/>
      <c r="B4920" s="461"/>
    </row>
    <row r="4921" spans="1:2">
      <c r="A4921" s="422"/>
      <c r="B4921" s="461"/>
    </row>
    <row r="4922" spans="1:2">
      <c r="A4922" s="422"/>
      <c r="B4922" s="461"/>
    </row>
    <row r="4923" spans="1:2">
      <c r="A4923" s="422"/>
      <c r="B4923" s="461"/>
    </row>
    <row r="4924" spans="1:2">
      <c r="A4924" s="422"/>
      <c r="B4924" s="461"/>
    </row>
    <row r="4925" spans="1:2">
      <c r="A4925" s="422"/>
      <c r="B4925" s="461"/>
    </row>
    <row r="4926" spans="1:2">
      <c r="A4926" s="422"/>
      <c r="B4926" s="461"/>
    </row>
    <row r="4927" spans="1:2">
      <c r="A4927" s="422"/>
      <c r="B4927" s="461"/>
    </row>
    <row r="4928" spans="1:2">
      <c r="A4928" s="422"/>
      <c r="B4928" s="461"/>
    </row>
    <row r="4929" spans="1:2">
      <c r="A4929" s="422"/>
      <c r="B4929" s="461"/>
    </row>
    <row r="4930" spans="1:2">
      <c r="A4930" s="422"/>
      <c r="B4930" s="461"/>
    </row>
    <row r="4931" spans="1:2">
      <c r="A4931" s="422"/>
      <c r="B4931" s="461"/>
    </row>
    <row r="4932" spans="1:2">
      <c r="A4932" s="422"/>
      <c r="B4932" s="461"/>
    </row>
    <row r="4933" spans="1:2">
      <c r="A4933" s="422"/>
      <c r="B4933" s="461"/>
    </row>
    <row r="4934" spans="1:2">
      <c r="A4934" s="422"/>
      <c r="B4934" s="461"/>
    </row>
    <row r="4935" spans="1:2">
      <c r="A4935" s="422"/>
      <c r="B4935" s="461"/>
    </row>
    <row r="4936" spans="1:2">
      <c r="A4936" s="422"/>
      <c r="B4936" s="461"/>
    </row>
    <row r="4937" spans="1:2">
      <c r="A4937" s="422"/>
      <c r="B4937" s="461"/>
    </row>
    <row r="4938" spans="1:2">
      <c r="A4938" s="422"/>
      <c r="B4938" s="461"/>
    </row>
    <row r="4939" spans="1:2">
      <c r="A4939" s="422"/>
      <c r="B4939" s="461"/>
    </row>
    <row r="4940" spans="1:2">
      <c r="A4940" s="422"/>
      <c r="B4940" s="461"/>
    </row>
    <row r="4941" spans="1:2">
      <c r="A4941" s="422"/>
      <c r="B4941" s="461"/>
    </row>
    <row r="4942" spans="1:2">
      <c r="A4942" s="422"/>
      <c r="B4942" s="461"/>
    </row>
    <row r="4943" spans="1:2">
      <c r="A4943" s="422"/>
      <c r="B4943" s="461"/>
    </row>
    <row r="4944" spans="1:2">
      <c r="A4944" s="422"/>
      <c r="B4944" s="461"/>
    </row>
    <row r="4945" spans="1:2">
      <c r="A4945" s="422"/>
      <c r="B4945" s="461"/>
    </row>
    <row r="4946" spans="1:2">
      <c r="A4946" s="422"/>
      <c r="B4946" s="461"/>
    </row>
    <row r="4947" spans="1:2">
      <c r="A4947" s="422"/>
      <c r="B4947" s="461"/>
    </row>
    <row r="4948" spans="1:2">
      <c r="A4948" s="422"/>
      <c r="B4948" s="461"/>
    </row>
    <row r="4949" spans="1:2">
      <c r="A4949" s="422"/>
      <c r="B4949" s="461"/>
    </row>
    <row r="4950" spans="1:2">
      <c r="A4950" s="422"/>
      <c r="B4950" s="461"/>
    </row>
    <row r="4951" spans="1:2">
      <c r="A4951" s="422"/>
      <c r="B4951" s="461"/>
    </row>
    <row r="4952" spans="1:2">
      <c r="A4952" s="422"/>
      <c r="B4952" s="461"/>
    </row>
    <row r="4953" spans="1:2">
      <c r="A4953" s="422"/>
      <c r="B4953" s="461"/>
    </row>
    <row r="4954" spans="1:2">
      <c r="A4954" s="422"/>
      <c r="B4954" s="461"/>
    </row>
    <row r="4955" spans="1:2">
      <c r="A4955" s="422"/>
      <c r="B4955" s="461"/>
    </row>
    <row r="4956" spans="1:2">
      <c r="A4956" s="422"/>
      <c r="B4956" s="461"/>
    </row>
    <row r="4957" spans="1:2">
      <c r="A4957" s="422"/>
      <c r="B4957" s="461"/>
    </row>
    <row r="4958" spans="1:2">
      <c r="A4958" s="422"/>
      <c r="B4958" s="461"/>
    </row>
    <row r="4959" spans="1:2">
      <c r="A4959" s="422"/>
      <c r="B4959" s="461"/>
    </row>
    <row r="4960" spans="1:2">
      <c r="A4960" s="422"/>
      <c r="B4960" s="461"/>
    </row>
    <row r="4961" spans="1:2">
      <c r="A4961" s="422"/>
      <c r="B4961" s="461"/>
    </row>
    <row r="4962" spans="1:2">
      <c r="A4962" s="422"/>
      <c r="B4962" s="461"/>
    </row>
    <row r="4963" spans="1:2">
      <c r="A4963" s="422"/>
      <c r="B4963" s="461"/>
    </row>
    <row r="4964" spans="1:2">
      <c r="A4964" s="422"/>
      <c r="B4964" s="461"/>
    </row>
    <row r="4965" spans="1:2">
      <c r="A4965" s="422"/>
      <c r="B4965" s="461"/>
    </row>
    <row r="4966" spans="1:2">
      <c r="A4966" s="422"/>
      <c r="B4966" s="461"/>
    </row>
    <row r="4967" spans="1:2">
      <c r="A4967" s="422"/>
      <c r="B4967" s="461"/>
    </row>
    <row r="4968" spans="1:2">
      <c r="A4968" s="422"/>
      <c r="B4968" s="461"/>
    </row>
    <row r="4969" spans="1:2">
      <c r="A4969" s="422"/>
      <c r="B4969" s="461"/>
    </row>
    <row r="4970" spans="1:2">
      <c r="A4970" s="422"/>
      <c r="B4970" s="461"/>
    </row>
    <row r="4971" spans="1:2">
      <c r="A4971" s="422"/>
      <c r="B4971" s="461"/>
    </row>
    <row r="4972" spans="1:2">
      <c r="A4972" s="422"/>
      <c r="B4972" s="461"/>
    </row>
    <row r="4973" spans="1:2">
      <c r="A4973" s="422"/>
      <c r="B4973" s="461"/>
    </row>
    <row r="4974" spans="1:2">
      <c r="A4974" s="422"/>
      <c r="B4974" s="461"/>
    </row>
    <row r="4975" spans="1:2">
      <c r="A4975" s="422"/>
      <c r="B4975" s="461"/>
    </row>
    <row r="4976" spans="1:2">
      <c r="A4976" s="422"/>
      <c r="B4976" s="461"/>
    </row>
    <row r="4977" spans="1:2">
      <c r="A4977" s="422"/>
      <c r="B4977" s="461"/>
    </row>
    <row r="4978" spans="1:2">
      <c r="A4978" s="422"/>
      <c r="B4978" s="461"/>
    </row>
    <row r="4979" spans="1:2">
      <c r="A4979" s="422"/>
      <c r="B4979" s="461"/>
    </row>
    <row r="4980" spans="1:2">
      <c r="A4980" s="422"/>
      <c r="B4980" s="461"/>
    </row>
    <row r="4981" spans="1:2">
      <c r="A4981" s="422"/>
      <c r="B4981" s="461"/>
    </row>
    <row r="4982" spans="1:2">
      <c r="A4982" s="422"/>
      <c r="B4982" s="461"/>
    </row>
    <row r="4983" spans="1:2">
      <c r="A4983" s="422"/>
      <c r="B4983" s="461"/>
    </row>
    <row r="4984" spans="1:2">
      <c r="A4984" s="422"/>
      <c r="B4984" s="461"/>
    </row>
    <row r="4985" spans="1:2">
      <c r="A4985" s="422"/>
      <c r="B4985" s="461"/>
    </row>
    <row r="4986" spans="1:2">
      <c r="A4986" s="422"/>
      <c r="B4986" s="461"/>
    </row>
    <row r="4987" spans="1:2">
      <c r="A4987" s="422"/>
      <c r="B4987" s="461"/>
    </row>
    <row r="4988" spans="1:2">
      <c r="A4988" s="422"/>
      <c r="B4988" s="461"/>
    </row>
    <row r="4989" spans="1:2">
      <c r="A4989" s="422"/>
      <c r="B4989" s="461"/>
    </row>
    <row r="4990" spans="1:2">
      <c r="A4990" s="422"/>
      <c r="B4990" s="461"/>
    </row>
    <row r="4991" spans="1:2">
      <c r="A4991" s="422"/>
      <c r="B4991" s="461"/>
    </row>
    <row r="4992" spans="1:2">
      <c r="A4992" s="422"/>
      <c r="B4992" s="461"/>
    </row>
    <row r="4993" spans="1:2">
      <c r="A4993" s="422"/>
      <c r="B4993" s="461"/>
    </row>
    <row r="4994" spans="1:2">
      <c r="A4994" s="422"/>
      <c r="B4994" s="461"/>
    </row>
    <row r="4995" spans="1:2">
      <c r="A4995" s="422"/>
      <c r="B4995" s="461"/>
    </row>
    <row r="4996" spans="1:2">
      <c r="A4996" s="422"/>
      <c r="B4996" s="461"/>
    </row>
    <row r="4997" spans="1:2">
      <c r="A4997" s="422"/>
      <c r="B4997" s="461"/>
    </row>
    <row r="4998" spans="1:2">
      <c r="A4998" s="422"/>
      <c r="B4998" s="461"/>
    </row>
    <row r="4999" spans="1:2">
      <c r="A4999" s="422"/>
      <c r="B4999" s="461"/>
    </row>
    <row r="5000" spans="1:2">
      <c r="A5000" s="422"/>
      <c r="B5000" s="461"/>
    </row>
    <row r="5001" spans="1:2">
      <c r="A5001" s="422"/>
      <c r="B5001" s="461"/>
    </row>
    <row r="5002" spans="1:2">
      <c r="A5002" s="422"/>
      <c r="B5002" s="461"/>
    </row>
    <row r="5003" spans="1:2">
      <c r="A5003" s="422"/>
      <c r="B5003" s="461"/>
    </row>
    <row r="5004" spans="1:2">
      <c r="A5004" s="422"/>
      <c r="B5004" s="461"/>
    </row>
    <row r="5005" spans="1:2">
      <c r="A5005" s="422"/>
      <c r="B5005" s="461"/>
    </row>
    <row r="5006" spans="1:2">
      <c r="A5006" s="422"/>
      <c r="B5006" s="461"/>
    </row>
    <row r="5007" spans="1:2">
      <c r="A5007" s="422"/>
      <c r="B5007" s="461"/>
    </row>
    <row r="5008" spans="1:2">
      <c r="A5008" s="422"/>
      <c r="B5008" s="461"/>
    </row>
    <row r="5009" spans="1:2">
      <c r="A5009" s="422"/>
      <c r="B5009" s="461"/>
    </row>
    <row r="5010" spans="1:2">
      <c r="A5010" s="422"/>
      <c r="B5010" s="461"/>
    </row>
    <row r="5011" spans="1:2">
      <c r="A5011" s="422"/>
      <c r="B5011" s="461"/>
    </row>
    <row r="5012" spans="1:2">
      <c r="A5012" s="422"/>
      <c r="B5012" s="461"/>
    </row>
    <row r="5013" spans="1:2">
      <c r="A5013" s="422"/>
      <c r="B5013" s="461"/>
    </row>
    <row r="5014" spans="1:2">
      <c r="A5014" s="422"/>
      <c r="B5014" s="461"/>
    </row>
    <row r="5015" spans="1:2">
      <c r="A5015" s="422"/>
      <c r="B5015" s="461"/>
    </row>
    <row r="5016" spans="1:2">
      <c r="A5016" s="422"/>
      <c r="B5016" s="461"/>
    </row>
    <row r="5017" spans="1:2">
      <c r="A5017" s="422"/>
      <c r="B5017" s="461"/>
    </row>
    <row r="5018" spans="1:2">
      <c r="A5018" s="422"/>
      <c r="B5018" s="461"/>
    </row>
    <row r="5019" spans="1:2">
      <c r="A5019" s="422"/>
      <c r="B5019" s="461"/>
    </row>
    <row r="5020" spans="1:2">
      <c r="A5020" s="422"/>
      <c r="B5020" s="461"/>
    </row>
    <row r="5021" spans="1:2">
      <c r="A5021" s="422"/>
      <c r="B5021" s="461"/>
    </row>
    <row r="5022" spans="1:2">
      <c r="A5022" s="422"/>
      <c r="B5022" s="461"/>
    </row>
    <row r="5023" spans="1:2">
      <c r="A5023" s="422"/>
      <c r="B5023" s="461"/>
    </row>
    <row r="5024" spans="1:2">
      <c r="A5024" s="422"/>
      <c r="B5024" s="461"/>
    </row>
    <row r="5025" spans="1:2">
      <c r="A5025" s="422"/>
      <c r="B5025" s="461"/>
    </row>
    <row r="5026" spans="1:2">
      <c r="A5026" s="422"/>
      <c r="B5026" s="461"/>
    </row>
    <row r="5027" spans="1:2">
      <c r="A5027" s="422"/>
      <c r="B5027" s="461"/>
    </row>
    <row r="5028" spans="1:2">
      <c r="A5028" s="422"/>
      <c r="B5028" s="461"/>
    </row>
    <row r="5029" spans="1:2">
      <c r="A5029" s="422"/>
      <c r="B5029" s="461"/>
    </row>
    <row r="5030" spans="1:2">
      <c r="A5030" s="422"/>
      <c r="B5030" s="461"/>
    </row>
    <row r="5031" spans="1:2">
      <c r="A5031" s="422"/>
      <c r="B5031" s="461"/>
    </row>
    <row r="5032" spans="1:2">
      <c r="A5032" s="422"/>
      <c r="B5032" s="461"/>
    </row>
    <row r="5033" spans="1:2">
      <c r="A5033" s="422"/>
      <c r="B5033" s="461"/>
    </row>
    <row r="5034" spans="1:2">
      <c r="A5034" s="422"/>
      <c r="B5034" s="461"/>
    </row>
    <row r="5035" spans="1:2">
      <c r="A5035" s="422"/>
      <c r="B5035" s="461"/>
    </row>
    <row r="5036" spans="1:2">
      <c r="A5036" s="422"/>
      <c r="B5036" s="461"/>
    </row>
    <row r="5037" spans="1:2">
      <c r="A5037" s="422"/>
      <c r="B5037" s="461"/>
    </row>
    <row r="5038" spans="1:2">
      <c r="A5038" s="422"/>
      <c r="B5038" s="461"/>
    </row>
    <row r="5039" spans="1:2">
      <c r="A5039" s="422"/>
      <c r="B5039" s="461"/>
    </row>
    <row r="5040" spans="1:2">
      <c r="A5040" s="422"/>
      <c r="B5040" s="461"/>
    </row>
    <row r="5041" spans="1:2">
      <c r="A5041" s="422"/>
      <c r="B5041" s="461"/>
    </row>
    <row r="5042" spans="1:2">
      <c r="A5042" s="422"/>
      <c r="B5042" s="461"/>
    </row>
    <row r="5043" spans="1:2">
      <c r="A5043" s="422"/>
      <c r="B5043" s="461"/>
    </row>
    <row r="5044" spans="1:2">
      <c r="A5044" s="422"/>
      <c r="B5044" s="461"/>
    </row>
    <row r="5045" spans="1:2">
      <c r="A5045" s="422"/>
      <c r="B5045" s="461"/>
    </row>
    <row r="5046" spans="1:2">
      <c r="A5046" s="422"/>
      <c r="B5046" s="461"/>
    </row>
    <row r="5047" spans="1:2">
      <c r="A5047" s="422"/>
      <c r="B5047" s="461"/>
    </row>
    <row r="5048" spans="1:2">
      <c r="A5048" s="422"/>
      <c r="B5048" s="461"/>
    </row>
    <row r="5049" spans="1:2">
      <c r="A5049" s="422"/>
      <c r="B5049" s="461"/>
    </row>
    <row r="5050" spans="1:2">
      <c r="A5050" s="422"/>
      <c r="B5050" s="461"/>
    </row>
    <row r="5051" spans="1:2">
      <c r="A5051" s="422"/>
      <c r="B5051" s="461"/>
    </row>
    <row r="5052" spans="1:2">
      <c r="A5052" s="422"/>
      <c r="B5052" s="461"/>
    </row>
    <row r="5053" spans="1:2">
      <c r="A5053" s="422"/>
      <c r="B5053" s="461"/>
    </row>
    <row r="5054" spans="1:2">
      <c r="A5054" s="422"/>
      <c r="B5054" s="461"/>
    </row>
    <row r="5055" spans="1:2">
      <c r="A5055" s="422"/>
      <c r="B5055" s="461"/>
    </row>
    <row r="5056" spans="1:2">
      <c r="A5056" s="422"/>
      <c r="B5056" s="461"/>
    </row>
    <row r="5057" spans="1:2">
      <c r="A5057" s="422"/>
      <c r="B5057" s="461"/>
    </row>
    <row r="5058" spans="1:2">
      <c r="A5058" s="422"/>
      <c r="B5058" s="461"/>
    </row>
    <row r="5059" spans="1:2">
      <c r="A5059" s="422"/>
      <c r="B5059" s="461"/>
    </row>
    <row r="5060" spans="1:2">
      <c r="A5060" s="422"/>
      <c r="B5060" s="461"/>
    </row>
    <row r="5061" spans="1:2">
      <c r="A5061" s="422"/>
      <c r="B5061" s="461"/>
    </row>
    <row r="5062" spans="1:2">
      <c r="A5062" s="422"/>
      <c r="B5062" s="461"/>
    </row>
    <row r="5063" spans="1:2">
      <c r="A5063" s="422"/>
      <c r="B5063" s="461"/>
    </row>
    <row r="5064" spans="1:2">
      <c r="A5064" s="422"/>
      <c r="B5064" s="461"/>
    </row>
    <row r="5065" spans="1:2">
      <c r="A5065" s="422"/>
      <c r="B5065" s="461"/>
    </row>
    <row r="5066" spans="1:2">
      <c r="A5066" s="422"/>
      <c r="B5066" s="461"/>
    </row>
    <row r="5067" spans="1:2">
      <c r="A5067" s="422"/>
      <c r="B5067" s="461"/>
    </row>
    <row r="5068" spans="1:2">
      <c r="A5068" s="422"/>
      <c r="B5068" s="461"/>
    </row>
    <row r="5069" spans="1:2">
      <c r="A5069" s="422"/>
      <c r="B5069" s="461"/>
    </row>
    <row r="5070" spans="1:2">
      <c r="A5070" s="422"/>
      <c r="B5070" s="461"/>
    </row>
    <row r="5071" spans="1:2">
      <c r="A5071" s="422"/>
      <c r="B5071" s="461"/>
    </row>
    <row r="5072" spans="1:2">
      <c r="A5072" s="422"/>
      <c r="B5072" s="461"/>
    </row>
    <row r="5073" spans="1:2">
      <c r="A5073" s="422"/>
      <c r="B5073" s="461"/>
    </row>
    <row r="5074" spans="1:2">
      <c r="A5074" s="422"/>
      <c r="B5074" s="461"/>
    </row>
    <row r="5075" spans="1:2">
      <c r="A5075" s="422"/>
      <c r="B5075" s="461"/>
    </row>
    <row r="5076" spans="1:2">
      <c r="A5076" s="422"/>
      <c r="B5076" s="461"/>
    </row>
    <row r="5077" spans="1:2">
      <c r="A5077" s="422"/>
      <c r="B5077" s="461"/>
    </row>
    <row r="5078" spans="1:2">
      <c r="A5078" s="422"/>
      <c r="B5078" s="461"/>
    </row>
    <row r="5079" spans="1:2">
      <c r="A5079" s="422"/>
      <c r="B5079" s="461"/>
    </row>
    <row r="5080" spans="1:2">
      <c r="A5080" s="422"/>
      <c r="B5080" s="461"/>
    </row>
    <row r="5081" spans="1:2">
      <c r="A5081" s="422"/>
      <c r="B5081" s="461"/>
    </row>
    <row r="5082" spans="1:2">
      <c r="A5082" s="422"/>
      <c r="B5082" s="461"/>
    </row>
    <row r="5083" spans="1:2">
      <c r="A5083" s="422"/>
      <c r="B5083" s="461"/>
    </row>
    <row r="5084" spans="1:2">
      <c r="A5084" s="422"/>
      <c r="B5084" s="461"/>
    </row>
    <row r="5085" spans="1:2">
      <c r="A5085" s="422"/>
      <c r="B5085" s="461"/>
    </row>
    <row r="5086" spans="1:2">
      <c r="A5086" s="422"/>
      <c r="B5086" s="461"/>
    </row>
    <row r="5087" spans="1:2">
      <c r="A5087" s="422"/>
      <c r="B5087" s="461"/>
    </row>
    <row r="5088" spans="1:2">
      <c r="A5088" s="422"/>
      <c r="B5088" s="461"/>
    </row>
    <row r="5089" spans="1:2">
      <c r="A5089" s="422"/>
      <c r="B5089" s="461"/>
    </row>
    <row r="5090" spans="1:2">
      <c r="A5090" s="422"/>
      <c r="B5090" s="461"/>
    </row>
    <row r="5091" spans="1:2">
      <c r="A5091" s="422"/>
      <c r="B5091" s="461"/>
    </row>
    <row r="5092" spans="1:2">
      <c r="A5092" s="422"/>
      <c r="B5092" s="461"/>
    </row>
    <row r="5093" spans="1:2">
      <c r="A5093" s="422"/>
      <c r="B5093" s="461"/>
    </row>
    <row r="5094" spans="1:2">
      <c r="A5094" s="422"/>
      <c r="B5094" s="461"/>
    </row>
    <row r="5095" spans="1:2">
      <c r="A5095" s="422"/>
      <c r="B5095" s="461"/>
    </row>
    <row r="5096" spans="1:2">
      <c r="A5096" s="422"/>
      <c r="B5096" s="461"/>
    </row>
    <row r="5097" spans="1:2">
      <c r="A5097" s="422"/>
      <c r="B5097" s="461"/>
    </row>
    <row r="5098" spans="1:2">
      <c r="A5098" s="422"/>
      <c r="B5098" s="461"/>
    </row>
    <row r="5099" spans="1:2">
      <c r="A5099" s="422"/>
      <c r="B5099" s="461"/>
    </row>
    <row r="5100" spans="1:2">
      <c r="A5100" s="422"/>
      <c r="B5100" s="461"/>
    </row>
    <row r="5101" spans="1:2">
      <c r="A5101" s="422"/>
      <c r="B5101" s="461"/>
    </row>
    <row r="5102" spans="1:2">
      <c r="A5102" s="422"/>
      <c r="B5102" s="461"/>
    </row>
    <row r="5103" spans="1:2">
      <c r="A5103" s="422"/>
      <c r="B5103" s="461"/>
    </row>
    <row r="5104" spans="1:2">
      <c r="A5104" s="422"/>
      <c r="B5104" s="461"/>
    </row>
    <row r="5105" spans="1:2">
      <c r="A5105" s="422"/>
      <c r="B5105" s="461"/>
    </row>
    <row r="5106" spans="1:2">
      <c r="A5106" s="422"/>
      <c r="B5106" s="461"/>
    </row>
    <row r="5107" spans="1:2">
      <c r="A5107" s="422"/>
      <c r="B5107" s="461"/>
    </row>
    <row r="5108" spans="1:2">
      <c r="A5108" s="422"/>
      <c r="B5108" s="461"/>
    </row>
    <row r="5109" spans="1:2">
      <c r="A5109" s="422"/>
      <c r="B5109" s="461"/>
    </row>
    <row r="5110" spans="1:2">
      <c r="A5110" s="422"/>
      <c r="B5110" s="461"/>
    </row>
    <row r="5111" spans="1:2">
      <c r="A5111" s="422"/>
      <c r="B5111" s="461"/>
    </row>
    <row r="5112" spans="1:2">
      <c r="A5112" s="422"/>
      <c r="B5112" s="461"/>
    </row>
    <row r="5113" spans="1:2">
      <c r="A5113" s="422"/>
      <c r="B5113" s="461"/>
    </row>
    <row r="5114" spans="1:2">
      <c r="A5114" s="422"/>
      <c r="B5114" s="461"/>
    </row>
    <row r="5115" spans="1:2">
      <c r="A5115" s="422"/>
      <c r="B5115" s="461"/>
    </row>
    <row r="5116" spans="1:2">
      <c r="A5116" s="422"/>
      <c r="B5116" s="461"/>
    </row>
    <row r="5117" spans="1:2">
      <c r="A5117" s="422"/>
      <c r="B5117" s="461"/>
    </row>
    <row r="5118" spans="1:2">
      <c r="A5118" s="422"/>
      <c r="B5118" s="461"/>
    </row>
    <row r="5119" spans="1:2">
      <c r="A5119" s="422"/>
      <c r="B5119" s="461"/>
    </row>
    <row r="5120" spans="1:2">
      <c r="A5120" s="422"/>
      <c r="B5120" s="461"/>
    </row>
    <row r="5121" spans="1:2">
      <c r="A5121" s="422"/>
      <c r="B5121" s="461"/>
    </row>
    <row r="5122" spans="1:2">
      <c r="A5122" s="422"/>
      <c r="B5122" s="461"/>
    </row>
    <row r="5123" spans="1:2">
      <c r="A5123" s="422"/>
      <c r="B5123" s="461"/>
    </row>
    <row r="5124" spans="1:2">
      <c r="A5124" s="422"/>
      <c r="B5124" s="461"/>
    </row>
    <row r="5125" spans="1:2">
      <c r="A5125" s="422"/>
      <c r="B5125" s="461"/>
    </row>
    <row r="5126" spans="1:2">
      <c r="A5126" s="422"/>
      <c r="B5126" s="461"/>
    </row>
    <row r="5127" spans="1:2">
      <c r="A5127" s="422"/>
      <c r="B5127" s="461"/>
    </row>
    <row r="5128" spans="1:2">
      <c r="A5128" s="422"/>
      <c r="B5128" s="461"/>
    </row>
    <row r="5129" spans="1:2">
      <c r="A5129" s="422"/>
      <c r="B5129" s="461"/>
    </row>
    <row r="5130" spans="1:2">
      <c r="A5130" s="422"/>
      <c r="B5130" s="461"/>
    </row>
    <row r="5131" spans="1:2">
      <c r="A5131" s="422"/>
      <c r="B5131" s="461"/>
    </row>
    <row r="5132" spans="1:2">
      <c r="A5132" s="422"/>
      <c r="B5132" s="461"/>
    </row>
    <row r="5133" spans="1:2">
      <c r="A5133" s="422"/>
      <c r="B5133" s="461"/>
    </row>
    <row r="5134" spans="1:2">
      <c r="A5134" s="422"/>
      <c r="B5134" s="461"/>
    </row>
    <row r="5135" spans="1:2">
      <c r="A5135" s="422"/>
      <c r="B5135" s="461"/>
    </row>
    <row r="5136" spans="1:2">
      <c r="A5136" s="422"/>
      <c r="B5136" s="461"/>
    </row>
    <row r="5137" spans="1:2">
      <c r="A5137" s="422"/>
      <c r="B5137" s="461"/>
    </row>
    <row r="5138" spans="1:2">
      <c r="A5138" s="422"/>
      <c r="B5138" s="461"/>
    </row>
    <row r="5139" spans="1:2">
      <c r="A5139" s="422"/>
      <c r="B5139" s="461"/>
    </row>
    <row r="5140" spans="1:2">
      <c r="A5140" s="422"/>
      <c r="B5140" s="461"/>
    </row>
    <row r="5141" spans="1:2">
      <c r="A5141" s="422"/>
      <c r="B5141" s="461"/>
    </row>
    <row r="5142" spans="1:2">
      <c r="A5142" s="422"/>
      <c r="B5142" s="461"/>
    </row>
    <row r="5143" spans="1:2">
      <c r="A5143" s="422"/>
      <c r="B5143" s="461"/>
    </row>
    <row r="5144" spans="1:2">
      <c r="A5144" s="422"/>
      <c r="B5144" s="461"/>
    </row>
    <row r="5145" spans="1:2">
      <c r="A5145" s="422"/>
      <c r="B5145" s="461"/>
    </row>
    <row r="5146" spans="1:2">
      <c r="A5146" s="422"/>
      <c r="B5146" s="461"/>
    </row>
    <row r="5147" spans="1:2">
      <c r="A5147" s="422"/>
      <c r="B5147" s="461"/>
    </row>
    <row r="5148" spans="1:2">
      <c r="A5148" s="422"/>
      <c r="B5148" s="461"/>
    </row>
    <row r="5149" spans="1:2">
      <c r="A5149" s="422"/>
      <c r="B5149" s="461"/>
    </row>
    <row r="5150" spans="1:2">
      <c r="A5150" s="422"/>
      <c r="B5150" s="461"/>
    </row>
    <row r="5151" spans="1:2">
      <c r="A5151" s="422"/>
      <c r="B5151" s="461"/>
    </row>
    <row r="5152" spans="1:2">
      <c r="A5152" s="422"/>
      <c r="B5152" s="461"/>
    </row>
    <row r="5153" spans="1:2">
      <c r="A5153" s="422"/>
      <c r="B5153" s="461"/>
    </row>
    <row r="5154" spans="1:2">
      <c r="A5154" s="422"/>
      <c r="B5154" s="461"/>
    </row>
    <row r="5155" spans="1:2">
      <c r="A5155" s="422"/>
      <c r="B5155" s="461"/>
    </row>
    <row r="5156" spans="1:2">
      <c r="A5156" s="422"/>
      <c r="B5156" s="461"/>
    </row>
    <row r="5157" spans="1:2">
      <c r="A5157" s="422"/>
      <c r="B5157" s="461"/>
    </row>
    <row r="5158" spans="1:2">
      <c r="A5158" s="422"/>
      <c r="B5158" s="461"/>
    </row>
    <row r="5159" spans="1:2">
      <c r="A5159" s="422"/>
      <c r="B5159" s="461"/>
    </row>
    <row r="5160" spans="1:2">
      <c r="A5160" s="422"/>
      <c r="B5160" s="461"/>
    </row>
    <row r="5161" spans="1:2">
      <c r="A5161" s="422"/>
      <c r="B5161" s="461"/>
    </row>
    <row r="5162" spans="1:2">
      <c r="A5162" s="422"/>
      <c r="B5162" s="461"/>
    </row>
    <row r="5163" spans="1:2">
      <c r="A5163" s="422"/>
      <c r="B5163" s="461"/>
    </row>
    <row r="5164" spans="1:2">
      <c r="A5164" s="422"/>
      <c r="B5164" s="461"/>
    </row>
    <row r="5165" spans="1:2">
      <c r="A5165" s="422"/>
      <c r="B5165" s="461"/>
    </row>
    <row r="5166" spans="1:2">
      <c r="A5166" s="422"/>
      <c r="B5166" s="461"/>
    </row>
    <row r="5167" spans="1:2">
      <c r="A5167" s="422"/>
      <c r="B5167" s="461"/>
    </row>
    <row r="5168" spans="1:2">
      <c r="A5168" s="422"/>
      <c r="B5168" s="461"/>
    </row>
    <row r="5169" spans="1:2">
      <c r="A5169" s="422"/>
      <c r="B5169" s="461"/>
    </row>
    <row r="5170" spans="1:2">
      <c r="A5170" s="422"/>
      <c r="B5170" s="461"/>
    </row>
    <row r="5171" spans="1:2">
      <c r="A5171" s="422"/>
      <c r="B5171" s="461"/>
    </row>
    <row r="5172" spans="1:2">
      <c r="A5172" s="422"/>
      <c r="B5172" s="461"/>
    </row>
    <row r="5173" spans="1:2">
      <c r="A5173" s="422"/>
      <c r="B5173" s="461"/>
    </row>
    <row r="5174" spans="1:2">
      <c r="A5174" s="422"/>
      <c r="B5174" s="461"/>
    </row>
    <row r="5175" spans="1:2">
      <c r="A5175" s="422"/>
      <c r="B5175" s="461"/>
    </row>
    <row r="5176" spans="1:2">
      <c r="A5176" s="422"/>
      <c r="B5176" s="461"/>
    </row>
    <row r="5177" spans="1:2">
      <c r="A5177" s="422"/>
      <c r="B5177" s="461"/>
    </row>
    <row r="5178" spans="1:2">
      <c r="A5178" s="422"/>
      <c r="B5178" s="461"/>
    </row>
    <row r="5179" spans="1:2">
      <c r="A5179" s="422"/>
      <c r="B5179" s="461"/>
    </row>
    <row r="5180" spans="1:2">
      <c r="A5180" s="422"/>
      <c r="B5180" s="461"/>
    </row>
    <row r="5181" spans="1:2">
      <c r="A5181" s="422"/>
      <c r="B5181" s="461"/>
    </row>
    <row r="5182" spans="1:2">
      <c r="A5182" s="422"/>
      <c r="B5182" s="461"/>
    </row>
    <row r="5183" spans="1:2">
      <c r="A5183" s="422"/>
      <c r="B5183" s="461"/>
    </row>
    <row r="5184" spans="1:2">
      <c r="A5184" s="422"/>
      <c r="B5184" s="461"/>
    </row>
    <row r="5185" spans="1:2">
      <c r="A5185" s="422"/>
      <c r="B5185" s="461"/>
    </row>
    <row r="5186" spans="1:2">
      <c r="A5186" s="422"/>
      <c r="B5186" s="461"/>
    </row>
    <row r="5187" spans="1:2">
      <c r="A5187" s="422"/>
      <c r="B5187" s="461"/>
    </row>
    <row r="5188" spans="1:2">
      <c r="A5188" s="422"/>
      <c r="B5188" s="461"/>
    </row>
    <row r="5189" spans="1:2">
      <c r="A5189" s="422"/>
      <c r="B5189" s="461"/>
    </row>
    <row r="5190" spans="1:2">
      <c r="A5190" s="422"/>
      <c r="B5190" s="461"/>
    </row>
    <row r="5191" spans="1:2">
      <c r="A5191" s="422"/>
      <c r="B5191" s="461"/>
    </row>
    <row r="5192" spans="1:2">
      <c r="A5192" s="422"/>
      <c r="B5192" s="461"/>
    </row>
    <row r="5193" spans="1:2">
      <c r="A5193" s="422"/>
      <c r="B5193" s="461"/>
    </row>
    <row r="5194" spans="1:2">
      <c r="A5194" s="422"/>
      <c r="B5194" s="461"/>
    </row>
    <row r="5195" spans="1:2">
      <c r="A5195" s="422"/>
      <c r="B5195" s="461"/>
    </row>
    <row r="5196" spans="1:2">
      <c r="A5196" s="422"/>
      <c r="B5196" s="461"/>
    </row>
    <row r="5197" spans="1:2">
      <c r="A5197" s="422"/>
      <c r="B5197" s="461"/>
    </row>
    <row r="5198" spans="1:2">
      <c r="A5198" s="422"/>
      <c r="B5198" s="461"/>
    </row>
    <row r="5199" spans="1:2">
      <c r="A5199" s="422"/>
      <c r="B5199" s="461"/>
    </row>
    <row r="5200" spans="1:2">
      <c r="A5200" s="422"/>
      <c r="B5200" s="461"/>
    </row>
    <row r="5201" spans="1:2">
      <c r="A5201" s="422"/>
      <c r="B5201" s="461"/>
    </row>
    <row r="5202" spans="1:2">
      <c r="A5202" s="422"/>
      <c r="B5202" s="461"/>
    </row>
    <row r="5203" spans="1:2">
      <c r="A5203" s="422"/>
      <c r="B5203" s="461"/>
    </row>
    <row r="5204" spans="1:2">
      <c r="A5204" s="422"/>
      <c r="B5204" s="461"/>
    </row>
    <row r="5205" spans="1:2">
      <c r="A5205" s="422"/>
      <c r="B5205" s="461"/>
    </row>
    <row r="5206" spans="1:2">
      <c r="A5206" s="422"/>
      <c r="B5206" s="461"/>
    </row>
    <row r="5207" spans="1:2">
      <c r="A5207" s="422"/>
      <c r="B5207" s="461"/>
    </row>
    <row r="5208" spans="1:2">
      <c r="A5208" s="422"/>
      <c r="B5208" s="461"/>
    </row>
    <row r="5209" spans="1:2">
      <c r="A5209" s="422"/>
      <c r="B5209" s="461"/>
    </row>
    <row r="5210" spans="1:2">
      <c r="A5210" s="422"/>
      <c r="B5210" s="461"/>
    </row>
    <row r="5211" spans="1:2">
      <c r="A5211" s="422"/>
      <c r="B5211" s="461"/>
    </row>
    <row r="5212" spans="1:2">
      <c r="A5212" s="422"/>
      <c r="B5212" s="461"/>
    </row>
    <row r="5213" spans="1:2">
      <c r="A5213" s="422"/>
      <c r="B5213" s="461"/>
    </row>
    <row r="5214" spans="1:2">
      <c r="A5214" s="422"/>
      <c r="B5214" s="461"/>
    </row>
    <row r="5215" spans="1:2">
      <c r="A5215" s="422"/>
      <c r="B5215" s="461"/>
    </row>
    <row r="5216" spans="1:2">
      <c r="A5216" s="422"/>
      <c r="B5216" s="461"/>
    </row>
    <row r="5217" spans="1:2">
      <c r="A5217" s="422"/>
      <c r="B5217" s="461"/>
    </row>
    <row r="5218" spans="1:2">
      <c r="A5218" s="422"/>
      <c r="B5218" s="461"/>
    </row>
    <row r="5219" spans="1:2">
      <c r="A5219" s="422"/>
      <c r="B5219" s="461"/>
    </row>
    <row r="5220" spans="1:2">
      <c r="A5220" s="422"/>
      <c r="B5220" s="461"/>
    </row>
    <row r="5221" spans="1:2">
      <c r="A5221" s="422"/>
      <c r="B5221" s="461"/>
    </row>
    <row r="5222" spans="1:2">
      <c r="A5222" s="422"/>
      <c r="B5222" s="461"/>
    </row>
    <row r="5223" spans="1:2">
      <c r="A5223" s="422"/>
      <c r="B5223" s="461"/>
    </row>
    <row r="5224" spans="1:2">
      <c r="A5224" s="422"/>
      <c r="B5224" s="461"/>
    </row>
    <row r="5225" spans="1:2">
      <c r="A5225" s="422"/>
      <c r="B5225" s="461"/>
    </row>
    <row r="5226" spans="1:2">
      <c r="A5226" s="422"/>
      <c r="B5226" s="461"/>
    </row>
    <row r="5227" spans="1:2">
      <c r="A5227" s="422"/>
      <c r="B5227" s="461"/>
    </row>
    <row r="5228" spans="1:2">
      <c r="A5228" s="422"/>
      <c r="B5228" s="461"/>
    </row>
    <row r="5229" spans="1:2">
      <c r="A5229" s="422"/>
      <c r="B5229" s="461"/>
    </row>
    <row r="5230" spans="1:2">
      <c r="A5230" s="422"/>
      <c r="B5230" s="461"/>
    </row>
    <row r="5231" spans="1:2">
      <c r="A5231" s="422"/>
      <c r="B5231" s="461"/>
    </row>
    <row r="5232" spans="1:2">
      <c r="A5232" s="422"/>
      <c r="B5232" s="461"/>
    </row>
    <row r="5233" spans="1:2">
      <c r="A5233" s="422"/>
      <c r="B5233" s="461"/>
    </row>
    <row r="5234" spans="1:2">
      <c r="A5234" s="422"/>
      <c r="B5234" s="461"/>
    </row>
    <row r="5235" spans="1:2">
      <c r="A5235" s="422"/>
      <c r="B5235" s="461"/>
    </row>
    <row r="5236" spans="1:2">
      <c r="A5236" s="422"/>
      <c r="B5236" s="461"/>
    </row>
    <row r="5237" spans="1:2">
      <c r="A5237" s="422"/>
      <c r="B5237" s="461"/>
    </row>
    <row r="5238" spans="1:2">
      <c r="A5238" s="422"/>
      <c r="B5238" s="461"/>
    </row>
    <row r="5239" spans="1:2">
      <c r="A5239" s="422"/>
      <c r="B5239" s="461"/>
    </row>
    <row r="5240" spans="1:2">
      <c r="A5240" s="422"/>
      <c r="B5240" s="461"/>
    </row>
    <row r="5241" spans="1:2">
      <c r="A5241" s="422"/>
      <c r="B5241" s="461"/>
    </row>
    <row r="5242" spans="1:2">
      <c r="A5242" s="422"/>
      <c r="B5242" s="461"/>
    </row>
    <row r="5243" spans="1:2">
      <c r="A5243" s="422"/>
      <c r="B5243" s="461"/>
    </row>
    <row r="5244" spans="1:2">
      <c r="A5244" s="422"/>
      <c r="B5244" s="461"/>
    </row>
    <row r="5245" spans="1:2">
      <c r="A5245" s="422"/>
      <c r="B5245" s="461"/>
    </row>
    <row r="5246" spans="1:2">
      <c r="A5246" s="422"/>
      <c r="B5246" s="461"/>
    </row>
    <row r="5247" spans="1:2">
      <c r="A5247" s="422"/>
      <c r="B5247" s="461"/>
    </row>
    <row r="5248" spans="1:2">
      <c r="A5248" s="422"/>
      <c r="B5248" s="461"/>
    </row>
    <row r="5249" spans="1:2">
      <c r="A5249" s="422"/>
      <c r="B5249" s="461"/>
    </row>
    <row r="5250" spans="1:2">
      <c r="A5250" s="422"/>
      <c r="B5250" s="461"/>
    </row>
    <row r="5251" spans="1:2">
      <c r="A5251" s="422"/>
      <c r="B5251" s="461"/>
    </row>
    <row r="5252" spans="1:2">
      <c r="A5252" s="422"/>
      <c r="B5252" s="461"/>
    </row>
    <row r="5253" spans="1:2">
      <c r="A5253" s="422"/>
      <c r="B5253" s="461"/>
    </row>
    <row r="5254" spans="1:2">
      <c r="A5254" s="422"/>
      <c r="B5254" s="461"/>
    </row>
    <row r="5255" spans="1:2">
      <c r="A5255" s="422"/>
      <c r="B5255" s="461"/>
    </row>
    <row r="5256" spans="1:2">
      <c r="A5256" s="422"/>
      <c r="B5256" s="461"/>
    </row>
    <row r="5257" spans="1:2">
      <c r="A5257" s="422"/>
      <c r="B5257" s="461"/>
    </row>
    <row r="5258" spans="1:2">
      <c r="A5258" s="422"/>
      <c r="B5258" s="461"/>
    </row>
    <row r="5259" spans="1:2">
      <c r="A5259" s="422"/>
      <c r="B5259" s="461"/>
    </row>
    <row r="5260" spans="1:2">
      <c r="A5260" s="422"/>
      <c r="B5260" s="461"/>
    </row>
    <row r="5261" spans="1:2">
      <c r="A5261" s="422"/>
      <c r="B5261" s="461"/>
    </row>
    <row r="5262" spans="1:2">
      <c r="A5262" s="422"/>
      <c r="B5262" s="461"/>
    </row>
    <row r="5263" spans="1:2">
      <c r="A5263" s="422"/>
      <c r="B5263" s="461"/>
    </row>
    <row r="5264" spans="1:2">
      <c r="A5264" s="422"/>
      <c r="B5264" s="461"/>
    </row>
    <row r="5265" spans="1:2">
      <c r="A5265" s="422"/>
      <c r="B5265" s="461"/>
    </row>
    <row r="5266" spans="1:2">
      <c r="A5266" s="422"/>
      <c r="B5266" s="461"/>
    </row>
    <row r="5267" spans="1:2">
      <c r="A5267" s="422"/>
      <c r="B5267" s="461"/>
    </row>
    <row r="5268" spans="1:2">
      <c r="A5268" s="422"/>
      <c r="B5268" s="461"/>
    </row>
    <row r="5269" spans="1:2">
      <c r="A5269" s="422"/>
      <c r="B5269" s="461"/>
    </row>
    <row r="5270" spans="1:2">
      <c r="A5270" s="422"/>
      <c r="B5270" s="461"/>
    </row>
    <row r="5271" spans="1:2">
      <c r="A5271" s="422"/>
      <c r="B5271" s="461"/>
    </row>
    <row r="5272" spans="1:2">
      <c r="A5272" s="422"/>
      <c r="B5272" s="461"/>
    </row>
    <row r="5273" spans="1:2">
      <c r="A5273" s="422"/>
      <c r="B5273" s="461"/>
    </row>
    <row r="5274" spans="1:2">
      <c r="A5274" s="422"/>
      <c r="B5274" s="461"/>
    </row>
    <row r="5275" spans="1:2">
      <c r="A5275" s="422"/>
      <c r="B5275" s="461"/>
    </row>
    <row r="5276" spans="1:2">
      <c r="A5276" s="422"/>
      <c r="B5276" s="461"/>
    </row>
    <row r="5277" spans="1:2">
      <c r="A5277" s="422"/>
      <c r="B5277" s="461"/>
    </row>
    <row r="5278" spans="1:2">
      <c r="A5278" s="422"/>
      <c r="B5278" s="461"/>
    </row>
    <row r="5279" spans="1:2">
      <c r="A5279" s="422"/>
      <c r="B5279" s="461"/>
    </row>
    <row r="5280" spans="1:2">
      <c r="A5280" s="422"/>
      <c r="B5280" s="461"/>
    </row>
    <row r="5281" spans="1:2">
      <c r="A5281" s="422"/>
      <c r="B5281" s="461"/>
    </row>
    <row r="5282" spans="1:2">
      <c r="A5282" s="422"/>
      <c r="B5282" s="461"/>
    </row>
    <row r="5283" spans="1:2">
      <c r="A5283" s="422"/>
      <c r="B5283" s="461"/>
    </row>
    <row r="5284" spans="1:2">
      <c r="A5284" s="422"/>
      <c r="B5284" s="461"/>
    </row>
    <row r="5285" spans="1:2">
      <c r="A5285" s="422"/>
      <c r="B5285" s="461"/>
    </row>
    <row r="5286" spans="1:2">
      <c r="A5286" s="422"/>
      <c r="B5286" s="461"/>
    </row>
    <row r="5287" spans="1:2">
      <c r="A5287" s="422"/>
      <c r="B5287" s="461"/>
    </row>
    <row r="5288" spans="1:2">
      <c r="A5288" s="422"/>
      <c r="B5288" s="461"/>
    </row>
    <row r="5289" spans="1:2">
      <c r="A5289" s="422"/>
      <c r="B5289" s="461"/>
    </row>
    <row r="5290" spans="1:2">
      <c r="A5290" s="422"/>
      <c r="B5290" s="461"/>
    </row>
    <row r="5291" spans="1:2">
      <c r="A5291" s="422"/>
      <c r="B5291" s="461"/>
    </row>
    <row r="5292" spans="1:2">
      <c r="A5292" s="422"/>
      <c r="B5292" s="461"/>
    </row>
    <row r="5293" spans="1:2">
      <c r="A5293" s="422"/>
      <c r="B5293" s="461"/>
    </row>
    <row r="5294" spans="1:2">
      <c r="A5294" s="422"/>
      <c r="B5294" s="461"/>
    </row>
    <row r="5295" spans="1:2">
      <c r="A5295" s="422"/>
      <c r="B5295" s="461"/>
    </row>
    <row r="5296" spans="1:2">
      <c r="A5296" s="422"/>
      <c r="B5296" s="461"/>
    </row>
    <row r="5297" spans="1:2">
      <c r="A5297" s="422"/>
      <c r="B5297" s="461"/>
    </row>
    <row r="5298" spans="1:2">
      <c r="A5298" s="422"/>
      <c r="B5298" s="461"/>
    </row>
    <row r="5299" spans="1:2">
      <c r="A5299" s="422"/>
      <c r="B5299" s="461"/>
    </row>
    <row r="5300" spans="1:2">
      <c r="A5300" s="422"/>
      <c r="B5300" s="461"/>
    </row>
    <row r="5301" spans="1:2">
      <c r="A5301" s="422"/>
      <c r="B5301" s="461"/>
    </row>
    <row r="5302" spans="1:2">
      <c r="A5302" s="422"/>
      <c r="B5302" s="461"/>
    </row>
    <row r="5303" spans="1:2">
      <c r="A5303" s="422"/>
      <c r="B5303" s="461"/>
    </row>
    <row r="5304" spans="1:2">
      <c r="A5304" s="422"/>
      <c r="B5304" s="461"/>
    </row>
    <row r="5305" spans="1:2">
      <c r="A5305" s="422"/>
      <c r="B5305" s="461"/>
    </row>
    <row r="5306" spans="1:2">
      <c r="A5306" s="422"/>
      <c r="B5306" s="461"/>
    </row>
    <row r="5307" spans="1:2">
      <c r="A5307" s="422"/>
      <c r="B5307" s="461"/>
    </row>
    <row r="5308" spans="1:2">
      <c r="A5308" s="422"/>
      <c r="B5308" s="461"/>
    </row>
    <row r="5309" spans="1:2">
      <c r="A5309" s="422"/>
      <c r="B5309" s="461"/>
    </row>
    <row r="5310" spans="1:2">
      <c r="A5310" s="422"/>
      <c r="B5310" s="461"/>
    </row>
    <row r="5311" spans="1:2">
      <c r="A5311" s="422"/>
      <c r="B5311" s="461"/>
    </row>
    <row r="5312" spans="1:2">
      <c r="A5312" s="422"/>
      <c r="B5312" s="461"/>
    </row>
    <row r="5313" spans="1:2">
      <c r="A5313" s="422"/>
      <c r="B5313" s="461"/>
    </row>
    <row r="5314" spans="1:2">
      <c r="A5314" s="422"/>
      <c r="B5314" s="461"/>
    </row>
    <row r="5315" spans="1:2">
      <c r="A5315" s="422"/>
      <c r="B5315" s="461"/>
    </row>
    <row r="5316" spans="1:2">
      <c r="A5316" s="422"/>
      <c r="B5316" s="461"/>
    </row>
    <row r="5317" spans="1:2">
      <c r="A5317" s="422"/>
      <c r="B5317" s="461"/>
    </row>
    <row r="5318" spans="1:2">
      <c r="A5318" s="422"/>
      <c r="B5318" s="461"/>
    </row>
    <row r="5319" spans="1:2">
      <c r="A5319" s="422"/>
      <c r="B5319" s="461"/>
    </row>
    <row r="5320" spans="1:2">
      <c r="A5320" s="422"/>
      <c r="B5320" s="461"/>
    </row>
    <row r="5321" spans="1:2">
      <c r="A5321" s="422"/>
      <c r="B5321" s="461"/>
    </row>
    <row r="5322" spans="1:2">
      <c r="A5322" s="422"/>
      <c r="B5322" s="461"/>
    </row>
    <row r="5323" spans="1:2">
      <c r="A5323" s="422"/>
      <c r="B5323" s="461"/>
    </row>
    <row r="5324" spans="1:2">
      <c r="A5324" s="422"/>
      <c r="B5324" s="461"/>
    </row>
    <row r="5325" spans="1:2">
      <c r="A5325" s="422"/>
      <c r="B5325" s="461"/>
    </row>
    <row r="5326" spans="1:2">
      <c r="A5326" s="422"/>
      <c r="B5326" s="461"/>
    </row>
    <row r="5327" spans="1:2">
      <c r="A5327" s="422"/>
      <c r="B5327" s="461"/>
    </row>
    <row r="5328" spans="1:2">
      <c r="A5328" s="422"/>
      <c r="B5328" s="461"/>
    </row>
    <row r="5329" spans="1:2">
      <c r="A5329" s="422"/>
      <c r="B5329" s="461"/>
    </row>
    <row r="5330" spans="1:2">
      <c r="A5330" s="422"/>
      <c r="B5330" s="461"/>
    </row>
    <row r="5331" spans="1:2">
      <c r="A5331" s="422"/>
      <c r="B5331" s="461"/>
    </row>
    <row r="5332" spans="1:2">
      <c r="A5332" s="422"/>
      <c r="B5332" s="461"/>
    </row>
    <row r="5333" spans="1:2">
      <c r="A5333" s="422"/>
      <c r="B5333" s="461"/>
    </row>
    <row r="5334" spans="1:2">
      <c r="A5334" s="422"/>
      <c r="B5334" s="461"/>
    </row>
    <row r="5335" spans="1:2">
      <c r="A5335" s="422"/>
      <c r="B5335" s="461"/>
    </row>
    <row r="5336" spans="1:2">
      <c r="A5336" s="422"/>
      <c r="B5336" s="461"/>
    </row>
    <row r="5337" spans="1:2">
      <c r="A5337" s="422"/>
      <c r="B5337" s="461"/>
    </row>
    <row r="5338" spans="1:2">
      <c r="A5338" s="422"/>
      <c r="B5338" s="461"/>
    </row>
    <row r="5339" spans="1:2">
      <c r="A5339" s="422"/>
      <c r="B5339" s="461"/>
    </row>
    <row r="5340" spans="1:2">
      <c r="A5340" s="422"/>
      <c r="B5340" s="461"/>
    </row>
    <row r="5341" spans="1:2">
      <c r="A5341" s="422"/>
      <c r="B5341" s="461"/>
    </row>
    <row r="5342" spans="1:2">
      <c r="A5342" s="422"/>
      <c r="B5342" s="461"/>
    </row>
    <row r="5343" spans="1:2">
      <c r="A5343" s="422"/>
      <c r="B5343" s="461"/>
    </row>
    <row r="5344" spans="1:2">
      <c r="A5344" s="422"/>
      <c r="B5344" s="461"/>
    </row>
    <row r="5345" spans="1:2">
      <c r="A5345" s="422"/>
      <c r="B5345" s="461"/>
    </row>
    <row r="5346" spans="1:2">
      <c r="A5346" s="422"/>
      <c r="B5346" s="461"/>
    </row>
    <row r="5347" spans="1:2">
      <c r="A5347" s="422"/>
      <c r="B5347" s="461"/>
    </row>
    <row r="5348" spans="1:2">
      <c r="A5348" s="422"/>
      <c r="B5348" s="461"/>
    </row>
    <row r="5349" spans="1:2">
      <c r="A5349" s="422"/>
      <c r="B5349" s="461"/>
    </row>
    <row r="5350" spans="1:2">
      <c r="A5350" s="422"/>
      <c r="B5350" s="461"/>
    </row>
    <row r="5351" spans="1:2">
      <c r="A5351" s="422"/>
      <c r="B5351" s="461"/>
    </row>
    <row r="5352" spans="1:2">
      <c r="A5352" s="422"/>
      <c r="B5352" s="461"/>
    </row>
    <row r="5353" spans="1:2">
      <c r="A5353" s="422"/>
      <c r="B5353" s="461"/>
    </row>
    <row r="5354" spans="1:2">
      <c r="A5354" s="422"/>
      <c r="B5354" s="461"/>
    </row>
    <row r="5355" spans="1:2">
      <c r="A5355" s="422"/>
      <c r="B5355" s="461"/>
    </row>
    <row r="5356" spans="1:2">
      <c r="A5356" s="422"/>
      <c r="B5356" s="461"/>
    </row>
    <row r="5357" spans="1:2">
      <c r="A5357" s="422"/>
      <c r="B5357" s="461"/>
    </row>
    <row r="5358" spans="1:2">
      <c r="A5358" s="422"/>
      <c r="B5358" s="461"/>
    </row>
    <row r="5359" spans="1:2">
      <c r="A5359" s="422"/>
      <c r="B5359" s="461"/>
    </row>
    <row r="5360" spans="1:2">
      <c r="A5360" s="422"/>
      <c r="B5360" s="461"/>
    </row>
    <row r="5361" spans="1:2">
      <c r="A5361" s="422"/>
      <c r="B5361" s="461"/>
    </row>
    <row r="5362" spans="1:2">
      <c r="A5362" s="422"/>
      <c r="B5362" s="461"/>
    </row>
    <row r="5363" spans="1:2">
      <c r="A5363" s="422"/>
      <c r="B5363" s="461"/>
    </row>
    <row r="5364" spans="1:2">
      <c r="A5364" s="422"/>
      <c r="B5364" s="461"/>
    </row>
    <row r="5365" spans="1:2">
      <c r="A5365" s="422"/>
      <c r="B5365" s="461"/>
    </row>
    <row r="5366" spans="1:2">
      <c r="A5366" s="422"/>
      <c r="B5366" s="461"/>
    </row>
    <row r="5367" spans="1:2">
      <c r="A5367" s="422"/>
      <c r="B5367" s="461"/>
    </row>
    <row r="5368" spans="1:2">
      <c r="A5368" s="422"/>
      <c r="B5368" s="461"/>
    </row>
    <row r="5369" spans="1:2">
      <c r="A5369" s="422"/>
      <c r="B5369" s="461"/>
    </row>
    <row r="5370" spans="1:2">
      <c r="A5370" s="422"/>
      <c r="B5370" s="461"/>
    </row>
    <row r="5371" spans="1:2">
      <c r="A5371" s="422"/>
      <c r="B5371" s="461"/>
    </row>
    <row r="5372" spans="1:2">
      <c r="A5372" s="422"/>
      <c r="B5372" s="461"/>
    </row>
    <row r="5373" spans="1:2">
      <c r="A5373" s="422"/>
      <c r="B5373" s="461"/>
    </row>
    <row r="5374" spans="1:2">
      <c r="A5374" s="422"/>
      <c r="B5374" s="461"/>
    </row>
    <row r="5375" spans="1:2">
      <c r="A5375" s="422"/>
      <c r="B5375" s="461"/>
    </row>
    <row r="5376" spans="1:2">
      <c r="A5376" s="422"/>
      <c r="B5376" s="461"/>
    </row>
    <row r="5377" spans="1:2">
      <c r="A5377" s="422"/>
      <c r="B5377" s="461"/>
    </row>
    <row r="5378" spans="1:2">
      <c r="A5378" s="422"/>
      <c r="B5378" s="461"/>
    </row>
    <row r="5379" spans="1:2">
      <c r="A5379" s="422"/>
      <c r="B5379" s="461"/>
    </row>
    <row r="5380" spans="1:2">
      <c r="A5380" s="422"/>
      <c r="B5380" s="461"/>
    </row>
    <row r="5381" spans="1:2">
      <c r="A5381" s="422"/>
      <c r="B5381" s="461"/>
    </row>
    <row r="5382" spans="1:2">
      <c r="A5382" s="422"/>
      <c r="B5382" s="461"/>
    </row>
    <row r="5383" spans="1:2">
      <c r="A5383" s="422"/>
      <c r="B5383" s="461"/>
    </row>
    <row r="5384" spans="1:2">
      <c r="A5384" s="422"/>
      <c r="B5384" s="461"/>
    </row>
    <row r="5385" spans="1:2">
      <c r="A5385" s="422"/>
      <c r="B5385" s="461"/>
    </row>
    <row r="5386" spans="1:2">
      <c r="A5386" s="422"/>
      <c r="B5386" s="461"/>
    </row>
    <row r="5387" spans="1:2">
      <c r="A5387" s="422"/>
      <c r="B5387" s="461"/>
    </row>
    <row r="5388" spans="1:2">
      <c r="A5388" s="422"/>
      <c r="B5388" s="461"/>
    </row>
    <row r="5389" spans="1:2">
      <c r="A5389" s="422"/>
      <c r="B5389" s="461"/>
    </row>
    <row r="5390" spans="1:2">
      <c r="A5390" s="422"/>
      <c r="B5390" s="461"/>
    </row>
    <row r="5391" spans="1:2">
      <c r="A5391" s="422"/>
      <c r="B5391" s="461"/>
    </row>
    <row r="5392" spans="1:2">
      <c r="A5392" s="422"/>
      <c r="B5392" s="461"/>
    </row>
    <row r="5393" spans="1:2">
      <c r="A5393" s="422"/>
      <c r="B5393" s="461"/>
    </row>
    <row r="5394" spans="1:2">
      <c r="A5394" s="422"/>
      <c r="B5394" s="461"/>
    </row>
    <row r="5395" spans="1:2">
      <c r="A5395" s="422"/>
      <c r="B5395" s="461"/>
    </row>
    <row r="5396" spans="1:2">
      <c r="A5396" s="422"/>
      <c r="B5396" s="461"/>
    </row>
    <row r="5397" spans="1:2">
      <c r="A5397" s="422"/>
      <c r="B5397" s="461"/>
    </row>
    <row r="5398" spans="1:2">
      <c r="A5398" s="422"/>
      <c r="B5398" s="461"/>
    </row>
    <row r="5399" spans="1:2">
      <c r="A5399" s="422"/>
      <c r="B5399" s="461"/>
    </row>
    <row r="5400" spans="1:2">
      <c r="A5400" s="422"/>
      <c r="B5400" s="461"/>
    </row>
    <row r="5401" spans="1:2">
      <c r="A5401" s="422"/>
      <c r="B5401" s="461"/>
    </row>
    <row r="5402" spans="1:2">
      <c r="A5402" s="422"/>
      <c r="B5402" s="461"/>
    </row>
    <row r="5403" spans="1:2">
      <c r="A5403" s="422"/>
      <c r="B5403" s="461"/>
    </row>
    <row r="5404" spans="1:2">
      <c r="A5404" s="422"/>
      <c r="B5404" s="461"/>
    </row>
    <row r="5405" spans="1:2">
      <c r="A5405" s="422"/>
      <c r="B5405" s="461"/>
    </row>
    <row r="5406" spans="1:2">
      <c r="A5406" s="422"/>
      <c r="B5406" s="461"/>
    </row>
    <row r="5407" spans="1:2">
      <c r="A5407" s="422"/>
      <c r="B5407" s="461"/>
    </row>
    <row r="5408" spans="1:2">
      <c r="A5408" s="422"/>
      <c r="B5408" s="461"/>
    </row>
    <row r="5409" spans="1:2">
      <c r="A5409" s="422"/>
      <c r="B5409" s="461"/>
    </row>
    <row r="5410" spans="1:2">
      <c r="A5410" s="422"/>
      <c r="B5410" s="461"/>
    </row>
    <row r="5411" spans="1:2">
      <c r="A5411" s="422"/>
      <c r="B5411" s="461"/>
    </row>
    <row r="5412" spans="1:2">
      <c r="A5412" s="422"/>
      <c r="B5412" s="461"/>
    </row>
    <row r="5413" spans="1:2">
      <c r="A5413" s="422"/>
      <c r="B5413" s="461"/>
    </row>
    <row r="5414" spans="1:2">
      <c r="A5414" s="422"/>
      <c r="B5414" s="461"/>
    </row>
    <row r="5415" spans="1:2">
      <c r="A5415" s="422"/>
      <c r="B5415" s="461"/>
    </row>
    <row r="5416" spans="1:2">
      <c r="A5416" s="422"/>
      <c r="B5416" s="461"/>
    </row>
    <row r="5417" spans="1:2">
      <c r="A5417" s="422"/>
      <c r="B5417" s="461"/>
    </row>
    <row r="5418" spans="1:2">
      <c r="A5418" s="422"/>
      <c r="B5418" s="461"/>
    </row>
    <row r="5419" spans="1:2">
      <c r="A5419" s="422"/>
      <c r="B5419" s="461"/>
    </row>
    <row r="5420" spans="1:2">
      <c r="A5420" s="422"/>
      <c r="B5420" s="461"/>
    </row>
    <row r="5421" spans="1:2">
      <c r="A5421" s="422"/>
      <c r="B5421" s="461"/>
    </row>
    <row r="5422" spans="1:2">
      <c r="A5422" s="422"/>
      <c r="B5422" s="461"/>
    </row>
    <row r="5423" spans="1:2">
      <c r="A5423" s="422"/>
      <c r="B5423" s="461"/>
    </row>
    <row r="5424" spans="1:2">
      <c r="A5424" s="422"/>
      <c r="B5424" s="461"/>
    </row>
    <row r="5425" spans="1:2">
      <c r="A5425" s="422"/>
      <c r="B5425" s="461"/>
    </row>
    <row r="5426" spans="1:2">
      <c r="A5426" s="422"/>
      <c r="B5426" s="461"/>
    </row>
    <row r="5427" spans="1:2">
      <c r="A5427" s="422"/>
      <c r="B5427" s="461"/>
    </row>
    <row r="5428" spans="1:2">
      <c r="A5428" s="422"/>
      <c r="B5428" s="461"/>
    </row>
    <row r="5429" spans="1:2">
      <c r="A5429" s="422"/>
      <c r="B5429" s="461"/>
    </row>
    <row r="5430" spans="1:2">
      <c r="A5430" s="422"/>
      <c r="B5430" s="461"/>
    </row>
    <row r="5431" spans="1:2">
      <c r="A5431" s="422"/>
      <c r="B5431" s="461"/>
    </row>
    <row r="5432" spans="1:2">
      <c r="A5432" s="422"/>
      <c r="B5432" s="461"/>
    </row>
    <row r="5433" spans="1:2">
      <c r="A5433" s="422"/>
      <c r="B5433" s="461"/>
    </row>
    <row r="5434" spans="1:2">
      <c r="A5434" s="422"/>
      <c r="B5434" s="461"/>
    </row>
    <row r="5435" spans="1:2">
      <c r="A5435" s="422"/>
      <c r="B5435" s="461"/>
    </row>
    <row r="5436" spans="1:2">
      <c r="A5436" s="422"/>
      <c r="B5436" s="461"/>
    </row>
    <row r="5437" spans="1:2">
      <c r="A5437" s="422"/>
      <c r="B5437" s="461"/>
    </row>
    <row r="5438" spans="1:2">
      <c r="A5438" s="422"/>
      <c r="B5438" s="461"/>
    </row>
    <row r="5439" spans="1:2">
      <c r="A5439" s="422"/>
      <c r="B5439" s="461"/>
    </row>
    <row r="5440" spans="1:2">
      <c r="A5440" s="422"/>
      <c r="B5440" s="461"/>
    </row>
    <row r="5441" spans="1:2">
      <c r="A5441" s="422"/>
      <c r="B5441" s="461"/>
    </row>
    <row r="5442" spans="1:2">
      <c r="A5442" s="422"/>
      <c r="B5442" s="461"/>
    </row>
    <row r="5443" spans="1:2">
      <c r="A5443" s="422"/>
      <c r="B5443" s="461"/>
    </row>
    <row r="5444" spans="1:2">
      <c r="A5444" s="422"/>
      <c r="B5444" s="461"/>
    </row>
    <row r="5445" spans="1:2">
      <c r="A5445" s="422"/>
      <c r="B5445" s="461"/>
    </row>
    <row r="5446" spans="1:2">
      <c r="A5446" s="422"/>
      <c r="B5446" s="461"/>
    </row>
    <row r="5447" spans="1:2">
      <c r="A5447" s="422"/>
      <c r="B5447" s="461"/>
    </row>
    <row r="5448" spans="1:2">
      <c r="A5448" s="422"/>
      <c r="B5448" s="461"/>
    </row>
    <row r="5449" spans="1:2">
      <c r="A5449" s="422"/>
      <c r="B5449" s="461"/>
    </row>
    <row r="5450" spans="1:2">
      <c r="A5450" s="422"/>
      <c r="B5450" s="461"/>
    </row>
    <row r="5451" spans="1:2">
      <c r="A5451" s="422"/>
      <c r="B5451" s="461"/>
    </row>
    <row r="5452" spans="1:2">
      <c r="A5452" s="422"/>
      <c r="B5452" s="461"/>
    </row>
    <row r="5453" spans="1:2">
      <c r="A5453" s="422"/>
      <c r="B5453" s="461"/>
    </row>
    <row r="5454" spans="1:2">
      <c r="A5454" s="422"/>
      <c r="B5454" s="461"/>
    </row>
    <row r="5455" spans="1:2">
      <c r="A5455" s="422"/>
      <c r="B5455" s="461"/>
    </row>
    <row r="5456" spans="1:2">
      <c r="A5456" s="422"/>
      <c r="B5456" s="461"/>
    </row>
    <row r="5457" spans="1:2">
      <c r="A5457" s="422"/>
      <c r="B5457" s="461"/>
    </row>
    <row r="5458" spans="1:2">
      <c r="A5458" s="422"/>
      <c r="B5458" s="461"/>
    </row>
    <row r="5459" spans="1:2">
      <c r="A5459" s="422"/>
      <c r="B5459" s="461"/>
    </row>
    <row r="5460" spans="1:2">
      <c r="A5460" s="422"/>
      <c r="B5460" s="461"/>
    </row>
    <row r="5461" spans="1:2">
      <c r="A5461" s="422"/>
      <c r="B5461" s="461"/>
    </row>
    <row r="5462" spans="1:2">
      <c r="A5462" s="422"/>
      <c r="B5462" s="461"/>
    </row>
    <row r="5463" spans="1:2">
      <c r="A5463" s="422"/>
      <c r="B5463" s="461"/>
    </row>
    <row r="5464" spans="1:2">
      <c r="A5464" s="422"/>
      <c r="B5464" s="461"/>
    </row>
    <row r="5465" spans="1:2">
      <c r="A5465" s="422"/>
      <c r="B5465" s="461"/>
    </row>
    <row r="5466" spans="1:2">
      <c r="A5466" s="422"/>
      <c r="B5466" s="461"/>
    </row>
    <row r="5467" spans="1:2">
      <c r="A5467" s="422"/>
      <c r="B5467" s="461"/>
    </row>
    <row r="5468" spans="1:2">
      <c r="A5468" s="422"/>
      <c r="B5468" s="461"/>
    </row>
    <row r="5469" spans="1:2">
      <c r="A5469" s="422"/>
      <c r="B5469" s="461"/>
    </row>
    <row r="5470" spans="1:2">
      <c r="A5470" s="422"/>
      <c r="B5470" s="461"/>
    </row>
    <row r="5471" spans="1:2">
      <c r="A5471" s="422"/>
      <c r="B5471" s="461"/>
    </row>
    <row r="5472" spans="1:2">
      <c r="A5472" s="422"/>
      <c r="B5472" s="461"/>
    </row>
    <row r="5473" spans="1:2">
      <c r="A5473" s="422"/>
      <c r="B5473" s="461"/>
    </row>
    <row r="5474" spans="1:2">
      <c r="A5474" s="422"/>
      <c r="B5474" s="461"/>
    </row>
    <row r="5475" spans="1:2">
      <c r="A5475" s="422"/>
      <c r="B5475" s="461"/>
    </row>
    <row r="5476" spans="1:2">
      <c r="A5476" s="422"/>
      <c r="B5476" s="461"/>
    </row>
    <row r="5477" spans="1:2">
      <c r="A5477" s="422"/>
      <c r="B5477" s="461"/>
    </row>
    <row r="5478" spans="1:2">
      <c r="A5478" s="422"/>
      <c r="B5478" s="461"/>
    </row>
    <row r="5479" spans="1:2">
      <c r="A5479" s="422"/>
      <c r="B5479" s="461"/>
    </row>
    <row r="5480" spans="1:2">
      <c r="A5480" s="422"/>
      <c r="B5480" s="461"/>
    </row>
    <row r="5481" spans="1:2">
      <c r="A5481" s="422"/>
      <c r="B5481" s="461"/>
    </row>
    <row r="5482" spans="1:2">
      <c r="A5482" s="422"/>
      <c r="B5482" s="461"/>
    </row>
    <row r="5483" spans="1:2">
      <c r="A5483" s="422"/>
      <c r="B5483" s="461"/>
    </row>
    <row r="5484" spans="1:2">
      <c r="A5484" s="422"/>
      <c r="B5484" s="461"/>
    </row>
    <row r="5485" spans="1:2">
      <c r="A5485" s="422"/>
      <c r="B5485" s="461"/>
    </row>
    <row r="5486" spans="1:2">
      <c r="A5486" s="422"/>
      <c r="B5486" s="461"/>
    </row>
    <row r="5487" spans="1:2">
      <c r="A5487" s="422"/>
      <c r="B5487" s="461"/>
    </row>
    <row r="5488" spans="1:2">
      <c r="A5488" s="422"/>
      <c r="B5488" s="461"/>
    </row>
    <row r="5489" spans="1:2">
      <c r="A5489" s="422"/>
      <c r="B5489" s="461"/>
    </row>
    <row r="5490" spans="1:2">
      <c r="A5490" s="422"/>
      <c r="B5490" s="461"/>
    </row>
    <row r="5491" spans="1:2">
      <c r="A5491" s="422"/>
      <c r="B5491" s="461"/>
    </row>
    <row r="5492" spans="1:2">
      <c r="A5492" s="422"/>
      <c r="B5492" s="461"/>
    </row>
    <row r="5493" spans="1:2">
      <c r="A5493" s="422"/>
      <c r="B5493" s="461"/>
    </row>
    <row r="5494" spans="1:2">
      <c r="A5494" s="422"/>
      <c r="B5494" s="461"/>
    </row>
    <row r="5495" spans="1:2">
      <c r="A5495" s="422"/>
      <c r="B5495" s="461"/>
    </row>
    <row r="5496" spans="1:2">
      <c r="A5496" s="422"/>
      <c r="B5496" s="461"/>
    </row>
    <row r="5497" spans="1:2">
      <c r="A5497" s="422"/>
      <c r="B5497" s="461"/>
    </row>
    <row r="5498" spans="1:2">
      <c r="A5498" s="422"/>
      <c r="B5498" s="461"/>
    </row>
    <row r="5499" spans="1:2">
      <c r="A5499" s="422"/>
      <c r="B5499" s="461"/>
    </row>
    <row r="5500" spans="1:2">
      <c r="A5500" s="422"/>
      <c r="B5500" s="461"/>
    </row>
    <row r="5501" spans="1:2">
      <c r="A5501" s="422"/>
      <c r="B5501" s="461"/>
    </row>
    <row r="5502" spans="1:2">
      <c r="A5502" s="422"/>
      <c r="B5502" s="461"/>
    </row>
    <row r="5503" spans="1:2">
      <c r="A5503" s="422"/>
      <c r="B5503" s="461"/>
    </row>
    <row r="5504" spans="1:2">
      <c r="A5504" s="422"/>
      <c r="B5504" s="461"/>
    </row>
    <row r="5505" spans="1:2">
      <c r="A5505" s="422"/>
      <c r="B5505" s="461"/>
    </row>
    <row r="5506" spans="1:2">
      <c r="A5506" s="422"/>
      <c r="B5506" s="461"/>
    </row>
    <row r="5507" spans="1:2">
      <c r="A5507" s="422"/>
      <c r="B5507" s="461"/>
    </row>
    <row r="5508" spans="1:2">
      <c r="A5508" s="422"/>
      <c r="B5508" s="461"/>
    </row>
    <row r="5509" spans="1:2">
      <c r="A5509" s="422"/>
      <c r="B5509" s="461"/>
    </row>
    <row r="5510" spans="1:2">
      <c r="A5510" s="422"/>
      <c r="B5510" s="461"/>
    </row>
    <row r="5511" spans="1:2">
      <c r="A5511" s="422"/>
      <c r="B5511" s="461"/>
    </row>
    <row r="5512" spans="1:2">
      <c r="A5512" s="422"/>
      <c r="B5512" s="461"/>
    </row>
    <row r="5513" spans="1:2">
      <c r="A5513" s="422"/>
      <c r="B5513" s="461"/>
    </row>
    <row r="5514" spans="1:2">
      <c r="A5514" s="422"/>
      <c r="B5514" s="461"/>
    </row>
    <row r="5515" spans="1:2">
      <c r="A5515" s="422"/>
      <c r="B5515" s="461"/>
    </row>
    <row r="5516" spans="1:2">
      <c r="A5516" s="422"/>
      <c r="B5516" s="461"/>
    </row>
    <row r="5517" spans="1:2">
      <c r="A5517" s="422"/>
      <c r="B5517" s="461"/>
    </row>
    <row r="5518" spans="1:2">
      <c r="A5518" s="422"/>
      <c r="B5518" s="461"/>
    </row>
    <row r="5519" spans="1:2">
      <c r="A5519" s="422"/>
      <c r="B5519" s="461"/>
    </row>
    <row r="5520" spans="1:2">
      <c r="A5520" s="422"/>
      <c r="B5520" s="461"/>
    </row>
    <row r="5521" spans="1:2">
      <c r="A5521" s="422"/>
      <c r="B5521" s="461"/>
    </row>
    <row r="5522" spans="1:2">
      <c r="A5522" s="422"/>
      <c r="B5522" s="461"/>
    </row>
    <row r="5523" spans="1:2">
      <c r="A5523" s="422"/>
      <c r="B5523" s="461"/>
    </row>
    <row r="5524" spans="1:2">
      <c r="A5524" s="422"/>
      <c r="B5524" s="461"/>
    </row>
    <row r="5525" spans="1:2">
      <c r="A5525" s="422"/>
      <c r="B5525" s="461"/>
    </row>
    <row r="5526" spans="1:2">
      <c r="A5526" s="422"/>
      <c r="B5526" s="461"/>
    </row>
    <row r="5527" spans="1:2">
      <c r="A5527" s="422"/>
      <c r="B5527" s="461"/>
    </row>
    <row r="5528" spans="1:2">
      <c r="A5528" s="422"/>
      <c r="B5528" s="461"/>
    </row>
    <row r="5529" spans="1:2">
      <c r="A5529" s="422"/>
      <c r="B5529" s="461"/>
    </row>
    <row r="5530" spans="1:2">
      <c r="A5530" s="422"/>
      <c r="B5530" s="461"/>
    </row>
    <row r="5531" spans="1:2">
      <c r="A5531" s="422"/>
      <c r="B5531" s="461"/>
    </row>
    <row r="5532" spans="1:2">
      <c r="A5532" s="422"/>
      <c r="B5532" s="461"/>
    </row>
    <row r="5533" spans="1:2">
      <c r="A5533" s="422"/>
      <c r="B5533" s="461"/>
    </row>
    <row r="5534" spans="1:2">
      <c r="A5534" s="422"/>
      <c r="B5534" s="461"/>
    </row>
    <row r="5535" spans="1:2">
      <c r="A5535" s="422"/>
      <c r="B5535" s="461"/>
    </row>
    <row r="5536" spans="1:2">
      <c r="A5536" s="422"/>
      <c r="B5536" s="461"/>
    </row>
    <row r="5537" spans="1:2">
      <c r="A5537" s="422"/>
      <c r="B5537" s="461"/>
    </row>
    <row r="5538" spans="1:2">
      <c r="A5538" s="422"/>
      <c r="B5538" s="461"/>
    </row>
    <row r="5539" spans="1:2">
      <c r="A5539" s="422"/>
      <c r="B5539" s="461"/>
    </row>
    <row r="5540" spans="1:2">
      <c r="A5540" s="422"/>
      <c r="B5540" s="461"/>
    </row>
    <row r="5541" spans="1:2">
      <c r="A5541" s="422"/>
      <c r="B5541" s="461"/>
    </row>
    <row r="5542" spans="1:2">
      <c r="A5542" s="422"/>
      <c r="B5542" s="461"/>
    </row>
    <row r="5543" spans="1:2">
      <c r="A5543" s="422"/>
      <c r="B5543" s="461"/>
    </row>
    <row r="5544" spans="1:2">
      <c r="A5544" s="422"/>
      <c r="B5544" s="461"/>
    </row>
    <row r="5545" spans="1:2">
      <c r="A5545" s="422"/>
      <c r="B5545" s="461"/>
    </row>
    <row r="5546" spans="1:2">
      <c r="A5546" s="422"/>
      <c r="B5546" s="461"/>
    </row>
    <row r="5547" spans="1:2">
      <c r="A5547" s="422"/>
      <c r="B5547" s="461"/>
    </row>
    <row r="5548" spans="1:2">
      <c r="A5548" s="422"/>
      <c r="B5548" s="461"/>
    </row>
    <row r="5549" spans="1:2">
      <c r="A5549" s="422"/>
      <c r="B5549" s="461"/>
    </row>
    <row r="5550" spans="1:2">
      <c r="A5550" s="422"/>
      <c r="B5550" s="461"/>
    </row>
    <row r="5551" spans="1:2">
      <c r="A5551" s="422"/>
      <c r="B5551" s="461"/>
    </row>
    <row r="5552" spans="1:2">
      <c r="A5552" s="422"/>
      <c r="B5552" s="461"/>
    </row>
    <row r="5553" spans="1:2">
      <c r="A5553" s="422"/>
      <c r="B5553" s="461"/>
    </row>
    <row r="5554" spans="1:2">
      <c r="A5554" s="422"/>
      <c r="B5554" s="461"/>
    </row>
    <row r="5555" spans="1:2">
      <c r="A5555" s="422"/>
      <c r="B5555" s="461"/>
    </row>
    <row r="5556" spans="1:2">
      <c r="A5556" s="422"/>
      <c r="B5556" s="461"/>
    </row>
    <row r="5557" spans="1:2">
      <c r="A5557" s="422"/>
      <c r="B5557" s="461"/>
    </row>
    <row r="5558" spans="1:2">
      <c r="A5558" s="422"/>
      <c r="B5558" s="461"/>
    </row>
    <row r="5559" spans="1:2">
      <c r="A5559" s="422"/>
      <c r="B5559" s="461"/>
    </row>
    <row r="5560" spans="1:2">
      <c r="A5560" s="422"/>
      <c r="B5560" s="461"/>
    </row>
    <row r="5561" spans="1:2">
      <c r="A5561" s="422"/>
      <c r="B5561" s="461"/>
    </row>
    <row r="5562" spans="1:2">
      <c r="A5562" s="422"/>
      <c r="B5562" s="461"/>
    </row>
    <row r="5563" spans="1:2">
      <c r="A5563" s="422"/>
      <c r="B5563" s="461"/>
    </row>
    <row r="5564" spans="1:2">
      <c r="A5564" s="422"/>
      <c r="B5564" s="461"/>
    </row>
    <row r="5565" spans="1:2">
      <c r="A5565" s="422"/>
      <c r="B5565" s="461"/>
    </row>
    <row r="5566" spans="1:2">
      <c r="A5566" s="422"/>
      <c r="B5566" s="461"/>
    </row>
    <row r="5567" spans="1:2">
      <c r="A5567" s="422"/>
      <c r="B5567" s="461"/>
    </row>
    <row r="5568" spans="1:2">
      <c r="A5568" s="422"/>
      <c r="B5568" s="461"/>
    </row>
    <row r="5569" spans="1:2">
      <c r="A5569" s="422"/>
      <c r="B5569" s="461"/>
    </row>
    <row r="5570" spans="1:2">
      <c r="A5570" s="422"/>
      <c r="B5570" s="461"/>
    </row>
    <row r="5571" spans="1:2">
      <c r="A5571" s="422"/>
      <c r="B5571" s="461"/>
    </row>
    <row r="5572" spans="1:2">
      <c r="A5572" s="422"/>
      <c r="B5572" s="461"/>
    </row>
    <row r="5573" spans="1:2">
      <c r="A5573" s="422"/>
      <c r="B5573" s="461"/>
    </row>
    <row r="5574" spans="1:2">
      <c r="A5574" s="422"/>
      <c r="B5574" s="461"/>
    </row>
    <row r="5575" spans="1:2">
      <c r="A5575" s="422"/>
      <c r="B5575" s="461"/>
    </row>
    <row r="5576" spans="1:2">
      <c r="A5576" s="422"/>
      <c r="B5576" s="461"/>
    </row>
    <row r="5577" spans="1:2">
      <c r="A5577" s="422"/>
      <c r="B5577" s="461"/>
    </row>
    <row r="5578" spans="1:2">
      <c r="A5578" s="422"/>
      <c r="B5578" s="461"/>
    </row>
    <row r="5579" spans="1:2">
      <c r="A5579" s="422"/>
      <c r="B5579" s="461"/>
    </row>
    <row r="5580" spans="1:2">
      <c r="A5580" s="422"/>
      <c r="B5580" s="461"/>
    </row>
    <row r="5581" spans="1:2">
      <c r="A5581" s="422"/>
      <c r="B5581" s="461"/>
    </row>
    <row r="5582" spans="1:2">
      <c r="A5582" s="422"/>
      <c r="B5582" s="461"/>
    </row>
    <row r="5583" spans="1:2">
      <c r="A5583" s="422"/>
      <c r="B5583" s="461"/>
    </row>
    <row r="5584" spans="1:2">
      <c r="A5584" s="422"/>
      <c r="B5584" s="461"/>
    </row>
    <row r="5585" spans="1:2">
      <c r="A5585" s="422"/>
      <c r="B5585" s="461"/>
    </row>
    <row r="5586" spans="1:2">
      <c r="A5586" s="422"/>
      <c r="B5586" s="461"/>
    </row>
    <row r="5587" spans="1:2">
      <c r="A5587" s="422"/>
      <c r="B5587" s="461"/>
    </row>
    <row r="5588" spans="1:2">
      <c r="A5588" s="422"/>
      <c r="B5588" s="461"/>
    </row>
    <row r="5589" spans="1:2">
      <c r="A5589" s="422"/>
      <c r="B5589" s="461"/>
    </row>
    <row r="5590" spans="1:2">
      <c r="A5590" s="422"/>
      <c r="B5590" s="461"/>
    </row>
    <row r="5591" spans="1:2">
      <c r="A5591" s="422"/>
      <c r="B5591" s="461"/>
    </row>
    <row r="5592" spans="1:2">
      <c r="A5592" s="422"/>
      <c r="B5592" s="461"/>
    </row>
    <row r="5593" spans="1:2">
      <c r="A5593" s="422"/>
      <c r="B5593" s="461"/>
    </row>
    <row r="5594" spans="1:2">
      <c r="A5594" s="422"/>
      <c r="B5594" s="461"/>
    </row>
    <row r="5595" spans="1:2">
      <c r="A5595" s="422"/>
      <c r="B5595" s="461"/>
    </row>
    <row r="5596" spans="1:2">
      <c r="A5596" s="422"/>
      <c r="B5596" s="461"/>
    </row>
    <row r="5597" spans="1:2">
      <c r="A5597" s="422"/>
      <c r="B5597" s="461"/>
    </row>
    <row r="5598" spans="1:2">
      <c r="A5598" s="422"/>
      <c r="B5598" s="461"/>
    </row>
    <row r="5599" spans="1:2">
      <c r="A5599" s="422"/>
      <c r="B5599" s="461"/>
    </row>
    <row r="5600" spans="1:2">
      <c r="A5600" s="422"/>
      <c r="B5600" s="461"/>
    </row>
    <row r="5601" spans="1:2">
      <c r="A5601" s="422"/>
      <c r="B5601" s="461"/>
    </row>
    <row r="5602" spans="1:2">
      <c r="A5602" s="422"/>
      <c r="B5602" s="461"/>
    </row>
    <row r="5603" spans="1:2">
      <c r="A5603" s="422"/>
      <c r="B5603" s="461"/>
    </row>
    <row r="5604" spans="1:2">
      <c r="A5604" s="422"/>
      <c r="B5604" s="461"/>
    </row>
    <row r="5605" spans="1:2">
      <c r="A5605" s="422"/>
      <c r="B5605" s="461"/>
    </row>
    <row r="5606" spans="1:2">
      <c r="A5606" s="422"/>
      <c r="B5606" s="461"/>
    </row>
    <row r="5607" spans="1:2">
      <c r="A5607" s="422"/>
      <c r="B5607" s="461"/>
    </row>
    <row r="5608" spans="1:2">
      <c r="A5608" s="422"/>
      <c r="B5608" s="461"/>
    </row>
    <row r="5609" spans="1:2">
      <c r="A5609" s="422"/>
      <c r="B5609" s="461"/>
    </row>
    <row r="5610" spans="1:2">
      <c r="A5610" s="422"/>
      <c r="B5610" s="461"/>
    </row>
    <row r="5611" spans="1:2">
      <c r="A5611" s="422"/>
      <c r="B5611" s="461"/>
    </row>
    <row r="5612" spans="1:2">
      <c r="A5612" s="422"/>
      <c r="B5612" s="461"/>
    </row>
    <row r="5613" spans="1:2">
      <c r="A5613" s="422"/>
      <c r="B5613" s="461"/>
    </row>
    <row r="5614" spans="1:2">
      <c r="A5614" s="422"/>
      <c r="B5614" s="461"/>
    </row>
    <row r="5615" spans="1:2">
      <c r="A5615" s="422"/>
      <c r="B5615" s="461"/>
    </row>
    <row r="5616" spans="1:2">
      <c r="A5616" s="422"/>
      <c r="B5616" s="461"/>
    </row>
    <row r="5617" spans="1:2">
      <c r="A5617" s="422"/>
      <c r="B5617" s="461"/>
    </row>
    <row r="5618" spans="1:2">
      <c r="A5618" s="422"/>
      <c r="B5618" s="461"/>
    </row>
    <row r="5619" spans="1:2">
      <c r="A5619" s="422"/>
      <c r="B5619" s="461"/>
    </row>
    <row r="5620" spans="1:2">
      <c r="A5620" s="422"/>
      <c r="B5620" s="461"/>
    </row>
    <row r="5621" spans="1:2">
      <c r="A5621" s="422"/>
      <c r="B5621" s="461"/>
    </row>
    <row r="5622" spans="1:2">
      <c r="A5622" s="422"/>
      <c r="B5622" s="461"/>
    </row>
    <row r="5623" spans="1:2">
      <c r="A5623" s="422"/>
      <c r="B5623" s="461"/>
    </row>
    <row r="5624" spans="1:2">
      <c r="A5624" s="422"/>
      <c r="B5624" s="461"/>
    </row>
    <row r="5625" spans="1:2">
      <c r="A5625" s="422"/>
      <c r="B5625" s="461"/>
    </row>
    <row r="5626" spans="1:2">
      <c r="A5626" s="422"/>
      <c r="B5626" s="461"/>
    </row>
    <row r="5627" spans="1:2">
      <c r="A5627" s="422"/>
      <c r="B5627" s="461"/>
    </row>
    <row r="5628" spans="1:2">
      <c r="A5628" s="422"/>
      <c r="B5628" s="461"/>
    </row>
    <row r="5629" spans="1:2">
      <c r="A5629" s="422"/>
      <c r="B5629" s="461"/>
    </row>
    <row r="5630" spans="1:2">
      <c r="A5630" s="422"/>
      <c r="B5630" s="461"/>
    </row>
    <row r="5631" spans="1:2">
      <c r="A5631" s="422"/>
      <c r="B5631" s="461"/>
    </row>
    <row r="5632" spans="1:2">
      <c r="A5632" s="422"/>
      <c r="B5632" s="461"/>
    </row>
    <row r="5633" spans="1:2">
      <c r="A5633" s="422"/>
      <c r="B5633" s="461"/>
    </row>
    <row r="5634" spans="1:2">
      <c r="A5634" s="422"/>
      <c r="B5634" s="461"/>
    </row>
    <row r="5635" spans="1:2">
      <c r="A5635" s="422"/>
      <c r="B5635" s="461"/>
    </row>
    <row r="5636" spans="1:2">
      <c r="A5636" s="422"/>
      <c r="B5636" s="461"/>
    </row>
    <row r="5637" spans="1:2">
      <c r="A5637" s="422"/>
      <c r="B5637" s="461"/>
    </row>
    <row r="5638" spans="1:2">
      <c r="A5638" s="422"/>
      <c r="B5638" s="461"/>
    </row>
    <row r="5639" spans="1:2">
      <c r="A5639" s="422"/>
      <c r="B5639" s="461"/>
    </row>
    <row r="5640" spans="1:2">
      <c r="A5640" s="422"/>
      <c r="B5640" s="461"/>
    </row>
    <row r="5641" spans="1:2">
      <c r="A5641" s="422"/>
      <c r="B5641" s="461"/>
    </row>
    <row r="5642" spans="1:2">
      <c r="A5642" s="422"/>
      <c r="B5642" s="461"/>
    </row>
    <row r="5643" spans="1:2">
      <c r="A5643" s="422"/>
      <c r="B5643" s="461"/>
    </row>
    <row r="5644" spans="1:2">
      <c r="A5644" s="422"/>
      <c r="B5644" s="461"/>
    </row>
    <row r="5645" spans="1:2">
      <c r="A5645" s="422"/>
      <c r="B5645" s="461"/>
    </row>
    <row r="5646" spans="1:2">
      <c r="A5646" s="422"/>
      <c r="B5646" s="461"/>
    </row>
    <row r="5647" spans="1:2">
      <c r="A5647" s="422"/>
      <c r="B5647" s="461"/>
    </row>
    <row r="5648" spans="1:2">
      <c r="A5648" s="422"/>
      <c r="B5648" s="461"/>
    </row>
    <row r="5649" spans="1:2">
      <c r="A5649" s="422"/>
      <c r="B5649" s="461"/>
    </row>
    <row r="5650" spans="1:2">
      <c r="A5650" s="422"/>
      <c r="B5650" s="461"/>
    </row>
    <row r="5651" spans="1:2">
      <c r="A5651" s="422"/>
      <c r="B5651" s="461"/>
    </row>
    <row r="5652" spans="1:2">
      <c r="A5652" s="422"/>
      <c r="B5652" s="461"/>
    </row>
    <row r="5653" spans="1:2">
      <c r="A5653" s="422"/>
      <c r="B5653" s="461"/>
    </row>
    <row r="5654" spans="1:2">
      <c r="A5654" s="422"/>
      <c r="B5654" s="461"/>
    </row>
    <row r="5655" spans="1:2">
      <c r="A5655" s="422"/>
      <c r="B5655" s="461"/>
    </row>
    <row r="5656" spans="1:2">
      <c r="A5656" s="422"/>
      <c r="B5656" s="461"/>
    </row>
    <row r="5657" spans="1:2">
      <c r="A5657" s="422"/>
      <c r="B5657" s="461"/>
    </row>
    <row r="5658" spans="1:2">
      <c r="A5658" s="422"/>
      <c r="B5658" s="461"/>
    </row>
    <row r="5659" spans="1:2">
      <c r="A5659" s="422"/>
      <c r="B5659" s="461"/>
    </row>
    <row r="5660" spans="1:2">
      <c r="A5660" s="422"/>
      <c r="B5660" s="461"/>
    </row>
    <row r="5661" spans="1:2">
      <c r="A5661" s="422"/>
      <c r="B5661" s="461"/>
    </row>
    <row r="5662" spans="1:2">
      <c r="A5662" s="422"/>
      <c r="B5662" s="461"/>
    </row>
    <row r="5663" spans="1:2">
      <c r="A5663" s="422"/>
      <c r="B5663" s="461"/>
    </row>
    <row r="5664" spans="1:2">
      <c r="A5664" s="422"/>
      <c r="B5664" s="461"/>
    </row>
    <row r="5665" spans="1:2">
      <c r="A5665" s="422"/>
      <c r="B5665" s="461"/>
    </row>
    <row r="5666" spans="1:2">
      <c r="A5666" s="422"/>
      <c r="B5666" s="461"/>
    </row>
    <row r="5667" spans="1:2">
      <c r="A5667" s="422"/>
      <c r="B5667" s="461"/>
    </row>
    <row r="5668" spans="1:2">
      <c r="A5668" s="422"/>
      <c r="B5668" s="461"/>
    </row>
    <row r="5669" spans="1:2">
      <c r="A5669" s="422"/>
      <c r="B5669" s="461"/>
    </row>
    <row r="5670" spans="1:2">
      <c r="A5670" s="422"/>
      <c r="B5670" s="461"/>
    </row>
    <row r="5671" spans="1:2">
      <c r="A5671" s="422"/>
      <c r="B5671" s="461"/>
    </row>
    <row r="5672" spans="1:2">
      <c r="A5672" s="422"/>
      <c r="B5672" s="461"/>
    </row>
    <row r="5673" spans="1:2">
      <c r="A5673" s="422"/>
      <c r="B5673" s="461"/>
    </row>
    <row r="5674" spans="1:2">
      <c r="A5674" s="422"/>
      <c r="B5674" s="461"/>
    </row>
    <row r="5675" spans="1:2">
      <c r="A5675" s="422"/>
      <c r="B5675" s="461"/>
    </row>
    <row r="5676" spans="1:2">
      <c r="A5676" s="422"/>
      <c r="B5676" s="461"/>
    </row>
    <row r="5677" spans="1:2">
      <c r="A5677" s="422"/>
      <c r="B5677" s="461"/>
    </row>
    <row r="5678" spans="1:2">
      <c r="A5678" s="422"/>
      <c r="B5678" s="461"/>
    </row>
    <row r="5679" spans="1:2">
      <c r="A5679" s="422"/>
      <c r="B5679" s="461"/>
    </row>
    <row r="5680" spans="1:2">
      <c r="A5680" s="422"/>
      <c r="B5680" s="461"/>
    </row>
    <row r="5681" spans="1:2">
      <c r="A5681" s="422"/>
      <c r="B5681" s="461"/>
    </row>
    <row r="5682" spans="1:2">
      <c r="A5682" s="422"/>
      <c r="B5682" s="461"/>
    </row>
    <row r="5683" spans="1:2">
      <c r="A5683" s="422"/>
      <c r="B5683" s="461"/>
    </row>
    <row r="5684" spans="1:2">
      <c r="A5684" s="422"/>
      <c r="B5684" s="461"/>
    </row>
    <row r="5685" spans="1:2">
      <c r="A5685" s="422"/>
      <c r="B5685" s="461"/>
    </row>
    <row r="5686" spans="1:2">
      <c r="A5686" s="422"/>
      <c r="B5686" s="461"/>
    </row>
    <row r="5687" spans="1:2">
      <c r="A5687" s="422"/>
      <c r="B5687" s="461"/>
    </row>
    <row r="5688" spans="1:2">
      <c r="A5688" s="422"/>
      <c r="B5688" s="461"/>
    </row>
    <row r="5689" spans="1:2">
      <c r="A5689" s="422"/>
      <c r="B5689" s="461"/>
    </row>
    <row r="5690" spans="1:2">
      <c r="A5690" s="422"/>
      <c r="B5690" s="461"/>
    </row>
    <row r="5691" spans="1:2">
      <c r="A5691" s="422"/>
      <c r="B5691" s="461"/>
    </row>
    <row r="5692" spans="1:2">
      <c r="A5692" s="422"/>
      <c r="B5692" s="461"/>
    </row>
    <row r="5693" spans="1:2">
      <c r="A5693" s="422"/>
      <c r="B5693" s="461"/>
    </row>
    <row r="5694" spans="1:2">
      <c r="A5694" s="422"/>
      <c r="B5694" s="461"/>
    </row>
    <row r="5695" spans="1:2">
      <c r="A5695" s="422"/>
      <c r="B5695" s="461"/>
    </row>
    <row r="5696" spans="1:2">
      <c r="A5696" s="422"/>
      <c r="B5696" s="461"/>
    </row>
    <row r="5697" spans="1:2">
      <c r="A5697" s="422"/>
      <c r="B5697" s="461"/>
    </row>
    <row r="5698" spans="1:2">
      <c r="A5698" s="422"/>
      <c r="B5698" s="461"/>
    </row>
    <row r="5699" spans="1:2">
      <c r="A5699" s="422"/>
      <c r="B5699" s="461"/>
    </row>
    <row r="5700" spans="1:2">
      <c r="A5700" s="422"/>
      <c r="B5700" s="461"/>
    </row>
    <row r="5701" spans="1:2">
      <c r="A5701" s="422"/>
      <c r="B5701" s="461"/>
    </row>
    <row r="5702" spans="1:2">
      <c r="A5702" s="422"/>
      <c r="B5702" s="461"/>
    </row>
    <row r="5703" spans="1:2">
      <c r="A5703" s="422"/>
      <c r="B5703" s="461"/>
    </row>
    <row r="5704" spans="1:2">
      <c r="A5704" s="422"/>
      <c r="B5704" s="461"/>
    </row>
    <row r="5705" spans="1:2">
      <c r="A5705" s="422"/>
      <c r="B5705" s="461"/>
    </row>
    <row r="5706" spans="1:2">
      <c r="A5706" s="422"/>
      <c r="B5706" s="461"/>
    </row>
    <row r="5707" spans="1:2">
      <c r="A5707" s="422"/>
      <c r="B5707" s="461"/>
    </row>
    <row r="5708" spans="1:2">
      <c r="A5708" s="422"/>
      <c r="B5708" s="461"/>
    </row>
    <row r="5709" spans="1:2">
      <c r="A5709" s="422"/>
      <c r="B5709" s="461"/>
    </row>
    <row r="5710" spans="1:2">
      <c r="A5710" s="422"/>
      <c r="B5710" s="461"/>
    </row>
    <row r="5711" spans="1:2">
      <c r="A5711" s="422"/>
      <c r="B5711" s="461"/>
    </row>
    <row r="5712" spans="1:2">
      <c r="A5712" s="422"/>
      <c r="B5712" s="461"/>
    </row>
    <row r="5713" spans="1:2">
      <c r="A5713" s="422"/>
      <c r="B5713" s="461"/>
    </row>
    <row r="5714" spans="1:2">
      <c r="A5714" s="422"/>
      <c r="B5714" s="461"/>
    </row>
    <row r="5715" spans="1:2">
      <c r="A5715" s="422"/>
      <c r="B5715" s="461"/>
    </row>
    <row r="5716" spans="1:2">
      <c r="A5716" s="422"/>
      <c r="B5716" s="461"/>
    </row>
    <row r="5717" spans="1:2">
      <c r="A5717" s="422"/>
      <c r="B5717" s="461"/>
    </row>
    <row r="5718" spans="1:2">
      <c r="A5718" s="422"/>
      <c r="B5718" s="461"/>
    </row>
    <row r="5719" spans="1:2">
      <c r="A5719" s="422"/>
      <c r="B5719" s="461"/>
    </row>
    <row r="5720" spans="1:2">
      <c r="A5720" s="422"/>
      <c r="B5720" s="461"/>
    </row>
    <row r="5721" spans="1:2">
      <c r="A5721" s="422"/>
      <c r="B5721" s="461"/>
    </row>
    <row r="5722" spans="1:2">
      <c r="A5722" s="422"/>
      <c r="B5722" s="461"/>
    </row>
    <row r="5723" spans="1:2">
      <c r="A5723" s="422"/>
      <c r="B5723" s="461"/>
    </row>
    <row r="5724" spans="1:2">
      <c r="A5724" s="422"/>
      <c r="B5724" s="461"/>
    </row>
    <row r="5725" spans="1:2">
      <c r="A5725" s="422"/>
      <c r="B5725" s="461"/>
    </row>
    <row r="5726" spans="1:2">
      <c r="A5726" s="422"/>
      <c r="B5726" s="461"/>
    </row>
    <row r="5727" spans="1:2">
      <c r="A5727" s="422"/>
      <c r="B5727" s="461"/>
    </row>
    <row r="5728" spans="1:2">
      <c r="A5728" s="422"/>
      <c r="B5728" s="461"/>
    </row>
    <row r="5729" spans="1:2">
      <c r="A5729" s="422"/>
      <c r="B5729" s="461"/>
    </row>
    <row r="5730" spans="1:2">
      <c r="A5730" s="422"/>
      <c r="B5730" s="461"/>
    </row>
    <row r="5731" spans="1:2">
      <c r="A5731" s="422"/>
      <c r="B5731" s="461"/>
    </row>
    <row r="5732" spans="1:2">
      <c r="A5732" s="422"/>
      <c r="B5732" s="461"/>
    </row>
    <row r="5733" spans="1:2">
      <c r="A5733" s="422"/>
      <c r="B5733" s="461"/>
    </row>
    <row r="5734" spans="1:2">
      <c r="A5734" s="422"/>
      <c r="B5734" s="461"/>
    </row>
    <row r="5735" spans="1:2">
      <c r="A5735" s="422"/>
      <c r="B5735" s="461"/>
    </row>
    <row r="5736" spans="1:2">
      <c r="A5736" s="422"/>
      <c r="B5736" s="461"/>
    </row>
    <row r="5737" spans="1:2">
      <c r="A5737" s="422"/>
      <c r="B5737" s="461"/>
    </row>
    <row r="5738" spans="1:2">
      <c r="A5738" s="422"/>
      <c r="B5738" s="461"/>
    </row>
    <row r="5739" spans="1:2">
      <c r="A5739" s="422"/>
      <c r="B5739" s="461"/>
    </row>
    <row r="5740" spans="1:2">
      <c r="A5740" s="422"/>
      <c r="B5740" s="461"/>
    </row>
    <row r="5741" spans="1:2">
      <c r="A5741" s="422"/>
      <c r="B5741" s="461"/>
    </row>
    <row r="5742" spans="1:2">
      <c r="A5742" s="422"/>
      <c r="B5742" s="461"/>
    </row>
    <row r="5743" spans="1:2">
      <c r="A5743" s="422"/>
      <c r="B5743" s="461"/>
    </row>
    <row r="5744" spans="1:2">
      <c r="A5744" s="422"/>
      <c r="B5744" s="461"/>
    </row>
    <row r="5745" spans="1:2">
      <c r="A5745" s="422"/>
      <c r="B5745" s="461"/>
    </row>
    <row r="5746" spans="1:2">
      <c r="A5746" s="422"/>
      <c r="B5746" s="461"/>
    </row>
    <row r="5747" spans="1:2">
      <c r="A5747" s="422"/>
      <c r="B5747" s="461"/>
    </row>
    <row r="5748" spans="1:2">
      <c r="A5748" s="422"/>
      <c r="B5748" s="461"/>
    </row>
    <row r="5749" spans="1:2">
      <c r="A5749" s="422"/>
      <c r="B5749" s="461"/>
    </row>
    <row r="5750" spans="1:2">
      <c r="A5750" s="422"/>
      <c r="B5750" s="461"/>
    </row>
    <row r="5751" spans="1:2">
      <c r="A5751" s="422"/>
      <c r="B5751" s="461"/>
    </row>
    <row r="5752" spans="1:2">
      <c r="A5752" s="422"/>
      <c r="B5752" s="461"/>
    </row>
    <row r="5753" spans="1:2">
      <c r="A5753" s="422"/>
      <c r="B5753" s="461"/>
    </row>
    <row r="5754" spans="1:2">
      <c r="A5754" s="422"/>
      <c r="B5754" s="461"/>
    </row>
    <row r="5755" spans="1:2">
      <c r="A5755" s="422"/>
      <c r="B5755" s="461"/>
    </row>
    <row r="5756" spans="1:2">
      <c r="A5756" s="422"/>
      <c r="B5756" s="461"/>
    </row>
    <row r="5757" spans="1:2">
      <c r="A5757" s="422"/>
      <c r="B5757" s="461"/>
    </row>
    <row r="5758" spans="1:2">
      <c r="A5758" s="422"/>
      <c r="B5758" s="461"/>
    </row>
    <row r="5759" spans="1:2">
      <c r="A5759" s="422"/>
      <c r="B5759" s="461"/>
    </row>
    <row r="5760" spans="1:2">
      <c r="A5760" s="422"/>
      <c r="B5760" s="461"/>
    </row>
    <row r="5761" spans="1:2">
      <c r="A5761" s="422"/>
      <c r="B5761" s="461"/>
    </row>
    <row r="5762" spans="1:2">
      <c r="A5762" s="422"/>
      <c r="B5762" s="461"/>
    </row>
    <row r="5763" spans="1:2">
      <c r="A5763" s="422"/>
      <c r="B5763" s="461"/>
    </row>
    <row r="5764" spans="1:2">
      <c r="A5764" s="422"/>
      <c r="B5764" s="461"/>
    </row>
    <row r="5765" spans="1:2">
      <c r="A5765" s="422"/>
      <c r="B5765" s="461"/>
    </row>
    <row r="5766" spans="1:2">
      <c r="A5766" s="422"/>
      <c r="B5766" s="461"/>
    </row>
    <row r="5767" spans="1:2">
      <c r="A5767" s="422"/>
      <c r="B5767" s="461"/>
    </row>
    <row r="5768" spans="1:2">
      <c r="A5768" s="422"/>
      <c r="B5768" s="461"/>
    </row>
    <row r="5769" spans="1:2">
      <c r="A5769" s="422"/>
      <c r="B5769" s="461"/>
    </row>
    <row r="5770" spans="1:2">
      <c r="A5770" s="422"/>
      <c r="B5770" s="461"/>
    </row>
    <row r="5771" spans="1:2">
      <c r="A5771" s="422"/>
      <c r="B5771" s="461"/>
    </row>
    <row r="5772" spans="1:2">
      <c r="A5772" s="422"/>
      <c r="B5772" s="461"/>
    </row>
    <row r="5773" spans="1:2">
      <c r="A5773" s="422"/>
      <c r="B5773" s="461"/>
    </row>
    <row r="5774" spans="1:2">
      <c r="A5774" s="422"/>
      <c r="B5774" s="461"/>
    </row>
    <row r="5775" spans="1:2">
      <c r="A5775" s="422"/>
      <c r="B5775" s="461"/>
    </row>
    <row r="5776" spans="1:2">
      <c r="A5776" s="422"/>
      <c r="B5776" s="461"/>
    </row>
    <row r="5777" spans="1:2">
      <c r="A5777" s="422"/>
      <c r="B5777" s="461"/>
    </row>
    <row r="5778" spans="1:2">
      <c r="A5778" s="422"/>
      <c r="B5778" s="461"/>
    </row>
    <row r="5779" spans="1:2">
      <c r="A5779" s="422"/>
      <c r="B5779" s="461"/>
    </row>
    <row r="5780" spans="1:2">
      <c r="A5780" s="422"/>
      <c r="B5780" s="461"/>
    </row>
    <row r="5781" spans="1:2">
      <c r="A5781" s="422"/>
      <c r="B5781" s="461"/>
    </row>
    <row r="5782" spans="1:2">
      <c r="A5782" s="422"/>
      <c r="B5782" s="461"/>
    </row>
    <row r="5783" spans="1:2">
      <c r="A5783" s="422"/>
      <c r="B5783" s="461"/>
    </row>
    <row r="5784" spans="1:2">
      <c r="A5784" s="422"/>
      <c r="B5784" s="461"/>
    </row>
    <row r="5785" spans="1:2">
      <c r="A5785" s="422"/>
      <c r="B5785" s="461"/>
    </row>
    <row r="5786" spans="1:2">
      <c r="A5786" s="422"/>
      <c r="B5786" s="461"/>
    </row>
    <row r="5787" spans="1:2">
      <c r="A5787" s="422"/>
      <c r="B5787" s="461"/>
    </row>
    <row r="5788" spans="1:2">
      <c r="A5788" s="422"/>
      <c r="B5788" s="461"/>
    </row>
    <row r="5789" spans="1:2">
      <c r="A5789" s="422"/>
      <c r="B5789" s="461"/>
    </row>
    <row r="5790" spans="1:2">
      <c r="A5790" s="422"/>
      <c r="B5790" s="461"/>
    </row>
    <row r="5791" spans="1:2">
      <c r="A5791" s="422"/>
      <c r="B5791" s="461"/>
    </row>
    <row r="5792" spans="1:2">
      <c r="A5792" s="422"/>
      <c r="B5792" s="461"/>
    </row>
    <row r="5793" spans="1:2">
      <c r="A5793" s="422"/>
      <c r="B5793" s="461"/>
    </row>
    <row r="5794" spans="1:2">
      <c r="A5794" s="422"/>
      <c r="B5794" s="461"/>
    </row>
    <row r="5795" spans="1:2">
      <c r="A5795" s="422"/>
      <c r="B5795" s="461"/>
    </row>
    <row r="5796" spans="1:2">
      <c r="A5796" s="422"/>
      <c r="B5796" s="461"/>
    </row>
    <row r="5797" spans="1:2">
      <c r="A5797" s="422"/>
      <c r="B5797" s="461"/>
    </row>
    <row r="5798" spans="1:2">
      <c r="A5798" s="422"/>
      <c r="B5798" s="461"/>
    </row>
    <row r="5799" spans="1:2">
      <c r="A5799" s="422"/>
      <c r="B5799" s="461"/>
    </row>
    <row r="5800" spans="1:2">
      <c r="A5800" s="422"/>
      <c r="B5800" s="461"/>
    </row>
    <row r="5801" spans="1:2">
      <c r="A5801" s="422"/>
      <c r="B5801" s="461"/>
    </row>
    <row r="5802" spans="1:2">
      <c r="A5802" s="422"/>
      <c r="B5802" s="461"/>
    </row>
    <row r="5803" spans="1:2">
      <c r="A5803" s="422"/>
      <c r="B5803" s="461"/>
    </row>
    <row r="5804" spans="1:2">
      <c r="A5804" s="422"/>
      <c r="B5804" s="461"/>
    </row>
    <row r="5805" spans="1:2">
      <c r="A5805" s="422"/>
      <c r="B5805" s="461"/>
    </row>
    <row r="5806" spans="1:2">
      <c r="A5806" s="422"/>
      <c r="B5806" s="461"/>
    </row>
    <row r="5807" spans="1:2">
      <c r="A5807" s="422"/>
      <c r="B5807" s="461"/>
    </row>
    <row r="5808" spans="1:2">
      <c r="A5808" s="422"/>
      <c r="B5808" s="461"/>
    </row>
    <row r="5809" spans="1:2">
      <c r="A5809" s="422"/>
      <c r="B5809" s="461"/>
    </row>
    <row r="5810" spans="1:2">
      <c r="A5810" s="422"/>
      <c r="B5810" s="461"/>
    </row>
    <row r="5811" spans="1:2">
      <c r="A5811" s="422"/>
      <c r="B5811" s="461"/>
    </row>
    <row r="5812" spans="1:2">
      <c r="A5812" s="422"/>
      <c r="B5812" s="461"/>
    </row>
    <row r="5813" spans="1:2">
      <c r="A5813" s="422"/>
      <c r="B5813" s="461"/>
    </row>
    <row r="5814" spans="1:2">
      <c r="A5814" s="422"/>
      <c r="B5814" s="461"/>
    </row>
    <row r="5815" spans="1:2">
      <c r="A5815" s="422"/>
      <c r="B5815" s="461"/>
    </row>
    <row r="5816" spans="1:2">
      <c r="A5816" s="422"/>
      <c r="B5816" s="461"/>
    </row>
    <row r="5817" spans="1:2">
      <c r="A5817" s="422"/>
      <c r="B5817" s="461"/>
    </row>
    <row r="5818" spans="1:2">
      <c r="A5818" s="422"/>
      <c r="B5818" s="461"/>
    </row>
    <row r="5819" spans="1:2">
      <c r="A5819" s="422"/>
      <c r="B5819" s="461"/>
    </row>
    <row r="5820" spans="1:2">
      <c r="A5820" s="422"/>
      <c r="B5820" s="461"/>
    </row>
    <row r="5821" spans="1:2">
      <c r="A5821" s="422"/>
      <c r="B5821" s="461"/>
    </row>
    <row r="5822" spans="1:2">
      <c r="A5822" s="422"/>
      <c r="B5822" s="461"/>
    </row>
    <row r="5823" spans="1:2">
      <c r="A5823" s="422"/>
      <c r="B5823" s="461"/>
    </row>
    <row r="5824" spans="1:2">
      <c r="A5824" s="422"/>
      <c r="B5824" s="461"/>
    </row>
    <row r="5825" spans="1:2">
      <c r="A5825" s="422"/>
      <c r="B5825" s="461"/>
    </row>
    <row r="5826" spans="1:2">
      <c r="A5826" s="422"/>
      <c r="B5826" s="461"/>
    </row>
    <row r="5827" spans="1:2">
      <c r="A5827" s="422"/>
      <c r="B5827" s="461"/>
    </row>
    <row r="5828" spans="1:2">
      <c r="A5828" s="422"/>
      <c r="B5828" s="461"/>
    </row>
    <row r="5829" spans="1:2">
      <c r="A5829" s="422"/>
      <c r="B5829" s="461"/>
    </row>
    <row r="5830" spans="1:2">
      <c r="A5830" s="422"/>
      <c r="B5830" s="461"/>
    </row>
    <row r="5831" spans="1:2">
      <c r="A5831" s="422"/>
      <c r="B5831" s="461"/>
    </row>
    <row r="5832" spans="1:2">
      <c r="A5832" s="422"/>
      <c r="B5832" s="461"/>
    </row>
    <row r="5833" spans="1:2">
      <c r="A5833" s="422"/>
      <c r="B5833" s="461"/>
    </row>
    <row r="5834" spans="1:2">
      <c r="A5834" s="422"/>
      <c r="B5834" s="461"/>
    </row>
    <row r="5835" spans="1:2">
      <c r="A5835" s="422"/>
      <c r="B5835" s="461"/>
    </row>
    <row r="5836" spans="1:2">
      <c r="A5836" s="422"/>
      <c r="B5836" s="461"/>
    </row>
    <row r="5837" spans="1:2">
      <c r="A5837" s="422"/>
      <c r="B5837" s="461"/>
    </row>
    <row r="5838" spans="1:2">
      <c r="A5838" s="422"/>
      <c r="B5838" s="461"/>
    </row>
    <row r="5839" spans="1:2">
      <c r="A5839" s="422"/>
      <c r="B5839" s="461"/>
    </row>
    <row r="5840" spans="1:2">
      <c r="A5840" s="422"/>
      <c r="B5840" s="461"/>
    </row>
    <row r="5841" spans="1:2">
      <c r="A5841" s="422"/>
      <c r="B5841" s="461"/>
    </row>
    <row r="5842" spans="1:2">
      <c r="A5842" s="422"/>
      <c r="B5842" s="461"/>
    </row>
    <row r="5843" spans="1:2">
      <c r="A5843" s="422"/>
      <c r="B5843" s="461"/>
    </row>
    <row r="5844" spans="1:2">
      <c r="A5844" s="422"/>
      <c r="B5844" s="461"/>
    </row>
    <row r="5845" spans="1:2">
      <c r="A5845" s="422"/>
      <c r="B5845" s="461"/>
    </row>
    <row r="5846" spans="1:2">
      <c r="A5846" s="422"/>
      <c r="B5846" s="461"/>
    </row>
    <row r="5847" spans="1:2">
      <c r="A5847" s="422"/>
      <c r="B5847" s="461"/>
    </row>
    <row r="5848" spans="1:2">
      <c r="A5848" s="422"/>
      <c r="B5848" s="461"/>
    </row>
    <row r="5849" spans="1:2">
      <c r="A5849" s="422"/>
      <c r="B5849" s="461"/>
    </row>
    <row r="5850" spans="1:2">
      <c r="A5850" s="422"/>
      <c r="B5850" s="461"/>
    </row>
    <row r="5851" spans="1:2">
      <c r="A5851" s="422"/>
      <c r="B5851" s="461"/>
    </row>
    <row r="5852" spans="1:2">
      <c r="A5852" s="422"/>
      <c r="B5852" s="461"/>
    </row>
    <row r="5853" spans="1:2">
      <c r="A5853" s="422"/>
      <c r="B5853" s="461"/>
    </row>
    <row r="5854" spans="1:2">
      <c r="A5854" s="422"/>
      <c r="B5854" s="461"/>
    </row>
    <row r="5855" spans="1:2">
      <c r="A5855" s="422"/>
      <c r="B5855" s="461"/>
    </row>
    <row r="5856" spans="1:2">
      <c r="A5856" s="422"/>
      <c r="B5856" s="461"/>
    </row>
    <row r="5857" spans="1:2">
      <c r="A5857" s="422"/>
      <c r="B5857" s="461"/>
    </row>
    <row r="5858" spans="1:2">
      <c r="A5858" s="422"/>
      <c r="B5858" s="461"/>
    </row>
    <row r="5859" spans="1:2">
      <c r="A5859" s="422"/>
      <c r="B5859" s="461"/>
    </row>
    <row r="5860" spans="1:2">
      <c r="A5860" s="422"/>
      <c r="B5860" s="461"/>
    </row>
    <row r="5861" spans="1:2">
      <c r="A5861" s="422"/>
      <c r="B5861" s="461"/>
    </row>
    <row r="5862" spans="1:2">
      <c r="A5862" s="422"/>
      <c r="B5862" s="461"/>
    </row>
    <row r="5863" spans="1:2">
      <c r="A5863" s="422"/>
      <c r="B5863" s="461"/>
    </row>
    <row r="5864" spans="1:2">
      <c r="A5864" s="422"/>
      <c r="B5864" s="461"/>
    </row>
    <row r="5865" spans="1:2">
      <c r="A5865" s="422"/>
      <c r="B5865" s="461"/>
    </row>
    <row r="5866" spans="1:2">
      <c r="A5866" s="422"/>
      <c r="B5866" s="461"/>
    </row>
    <row r="5867" spans="1:2">
      <c r="A5867" s="422"/>
      <c r="B5867" s="461"/>
    </row>
    <row r="5868" spans="1:2">
      <c r="A5868" s="422"/>
      <c r="B5868" s="461"/>
    </row>
    <row r="5869" spans="1:2">
      <c r="A5869" s="422"/>
      <c r="B5869" s="461"/>
    </row>
    <row r="5870" spans="1:2">
      <c r="A5870" s="422"/>
      <c r="B5870" s="461"/>
    </row>
    <row r="5871" spans="1:2">
      <c r="A5871" s="422"/>
      <c r="B5871" s="461"/>
    </row>
    <row r="5872" spans="1:2">
      <c r="A5872" s="422"/>
      <c r="B5872" s="461"/>
    </row>
    <row r="5873" spans="1:2">
      <c r="A5873" s="422"/>
      <c r="B5873" s="461"/>
    </row>
    <row r="5874" spans="1:2">
      <c r="A5874" s="422"/>
      <c r="B5874" s="461"/>
    </row>
    <row r="5875" spans="1:2">
      <c r="A5875" s="422"/>
      <c r="B5875" s="461"/>
    </row>
    <row r="5876" spans="1:2">
      <c r="A5876" s="422"/>
      <c r="B5876" s="461"/>
    </row>
    <row r="5877" spans="1:2">
      <c r="A5877" s="422"/>
      <c r="B5877" s="461"/>
    </row>
    <row r="5878" spans="1:2">
      <c r="A5878" s="422"/>
      <c r="B5878" s="461"/>
    </row>
    <row r="5879" spans="1:2">
      <c r="A5879" s="422"/>
      <c r="B5879" s="461"/>
    </row>
    <row r="5880" spans="1:2">
      <c r="A5880" s="422"/>
      <c r="B5880" s="461"/>
    </row>
    <row r="5881" spans="1:2">
      <c r="A5881" s="422"/>
      <c r="B5881" s="461"/>
    </row>
    <row r="5882" spans="1:2">
      <c r="A5882" s="422"/>
      <c r="B5882" s="461"/>
    </row>
    <row r="5883" spans="1:2">
      <c r="A5883" s="422"/>
      <c r="B5883" s="461"/>
    </row>
    <row r="5884" spans="1:2">
      <c r="A5884" s="422"/>
      <c r="B5884" s="461"/>
    </row>
    <row r="5885" spans="1:2">
      <c r="A5885" s="422"/>
      <c r="B5885" s="461"/>
    </row>
    <row r="5886" spans="1:2">
      <c r="A5886" s="422"/>
      <c r="B5886" s="461"/>
    </row>
    <row r="5887" spans="1:2">
      <c r="A5887" s="422"/>
      <c r="B5887" s="461"/>
    </row>
    <row r="5888" spans="1:2">
      <c r="A5888" s="422"/>
      <c r="B5888" s="461"/>
    </row>
    <row r="5889" spans="1:2">
      <c r="A5889" s="422"/>
      <c r="B5889" s="461"/>
    </row>
    <row r="5890" spans="1:2">
      <c r="A5890" s="422"/>
      <c r="B5890" s="461"/>
    </row>
    <row r="5891" spans="1:2">
      <c r="A5891" s="422"/>
      <c r="B5891" s="461"/>
    </row>
    <row r="5892" spans="1:2">
      <c r="A5892" s="422"/>
      <c r="B5892" s="461"/>
    </row>
    <row r="5893" spans="1:2">
      <c r="A5893" s="422"/>
      <c r="B5893" s="461"/>
    </row>
    <row r="5894" spans="1:2">
      <c r="A5894" s="422"/>
      <c r="B5894" s="461"/>
    </row>
    <row r="5895" spans="1:2">
      <c r="A5895" s="422"/>
      <c r="B5895" s="461"/>
    </row>
    <row r="5896" spans="1:2">
      <c r="A5896" s="422"/>
      <c r="B5896" s="461"/>
    </row>
    <row r="5897" spans="1:2">
      <c r="A5897" s="422"/>
      <c r="B5897" s="461"/>
    </row>
    <row r="5898" spans="1:2">
      <c r="A5898" s="422"/>
      <c r="B5898" s="461"/>
    </row>
    <row r="5899" spans="1:2">
      <c r="A5899" s="422"/>
      <c r="B5899" s="461"/>
    </row>
    <row r="5900" spans="1:2">
      <c r="A5900" s="422"/>
      <c r="B5900" s="461"/>
    </row>
    <row r="5901" spans="1:2">
      <c r="A5901" s="422"/>
      <c r="B5901" s="461"/>
    </row>
    <row r="5902" spans="1:2">
      <c r="A5902" s="422"/>
      <c r="B5902" s="461"/>
    </row>
    <row r="5903" spans="1:2">
      <c r="A5903" s="422"/>
      <c r="B5903" s="461"/>
    </row>
    <row r="5904" spans="1:2">
      <c r="A5904" s="422"/>
      <c r="B5904" s="461"/>
    </row>
    <row r="5905" spans="1:2">
      <c r="A5905" s="422"/>
      <c r="B5905" s="461"/>
    </row>
    <row r="5906" spans="1:2">
      <c r="A5906" s="422"/>
      <c r="B5906" s="461"/>
    </row>
    <row r="5907" spans="1:2">
      <c r="A5907" s="422"/>
      <c r="B5907" s="461"/>
    </row>
    <row r="5908" spans="1:2">
      <c r="A5908" s="422"/>
      <c r="B5908" s="461"/>
    </row>
    <row r="5909" spans="1:2">
      <c r="A5909" s="422"/>
      <c r="B5909" s="461"/>
    </row>
    <row r="5910" spans="1:2">
      <c r="A5910" s="422"/>
      <c r="B5910" s="461"/>
    </row>
    <row r="5911" spans="1:2">
      <c r="A5911" s="422"/>
      <c r="B5911" s="461"/>
    </row>
    <row r="5912" spans="1:2">
      <c r="A5912" s="422"/>
      <c r="B5912" s="461"/>
    </row>
    <row r="5913" spans="1:2">
      <c r="A5913" s="422"/>
      <c r="B5913" s="461"/>
    </row>
    <row r="5914" spans="1:2">
      <c r="A5914" s="422"/>
      <c r="B5914" s="461"/>
    </row>
    <row r="5915" spans="1:2">
      <c r="A5915" s="422"/>
      <c r="B5915" s="461"/>
    </row>
    <row r="5916" spans="1:2">
      <c r="A5916" s="422"/>
      <c r="B5916" s="461"/>
    </row>
    <row r="5917" spans="1:2">
      <c r="A5917" s="422"/>
      <c r="B5917" s="461"/>
    </row>
    <row r="5918" spans="1:2">
      <c r="A5918" s="422"/>
      <c r="B5918" s="461"/>
    </row>
    <row r="5919" spans="1:2">
      <c r="A5919" s="422"/>
      <c r="B5919" s="461"/>
    </row>
    <row r="5920" spans="1:2">
      <c r="A5920" s="422"/>
      <c r="B5920" s="461"/>
    </row>
    <row r="5921" spans="1:2">
      <c r="A5921" s="422"/>
      <c r="B5921" s="461"/>
    </row>
    <row r="5922" spans="1:2">
      <c r="A5922" s="422"/>
      <c r="B5922" s="461"/>
    </row>
    <row r="5923" spans="1:2">
      <c r="A5923" s="422"/>
      <c r="B5923" s="461"/>
    </row>
    <row r="5924" spans="1:2">
      <c r="A5924" s="422"/>
      <c r="B5924" s="461"/>
    </row>
    <row r="5925" spans="1:2">
      <c r="A5925" s="422"/>
      <c r="B5925" s="461"/>
    </row>
    <row r="5926" spans="1:2">
      <c r="A5926" s="422"/>
      <c r="B5926" s="461"/>
    </row>
    <row r="5927" spans="1:2">
      <c r="A5927" s="422"/>
      <c r="B5927" s="461"/>
    </row>
    <row r="5928" spans="1:2">
      <c r="A5928" s="422"/>
      <c r="B5928" s="461"/>
    </row>
    <row r="5929" spans="1:2">
      <c r="A5929" s="422"/>
      <c r="B5929" s="461"/>
    </row>
    <row r="5930" spans="1:2">
      <c r="A5930" s="422"/>
      <c r="B5930" s="461"/>
    </row>
    <row r="5931" spans="1:2">
      <c r="A5931" s="422"/>
      <c r="B5931" s="461"/>
    </row>
    <row r="5932" spans="1:2">
      <c r="A5932" s="422"/>
      <c r="B5932" s="461"/>
    </row>
    <row r="5933" spans="1:2">
      <c r="A5933" s="422"/>
      <c r="B5933" s="461"/>
    </row>
    <row r="5934" spans="1:2">
      <c r="A5934" s="422"/>
      <c r="B5934" s="461"/>
    </row>
    <row r="5935" spans="1:2">
      <c r="A5935" s="422"/>
      <c r="B5935" s="461"/>
    </row>
    <row r="5936" spans="1:2">
      <c r="A5936" s="422"/>
      <c r="B5936" s="461"/>
    </row>
    <row r="5937" spans="1:2">
      <c r="A5937" s="422"/>
      <c r="B5937" s="461"/>
    </row>
    <row r="5938" spans="1:2">
      <c r="A5938" s="422"/>
      <c r="B5938" s="461"/>
    </row>
    <row r="5939" spans="1:2">
      <c r="A5939" s="422"/>
      <c r="B5939" s="461"/>
    </row>
    <row r="5940" spans="1:2">
      <c r="A5940" s="422"/>
      <c r="B5940" s="461"/>
    </row>
    <row r="5941" spans="1:2">
      <c r="A5941" s="422"/>
      <c r="B5941" s="461"/>
    </row>
    <row r="5942" spans="1:2">
      <c r="A5942" s="422"/>
      <c r="B5942" s="461"/>
    </row>
    <row r="5943" spans="1:2">
      <c r="A5943" s="422"/>
      <c r="B5943" s="461"/>
    </row>
    <row r="5944" spans="1:2">
      <c r="A5944" s="422"/>
      <c r="B5944" s="461"/>
    </row>
    <row r="5945" spans="1:2">
      <c r="A5945" s="422"/>
      <c r="B5945" s="461"/>
    </row>
    <row r="5946" spans="1:2">
      <c r="A5946" s="422"/>
      <c r="B5946" s="461"/>
    </row>
    <row r="5947" spans="1:2">
      <c r="A5947" s="422"/>
      <c r="B5947" s="461"/>
    </row>
    <row r="5948" spans="1:2">
      <c r="A5948" s="422"/>
      <c r="B5948" s="461"/>
    </row>
    <row r="5949" spans="1:2">
      <c r="A5949" s="422"/>
      <c r="B5949" s="461"/>
    </row>
    <row r="5950" spans="1:2">
      <c r="A5950" s="422"/>
      <c r="B5950" s="461"/>
    </row>
    <row r="5951" spans="1:2">
      <c r="A5951" s="422"/>
      <c r="B5951" s="461"/>
    </row>
    <row r="5952" spans="1:2">
      <c r="A5952" s="422"/>
      <c r="B5952" s="461"/>
    </row>
    <row r="5953" spans="1:2">
      <c r="A5953" s="422"/>
      <c r="B5953" s="461"/>
    </row>
    <row r="5954" spans="1:2">
      <c r="A5954" s="422"/>
      <c r="B5954" s="461"/>
    </row>
    <row r="5955" spans="1:2">
      <c r="A5955" s="422"/>
      <c r="B5955" s="461"/>
    </row>
    <row r="5956" spans="1:2">
      <c r="A5956" s="422"/>
      <c r="B5956" s="461"/>
    </row>
    <row r="5957" spans="1:2">
      <c r="A5957" s="422"/>
      <c r="B5957" s="461"/>
    </row>
    <row r="5958" spans="1:2">
      <c r="A5958" s="422"/>
      <c r="B5958" s="461"/>
    </row>
    <row r="5959" spans="1:2">
      <c r="A5959" s="422"/>
      <c r="B5959" s="461"/>
    </row>
    <row r="5960" spans="1:2">
      <c r="A5960" s="422"/>
      <c r="B5960" s="461"/>
    </row>
    <row r="5961" spans="1:2">
      <c r="A5961" s="422"/>
      <c r="B5961" s="461"/>
    </row>
    <row r="5962" spans="1:2">
      <c r="A5962" s="422"/>
      <c r="B5962" s="461"/>
    </row>
    <row r="5963" spans="1:2">
      <c r="A5963" s="422"/>
      <c r="B5963" s="461"/>
    </row>
    <row r="5964" spans="1:2">
      <c r="A5964" s="422"/>
      <c r="B5964" s="461"/>
    </row>
    <row r="5965" spans="1:2">
      <c r="A5965" s="422"/>
      <c r="B5965" s="461"/>
    </row>
    <row r="5966" spans="1:2">
      <c r="A5966" s="422"/>
      <c r="B5966" s="461"/>
    </row>
    <row r="5967" spans="1:2">
      <c r="A5967" s="422"/>
      <c r="B5967" s="461"/>
    </row>
    <row r="5968" spans="1:2">
      <c r="A5968" s="422"/>
      <c r="B5968" s="461"/>
    </row>
    <row r="5969" spans="1:2">
      <c r="A5969" s="422"/>
      <c r="B5969" s="461"/>
    </row>
    <row r="5970" spans="1:2">
      <c r="A5970" s="422"/>
      <c r="B5970" s="461"/>
    </row>
    <row r="5971" spans="1:2">
      <c r="A5971" s="422"/>
      <c r="B5971" s="461"/>
    </row>
    <row r="5972" spans="1:2">
      <c r="A5972" s="422"/>
      <c r="B5972" s="461"/>
    </row>
    <row r="5973" spans="1:2">
      <c r="A5973" s="422"/>
      <c r="B5973" s="461"/>
    </row>
    <row r="5974" spans="1:2">
      <c r="A5974" s="422"/>
      <c r="B5974" s="461"/>
    </row>
    <row r="5975" spans="1:2">
      <c r="A5975" s="422"/>
      <c r="B5975" s="461"/>
    </row>
    <row r="5976" spans="1:2">
      <c r="A5976" s="422"/>
      <c r="B5976" s="461"/>
    </row>
    <row r="5977" spans="1:2">
      <c r="A5977" s="422"/>
      <c r="B5977" s="461"/>
    </row>
    <row r="5978" spans="1:2">
      <c r="A5978" s="422"/>
      <c r="B5978" s="461"/>
    </row>
    <row r="5979" spans="1:2">
      <c r="A5979" s="422"/>
      <c r="B5979" s="461"/>
    </row>
    <row r="5980" spans="1:2">
      <c r="A5980" s="422"/>
      <c r="B5980" s="461"/>
    </row>
    <row r="5981" spans="1:2">
      <c r="A5981" s="422"/>
      <c r="B5981" s="461"/>
    </row>
    <row r="5982" spans="1:2">
      <c r="A5982" s="422"/>
      <c r="B5982" s="461"/>
    </row>
    <row r="5983" spans="1:2">
      <c r="A5983" s="422"/>
      <c r="B5983" s="461"/>
    </row>
    <row r="5984" spans="1:2">
      <c r="A5984" s="422"/>
      <c r="B5984" s="461"/>
    </row>
    <row r="5985" spans="1:2">
      <c r="A5985" s="422"/>
      <c r="B5985" s="461"/>
    </row>
    <row r="5986" spans="1:2">
      <c r="A5986" s="422"/>
      <c r="B5986" s="461"/>
    </row>
    <row r="5987" spans="1:2">
      <c r="A5987" s="422"/>
      <c r="B5987" s="461"/>
    </row>
    <row r="5988" spans="1:2">
      <c r="A5988" s="422"/>
      <c r="B5988" s="461"/>
    </row>
    <row r="5989" spans="1:2">
      <c r="A5989" s="422"/>
      <c r="B5989" s="461"/>
    </row>
    <row r="5990" spans="1:2">
      <c r="A5990" s="422"/>
      <c r="B5990" s="461"/>
    </row>
    <row r="5991" spans="1:2">
      <c r="A5991" s="422"/>
      <c r="B5991" s="461"/>
    </row>
    <row r="5992" spans="1:2">
      <c r="A5992" s="422"/>
      <c r="B5992" s="461"/>
    </row>
    <row r="5993" spans="1:2">
      <c r="A5993" s="422"/>
      <c r="B5993" s="461"/>
    </row>
    <row r="5994" spans="1:2">
      <c r="A5994" s="422"/>
      <c r="B5994" s="461"/>
    </row>
    <row r="5995" spans="1:2">
      <c r="A5995" s="422"/>
      <c r="B5995" s="461"/>
    </row>
    <row r="5996" spans="1:2">
      <c r="A5996" s="422"/>
      <c r="B5996" s="461"/>
    </row>
    <row r="5997" spans="1:2">
      <c r="A5997" s="422"/>
      <c r="B5997" s="461"/>
    </row>
    <row r="5998" spans="1:2">
      <c r="A5998" s="422"/>
      <c r="B5998" s="461"/>
    </row>
    <row r="5999" spans="1:2">
      <c r="A5999" s="422"/>
      <c r="B5999" s="461"/>
    </row>
    <row r="6000" spans="1:2">
      <c r="A6000" s="422"/>
      <c r="B6000" s="461"/>
    </row>
    <row r="6001" spans="1:2">
      <c r="A6001" s="422"/>
      <c r="B6001" s="461"/>
    </row>
    <row r="6002" spans="1:2">
      <c r="A6002" s="422"/>
      <c r="B6002" s="461"/>
    </row>
    <row r="6003" spans="1:2">
      <c r="A6003" s="422"/>
      <c r="B6003" s="461"/>
    </row>
    <row r="6004" spans="1:2">
      <c r="A6004" s="422"/>
      <c r="B6004" s="461"/>
    </row>
    <row r="6005" spans="1:2">
      <c r="A6005" s="422"/>
      <c r="B6005" s="461"/>
    </row>
    <row r="6006" spans="1:2">
      <c r="A6006" s="422"/>
      <c r="B6006" s="461"/>
    </row>
    <row r="6007" spans="1:2">
      <c r="A6007" s="422"/>
      <c r="B6007" s="461"/>
    </row>
    <row r="6008" spans="1:2">
      <c r="A6008" s="422"/>
      <c r="B6008" s="461"/>
    </row>
    <row r="6009" spans="1:2">
      <c r="A6009" s="422"/>
      <c r="B6009" s="461"/>
    </row>
    <row r="6010" spans="1:2">
      <c r="A6010" s="422"/>
      <c r="B6010" s="461"/>
    </row>
    <row r="6011" spans="1:2">
      <c r="A6011" s="422"/>
      <c r="B6011" s="461"/>
    </row>
    <row r="6012" spans="1:2">
      <c r="A6012" s="422"/>
      <c r="B6012" s="461"/>
    </row>
    <row r="6013" spans="1:2">
      <c r="A6013" s="422"/>
      <c r="B6013" s="461"/>
    </row>
    <row r="6014" spans="1:2">
      <c r="A6014" s="422"/>
      <c r="B6014" s="461"/>
    </row>
    <row r="6015" spans="1:2">
      <c r="A6015" s="422"/>
      <c r="B6015" s="461"/>
    </row>
    <row r="6016" spans="1:2">
      <c r="A6016" s="422"/>
      <c r="B6016" s="461"/>
    </row>
    <row r="6017" spans="1:2">
      <c r="A6017" s="422"/>
      <c r="B6017" s="461"/>
    </row>
    <row r="6018" spans="1:2">
      <c r="A6018" s="422"/>
      <c r="B6018" s="461"/>
    </row>
    <row r="6019" spans="1:2">
      <c r="A6019" s="422"/>
      <c r="B6019" s="461"/>
    </row>
    <row r="6020" spans="1:2">
      <c r="A6020" s="422"/>
      <c r="B6020" s="461"/>
    </row>
    <row r="6021" spans="1:2">
      <c r="A6021" s="422"/>
      <c r="B6021" s="461"/>
    </row>
    <row r="6022" spans="1:2">
      <c r="A6022" s="422"/>
      <c r="B6022" s="461"/>
    </row>
    <row r="6023" spans="1:2">
      <c r="A6023" s="422"/>
      <c r="B6023" s="461"/>
    </row>
    <row r="6024" spans="1:2">
      <c r="A6024" s="422"/>
      <c r="B6024" s="461"/>
    </row>
    <row r="6025" spans="1:2">
      <c r="A6025" s="422"/>
      <c r="B6025" s="461"/>
    </row>
    <row r="6026" spans="1:2">
      <c r="A6026" s="422"/>
      <c r="B6026" s="461"/>
    </row>
    <row r="6027" spans="1:2">
      <c r="A6027" s="422"/>
      <c r="B6027" s="461"/>
    </row>
    <row r="6028" spans="1:2">
      <c r="A6028" s="422"/>
      <c r="B6028" s="461"/>
    </row>
    <row r="6029" spans="1:2">
      <c r="A6029" s="422"/>
      <c r="B6029" s="461"/>
    </row>
    <row r="6030" spans="1:2">
      <c r="A6030" s="422"/>
      <c r="B6030" s="461"/>
    </row>
    <row r="6031" spans="1:2">
      <c r="A6031" s="422"/>
      <c r="B6031" s="461"/>
    </row>
    <row r="6032" spans="1:2">
      <c r="A6032" s="422"/>
      <c r="B6032" s="461"/>
    </row>
    <row r="6033" spans="1:2">
      <c r="A6033" s="422"/>
      <c r="B6033" s="461"/>
    </row>
    <row r="6034" spans="1:2">
      <c r="A6034" s="422"/>
      <c r="B6034" s="461"/>
    </row>
    <row r="6035" spans="1:2">
      <c r="A6035" s="422"/>
      <c r="B6035" s="461"/>
    </row>
    <row r="6036" spans="1:2">
      <c r="A6036" s="422"/>
      <c r="B6036" s="461"/>
    </row>
    <row r="6037" spans="1:2">
      <c r="A6037" s="422"/>
      <c r="B6037" s="461"/>
    </row>
    <row r="6038" spans="1:2">
      <c r="A6038" s="422"/>
      <c r="B6038" s="461"/>
    </row>
    <row r="6039" spans="1:2">
      <c r="A6039" s="422"/>
      <c r="B6039" s="461"/>
    </row>
    <row r="6040" spans="1:2">
      <c r="A6040" s="422"/>
      <c r="B6040" s="461"/>
    </row>
    <row r="6041" spans="1:2">
      <c r="A6041" s="422"/>
      <c r="B6041" s="461"/>
    </row>
    <row r="6042" spans="1:2">
      <c r="A6042" s="422"/>
      <c r="B6042" s="461"/>
    </row>
    <row r="6043" spans="1:2">
      <c r="A6043" s="422"/>
      <c r="B6043" s="461"/>
    </row>
    <row r="6044" spans="1:2">
      <c r="A6044" s="422"/>
      <c r="B6044" s="461"/>
    </row>
    <row r="6045" spans="1:2">
      <c r="A6045" s="422"/>
      <c r="B6045" s="461"/>
    </row>
    <row r="6046" spans="1:2">
      <c r="A6046" s="422"/>
      <c r="B6046" s="461"/>
    </row>
    <row r="6047" spans="1:2">
      <c r="A6047" s="422"/>
      <c r="B6047" s="461"/>
    </row>
    <row r="6048" spans="1:2">
      <c r="A6048" s="422"/>
      <c r="B6048" s="461"/>
    </row>
    <row r="6049" spans="1:2">
      <c r="A6049" s="422"/>
      <c r="B6049" s="461"/>
    </row>
    <row r="6050" spans="1:2">
      <c r="A6050" s="422"/>
      <c r="B6050" s="461"/>
    </row>
    <row r="6051" spans="1:2">
      <c r="A6051" s="422"/>
      <c r="B6051" s="461"/>
    </row>
    <row r="6052" spans="1:2">
      <c r="A6052" s="422"/>
      <c r="B6052" s="461"/>
    </row>
    <row r="6053" spans="1:2">
      <c r="A6053" s="422"/>
      <c r="B6053" s="461"/>
    </row>
    <row r="6054" spans="1:2">
      <c r="A6054" s="422"/>
      <c r="B6054" s="461"/>
    </row>
    <row r="6055" spans="1:2">
      <c r="A6055" s="422"/>
      <c r="B6055" s="461"/>
    </row>
    <row r="6056" spans="1:2">
      <c r="A6056" s="422"/>
      <c r="B6056" s="461"/>
    </row>
    <row r="6057" spans="1:2">
      <c r="A6057" s="422"/>
      <c r="B6057" s="461"/>
    </row>
    <row r="6058" spans="1:2">
      <c r="A6058" s="422"/>
      <c r="B6058" s="461"/>
    </row>
    <row r="6059" spans="1:2">
      <c r="A6059" s="422"/>
      <c r="B6059" s="461"/>
    </row>
    <row r="6060" spans="1:2">
      <c r="A6060" s="422"/>
      <c r="B6060" s="461"/>
    </row>
    <row r="6061" spans="1:2">
      <c r="A6061" s="422"/>
      <c r="B6061" s="461"/>
    </row>
    <row r="6062" spans="1:2">
      <c r="A6062" s="422"/>
      <c r="B6062" s="461"/>
    </row>
    <row r="6063" spans="1:2">
      <c r="A6063" s="422"/>
      <c r="B6063" s="461"/>
    </row>
    <row r="6064" spans="1:2">
      <c r="A6064" s="422"/>
      <c r="B6064" s="461"/>
    </row>
    <row r="6065" spans="1:2">
      <c r="A6065" s="422"/>
      <c r="B6065" s="461"/>
    </row>
    <row r="6066" spans="1:2">
      <c r="A6066" s="422"/>
      <c r="B6066" s="461"/>
    </row>
    <row r="6067" spans="1:2">
      <c r="A6067" s="422"/>
      <c r="B6067" s="461"/>
    </row>
    <row r="6068" spans="1:2">
      <c r="A6068" s="422"/>
      <c r="B6068" s="461"/>
    </row>
    <row r="6069" spans="1:2">
      <c r="A6069" s="422"/>
      <c r="B6069" s="461"/>
    </row>
    <row r="6070" spans="1:2">
      <c r="A6070" s="422"/>
      <c r="B6070" s="461"/>
    </row>
    <row r="6071" spans="1:2">
      <c r="A6071" s="422"/>
      <c r="B6071" s="461"/>
    </row>
    <row r="6072" spans="1:2">
      <c r="A6072" s="422"/>
      <c r="B6072" s="461"/>
    </row>
    <row r="6073" spans="1:2">
      <c r="A6073" s="422"/>
      <c r="B6073" s="461"/>
    </row>
    <row r="6074" spans="1:2">
      <c r="A6074" s="422"/>
      <c r="B6074" s="461"/>
    </row>
    <row r="6075" spans="1:2">
      <c r="A6075" s="422"/>
      <c r="B6075" s="461"/>
    </row>
    <row r="6076" spans="1:2">
      <c r="A6076" s="422"/>
      <c r="B6076" s="461"/>
    </row>
    <row r="6077" spans="1:2">
      <c r="A6077" s="422"/>
      <c r="B6077" s="461"/>
    </row>
    <row r="6078" spans="1:2">
      <c r="A6078" s="422"/>
      <c r="B6078" s="461"/>
    </row>
    <row r="6079" spans="1:2">
      <c r="A6079" s="422"/>
      <c r="B6079" s="461"/>
    </row>
    <row r="6080" spans="1:2">
      <c r="A6080" s="422"/>
      <c r="B6080" s="461"/>
    </row>
    <row r="6081" spans="1:2">
      <c r="A6081" s="422"/>
      <c r="B6081" s="461"/>
    </row>
    <row r="6082" spans="1:2">
      <c r="A6082" s="422"/>
      <c r="B6082" s="461"/>
    </row>
    <row r="6083" spans="1:2">
      <c r="A6083" s="422"/>
      <c r="B6083" s="461"/>
    </row>
    <row r="6084" spans="1:2">
      <c r="A6084" s="422"/>
      <c r="B6084" s="461"/>
    </row>
    <row r="6085" spans="1:2">
      <c r="A6085" s="422"/>
      <c r="B6085" s="461"/>
    </row>
    <row r="6086" spans="1:2">
      <c r="A6086" s="422"/>
      <c r="B6086" s="461"/>
    </row>
    <row r="6087" spans="1:2">
      <c r="A6087" s="422"/>
      <c r="B6087" s="461"/>
    </row>
    <row r="6088" spans="1:2">
      <c r="A6088" s="422"/>
      <c r="B6088" s="461"/>
    </row>
    <row r="6089" spans="1:2">
      <c r="A6089" s="422"/>
      <c r="B6089" s="461"/>
    </row>
    <row r="6090" spans="1:2">
      <c r="A6090" s="422"/>
      <c r="B6090" s="461"/>
    </row>
    <row r="6091" spans="1:2">
      <c r="A6091" s="422"/>
      <c r="B6091" s="461"/>
    </row>
    <row r="6092" spans="1:2">
      <c r="A6092" s="422"/>
      <c r="B6092" s="461"/>
    </row>
    <row r="6093" spans="1:2">
      <c r="A6093" s="422"/>
      <c r="B6093" s="461"/>
    </row>
    <row r="6094" spans="1:2">
      <c r="A6094" s="422"/>
      <c r="B6094" s="461"/>
    </row>
    <row r="6095" spans="1:2">
      <c r="A6095" s="422"/>
      <c r="B6095" s="461"/>
    </row>
    <row r="6096" spans="1:2">
      <c r="A6096" s="422"/>
      <c r="B6096" s="461"/>
    </row>
    <row r="6097" spans="1:2">
      <c r="A6097" s="422"/>
      <c r="B6097" s="461"/>
    </row>
    <row r="6098" spans="1:2">
      <c r="A6098" s="422"/>
      <c r="B6098" s="461"/>
    </row>
    <row r="6099" spans="1:2">
      <c r="A6099" s="422"/>
      <c r="B6099" s="461"/>
    </row>
    <row r="6100" spans="1:2">
      <c r="A6100" s="422"/>
      <c r="B6100" s="461"/>
    </row>
    <row r="6101" spans="1:2">
      <c r="A6101" s="422"/>
      <c r="B6101" s="461"/>
    </row>
    <row r="6102" spans="1:2">
      <c r="A6102" s="422"/>
      <c r="B6102" s="461"/>
    </row>
    <row r="6103" spans="1:2">
      <c r="A6103" s="422"/>
      <c r="B6103" s="461"/>
    </row>
    <row r="6104" spans="1:2">
      <c r="A6104" s="422"/>
      <c r="B6104" s="461"/>
    </row>
    <row r="6105" spans="1:2">
      <c r="A6105" s="422"/>
      <c r="B6105" s="461"/>
    </row>
    <row r="6106" spans="1:2">
      <c r="A6106" s="422"/>
      <c r="B6106" s="461"/>
    </row>
    <row r="6107" spans="1:2">
      <c r="A6107" s="422"/>
      <c r="B6107" s="461"/>
    </row>
    <row r="6108" spans="1:2">
      <c r="A6108" s="422"/>
      <c r="B6108" s="461"/>
    </row>
    <row r="6109" spans="1:2">
      <c r="A6109" s="422"/>
      <c r="B6109" s="461"/>
    </row>
    <row r="6110" spans="1:2">
      <c r="A6110" s="422"/>
      <c r="B6110" s="461"/>
    </row>
    <row r="6111" spans="1:2">
      <c r="A6111" s="422"/>
      <c r="B6111" s="461"/>
    </row>
    <row r="6112" spans="1:2">
      <c r="A6112" s="422"/>
      <c r="B6112" s="461"/>
    </row>
    <row r="6113" spans="1:2">
      <c r="A6113" s="422"/>
      <c r="B6113" s="461"/>
    </row>
    <row r="6114" spans="1:2">
      <c r="A6114" s="422"/>
      <c r="B6114" s="461"/>
    </row>
    <row r="6115" spans="1:2">
      <c r="A6115" s="422"/>
      <c r="B6115" s="461"/>
    </row>
    <row r="6116" spans="1:2">
      <c r="A6116" s="422"/>
      <c r="B6116" s="461"/>
    </row>
    <row r="6117" spans="1:2">
      <c r="A6117" s="422"/>
      <c r="B6117" s="461"/>
    </row>
    <row r="6118" spans="1:2">
      <c r="A6118" s="422"/>
      <c r="B6118" s="461"/>
    </row>
    <row r="6119" spans="1:2">
      <c r="A6119" s="422"/>
      <c r="B6119" s="461"/>
    </row>
    <row r="6120" spans="1:2">
      <c r="A6120" s="422"/>
      <c r="B6120" s="461"/>
    </row>
    <row r="6121" spans="1:2">
      <c r="A6121" s="422"/>
      <c r="B6121" s="461"/>
    </row>
    <row r="6122" spans="1:2">
      <c r="A6122" s="422"/>
      <c r="B6122" s="461"/>
    </row>
    <row r="6123" spans="1:2">
      <c r="A6123" s="422"/>
      <c r="B6123" s="461"/>
    </row>
    <row r="6124" spans="1:2">
      <c r="A6124" s="422"/>
      <c r="B6124" s="461"/>
    </row>
    <row r="6125" spans="1:2">
      <c r="A6125" s="422"/>
      <c r="B6125" s="461"/>
    </row>
    <row r="6126" spans="1:2">
      <c r="A6126" s="422"/>
      <c r="B6126" s="461"/>
    </row>
    <row r="6127" spans="1:2">
      <c r="A6127" s="422"/>
      <c r="B6127" s="461"/>
    </row>
    <row r="6128" spans="1:2">
      <c r="A6128" s="422"/>
      <c r="B6128" s="461"/>
    </row>
    <row r="6129" spans="1:2">
      <c r="A6129" s="422"/>
      <c r="B6129" s="461"/>
    </row>
    <row r="6130" spans="1:2">
      <c r="A6130" s="422"/>
      <c r="B6130" s="461"/>
    </row>
    <row r="6131" spans="1:2">
      <c r="A6131" s="422"/>
      <c r="B6131" s="461"/>
    </row>
    <row r="6132" spans="1:2">
      <c r="A6132" s="422"/>
      <c r="B6132" s="461"/>
    </row>
    <row r="6133" spans="1:2">
      <c r="A6133" s="422"/>
      <c r="B6133" s="461"/>
    </row>
    <row r="6134" spans="1:2">
      <c r="A6134" s="422"/>
      <c r="B6134" s="461"/>
    </row>
    <row r="6135" spans="1:2">
      <c r="A6135" s="422"/>
      <c r="B6135" s="461"/>
    </row>
    <row r="6136" spans="1:2">
      <c r="A6136" s="422"/>
      <c r="B6136" s="461"/>
    </row>
    <row r="6137" spans="1:2">
      <c r="A6137" s="422"/>
      <c r="B6137" s="461"/>
    </row>
    <row r="6138" spans="1:2">
      <c r="A6138" s="422"/>
      <c r="B6138" s="461"/>
    </row>
    <row r="6139" spans="1:2">
      <c r="A6139" s="422"/>
      <c r="B6139" s="461"/>
    </row>
    <row r="6140" spans="1:2">
      <c r="A6140" s="422"/>
      <c r="B6140" s="461"/>
    </row>
    <row r="6141" spans="1:2">
      <c r="A6141" s="422"/>
      <c r="B6141" s="461"/>
    </row>
    <row r="6142" spans="1:2">
      <c r="A6142" s="422"/>
      <c r="B6142" s="461"/>
    </row>
    <row r="6143" spans="1:2">
      <c r="A6143" s="422"/>
      <c r="B6143" s="461"/>
    </row>
    <row r="6144" spans="1:2">
      <c r="A6144" s="422"/>
      <c r="B6144" s="461"/>
    </row>
    <row r="6145" spans="1:2">
      <c r="A6145" s="422"/>
      <c r="B6145" s="461"/>
    </row>
    <row r="6146" spans="1:2">
      <c r="A6146" s="422"/>
      <c r="B6146" s="461"/>
    </row>
    <row r="6147" spans="1:2">
      <c r="A6147" s="422"/>
      <c r="B6147" s="461"/>
    </row>
    <row r="6148" spans="1:2">
      <c r="A6148" s="422"/>
      <c r="B6148" s="461"/>
    </row>
    <row r="6149" spans="1:2">
      <c r="A6149" s="422"/>
      <c r="B6149" s="461"/>
    </row>
    <row r="6150" spans="1:2">
      <c r="A6150" s="422"/>
      <c r="B6150" s="461"/>
    </row>
    <row r="6151" spans="1:2">
      <c r="A6151" s="422"/>
      <c r="B6151" s="461"/>
    </row>
    <row r="6152" spans="1:2">
      <c r="A6152" s="422"/>
      <c r="B6152" s="461"/>
    </row>
    <row r="6153" spans="1:2">
      <c r="A6153" s="422"/>
      <c r="B6153" s="461"/>
    </row>
    <row r="6154" spans="1:2">
      <c r="A6154" s="422"/>
      <c r="B6154" s="461"/>
    </row>
    <row r="6155" spans="1:2">
      <c r="A6155" s="422"/>
      <c r="B6155" s="461"/>
    </row>
    <row r="6156" spans="1:2">
      <c r="A6156" s="422"/>
      <c r="B6156" s="461"/>
    </row>
    <row r="6157" spans="1:2">
      <c r="A6157" s="422"/>
      <c r="B6157" s="461"/>
    </row>
    <row r="6158" spans="1:2">
      <c r="A6158" s="422"/>
      <c r="B6158" s="461"/>
    </row>
    <row r="6159" spans="1:2">
      <c r="A6159" s="422"/>
      <c r="B6159" s="461"/>
    </row>
    <row r="6160" spans="1:2">
      <c r="A6160" s="422"/>
      <c r="B6160" s="461"/>
    </row>
    <row r="6161" spans="1:2">
      <c r="A6161" s="422"/>
      <c r="B6161" s="461"/>
    </row>
    <row r="6162" spans="1:2">
      <c r="A6162" s="422"/>
      <c r="B6162" s="461"/>
    </row>
    <row r="6163" spans="1:2">
      <c r="A6163" s="422"/>
      <c r="B6163" s="461"/>
    </row>
    <row r="6164" spans="1:2">
      <c r="A6164" s="422"/>
      <c r="B6164" s="461"/>
    </row>
    <row r="6165" spans="1:2">
      <c r="A6165" s="422"/>
      <c r="B6165" s="461"/>
    </row>
    <row r="6166" spans="1:2">
      <c r="A6166" s="422"/>
      <c r="B6166" s="461"/>
    </row>
    <row r="6167" spans="1:2">
      <c r="A6167" s="422"/>
      <c r="B6167" s="461"/>
    </row>
    <row r="6168" spans="1:2">
      <c r="A6168" s="422"/>
      <c r="B6168" s="461"/>
    </row>
    <row r="6169" spans="1:2">
      <c r="A6169" s="422"/>
      <c r="B6169" s="461"/>
    </row>
    <row r="6170" spans="1:2">
      <c r="A6170" s="422"/>
      <c r="B6170" s="461"/>
    </row>
    <row r="6171" spans="1:2">
      <c r="A6171" s="422"/>
      <c r="B6171" s="461"/>
    </row>
    <row r="6172" spans="1:2">
      <c r="A6172" s="422"/>
      <c r="B6172" s="461"/>
    </row>
    <row r="6173" spans="1:2">
      <c r="A6173" s="422"/>
      <c r="B6173" s="461"/>
    </row>
    <row r="6174" spans="1:2">
      <c r="A6174" s="422"/>
      <c r="B6174" s="461"/>
    </row>
    <row r="6175" spans="1:2">
      <c r="A6175" s="422"/>
      <c r="B6175" s="461"/>
    </row>
    <row r="6176" spans="1:2">
      <c r="A6176" s="422"/>
      <c r="B6176" s="461"/>
    </row>
    <row r="6177" spans="1:2">
      <c r="A6177" s="422"/>
      <c r="B6177" s="461"/>
    </row>
    <row r="6178" spans="1:2">
      <c r="A6178" s="422"/>
      <c r="B6178" s="461"/>
    </row>
    <row r="6179" spans="1:2">
      <c r="A6179" s="422"/>
      <c r="B6179" s="461"/>
    </row>
    <row r="6180" spans="1:2">
      <c r="A6180" s="422"/>
      <c r="B6180" s="461"/>
    </row>
    <row r="6181" spans="1:2">
      <c r="A6181" s="422"/>
      <c r="B6181" s="461"/>
    </row>
    <row r="6182" spans="1:2">
      <c r="A6182" s="422"/>
      <c r="B6182" s="461"/>
    </row>
    <row r="6183" spans="1:2">
      <c r="A6183" s="422"/>
      <c r="B6183" s="461"/>
    </row>
    <row r="6184" spans="1:2">
      <c r="A6184" s="422"/>
      <c r="B6184" s="461"/>
    </row>
    <row r="6185" spans="1:2">
      <c r="A6185" s="422"/>
      <c r="B6185" s="461"/>
    </row>
    <row r="6186" spans="1:2">
      <c r="A6186" s="422"/>
      <c r="B6186" s="461"/>
    </row>
    <row r="6187" spans="1:2">
      <c r="A6187" s="422"/>
      <c r="B6187" s="461"/>
    </row>
    <row r="6188" spans="1:2">
      <c r="A6188" s="422"/>
      <c r="B6188" s="461"/>
    </row>
    <row r="6189" spans="1:2">
      <c r="A6189" s="422"/>
      <c r="B6189" s="461"/>
    </row>
    <row r="6190" spans="1:2">
      <c r="A6190" s="422"/>
      <c r="B6190" s="461"/>
    </row>
    <row r="6191" spans="1:2">
      <c r="A6191" s="422"/>
      <c r="B6191" s="461"/>
    </row>
    <row r="6192" spans="1:2">
      <c r="A6192" s="422"/>
      <c r="B6192" s="461"/>
    </row>
    <row r="6193" spans="1:2">
      <c r="A6193" s="422"/>
      <c r="B6193" s="461"/>
    </row>
    <row r="6194" spans="1:2">
      <c r="A6194" s="422"/>
      <c r="B6194" s="461"/>
    </row>
    <row r="6195" spans="1:2">
      <c r="A6195" s="422"/>
      <c r="B6195" s="461"/>
    </row>
    <row r="6196" spans="1:2">
      <c r="A6196" s="422"/>
      <c r="B6196" s="461"/>
    </row>
    <row r="6197" spans="1:2">
      <c r="A6197" s="422"/>
      <c r="B6197" s="461"/>
    </row>
    <row r="6198" spans="1:2">
      <c r="A6198" s="422"/>
      <c r="B6198" s="461"/>
    </row>
    <row r="6199" spans="1:2">
      <c r="A6199" s="422"/>
      <c r="B6199" s="461"/>
    </row>
    <row r="6200" spans="1:2">
      <c r="A6200" s="422"/>
      <c r="B6200" s="461"/>
    </row>
    <row r="6201" spans="1:2">
      <c r="A6201" s="422"/>
      <c r="B6201" s="461"/>
    </row>
    <row r="6202" spans="1:2">
      <c r="A6202" s="422"/>
      <c r="B6202" s="461"/>
    </row>
    <row r="6203" spans="1:2">
      <c r="A6203" s="422"/>
      <c r="B6203" s="461"/>
    </row>
    <row r="6204" spans="1:2">
      <c r="A6204" s="422"/>
      <c r="B6204" s="461"/>
    </row>
    <row r="6205" spans="1:2">
      <c r="A6205" s="422"/>
      <c r="B6205" s="461"/>
    </row>
    <row r="6206" spans="1:2">
      <c r="A6206" s="422"/>
      <c r="B6206" s="461"/>
    </row>
    <row r="6207" spans="1:2">
      <c r="A6207" s="422"/>
      <c r="B6207" s="461"/>
    </row>
    <row r="6208" spans="1:2">
      <c r="A6208" s="422"/>
      <c r="B6208" s="461"/>
    </row>
    <row r="6209" spans="1:2">
      <c r="A6209" s="422"/>
      <c r="B6209" s="461"/>
    </row>
    <row r="6210" spans="1:2">
      <c r="A6210" s="422"/>
      <c r="B6210" s="461"/>
    </row>
    <row r="6211" spans="1:2">
      <c r="A6211" s="422"/>
      <c r="B6211" s="461"/>
    </row>
    <row r="6212" spans="1:2">
      <c r="A6212" s="422"/>
      <c r="B6212" s="461"/>
    </row>
    <row r="6213" spans="1:2">
      <c r="A6213" s="422"/>
      <c r="B6213" s="461"/>
    </row>
    <row r="6214" spans="1:2">
      <c r="A6214" s="422"/>
      <c r="B6214" s="461"/>
    </row>
    <row r="6215" spans="1:2">
      <c r="A6215" s="422"/>
      <c r="B6215" s="461"/>
    </row>
    <row r="6216" spans="1:2">
      <c r="A6216" s="422"/>
      <c r="B6216" s="461"/>
    </row>
    <row r="6217" spans="1:2">
      <c r="A6217" s="422"/>
      <c r="B6217" s="461"/>
    </row>
    <row r="6218" spans="1:2">
      <c r="A6218" s="422"/>
      <c r="B6218" s="461"/>
    </row>
    <row r="6219" spans="1:2">
      <c r="A6219" s="422"/>
      <c r="B6219" s="461"/>
    </row>
    <row r="6220" spans="1:2">
      <c r="A6220" s="422"/>
      <c r="B6220" s="461"/>
    </row>
    <row r="6221" spans="1:2">
      <c r="A6221" s="422"/>
      <c r="B6221" s="461"/>
    </row>
    <row r="6222" spans="1:2">
      <c r="A6222" s="422"/>
      <c r="B6222" s="461"/>
    </row>
    <row r="6223" spans="1:2">
      <c r="A6223" s="422"/>
      <c r="B6223" s="461"/>
    </row>
    <row r="6224" spans="1:2">
      <c r="A6224" s="422"/>
      <c r="B6224" s="461"/>
    </row>
    <row r="6225" spans="1:2">
      <c r="A6225" s="422"/>
      <c r="B6225" s="461"/>
    </row>
    <row r="6226" spans="1:2">
      <c r="A6226" s="422"/>
      <c r="B6226" s="461"/>
    </row>
    <row r="6227" spans="1:2">
      <c r="A6227" s="422"/>
      <c r="B6227" s="461"/>
    </row>
    <row r="6228" spans="1:2">
      <c r="A6228" s="422"/>
      <c r="B6228" s="461"/>
    </row>
    <row r="6229" spans="1:2">
      <c r="A6229" s="422"/>
      <c r="B6229" s="461"/>
    </row>
    <row r="6230" spans="1:2">
      <c r="A6230" s="422"/>
      <c r="B6230" s="461"/>
    </row>
    <row r="6231" spans="1:2">
      <c r="A6231" s="422"/>
      <c r="B6231" s="461"/>
    </row>
    <row r="6232" spans="1:2">
      <c r="A6232" s="422"/>
      <c r="B6232" s="461"/>
    </row>
    <row r="6233" spans="1:2">
      <c r="A6233" s="422"/>
      <c r="B6233" s="461"/>
    </row>
    <row r="6234" spans="1:2">
      <c r="A6234" s="422"/>
      <c r="B6234" s="461"/>
    </row>
    <row r="6235" spans="1:2">
      <c r="A6235" s="422"/>
      <c r="B6235" s="461"/>
    </row>
    <row r="6236" spans="1:2">
      <c r="A6236" s="422"/>
      <c r="B6236" s="461"/>
    </row>
    <row r="6237" spans="1:2">
      <c r="A6237" s="422"/>
      <c r="B6237" s="461"/>
    </row>
    <row r="6238" spans="1:2">
      <c r="A6238" s="422"/>
      <c r="B6238" s="461"/>
    </row>
    <row r="6239" spans="1:2">
      <c r="A6239" s="422"/>
      <c r="B6239" s="461"/>
    </row>
    <row r="6240" spans="1:2">
      <c r="A6240" s="422"/>
      <c r="B6240" s="461"/>
    </row>
    <row r="6241" spans="1:2">
      <c r="A6241" s="422"/>
      <c r="B6241" s="461"/>
    </row>
    <row r="6242" spans="1:2">
      <c r="A6242" s="422"/>
      <c r="B6242" s="461"/>
    </row>
    <row r="6243" spans="1:2">
      <c r="A6243" s="422"/>
      <c r="B6243" s="461"/>
    </row>
    <row r="6244" spans="1:2">
      <c r="A6244" s="422"/>
      <c r="B6244" s="461"/>
    </row>
    <row r="6245" spans="1:2">
      <c r="A6245" s="422"/>
      <c r="B6245" s="461"/>
    </row>
    <row r="6246" spans="1:2">
      <c r="A6246" s="422"/>
      <c r="B6246" s="461"/>
    </row>
    <row r="6247" spans="1:2">
      <c r="A6247" s="422"/>
      <c r="B6247" s="461"/>
    </row>
    <row r="6248" spans="1:2">
      <c r="A6248" s="422"/>
      <c r="B6248" s="461"/>
    </row>
    <row r="6249" spans="1:2">
      <c r="A6249" s="422"/>
      <c r="B6249" s="461"/>
    </row>
    <row r="6250" spans="1:2">
      <c r="A6250" s="422"/>
      <c r="B6250" s="461"/>
    </row>
    <row r="6251" spans="1:2">
      <c r="A6251" s="422"/>
      <c r="B6251" s="461"/>
    </row>
    <row r="6252" spans="1:2">
      <c r="A6252" s="422"/>
      <c r="B6252" s="461"/>
    </row>
    <row r="6253" spans="1:2">
      <c r="A6253" s="422"/>
      <c r="B6253" s="461"/>
    </row>
    <row r="6254" spans="1:2">
      <c r="A6254" s="422"/>
      <c r="B6254" s="461"/>
    </row>
    <row r="6255" spans="1:2">
      <c r="A6255" s="422"/>
      <c r="B6255" s="461"/>
    </row>
    <row r="6256" spans="1:2">
      <c r="A6256" s="422"/>
      <c r="B6256" s="461"/>
    </row>
    <row r="6257" spans="1:2">
      <c r="A6257" s="422"/>
      <c r="B6257" s="461"/>
    </row>
    <row r="6258" spans="1:2">
      <c r="A6258" s="422"/>
      <c r="B6258" s="461"/>
    </row>
    <row r="6259" spans="1:2">
      <c r="A6259" s="422"/>
      <c r="B6259" s="461"/>
    </row>
    <row r="6260" spans="1:2">
      <c r="A6260" s="422"/>
      <c r="B6260" s="461"/>
    </row>
    <row r="6261" spans="1:2">
      <c r="A6261" s="422"/>
      <c r="B6261" s="461"/>
    </row>
    <row r="6262" spans="1:2">
      <c r="A6262" s="422"/>
      <c r="B6262" s="461"/>
    </row>
    <row r="6263" spans="1:2">
      <c r="A6263" s="422"/>
      <c r="B6263" s="461"/>
    </row>
    <row r="6264" spans="1:2">
      <c r="A6264" s="422"/>
      <c r="B6264" s="461"/>
    </row>
    <row r="6265" spans="1:2">
      <c r="A6265" s="422"/>
      <c r="B6265" s="461"/>
    </row>
    <row r="6266" spans="1:2">
      <c r="A6266" s="422"/>
      <c r="B6266" s="461"/>
    </row>
    <row r="6267" spans="1:2">
      <c r="A6267" s="422"/>
      <c r="B6267" s="461"/>
    </row>
    <row r="6268" spans="1:2">
      <c r="A6268" s="422"/>
      <c r="B6268" s="461"/>
    </row>
    <row r="6269" spans="1:2">
      <c r="A6269" s="422"/>
      <c r="B6269" s="461"/>
    </row>
    <row r="6270" spans="1:2">
      <c r="A6270" s="422"/>
      <c r="B6270" s="461"/>
    </row>
    <row r="6271" spans="1:2">
      <c r="A6271" s="422"/>
      <c r="B6271" s="461"/>
    </row>
    <row r="6272" spans="1:2">
      <c r="A6272" s="422"/>
      <c r="B6272" s="461"/>
    </row>
    <row r="6273" spans="1:2">
      <c r="A6273" s="422"/>
      <c r="B6273" s="461"/>
    </row>
    <row r="6274" spans="1:2">
      <c r="A6274" s="422"/>
      <c r="B6274" s="461"/>
    </row>
    <row r="6275" spans="1:2">
      <c r="A6275" s="422"/>
      <c r="B6275" s="461"/>
    </row>
    <row r="6276" spans="1:2">
      <c r="A6276" s="422"/>
      <c r="B6276" s="461"/>
    </row>
    <row r="6277" spans="1:2">
      <c r="A6277" s="422"/>
      <c r="B6277" s="461"/>
    </row>
    <row r="6278" spans="1:2">
      <c r="A6278" s="422"/>
      <c r="B6278" s="461"/>
    </row>
    <row r="6279" spans="1:2">
      <c r="A6279" s="422"/>
      <c r="B6279" s="461"/>
    </row>
    <row r="6280" spans="1:2">
      <c r="A6280" s="422"/>
      <c r="B6280" s="461"/>
    </row>
    <row r="6281" spans="1:2">
      <c r="A6281" s="422"/>
      <c r="B6281" s="461"/>
    </row>
    <row r="6282" spans="1:2">
      <c r="A6282" s="422"/>
      <c r="B6282" s="461"/>
    </row>
    <row r="6283" spans="1:2">
      <c r="A6283" s="422"/>
      <c r="B6283" s="461"/>
    </row>
    <row r="6284" spans="1:2">
      <c r="A6284" s="422"/>
      <c r="B6284" s="461"/>
    </row>
    <row r="6285" spans="1:2">
      <c r="A6285" s="422"/>
      <c r="B6285" s="461"/>
    </row>
    <row r="6286" spans="1:2">
      <c r="A6286" s="422"/>
      <c r="B6286" s="461"/>
    </row>
    <row r="6287" spans="1:2">
      <c r="A6287" s="422"/>
      <c r="B6287" s="461"/>
    </row>
    <row r="6288" spans="1:2">
      <c r="A6288" s="422"/>
      <c r="B6288" s="461"/>
    </row>
    <row r="6289" spans="1:2">
      <c r="A6289" s="422"/>
      <c r="B6289" s="461"/>
    </row>
    <row r="6290" spans="1:2">
      <c r="A6290" s="422"/>
      <c r="B6290" s="461"/>
    </row>
    <row r="6291" spans="1:2">
      <c r="A6291" s="422"/>
      <c r="B6291" s="461"/>
    </row>
    <row r="6292" spans="1:2">
      <c r="A6292" s="422"/>
      <c r="B6292" s="461"/>
    </row>
    <row r="6293" spans="1:2">
      <c r="A6293" s="422"/>
      <c r="B6293" s="461"/>
    </row>
    <row r="6294" spans="1:2">
      <c r="A6294" s="422"/>
      <c r="B6294" s="461"/>
    </row>
    <row r="6295" spans="1:2">
      <c r="A6295" s="422"/>
      <c r="B6295" s="461"/>
    </row>
    <row r="6296" spans="1:2">
      <c r="A6296" s="422"/>
      <c r="B6296" s="461"/>
    </row>
    <row r="6297" spans="1:2">
      <c r="A6297" s="422"/>
      <c r="B6297" s="461"/>
    </row>
    <row r="6298" spans="1:2">
      <c r="A6298" s="422"/>
      <c r="B6298" s="461"/>
    </row>
    <row r="6299" spans="1:2">
      <c r="A6299" s="422"/>
      <c r="B6299" s="461"/>
    </row>
    <row r="6300" spans="1:2">
      <c r="A6300" s="422"/>
      <c r="B6300" s="461"/>
    </row>
    <row r="6301" spans="1:2">
      <c r="A6301" s="422"/>
      <c r="B6301" s="461"/>
    </row>
    <row r="6302" spans="1:2">
      <c r="A6302" s="422"/>
      <c r="B6302" s="461"/>
    </row>
    <row r="6303" spans="1:2">
      <c r="A6303" s="422"/>
      <c r="B6303" s="461"/>
    </row>
    <row r="6304" spans="1:2">
      <c r="A6304" s="422"/>
      <c r="B6304" s="461"/>
    </row>
    <row r="6305" spans="1:2">
      <c r="A6305" s="422"/>
      <c r="B6305" s="461"/>
    </row>
    <row r="6306" spans="1:2">
      <c r="A6306" s="422"/>
      <c r="B6306" s="461"/>
    </row>
    <row r="6307" spans="1:2">
      <c r="A6307" s="422"/>
      <c r="B6307" s="461"/>
    </row>
    <row r="6308" spans="1:2">
      <c r="A6308" s="422"/>
      <c r="B6308" s="461"/>
    </row>
    <row r="6309" spans="1:2">
      <c r="A6309" s="422"/>
      <c r="B6309" s="461"/>
    </row>
    <row r="6310" spans="1:2">
      <c r="A6310" s="422"/>
      <c r="B6310" s="461"/>
    </row>
    <row r="6311" spans="1:2">
      <c r="A6311" s="422"/>
      <c r="B6311" s="461"/>
    </row>
    <row r="6312" spans="1:2">
      <c r="A6312" s="422"/>
      <c r="B6312" s="461"/>
    </row>
    <row r="6313" spans="1:2">
      <c r="A6313" s="422"/>
      <c r="B6313" s="461"/>
    </row>
    <row r="6314" spans="1:2">
      <c r="A6314" s="422"/>
      <c r="B6314" s="461"/>
    </row>
    <row r="6315" spans="1:2">
      <c r="A6315" s="422"/>
      <c r="B6315" s="461"/>
    </row>
    <row r="6316" spans="1:2">
      <c r="A6316" s="422"/>
      <c r="B6316" s="461"/>
    </row>
    <row r="6317" spans="1:2">
      <c r="A6317" s="422"/>
      <c r="B6317" s="461"/>
    </row>
    <row r="6318" spans="1:2">
      <c r="A6318" s="422"/>
      <c r="B6318" s="461"/>
    </row>
    <row r="6319" spans="1:2">
      <c r="A6319" s="422"/>
      <c r="B6319" s="461"/>
    </row>
    <row r="6320" spans="1:2">
      <c r="A6320" s="422"/>
      <c r="B6320" s="461"/>
    </row>
    <row r="6321" spans="1:2">
      <c r="A6321" s="422"/>
      <c r="B6321" s="461"/>
    </row>
    <row r="6322" spans="1:2">
      <c r="A6322" s="422"/>
      <c r="B6322" s="461"/>
    </row>
    <row r="6323" spans="1:2">
      <c r="A6323" s="422"/>
      <c r="B6323" s="461"/>
    </row>
    <row r="6324" spans="1:2">
      <c r="A6324" s="422"/>
      <c r="B6324" s="461"/>
    </row>
    <row r="6325" spans="1:2">
      <c r="A6325" s="422"/>
      <c r="B6325" s="461"/>
    </row>
    <row r="6326" spans="1:2">
      <c r="A6326" s="422"/>
      <c r="B6326" s="461"/>
    </row>
    <row r="6327" spans="1:2">
      <c r="A6327" s="422"/>
      <c r="B6327" s="461"/>
    </row>
    <row r="6328" spans="1:2">
      <c r="A6328" s="422"/>
      <c r="B6328" s="461"/>
    </row>
    <row r="6329" spans="1:2">
      <c r="A6329" s="422"/>
      <c r="B6329" s="461"/>
    </row>
    <row r="6330" spans="1:2">
      <c r="A6330" s="422"/>
      <c r="B6330" s="461"/>
    </row>
    <row r="6331" spans="1:2">
      <c r="A6331" s="422"/>
      <c r="B6331" s="461"/>
    </row>
    <row r="6332" spans="1:2">
      <c r="A6332" s="422"/>
      <c r="B6332" s="461"/>
    </row>
    <row r="6333" spans="1:2">
      <c r="A6333" s="422"/>
      <c r="B6333" s="461"/>
    </row>
    <row r="6334" spans="1:2">
      <c r="A6334" s="422"/>
      <c r="B6334" s="461"/>
    </row>
    <row r="6335" spans="1:2">
      <c r="A6335" s="422"/>
      <c r="B6335" s="461"/>
    </row>
    <row r="6336" spans="1:2">
      <c r="A6336" s="422"/>
      <c r="B6336" s="461"/>
    </row>
    <row r="6337" spans="1:2">
      <c r="A6337" s="422"/>
      <c r="B6337" s="461"/>
    </row>
    <row r="6338" spans="1:2">
      <c r="A6338" s="422"/>
      <c r="B6338" s="461"/>
    </row>
    <row r="6339" spans="1:2">
      <c r="A6339" s="422"/>
      <c r="B6339" s="461"/>
    </row>
    <row r="6340" spans="1:2">
      <c r="A6340" s="422"/>
      <c r="B6340" s="461"/>
    </row>
    <row r="6341" spans="1:2">
      <c r="A6341" s="422"/>
      <c r="B6341" s="461"/>
    </row>
    <row r="6342" spans="1:2">
      <c r="A6342" s="422"/>
      <c r="B6342" s="461"/>
    </row>
    <row r="6343" spans="1:2">
      <c r="A6343" s="422"/>
      <c r="B6343" s="461"/>
    </row>
    <row r="6344" spans="1:2">
      <c r="A6344" s="422"/>
      <c r="B6344" s="461"/>
    </row>
    <row r="6345" spans="1:2">
      <c r="A6345" s="422"/>
      <c r="B6345" s="461"/>
    </row>
    <row r="6346" spans="1:2">
      <c r="A6346" s="422"/>
      <c r="B6346" s="461"/>
    </row>
    <row r="6347" spans="1:2">
      <c r="A6347" s="422"/>
      <c r="B6347" s="461"/>
    </row>
    <row r="6348" spans="1:2">
      <c r="A6348" s="422"/>
      <c r="B6348" s="461"/>
    </row>
    <row r="6349" spans="1:2">
      <c r="A6349" s="422"/>
      <c r="B6349" s="461"/>
    </row>
    <row r="6350" spans="1:2">
      <c r="A6350" s="422"/>
      <c r="B6350" s="461"/>
    </row>
    <row r="6351" spans="1:2">
      <c r="A6351" s="422"/>
      <c r="B6351" s="461"/>
    </row>
    <row r="6352" spans="1:2">
      <c r="A6352" s="422"/>
      <c r="B6352" s="461"/>
    </row>
    <row r="6353" spans="1:2">
      <c r="A6353" s="422"/>
      <c r="B6353" s="461"/>
    </row>
    <row r="6354" spans="1:2">
      <c r="A6354" s="422"/>
      <c r="B6354" s="461"/>
    </row>
    <row r="6355" spans="1:2">
      <c r="A6355" s="422"/>
      <c r="B6355" s="461"/>
    </row>
    <row r="6356" spans="1:2">
      <c r="A6356" s="422"/>
      <c r="B6356" s="461"/>
    </row>
    <row r="6357" spans="1:2">
      <c r="A6357" s="422"/>
      <c r="B6357" s="461"/>
    </row>
    <row r="6358" spans="1:2">
      <c r="A6358" s="422"/>
      <c r="B6358" s="461"/>
    </row>
    <row r="6359" spans="1:2">
      <c r="A6359" s="422"/>
      <c r="B6359" s="461"/>
    </row>
    <row r="6360" spans="1:2">
      <c r="A6360" s="422"/>
      <c r="B6360" s="461"/>
    </row>
    <row r="6361" spans="1:2">
      <c r="A6361" s="422"/>
      <c r="B6361" s="461"/>
    </row>
    <row r="6362" spans="1:2">
      <c r="A6362" s="422"/>
      <c r="B6362" s="461"/>
    </row>
    <row r="6363" spans="1:2">
      <c r="A6363" s="422"/>
      <c r="B6363" s="461"/>
    </row>
    <row r="6364" spans="1:2">
      <c r="A6364" s="422"/>
      <c r="B6364" s="461"/>
    </row>
    <row r="6365" spans="1:2">
      <c r="A6365" s="422"/>
      <c r="B6365" s="461"/>
    </row>
    <row r="6366" spans="1:2">
      <c r="A6366" s="422"/>
      <c r="B6366" s="461"/>
    </row>
    <row r="6367" spans="1:2">
      <c r="A6367" s="422"/>
      <c r="B6367" s="461"/>
    </row>
    <row r="6368" spans="1:2">
      <c r="A6368" s="422"/>
      <c r="B6368" s="461"/>
    </row>
    <row r="6369" spans="1:2">
      <c r="A6369" s="422"/>
      <c r="B6369" s="461"/>
    </row>
    <row r="6370" spans="1:2">
      <c r="A6370" s="422"/>
      <c r="B6370" s="461"/>
    </row>
    <row r="6371" spans="1:2">
      <c r="A6371" s="422"/>
      <c r="B6371" s="461"/>
    </row>
    <row r="6372" spans="1:2">
      <c r="A6372" s="422"/>
      <c r="B6372" s="461"/>
    </row>
    <row r="6373" spans="1:2">
      <c r="A6373" s="422"/>
      <c r="B6373" s="461"/>
    </row>
    <row r="6374" spans="1:2">
      <c r="A6374" s="422"/>
      <c r="B6374" s="461"/>
    </row>
    <row r="6375" spans="1:2">
      <c r="A6375" s="422"/>
      <c r="B6375" s="461"/>
    </row>
    <row r="6376" spans="1:2">
      <c r="A6376" s="422"/>
      <c r="B6376" s="461"/>
    </row>
    <row r="6377" spans="1:2">
      <c r="A6377" s="422"/>
      <c r="B6377" s="461"/>
    </row>
    <row r="6378" spans="1:2">
      <c r="A6378" s="422"/>
      <c r="B6378" s="461"/>
    </row>
    <row r="6379" spans="1:2">
      <c r="A6379" s="422"/>
      <c r="B6379" s="461"/>
    </row>
    <row r="6380" spans="1:2">
      <c r="A6380" s="422"/>
      <c r="B6380" s="461"/>
    </row>
    <row r="6381" spans="1:2">
      <c r="A6381" s="422"/>
      <c r="B6381" s="461"/>
    </row>
    <row r="6382" spans="1:2">
      <c r="A6382" s="422"/>
      <c r="B6382" s="461"/>
    </row>
    <row r="6383" spans="1:2">
      <c r="A6383" s="422"/>
      <c r="B6383" s="461"/>
    </row>
    <row r="6384" spans="1:2">
      <c r="A6384" s="422"/>
      <c r="B6384" s="461"/>
    </row>
    <row r="6385" spans="1:2">
      <c r="A6385" s="422"/>
      <c r="B6385" s="461"/>
    </row>
    <row r="6386" spans="1:2">
      <c r="A6386" s="422"/>
      <c r="B6386" s="461"/>
    </row>
    <row r="6387" spans="1:2">
      <c r="A6387" s="422"/>
      <c r="B6387" s="461"/>
    </row>
    <row r="6388" spans="1:2">
      <c r="A6388" s="422"/>
      <c r="B6388" s="461"/>
    </row>
    <row r="6389" spans="1:2">
      <c r="A6389" s="422"/>
      <c r="B6389" s="461"/>
    </row>
    <row r="6390" spans="1:2">
      <c r="A6390" s="422"/>
      <c r="B6390" s="461"/>
    </row>
    <row r="6391" spans="1:2">
      <c r="A6391" s="422"/>
      <c r="B6391" s="461"/>
    </row>
    <row r="6392" spans="1:2">
      <c r="A6392" s="422"/>
      <c r="B6392" s="461"/>
    </row>
    <row r="6393" spans="1:2">
      <c r="A6393" s="422"/>
      <c r="B6393" s="461"/>
    </row>
    <row r="6394" spans="1:2">
      <c r="A6394" s="422"/>
      <c r="B6394" s="461"/>
    </row>
    <row r="6395" spans="1:2">
      <c r="A6395" s="422"/>
      <c r="B6395" s="461"/>
    </row>
    <row r="6396" spans="1:2">
      <c r="A6396" s="422"/>
      <c r="B6396" s="461"/>
    </row>
    <row r="6397" spans="1:2">
      <c r="A6397" s="422"/>
      <c r="B6397" s="461"/>
    </row>
    <row r="6398" spans="1:2">
      <c r="A6398" s="422"/>
      <c r="B6398" s="461"/>
    </row>
    <row r="6399" spans="1:2">
      <c r="A6399" s="422"/>
      <c r="B6399" s="461"/>
    </row>
    <row r="6400" spans="1:2">
      <c r="A6400" s="422"/>
      <c r="B6400" s="461"/>
    </row>
    <row r="6401" spans="1:2">
      <c r="A6401" s="422"/>
      <c r="B6401" s="461"/>
    </row>
    <row r="6402" spans="1:2">
      <c r="A6402" s="422"/>
      <c r="B6402" s="461"/>
    </row>
    <row r="6403" spans="1:2">
      <c r="A6403" s="422"/>
      <c r="B6403" s="461"/>
    </row>
    <row r="6404" spans="1:2">
      <c r="A6404" s="422"/>
      <c r="B6404" s="461"/>
    </row>
    <row r="6405" spans="1:2">
      <c r="A6405" s="422"/>
      <c r="B6405" s="461"/>
    </row>
    <row r="6406" spans="1:2">
      <c r="A6406" s="422"/>
      <c r="B6406" s="461"/>
    </row>
    <row r="6407" spans="1:2">
      <c r="A6407" s="422"/>
      <c r="B6407" s="461"/>
    </row>
    <row r="6408" spans="1:2">
      <c r="A6408" s="422"/>
      <c r="B6408" s="461"/>
    </row>
    <row r="6409" spans="1:2">
      <c r="A6409" s="422"/>
      <c r="B6409" s="461"/>
    </row>
    <row r="6410" spans="1:2">
      <c r="A6410" s="422"/>
      <c r="B6410" s="461"/>
    </row>
    <row r="6411" spans="1:2">
      <c r="A6411" s="422"/>
      <c r="B6411" s="461"/>
    </row>
    <row r="6412" spans="1:2">
      <c r="A6412" s="422"/>
      <c r="B6412" s="461"/>
    </row>
    <row r="6413" spans="1:2">
      <c r="A6413" s="422"/>
      <c r="B6413" s="461"/>
    </row>
    <row r="6414" spans="1:2">
      <c r="A6414" s="422"/>
      <c r="B6414" s="461"/>
    </row>
    <row r="6415" spans="1:2">
      <c r="A6415" s="422"/>
      <c r="B6415" s="461"/>
    </row>
    <row r="6416" spans="1:2">
      <c r="A6416" s="422"/>
      <c r="B6416" s="461"/>
    </row>
    <row r="6417" spans="1:2">
      <c r="A6417" s="422"/>
      <c r="B6417" s="461"/>
    </row>
    <row r="6418" spans="1:2">
      <c r="A6418" s="422"/>
      <c r="B6418" s="461"/>
    </row>
    <row r="6419" spans="1:2">
      <c r="A6419" s="422"/>
      <c r="B6419" s="461"/>
    </row>
    <row r="6420" spans="1:2">
      <c r="A6420" s="422"/>
      <c r="B6420" s="461"/>
    </row>
    <row r="6421" spans="1:2">
      <c r="A6421" s="422"/>
      <c r="B6421" s="461"/>
    </row>
    <row r="6422" spans="1:2">
      <c r="A6422" s="422"/>
      <c r="B6422" s="461"/>
    </row>
    <row r="6423" spans="1:2">
      <c r="A6423" s="422"/>
      <c r="B6423" s="461"/>
    </row>
    <row r="6424" spans="1:2">
      <c r="A6424" s="422"/>
      <c r="B6424" s="461"/>
    </row>
    <row r="6425" spans="1:2">
      <c r="A6425" s="422"/>
      <c r="B6425" s="461"/>
    </row>
    <row r="6426" spans="1:2">
      <c r="A6426" s="422"/>
      <c r="B6426" s="461"/>
    </row>
    <row r="6427" spans="1:2">
      <c r="A6427" s="422"/>
      <c r="B6427" s="461"/>
    </row>
    <row r="6428" spans="1:2">
      <c r="A6428" s="422"/>
      <c r="B6428" s="461"/>
    </row>
    <row r="6429" spans="1:2">
      <c r="A6429" s="422"/>
      <c r="B6429" s="461"/>
    </row>
    <row r="6430" spans="1:2">
      <c r="A6430" s="422"/>
      <c r="B6430" s="461"/>
    </row>
    <row r="6431" spans="1:2">
      <c r="A6431" s="422"/>
      <c r="B6431" s="461"/>
    </row>
    <row r="6432" spans="1:2">
      <c r="A6432" s="422"/>
      <c r="B6432" s="461"/>
    </row>
    <row r="6433" spans="1:2">
      <c r="A6433" s="422"/>
      <c r="B6433" s="461"/>
    </row>
    <row r="6434" spans="1:2">
      <c r="A6434" s="422"/>
      <c r="B6434" s="461"/>
    </row>
    <row r="6435" spans="1:2">
      <c r="A6435" s="422"/>
      <c r="B6435" s="461"/>
    </row>
    <row r="6436" spans="1:2">
      <c r="A6436" s="422"/>
      <c r="B6436" s="461"/>
    </row>
    <row r="6437" spans="1:2">
      <c r="A6437" s="422"/>
      <c r="B6437" s="461"/>
    </row>
    <row r="6438" spans="1:2">
      <c r="A6438" s="422"/>
      <c r="B6438" s="461"/>
    </row>
    <row r="6439" spans="1:2">
      <c r="A6439" s="422"/>
      <c r="B6439" s="461"/>
    </row>
    <row r="6440" spans="1:2">
      <c r="A6440" s="422"/>
      <c r="B6440" s="461"/>
    </row>
    <row r="6441" spans="1:2">
      <c r="A6441" s="422"/>
      <c r="B6441" s="461"/>
    </row>
    <row r="6442" spans="1:2">
      <c r="A6442" s="422"/>
      <c r="B6442" s="461"/>
    </row>
    <row r="6443" spans="1:2">
      <c r="A6443" s="422"/>
      <c r="B6443" s="461"/>
    </row>
    <row r="6444" spans="1:2">
      <c r="A6444" s="422"/>
      <c r="B6444" s="461"/>
    </row>
    <row r="6445" spans="1:2">
      <c r="A6445" s="422"/>
      <c r="B6445" s="461"/>
    </row>
    <row r="6446" spans="1:2">
      <c r="A6446" s="422"/>
      <c r="B6446" s="461"/>
    </row>
    <row r="6447" spans="1:2">
      <c r="A6447" s="422"/>
      <c r="B6447" s="461"/>
    </row>
    <row r="6448" spans="1:2">
      <c r="A6448" s="422"/>
      <c r="B6448" s="461"/>
    </row>
    <row r="6449" spans="1:2">
      <c r="A6449" s="422"/>
      <c r="B6449" s="461"/>
    </row>
    <row r="6450" spans="1:2">
      <c r="A6450" s="422"/>
      <c r="B6450" s="461"/>
    </row>
    <row r="6451" spans="1:2">
      <c r="A6451" s="422"/>
      <c r="B6451" s="461"/>
    </row>
    <row r="6452" spans="1:2">
      <c r="A6452" s="422"/>
      <c r="B6452" s="461"/>
    </row>
    <row r="6453" spans="1:2">
      <c r="A6453" s="422"/>
      <c r="B6453" s="461"/>
    </row>
    <row r="6454" spans="1:2">
      <c r="A6454" s="422"/>
      <c r="B6454" s="461"/>
    </row>
    <row r="6455" spans="1:2">
      <c r="A6455" s="422"/>
      <c r="B6455" s="461"/>
    </row>
    <row r="6456" spans="1:2">
      <c r="A6456" s="422"/>
      <c r="B6456" s="461"/>
    </row>
    <row r="6457" spans="1:2">
      <c r="A6457" s="422"/>
      <c r="B6457" s="461"/>
    </row>
    <row r="6458" spans="1:2">
      <c r="A6458" s="422"/>
      <c r="B6458" s="461"/>
    </row>
    <row r="6459" spans="1:2">
      <c r="A6459" s="422"/>
      <c r="B6459" s="461"/>
    </row>
    <row r="6460" spans="1:2">
      <c r="A6460" s="422"/>
      <c r="B6460" s="461"/>
    </row>
    <row r="6461" spans="1:2">
      <c r="A6461" s="422"/>
      <c r="B6461" s="461"/>
    </row>
    <row r="6462" spans="1:2">
      <c r="A6462" s="422"/>
      <c r="B6462" s="461"/>
    </row>
    <row r="6463" spans="1:2">
      <c r="A6463" s="422"/>
      <c r="B6463" s="461"/>
    </row>
    <row r="6464" spans="1:2">
      <c r="A6464" s="422"/>
      <c r="B6464" s="461"/>
    </row>
    <row r="6465" spans="1:2">
      <c r="A6465" s="422"/>
      <c r="B6465" s="461"/>
    </row>
    <row r="6466" spans="1:2">
      <c r="A6466" s="422"/>
      <c r="B6466" s="461"/>
    </row>
    <row r="6467" spans="1:2">
      <c r="A6467" s="422"/>
      <c r="B6467" s="461"/>
    </row>
    <row r="6468" spans="1:2">
      <c r="A6468" s="422"/>
      <c r="B6468" s="461"/>
    </row>
    <row r="6469" spans="1:2">
      <c r="A6469" s="422"/>
      <c r="B6469" s="461"/>
    </row>
    <row r="6470" spans="1:2">
      <c r="A6470" s="422"/>
      <c r="B6470" s="461"/>
    </row>
    <row r="6471" spans="1:2">
      <c r="A6471" s="422"/>
      <c r="B6471" s="461"/>
    </row>
    <row r="6472" spans="1:2">
      <c r="A6472" s="422"/>
      <c r="B6472" s="461"/>
    </row>
    <row r="6473" spans="1:2">
      <c r="A6473" s="422"/>
      <c r="B6473" s="461"/>
    </row>
    <row r="6474" spans="1:2">
      <c r="A6474" s="422"/>
      <c r="B6474" s="461"/>
    </row>
    <row r="6475" spans="1:2">
      <c r="A6475" s="422"/>
      <c r="B6475" s="461"/>
    </row>
    <row r="6476" spans="1:2">
      <c r="A6476" s="422"/>
      <c r="B6476" s="461"/>
    </row>
    <row r="6477" spans="1:2">
      <c r="A6477" s="422"/>
      <c r="B6477" s="461"/>
    </row>
    <row r="6478" spans="1:2">
      <c r="A6478" s="422"/>
      <c r="B6478" s="461"/>
    </row>
    <row r="6479" spans="1:2">
      <c r="A6479" s="422"/>
      <c r="B6479" s="461"/>
    </row>
    <row r="6480" spans="1:2">
      <c r="A6480" s="422"/>
      <c r="B6480" s="461"/>
    </row>
    <row r="6481" spans="1:2">
      <c r="A6481" s="422"/>
      <c r="B6481" s="461"/>
    </row>
    <row r="6482" spans="1:2">
      <c r="A6482" s="422"/>
      <c r="B6482" s="461"/>
    </row>
    <row r="6483" spans="1:2">
      <c r="A6483" s="422"/>
      <c r="B6483" s="461"/>
    </row>
    <row r="6484" spans="1:2">
      <c r="A6484" s="422"/>
      <c r="B6484" s="461"/>
    </row>
    <row r="6485" spans="1:2">
      <c r="A6485" s="422"/>
      <c r="B6485" s="461"/>
    </row>
    <row r="6486" spans="1:2">
      <c r="A6486" s="422"/>
      <c r="B6486" s="461"/>
    </row>
    <row r="6487" spans="1:2">
      <c r="A6487" s="422"/>
      <c r="B6487" s="461"/>
    </row>
    <row r="6488" spans="1:2">
      <c r="A6488" s="422"/>
      <c r="B6488" s="461"/>
    </row>
    <row r="6489" spans="1:2">
      <c r="A6489" s="422"/>
      <c r="B6489" s="461"/>
    </row>
    <row r="6490" spans="1:2">
      <c r="A6490" s="422"/>
      <c r="B6490" s="461"/>
    </row>
    <row r="6491" spans="1:2">
      <c r="A6491" s="422"/>
      <c r="B6491" s="461"/>
    </row>
    <row r="6492" spans="1:2">
      <c r="A6492" s="422"/>
      <c r="B6492" s="461"/>
    </row>
    <row r="6493" spans="1:2">
      <c r="A6493" s="422"/>
      <c r="B6493" s="461"/>
    </row>
    <row r="6494" spans="1:2">
      <c r="A6494" s="422"/>
      <c r="B6494" s="461"/>
    </row>
    <row r="6495" spans="1:2">
      <c r="A6495" s="422"/>
      <c r="B6495" s="461"/>
    </row>
    <row r="6496" spans="1:2">
      <c r="A6496" s="422"/>
      <c r="B6496" s="461"/>
    </row>
    <row r="6497" spans="1:2">
      <c r="A6497" s="422"/>
      <c r="B6497" s="461"/>
    </row>
    <row r="6498" spans="1:2">
      <c r="A6498" s="422"/>
      <c r="B6498" s="461"/>
    </row>
    <row r="6499" spans="1:2">
      <c r="A6499" s="422"/>
      <c r="B6499" s="461"/>
    </row>
    <row r="6500" spans="1:2">
      <c r="A6500" s="422"/>
      <c r="B6500" s="461"/>
    </row>
    <row r="6501" spans="1:2">
      <c r="A6501" s="422"/>
      <c r="B6501" s="461"/>
    </row>
    <row r="6502" spans="1:2">
      <c r="A6502" s="422"/>
      <c r="B6502" s="461"/>
    </row>
    <row r="6503" spans="1:2">
      <c r="A6503" s="422"/>
      <c r="B6503" s="461"/>
    </row>
    <row r="6504" spans="1:2">
      <c r="A6504" s="422"/>
      <c r="B6504" s="461"/>
    </row>
    <row r="6505" spans="1:2">
      <c r="A6505" s="422"/>
      <c r="B6505" s="461"/>
    </row>
    <row r="6506" spans="1:2">
      <c r="A6506" s="422"/>
      <c r="B6506" s="461"/>
    </row>
    <row r="6507" spans="1:2">
      <c r="A6507" s="422"/>
      <c r="B6507" s="461"/>
    </row>
    <row r="6508" spans="1:2">
      <c r="A6508" s="422"/>
      <c r="B6508" s="461"/>
    </row>
    <row r="6509" spans="1:2">
      <c r="A6509" s="422"/>
      <c r="B6509" s="461"/>
    </row>
    <row r="6510" spans="1:2">
      <c r="A6510" s="422"/>
      <c r="B6510" s="461"/>
    </row>
    <row r="6511" spans="1:2">
      <c r="A6511" s="422"/>
      <c r="B6511" s="461"/>
    </row>
    <row r="6512" spans="1:2">
      <c r="A6512" s="422"/>
      <c r="B6512" s="461"/>
    </row>
    <row r="6513" spans="1:2">
      <c r="A6513" s="422"/>
      <c r="B6513" s="461"/>
    </row>
    <row r="6514" spans="1:2">
      <c r="A6514" s="422"/>
      <c r="B6514" s="461"/>
    </row>
    <row r="6515" spans="1:2">
      <c r="A6515" s="422"/>
      <c r="B6515" s="461"/>
    </row>
    <row r="6516" spans="1:2">
      <c r="A6516" s="422"/>
      <c r="B6516" s="461"/>
    </row>
    <row r="6517" spans="1:2">
      <c r="A6517" s="422"/>
      <c r="B6517" s="461"/>
    </row>
    <row r="6518" spans="1:2">
      <c r="A6518" s="422"/>
      <c r="B6518" s="461"/>
    </row>
    <row r="6519" spans="1:2">
      <c r="A6519" s="422"/>
      <c r="B6519" s="461"/>
    </row>
    <row r="6520" spans="1:2">
      <c r="A6520" s="422"/>
      <c r="B6520" s="461"/>
    </row>
    <row r="6521" spans="1:2">
      <c r="A6521" s="422"/>
      <c r="B6521" s="461"/>
    </row>
    <row r="6522" spans="1:2">
      <c r="A6522" s="422"/>
      <c r="B6522" s="461"/>
    </row>
    <row r="6523" spans="1:2">
      <c r="A6523" s="422"/>
      <c r="B6523" s="461"/>
    </row>
    <row r="6524" spans="1:2">
      <c r="A6524" s="422"/>
      <c r="B6524" s="461"/>
    </row>
    <row r="6525" spans="1:2">
      <c r="A6525" s="422"/>
      <c r="B6525" s="461"/>
    </row>
    <row r="6526" spans="1:2">
      <c r="A6526" s="422"/>
      <c r="B6526" s="461"/>
    </row>
    <row r="6527" spans="1:2">
      <c r="A6527" s="422"/>
      <c r="B6527" s="461"/>
    </row>
    <row r="6528" spans="1:2">
      <c r="A6528" s="422"/>
      <c r="B6528" s="461"/>
    </row>
    <row r="6529" spans="1:2">
      <c r="A6529" s="422"/>
      <c r="B6529" s="461"/>
    </row>
    <row r="6530" spans="1:2">
      <c r="A6530" s="422"/>
      <c r="B6530" s="461"/>
    </row>
    <row r="6531" spans="1:2">
      <c r="A6531" s="422"/>
      <c r="B6531" s="461"/>
    </row>
    <row r="6532" spans="1:2">
      <c r="A6532" s="422"/>
      <c r="B6532" s="461"/>
    </row>
    <row r="6533" spans="1:2">
      <c r="A6533" s="422"/>
      <c r="B6533" s="461"/>
    </row>
    <row r="6534" spans="1:2">
      <c r="A6534" s="422"/>
      <c r="B6534" s="461"/>
    </row>
    <row r="6535" spans="1:2">
      <c r="A6535" s="422"/>
      <c r="B6535" s="461"/>
    </row>
    <row r="6536" spans="1:2">
      <c r="A6536" s="422"/>
      <c r="B6536" s="461"/>
    </row>
    <row r="6537" spans="1:2">
      <c r="A6537" s="422"/>
      <c r="B6537" s="461"/>
    </row>
    <row r="6538" spans="1:2">
      <c r="A6538" s="422"/>
      <c r="B6538" s="461"/>
    </row>
    <row r="6539" spans="1:2">
      <c r="A6539" s="422"/>
      <c r="B6539" s="461"/>
    </row>
    <row r="6540" spans="1:2">
      <c r="A6540" s="422"/>
      <c r="B6540" s="461"/>
    </row>
    <row r="6541" spans="1:2">
      <c r="A6541" s="422"/>
      <c r="B6541" s="461"/>
    </row>
    <row r="6542" spans="1:2">
      <c r="A6542" s="422"/>
      <c r="B6542" s="461"/>
    </row>
    <row r="6543" spans="1:2">
      <c r="A6543" s="422"/>
      <c r="B6543" s="461"/>
    </row>
    <row r="6544" spans="1:2">
      <c r="A6544" s="422"/>
      <c r="B6544" s="461"/>
    </row>
    <row r="6545" spans="1:2">
      <c r="A6545" s="422"/>
      <c r="B6545" s="461"/>
    </row>
    <row r="6546" spans="1:2">
      <c r="A6546" s="422"/>
      <c r="B6546" s="461"/>
    </row>
    <row r="6547" spans="1:2">
      <c r="A6547" s="422"/>
      <c r="B6547" s="461"/>
    </row>
    <row r="6548" spans="1:2">
      <c r="A6548" s="422"/>
      <c r="B6548" s="461"/>
    </row>
    <row r="6549" spans="1:2">
      <c r="A6549" s="422"/>
      <c r="B6549" s="461"/>
    </row>
    <row r="6550" spans="1:2">
      <c r="A6550" s="422"/>
      <c r="B6550" s="461"/>
    </row>
    <row r="6551" spans="1:2">
      <c r="A6551" s="422"/>
      <c r="B6551" s="461"/>
    </row>
    <row r="6552" spans="1:2">
      <c r="A6552" s="422"/>
      <c r="B6552" s="461"/>
    </row>
    <row r="6553" spans="1:2">
      <c r="A6553" s="422"/>
      <c r="B6553" s="461"/>
    </row>
    <row r="6554" spans="1:2">
      <c r="A6554" s="422"/>
      <c r="B6554" s="461"/>
    </row>
    <row r="6555" spans="1:2">
      <c r="A6555" s="422"/>
      <c r="B6555" s="461"/>
    </row>
    <row r="6556" spans="1:2">
      <c r="A6556" s="422"/>
      <c r="B6556" s="461"/>
    </row>
    <row r="6557" spans="1:2">
      <c r="A6557" s="422"/>
      <c r="B6557" s="461"/>
    </row>
    <row r="6558" spans="1:2">
      <c r="A6558" s="422"/>
      <c r="B6558" s="461"/>
    </row>
    <row r="6559" spans="1:2">
      <c r="A6559" s="422"/>
      <c r="B6559" s="461"/>
    </row>
    <row r="6560" spans="1:2">
      <c r="A6560" s="422"/>
      <c r="B6560" s="461"/>
    </row>
    <row r="6561" spans="1:2">
      <c r="A6561" s="422"/>
      <c r="B6561" s="461"/>
    </row>
    <row r="6562" spans="1:2">
      <c r="A6562" s="422"/>
      <c r="B6562" s="461"/>
    </row>
    <row r="6563" spans="1:2">
      <c r="A6563" s="422"/>
      <c r="B6563" s="461"/>
    </row>
    <row r="6564" spans="1:2">
      <c r="A6564" s="422"/>
      <c r="B6564" s="461"/>
    </row>
    <row r="6565" spans="1:2">
      <c r="A6565" s="422"/>
      <c r="B6565" s="461"/>
    </row>
    <row r="6566" spans="1:2">
      <c r="A6566" s="422"/>
      <c r="B6566" s="461"/>
    </row>
    <row r="6567" spans="1:2">
      <c r="A6567" s="422"/>
      <c r="B6567" s="461"/>
    </row>
    <row r="6568" spans="1:2">
      <c r="A6568" s="422"/>
      <c r="B6568" s="461"/>
    </row>
    <row r="6569" spans="1:2">
      <c r="A6569" s="422"/>
      <c r="B6569" s="461"/>
    </row>
    <row r="6570" spans="1:2">
      <c r="A6570" s="422"/>
      <c r="B6570" s="461"/>
    </row>
    <row r="6571" spans="1:2">
      <c r="A6571" s="422"/>
      <c r="B6571" s="461"/>
    </row>
    <row r="6572" spans="1:2">
      <c r="A6572" s="422"/>
      <c r="B6572" s="461"/>
    </row>
    <row r="6573" spans="1:2">
      <c r="A6573" s="422"/>
      <c r="B6573" s="461"/>
    </row>
    <row r="6574" spans="1:2">
      <c r="A6574" s="422"/>
      <c r="B6574" s="461"/>
    </row>
    <row r="6575" spans="1:2">
      <c r="A6575" s="422"/>
      <c r="B6575" s="461"/>
    </row>
    <row r="6576" spans="1:2">
      <c r="A6576" s="422"/>
      <c r="B6576" s="461"/>
    </row>
    <row r="6577" spans="1:2">
      <c r="A6577" s="422"/>
      <c r="B6577" s="461"/>
    </row>
    <row r="6578" spans="1:2">
      <c r="A6578" s="422"/>
      <c r="B6578" s="461"/>
    </row>
    <row r="6579" spans="1:2">
      <c r="A6579" s="422"/>
      <c r="B6579" s="461"/>
    </row>
    <row r="6580" spans="1:2">
      <c r="A6580" s="422"/>
      <c r="B6580" s="461"/>
    </row>
    <row r="6581" spans="1:2">
      <c r="A6581" s="422"/>
      <c r="B6581" s="461"/>
    </row>
    <row r="6582" spans="1:2">
      <c r="A6582" s="422"/>
      <c r="B6582" s="461"/>
    </row>
    <row r="6583" spans="1:2">
      <c r="A6583" s="422"/>
      <c r="B6583" s="461"/>
    </row>
    <row r="6584" spans="1:2">
      <c r="A6584" s="422"/>
      <c r="B6584" s="461"/>
    </row>
    <row r="6585" spans="1:2">
      <c r="A6585" s="422"/>
      <c r="B6585" s="461"/>
    </row>
    <row r="6586" spans="1:2">
      <c r="A6586" s="422"/>
      <c r="B6586" s="461"/>
    </row>
    <row r="6587" spans="1:2">
      <c r="A6587" s="422"/>
      <c r="B6587" s="461"/>
    </row>
    <row r="6588" spans="1:2">
      <c r="A6588" s="422"/>
      <c r="B6588" s="461"/>
    </row>
    <row r="6589" spans="1:2">
      <c r="A6589" s="422"/>
      <c r="B6589" s="461"/>
    </row>
    <row r="6590" spans="1:2">
      <c r="A6590" s="422"/>
      <c r="B6590" s="461"/>
    </row>
    <row r="6591" spans="1:2">
      <c r="A6591" s="422"/>
      <c r="B6591" s="461"/>
    </row>
    <row r="6592" spans="1:2">
      <c r="A6592" s="422"/>
      <c r="B6592" s="461"/>
    </row>
    <row r="6593" spans="1:2">
      <c r="A6593" s="422"/>
      <c r="B6593" s="461"/>
    </row>
    <row r="6594" spans="1:2">
      <c r="A6594" s="422"/>
      <c r="B6594" s="461"/>
    </row>
    <row r="6595" spans="1:2">
      <c r="A6595" s="422"/>
      <c r="B6595" s="461"/>
    </row>
    <row r="6596" spans="1:2">
      <c r="A6596" s="422"/>
      <c r="B6596" s="461"/>
    </row>
    <row r="6597" spans="1:2">
      <c r="A6597" s="422"/>
      <c r="B6597" s="461"/>
    </row>
    <row r="6598" spans="1:2">
      <c r="A6598" s="422"/>
      <c r="B6598" s="461"/>
    </row>
    <row r="6599" spans="1:2">
      <c r="A6599" s="422"/>
      <c r="B6599" s="461"/>
    </row>
    <row r="6600" spans="1:2">
      <c r="A6600" s="422"/>
      <c r="B6600" s="461"/>
    </row>
    <row r="6601" spans="1:2">
      <c r="A6601" s="422"/>
      <c r="B6601" s="461"/>
    </row>
    <row r="6602" spans="1:2">
      <c r="A6602" s="422"/>
      <c r="B6602" s="461"/>
    </row>
    <row r="6603" spans="1:2">
      <c r="A6603" s="422"/>
      <c r="B6603" s="461"/>
    </row>
    <row r="6604" spans="1:2">
      <c r="A6604" s="422"/>
      <c r="B6604" s="461"/>
    </row>
    <row r="6605" spans="1:2">
      <c r="A6605" s="422"/>
      <c r="B6605" s="461"/>
    </row>
    <row r="6606" spans="1:2">
      <c r="A6606" s="422"/>
      <c r="B6606" s="461"/>
    </row>
    <row r="6607" spans="1:2">
      <c r="A6607" s="422"/>
      <c r="B6607" s="461"/>
    </row>
    <row r="6608" spans="1:2">
      <c r="A6608" s="422"/>
      <c r="B6608" s="461"/>
    </row>
    <row r="6609" spans="1:2">
      <c r="A6609" s="422"/>
      <c r="B6609" s="461"/>
    </row>
    <row r="6610" spans="1:2">
      <c r="A6610" s="422"/>
      <c r="B6610" s="461"/>
    </row>
    <row r="6611" spans="1:2">
      <c r="A6611" s="422"/>
      <c r="B6611" s="461"/>
    </row>
    <row r="6612" spans="1:2">
      <c r="A6612" s="422"/>
      <c r="B6612" s="461"/>
    </row>
    <row r="6613" spans="1:2">
      <c r="A6613" s="422"/>
      <c r="B6613" s="461"/>
    </row>
    <row r="6614" spans="1:2">
      <c r="A6614" s="422"/>
      <c r="B6614" s="461"/>
    </row>
    <row r="6615" spans="1:2">
      <c r="A6615" s="422"/>
      <c r="B6615" s="461"/>
    </row>
    <row r="6616" spans="1:2">
      <c r="A6616" s="422"/>
      <c r="B6616" s="461"/>
    </row>
    <row r="6617" spans="1:2">
      <c r="A6617" s="422"/>
      <c r="B6617" s="461"/>
    </row>
    <row r="6618" spans="1:2">
      <c r="A6618" s="422"/>
      <c r="B6618" s="461"/>
    </row>
    <row r="6619" spans="1:2">
      <c r="A6619" s="422"/>
      <c r="B6619" s="461"/>
    </row>
    <row r="6620" spans="1:2">
      <c r="A6620" s="422"/>
      <c r="B6620" s="461"/>
    </row>
    <row r="6621" spans="1:2">
      <c r="A6621" s="422"/>
      <c r="B6621" s="461"/>
    </row>
    <row r="6622" spans="1:2">
      <c r="A6622" s="422"/>
      <c r="B6622" s="461"/>
    </row>
    <row r="6623" spans="1:2">
      <c r="A6623" s="422"/>
      <c r="B6623" s="461"/>
    </row>
    <row r="6624" spans="1:2">
      <c r="A6624" s="422"/>
      <c r="B6624" s="461"/>
    </row>
    <row r="6625" spans="1:2">
      <c r="A6625" s="422"/>
      <c r="B6625" s="461"/>
    </row>
    <row r="6626" spans="1:2">
      <c r="A6626" s="422"/>
      <c r="B6626" s="461"/>
    </row>
    <row r="6627" spans="1:2">
      <c r="A6627" s="422"/>
      <c r="B6627" s="461"/>
    </row>
    <row r="6628" spans="1:2">
      <c r="A6628" s="422"/>
      <c r="B6628" s="461"/>
    </row>
    <row r="6629" spans="1:2">
      <c r="A6629" s="422"/>
      <c r="B6629" s="461"/>
    </row>
    <row r="6630" spans="1:2">
      <c r="A6630" s="422"/>
      <c r="B6630" s="461"/>
    </row>
    <row r="6631" spans="1:2">
      <c r="A6631" s="422"/>
      <c r="B6631" s="461"/>
    </row>
    <row r="6632" spans="1:2">
      <c r="A6632" s="422"/>
      <c r="B6632" s="461"/>
    </row>
    <row r="6633" spans="1:2">
      <c r="A6633" s="422"/>
      <c r="B6633" s="461"/>
    </row>
    <row r="6634" spans="1:2">
      <c r="A6634" s="422"/>
      <c r="B6634" s="461"/>
    </row>
    <row r="6635" spans="1:2">
      <c r="A6635" s="422"/>
      <c r="B6635" s="461"/>
    </row>
    <row r="6636" spans="1:2">
      <c r="A6636" s="422"/>
      <c r="B6636" s="461"/>
    </row>
    <row r="6637" spans="1:2">
      <c r="A6637" s="422"/>
      <c r="B6637" s="461"/>
    </row>
    <row r="6638" spans="1:2">
      <c r="A6638" s="422"/>
      <c r="B6638" s="461"/>
    </row>
    <row r="6639" spans="1:2">
      <c r="A6639" s="422"/>
      <c r="B6639" s="461"/>
    </row>
    <row r="6640" spans="1:2">
      <c r="A6640" s="422"/>
      <c r="B6640" s="461"/>
    </row>
    <row r="6641" spans="1:2">
      <c r="A6641" s="422"/>
      <c r="B6641" s="461"/>
    </row>
    <row r="6642" spans="1:2">
      <c r="A6642" s="422"/>
      <c r="B6642" s="461"/>
    </row>
    <row r="6643" spans="1:2">
      <c r="A6643" s="422"/>
      <c r="B6643" s="461"/>
    </row>
    <row r="6644" spans="1:2">
      <c r="A6644" s="422"/>
      <c r="B6644" s="461"/>
    </row>
    <row r="6645" spans="1:2">
      <c r="A6645" s="422"/>
      <c r="B6645" s="461"/>
    </row>
    <row r="6646" spans="1:2">
      <c r="A6646" s="422"/>
      <c r="B6646" s="461"/>
    </row>
    <row r="6647" spans="1:2">
      <c r="A6647" s="422"/>
      <c r="B6647" s="461"/>
    </row>
    <row r="6648" spans="1:2">
      <c r="A6648" s="422"/>
      <c r="B6648" s="461"/>
    </row>
    <row r="6649" spans="1:2">
      <c r="A6649" s="422"/>
      <c r="B6649" s="461"/>
    </row>
    <row r="6650" spans="1:2">
      <c r="A6650" s="422"/>
      <c r="B6650" s="461"/>
    </row>
    <row r="6651" spans="1:2">
      <c r="A6651" s="422"/>
      <c r="B6651" s="461"/>
    </row>
    <row r="6652" spans="1:2">
      <c r="A6652" s="422"/>
      <c r="B6652" s="461"/>
    </row>
    <row r="6653" spans="1:2">
      <c r="A6653" s="422"/>
      <c r="B6653" s="461"/>
    </row>
    <row r="6654" spans="1:2">
      <c r="A6654" s="422"/>
      <c r="B6654" s="461"/>
    </row>
    <row r="6655" spans="1:2">
      <c r="A6655" s="422"/>
      <c r="B6655" s="461"/>
    </row>
    <row r="6656" spans="1:2">
      <c r="A6656" s="422"/>
      <c r="B6656" s="461"/>
    </row>
    <row r="6657" spans="1:2">
      <c r="A6657" s="422"/>
      <c r="B6657" s="461"/>
    </row>
    <row r="6658" spans="1:2">
      <c r="A6658" s="422"/>
      <c r="B6658" s="461"/>
    </row>
    <row r="6659" spans="1:2">
      <c r="A6659" s="422"/>
      <c r="B6659" s="461"/>
    </row>
    <row r="6660" spans="1:2">
      <c r="A6660" s="422"/>
      <c r="B6660" s="461"/>
    </row>
    <row r="6661" spans="1:2">
      <c r="A6661" s="422"/>
      <c r="B6661" s="461"/>
    </row>
    <row r="6662" spans="1:2">
      <c r="A6662" s="422"/>
      <c r="B6662" s="461"/>
    </row>
    <row r="6663" spans="1:2">
      <c r="A6663" s="422"/>
      <c r="B6663" s="461"/>
    </row>
    <row r="6664" spans="1:2">
      <c r="A6664" s="422"/>
      <c r="B6664" s="461"/>
    </row>
    <row r="6665" spans="1:2">
      <c r="A6665" s="422"/>
      <c r="B6665" s="461"/>
    </row>
    <row r="6666" spans="1:2">
      <c r="A6666" s="422"/>
      <c r="B6666" s="461"/>
    </row>
    <row r="6667" spans="1:2">
      <c r="A6667" s="422"/>
      <c r="B6667" s="461"/>
    </row>
    <row r="6668" spans="1:2">
      <c r="A6668" s="422"/>
      <c r="B6668" s="461"/>
    </row>
    <row r="6669" spans="1:2">
      <c r="A6669" s="422"/>
      <c r="B6669" s="461"/>
    </row>
    <row r="6670" spans="1:2">
      <c r="A6670" s="422"/>
      <c r="B6670" s="461"/>
    </row>
    <row r="6671" spans="1:2">
      <c r="A6671" s="422"/>
      <c r="B6671" s="461"/>
    </row>
    <row r="6672" spans="1:2">
      <c r="A6672" s="422"/>
      <c r="B6672" s="461"/>
    </row>
    <row r="6673" spans="1:2">
      <c r="A6673" s="422"/>
      <c r="B6673" s="461"/>
    </row>
    <row r="6674" spans="1:2">
      <c r="A6674" s="422"/>
      <c r="B6674" s="461"/>
    </row>
    <row r="6675" spans="1:2">
      <c r="A6675" s="422"/>
      <c r="B6675" s="461"/>
    </row>
    <row r="6676" spans="1:2">
      <c r="A6676" s="422"/>
      <c r="B6676" s="461"/>
    </row>
    <row r="6677" spans="1:2">
      <c r="A6677" s="422"/>
      <c r="B6677" s="461"/>
    </row>
    <row r="6678" spans="1:2">
      <c r="A6678" s="422"/>
      <c r="B6678" s="461"/>
    </row>
    <row r="6679" spans="1:2">
      <c r="A6679" s="422"/>
      <c r="B6679" s="461"/>
    </row>
    <row r="6680" spans="1:2">
      <c r="A6680" s="422"/>
      <c r="B6680" s="461"/>
    </row>
    <row r="6681" spans="1:2">
      <c r="A6681" s="422"/>
      <c r="B6681" s="461"/>
    </row>
    <row r="6682" spans="1:2">
      <c r="A6682" s="422"/>
      <c r="B6682" s="461"/>
    </row>
    <row r="6683" spans="1:2">
      <c r="A6683" s="422"/>
      <c r="B6683" s="461"/>
    </row>
    <row r="6684" spans="1:2">
      <c r="A6684" s="422"/>
      <c r="B6684" s="461"/>
    </row>
    <row r="6685" spans="1:2">
      <c r="A6685" s="422"/>
      <c r="B6685" s="461"/>
    </row>
    <row r="6686" spans="1:2">
      <c r="A6686" s="422"/>
      <c r="B6686" s="461"/>
    </row>
    <row r="6687" spans="1:2">
      <c r="A6687" s="422"/>
      <c r="B6687" s="461"/>
    </row>
    <row r="6688" spans="1:2">
      <c r="A6688" s="422"/>
      <c r="B6688" s="461"/>
    </row>
    <row r="6689" spans="1:2">
      <c r="A6689" s="422"/>
      <c r="B6689" s="461"/>
    </row>
    <row r="6690" spans="1:2">
      <c r="A6690" s="422"/>
      <c r="B6690" s="461"/>
    </row>
    <row r="6691" spans="1:2">
      <c r="A6691" s="422"/>
      <c r="B6691" s="461"/>
    </row>
    <row r="6692" spans="1:2">
      <c r="A6692" s="422"/>
      <c r="B6692" s="461"/>
    </row>
    <row r="6693" spans="1:2">
      <c r="A6693" s="422"/>
      <c r="B6693" s="461"/>
    </row>
    <row r="6694" spans="1:2">
      <c r="A6694" s="422"/>
      <c r="B6694" s="461"/>
    </row>
    <row r="6695" spans="1:2">
      <c r="A6695" s="422"/>
      <c r="B6695" s="461"/>
    </row>
    <row r="6696" spans="1:2">
      <c r="A6696" s="422"/>
      <c r="B6696" s="461"/>
    </row>
    <row r="6697" spans="1:2">
      <c r="A6697" s="422"/>
      <c r="B6697" s="461"/>
    </row>
    <row r="6698" spans="1:2">
      <c r="A6698" s="422"/>
      <c r="B6698" s="461"/>
    </row>
    <row r="6699" spans="1:2">
      <c r="A6699" s="422"/>
      <c r="B6699" s="461"/>
    </row>
    <row r="6700" spans="1:2">
      <c r="A6700" s="422"/>
      <c r="B6700" s="461"/>
    </row>
    <row r="6701" spans="1:2">
      <c r="A6701" s="422"/>
      <c r="B6701" s="461"/>
    </row>
    <row r="6702" spans="1:2">
      <c r="A6702" s="422"/>
      <c r="B6702" s="461"/>
    </row>
    <row r="6703" spans="1:2">
      <c r="A6703" s="422"/>
      <c r="B6703" s="461"/>
    </row>
    <row r="6704" spans="1:2">
      <c r="A6704" s="422"/>
      <c r="B6704" s="461"/>
    </row>
    <row r="6705" spans="1:2">
      <c r="A6705" s="422"/>
      <c r="B6705" s="461"/>
    </row>
    <row r="6706" spans="1:2">
      <c r="A6706" s="422"/>
      <c r="B6706" s="461"/>
    </row>
    <row r="6707" spans="1:2">
      <c r="A6707" s="422"/>
      <c r="B6707" s="461"/>
    </row>
    <row r="6708" spans="1:2">
      <c r="A6708" s="422"/>
      <c r="B6708" s="461"/>
    </row>
    <row r="6709" spans="1:2">
      <c r="A6709" s="422"/>
      <c r="B6709" s="461"/>
    </row>
    <row r="6710" spans="1:2">
      <c r="A6710" s="422"/>
      <c r="B6710" s="461"/>
    </row>
    <row r="6711" spans="1:2">
      <c r="A6711" s="422"/>
      <c r="B6711" s="461"/>
    </row>
    <row r="6712" spans="1:2">
      <c r="A6712" s="422"/>
      <c r="B6712" s="461"/>
    </row>
    <row r="6713" spans="1:2">
      <c r="A6713" s="422"/>
      <c r="B6713" s="461"/>
    </row>
    <row r="6714" spans="1:2">
      <c r="A6714" s="422"/>
      <c r="B6714" s="461"/>
    </row>
    <row r="6715" spans="1:2">
      <c r="A6715" s="422"/>
      <c r="B6715" s="461"/>
    </row>
    <row r="6716" spans="1:2">
      <c r="A6716" s="422"/>
      <c r="B6716" s="461"/>
    </row>
    <row r="6717" spans="1:2">
      <c r="A6717" s="422"/>
      <c r="B6717" s="461"/>
    </row>
    <row r="6718" spans="1:2">
      <c r="A6718" s="422"/>
      <c r="B6718" s="461"/>
    </row>
    <row r="6719" spans="1:2">
      <c r="A6719" s="422"/>
      <c r="B6719" s="461"/>
    </row>
    <row r="6720" spans="1:2">
      <c r="A6720" s="422"/>
      <c r="B6720" s="461"/>
    </row>
    <row r="6721" spans="1:2">
      <c r="A6721" s="422"/>
      <c r="B6721" s="461"/>
    </row>
    <row r="6722" spans="1:2">
      <c r="A6722" s="422"/>
      <c r="B6722" s="461"/>
    </row>
    <row r="6723" spans="1:2">
      <c r="A6723" s="422"/>
      <c r="B6723" s="461"/>
    </row>
    <row r="6724" spans="1:2">
      <c r="A6724" s="422"/>
      <c r="B6724" s="461"/>
    </row>
    <row r="6725" spans="1:2">
      <c r="A6725" s="422"/>
      <c r="B6725" s="461"/>
    </row>
    <row r="6726" spans="1:2">
      <c r="A6726" s="422"/>
      <c r="B6726" s="461"/>
    </row>
    <row r="6727" spans="1:2">
      <c r="A6727" s="422"/>
      <c r="B6727" s="461"/>
    </row>
    <row r="6728" spans="1:2">
      <c r="A6728" s="422"/>
      <c r="B6728" s="461"/>
    </row>
    <row r="6729" spans="1:2">
      <c r="A6729" s="422"/>
      <c r="B6729" s="461"/>
    </row>
    <row r="6730" spans="1:2">
      <c r="A6730" s="422"/>
      <c r="B6730" s="461"/>
    </row>
    <row r="6731" spans="1:2">
      <c r="A6731" s="422"/>
      <c r="B6731" s="461"/>
    </row>
    <row r="6732" spans="1:2">
      <c r="A6732" s="422"/>
      <c r="B6732" s="461"/>
    </row>
    <row r="6733" spans="1:2">
      <c r="A6733" s="422"/>
      <c r="B6733" s="461"/>
    </row>
    <row r="6734" spans="1:2">
      <c r="A6734" s="422"/>
      <c r="B6734" s="461"/>
    </row>
    <row r="6735" spans="1:2">
      <c r="A6735" s="422"/>
      <c r="B6735" s="461"/>
    </row>
    <row r="6736" spans="1:2">
      <c r="A6736" s="422"/>
      <c r="B6736" s="461"/>
    </row>
    <row r="6737" spans="1:2">
      <c r="A6737" s="422"/>
      <c r="B6737" s="461"/>
    </row>
    <row r="6738" spans="1:2">
      <c r="A6738" s="422"/>
      <c r="B6738" s="461"/>
    </row>
    <row r="6739" spans="1:2">
      <c r="A6739" s="422"/>
      <c r="B6739" s="461"/>
    </row>
    <row r="6740" spans="1:2">
      <c r="A6740" s="422"/>
      <c r="B6740" s="461"/>
    </row>
    <row r="6741" spans="1:2">
      <c r="A6741" s="422"/>
      <c r="B6741" s="461"/>
    </row>
    <row r="6742" spans="1:2">
      <c r="A6742" s="422"/>
      <c r="B6742" s="461"/>
    </row>
    <row r="6743" spans="1:2">
      <c r="A6743" s="422"/>
      <c r="B6743" s="461"/>
    </row>
    <row r="6744" spans="1:2">
      <c r="A6744" s="422"/>
      <c r="B6744" s="461"/>
    </row>
    <row r="6745" spans="1:2">
      <c r="A6745" s="422"/>
      <c r="B6745" s="461"/>
    </row>
    <row r="6746" spans="1:2">
      <c r="A6746" s="422"/>
      <c r="B6746" s="461"/>
    </row>
    <row r="6747" spans="1:2">
      <c r="A6747" s="422"/>
      <c r="B6747" s="461"/>
    </row>
    <row r="6748" spans="1:2">
      <c r="A6748" s="422"/>
      <c r="B6748" s="461"/>
    </row>
    <row r="6749" spans="1:2">
      <c r="A6749" s="422"/>
      <c r="B6749" s="461"/>
    </row>
    <row r="6750" spans="1:2">
      <c r="A6750" s="422"/>
      <c r="B6750" s="461"/>
    </row>
    <row r="6751" spans="1:2">
      <c r="A6751" s="422"/>
      <c r="B6751" s="461"/>
    </row>
    <row r="6752" spans="1:2">
      <c r="A6752" s="422"/>
      <c r="B6752" s="461"/>
    </row>
    <row r="6753" spans="1:2">
      <c r="A6753" s="422"/>
      <c r="B6753" s="461"/>
    </row>
    <row r="6754" spans="1:2">
      <c r="A6754" s="422"/>
      <c r="B6754" s="461"/>
    </row>
    <row r="6755" spans="1:2">
      <c r="A6755" s="422"/>
      <c r="B6755" s="461"/>
    </row>
    <row r="6756" spans="1:2">
      <c r="A6756" s="422"/>
      <c r="B6756" s="461"/>
    </row>
    <row r="6757" spans="1:2">
      <c r="A6757" s="422"/>
      <c r="B6757" s="461"/>
    </row>
    <row r="6758" spans="1:2">
      <c r="A6758" s="422"/>
      <c r="B6758" s="461"/>
    </row>
    <row r="6759" spans="1:2">
      <c r="A6759" s="422"/>
      <c r="B6759" s="461"/>
    </row>
    <row r="6760" spans="1:2">
      <c r="A6760" s="422"/>
      <c r="B6760" s="461"/>
    </row>
    <row r="6761" spans="1:2">
      <c r="A6761" s="422"/>
      <c r="B6761" s="461"/>
    </row>
    <row r="6762" spans="1:2">
      <c r="A6762" s="422"/>
      <c r="B6762" s="461"/>
    </row>
    <row r="6763" spans="1:2">
      <c r="A6763" s="422"/>
      <c r="B6763" s="461"/>
    </row>
    <row r="6764" spans="1:2">
      <c r="A6764" s="422"/>
      <c r="B6764" s="461"/>
    </row>
    <row r="6765" spans="1:2">
      <c r="A6765" s="422"/>
      <c r="B6765" s="461"/>
    </row>
    <row r="6766" spans="1:2">
      <c r="A6766" s="422"/>
      <c r="B6766" s="461"/>
    </row>
    <row r="6767" spans="1:2">
      <c r="A6767" s="422"/>
      <c r="B6767" s="461"/>
    </row>
    <row r="6768" spans="1:2">
      <c r="A6768" s="422"/>
      <c r="B6768" s="461"/>
    </row>
    <row r="6769" spans="1:2">
      <c r="A6769" s="422"/>
      <c r="B6769" s="461"/>
    </row>
    <row r="6770" spans="1:2">
      <c r="A6770" s="422"/>
      <c r="B6770" s="461"/>
    </row>
    <row r="6771" spans="1:2">
      <c r="A6771" s="422"/>
      <c r="B6771" s="461"/>
    </row>
    <row r="6772" spans="1:2">
      <c r="A6772" s="422"/>
      <c r="B6772" s="461"/>
    </row>
    <row r="6773" spans="1:2">
      <c r="A6773" s="422"/>
      <c r="B6773" s="461"/>
    </row>
    <row r="6774" spans="1:2">
      <c r="A6774" s="422"/>
      <c r="B6774" s="461"/>
    </row>
    <row r="6775" spans="1:2">
      <c r="A6775" s="422"/>
      <c r="B6775" s="461"/>
    </row>
    <row r="6776" spans="1:2">
      <c r="A6776" s="422"/>
      <c r="B6776" s="461"/>
    </row>
    <row r="6777" spans="1:2">
      <c r="A6777" s="422"/>
      <c r="B6777" s="461"/>
    </row>
    <row r="6778" spans="1:2">
      <c r="A6778" s="422"/>
      <c r="B6778" s="461"/>
    </row>
    <row r="6779" spans="1:2">
      <c r="A6779" s="422"/>
      <c r="B6779" s="461"/>
    </row>
    <row r="6780" spans="1:2">
      <c r="A6780" s="422"/>
      <c r="B6780" s="461"/>
    </row>
    <row r="6781" spans="1:2">
      <c r="A6781" s="422"/>
      <c r="B6781" s="461"/>
    </row>
    <row r="6782" spans="1:2">
      <c r="A6782" s="422"/>
      <c r="B6782" s="461"/>
    </row>
    <row r="6783" spans="1:2">
      <c r="A6783" s="422"/>
      <c r="B6783" s="461"/>
    </row>
    <row r="6784" spans="1:2">
      <c r="A6784" s="422"/>
      <c r="B6784" s="461"/>
    </row>
    <row r="6785" spans="1:2">
      <c r="A6785" s="422"/>
      <c r="B6785" s="461"/>
    </row>
    <row r="6786" spans="1:2">
      <c r="A6786" s="422"/>
      <c r="B6786" s="461"/>
    </row>
    <row r="6787" spans="1:2">
      <c r="A6787" s="422"/>
      <c r="B6787" s="461"/>
    </row>
    <row r="6788" spans="1:2">
      <c r="A6788" s="422"/>
      <c r="B6788" s="461"/>
    </row>
    <row r="6789" spans="1:2">
      <c r="A6789" s="422"/>
      <c r="B6789" s="461"/>
    </row>
    <row r="6790" spans="1:2">
      <c r="A6790" s="422"/>
      <c r="B6790" s="461"/>
    </row>
    <row r="6791" spans="1:2">
      <c r="A6791" s="422"/>
      <c r="B6791" s="461"/>
    </row>
    <row r="6792" spans="1:2">
      <c r="A6792" s="422"/>
      <c r="B6792" s="461"/>
    </row>
    <row r="6793" spans="1:2">
      <c r="A6793" s="422"/>
      <c r="B6793" s="461"/>
    </row>
    <row r="6794" spans="1:2">
      <c r="A6794" s="422"/>
      <c r="B6794" s="461"/>
    </row>
    <row r="6795" spans="1:2">
      <c r="A6795" s="422"/>
      <c r="B6795" s="461"/>
    </row>
    <row r="6796" spans="1:2">
      <c r="A6796" s="422"/>
      <c r="B6796" s="461"/>
    </row>
    <row r="6797" spans="1:2">
      <c r="A6797" s="422"/>
      <c r="B6797" s="461"/>
    </row>
    <row r="6798" spans="1:2">
      <c r="A6798" s="422"/>
      <c r="B6798" s="461"/>
    </row>
    <row r="6799" spans="1:2">
      <c r="A6799" s="422"/>
      <c r="B6799" s="461"/>
    </row>
    <row r="6800" spans="1:2">
      <c r="A6800" s="422"/>
      <c r="B6800" s="461"/>
    </row>
    <row r="6801" spans="1:2">
      <c r="A6801" s="422"/>
      <c r="B6801" s="461"/>
    </row>
    <row r="6802" spans="1:2">
      <c r="A6802" s="422"/>
      <c r="B6802" s="461"/>
    </row>
    <row r="6803" spans="1:2">
      <c r="A6803" s="422"/>
      <c r="B6803" s="461"/>
    </row>
    <row r="6804" spans="1:2">
      <c r="A6804" s="422"/>
      <c r="B6804" s="461"/>
    </row>
    <row r="6805" spans="1:2">
      <c r="A6805" s="422"/>
      <c r="B6805" s="461"/>
    </row>
    <row r="6806" spans="1:2">
      <c r="A6806" s="422"/>
      <c r="B6806" s="461"/>
    </row>
    <row r="6807" spans="1:2">
      <c r="A6807" s="422"/>
      <c r="B6807" s="461"/>
    </row>
    <row r="6808" spans="1:2">
      <c r="A6808" s="422"/>
      <c r="B6808" s="461"/>
    </row>
    <row r="6809" spans="1:2">
      <c r="A6809" s="422"/>
      <c r="B6809" s="461"/>
    </row>
    <row r="6810" spans="1:2">
      <c r="A6810" s="422"/>
      <c r="B6810" s="461"/>
    </row>
    <row r="6811" spans="1:2">
      <c r="A6811" s="422"/>
      <c r="B6811" s="461"/>
    </row>
    <row r="6812" spans="1:2">
      <c r="A6812" s="422"/>
      <c r="B6812" s="461"/>
    </row>
    <row r="6813" spans="1:2">
      <c r="A6813" s="422"/>
      <c r="B6813" s="461"/>
    </row>
    <row r="6814" spans="1:2">
      <c r="A6814" s="422"/>
      <c r="B6814" s="461"/>
    </row>
    <row r="6815" spans="1:2">
      <c r="A6815" s="422"/>
      <c r="B6815" s="461"/>
    </row>
    <row r="6816" spans="1:2">
      <c r="A6816" s="422"/>
      <c r="B6816" s="461"/>
    </row>
    <row r="6817" spans="1:2">
      <c r="A6817" s="422"/>
      <c r="B6817" s="461"/>
    </row>
    <row r="6818" spans="1:2">
      <c r="A6818" s="422"/>
      <c r="B6818" s="461"/>
    </row>
    <row r="6819" spans="1:2">
      <c r="A6819" s="422"/>
      <c r="B6819" s="461"/>
    </row>
    <row r="6820" spans="1:2">
      <c r="A6820" s="422"/>
      <c r="B6820" s="461"/>
    </row>
    <row r="6821" spans="1:2">
      <c r="A6821" s="422"/>
      <c r="B6821" s="461"/>
    </row>
    <row r="6822" spans="1:2">
      <c r="A6822" s="422"/>
      <c r="B6822" s="461"/>
    </row>
    <row r="6823" spans="1:2">
      <c r="A6823" s="422"/>
      <c r="B6823" s="461"/>
    </row>
    <row r="6824" spans="1:2">
      <c r="A6824" s="422"/>
      <c r="B6824" s="461"/>
    </row>
    <row r="6825" spans="1:2">
      <c r="A6825" s="422"/>
      <c r="B6825" s="461"/>
    </row>
    <row r="6826" spans="1:2">
      <c r="A6826" s="422"/>
      <c r="B6826" s="461"/>
    </row>
    <row r="6827" spans="1:2">
      <c r="A6827" s="422"/>
      <c r="B6827" s="461"/>
    </row>
    <row r="6828" spans="1:2">
      <c r="A6828" s="422"/>
      <c r="B6828" s="461"/>
    </row>
    <row r="6829" spans="1:2">
      <c r="A6829" s="422"/>
      <c r="B6829" s="461"/>
    </row>
    <row r="6830" spans="1:2">
      <c r="A6830" s="422"/>
      <c r="B6830" s="461"/>
    </row>
    <row r="6831" spans="1:2">
      <c r="A6831" s="422"/>
      <c r="B6831" s="461"/>
    </row>
    <row r="6832" spans="1:2">
      <c r="A6832" s="422"/>
      <c r="B6832" s="461"/>
    </row>
    <row r="6833" spans="1:2">
      <c r="A6833" s="422"/>
      <c r="B6833" s="461"/>
    </row>
    <row r="6834" spans="1:2">
      <c r="A6834" s="422"/>
      <c r="B6834" s="461"/>
    </row>
    <row r="6835" spans="1:2">
      <c r="A6835" s="422"/>
      <c r="B6835" s="461"/>
    </row>
    <row r="6836" spans="1:2">
      <c r="A6836" s="422"/>
      <c r="B6836" s="461"/>
    </row>
    <row r="6837" spans="1:2">
      <c r="A6837" s="422"/>
      <c r="B6837" s="461"/>
    </row>
    <row r="6838" spans="1:2">
      <c r="A6838" s="422"/>
      <c r="B6838" s="461"/>
    </row>
    <row r="6839" spans="1:2">
      <c r="A6839" s="422"/>
      <c r="B6839" s="461"/>
    </row>
    <row r="6840" spans="1:2">
      <c r="A6840" s="422"/>
      <c r="B6840" s="461"/>
    </row>
    <row r="6841" spans="1:2">
      <c r="A6841" s="422"/>
      <c r="B6841" s="461"/>
    </row>
    <row r="6842" spans="1:2">
      <c r="A6842" s="422"/>
      <c r="B6842" s="461"/>
    </row>
    <row r="6843" spans="1:2">
      <c r="A6843" s="422"/>
      <c r="B6843" s="461"/>
    </row>
    <row r="6844" spans="1:2">
      <c r="A6844" s="422"/>
      <c r="B6844" s="461"/>
    </row>
    <row r="6845" spans="1:2">
      <c r="A6845" s="422"/>
      <c r="B6845" s="461"/>
    </row>
    <row r="6846" spans="1:2">
      <c r="A6846" s="422"/>
      <c r="B6846" s="461"/>
    </row>
    <row r="6847" spans="1:2">
      <c r="A6847" s="422"/>
      <c r="B6847" s="461"/>
    </row>
    <row r="6848" spans="1:2">
      <c r="A6848" s="422"/>
      <c r="B6848" s="461"/>
    </row>
    <row r="6849" spans="1:2">
      <c r="A6849" s="422"/>
      <c r="B6849" s="461"/>
    </row>
    <row r="6850" spans="1:2">
      <c r="A6850" s="422"/>
      <c r="B6850" s="461"/>
    </row>
    <row r="6851" spans="1:2">
      <c r="A6851" s="422"/>
      <c r="B6851" s="461"/>
    </row>
    <row r="6852" spans="1:2">
      <c r="A6852" s="422"/>
      <c r="B6852" s="461"/>
    </row>
    <row r="6853" spans="1:2">
      <c r="A6853" s="422"/>
      <c r="B6853" s="461"/>
    </row>
    <row r="6854" spans="1:2">
      <c r="A6854" s="422"/>
      <c r="B6854" s="461"/>
    </row>
    <row r="6855" spans="1:2">
      <c r="A6855" s="422"/>
      <c r="B6855" s="461"/>
    </row>
    <row r="6856" spans="1:2">
      <c r="A6856" s="422"/>
      <c r="B6856" s="461"/>
    </row>
    <row r="6857" spans="1:2">
      <c r="A6857" s="422"/>
      <c r="B6857" s="461"/>
    </row>
    <row r="6858" spans="1:2">
      <c r="A6858" s="422"/>
      <c r="B6858" s="461"/>
    </row>
    <row r="6859" spans="1:2">
      <c r="A6859" s="422"/>
      <c r="B6859" s="461"/>
    </row>
    <row r="6860" spans="1:2">
      <c r="A6860" s="422"/>
      <c r="B6860" s="461"/>
    </row>
    <row r="6861" spans="1:2">
      <c r="A6861" s="422"/>
      <c r="B6861" s="461"/>
    </row>
    <row r="6862" spans="1:2">
      <c r="A6862" s="422"/>
      <c r="B6862" s="461"/>
    </row>
    <row r="6863" spans="1:2">
      <c r="A6863" s="422"/>
      <c r="B6863" s="461"/>
    </row>
    <row r="6864" spans="1:2">
      <c r="A6864" s="422"/>
      <c r="B6864" s="461"/>
    </row>
    <row r="6865" spans="1:2">
      <c r="A6865" s="422"/>
      <c r="B6865" s="461"/>
    </row>
    <row r="6866" spans="1:2">
      <c r="A6866" s="422"/>
      <c r="B6866" s="461"/>
    </row>
    <row r="6867" spans="1:2">
      <c r="A6867" s="422"/>
      <c r="B6867" s="461"/>
    </row>
    <row r="6868" spans="1:2">
      <c r="A6868" s="422"/>
      <c r="B6868" s="461"/>
    </row>
    <row r="6869" spans="1:2">
      <c r="A6869" s="422"/>
      <c r="B6869" s="461"/>
    </row>
    <row r="6870" spans="1:2">
      <c r="A6870" s="422"/>
      <c r="B6870" s="461"/>
    </row>
    <row r="6871" spans="1:2">
      <c r="A6871" s="422"/>
      <c r="B6871" s="461"/>
    </row>
    <row r="6872" spans="1:2">
      <c r="A6872" s="422"/>
      <c r="B6872" s="461"/>
    </row>
    <row r="6873" spans="1:2">
      <c r="A6873" s="422"/>
      <c r="B6873" s="461"/>
    </row>
    <row r="6874" spans="1:2">
      <c r="A6874" s="422"/>
      <c r="B6874" s="461"/>
    </row>
    <row r="6875" spans="1:2">
      <c r="A6875" s="422"/>
      <c r="B6875" s="461"/>
    </row>
    <row r="6876" spans="1:2">
      <c r="A6876" s="422"/>
      <c r="B6876" s="461"/>
    </row>
    <row r="6877" spans="1:2">
      <c r="A6877" s="422"/>
      <c r="B6877" s="461"/>
    </row>
    <row r="6878" spans="1:2">
      <c r="A6878" s="422"/>
      <c r="B6878" s="461"/>
    </row>
    <row r="6879" spans="1:2">
      <c r="A6879" s="422"/>
      <c r="B6879" s="461"/>
    </row>
    <row r="6880" spans="1:2">
      <c r="A6880" s="422"/>
      <c r="B6880" s="461"/>
    </row>
    <row r="6881" spans="1:2">
      <c r="A6881" s="422"/>
      <c r="B6881" s="461"/>
    </row>
    <row r="6882" spans="1:2">
      <c r="A6882" s="422"/>
      <c r="B6882" s="461"/>
    </row>
    <row r="6883" spans="1:2">
      <c r="A6883" s="422"/>
      <c r="B6883" s="461"/>
    </row>
    <row r="6884" spans="1:2">
      <c r="A6884" s="422"/>
      <c r="B6884" s="461"/>
    </row>
    <row r="6885" spans="1:2">
      <c r="A6885" s="422"/>
      <c r="B6885" s="461"/>
    </row>
    <row r="6886" spans="1:2">
      <c r="A6886" s="422"/>
      <c r="B6886" s="461"/>
    </row>
    <row r="6887" spans="1:2">
      <c r="A6887" s="422"/>
      <c r="B6887" s="461"/>
    </row>
    <row r="6888" spans="1:2">
      <c r="A6888" s="422"/>
      <c r="B6888" s="461"/>
    </row>
    <row r="6889" spans="1:2">
      <c r="A6889" s="422"/>
      <c r="B6889" s="461"/>
    </row>
    <row r="6890" spans="1:2">
      <c r="A6890" s="422"/>
      <c r="B6890" s="461"/>
    </row>
    <row r="6891" spans="1:2">
      <c r="A6891" s="422"/>
      <c r="B6891" s="461"/>
    </row>
    <row r="6892" spans="1:2">
      <c r="A6892" s="422"/>
      <c r="B6892" s="461"/>
    </row>
    <row r="6893" spans="1:2">
      <c r="A6893" s="422"/>
      <c r="B6893" s="461"/>
    </row>
    <row r="6894" spans="1:2">
      <c r="A6894" s="422"/>
      <c r="B6894" s="461"/>
    </row>
    <row r="6895" spans="1:2">
      <c r="A6895" s="422"/>
      <c r="B6895" s="461"/>
    </row>
    <row r="6896" spans="1:2">
      <c r="A6896" s="422"/>
      <c r="B6896" s="461"/>
    </row>
    <row r="6897" spans="1:2">
      <c r="A6897" s="422"/>
      <c r="B6897" s="461"/>
    </row>
    <row r="6898" spans="1:2">
      <c r="A6898" s="422"/>
      <c r="B6898" s="461"/>
    </row>
    <row r="6899" spans="1:2">
      <c r="A6899" s="422"/>
      <c r="B6899" s="461"/>
    </row>
    <row r="6900" spans="1:2">
      <c r="A6900" s="422"/>
      <c r="B6900" s="461"/>
    </row>
    <row r="6901" spans="1:2">
      <c r="A6901" s="422"/>
      <c r="B6901" s="461"/>
    </row>
    <row r="6902" spans="1:2">
      <c r="A6902" s="422"/>
      <c r="B6902" s="461"/>
    </row>
    <row r="6903" spans="1:2">
      <c r="A6903" s="422"/>
      <c r="B6903" s="461"/>
    </row>
    <row r="6904" spans="1:2">
      <c r="A6904" s="422"/>
      <c r="B6904" s="461"/>
    </row>
    <row r="6905" spans="1:2">
      <c r="A6905" s="422"/>
      <c r="B6905" s="461"/>
    </row>
    <row r="6906" spans="1:2">
      <c r="A6906" s="422"/>
      <c r="B6906" s="461"/>
    </row>
    <row r="6907" spans="1:2">
      <c r="A6907" s="422"/>
      <c r="B6907" s="461"/>
    </row>
    <row r="6908" spans="1:2">
      <c r="A6908" s="422"/>
      <c r="B6908" s="461"/>
    </row>
    <row r="6909" spans="1:2">
      <c r="A6909" s="422"/>
      <c r="B6909" s="461"/>
    </row>
    <row r="6910" spans="1:2">
      <c r="A6910" s="422"/>
      <c r="B6910" s="461"/>
    </row>
    <row r="6911" spans="1:2">
      <c r="A6911" s="422"/>
      <c r="B6911" s="461"/>
    </row>
    <row r="6912" spans="1:2">
      <c r="A6912" s="422"/>
      <c r="B6912" s="461"/>
    </row>
    <row r="6913" spans="1:2">
      <c r="A6913" s="422"/>
      <c r="B6913" s="461"/>
    </row>
    <row r="6914" spans="1:2">
      <c r="A6914" s="422"/>
      <c r="B6914" s="461"/>
    </row>
    <row r="6915" spans="1:2">
      <c r="A6915" s="422"/>
      <c r="B6915" s="461"/>
    </row>
    <row r="6916" spans="1:2">
      <c r="A6916" s="422"/>
      <c r="B6916" s="461"/>
    </row>
    <row r="6917" spans="1:2">
      <c r="A6917" s="422"/>
      <c r="B6917" s="461"/>
    </row>
    <row r="6918" spans="1:2">
      <c r="A6918" s="422"/>
      <c r="B6918" s="461"/>
    </row>
    <row r="6919" spans="1:2">
      <c r="A6919" s="422"/>
      <c r="B6919" s="461"/>
    </row>
    <row r="6920" spans="1:2">
      <c r="A6920" s="422"/>
      <c r="B6920" s="461"/>
    </row>
    <row r="6921" spans="1:2">
      <c r="A6921" s="422"/>
      <c r="B6921" s="461"/>
    </row>
    <row r="6922" spans="1:2">
      <c r="A6922" s="422"/>
      <c r="B6922" s="461"/>
    </row>
    <row r="6923" spans="1:2">
      <c r="A6923" s="422"/>
      <c r="B6923" s="461"/>
    </row>
    <row r="6924" spans="1:2">
      <c r="A6924" s="422"/>
      <c r="B6924" s="461"/>
    </row>
    <row r="6925" spans="1:2">
      <c r="A6925" s="422"/>
      <c r="B6925" s="461"/>
    </row>
    <row r="6926" spans="1:2">
      <c r="A6926" s="422"/>
      <c r="B6926" s="461"/>
    </row>
    <row r="6927" spans="1:2">
      <c r="A6927" s="422"/>
      <c r="B6927" s="461"/>
    </row>
    <row r="6928" spans="1:2">
      <c r="A6928" s="422"/>
      <c r="B6928" s="461"/>
    </row>
    <row r="6929" spans="1:2">
      <c r="A6929" s="422"/>
      <c r="B6929" s="461"/>
    </row>
    <row r="6930" spans="1:2">
      <c r="A6930" s="422"/>
      <c r="B6930" s="461"/>
    </row>
    <row r="6931" spans="1:2">
      <c r="A6931" s="422"/>
      <c r="B6931" s="461"/>
    </row>
    <row r="6932" spans="1:2">
      <c r="A6932" s="422"/>
      <c r="B6932" s="461"/>
    </row>
    <row r="6933" spans="1:2">
      <c r="A6933" s="422"/>
      <c r="B6933" s="461"/>
    </row>
    <row r="6934" spans="1:2">
      <c r="A6934" s="422"/>
      <c r="B6934" s="461"/>
    </row>
    <row r="6935" spans="1:2">
      <c r="A6935" s="422"/>
      <c r="B6935" s="461"/>
    </row>
    <row r="6936" spans="1:2">
      <c r="A6936" s="422"/>
      <c r="B6936" s="461"/>
    </row>
    <row r="6937" spans="1:2">
      <c r="A6937" s="422"/>
      <c r="B6937" s="461"/>
    </row>
    <row r="6938" spans="1:2">
      <c r="A6938" s="422"/>
      <c r="B6938" s="461"/>
    </row>
    <row r="6939" spans="1:2">
      <c r="A6939" s="422"/>
      <c r="B6939" s="461"/>
    </row>
    <row r="6940" spans="1:2">
      <c r="A6940" s="422"/>
      <c r="B6940" s="461"/>
    </row>
    <row r="6941" spans="1:2">
      <c r="A6941" s="422"/>
      <c r="B6941" s="461"/>
    </row>
    <row r="6942" spans="1:2">
      <c r="A6942" s="422"/>
      <c r="B6942" s="461"/>
    </row>
    <row r="6943" spans="1:2">
      <c r="A6943" s="422"/>
      <c r="B6943" s="461"/>
    </row>
    <row r="6944" spans="1:2">
      <c r="A6944" s="422"/>
      <c r="B6944" s="461"/>
    </row>
    <row r="6945" spans="1:2">
      <c r="A6945" s="422"/>
      <c r="B6945" s="461"/>
    </row>
    <row r="6946" spans="1:2">
      <c r="A6946" s="422"/>
      <c r="B6946" s="461"/>
    </row>
    <row r="6947" spans="1:2">
      <c r="A6947" s="422"/>
      <c r="B6947" s="461"/>
    </row>
    <row r="6948" spans="1:2">
      <c r="A6948" s="422"/>
      <c r="B6948" s="461"/>
    </row>
    <row r="6949" spans="1:2">
      <c r="A6949" s="422"/>
      <c r="B6949" s="461"/>
    </row>
    <row r="6950" spans="1:2">
      <c r="A6950" s="422"/>
      <c r="B6950" s="461"/>
    </row>
    <row r="6951" spans="1:2">
      <c r="A6951" s="422"/>
      <c r="B6951" s="461"/>
    </row>
    <row r="6952" spans="1:2">
      <c r="A6952" s="422"/>
      <c r="B6952" s="461"/>
    </row>
    <row r="6953" spans="1:2">
      <c r="A6953" s="422"/>
      <c r="B6953" s="461"/>
    </row>
    <row r="6954" spans="1:2">
      <c r="A6954" s="422"/>
      <c r="B6954" s="461"/>
    </row>
    <row r="6955" spans="1:2">
      <c r="A6955" s="422"/>
      <c r="B6955" s="461"/>
    </row>
    <row r="6956" spans="1:2">
      <c r="A6956" s="422"/>
      <c r="B6956" s="461"/>
    </row>
    <row r="6957" spans="1:2">
      <c r="A6957" s="422"/>
      <c r="B6957" s="461"/>
    </row>
    <row r="6958" spans="1:2">
      <c r="A6958" s="422"/>
      <c r="B6958" s="461"/>
    </row>
    <row r="6959" spans="1:2">
      <c r="A6959" s="422"/>
      <c r="B6959" s="461"/>
    </row>
    <row r="6960" spans="1:2">
      <c r="A6960" s="422"/>
      <c r="B6960" s="461"/>
    </row>
    <row r="6961" spans="1:2">
      <c r="A6961" s="422"/>
      <c r="B6961" s="461"/>
    </row>
    <row r="6962" spans="1:2">
      <c r="A6962" s="422"/>
      <c r="B6962" s="461"/>
    </row>
    <row r="6963" spans="1:2">
      <c r="A6963" s="422"/>
      <c r="B6963" s="461"/>
    </row>
    <row r="6964" spans="1:2">
      <c r="A6964" s="422"/>
      <c r="B6964" s="461"/>
    </row>
    <row r="6965" spans="1:2">
      <c r="A6965" s="422"/>
      <c r="B6965" s="461"/>
    </row>
    <row r="6966" spans="1:2">
      <c r="A6966" s="422"/>
      <c r="B6966" s="461"/>
    </row>
    <row r="6967" spans="1:2">
      <c r="A6967" s="422"/>
      <c r="B6967" s="461"/>
    </row>
    <row r="6968" spans="1:2">
      <c r="A6968" s="422"/>
      <c r="B6968" s="461"/>
    </row>
    <row r="6969" spans="1:2">
      <c r="A6969" s="422"/>
      <c r="B6969" s="461"/>
    </row>
    <row r="6970" spans="1:2">
      <c r="A6970" s="422"/>
      <c r="B6970" s="461"/>
    </row>
    <row r="6971" spans="1:2">
      <c r="A6971" s="422"/>
      <c r="B6971" s="461"/>
    </row>
    <row r="6972" spans="1:2">
      <c r="A6972" s="422"/>
      <c r="B6972" s="461"/>
    </row>
    <row r="6973" spans="1:2">
      <c r="A6973" s="422"/>
      <c r="B6973" s="461"/>
    </row>
    <row r="6974" spans="1:2">
      <c r="A6974" s="422"/>
      <c r="B6974" s="461"/>
    </row>
    <row r="6975" spans="1:2">
      <c r="A6975" s="422"/>
      <c r="B6975" s="461"/>
    </row>
    <row r="6976" spans="1:2">
      <c r="A6976" s="422"/>
      <c r="B6976" s="461"/>
    </row>
    <row r="6977" spans="1:2">
      <c r="A6977" s="422"/>
      <c r="B6977" s="461"/>
    </row>
    <row r="6978" spans="1:2">
      <c r="A6978" s="422"/>
      <c r="B6978" s="461"/>
    </row>
    <row r="6979" spans="1:2">
      <c r="A6979" s="422"/>
      <c r="B6979" s="461"/>
    </row>
    <row r="6980" spans="1:2">
      <c r="A6980" s="422"/>
      <c r="B6980" s="461"/>
    </row>
    <row r="6981" spans="1:2">
      <c r="A6981" s="422"/>
      <c r="B6981" s="461"/>
    </row>
    <row r="6982" spans="1:2">
      <c r="A6982" s="422"/>
      <c r="B6982" s="461"/>
    </row>
    <row r="6983" spans="1:2">
      <c r="A6983" s="422"/>
      <c r="B6983" s="461"/>
    </row>
    <row r="6984" spans="1:2">
      <c r="A6984" s="422"/>
      <c r="B6984" s="461"/>
    </row>
    <row r="6985" spans="1:2">
      <c r="A6985" s="422"/>
      <c r="B6985" s="461"/>
    </row>
    <row r="6986" spans="1:2">
      <c r="A6986" s="422"/>
      <c r="B6986" s="461"/>
    </row>
    <row r="6987" spans="1:2">
      <c r="A6987" s="422"/>
      <c r="B6987" s="461"/>
    </row>
    <row r="6988" spans="1:2">
      <c r="A6988" s="422"/>
      <c r="B6988" s="461"/>
    </row>
    <row r="6989" spans="1:2">
      <c r="A6989" s="422"/>
      <c r="B6989" s="461"/>
    </row>
    <row r="6990" spans="1:2">
      <c r="A6990" s="422"/>
      <c r="B6990" s="461"/>
    </row>
    <row r="6991" spans="1:2">
      <c r="A6991" s="422"/>
      <c r="B6991" s="461"/>
    </row>
    <row r="6992" spans="1:2">
      <c r="A6992" s="422"/>
      <c r="B6992" s="461"/>
    </row>
    <row r="6993" spans="1:2">
      <c r="A6993" s="422"/>
      <c r="B6993" s="461"/>
    </row>
    <row r="6994" spans="1:2">
      <c r="A6994" s="422"/>
      <c r="B6994" s="461"/>
    </row>
    <row r="6995" spans="1:2">
      <c r="A6995" s="422"/>
      <c r="B6995" s="461"/>
    </row>
    <row r="6996" spans="1:2">
      <c r="A6996" s="422"/>
      <c r="B6996" s="461"/>
    </row>
    <row r="6997" spans="1:2">
      <c r="A6997" s="422"/>
      <c r="B6997" s="461"/>
    </row>
    <row r="6998" spans="1:2">
      <c r="A6998" s="422"/>
      <c r="B6998" s="461"/>
    </row>
    <row r="6999" spans="1:2">
      <c r="A6999" s="422"/>
      <c r="B6999" s="461"/>
    </row>
    <row r="7000" spans="1:2">
      <c r="A7000" s="422"/>
      <c r="B7000" s="461"/>
    </row>
    <row r="7001" spans="1:2">
      <c r="A7001" s="422"/>
      <c r="B7001" s="461"/>
    </row>
    <row r="7002" spans="1:2">
      <c r="A7002" s="422"/>
      <c r="B7002" s="461"/>
    </row>
    <row r="7003" spans="1:2">
      <c r="A7003" s="422"/>
      <c r="B7003" s="461"/>
    </row>
    <row r="7004" spans="1:2">
      <c r="A7004" s="422"/>
      <c r="B7004" s="461"/>
    </row>
    <row r="7005" spans="1:2">
      <c r="A7005" s="422"/>
      <c r="B7005" s="461"/>
    </row>
    <row r="7006" spans="1:2">
      <c r="A7006" s="422"/>
      <c r="B7006" s="461"/>
    </row>
    <row r="7007" spans="1:2">
      <c r="A7007" s="422"/>
      <c r="B7007" s="461"/>
    </row>
    <row r="7008" spans="1:2">
      <c r="A7008" s="422"/>
      <c r="B7008" s="461"/>
    </row>
    <row r="7009" spans="1:2">
      <c r="A7009" s="422"/>
      <c r="B7009" s="461"/>
    </row>
    <row r="7010" spans="1:2">
      <c r="A7010" s="422"/>
      <c r="B7010" s="461"/>
    </row>
    <row r="7011" spans="1:2">
      <c r="A7011" s="422"/>
      <c r="B7011" s="461"/>
    </row>
    <row r="7012" spans="1:2">
      <c r="A7012" s="422"/>
      <c r="B7012" s="461"/>
    </row>
    <row r="7013" spans="1:2">
      <c r="A7013" s="422"/>
      <c r="B7013" s="461"/>
    </row>
    <row r="7014" spans="1:2">
      <c r="A7014" s="422"/>
      <c r="B7014" s="461"/>
    </row>
    <row r="7015" spans="1:2">
      <c r="A7015" s="422"/>
      <c r="B7015" s="461"/>
    </row>
    <row r="7016" spans="1:2">
      <c r="A7016" s="422"/>
      <c r="B7016" s="461"/>
    </row>
    <row r="7017" spans="1:2">
      <c r="A7017" s="422"/>
      <c r="B7017" s="461"/>
    </row>
    <row r="7018" spans="1:2">
      <c r="A7018" s="422"/>
      <c r="B7018" s="461"/>
    </row>
    <row r="7019" spans="1:2">
      <c r="A7019" s="422"/>
      <c r="B7019" s="461"/>
    </row>
    <row r="7020" spans="1:2">
      <c r="A7020" s="422"/>
      <c r="B7020" s="461"/>
    </row>
    <row r="7021" spans="1:2">
      <c r="A7021" s="422"/>
      <c r="B7021" s="461"/>
    </row>
    <row r="7022" spans="1:2">
      <c r="A7022" s="422"/>
      <c r="B7022" s="461"/>
    </row>
    <row r="7023" spans="1:2">
      <c r="A7023" s="422"/>
      <c r="B7023" s="461"/>
    </row>
    <row r="7024" spans="1:2">
      <c r="A7024" s="422"/>
      <c r="B7024" s="461"/>
    </row>
    <row r="7025" spans="1:2">
      <c r="A7025" s="422"/>
      <c r="B7025" s="461"/>
    </row>
    <row r="7026" spans="1:2">
      <c r="A7026" s="422"/>
      <c r="B7026" s="461"/>
    </row>
    <row r="7027" spans="1:2">
      <c r="A7027" s="422"/>
      <c r="B7027" s="461"/>
    </row>
    <row r="7028" spans="1:2">
      <c r="A7028" s="422"/>
      <c r="B7028" s="461"/>
    </row>
    <row r="7029" spans="1:2">
      <c r="A7029" s="422"/>
      <c r="B7029" s="461"/>
    </row>
    <row r="7030" spans="1:2">
      <c r="A7030" s="422"/>
      <c r="B7030" s="461"/>
    </row>
    <row r="7031" spans="1:2">
      <c r="A7031" s="422"/>
      <c r="B7031" s="461"/>
    </row>
    <row r="7032" spans="1:2">
      <c r="A7032" s="422"/>
      <c r="B7032" s="461"/>
    </row>
    <row r="7033" spans="1:2">
      <c r="A7033" s="422"/>
      <c r="B7033" s="461"/>
    </row>
    <row r="7034" spans="1:2">
      <c r="A7034" s="422"/>
      <c r="B7034" s="461"/>
    </row>
    <row r="7035" spans="1:2">
      <c r="A7035" s="422"/>
      <c r="B7035" s="461"/>
    </row>
    <row r="7036" spans="1:2">
      <c r="A7036" s="422"/>
      <c r="B7036" s="461"/>
    </row>
    <row r="7037" spans="1:2">
      <c r="A7037" s="422"/>
      <c r="B7037" s="461"/>
    </row>
    <row r="7038" spans="1:2">
      <c r="A7038" s="422"/>
      <c r="B7038" s="461"/>
    </row>
    <row r="7039" spans="1:2">
      <c r="A7039" s="422"/>
      <c r="B7039" s="461"/>
    </row>
    <row r="7040" spans="1:2">
      <c r="A7040" s="422"/>
      <c r="B7040" s="461"/>
    </row>
    <row r="7041" spans="1:2">
      <c r="A7041" s="422"/>
      <c r="B7041" s="461"/>
    </row>
    <row r="7042" spans="1:2">
      <c r="A7042" s="422"/>
      <c r="B7042" s="461"/>
    </row>
    <row r="7043" spans="1:2">
      <c r="A7043" s="422"/>
      <c r="B7043" s="461"/>
    </row>
    <row r="7044" spans="1:2">
      <c r="A7044" s="422"/>
      <c r="B7044" s="461"/>
    </row>
    <row r="7045" spans="1:2">
      <c r="A7045" s="422"/>
      <c r="B7045" s="461"/>
    </row>
    <row r="7046" spans="1:2">
      <c r="A7046" s="422"/>
      <c r="B7046" s="461"/>
    </row>
    <row r="7047" spans="1:2">
      <c r="A7047" s="422"/>
      <c r="B7047" s="461"/>
    </row>
    <row r="7048" spans="1:2">
      <c r="A7048" s="422"/>
      <c r="B7048" s="461"/>
    </row>
    <row r="7049" spans="1:2">
      <c r="A7049" s="422"/>
      <c r="B7049" s="461"/>
    </row>
    <row r="7050" spans="1:2">
      <c r="A7050" s="422"/>
      <c r="B7050" s="461"/>
    </row>
    <row r="7051" spans="1:2">
      <c r="A7051" s="422"/>
      <c r="B7051" s="461"/>
    </row>
    <row r="7052" spans="1:2">
      <c r="A7052" s="422"/>
      <c r="B7052" s="461"/>
    </row>
    <row r="7053" spans="1:2">
      <c r="A7053" s="422"/>
      <c r="B7053" s="461"/>
    </row>
    <row r="7054" spans="1:2">
      <c r="A7054" s="422"/>
      <c r="B7054" s="461"/>
    </row>
    <row r="7055" spans="1:2">
      <c r="A7055" s="422"/>
      <c r="B7055" s="461"/>
    </row>
    <row r="7056" spans="1:2">
      <c r="A7056" s="422"/>
      <c r="B7056" s="461"/>
    </row>
    <row r="7057" spans="1:2">
      <c r="A7057" s="422"/>
      <c r="B7057" s="461"/>
    </row>
    <row r="7058" spans="1:2">
      <c r="A7058" s="422"/>
      <c r="B7058" s="461"/>
    </row>
    <row r="7059" spans="1:2">
      <c r="A7059" s="422"/>
      <c r="B7059" s="461"/>
    </row>
    <row r="7060" spans="1:2">
      <c r="A7060" s="422"/>
      <c r="B7060" s="461"/>
    </row>
    <row r="7061" spans="1:2">
      <c r="A7061" s="422"/>
      <c r="B7061" s="461"/>
    </row>
    <row r="7062" spans="1:2">
      <c r="A7062" s="422"/>
      <c r="B7062" s="461"/>
    </row>
    <row r="7063" spans="1:2">
      <c r="A7063" s="422"/>
      <c r="B7063" s="461"/>
    </row>
    <row r="7064" spans="1:2">
      <c r="A7064" s="422"/>
      <c r="B7064" s="461"/>
    </row>
    <row r="7065" spans="1:2">
      <c r="A7065" s="422"/>
      <c r="B7065" s="461"/>
    </row>
    <row r="7066" spans="1:2">
      <c r="A7066" s="422"/>
      <c r="B7066" s="461"/>
    </row>
    <row r="7067" spans="1:2">
      <c r="A7067" s="422"/>
      <c r="B7067" s="461"/>
    </row>
    <row r="7068" spans="1:2">
      <c r="A7068" s="422"/>
      <c r="B7068" s="461"/>
    </row>
    <row r="7069" spans="1:2">
      <c r="A7069" s="422"/>
      <c r="B7069" s="461"/>
    </row>
    <row r="7070" spans="1:2">
      <c r="A7070" s="422"/>
      <c r="B7070" s="461"/>
    </row>
    <row r="7071" spans="1:2">
      <c r="A7071" s="422"/>
      <c r="B7071" s="461"/>
    </row>
    <row r="7072" spans="1:2">
      <c r="A7072" s="422"/>
      <c r="B7072" s="461"/>
    </row>
    <row r="7073" spans="1:2">
      <c r="A7073" s="422"/>
      <c r="B7073" s="461"/>
    </row>
    <row r="7074" spans="1:2">
      <c r="A7074" s="422"/>
      <c r="B7074" s="461"/>
    </row>
    <row r="7075" spans="1:2">
      <c r="A7075" s="422"/>
      <c r="B7075" s="461"/>
    </row>
    <row r="7076" spans="1:2">
      <c r="A7076" s="422"/>
      <c r="B7076" s="461"/>
    </row>
    <row r="7077" spans="1:2">
      <c r="A7077" s="422"/>
      <c r="B7077" s="461"/>
    </row>
    <row r="7078" spans="1:2">
      <c r="A7078" s="422"/>
      <c r="B7078" s="461"/>
    </row>
    <row r="7079" spans="1:2">
      <c r="A7079" s="422"/>
      <c r="B7079" s="461"/>
    </row>
    <row r="7080" spans="1:2">
      <c r="A7080" s="422"/>
      <c r="B7080" s="461"/>
    </row>
    <row r="7081" spans="1:2">
      <c r="A7081" s="422"/>
      <c r="B7081" s="461"/>
    </row>
    <row r="7082" spans="1:2">
      <c r="A7082" s="422"/>
      <c r="B7082" s="461"/>
    </row>
    <row r="7083" spans="1:2">
      <c r="A7083" s="422"/>
      <c r="B7083" s="461"/>
    </row>
    <row r="7084" spans="1:2">
      <c r="A7084" s="422"/>
      <c r="B7084" s="461"/>
    </row>
    <row r="7085" spans="1:2">
      <c r="A7085" s="422"/>
      <c r="B7085" s="461"/>
    </row>
    <row r="7086" spans="1:2">
      <c r="A7086" s="422"/>
      <c r="B7086" s="461"/>
    </row>
    <row r="7087" spans="1:2">
      <c r="A7087" s="422"/>
      <c r="B7087" s="461"/>
    </row>
    <row r="7088" spans="1:2">
      <c r="A7088" s="422"/>
      <c r="B7088" s="461"/>
    </row>
    <row r="7089" spans="1:2">
      <c r="A7089" s="422"/>
      <c r="B7089" s="461"/>
    </row>
    <row r="7090" spans="1:2">
      <c r="A7090" s="422"/>
      <c r="B7090" s="461"/>
    </row>
    <row r="7091" spans="1:2">
      <c r="A7091" s="422"/>
      <c r="B7091" s="461"/>
    </row>
    <row r="7092" spans="1:2">
      <c r="A7092" s="422"/>
      <c r="B7092" s="461"/>
    </row>
    <row r="7093" spans="1:2">
      <c r="A7093" s="422"/>
      <c r="B7093" s="461"/>
    </row>
    <row r="7094" spans="1:2">
      <c r="A7094" s="422"/>
      <c r="B7094" s="461"/>
    </row>
    <row r="7095" spans="1:2">
      <c r="A7095" s="422"/>
      <c r="B7095" s="461"/>
    </row>
    <row r="7096" spans="1:2">
      <c r="A7096" s="422"/>
      <c r="B7096" s="461"/>
    </row>
    <row r="7097" spans="1:2">
      <c r="A7097" s="422"/>
      <c r="B7097" s="461"/>
    </row>
    <row r="7098" spans="1:2">
      <c r="A7098" s="422"/>
      <c r="B7098" s="461"/>
    </row>
    <row r="7099" spans="1:2">
      <c r="A7099" s="422"/>
      <c r="B7099" s="461"/>
    </row>
    <row r="7100" spans="1:2">
      <c r="A7100" s="422"/>
      <c r="B7100" s="461"/>
    </row>
    <row r="7101" spans="1:2">
      <c r="A7101" s="422"/>
      <c r="B7101" s="461"/>
    </row>
    <row r="7102" spans="1:2">
      <c r="A7102" s="422"/>
      <c r="B7102" s="461"/>
    </row>
    <row r="7103" spans="1:2">
      <c r="A7103" s="422"/>
      <c r="B7103" s="461"/>
    </row>
    <row r="7104" spans="1:2">
      <c r="A7104" s="422"/>
      <c r="B7104" s="461"/>
    </row>
    <row r="7105" spans="1:2">
      <c r="A7105" s="422"/>
      <c r="B7105" s="461"/>
    </row>
    <row r="7106" spans="1:2">
      <c r="A7106" s="422"/>
      <c r="B7106" s="461"/>
    </row>
    <row r="7107" spans="1:2">
      <c r="A7107" s="422"/>
      <c r="B7107" s="461"/>
    </row>
    <row r="7108" spans="1:2">
      <c r="A7108" s="422"/>
      <c r="B7108" s="461"/>
    </row>
    <row r="7109" spans="1:2">
      <c r="A7109" s="422"/>
      <c r="B7109" s="461"/>
    </row>
    <row r="7110" spans="1:2">
      <c r="A7110" s="422"/>
      <c r="B7110" s="461"/>
    </row>
    <row r="7111" spans="1:2">
      <c r="A7111" s="422"/>
      <c r="B7111" s="461"/>
    </row>
    <row r="7112" spans="1:2">
      <c r="A7112" s="422"/>
      <c r="B7112" s="461"/>
    </row>
    <row r="7113" spans="1:2">
      <c r="A7113" s="422"/>
      <c r="B7113" s="461"/>
    </row>
    <row r="7114" spans="1:2">
      <c r="A7114" s="422"/>
      <c r="B7114" s="461"/>
    </row>
    <row r="7115" spans="1:2">
      <c r="A7115" s="422"/>
      <c r="B7115" s="461"/>
    </row>
    <row r="7116" spans="1:2">
      <c r="A7116" s="422"/>
      <c r="B7116" s="461"/>
    </row>
    <row r="7117" spans="1:2">
      <c r="A7117" s="422"/>
      <c r="B7117" s="461"/>
    </row>
    <row r="7118" spans="1:2">
      <c r="A7118" s="422"/>
      <c r="B7118" s="461"/>
    </row>
    <row r="7119" spans="1:2">
      <c r="A7119" s="422"/>
      <c r="B7119" s="461"/>
    </row>
    <row r="7120" spans="1:2">
      <c r="A7120" s="422"/>
      <c r="B7120" s="461"/>
    </row>
    <row r="7121" spans="1:2">
      <c r="A7121" s="422"/>
      <c r="B7121" s="461"/>
    </row>
    <row r="7122" spans="1:2">
      <c r="A7122" s="422"/>
      <c r="B7122" s="461"/>
    </row>
    <row r="7123" spans="1:2">
      <c r="A7123" s="422"/>
      <c r="B7123" s="461"/>
    </row>
    <row r="7124" spans="1:2">
      <c r="A7124" s="422"/>
      <c r="B7124" s="461"/>
    </row>
    <row r="7125" spans="1:2">
      <c r="A7125" s="422"/>
      <c r="B7125" s="461"/>
    </row>
    <row r="7126" spans="1:2">
      <c r="A7126" s="422"/>
      <c r="B7126" s="461"/>
    </row>
    <row r="7127" spans="1:2">
      <c r="A7127" s="422"/>
      <c r="B7127" s="461"/>
    </row>
    <row r="7128" spans="1:2">
      <c r="A7128" s="422"/>
      <c r="B7128" s="461"/>
    </row>
    <row r="7129" spans="1:2">
      <c r="A7129" s="422"/>
      <c r="B7129" s="461"/>
    </row>
    <row r="7130" spans="1:2">
      <c r="A7130" s="422"/>
      <c r="B7130" s="461"/>
    </row>
    <row r="7131" spans="1:2">
      <c r="A7131" s="422"/>
      <c r="B7131" s="461"/>
    </row>
    <row r="7132" spans="1:2">
      <c r="A7132" s="422"/>
      <c r="B7132" s="461"/>
    </row>
    <row r="7133" spans="1:2">
      <c r="A7133" s="422"/>
      <c r="B7133" s="461"/>
    </row>
    <row r="7134" spans="1:2">
      <c r="A7134" s="422"/>
      <c r="B7134" s="461"/>
    </row>
    <row r="7135" spans="1:2">
      <c r="A7135" s="422"/>
      <c r="B7135" s="461"/>
    </row>
    <row r="7136" spans="1:2">
      <c r="A7136" s="422"/>
      <c r="B7136" s="461"/>
    </row>
    <row r="7137" spans="1:2">
      <c r="A7137" s="422"/>
      <c r="B7137" s="461"/>
    </row>
    <row r="7138" spans="1:2">
      <c r="A7138" s="422"/>
      <c r="B7138" s="461"/>
    </row>
    <row r="7139" spans="1:2">
      <c r="A7139" s="422"/>
      <c r="B7139" s="461"/>
    </row>
    <row r="7140" spans="1:2">
      <c r="A7140" s="422"/>
      <c r="B7140" s="461"/>
    </row>
    <row r="7141" spans="1:2">
      <c r="A7141" s="422"/>
      <c r="B7141" s="461"/>
    </row>
    <row r="7142" spans="1:2">
      <c r="A7142" s="422"/>
      <c r="B7142" s="461"/>
    </row>
    <row r="7143" spans="1:2">
      <c r="A7143" s="422"/>
      <c r="B7143" s="461"/>
    </row>
    <row r="7144" spans="1:2">
      <c r="A7144" s="422"/>
      <c r="B7144" s="461"/>
    </row>
    <row r="7145" spans="1:2">
      <c r="A7145" s="422"/>
      <c r="B7145" s="461"/>
    </row>
    <row r="7146" spans="1:2">
      <c r="A7146" s="422"/>
      <c r="B7146" s="461"/>
    </row>
    <row r="7147" spans="1:2">
      <c r="A7147" s="422"/>
      <c r="B7147" s="461"/>
    </row>
    <row r="7148" spans="1:2">
      <c r="A7148" s="422"/>
      <c r="B7148" s="461"/>
    </row>
    <row r="7149" spans="1:2">
      <c r="A7149" s="422"/>
      <c r="B7149" s="461"/>
    </row>
    <row r="7150" spans="1:2">
      <c r="A7150" s="422"/>
      <c r="B7150" s="461"/>
    </row>
    <row r="7151" spans="1:2">
      <c r="A7151" s="422"/>
      <c r="B7151" s="461"/>
    </row>
    <row r="7152" spans="1:2">
      <c r="A7152" s="422"/>
      <c r="B7152" s="461"/>
    </row>
    <row r="7153" spans="1:2">
      <c r="A7153" s="422"/>
      <c r="B7153" s="461"/>
    </row>
    <row r="7154" spans="1:2">
      <c r="A7154" s="422"/>
      <c r="B7154" s="461"/>
    </row>
    <row r="7155" spans="1:2">
      <c r="A7155" s="422"/>
      <c r="B7155" s="461"/>
    </row>
    <row r="7156" spans="1:2">
      <c r="A7156" s="422"/>
      <c r="B7156" s="461"/>
    </row>
    <row r="7157" spans="1:2">
      <c r="A7157" s="422"/>
      <c r="B7157" s="461"/>
    </row>
    <row r="7158" spans="1:2">
      <c r="A7158" s="422"/>
      <c r="B7158" s="461"/>
    </row>
    <row r="7159" spans="1:2">
      <c r="A7159" s="422"/>
      <c r="B7159" s="461"/>
    </row>
    <row r="7160" spans="1:2">
      <c r="A7160" s="422"/>
      <c r="B7160" s="461"/>
    </row>
    <row r="7161" spans="1:2">
      <c r="A7161" s="422"/>
      <c r="B7161" s="461"/>
    </row>
    <row r="7162" spans="1:2">
      <c r="A7162" s="422"/>
      <c r="B7162" s="461"/>
    </row>
    <row r="7163" spans="1:2">
      <c r="A7163" s="422"/>
      <c r="B7163" s="461"/>
    </row>
    <row r="7164" spans="1:2">
      <c r="A7164" s="422"/>
      <c r="B7164" s="461"/>
    </row>
    <row r="7165" spans="1:2">
      <c r="A7165" s="422"/>
      <c r="B7165" s="461"/>
    </row>
    <row r="7166" spans="1:2">
      <c r="A7166" s="422"/>
      <c r="B7166" s="461"/>
    </row>
    <row r="7167" spans="1:2">
      <c r="A7167" s="422"/>
      <c r="B7167" s="461"/>
    </row>
    <row r="7168" spans="1:2">
      <c r="A7168" s="422"/>
      <c r="B7168" s="461"/>
    </row>
    <row r="7169" spans="1:2">
      <c r="A7169" s="422"/>
      <c r="B7169" s="461"/>
    </row>
    <row r="7170" spans="1:2">
      <c r="A7170" s="422"/>
      <c r="B7170" s="461"/>
    </row>
    <row r="7171" spans="1:2">
      <c r="A7171" s="422"/>
      <c r="B7171" s="461"/>
    </row>
    <row r="7172" spans="1:2">
      <c r="A7172" s="422"/>
      <c r="B7172" s="461"/>
    </row>
    <row r="7173" spans="1:2">
      <c r="A7173" s="422"/>
      <c r="B7173" s="461"/>
    </row>
    <row r="7174" spans="1:2">
      <c r="A7174" s="422"/>
      <c r="B7174" s="461"/>
    </row>
    <row r="7175" spans="1:2">
      <c r="A7175" s="422"/>
      <c r="B7175" s="461"/>
    </row>
    <row r="7176" spans="1:2">
      <c r="A7176" s="422"/>
      <c r="B7176" s="461"/>
    </row>
    <row r="7177" spans="1:2">
      <c r="A7177" s="422"/>
      <c r="B7177" s="461"/>
    </row>
    <row r="7178" spans="1:2">
      <c r="A7178" s="422"/>
      <c r="B7178" s="461"/>
    </row>
    <row r="7179" spans="1:2">
      <c r="A7179" s="422"/>
      <c r="B7179" s="461"/>
    </row>
    <row r="7180" spans="1:2">
      <c r="A7180" s="422"/>
      <c r="B7180" s="461"/>
    </row>
    <row r="7181" spans="1:2">
      <c r="A7181" s="422"/>
      <c r="B7181" s="461"/>
    </row>
    <row r="7182" spans="1:2">
      <c r="A7182" s="422"/>
      <c r="B7182" s="461"/>
    </row>
    <row r="7183" spans="1:2">
      <c r="A7183" s="422"/>
      <c r="B7183" s="461"/>
    </row>
    <row r="7184" spans="1:2">
      <c r="A7184" s="422"/>
      <c r="B7184" s="461"/>
    </row>
    <row r="7185" spans="1:2">
      <c r="A7185" s="422"/>
      <c r="B7185" s="461"/>
    </row>
    <row r="7186" spans="1:2">
      <c r="A7186" s="422"/>
      <c r="B7186" s="461"/>
    </row>
    <row r="7187" spans="1:2">
      <c r="A7187" s="422"/>
      <c r="B7187" s="461"/>
    </row>
    <row r="7188" spans="1:2">
      <c r="A7188" s="422"/>
      <c r="B7188" s="461"/>
    </row>
    <row r="7189" spans="1:2">
      <c r="A7189" s="422"/>
      <c r="B7189" s="461"/>
    </row>
    <row r="7190" spans="1:2">
      <c r="A7190" s="422"/>
      <c r="B7190" s="461"/>
    </row>
    <row r="7191" spans="1:2">
      <c r="A7191" s="422"/>
      <c r="B7191" s="461"/>
    </row>
    <row r="7192" spans="1:2">
      <c r="A7192" s="422"/>
      <c r="B7192" s="461"/>
    </row>
    <row r="7193" spans="1:2">
      <c r="A7193" s="422"/>
      <c r="B7193" s="461"/>
    </row>
    <row r="7194" spans="1:2">
      <c r="A7194" s="422"/>
      <c r="B7194" s="461"/>
    </row>
    <row r="7195" spans="1:2">
      <c r="A7195" s="422"/>
      <c r="B7195" s="461"/>
    </row>
    <row r="7196" spans="1:2">
      <c r="A7196" s="422"/>
      <c r="B7196" s="461"/>
    </row>
    <row r="7197" spans="1:2">
      <c r="A7197" s="422"/>
      <c r="B7197" s="461"/>
    </row>
    <row r="7198" spans="1:2">
      <c r="A7198" s="422"/>
      <c r="B7198" s="461"/>
    </row>
    <row r="7199" spans="1:2">
      <c r="A7199" s="422"/>
      <c r="B7199" s="461"/>
    </row>
    <row r="7200" spans="1:2">
      <c r="A7200" s="422"/>
      <c r="B7200" s="461"/>
    </row>
    <row r="7201" spans="1:2">
      <c r="A7201" s="422"/>
      <c r="B7201" s="461"/>
    </row>
    <row r="7202" spans="1:2">
      <c r="A7202" s="422"/>
      <c r="B7202" s="461"/>
    </row>
    <row r="7203" spans="1:2">
      <c r="A7203" s="422"/>
      <c r="B7203" s="461"/>
    </row>
    <row r="7204" spans="1:2">
      <c r="A7204" s="422"/>
      <c r="B7204" s="461"/>
    </row>
    <row r="7205" spans="1:2">
      <c r="A7205" s="422"/>
      <c r="B7205" s="461"/>
    </row>
    <row r="7206" spans="1:2">
      <c r="A7206" s="422"/>
      <c r="B7206" s="461"/>
    </row>
    <row r="7207" spans="1:2">
      <c r="A7207" s="422"/>
      <c r="B7207" s="461"/>
    </row>
    <row r="7208" spans="1:2">
      <c r="A7208" s="422"/>
      <c r="B7208" s="461"/>
    </row>
    <row r="7209" spans="1:2">
      <c r="A7209" s="422"/>
      <c r="B7209" s="461"/>
    </row>
    <row r="7210" spans="1:2">
      <c r="A7210" s="422"/>
      <c r="B7210" s="461"/>
    </row>
    <row r="7211" spans="1:2">
      <c r="A7211" s="422"/>
      <c r="B7211" s="461"/>
    </row>
    <row r="7212" spans="1:2">
      <c r="A7212" s="422"/>
      <c r="B7212" s="461"/>
    </row>
    <row r="7213" spans="1:2">
      <c r="A7213" s="422"/>
      <c r="B7213" s="461"/>
    </row>
    <row r="7214" spans="1:2">
      <c r="A7214" s="422"/>
      <c r="B7214" s="461"/>
    </row>
    <row r="7215" spans="1:2">
      <c r="A7215" s="422"/>
      <c r="B7215" s="461"/>
    </row>
    <row r="7216" spans="1:2">
      <c r="A7216" s="422"/>
      <c r="B7216" s="461"/>
    </row>
    <row r="7217" spans="1:2">
      <c r="A7217" s="422"/>
      <c r="B7217" s="461"/>
    </row>
    <row r="7218" spans="1:2">
      <c r="A7218" s="422"/>
      <c r="B7218" s="461"/>
    </row>
    <row r="7219" spans="1:2">
      <c r="A7219" s="422"/>
      <c r="B7219" s="461"/>
    </row>
    <row r="7220" spans="1:2">
      <c r="A7220" s="422"/>
      <c r="B7220" s="461"/>
    </row>
    <row r="7221" spans="1:2">
      <c r="A7221" s="422"/>
      <c r="B7221" s="461"/>
    </row>
    <row r="7222" spans="1:2">
      <c r="A7222" s="422"/>
      <c r="B7222" s="461"/>
    </row>
    <row r="7223" spans="1:2">
      <c r="A7223" s="422"/>
      <c r="B7223" s="461"/>
    </row>
    <row r="7224" spans="1:2">
      <c r="A7224" s="422"/>
      <c r="B7224" s="461"/>
    </row>
    <row r="7225" spans="1:2">
      <c r="A7225" s="422"/>
      <c r="B7225" s="461"/>
    </row>
    <row r="7226" spans="1:2">
      <c r="A7226" s="422"/>
      <c r="B7226" s="461"/>
    </row>
    <row r="7227" spans="1:2">
      <c r="A7227" s="422"/>
      <c r="B7227" s="461"/>
    </row>
    <row r="7228" spans="1:2">
      <c r="A7228" s="422"/>
      <c r="B7228" s="461"/>
    </row>
    <row r="7229" spans="1:2">
      <c r="A7229" s="422"/>
      <c r="B7229" s="461"/>
    </row>
    <row r="7230" spans="1:2">
      <c r="A7230" s="422"/>
      <c r="B7230" s="461"/>
    </row>
    <row r="7231" spans="1:2">
      <c r="A7231" s="422"/>
      <c r="B7231" s="461"/>
    </row>
    <row r="7232" spans="1:2">
      <c r="A7232" s="422"/>
      <c r="B7232" s="461"/>
    </row>
    <row r="7233" spans="1:2">
      <c r="A7233" s="422"/>
      <c r="B7233" s="461"/>
    </row>
    <row r="7234" spans="1:2">
      <c r="A7234" s="422"/>
      <c r="B7234" s="461"/>
    </row>
    <row r="7235" spans="1:2">
      <c r="A7235" s="422"/>
      <c r="B7235" s="461"/>
    </row>
    <row r="7236" spans="1:2">
      <c r="A7236" s="422"/>
      <c r="B7236" s="461"/>
    </row>
    <row r="7237" spans="1:2">
      <c r="A7237" s="422"/>
      <c r="B7237" s="461"/>
    </row>
    <row r="7238" spans="1:2">
      <c r="A7238" s="422"/>
      <c r="B7238" s="461"/>
    </row>
    <row r="7239" spans="1:2">
      <c r="A7239" s="422"/>
      <c r="B7239" s="461"/>
    </row>
    <row r="7240" spans="1:2">
      <c r="A7240" s="422"/>
      <c r="B7240" s="461"/>
    </row>
    <row r="7241" spans="1:2">
      <c r="A7241" s="422"/>
      <c r="B7241" s="461"/>
    </row>
    <row r="7242" spans="1:2">
      <c r="A7242" s="422"/>
      <c r="B7242" s="461"/>
    </row>
    <row r="7243" spans="1:2">
      <c r="A7243" s="422"/>
      <c r="B7243" s="461"/>
    </row>
    <row r="7244" spans="1:2">
      <c r="A7244" s="422"/>
      <c r="B7244" s="461"/>
    </row>
    <row r="7245" spans="1:2">
      <c r="A7245" s="422"/>
      <c r="B7245" s="461"/>
    </row>
    <row r="7246" spans="1:2">
      <c r="A7246" s="422"/>
      <c r="B7246" s="461"/>
    </row>
    <row r="7247" spans="1:2">
      <c r="A7247" s="422"/>
      <c r="B7247" s="461"/>
    </row>
    <row r="7248" spans="1:2">
      <c r="A7248" s="422"/>
      <c r="B7248" s="461"/>
    </row>
    <row r="7249" spans="1:2">
      <c r="A7249" s="422"/>
      <c r="B7249" s="461"/>
    </row>
    <row r="7250" spans="1:2">
      <c r="A7250" s="422"/>
      <c r="B7250" s="461"/>
    </row>
    <row r="7251" spans="1:2">
      <c r="A7251" s="422"/>
      <c r="B7251" s="461"/>
    </row>
    <row r="7252" spans="1:2">
      <c r="A7252" s="422"/>
      <c r="B7252" s="461"/>
    </row>
    <row r="7253" spans="1:2">
      <c r="A7253" s="422"/>
      <c r="B7253" s="461"/>
    </row>
    <row r="7254" spans="1:2">
      <c r="A7254" s="422"/>
      <c r="B7254" s="461"/>
    </row>
    <row r="7255" spans="1:2">
      <c r="A7255" s="422"/>
      <c r="B7255" s="461"/>
    </row>
    <row r="7256" spans="1:2">
      <c r="A7256" s="422"/>
      <c r="B7256" s="461"/>
    </row>
    <row r="7257" spans="1:2">
      <c r="A7257" s="422"/>
      <c r="B7257" s="461"/>
    </row>
    <row r="7258" spans="1:2">
      <c r="A7258" s="422"/>
      <c r="B7258" s="461"/>
    </row>
    <row r="7259" spans="1:2">
      <c r="A7259" s="422"/>
      <c r="B7259" s="461"/>
    </row>
    <row r="7260" spans="1:2">
      <c r="A7260" s="422"/>
      <c r="B7260" s="461"/>
    </row>
    <row r="7261" spans="1:2">
      <c r="A7261" s="422"/>
      <c r="B7261" s="461"/>
    </row>
    <row r="7262" spans="1:2">
      <c r="A7262" s="422"/>
      <c r="B7262" s="461"/>
    </row>
    <row r="7263" spans="1:2">
      <c r="A7263" s="422"/>
      <c r="B7263" s="461"/>
    </row>
    <row r="7264" spans="1:2">
      <c r="A7264" s="422"/>
      <c r="B7264" s="461"/>
    </row>
    <row r="7265" spans="1:2">
      <c r="A7265" s="422"/>
      <c r="B7265" s="461"/>
    </row>
    <row r="7266" spans="1:2">
      <c r="A7266" s="422"/>
      <c r="B7266" s="461"/>
    </row>
    <row r="7267" spans="1:2">
      <c r="A7267" s="422"/>
      <c r="B7267" s="461"/>
    </row>
    <row r="7268" spans="1:2">
      <c r="A7268" s="422"/>
      <c r="B7268" s="461"/>
    </row>
    <row r="7269" spans="1:2">
      <c r="A7269" s="422"/>
      <c r="B7269" s="461"/>
    </row>
    <row r="7270" spans="1:2">
      <c r="A7270" s="422"/>
      <c r="B7270" s="461"/>
    </row>
    <row r="7271" spans="1:2">
      <c r="A7271" s="422"/>
      <c r="B7271" s="461"/>
    </row>
    <row r="7272" spans="1:2">
      <c r="A7272" s="422"/>
      <c r="B7272" s="461"/>
    </row>
    <row r="7273" spans="1:2">
      <c r="A7273" s="422"/>
      <c r="B7273" s="461"/>
    </row>
    <row r="7274" spans="1:2">
      <c r="A7274" s="422"/>
      <c r="B7274" s="461"/>
    </row>
    <row r="7275" spans="1:2">
      <c r="A7275" s="422"/>
      <c r="B7275" s="461"/>
    </row>
    <row r="7276" spans="1:2">
      <c r="A7276" s="422"/>
      <c r="B7276" s="461"/>
    </row>
    <row r="7277" spans="1:2">
      <c r="A7277" s="422"/>
      <c r="B7277" s="461"/>
    </row>
    <row r="7278" spans="1:2">
      <c r="A7278" s="422"/>
      <c r="B7278" s="461"/>
    </row>
    <row r="7279" spans="1:2">
      <c r="A7279" s="422"/>
      <c r="B7279" s="461"/>
    </row>
    <row r="7280" spans="1:2">
      <c r="A7280" s="422"/>
      <c r="B7280" s="461"/>
    </row>
    <row r="7281" spans="1:2">
      <c r="A7281" s="422"/>
      <c r="B7281" s="461"/>
    </row>
    <row r="7282" spans="1:2">
      <c r="A7282" s="422"/>
      <c r="B7282" s="461"/>
    </row>
    <row r="7283" spans="1:2">
      <c r="A7283" s="422"/>
      <c r="B7283" s="461"/>
    </row>
    <row r="7284" spans="1:2">
      <c r="A7284" s="422"/>
      <c r="B7284" s="461"/>
    </row>
    <row r="7285" spans="1:2">
      <c r="A7285" s="422"/>
      <c r="B7285" s="461"/>
    </row>
    <row r="7286" spans="1:2">
      <c r="A7286" s="422"/>
      <c r="B7286" s="461"/>
    </row>
    <row r="7287" spans="1:2">
      <c r="A7287" s="422"/>
      <c r="B7287" s="461"/>
    </row>
    <row r="7288" spans="1:2">
      <c r="A7288" s="422"/>
      <c r="B7288" s="461"/>
    </row>
    <row r="7289" spans="1:2">
      <c r="A7289" s="422"/>
      <c r="B7289" s="461"/>
    </row>
    <row r="7290" spans="1:2">
      <c r="A7290" s="422"/>
      <c r="B7290" s="461"/>
    </row>
    <row r="7291" spans="1:2">
      <c r="A7291" s="422"/>
      <c r="B7291" s="461"/>
    </row>
    <row r="7292" spans="1:2">
      <c r="A7292" s="422"/>
      <c r="B7292" s="461"/>
    </row>
    <row r="7293" spans="1:2">
      <c r="A7293" s="422"/>
      <c r="B7293" s="461"/>
    </row>
    <row r="7294" spans="1:2">
      <c r="A7294" s="422"/>
      <c r="B7294" s="461"/>
    </row>
    <row r="7295" spans="1:2">
      <c r="A7295" s="422"/>
      <c r="B7295" s="461"/>
    </row>
    <row r="7296" spans="1:2">
      <c r="A7296" s="422"/>
      <c r="B7296" s="461"/>
    </row>
    <row r="7297" spans="1:2">
      <c r="A7297" s="422"/>
      <c r="B7297" s="461"/>
    </row>
    <row r="7298" spans="1:2">
      <c r="A7298" s="422"/>
      <c r="B7298" s="461"/>
    </row>
    <row r="7299" spans="1:2">
      <c r="A7299" s="422"/>
      <c r="B7299" s="461"/>
    </row>
    <row r="7300" spans="1:2">
      <c r="A7300" s="422"/>
      <c r="B7300" s="461"/>
    </row>
    <row r="7301" spans="1:2">
      <c r="A7301" s="422"/>
      <c r="B7301" s="461"/>
    </row>
    <row r="7302" spans="1:2">
      <c r="A7302" s="422"/>
      <c r="B7302" s="461"/>
    </row>
    <row r="7303" spans="1:2">
      <c r="A7303" s="422"/>
      <c r="B7303" s="461"/>
    </row>
    <row r="7304" spans="1:2">
      <c r="A7304" s="422"/>
      <c r="B7304" s="461"/>
    </row>
    <row r="7305" spans="1:2">
      <c r="A7305" s="422"/>
      <c r="B7305" s="461"/>
    </row>
    <row r="7306" spans="1:2">
      <c r="A7306" s="422"/>
      <c r="B7306" s="461"/>
    </row>
    <row r="7307" spans="1:2">
      <c r="A7307" s="422"/>
      <c r="B7307" s="461"/>
    </row>
    <row r="7308" spans="1:2">
      <c r="A7308" s="422"/>
      <c r="B7308" s="461"/>
    </row>
    <row r="7309" spans="1:2">
      <c r="A7309" s="422"/>
      <c r="B7309" s="461"/>
    </row>
    <row r="7310" spans="1:2">
      <c r="A7310" s="422"/>
      <c r="B7310" s="461"/>
    </row>
    <row r="7311" spans="1:2">
      <c r="A7311" s="422"/>
      <c r="B7311" s="461"/>
    </row>
    <row r="7312" spans="1:2">
      <c r="A7312" s="422"/>
      <c r="B7312" s="461"/>
    </row>
    <row r="7313" spans="1:2">
      <c r="A7313" s="422"/>
      <c r="B7313" s="461"/>
    </row>
    <row r="7314" spans="1:2">
      <c r="A7314" s="422"/>
      <c r="B7314" s="461"/>
    </row>
    <row r="7315" spans="1:2">
      <c r="A7315" s="422"/>
      <c r="B7315" s="461"/>
    </row>
    <row r="7316" spans="1:2">
      <c r="A7316" s="422"/>
      <c r="B7316" s="461"/>
    </row>
    <row r="7317" spans="1:2">
      <c r="A7317" s="422"/>
      <c r="B7317" s="461"/>
    </row>
    <row r="7318" spans="1:2">
      <c r="A7318" s="422"/>
      <c r="B7318" s="461"/>
    </row>
    <row r="7319" spans="1:2">
      <c r="A7319" s="422"/>
      <c r="B7319" s="461"/>
    </row>
    <row r="7320" spans="1:2">
      <c r="A7320" s="422"/>
      <c r="B7320" s="461"/>
    </row>
    <row r="7321" spans="1:2">
      <c r="A7321" s="422"/>
      <c r="B7321" s="461"/>
    </row>
    <row r="7322" spans="1:2">
      <c r="A7322" s="422"/>
      <c r="B7322" s="461"/>
    </row>
    <row r="7323" spans="1:2">
      <c r="A7323" s="422"/>
      <c r="B7323" s="461"/>
    </row>
    <row r="7324" spans="1:2">
      <c r="A7324" s="422"/>
      <c r="B7324" s="461"/>
    </row>
    <row r="7325" spans="1:2">
      <c r="A7325" s="422"/>
      <c r="B7325" s="461"/>
    </row>
    <row r="7326" spans="1:2">
      <c r="A7326" s="422"/>
      <c r="B7326" s="461"/>
    </row>
    <row r="7327" spans="1:2">
      <c r="A7327" s="422"/>
      <c r="B7327" s="461"/>
    </row>
    <row r="7328" spans="1:2">
      <c r="A7328" s="422"/>
      <c r="B7328" s="461"/>
    </row>
    <row r="7329" spans="1:2">
      <c r="A7329" s="422"/>
      <c r="B7329" s="461"/>
    </row>
    <row r="7330" spans="1:2">
      <c r="A7330" s="422"/>
      <c r="B7330" s="461"/>
    </row>
    <row r="7331" spans="1:2">
      <c r="A7331" s="422"/>
      <c r="B7331" s="461"/>
    </row>
    <row r="7332" spans="1:2">
      <c r="A7332" s="422"/>
      <c r="B7332" s="461"/>
    </row>
    <row r="7333" spans="1:2">
      <c r="A7333" s="422"/>
      <c r="B7333" s="461"/>
    </row>
    <row r="7334" spans="1:2">
      <c r="A7334" s="422"/>
      <c r="B7334" s="461"/>
    </row>
    <row r="7335" spans="1:2">
      <c r="A7335" s="422"/>
      <c r="B7335" s="461"/>
    </row>
    <row r="7336" spans="1:2">
      <c r="A7336" s="422"/>
      <c r="B7336" s="461"/>
    </row>
    <row r="7337" spans="1:2">
      <c r="A7337" s="422"/>
      <c r="B7337" s="461"/>
    </row>
    <row r="7338" spans="1:2">
      <c r="A7338" s="422"/>
      <c r="B7338" s="461"/>
    </row>
    <row r="7339" spans="1:2">
      <c r="A7339" s="422"/>
      <c r="B7339" s="461"/>
    </row>
    <row r="7340" spans="1:2">
      <c r="A7340" s="422"/>
      <c r="B7340" s="461"/>
    </row>
    <row r="7341" spans="1:2">
      <c r="A7341" s="422"/>
      <c r="B7341" s="461"/>
    </row>
    <row r="7342" spans="1:2">
      <c r="A7342" s="422"/>
      <c r="B7342" s="461"/>
    </row>
    <row r="7343" spans="1:2">
      <c r="A7343" s="422"/>
      <c r="B7343" s="461"/>
    </row>
    <row r="7344" spans="1:2">
      <c r="A7344" s="422"/>
      <c r="B7344" s="461"/>
    </row>
    <row r="7345" spans="1:2">
      <c r="A7345" s="422"/>
      <c r="B7345" s="461"/>
    </row>
    <row r="7346" spans="1:2">
      <c r="A7346" s="422"/>
      <c r="B7346" s="461"/>
    </row>
    <row r="7347" spans="1:2">
      <c r="A7347" s="422"/>
      <c r="B7347" s="461"/>
    </row>
    <row r="7348" spans="1:2">
      <c r="A7348" s="422"/>
      <c r="B7348" s="461"/>
    </row>
    <row r="7349" spans="1:2">
      <c r="A7349" s="422"/>
      <c r="B7349" s="461"/>
    </row>
    <row r="7350" spans="1:2">
      <c r="A7350" s="422"/>
      <c r="B7350" s="461"/>
    </row>
    <row r="7351" spans="1:2">
      <c r="A7351" s="422"/>
      <c r="B7351" s="461"/>
    </row>
    <row r="7352" spans="1:2">
      <c r="A7352" s="422"/>
      <c r="B7352" s="461"/>
    </row>
    <row r="7353" spans="1:2">
      <c r="A7353" s="422"/>
      <c r="B7353" s="461"/>
    </row>
    <row r="7354" spans="1:2">
      <c r="A7354" s="422"/>
      <c r="B7354" s="461"/>
    </row>
    <row r="7355" spans="1:2">
      <c r="A7355" s="422"/>
      <c r="B7355" s="461"/>
    </row>
    <row r="7356" spans="1:2">
      <c r="A7356" s="422"/>
      <c r="B7356" s="461"/>
    </row>
    <row r="7357" spans="1:2">
      <c r="A7357" s="422"/>
      <c r="B7357" s="461"/>
    </row>
    <row r="7358" spans="1:2">
      <c r="A7358" s="422"/>
      <c r="B7358" s="461"/>
    </row>
    <row r="7359" spans="1:2">
      <c r="A7359" s="422"/>
      <c r="B7359" s="461"/>
    </row>
    <row r="7360" spans="1:2">
      <c r="A7360" s="422"/>
      <c r="B7360" s="461"/>
    </row>
    <row r="7361" spans="1:2">
      <c r="A7361" s="422"/>
      <c r="B7361" s="461"/>
    </row>
    <row r="7362" spans="1:2">
      <c r="A7362" s="422"/>
      <c r="B7362" s="461"/>
    </row>
    <row r="7363" spans="1:2">
      <c r="A7363" s="422"/>
      <c r="B7363" s="461"/>
    </row>
    <row r="7364" spans="1:2">
      <c r="A7364" s="422"/>
      <c r="B7364" s="461"/>
    </row>
    <row r="7365" spans="1:2">
      <c r="A7365" s="422"/>
      <c r="B7365" s="461"/>
    </row>
    <row r="7366" spans="1:2">
      <c r="A7366" s="422"/>
      <c r="B7366" s="461"/>
    </row>
    <row r="7367" spans="1:2">
      <c r="A7367" s="422"/>
      <c r="B7367" s="461"/>
    </row>
    <row r="7368" spans="1:2">
      <c r="A7368" s="422"/>
      <c r="B7368" s="461"/>
    </row>
    <row r="7369" spans="1:2">
      <c r="A7369" s="422"/>
      <c r="B7369" s="461"/>
    </row>
    <row r="7370" spans="1:2">
      <c r="A7370" s="422"/>
      <c r="B7370" s="461"/>
    </row>
    <row r="7371" spans="1:2">
      <c r="A7371" s="422"/>
      <c r="B7371" s="461"/>
    </row>
    <row r="7372" spans="1:2">
      <c r="A7372" s="422"/>
      <c r="B7372" s="461"/>
    </row>
    <row r="7373" spans="1:2">
      <c r="A7373" s="422"/>
      <c r="B7373" s="461"/>
    </row>
    <row r="7374" spans="1:2">
      <c r="A7374" s="422"/>
      <c r="B7374" s="461"/>
    </row>
    <row r="7375" spans="1:2">
      <c r="A7375" s="422"/>
      <c r="B7375" s="461"/>
    </row>
    <row r="7376" spans="1:2">
      <c r="A7376" s="422"/>
      <c r="B7376" s="461"/>
    </row>
    <row r="7377" spans="1:2">
      <c r="A7377" s="422"/>
      <c r="B7377" s="461"/>
    </row>
    <row r="7378" spans="1:2">
      <c r="A7378" s="422"/>
      <c r="B7378" s="461"/>
    </row>
    <row r="7379" spans="1:2">
      <c r="A7379" s="422"/>
      <c r="B7379" s="461"/>
    </row>
    <row r="7380" spans="1:2">
      <c r="A7380" s="422"/>
      <c r="B7380" s="461"/>
    </row>
    <row r="7381" spans="1:2">
      <c r="A7381" s="422"/>
      <c r="B7381" s="461"/>
    </row>
    <row r="7382" spans="1:2">
      <c r="A7382" s="422"/>
      <c r="B7382" s="461"/>
    </row>
    <row r="7383" spans="1:2">
      <c r="A7383" s="422"/>
      <c r="B7383" s="461"/>
    </row>
    <row r="7384" spans="1:2">
      <c r="A7384" s="422"/>
      <c r="B7384" s="461"/>
    </row>
    <row r="7385" spans="1:2">
      <c r="A7385" s="422"/>
      <c r="B7385" s="461"/>
    </row>
    <row r="7386" spans="1:2">
      <c r="A7386" s="422"/>
      <c r="B7386" s="461"/>
    </row>
    <row r="7387" spans="1:2">
      <c r="A7387" s="422"/>
      <c r="B7387" s="461"/>
    </row>
    <row r="7388" spans="1:2">
      <c r="A7388" s="422"/>
      <c r="B7388" s="461"/>
    </row>
    <row r="7389" spans="1:2">
      <c r="A7389" s="422"/>
      <c r="B7389" s="461"/>
    </row>
    <row r="7390" spans="1:2">
      <c r="A7390" s="422"/>
      <c r="B7390" s="461"/>
    </row>
    <row r="7391" spans="1:2">
      <c r="A7391" s="422"/>
      <c r="B7391" s="461"/>
    </row>
    <row r="7392" spans="1:2">
      <c r="A7392" s="422"/>
      <c r="B7392" s="461"/>
    </row>
    <row r="7393" spans="1:2">
      <c r="A7393" s="422"/>
      <c r="B7393" s="461"/>
    </row>
    <row r="7394" spans="1:2">
      <c r="A7394" s="422"/>
      <c r="B7394" s="461"/>
    </row>
    <row r="7395" spans="1:2">
      <c r="A7395" s="422"/>
      <c r="B7395" s="461"/>
    </row>
    <row r="7396" spans="1:2">
      <c r="A7396" s="422"/>
      <c r="B7396" s="461"/>
    </row>
    <row r="7397" spans="1:2">
      <c r="A7397" s="422"/>
      <c r="B7397" s="461"/>
    </row>
    <row r="7398" spans="1:2">
      <c r="A7398" s="422"/>
      <c r="B7398" s="461"/>
    </row>
    <row r="7399" spans="1:2">
      <c r="A7399" s="422"/>
      <c r="B7399" s="461"/>
    </row>
    <row r="7400" spans="1:2">
      <c r="A7400" s="422"/>
      <c r="B7400" s="461"/>
    </row>
    <row r="7401" spans="1:2">
      <c r="A7401" s="422"/>
      <c r="B7401" s="461"/>
    </row>
    <row r="7402" spans="1:2">
      <c r="A7402" s="422"/>
      <c r="B7402" s="461"/>
    </row>
    <row r="7403" spans="1:2">
      <c r="A7403" s="422"/>
      <c r="B7403" s="461"/>
    </row>
    <row r="7404" spans="1:2">
      <c r="A7404" s="422"/>
      <c r="B7404" s="461"/>
    </row>
    <row r="7405" spans="1:2">
      <c r="A7405" s="422"/>
      <c r="B7405" s="461"/>
    </row>
    <row r="7406" spans="1:2">
      <c r="A7406" s="422"/>
      <c r="B7406" s="461"/>
    </row>
    <row r="7407" spans="1:2">
      <c r="A7407" s="422"/>
      <c r="B7407" s="461"/>
    </row>
    <row r="7408" spans="1:2">
      <c r="A7408" s="422"/>
      <c r="B7408" s="461"/>
    </row>
    <row r="7409" spans="1:2">
      <c r="A7409" s="422"/>
      <c r="B7409" s="461"/>
    </row>
    <row r="7410" spans="1:2">
      <c r="A7410" s="422"/>
      <c r="B7410" s="461"/>
    </row>
    <row r="7411" spans="1:2">
      <c r="A7411" s="422"/>
      <c r="B7411" s="461"/>
    </row>
    <row r="7412" spans="1:2">
      <c r="A7412" s="422"/>
      <c r="B7412" s="461"/>
    </row>
    <row r="7413" spans="1:2">
      <c r="A7413" s="422"/>
      <c r="B7413" s="461"/>
    </row>
    <row r="7414" spans="1:2">
      <c r="A7414" s="422"/>
      <c r="B7414" s="461"/>
    </row>
    <row r="7415" spans="1:2">
      <c r="A7415" s="422"/>
      <c r="B7415" s="461"/>
    </row>
    <row r="7416" spans="1:2">
      <c r="A7416" s="422"/>
      <c r="B7416" s="461"/>
    </row>
    <row r="7417" spans="1:2">
      <c r="A7417" s="422"/>
      <c r="B7417" s="461"/>
    </row>
    <row r="7418" spans="1:2">
      <c r="A7418" s="422"/>
      <c r="B7418" s="461"/>
    </row>
    <row r="7419" spans="1:2">
      <c r="A7419" s="422"/>
      <c r="B7419" s="461"/>
    </row>
    <row r="7420" spans="1:2">
      <c r="A7420" s="422"/>
      <c r="B7420" s="461"/>
    </row>
    <row r="7421" spans="1:2">
      <c r="A7421" s="422"/>
      <c r="B7421" s="461"/>
    </row>
    <row r="7422" spans="1:2">
      <c r="A7422" s="422"/>
      <c r="B7422" s="461"/>
    </row>
    <row r="7423" spans="1:2">
      <c r="A7423" s="422"/>
      <c r="B7423" s="461"/>
    </row>
    <row r="7424" spans="1:2">
      <c r="A7424" s="422"/>
      <c r="B7424" s="461"/>
    </row>
    <row r="7425" spans="1:2">
      <c r="A7425" s="422"/>
      <c r="B7425" s="461"/>
    </row>
    <row r="7426" spans="1:2">
      <c r="A7426" s="422"/>
      <c r="B7426" s="461"/>
    </row>
    <row r="7427" spans="1:2">
      <c r="A7427" s="422"/>
      <c r="B7427" s="461"/>
    </row>
    <row r="7428" spans="1:2">
      <c r="A7428" s="422"/>
      <c r="B7428" s="461"/>
    </row>
    <row r="7429" spans="1:2">
      <c r="A7429" s="422"/>
      <c r="B7429" s="461"/>
    </row>
    <row r="7430" spans="1:2">
      <c r="A7430" s="422"/>
      <c r="B7430" s="461"/>
    </row>
    <row r="7431" spans="1:2">
      <c r="A7431" s="422"/>
      <c r="B7431" s="461"/>
    </row>
    <row r="7432" spans="1:2">
      <c r="A7432" s="422"/>
      <c r="B7432" s="461"/>
    </row>
    <row r="7433" spans="1:2">
      <c r="A7433" s="422"/>
      <c r="B7433" s="461"/>
    </row>
    <row r="7434" spans="1:2">
      <c r="A7434" s="422"/>
      <c r="B7434" s="461"/>
    </row>
    <row r="7435" spans="1:2">
      <c r="A7435" s="422"/>
      <c r="B7435" s="461"/>
    </row>
    <row r="7436" spans="1:2">
      <c r="A7436" s="422"/>
      <c r="B7436" s="461"/>
    </row>
    <row r="7437" spans="1:2">
      <c r="A7437" s="422"/>
      <c r="B7437" s="461"/>
    </row>
    <row r="7438" spans="1:2">
      <c r="A7438" s="422"/>
      <c r="B7438" s="461"/>
    </row>
    <row r="7439" spans="1:2">
      <c r="A7439" s="422"/>
      <c r="B7439" s="461"/>
    </row>
    <row r="7440" spans="1:2">
      <c r="A7440" s="422"/>
      <c r="B7440" s="461"/>
    </row>
    <row r="7441" spans="1:2">
      <c r="A7441" s="422"/>
      <c r="B7441" s="461"/>
    </row>
    <row r="7442" spans="1:2">
      <c r="A7442" s="422"/>
      <c r="B7442" s="461"/>
    </row>
    <row r="7443" spans="1:2">
      <c r="A7443" s="422"/>
      <c r="B7443" s="461"/>
    </row>
    <row r="7444" spans="1:2">
      <c r="A7444" s="422"/>
      <c r="B7444" s="461"/>
    </row>
    <row r="7445" spans="1:2">
      <c r="A7445" s="422"/>
      <c r="B7445" s="461"/>
    </row>
    <row r="7446" spans="1:2">
      <c r="A7446" s="422"/>
      <c r="B7446" s="461"/>
    </row>
    <row r="7447" spans="1:2">
      <c r="A7447" s="422"/>
      <c r="B7447" s="461"/>
    </row>
    <row r="7448" spans="1:2">
      <c r="A7448" s="422"/>
      <c r="B7448" s="461"/>
    </row>
    <row r="7449" spans="1:2">
      <c r="A7449" s="422"/>
      <c r="B7449" s="461"/>
    </row>
    <row r="7450" spans="1:2">
      <c r="A7450" s="422"/>
      <c r="B7450" s="461"/>
    </row>
    <row r="7451" spans="1:2">
      <c r="A7451" s="422"/>
      <c r="B7451" s="461"/>
    </row>
    <row r="7452" spans="1:2">
      <c r="A7452" s="422"/>
      <c r="B7452" s="461"/>
    </row>
    <row r="7453" spans="1:2">
      <c r="A7453" s="422"/>
      <c r="B7453" s="461"/>
    </row>
    <row r="7454" spans="1:2">
      <c r="A7454" s="422"/>
      <c r="B7454" s="461"/>
    </row>
    <row r="7455" spans="1:2">
      <c r="A7455" s="422"/>
      <c r="B7455" s="461"/>
    </row>
    <row r="7456" spans="1:2">
      <c r="A7456" s="422"/>
      <c r="B7456" s="461"/>
    </row>
    <row r="7457" spans="1:2">
      <c r="A7457" s="422"/>
      <c r="B7457" s="461"/>
    </row>
    <row r="7458" spans="1:2">
      <c r="A7458" s="422"/>
      <c r="B7458" s="461"/>
    </row>
    <row r="7459" spans="1:2">
      <c r="A7459" s="422"/>
      <c r="B7459" s="461"/>
    </row>
    <row r="7460" spans="1:2">
      <c r="A7460" s="422"/>
      <c r="B7460" s="461"/>
    </row>
    <row r="7461" spans="1:2">
      <c r="A7461" s="422"/>
      <c r="B7461" s="461"/>
    </row>
    <row r="7462" spans="1:2">
      <c r="A7462" s="422"/>
      <c r="B7462" s="461"/>
    </row>
    <row r="7463" spans="1:2">
      <c r="A7463" s="422"/>
      <c r="B7463" s="461"/>
    </row>
    <row r="7464" spans="1:2">
      <c r="A7464" s="422"/>
      <c r="B7464" s="461"/>
    </row>
    <row r="7465" spans="1:2">
      <c r="A7465" s="422"/>
      <c r="B7465" s="461"/>
    </row>
    <row r="7466" spans="1:2">
      <c r="A7466" s="422"/>
      <c r="B7466" s="461"/>
    </row>
    <row r="7467" spans="1:2">
      <c r="A7467" s="422"/>
      <c r="B7467" s="461"/>
    </row>
    <row r="7468" spans="1:2">
      <c r="A7468" s="422"/>
      <c r="B7468" s="461"/>
    </row>
    <row r="7469" spans="1:2">
      <c r="A7469" s="422"/>
      <c r="B7469" s="461"/>
    </row>
    <row r="7470" spans="1:2">
      <c r="A7470" s="422"/>
      <c r="B7470" s="461"/>
    </row>
    <row r="7471" spans="1:2">
      <c r="A7471" s="422"/>
      <c r="B7471" s="461"/>
    </row>
    <row r="7472" spans="1:2">
      <c r="A7472" s="422"/>
      <c r="B7472" s="461"/>
    </row>
    <row r="7473" spans="1:2">
      <c r="A7473" s="422"/>
      <c r="B7473" s="461"/>
    </row>
    <row r="7474" spans="1:2">
      <c r="A7474" s="422"/>
      <c r="B7474" s="461"/>
    </row>
    <row r="7475" spans="1:2">
      <c r="A7475" s="422"/>
      <c r="B7475" s="461"/>
    </row>
    <row r="7476" spans="1:2">
      <c r="A7476" s="422"/>
      <c r="B7476" s="461"/>
    </row>
    <row r="7477" spans="1:2">
      <c r="A7477" s="422"/>
      <c r="B7477" s="461"/>
    </row>
    <row r="7478" spans="1:2">
      <c r="A7478" s="422"/>
      <c r="B7478" s="461"/>
    </row>
    <row r="7479" spans="1:2">
      <c r="A7479" s="422"/>
      <c r="B7479" s="461"/>
    </row>
    <row r="7480" spans="1:2">
      <c r="A7480" s="422"/>
      <c r="B7480" s="461"/>
    </row>
    <row r="7481" spans="1:2">
      <c r="A7481" s="422"/>
      <c r="B7481" s="461"/>
    </row>
    <row r="7482" spans="1:2">
      <c r="A7482" s="422"/>
      <c r="B7482" s="461"/>
    </row>
    <row r="7483" spans="1:2">
      <c r="A7483" s="422"/>
      <c r="B7483" s="461"/>
    </row>
    <row r="7484" spans="1:2">
      <c r="A7484" s="422"/>
      <c r="B7484" s="461"/>
    </row>
    <row r="7485" spans="1:2">
      <c r="A7485" s="422"/>
      <c r="B7485" s="461"/>
    </row>
    <row r="7486" spans="1:2">
      <c r="A7486" s="422"/>
      <c r="B7486" s="461"/>
    </row>
    <row r="7487" spans="1:2">
      <c r="A7487" s="422"/>
      <c r="B7487" s="461"/>
    </row>
    <row r="7488" spans="1:2">
      <c r="A7488" s="422"/>
      <c r="B7488" s="461"/>
    </row>
    <row r="7489" spans="1:2">
      <c r="A7489" s="422"/>
      <c r="B7489" s="461"/>
    </row>
    <row r="7490" spans="1:2">
      <c r="A7490" s="422"/>
      <c r="B7490" s="461"/>
    </row>
    <row r="7491" spans="1:2">
      <c r="A7491" s="422"/>
      <c r="B7491" s="461"/>
    </row>
    <row r="7492" spans="1:2">
      <c r="A7492" s="422"/>
      <c r="B7492" s="461"/>
    </row>
    <row r="7493" spans="1:2">
      <c r="A7493" s="422"/>
      <c r="B7493" s="461"/>
    </row>
    <row r="7494" spans="1:2">
      <c r="A7494" s="422"/>
      <c r="B7494" s="461"/>
    </row>
    <row r="7495" spans="1:2">
      <c r="A7495" s="422"/>
      <c r="B7495" s="461"/>
    </row>
    <row r="7496" spans="1:2">
      <c r="A7496" s="422"/>
      <c r="B7496" s="461"/>
    </row>
    <row r="7497" spans="1:2">
      <c r="A7497" s="422"/>
      <c r="B7497" s="461"/>
    </row>
    <row r="7498" spans="1:2">
      <c r="A7498" s="422"/>
      <c r="B7498" s="461"/>
    </row>
    <row r="7499" spans="1:2">
      <c r="A7499" s="422"/>
      <c r="B7499" s="461"/>
    </row>
    <row r="7500" spans="1:2">
      <c r="A7500" s="422"/>
      <c r="B7500" s="461"/>
    </row>
    <row r="7501" spans="1:2">
      <c r="A7501" s="422"/>
      <c r="B7501" s="461"/>
    </row>
    <row r="7502" spans="1:2">
      <c r="A7502" s="422"/>
      <c r="B7502" s="461"/>
    </row>
    <row r="7503" spans="1:2">
      <c r="A7503" s="422"/>
      <c r="B7503" s="461"/>
    </row>
    <row r="7504" spans="1:2">
      <c r="A7504" s="422"/>
      <c r="B7504" s="461"/>
    </row>
    <row r="7505" spans="1:2">
      <c r="A7505" s="422"/>
      <c r="B7505" s="461"/>
    </row>
    <row r="7506" spans="1:2">
      <c r="A7506" s="422"/>
      <c r="B7506" s="461"/>
    </row>
    <row r="7507" spans="1:2">
      <c r="A7507" s="422"/>
      <c r="B7507" s="461"/>
    </row>
    <row r="7508" spans="1:2">
      <c r="A7508" s="422"/>
      <c r="B7508" s="461"/>
    </row>
    <row r="7509" spans="1:2">
      <c r="A7509" s="422"/>
      <c r="B7509" s="461"/>
    </row>
    <row r="7510" spans="1:2">
      <c r="A7510" s="422"/>
      <c r="B7510" s="461"/>
    </row>
    <row r="7511" spans="1:2">
      <c r="A7511" s="422"/>
      <c r="B7511" s="461"/>
    </row>
    <row r="7512" spans="1:2">
      <c r="A7512" s="422"/>
      <c r="B7512" s="461"/>
    </row>
    <row r="7513" spans="1:2">
      <c r="A7513" s="422"/>
      <c r="B7513" s="461"/>
    </row>
    <row r="7514" spans="1:2">
      <c r="A7514" s="422"/>
      <c r="B7514" s="461"/>
    </row>
    <row r="7515" spans="1:2">
      <c r="A7515" s="422"/>
      <c r="B7515" s="461"/>
    </row>
    <row r="7516" spans="1:2">
      <c r="A7516" s="422"/>
      <c r="B7516" s="461"/>
    </row>
    <row r="7517" spans="1:2">
      <c r="A7517" s="422"/>
      <c r="B7517" s="461"/>
    </row>
    <row r="7518" spans="1:2">
      <c r="A7518" s="422"/>
      <c r="B7518" s="461"/>
    </row>
    <row r="7519" spans="1:2">
      <c r="A7519" s="422"/>
      <c r="B7519" s="461"/>
    </row>
    <row r="7520" spans="1:2">
      <c r="A7520" s="422"/>
      <c r="B7520" s="461"/>
    </row>
    <row r="7521" spans="1:2">
      <c r="A7521" s="422"/>
      <c r="B7521" s="461"/>
    </row>
    <row r="7522" spans="1:2">
      <c r="A7522" s="422"/>
      <c r="B7522" s="461"/>
    </row>
    <row r="7523" spans="1:2">
      <c r="A7523" s="422"/>
      <c r="B7523" s="461"/>
    </row>
    <row r="7524" spans="1:2">
      <c r="A7524" s="422"/>
      <c r="B7524" s="461"/>
    </row>
    <row r="7525" spans="1:2">
      <c r="A7525" s="422"/>
      <c r="B7525" s="461"/>
    </row>
    <row r="7526" spans="1:2">
      <c r="A7526" s="422"/>
      <c r="B7526" s="461"/>
    </row>
    <row r="7527" spans="1:2">
      <c r="A7527" s="422"/>
      <c r="B7527" s="461"/>
    </row>
    <row r="7528" spans="1:2">
      <c r="A7528" s="422"/>
      <c r="B7528" s="461"/>
    </row>
    <row r="7529" spans="1:2">
      <c r="A7529" s="422"/>
      <c r="B7529" s="461"/>
    </row>
    <row r="7530" spans="1:2">
      <c r="A7530" s="422"/>
      <c r="B7530" s="461"/>
    </row>
    <row r="7531" spans="1:2">
      <c r="A7531" s="422"/>
      <c r="B7531" s="461"/>
    </row>
    <row r="7532" spans="1:2">
      <c r="A7532" s="422"/>
      <c r="B7532" s="461"/>
    </row>
    <row r="7533" spans="1:2">
      <c r="A7533" s="422"/>
      <c r="B7533" s="461"/>
    </row>
    <row r="7534" spans="1:2">
      <c r="A7534" s="422"/>
      <c r="B7534" s="461"/>
    </row>
    <row r="7535" spans="1:2">
      <c r="A7535" s="422"/>
      <c r="B7535" s="461"/>
    </row>
    <row r="7536" spans="1:2">
      <c r="A7536" s="422"/>
      <c r="B7536" s="461"/>
    </row>
    <row r="7537" spans="1:2">
      <c r="A7537" s="422"/>
      <c r="B7537" s="461"/>
    </row>
    <row r="7538" spans="1:2">
      <c r="A7538" s="422"/>
      <c r="B7538" s="461"/>
    </row>
    <row r="7539" spans="1:2">
      <c r="A7539" s="422"/>
      <c r="B7539" s="461"/>
    </row>
    <row r="7540" spans="1:2">
      <c r="A7540" s="422"/>
      <c r="B7540" s="461"/>
    </row>
    <row r="7541" spans="1:2">
      <c r="A7541" s="422"/>
      <c r="B7541" s="461"/>
    </row>
    <row r="7542" spans="1:2">
      <c r="A7542" s="422"/>
      <c r="B7542" s="461"/>
    </row>
    <row r="7543" spans="1:2">
      <c r="A7543" s="422"/>
      <c r="B7543" s="461"/>
    </row>
    <row r="7544" spans="1:2">
      <c r="A7544" s="422"/>
      <c r="B7544" s="461"/>
    </row>
    <row r="7545" spans="1:2">
      <c r="A7545" s="422"/>
      <c r="B7545" s="461"/>
    </row>
    <row r="7546" spans="1:2">
      <c r="A7546" s="422"/>
      <c r="B7546" s="461"/>
    </row>
    <row r="7547" spans="1:2">
      <c r="A7547" s="422"/>
      <c r="B7547" s="461"/>
    </row>
    <row r="7548" spans="1:2">
      <c r="A7548" s="422"/>
      <c r="B7548" s="461"/>
    </row>
    <row r="7549" spans="1:2">
      <c r="A7549" s="422"/>
      <c r="B7549" s="461"/>
    </row>
    <row r="7550" spans="1:2">
      <c r="A7550" s="422"/>
      <c r="B7550" s="461"/>
    </row>
    <row r="7551" spans="1:2">
      <c r="A7551" s="422"/>
      <c r="B7551" s="461"/>
    </row>
    <row r="7552" spans="1:2">
      <c r="A7552" s="422"/>
      <c r="B7552" s="461"/>
    </row>
    <row r="7553" spans="1:2">
      <c r="A7553" s="422"/>
      <c r="B7553" s="461"/>
    </row>
    <row r="7554" spans="1:2">
      <c r="A7554" s="422"/>
      <c r="B7554" s="461"/>
    </row>
    <row r="7555" spans="1:2">
      <c r="A7555" s="422"/>
      <c r="B7555" s="461"/>
    </row>
    <row r="7556" spans="1:2">
      <c r="A7556" s="422"/>
      <c r="B7556" s="461"/>
    </row>
    <row r="7557" spans="1:2">
      <c r="A7557" s="422"/>
      <c r="B7557" s="461"/>
    </row>
    <row r="7558" spans="1:2">
      <c r="A7558" s="422"/>
      <c r="B7558" s="461"/>
    </row>
    <row r="7559" spans="1:2">
      <c r="A7559" s="422"/>
      <c r="B7559" s="461"/>
    </row>
    <row r="7560" spans="1:2">
      <c r="A7560" s="422"/>
      <c r="B7560" s="461"/>
    </row>
    <row r="7561" spans="1:2">
      <c r="A7561" s="422"/>
      <c r="B7561" s="461"/>
    </row>
    <row r="7562" spans="1:2">
      <c r="A7562" s="422"/>
      <c r="B7562" s="461"/>
    </row>
    <row r="7563" spans="1:2">
      <c r="A7563" s="422"/>
      <c r="B7563" s="461"/>
    </row>
    <row r="7564" spans="1:2">
      <c r="A7564" s="422"/>
      <c r="B7564" s="461"/>
    </row>
    <row r="7565" spans="1:2">
      <c r="A7565" s="422"/>
      <c r="B7565" s="461"/>
    </row>
    <row r="7566" spans="1:2">
      <c r="A7566" s="422"/>
      <c r="B7566" s="461"/>
    </row>
    <row r="7567" spans="1:2">
      <c r="A7567" s="422"/>
      <c r="B7567" s="461"/>
    </row>
    <row r="7568" spans="1:2">
      <c r="A7568" s="422"/>
      <c r="B7568" s="461"/>
    </row>
    <row r="7569" spans="1:2">
      <c r="A7569" s="422"/>
      <c r="B7569" s="461"/>
    </row>
    <row r="7570" spans="1:2">
      <c r="A7570" s="422"/>
      <c r="B7570" s="461"/>
    </row>
    <row r="7571" spans="1:2">
      <c r="A7571" s="422"/>
      <c r="B7571" s="461"/>
    </row>
    <row r="7572" spans="1:2">
      <c r="A7572" s="422"/>
      <c r="B7572" s="461"/>
    </row>
    <row r="7573" spans="1:2">
      <c r="A7573" s="422"/>
      <c r="B7573" s="461"/>
    </row>
    <row r="7574" spans="1:2">
      <c r="A7574" s="422"/>
      <c r="B7574" s="461"/>
    </row>
    <row r="7575" spans="1:2">
      <c r="A7575" s="422"/>
      <c r="B7575" s="461"/>
    </row>
    <row r="7576" spans="1:2">
      <c r="A7576" s="422"/>
      <c r="B7576" s="461"/>
    </row>
    <row r="7577" spans="1:2">
      <c r="A7577" s="422"/>
      <c r="B7577" s="461"/>
    </row>
    <row r="7578" spans="1:2">
      <c r="A7578" s="422"/>
      <c r="B7578" s="461"/>
    </row>
    <row r="7579" spans="1:2">
      <c r="A7579" s="422"/>
      <c r="B7579" s="461"/>
    </row>
    <row r="7580" spans="1:2">
      <c r="A7580" s="422"/>
      <c r="B7580" s="461"/>
    </row>
    <row r="7581" spans="1:2">
      <c r="A7581" s="422"/>
      <c r="B7581" s="461"/>
    </row>
    <row r="7582" spans="1:2">
      <c r="A7582" s="422"/>
      <c r="B7582" s="461"/>
    </row>
    <row r="7583" spans="1:2">
      <c r="A7583" s="422"/>
      <c r="B7583" s="461"/>
    </row>
    <row r="7584" spans="1:2">
      <c r="A7584" s="422"/>
      <c r="B7584" s="461"/>
    </row>
    <row r="7585" spans="1:2">
      <c r="A7585" s="422"/>
      <c r="B7585" s="461"/>
    </row>
    <row r="7586" spans="1:2">
      <c r="A7586" s="422"/>
      <c r="B7586" s="461"/>
    </row>
    <row r="7587" spans="1:2">
      <c r="A7587" s="422"/>
      <c r="B7587" s="461"/>
    </row>
    <row r="7588" spans="1:2">
      <c r="A7588" s="422"/>
      <c r="B7588" s="461"/>
    </row>
    <row r="7589" spans="1:2">
      <c r="A7589" s="422"/>
      <c r="B7589" s="461"/>
    </row>
    <row r="7590" spans="1:2">
      <c r="A7590" s="422"/>
      <c r="B7590" s="461"/>
    </row>
    <row r="7591" spans="1:2">
      <c r="A7591" s="422"/>
      <c r="B7591" s="461"/>
    </row>
    <row r="7592" spans="1:2">
      <c r="A7592" s="422"/>
      <c r="B7592" s="461"/>
    </row>
    <row r="7593" spans="1:2">
      <c r="A7593" s="422"/>
      <c r="B7593" s="461"/>
    </row>
    <row r="7594" spans="1:2">
      <c r="A7594" s="422"/>
      <c r="B7594" s="461"/>
    </row>
    <row r="7595" spans="1:2">
      <c r="A7595" s="422"/>
      <c r="B7595" s="461"/>
    </row>
    <row r="7596" spans="1:2">
      <c r="A7596" s="422"/>
      <c r="B7596" s="461"/>
    </row>
    <row r="7597" spans="1:2">
      <c r="A7597" s="422"/>
      <c r="B7597" s="461"/>
    </row>
    <row r="7598" spans="1:2">
      <c r="A7598" s="422"/>
      <c r="B7598" s="461"/>
    </row>
    <row r="7599" spans="1:2">
      <c r="A7599" s="422"/>
      <c r="B7599" s="461"/>
    </row>
    <row r="7600" spans="1:2">
      <c r="A7600" s="422"/>
      <c r="B7600" s="461"/>
    </row>
    <row r="7601" spans="1:2">
      <c r="A7601" s="422"/>
      <c r="B7601" s="461"/>
    </row>
    <row r="7602" spans="1:2">
      <c r="A7602" s="422"/>
      <c r="B7602" s="461"/>
    </row>
    <row r="7603" spans="1:2">
      <c r="A7603" s="422"/>
      <c r="B7603" s="461"/>
    </row>
    <row r="7604" spans="1:2">
      <c r="A7604" s="422"/>
      <c r="B7604" s="461"/>
    </row>
    <row r="7605" spans="1:2">
      <c r="A7605" s="422"/>
      <c r="B7605" s="461"/>
    </row>
    <row r="7606" spans="1:2">
      <c r="A7606" s="422"/>
      <c r="B7606" s="461"/>
    </row>
    <row r="7607" spans="1:2">
      <c r="A7607" s="422"/>
      <c r="B7607" s="461"/>
    </row>
    <row r="7608" spans="1:2">
      <c r="A7608" s="422"/>
      <c r="B7608" s="461"/>
    </row>
    <row r="7609" spans="1:2">
      <c r="A7609" s="422"/>
      <c r="B7609" s="461"/>
    </row>
    <row r="7610" spans="1:2">
      <c r="A7610" s="422"/>
      <c r="B7610" s="461"/>
    </row>
    <row r="7611" spans="1:2">
      <c r="A7611" s="422"/>
      <c r="B7611" s="461"/>
    </row>
    <row r="7612" spans="1:2">
      <c r="A7612" s="422"/>
      <c r="B7612" s="461"/>
    </row>
    <row r="7613" spans="1:2">
      <c r="A7613" s="422"/>
      <c r="B7613" s="461"/>
    </row>
    <row r="7614" spans="1:2">
      <c r="A7614" s="422"/>
      <c r="B7614" s="461"/>
    </row>
    <row r="7615" spans="1:2">
      <c r="A7615" s="422"/>
      <c r="B7615" s="461"/>
    </row>
    <row r="7616" spans="1:2">
      <c r="A7616" s="422"/>
      <c r="B7616" s="461"/>
    </row>
    <row r="7617" spans="1:2">
      <c r="A7617" s="422"/>
      <c r="B7617" s="461"/>
    </row>
    <row r="7618" spans="1:2">
      <c r="A7618" s="422"/>
      <c r="B7618" s="461"/>
    </row>
    <row r="7619" spans="1:2">
      <c r="A7619" s="422"/>
      <c r="B7619" s="461"/>
    </row>
    <row r="7620" spans="1:2">
      <c r="A7620" s="422"/>
      <c r="B7620" s="461"/>
    </row>
    <row r="7621" spans="1:2">
      <c r="A7621" s="422"/>
      <c r="B7621" s="461"/>
    </row>
    <row r="7622" spans="1:2">
      <c r="A7622" s="422"/>
      <c r="B7622" s="461"/>
    </row>
    <row r="7623" spans="1:2">
      <c r="A7623" s="422"/>
      <c r="B7623" s="461"/>
    </row>
    <row r="7624" spans="1:2">
      <c r="A7624" s="422"/>
      <c r="B7624" s="461"/>
    </row>
    <row r="7625" spans="1:2">
      <c r="A7625" s="422"/>
      <c r="B7625" s="461"/>
    </row>
    <row r="7626" spans="1:2">
      <c r="A7626" s="422"/>
      <c r="B7626" s="461"/>
    </row>
    <row r="7627" spans="1:2">
      <c r="A7627" s="422"/>
      <c r="B7627" s="461"/>
    </row>
    <row r="7628" spans="1:2">
      <c r="A7628" s="422"/>
      <c r="B7628" s="461"/>
    </row>
    <row r="7629" spans="1:2">
      <c r="A7629" s="422"/>
      <c r="B7629" s="461"/>
    </row>
    <row r="7630" spans="1:2">
      <c r="A7630" s="422"/>
      <c r="B7630" s="461"/>
    </row>
    <row r="7631" spans="1:2">
      <c r="A7631" s="422"/>
      <c r="B7631" s="461"/>
    </row>
    <row r="7632" spans="1:2">
      <c r="A7632" s="422"/>
      <c r="B7632" s="461"/>
    </row>
    <row r="7633" spans="1:2">
      <c r="A7633" s="422"/>
      <c r="B7633" s="461"/>
    </row>
    <row r="7634" spans="1:2">
      <c r="A7634" s="422"/>
      <c r="B7634" s="461"/>
    </row>
    <row r="7635" spans="1:2">
      <c r="A7635" s="422"/>
      <c r="B7635" s="461"/>
    </row>
    <row r="7636" spans="1:2">
      <c r="A7636" s="422"/>
      <c r="B7636" s="461"/>
    </row>
    <row r="7637" spans="1:2">
      <c r="A7637" s="422"/>
      <c r="B7637" s="461"/>
    </row>
    <row r="7638" spans="1:2">
      <c r="A7638" s="422"/>
      <c r="B7638" s="461"/>
    </row>
    <row r="7639" spans="1:2">
      <c r="A7639" s="422"/>
      <c r="B7639" s="461"/>
    </row>
    <row r="7640" spans="1:2">
      <c r="A7640" s="422"/>
      <c r="B7640" s="461"/>
    </row>
    <row r="7641" spans="1:2">
      <c r="A7641" s="422"/>
      <c r="B7641" s="461"/>
    </row>
    <row r="7642" spans="1:2">
      <c r="A7642" s="422"/>
      <c r="B7642" s="461"/>
    </row>
    <row r="7643" spans="1:2">
      <c r="A7643" s="422"/>
      <c r="B7643" s="461"/>
    </row>
    <row r="7644" spans="1:2">
      <c r="A7644" s="422"/>
      <c r="B7644" s="461"/>
    </row>
    <row r="7645" spans="1:2">
      <c r="A7645" s="422"/>
      <c r="B7645" s="461"/>
    </row>
    <row r="7646" spans="1:2">
      <c r="A7646" s="422"/>
      <c r="B7646" s="461"/>
    </row>
    <row r="7647" spans="1:2">
      <c r="A7647" s="422"/>
      <c r="B7647" s="461"/>
    </row>
    <row r="7648" spans="1:2">
      <c r="A7648" s="422"/>
      <c r="B7648" s="461"/>
    </row>
    <row r="7649" spans="1:2">
      <c r="A7649" s="422"/>
      <c r="B7649" s="461"/>
    </row>
    <row r="7650" spans="1:2">
      <c r="A7650" s="422"/>
      <c r="B7650" s="461"/>
    </row>
    <row r="7651" spans="1:2">
      <c r="A7651" s="422"/>
      <c r="B7651" s="461"/>
    </row>
    <row r="7652" spans="1:2">
      <c r="A7652" s="422"/>
      <c r="B7652" s="461"/>
    </row>
    <row r="7653" spans="1:2">
      <c r="A7653" s="422"/>
      <c r="B7653" s="461"/>
    </row>
    <row r="7654" spans="1:2">
      <c r="A7654" s="422"/>
      <c r="B7654" s="461"/>
    </row>
    <row r="7655" spans="1:2">
      <c r="A7655" s="422"/>
      <c r="B7655" s="461"/>
    </row>
    <row r="7656" spans="1:2">
      <c r="A7656" s="422"/>
      <c r="B7656" s="461"/>
    </row>
    <row r="7657" spans="1:2">
      <c r="A7657" s="422"/>
      <c r="B7657" s="461"/>
    </row>
    <row r="7658" spans="1:2">
      <c r="A7658" s="422"/>
      <c r="B7658" s="461"/>
    </row>
    <row r="7659" spans="1:2">
      <c r="A7659" s="422"/>
      <c r="B7659" s="461"/>
    </row>
    <row r="7660" spans="1:2">
      <c r="A7660" s="422"/>
      <c r="B7660" s="461"/>
    </row>
    <row r="7661" spans="1:2">
      <c r="A7661" s="422"/>
      <c r="B7661" s="461"/>
    </row>
    <row r="7662" spans="1:2">
      <c r="A7662" s="422"/>
      <c r="B7662" s="461"/>
    </row>
    <row r="7663" spans="1:2">
      <c r="A7663" s="422"/>
      <c r="B7663" s="461"/>
    </row>
    <row r="7664" spans="1:2">
      <c r="A7664" s="422"/>
      <c r="B7664" s="461"/>
    </row>
    <row r="7665" spans="1:2">
      <c r="A7665" s="422"/>
      <c r="B7665" s="461"/>
    </row>
    <row r="7666" spans="1:2">
      <c r="A7666" s="422"/>
      <c r="B7666" s="461"/>
    </row>
    <row r="7667" spans="1:2">
      <c r="A7667" s="422"/>
      <c r="B7667" s="461"/>
    </row>
    <row r="7668" spans="1:2">
      <c r="A7668" s="422"/>
      <c r="B7668" s="461"/>
    </row>
    <row r="7669" spans="1:2">
      <c r="A7669" s="422"/>
      <c r="B7669" s="461"/>
    </row>
    <row r="7670" spans="1:2">
      <c r="A7670" s="422"/>
      <c r="B7670" s="461"/>
    </row>
    <row r="7671" spans="1:2">
      <c r="A7671" s="422"/>
      <c r="B7671" s="461"/>
    </row>
    <row r="7672" spans="1:2">
      <c r="A7672" s="422"/>
      <c r="B7672" s="461"/>
    </row>
    <row r="7673" spans="1:2">
      <c r="A7673" s="422"/>
      <c r="B7673" s="461"/>
    </row>
    <row r="7674" spans="1:2">
      <c r="A7674" s="422"/>
      <c r="B7674" s="461"/>
    </row>
    <row r="7675" spans="1:2">
      <c r="A7675" s="422"/>
      <c r="B7675" s="461"/>
    </row>
    <row r="7676" spans="1:2">
      <c r="A7676" s="422"/>
      <c r="B7676" s="461"/>
    </row>
    <row r="7677" spans="1:2">
      <c r="A7677" s="422"/>
      <c r="B7677" s="461"/>
    </row>
    <row r="7678" spans="1:2">
      <c r="A7678" s="422"/>
      <c r="B7678" s="461"/>
    </row>
    <row r="7679" spans="1:2">
      <c r="A7679" s="422"/>
      <c r="B7679" s="461"/>
    </row>
    <row r="7680" spans="1:2">
      <c r="A7680" s="422"/>
      <c r="B7680" s="461"/>
    </row>
    <row r="7681" spans="1:2">
      <c r="A7681" s="422"/>
      <c r="B7681" s="461"/>
    </row>
    <row r="7682" spans="1:2">
      <c r="A7682" s="422"/>
      <c r="B7682" s="461"/>
    </row>
    <row r="7683" spans="1:2">
      <c r="A7683" s="422"/>
      <c r="B7683" s="461"/>
    </row>
    <row r="7684" spans="1:2">
      <c r="A7684" s="422"/>
      <c r="B7684" s="461"/>
    </row>
    <row r="7685" spans="1:2">
      <c r="A7685" s="422"/>
      <c r="B7685" s="461"/>
    </row>
    <row r="7686" spans="1:2">
      <c r="A7686" s="422"/>
      <c r="B7686" s="461"/>
    </row>
    <row r="7687" spans="1:2">
      <c r="A7687" s="422"/>
      <c r="B7687" s="461"/>
    </row>
    <row r="7688" spans="1:2">
      <c r="A7688" s="422"/>
      <c r="B7688" s="461"/>
    </row>
    <row r="7689" spans="1:2">
      <c r="A7689" s="422"/>
      <c r="B7689" s="461"/>
    </row>
    <row r="7690" spans="1:2">
      <c r="A7690" s="422"/>
      <c r="B7690" s="461"/>
    </row>
    <row r="7691" spans="1:2">
      <c r="A7691" s="422"/>
      <c r="B7691" s="461"/>
    </row>
    <row r="7692" spans="1:2">
      <c r="A7692" s="422"/>
      <c r="B7692" s="461"/>
    </row>
    <row r="7693" spans="1:2">
      <c r="A7693" s="422"/>
      <c r="B7693" s="461"/>
    </row>
    <row r="7694" spans="1:2">
      <c r="A7694" s="422"/>
      <c r="B7694" s="461"/>
    </row>
    <row r="7695" spans="1:2">
      <c r="A7695" s="422"/>
      <c r="B7695" s="461"/>
    </row>
    <row r="7696" spans="1:2">
      <c r="A7696" s="422"/>
      <c r="B7696" s="461"/>
    </row>
    <row r="7697" spans="1:2">
      <c r="A7697" s="422"/>
      <c r="B7697" s="461"/>
    </row>
    <row r="7698" spans="1:2">
      <c r="A7698" s="422"/>
      <c r="B7698" s="461"/>
    </row>
    <row r="7699" spans="1:2">
      <c r="A7699" s="422"/>
      <c r="B7699" s="461"/>
    </row>
    <row r="7700" spans="1:2">
      <c r="A7700" s="422"/>
      <c r="B7700" s="461"/>
    </row>
    <row r="7701" spans="1:2">
      <c r="A7701" s="422"/>
      <c r="B7701" s="461"/>
    </row>
    <row r="7702" spans="1:2">
      <c r="A7702" s="422"/>
      <c r="B7702" s="461"/>
    </row>
    <row r="7703" spans="1:2">
      <c r="A7703" s="422"/>
      <c r="B7703" s="461"/>
    </row>
    <row r="7704" spans="1:2">
      <c r="A7704" s="422"/>
      <c r="B7704" s="461"/>
    </row>
    <row r="7705" spans="1:2">
      <c r="A7705" s="422"/>
      <c r="B7705" s="461"/>
    </row>
    <row r="7706" spans="1:2">
      <c r="A7706" s="422"/>
      <c r="B7706" s="461"/>
    </row>
    <row r="7707" spans="1:2">
      <c r="A7707" s="422"/>
      <c r="B7707" s="461"/>
    </row>
    <row r="7708" spans="1:2">
      <c r="A7708" s="422"/>
      <c r="B7708" s="461"/>
    </row>
    <row r="7709" spans="1:2">
      <c r="A7709" s="422"/>
      <c r="B7709" s="461"/>
    </row>
    <row r="7710" spans="1:2">
      <c r="A7710" s="422"/>
      <c r="B7710" s="461"/>
    </row>
    <row r="7711" spans="1:2">
      <c r="A7711" s="422"/>
      <c r="B7711" s="461"/>
    </row>
    <row r="7712" spans="1:2">
      <c r="A7712" s="422"/>
      <c r="B7712" s="461"/>
    </row>
    <row r="7713" spans="1:2">
      <c r="A7713" s="422"/>
      <c r="B7713" s="461"/>
    </row>
    <row r="7714" spans="1:2">
      <c r="A7714" s="422"/>
      <c r="B7714" s="461"/>
    </row>
    <row r="7715" spans="1:2">
      <c r="A7715" s="422"/>
      <c r="B7715" s="461"/>
    </row>
    <row r="7716" spans="1:2">
      <c r="A7716" s="422"/>
      <c r="B7716" s="461"/>
    </row>
    <row r="7717" spans="1:2">
      <c r="A7717" s="422"/>
      <c r="B7717" s="461"/>
    </row>
    <row r="7718" spans="1:2">
      <c r="A7718" s="422"/>
      <c r="B7718" s="461"/>
    </row>
    <row r="7719" spans="1:2">
      <c r="A7719" s="422"/>
      <c r="B7719" s="461"/>
    </row>
    <row r="7720" spans="1:2">
      <c r="A7720" s="422"/>
      <c r="B7720" s="461"/>
    </row>
    <row r="7721" spans="1:2">
      <c r="A7721" s="422"/>
      <c r="B7721" s="461"/>
    </row>
    <row r="7722" spans="1:2">
      <c r="A7722" s="422"/>
      <c r="B7722" s="461"/>
    </row>
    <row r="7723" spans="1:2">
      <c r="A7723" s="422"/>
      <c r="B7723" s="461"/>
    </row>
    <row r="7724" spans="1:2">
      <c r="A7724" s="422"/>
      <c r="B7724" s="461"/>
    </row>
    <row r="7725" spans="1:2">
      <c r="A7725" s="422"/>
      <c r="B7725" s="461"/>
    </row>
    <row r="7726" spans="1:2">
      <c r="A7726" s="422"/>
      <c r="B7726" s="461"/>
    </row>
    <row r="7727" spans="1:2">
      <c r="A7727" s="422"/>
      <c r="B7727" s="461"/>
    </row>
    <row r="7728" spans="1:2">
      <c r="A7728" s="422"/>
      <c r="B7728" s="461"/>
    </row>
    <row r="7729" spans="1:2">
      <c r="A7729" s="422"/>
      <c r="B7729" s="461"/>
    </row>
    <row r="7730" spans="1:2">
      <c r="A7730" s="422"/>
      <c r="B7730" s="461"/>
    </row>
    <row r="7731" spans="1:2">
      <c r="A7731" s="422"/>
      <c r="B7731" s="461"/>
    </row>
    <row r="7732" spans="1:2">
      <c r="A7732" s="422"/>
      <c r="B7732" s="461"/>
    </row>
    <row r="7733" spans="1:2">
      <c r="A7733" s="422"/>
      <c r="B7733" s="461"/>
    </row>
    <row r="7734" spans="1:2">
      <c r="A7734" s="422"/>
      <c r="B7734" s="461"/>
    </row>
    <row r="7735" spans="1:2">
      <c r="A7735" s="422"/>
      <c r="B7735" s="461"/>
    </row>
    <row r="7736" spans="1:2">
      <c r="A7736" s="422"/>
      <c r="B7736" s="461"/>
    </row>
    <row r="7737" spans="1:2">
      <c r="A7737" s="422"/>
      <c r="B7737" s="461"/>
    </row>
    <row r="7738" spans="1:2">
      <c r="A7738" s="422"/>
      <c r="B7738" s="461"/>
    </row>
    <row r="7739" spans="1:2">
      <c r="A7739" s="422"/>
      <c r="B7739" s="461"/>
    </row>
    <row r="7740" spans="1:2">
      <c r="A7740" s="422"/>
      <c r="B7740" s="461"/>
    </row>
    <row r="7741" spans="1:2">
      <c r="A7741" s="422"/>
      <c r="B7741" s="461"/>
    </row>
    <row r="7742" spans="1:2">
      <c r="A7742" s="422"/>
      <c r="B7742" s="461"/>
    </row>
    <row r="7743" spans="1:2">
      <c r="A7743" s="422"/>
      <c r="B7743" s="461"/>
    </row>
    <row r="7744" spans="1:2">
      <c r="A7744" s="422"/>
      <c r="B7744" s="461"/>
    </row>
    <row r="7745" spans="1:2">
      <c r="A7745" s="422"/>
      <c r="B7745" s="461"/>
    </row>
    <row r="7746" spans="1:2">
      <c r="A7746" s="422"/>
      <c r="B7746" s="461"/>
    </row>
    <row r="7747" spans="1:2">
      <c r="A7747" s="422"/>
      <c r="B7747" s="461"/>
    </row>
    <row r="7748" spans="1:2">
      <c r="A7748" s="422"/>
      <c r="B7748" s="461"/>
    </row>
    <row r="7749" spans="1:2">
      <c r="A7749" s="422"/>
      <c r="B7749" s="461"/>
    </row>
    <row r="7750" spans="1:2">
      <c r="A7750" s="422"/>
      <c r="B7750" s="461"/>
    </row>
    <row r="7751" spans="1:2">
      <c r="A7751" s="422"/>
      <c r="B7751" s="461"/>
    </row>
    <row r="7752" spans="1:2">
      <c r="A7752" s="422"/>
      <c r="B7752" s="461"/>
    </row>
    <row r="7753" spans="1:2">
      <c r="A7753" s="422"/>
      <c r="B7753" s="461"/>
    </row>
    <row r="7754" spans="1:2">
      <c r="A7754" s="422"/>
      <c r="B7754" s="461"/>
    </row>
    <row r="7755" spans="1:2">
      <c r="A7755" s="422"/>
      <c r="B7755" s="461"/>
    </row>
    <row r="7756" spans="1:2">
      <c r="A7756" s="422"/>
      <c r="B7756" s="461"/>
    </row>
    <row r="7757" spans="1:2">
      <c r="A7757" s="422"/>
      <c r="B7757" s="461"/>
    </row>
    <row r="7758" spans="1:2">
      <c r="A7758" s="422"/>
      <c r="B7758" s="461"/>
    </row>
    <row r="7759" spans="1:2">
      <c r="A7759" s="422"/>
      <c r="B7759" s="461"/>
    </row>
    <row r="7760" spans="1:2">
      <c r="A7760" s="422"/>
      <c r="B7760" s="461"/>
    </row>
    <row r="7761" spans="1:2">
      <c r="A7761" s="422"/>
      <c r="B7761" s="461"/>
    </row>
    <row r="7762" spans="1:2">
      <c r="A7762" s="422"/>
      <c r="B7762" s="461"/>
    </row>
    <row r="7763" spans="1:2">
      <c r="A7763" s="422"/>
      <c r="B7763" s="461"/>
    </row>
    <row r="7764" spans="1:2">
      <c r="A7764" s="422"/>
      <c r="B7764" s="461"/>
    </row>
    <row r="7765" spans="1:2">
      <c r="A7765" s="422"/>
      <c r="B7765" s="461"/>
    </row>
    <row r="7766" spans="1:2">
      <c r="A7766" s="422"/>
      <c r="B7766" s="461"/>
    </row>
    <row r="7767" spans="1:2">
      <c r="A7767" s="422"/>
      <c r="B7767" s="461"/>
    </row>
    <row r="7768" spans="1:2">
      <c r="A7768" s="422"/>
      <c r="B7768" s="461"/>
    </row>
    <row r="7769" spans="1:2">
      <c r="A7769" s="422"/>
      <c r="B7769" s="461"/>
    </row>
    <row r="7770" spans="1:2">
      <c r="A7770" s="422"/>
      <c r="B7770" s="461"/>
    </row>
    <row r="7771" spans="1:2">
      <c r="A7771" s="422"/>
      <c r="B7771" s="461"/>
    </row>
    <row r="7772" spans="1:2">
      <c r="A7772" s="422"/>
      <c r="B7772" s="461"/>
    </row>
    <row r="7773" spans="1:2">
      <c r="A7773" s="422"/>
      <c r="B7773" s="461"/>
    </row>
    <row r="7774" spans="1:2">
      <c r="A7774" s="422"/>
      <c r="B7774" s="461"/>
    </row>
    <row r="7775" spans="1:2">
      <c r="A7775" s="422"/>
      <c r="B7775" s="461"/>
    </row>
    <row r="7776" spans="1:2">
      <c r="A7776" s="422"/>
      <c r="B7776" s="461"/>
    </row>
    <row r="7777" spans="1:2">
      <c r="A7777" s="422"/>
      <c r="B7777" s="461"/>
    </row>
    <row r="7778" spans="1:2">
      <c r="A7778" s="422"/>
      <c r="B7778" s="461"/>
    </row>
    <row r="7779" spans="1:2">
      <c r="A7779" s="422"/>
      <c r="B7779" s="461"/>
    </row>
    <row r="7780" spans="1:2">
      <c r="A7780" s="422"/>
      <c r="B7780" s="461"/>
    </row>
    <row r="7781" spans="1:2">
      <c r="A7781" s="422"/>
      <c r="B7781" s="461"/>
    </row>
    <row r="7782" spans="1:2">
      <c r="A7782" s="422"/>
      <c r="B7782" s="461"/>
    </row>
    <row r="7783" spans="1:2">
      <c r="A7783" s="422"/>
      <c r="B7783" s="461"/>
    </row>
    <row r="7784" spans="1:2">
      <c r="A7784" s="422"/>
      <c r="B7784" s="461"/>
    </row>
    <row r="7785" spans="1:2">
      <c r="A7785" s="422"/>
      <c r="B7785" s="461"/>
    </row>
    <row r="7786" spans="1:2">
      <c r="A7786" s="422"/>
      <c r="B7786" s="461"/>
    </row>
    <row r="7787" spans="1:2">
      <c r="A7787" s="422"/>
      <c r="B7787" s="461"/>
    </row>
    <row r="7788" spans="1:2">
      <c r="A7788" s="422"/>
      <c r="B7788" s="461"/>
    </row>
    <row r="7789" spans="1:2">
      <c r="A7789" s="422"/>
      <c r="B7789" s="461"/>
    </row>
    <row r="7790" spans="1:2">
      <c r="A7790" s="422"/>
      <c r="B7790" s="461"/>
    </row>
    <row r="7791" spans="1:2">
      <c r="A7791" s="422"/>
      <c r="B7791" s="461"/>
    </row>
    <row r="7792" spans="1:2">
      <c r="A7792" s="422"/>
      <c r="B7792" s="461"/>
    </row>
    <row r="7793" spans="1:2">
      <c r="A7793" s="422"/>
      <c r="B7793" s="461"/>
    </row>
    <row r="7794" spans="1:2">
      <c r="A7794" s="422"/>
      <c r="B7794" s="461"/>
    </row>
    <row r="7795" spans="1:2">
      <c r="A7795" s="422"/>
      <c r="B7795" s="461"/>
    </row>
    <row r="7796" spans="1:2">
      <c r="A7796" s="422"/>
      <c r="B7796" s="461"/>
    </row>
    <row r="7797" spans="1:2">
      <c r="A7797" s="422"/>
      <c r="B7797" s="461"/>
    </row>
    <row r="7798" spans="1:2">
      <c r="A7798" s="422"/>
      <c r="B7798" s="461"/>
    </row>
    <row r="7799" spans="1:2">
      <c r="A7799" s="422"/>
      <c r="B7799" s="461"/>
    </row>
    <row r="7800" spans="1:2">
      <c r="A7800" s="422"/>
      <c r="B7800" s="461"/>
    </row>
    <row r="7801" spans="1:2">
      <c r="A7801" s="422"/>
      <c r="B7801" s="461"/>
    </row>
    <row r="7802" spans="1:2">
      <c r="A7802" s="422"/>
      <c r="B7802" s="461"/>
    </row>
    <row r="7803" spans="1:2">
      <c r="A7803" s="422"/>
      <c r="B7803" s="461"/>
    </row>
    <row r="7804" spans="1:2">
      <c r="A7804" s="422"/>
      <c r="B7804" s="461"/>
    </row>
    <row r="7805" spans="1:2">
      <c r="A7805" s="422"/>
      <c r="B7805" s="461"/>
    </row>
    <row r="7806" spans="1:2">
      <c r="A7806" s="422"/>
      <c r="B7806" s="461"/>
    </row>
    <row r="7807" spans="1:2">
      <c r="A7807" s="422"/>
      <c r="B7807" s="461"/>
    </row>
    <row r="7808" spans="1:2">
      <c r="A7808" s="422"/>
      <c r="B7808" s="461"/>
    </row>
    <row r="7809" spans="1:2">
      <c r="A7809" s="422"/>
      <c r="B7809" s="461"/>
    </row>
    <row r="7810" spans="1:2">
      <c r="A7810" s="422"/>
      <c r="B7810" s="461"/>
    </row>
    <row r="7811" spans="1:2">
      <c r="A7811" s="422"/>
      <c r="B7811" s="461"/>
    </row>
    <row r="7812" spans="1:2">
      <c r="A7812" s="422"/>
      <c r="B7812" s="461"/>
    </row>
    <row r="7813" spans="1:2">
      <c r="A7813" s="422"/>
      <c r="B7813" s="461"/>
    </row>
    <row r="7814" spans="1:2">
      <c r="A7814" s="422"/>
      <c r="B7814" s="461"/>
    </row>
    <row r="7815" spans="1:2">
      <c r="A7815" s="422"/>
      <c r="B7815" s="461"/>
    </row>
    <row r="7816" spans="1:2">
      <c r="A7816" s="422"/>
      <c r="B7816" s="461"/>
    </row>
    <row r="7817" spans="1:2">
      <c r="A7817" s="422"/>
      <c r="B7817" s="461"/>
    </row>
    <row r="7818" spans="1:2">
      <c r="A7818" s="422"/>
      <c r="B7818" s="461"/>
    </row>
    <row r="7819" spans="1:2">
      <c r="A7819" s="422"/>
      <c r="B7819" s="461"/>
    </row>
    <row r="7820" spans="1:2">
      <c r="A7820" s="422"/>
      <c r="B7820" s="461"/>
    </row>
    <row r="7821" spans="1:2">
      <c r="A7821" s="422"/>
      <c r="B7821" s="461"/>
    </row>
    <row r="7822" spans="1:2">
      <c r="A7822" s="422"/>
      <c r="B7822" s="461"/>
    </row>
    <row r="7823" spans="1:2">
      <c r="A7823" s="422"/>
      <c r="B7823" s="461"/>
    </row>
    <row r="7824" spans="1:2">
      <c r="A7824" s="422"/>
      <c r="B7824" s="461"/>
    </row>
    <row r="7825" spans="1:2">
      <c r="A7825" s="422"/>
      <c r="B7825" s="461"/>
    </row>
    <row r="7826" spans="1:2">
      <c r="A7826" s="422"/>
      <c r="B7826" s="461"/>
    </row>
    <row r="7827" spans="1:2">
      <c r="A7827" s="422"/>
      <c r="B7827" s="461"/>
    </row>
    <row r="7828" spans="1:2">
      <c r="A7828" s="422"/>
      <c r="B7828" s="461"/>
    </row>
    <row r="7829" spans="1:2">
      <c r="A7829" s="422"/>
      <c r="B7829" s="461"/>
    </row>
    <row r="7830" spans="1:2">
      <c r="A7830" s="422"/>
      <c r="B7830" s="461"/>
    </row>
    <row r="7831" spans="1:2">
      <c r="A7831" s="422"/>
      <c r="B7831" s="461"/>
    </row>
    <row r="7832" spans="1:2">
      <c r="A7832" s="422"/>
      <c r="B7832" s="461"/>
    </row>
    <row r="7833" spans="1:2">
      <c r="A7833" s="422"/>
      <c r="B7833" s="461"/>
    </row>
    <row r="7834" spans="1:2">
      <c r="A7834" s="422"/>
      <c r="B7834" s="461"/>
    </row>
    <row r="7835" spans="1:2">
      <c r="A7835" s="422"/>
      <c r="B7835" s="461"/>
    </row>
    <row r="7836" spans="1:2">
      <c r="A7836" s="422"/>
      <c r="B7836" s="461"/>
    </row>
    <row r="7837" spans="1:2">
      <c r="A7837" s="422"/>
      <c r="B7837" s="461"/>
    </row>
    <row r="7838" spans="1:2">
      <c r="A7838" s="422"/>
      <c r="B7838" s="461"/>
    </row>
    <row r="7839" spans="1:2">
      <c r="A7839" s="422"/>
      <c r="B7839" s="461"/>
    </row>
    <row r="7840" spans="1:2">
      <c r="A7840" s="422"/>
      <c r="B7840" s="461"/>
    </row>
    <row r="7841" spans="1:2">
      <c r="A7841" s="422"/>
      <c r="B7841" s="461"/>
    </row>
    <row r="7842" spans="1:2">
      <c r="A7842" s="422"/>
      <c r="B7842" s="461"/>
    </row>
    <row r="7843" spans="1:2">
      <c r="A7843" s="422"/>
      <c r="B7843" s="461"/>
    </row>
    <row r="7844" spans="1:2">
      <c r="A7844" s="422"/>
      <c r="B7844" s="461"/>
    </row>
    <row r="7845" spans="1:2">
      <c r="A7845" s="422"/>
      <c r="B7845" s="461"/>
    </row>
    <row r="7846" spans="1:2">
      <c r="A7846" s="422"/>
      <c r="B7846" s="461"/>
    </row>
    <row r="7847" spans="1:2">
      <c r="A7847" s="422"/>
      <c r="B7847" s="461"/>
    </row>
    <row r="7848" spans="1:2">
      <c r="A7848" s="422"/>
      <c r="B7848" s="461"/>
    </row>
    <row r="7849" spans="1:2">
      <c r="A7849" s="422"/>
      <c r="B7849" s="461"/>
    </row>
    <row r="7850" spans="1:2">
      <c r="A7850" s="422"/>
      <c r="B7850" s="461"/>
    </row>
    <row r="7851" spans="1:2">
      <c r="A7851" s="422"/>
      <c r="B7851" s="461"/>
    </row>
    <row r="7852" spans="1:2">
      <c r="A7852" s="422"/>
      <c r="B7852" s="461"/>
    </row>
    <row r="7853" spans="1:2">
      <c r="A7853" s="422"/>
      <c r="B7853" s="461"/>
    </row>
    <row r="7854" spans="1:2">
      <c r="A7854" s="422"/>
      <c r="B7854" s="461"/>
    </row>
    <row r="7855" spans="1:2">
      <c r="A7855" s="422"/>
      <c r="B7855" s="461"/>
    </row>
    <row r="7856" spans="1:2">
      <c r="A7856" s="422"/>
      <c r="B7856" s="461"/>
    </row>
    <row r="7857" spans="1:2">
      <c r="A7857" s="422"/>
      <c r="B7857" s="461"/>
    </row>
    <row r="7858" spans="1:2">
      <c r="A7858" s="422"/>
      <c r="B7858" s="461"/>
    </row>
    <row r="7859" spans="1:2">
      <c r="A7859" s="422"/>
      <c r="B7859" s="461"/>
    </row>
    <row r="7860" spans="1:2">
      <c r="A7860" s="422"/>
      <c r="B7860" s="461"/>
    </row>
    <row r="7861" spans="1:2">
      <c r="A7861" s="422"/>
      <c r="B7861" s="461"/>
    </row>
    <row r="7862" spans="1:2">
      <c r="A7862" s="422"/>
      <c r="B7862" s="461"/>
    </row>
    <row r="7863" spans="1:2">
      <c r="A7863" s="422"/>
      <c r="B7863" s="461"/>
    </row>
    <row r="7864" spans="1:2">
      <c r="A7864" s="422"/>
      <c r="B7864" s="461"/>
    </row>
    <row r="7865" spans="1:2">
      <c r="A7865" s="422"/>
      <c r="B7865" s="461"/>
    </row>
    <row r="7866" spans="1:2">
      <c r="A7866" s="422"/>
      <c r="B7866" s="461"/>
    </row>
    <row r="7867" spans="1:2">
      <c r="A7867" s="422"/>
      <c r="B7867" s="461"/>
    </row>
    <row r="7868" spans="1:2">
      <c r="A7868" s="422"/>
      <c r="B7868" s="461"/>
    </row>
    <row r="7869" spans="1:2">
      <c r="A7869" s="422"/>
      <c r="B7869" s="461"/>
    </row>
    <row r="7870" spans="1:2">
      <c r="A7870" s="422"/>
      <c r="B7870" s="461"/>
    </row>
    <row r="7871" spans="1:2">
      <c r="A7871" s="422"/>
      <c r="B7871" s="461"/>
    </row>
    <row r="7872" spans="1:2">
      <c r="A7872" s="422"/>
      <c r="B7872" s="461"/>
    </row>
    <row r="7873" spans="1:2">
      <c r="A7873" s="422"/>
      <c r="B7873" s="461"/>
    </row>
    <row r="7874" spans="1:2">
      <c r="A7874" s="422"/>
      <c r="B7874" s="461"/>
    </row>
    <row r="7875" spans="1:2">
      <c r="A7875" s="422"/>
      <c r="B7875" s="461"/>
    </row>
    <row r="7876" spans="1:2">
      <c r="A7876" s="422"/>
      <c r="B7876" s="461"/>
    </row>
    <row r="7877" spans="1:2">
      <c r="A7877" s="422"/>
      <c r="B7877" s="461"/>
    </row>
    <row r="7878" spans="1:2">
      <c r="A7878" s="422"/>
      <c r="B7878" s="461"/>
    </row>
    <row r="7879" spans="1:2">
      <c r="A7879" s="422"/>
      <c r="B7879" s="461"/>
    </row>
    <row r="7880" spans="1:2">
      <c r="A7880" s="422"/>
      <c r="B7880" s="461"/>
    </row>
    <row r="7881" spans="1:2">
      <c r="A7881" s="422"/>
      <c r="B7881" s="461"/>
    </row>
    <row r="7882" spans="1:2">
      <c r="A7882" s="422"/>
      <c r="B7882" s="461"/>
    </row>
    <row r="7883" spans="1:2">
      <c r="A7883" s="422"/>
      <c r="B7883" s="461"/>
    </row>
    <row r="7884" spans="1:2">
      <c r="A7884" s="422"/>
      <c r="B7884" s="461"/>
    </row>
    <row r="7885" spans="1:2">
      <c r="A7885" s="422"/>
      <c r="B7885" s="461"/>
    </row>
    <row r="7886" spans="1:2">
      <c r="A7886" s="422"/>
      <c r="B7886" s="461"/>
    </row>
    <row r="7887" spans="1:2">
      <c r="A7887" s="422"/>
      <c r="B7887" s="461"/>
    </row>
    <row r="7888" spans="1:2">
      <c r="A7888" s="422"/>
      <c r="B7888" s="461"/>
    </row>
    <row r="7889" spans="1:2">
      <c r="A7889" s="422"/>
      <c r="B7889" s="461"/>
    </row>
    <row r="7890" spans="1:2">
      <c r="A7890" s="422"/>
      <c r="B7890" s="461"/>
    </row>
    <row r="7891" spans="1:2">
      <c r="A7891" s="422"/>
      <c r="B7891" s="461"/>
    </row>
    <row r="7892" spans="1:2">
      <c r="A7892" s="422"/>
      <c r="B7892" s="461"/>
    </row>
    <row r="7893" spans="1:2">
      <c r="A7893" s="422"/>
      <c r="B7893" s="461"/>
    </row>
    <row r="7894" spans="1:2">
      <c r="A7894" s="422"/>
      <c r="B7894" s="461"/>
    </row>
    <row r="7895" spans="1:2">
      <c r="A7895" s="422"/>
      <c r="B7895" s="461"/>
    </row>
    <row r="7896" spans="1:2">
      <c r="A7896" s="422"/>
      <c r="B7896" s="461"/>
    </row>
    <row r="7897" spans="1:2">
      <c r="A7897" s="422"/>
      <c r="B7897" s="461"/>
    </row>
    <row r="7898" spans="1:2">
      <c r="A7898" s="422"/>
      <c r="B7898" s="461"/>
    </row>
    <row r="7899" spans="1:2">
      <c r="A7899" s="422"/>
      <c r="B7899" s="461"/>
    </row>
    <row r="7900" spans="1:2">
      <c r="A7900" s="422"/>
      <c r="B7900" s="461"/>
    </row>
    <row r="7901" spans="1:2">
      <c r="A7901" s="422"/>
      <c r="B7901" s="461"/>
    </row>
    <row r="7902" spans="1:2">
      <c r="A7902" s="422"/>
      <c r="B7902" s="461"/>
    </row>
    <row r="7903" spans="1:2">
      <c r="A7903" s="422"/>
      <c r="B7903" s="461"/>
    </row>
    <row r="7904" spans="1:2">
      <c r="A7904" s="422"/>
      <c r="B7904" s="461"/>
    </row>
    <row r="7905" spans="1:2">
      <c r="A7905" s="422"/>
      <c r="B7905" s="461"/>
    </row>
    <row r="7906" spans="1:2">
      <c r="A7906" s="422"/>
      <c r="B7906" s="461"/>
    </row>
    <row r="7907" spans="1:2">
      <c r="A7907" s="422"/>
      <c r="B7907" s="461"/>
    </row>
    <row r="7908" spans="1:2">
      <c r="A7908" s="422"/>
      <c r="B7908" s="461"/>
    </row>
    <row r="7909" spans="1:2">
      <c r="A7909" s="422"/>
      <c r="B7909" s="461"/>
    </row>
    <row r="7910" spans="1:2">
      <c r="A7910" s="422"/>
      <c r="B7910" s="461"/>
    </row>
    <row r="7911" spans="1:2">
      <c r="A7911" s="422"/>
      <c r="B7911" s="461"/>
    </row>
    <row r="7912" spans="1:2">
      <c r="A7912" s="422"/>
      <c r="B7912" s="461"/>
    </row>
    <row r="7913" spans="1:2">
      <c r="A7913" s="422"/>
      <c r="B7913" s="461"/>
    </row>
    <row r="7914" spans="1:2">
      <c r="A7914" s="422"/>
      <c r="B7914" s="461"/>
    </row>
    <row r="7915" spans="1:2">
      <c r="A7915" s="422"/>
      <c r="B7915" s="461"/>
    </row>
    <row r="7916" spans="1:2">
      <c r="A7916" s="422"/>
      <c r="B7916" s="461"/>
    </row>
    <row r="7917" spans="1:2">
      <c r="A7917" s="422"/>
      <c r="B7917" s="461"/>
    </row>
    <row r="7918" spans="1:2">
      <c r="A7918" s="422"/>
      <c r="B7918" s="461"/>
    </row>
    <row r="7919" spans="1:2">
      <c r="A7919" s="422"/>
      <c r="B7919" s="461"/>
    </row>
    <row r="7920" spans="1:2">
      <c r="A7920" s="422"/>
      <c r="B7920" s="461"/>
    </row>
    <row r="7921" spans="1:2">
      <c r="A7921" s="422"/>
      <c r="B7921" s="461"/>
    </row>
    <row r="7922" spans="1:2">
      <c r="A7922" s="422"/>
      <c r="B7922" s="461"/>
    </row>
    <row r="7923" spans="1:2">
      <c r="A7923" s="422"/>
      <c r="B7923" s="461"/>
    </row>
    <row r="7924" spans="1:2">
      <c r="A7924" s="422"/>
      <c r="B7924" s="461"/>
    </row>
    <row r="7925" spans="1:2">
      <c r="A7925" s="422"/>
      <c r="B7925" s="461"/>
    </row>
    <row r="7926" spans="1:2">
      <c r="A7926" s="422"/>
      <c r="B7926" s="461"/>
    </row>
    <row r="7927" spans="1:2">
      <c r="A7927" s="422"/>
      <c r="B7927" s="461"/>
    </row>
    <row r="7928" spans="1:2">
      <c r="A7928" s="422"/>
      <c r="B7928" s="461"/>
    </row>
    <row r="7929" spans="1:2">
      <c r="A7929" s="422"/>
      <c r="B7929" s="461"/>
    </row>
    <row r="7930" spans="1:2">
      <c r="A7930" s="422"/>
      <c r="B7930" s="461"/>
    </row>
    <row r="7931" spans="1:2">
      <c r="A7931" s="422"/>
      <c r="B7931" s="461"/>
    </row>
    <row r="7932" spans="1:2">
      <c r="A7932" s="422"/>
      <c r="B7932" s="461"/>
    </row>
    <row r="7933" spans="1:2">
      <c r="A7933" s="422"/>
      <c r="B7933" s="461"/>
    </row>
    <row r="7934" spans="1:2">
      <c r="A7934" s="422"/>
      <c r="B7934" s="461"/>
    </row>
    <row r="7935" spans="1:2">
      <c r="A7935" s="422"/>
      <c r="B7935" s="461"/>
    </row>
    <row r="7936" spans="1:2">
      <c r="A7936" s="422"/>
      <c r="B7936" s="461"/>
    </row>
    <row r="7937" spans="1:2">
      <c r="A7937" s="422"/>
      <c r="B7937" s="461"/>
    </row>
    <row r="7938" spans="1:2">
      <c r="A7938" s="422"/>
      <c r="B7938" s="461"/>
    </row>
    <row r="7939" spans="1:2">
      <c r="A7939" s="422"/>
      <c r="B7939" s="461"/>
    </row>
    <row r="7940" spans="1:2">
      <c r="A7940" s="422"/>
      <c r="B7940" s="461"/>
    </row>
    <row r="7941" spans="1:2">
      <c r="A7941" s="422"/>
      <c r="B7941" s="461"/>
    </row>
    <row r="7942" spans="1:2">
      <c r="A7942" s="422"/>
      <c r="B7942" s="461"/>
    </row>
    <row r="7943" spans="1:2">
      <c r="A7943" s="422"/>
      <c r="B7943" s="461"/>
    </row>
    <row r="7944" spans="1:2">
      <c r="A7944" s="422"/>
      <c r="B7944" s="461"/>
    </row>
    <row r="7945" spans="1:2">
      <c r="A7945" s="422"/>
      <c r="B7945" s="461"/>
    </row>
    <row r="7946" spans="1:2">
      <c r="A7946" s="422"/>
      <c r="B7946" s="461"/>
    </row>
    <row r="7947" spans="1:2">
      <c r="A7947" s="422"/>
      <c r="B7947" s="461"/>
    </row>
    <row r="7948" spans="1:2">
      <c r="A7948" s="422"/>
      <c r="B7948" s="461"/>
    </row>
    <row r="7949" spans="1:2">
      <c r="A7949" s="422"/>
      <c r="B7949" s="461"/>
    </row>
    <row r="7950" spans="1:2">
      <c r="A7950" s="422"/>
      <c r="B7950" s="461"/>
    </row>
    <row r="7951" spans="1:2">
      <c r="A7951" s="422"/>
      <c r="B7951" s="461"/>
    </row>
    <row r="7952" spans="1:2">
      <c r="A7952" s="422"/>
      <c r="B7952" s="461"/>
    </row>
    <row r="7953" spans="1:2">
      <c r="A7953" s="422"/>
      <c r="B7953" s="461"/>
    </row>
    <row r="7954" spans="1:2">
      <c r="A7954" s="422"/>
      <c r="B7954" s="461"/>
    </row>
    <row r="7955" spans="1:2">
      <c r="A7955" s="422"/>
      <c r="B7955" s="461"/>
    </row>
    <row r="7956" spans="1:2">
      <c r="A7956" s="422"/>
      <c r="B7956" s="461"/>
    </row>
    <row r="7957" spans="1:2">
      <c r="A7957" s="422"/>
      <c r="B7957" s="461"/>
    </row>
    <row r="7958" spans="1:2">
      <c r="A7958" s="422"/>
      <c r="B7958" s="461"/>
    </row>
    <row r="7959" spans="1:2">
      <c r="A7959" s="422"/>
      <c r="B7959" s="461"/>
    </row>
    <row r="7960" spans="1:2">
      <c r="A7960" s="422"/>
      <c r="B7960" s="461"/>
    </row>
    <row r="7961" spans="1:2">
      <c r="A7961" s="422"/>
      <c r="B7961" s="461"/>
    </row>
    <row r="7962" spans="1:2">
      <c r="A7962" s="422"/>
      <c r="B7962" s="461"/>
    </row>
    <row r="7963" spans="1:2">
      <c r="A7963" s="422"/>
      <c r="B7963" s="461"/>
    </row>
    <row r="7964" spans="1:2">
      <c r="A7964" s="422"/>
      <c r="B7964" s="461"/>
    </row>
    <row r="7965" spans="1:2">
      <c r="A7965" s="422"/>
      <c r="B7965" s="461"/>
    </row>
    <row r="7966" spans="1:2">
      <c r="A7966" s="422"/>
      <c r="B7966" s="461"/>
    </row>
    <row r="7967" spans="1:2">
      <c r="A7967" s="422"/>
      <c r="B7967" s="461"/>
    </row>
    <row r="7968" spans="1:2">
      <c r="A7968" s="422"/>
      <c r="B7968" s="461"/>
    </row>
    <row r="7969" spans="1:2">
      <c r="A7969" s="422"/>
      <c r="B7969" s="461"/>
    </row>
    <row r="7970" spans="1:2">
      <c r="A7970" s="422"/>
      <c r="B7970" s="461"/>
    </row>
    <row r="7971" spans="1:2">
      <c r="A7971" s="422"/>
      <c r="B7971" s="461"/>
    </row>
    <row r="7972" spans="1:2">
      <c r="A7972" s="422"/>
      <c r="B7972" s="461"/>
    </row>
    <row r="7973" spans="1:2">
      <c r="A7973" s="422"/>
      <c r="B7973" s="461"/>
    </row>
    <row r="7974" spans="1:2">
      <c r="A7974" s="422"/>
      <c r="B7974" s="461"/>
    </row>
    <row r="7975" spans="1:2">
      <c r="A7975" s="422"/>
      <c r="B7975" s="461"/>
    </row>
    <row r="7976" spans="1:2">
      <c r="A7976" s="422"/>
      <c r="B7976" s="461"/>
    </row>
    <row r="7977" spans="1:2">
      <c r="A7977" s="422"/>
      <c r="B7977" s="461"/>
    </row>
    <row r="7978" spans="1:2">
      <c r="A7978" s="422"/>
      <c r="B7978" s="461"/>
    </row>
    <row r="7979" spans="1:2">
      <c r="A7979" s="422"/>
      <c r="B7979" s="461"/>
    </row>
    <row r="7980" spans="1:2">
      <c r="A7980" s="422"/>
      <c r="B7980" s="461"/>
    </row>
    <row r="7981" spans="1:2">
      <c r="A7981" s="422"/>
      <c r="B7981" s="461"/>
    </row>
    <row r="7982" spans="1:2">
      <c r="A7982" s="422"/>
      <c r="B7982" s="461"/>
    </row>
    <row r="7983" spans="1:2">
      <c r="A7983" s="422"/>
      <c r="B7983" s="461"/>
    </row>
    <row r="7984" spans="1:2">
      <c r="A7984" s="422"/>
      <c r="B7984" s="461"/>
    </row>
    <row r="7985" spans="1:2">
      <c r="A7985" s="422"/>
      <c r="B7985" s="461"/>
    </row>
    <row r="7986" spans="1:2">
      <c r="A7986" s="422"/>
      <c r="B7986" s="461"/>
    </row>
    <row r="7987" spans="1:2">
      <c r="A7987" s="422"/>
      <c r="B7987" s="461"/>
    </row>
    <row r="7988" spans="1:2">
      <c r="A7988" s="422"/>
      <c r="B7988" s="461"/>
    </row>
    <row r="7989" spans="1:2">
      <c r="A7989" s="422"/>
      <c r="B7989" s="461"/>
    </row>
    <row r="7990" spans="1:2">
      <c r="A7990" s="422"/>
      <c r="B7990" s="461"/>
    </row>
    <row r="7991" spans="1:2">
      <c r="A7991" s="422"/>
      <c r="B7991" s="461"/>
    </row>
    <row r="7992" spans="1:2">
      <c r="A7992" s="422"/>
      <c r="B7992" s="461"/>
    </row>
    <row r="7993" spans="1:2">
      <c r="A7993" s="422"/>
      <c r="B7993" s="461"/>
    </row>
    <row r="7994" spans="1:2">
      <c r="A7994" s="422"/>
      <c r="B7994" s="461"/>
    </row>
    <row r="7995" spans="1:2">
      <c r="A7995" s="422"/>
      <c r="B7995" s="461"/>
    </row>
    <row r="7996" spans="1:2">
      <c r="A7996" s="422"/>
      <c r="B7996" s="461"/>
    </row>
    <row r="7997" spans="1:2">
      <c r="A7997" s="422"/>
      <c r="B7997" s="461"/>
    </row>
    <row r="7998" spans="1:2">
      <c r="A7998" s="422"/>
      <c r="B7998" s="461"/>
    </row>
    <row r="7999" spans="1:2">
      <c r="A7999" s="422"/>
      <c r="B7999" s="461"/>
    </row>
    <row r="8000" spans="1:2">
      <c r="A8000" s="422"/>
      <c r="B8000" s="461"/>
    </row>
    <row r="8001" spans="1:2">
      <c r="A8001" s="422"/>
      <c r="B8001" s="461"/>
    </row>
    <row r="8002" spans="1:2">
      <c r="A8002" s="422"/>
      <c r="B8002" s="461"/>
    </row>
    <row r="8003" spans="1:2">
      <c r="A8003" s="422"/>
      <c r="B8003" s="461"/>
    </row>
    <row r="8004" spans="1:2">
      <c r="A8004" s="422"/>
      <c r="B8004" s="461"/>
    </row>
    <row r="8005" spans="1:2">
      <c r="A8005" s="422"/>
      <c r="B8005" s="461"/>
    </row>
    <row r="8006" spans="1:2">
      <c r="A8006" s="422"/>
      <c r="B8006" s="461"/>
    </row>
    <row r="8007" spans="1:2">
      <c r="A8007" s="422"/>
      <c r="B8007" s="461"/>
    </row>
    <row r="8008" spans="1:2">
      <c r="A8008" s="422"/>
      <c r="B8008" s="461"/>
    </row>
    <row r="8009" spans="1:2">
      <c r="A8009" s="422"/>
      <c r="B8009" s="461"/>
    </row>
    <row r="8010" spans="1:2">
      <c r="A8010" s="422"/>
      <c r="B8010" s="461"/>
    </row>
    <row r="8011" spans="1:2">
      <c r="A8011" s="422"/>
      <c r="B8011" s="461"/>
    </row>
    <row r="8012" spans="1:2">
      <c r="A8012" s="422"/>
      <c r="B8012" s="461"/>
    </row>
    <row r="8013" spans="1:2">
      <c r="A8013" s="422"/>
      <c r="B8013" s="461"/>
    </row>
    <row r="8014" spans="1:2">
      <c r="A8014" s="422"/>
      <c r="B8014" s="461"/>
    </row>
    <row r="8015" spans="1:2">
      <c r="A8015" s="422"/>
      <c r="B8015" s="461"/>
    </row>
    <row r="8016" spans="1:2">
      <c r="A8016" s="422"/>
      <c r="B8016" s="461"/>
    </row>
    <row r="8017" spans="1:2">
      <c r="A8017" s="422"/>
      <c r="B8017" s="461"/>
    </row>
    <row r="8018" spans="1:2">
      <c r="A8018" s="422"/>
      <c r="B8018" s="461"/>
    </row>
    <row r="8019" spans="1:2">
      <c r="A8019" s="422"/>
      <c r="B8019" s="461"/>
    </row>
    <row r="8020" spans="1:2">
      <c r="A8020" s="422"/>
      <c r="B8020" s="461"/>
    </row>
    <row r="8021" spans="1:2">
      <c r="A8021" s="422"/>
      <c r="B8021" s="461"/>
    </row>
    <row r="8022" spans="1:2">
      <c r="A8022" s="422"/>
      <c r="B8022" s="461"/>
    </row>
    <row r="8023" spans="1:2">
      <c r="A8023" s="422"/>
      <c r="B8023" s="461"/>
    </row>
    <row r="8024" spans="1:2">
      <c r="A8024" s="422"/>
      <c r="B8024" s="461"/>
    </row>
    <row r="8025" spans="1:2">
      <c r="A8025" s="422"/>
      <c r="B8025" s="461"/>
    </row>
    <row r="8026" spans="1:2">
      <c r="A8026" s="422"/>
      <c r="B8026" s="461"/>
    </row>
    <row r="8027" spans="1:2">
      <c r="A8027" s="422"/>
      <c r="B8027" s="461"/>
    </row>
    <row r="8028" spans="1:2">
      <c r="A8028" s="422"/>
      <c r="B8028" s="461"/>
    </row>
    <row r="8029" spans="1:2">
      <c r="A8029" s="422"/>
      <c r="B8029" s="461"/>
    </row>
    <row r="8030" spans="1:2">
      <c r="A8030" s="422"/>
      <c r="B8030" s="461"/>
    </row>
    <row r="8031" spans="1:2">
      <c r="A8031" s="422"/>
      <c r="B8031" s="461"/>
    </row>
    <row r="8032" spans="1:2">
      <c r="A8032" s="422"/>
      <c r="B8032" s="461"/>
    </row>
    <row r="8033" spans="1:2">
      <c r="A8033" s="422"/>
      <c r="B8033" s="461"/>
    </row>
    <row r="8034" spans="1:2">
      <c r="A8034" s="422"/>
      <c r="B8034" s="461"/>
    </row>
    <row r="8035" spans="1:2">
      <c r="A8035" s="422"/>
      <c r="B8035" s="461"/>
    </row>
    <row r="8036" spans="1:2">
      <c r="A8036" s="422"/>
      <c r="B8036" s="461"/>
    </row>
    <row r="8037" spans="1:2">
      <c r="A8037" s="422"/>
      <c r="B8037" s="461"/>
    </row>
    <row r="8038" spans="1:2">
      <c r="A8038" s="422"/>
      <c r="B8038" s="461"/>
    </row>
    <row r="8039" spans="1:2">
      <c r="A8039" s="422"/>
      <c r="B8039" s="461"/>
    </row>
    <row r="8040" spans="1:2">
      <c r="A8040" s="422"/>
      <c r="B8040" s="461"/>
    </row>
    <row r="8041" spans="1:2">
      <c r="A8041" s="422"/>
      <c r="B8041" s="461"/>
    </row>
    <row r="8042" spans="1:2">
      <c r="A8042" s="422"/>
      <c r="B8042" s="461"/>
    </row>
    <row r="8043" spans="1:2">
      <c r="A8043" s="422"/>
      <c r="B8043" s="461"/>
    </row>
    <row r="8044" spans="1:2">
      <c r="A8044" s="422"/>
      <c r="B8044" s="461"/>
    </row>
    <row r="8045" spans="1:2">
      <c r="A8045" s="422"/>
      <c r="B8045" s="461"/>
    </row>
    <row r="8046" spans="1:2">
      <c r="A8046" s="422"/>
      <c r="B8046" s="461"/>
    </row>
    <row r="8047" spans="1:2">
      <c r="A8047" s="422"/>
      <c r="B8047" s="461"/>
    </row>
    <row r="8048" spans="1:2">
      <c r="A8048" s="422"/>
      <c r="B8048" s="461"/>
    </row>
    <row r="8049" spans="1:2">
      <c r="A8049" s="422"/>
      <c r="B8049" s="461"/>
    </row>
    <row r="8050" spans="1:2">
      <c r="A8050" s="422"/>
      <c r="B8050" s="461"/>
    </row>
    <row r="8051" spans="1:2">
      <c r="A8051" s="422"/>
      <c r="B8051" s="461"/>
    </row>
    <row r="8052" spans="1:2">
      <c r="A8052" s="422"/>
      <c r="B8052" s="461"/>
    </row>
    <row r="8053" spans="1:2">
      <c r="A8053" s="422"/>
      <c r="B8053" s="461"/>
    </row>
    <row r="8054" spans="1:2">
      <c r="A8054" s="422"/>
      <c r="B8054" s="461"/>
    </row>
    <row r="8055" spans="1:2">
      <c r="A8055" s="422"/>
      <c r="B8055" s="461"/>
    </row>
    <row r="8056" spans="1:2">
      <c r="A8056" s="422"/>
      <c r="B8056" s="461"/>
    </row>
    <row r="8057" spans="1:2">
      <c r="A8057" s="422"/>
      <c r="B8057" s="461"/>
    </row>
    <row r="8058" spans="1:2">
      <c r="A8058" s="422"/>
      <c r="B8058" s="461"/>
    </row>
    <row r="8059" spans="1:2">
      <c r="A8059" s="422"/>
      <c r="B8059" s="461"/>
    </row>
    <row r="8060" spans="1:2">
      <c r="A8060" s="422"/>
      <c r="B8060" s="461"/>
    </row>
    <row r="8061" spans="1:2">
      <c r="A8061" s="422"/>
      <c r="B8061" s="461"/>
    </row>
    <row r="8062" spans="1:2">
      <c r="A8062" s="422"/>
      <c r="B8062" s="461"/>
    </row>
    <row r="8063" spans="1:2">
      <c r="A8063" s="422"/>
      <c r="B8063" s="461"/>
    </row>
    <row r="8064" spans="1:2">
      <c r="A8064" s="422"/>
      <c r="B8064" s="461"/>
    </row>
    <row r="8065" spans="1:2">
      <c r="A8065" s="422"/>
      <c r="B8065" s="461"/>
    </row>
    <row r="8066" spans="1:2">
      <c r="A8066" s="422"/>
      <c r="B8066" s="461"/>
    </row>
    <row r="8067" spans="1:2">
      <c r="A8067" s="422"/>
      <c r="B8067" s="461"/>
    </row>
    <row r="8068" spans="1:2">
      <c r="A8068" s="422"/>
      <c r="B8068" s="461"/>
    </row>
    <row r="8069" spans="1:2">
      <c r="A8069" s="422"/>
      <c r="B8069" s="461"/>
    </row>
    <row r="8070" spans="1:2">
      <c r="A8070" s="422"/>
      <c r="B8070" s="461"/>
    </row>
    <row r="8071" spans="1:2">
      <c r="A8071" s="422"/>
      <c r="B8071" s="461"/>
    </row>
    <row r="8072" spans="1:2">
      <c r="A8072" s="422"/>
      <c r="B8072" s="461"/>
    </row>
    <row r="8073" spans="1:2">
      <c r="A8073" s="422"/>
      <c r="B8073" s="461"/>
    </row>
    <row r="8074" spans="1:2">
      <c r="A8074" s="422"/>
      <c r="B8074" s="461"/>
    </row>
    <row r="8075" spans="1:2">
      <c r="A8075" s="422"/>
      <c r="B8075" s="461"/>
    </row>
    <row r="8076" spans="1:2">
      <c r="A8076" s="422"/>
      <c r="B8076" s="461"/>
    </row>
    <row r="8077" spans="1:2">
      <c r="A8077" s="422"/>
      <c r="B8077" s="461"/>
    </row>
    <row r="8078" spans="1:2">
      <c r="A8078" s="422"/>
      <c r="B8078" s="461"/>
    </row>
    <row r="8079" spans="1:2">
      <c r="A8079" s="422"/>
      <c r="B8079" s="461"/>
    </row>
    <row r="8080" spans="1:2">
      <c r="A8080" s="422"/>
      <c r="B8080" s="461"/>
    </row>
    <row r="8081" spans="1:2">
      <c r="A8081" s="422"/>
      <c r="B8081" s="461"/>
    </row>
    <row r="8082" spans="1:2">
      <c r="A8082" s="422"/>
      <c r="B8082" s="461"/>
    </row>
    <row r="8083" spans="1:2">
      <c r="A8083" s="422"/>
      <c r="B8083" s="461"/>
    </row>
    <row r="8084" spans="1:2">
      <c r="A8084" s="422"/>
      <c r="B8084" s="461"/>
    </row>
    <row r="8085" spans="1:2">
      <c r="A8085" s="422"/>
      <c r="B8085" s="461"/>
    </row>
    <row r="8086" spans="1:2">
      <c r="A8086" s="422"/>
      <c r="B8086" s="461"/>
    </row>
    <row r="8087" spans="1:2">
      <c r="A8087" s="422"/>
      <c r="B8087" s="461"/>
    </row>
    <row r="8088" spans="1:2">
      <c r="A8088" s="422"/>
      <c r="B8088" s="461"/>
    </row>
    <row r="8089" spans="1:2">
      <c r="A8089" s="422"/>
      <c r="B8089" s="461"/>
    </row>
    <row r="8090" spans="1:2">
      <c r="A8090" s="422"/>
      <c r="B8090" s="461"/>
    </row>
    <row r="8091" spans="1:2">
      <c r="A8091" s="422"/>
      <c r="B8091" s="461"/>
    </row>
    <row r="8092" spans="1:2">
      <c r="A8092" s="422"/>
      <c r="B8092" s="461"/>
    </row>
    <row r="8093" spans="1:2">
      <c r="A8093" s="422"/>
      <c r="B8093" s="461"/>
    </row>
    <row r="8094" spans="1:2">
      <c r="A8094" s="422"/>
      <c r="B8094" s="461"/>
    </row>
    <row r="8095" spans="1:2">
      <c r="A8095" s="422"/>
      <c r="B8095" s="461"/>
    </row>
    <row r="8096" spans="1:2">
      <c r="A8096" s="422"/>
      <c r="B8096" s="461"/>
    </row>
    <row r="8097" spans="1:2">
      <c r="A8097" s="422"/>
      <c r="B8097" s="461"/>
    </row>
    <row r="8098" spans="1:2">
      <c r="A8098" s="422"/>
      <c r="B8098" s="461"/>
    </row>
    <row r="8099" spans="1:2">
      <c r="A8099" s="422"/>
      <c r="B8099" s="461"/>
    </row>
    <row r="8100" spans="1:2">
      <c r="A8100" s="422"/>
      <c r="B8100" s="461"/>
    </row>
    <row r="8101" spans="1:2">
      <c r="A8101" s="422"/>
      <c r="B8101" s="461"/>
    </row>
    <row r="8102" spans="1:2">
      <c r="A8102" s="422"/>
      <c r="B8102" s="461"/>
    </row>
    <row r="8103" spans="1:2">
      <c r="A8103" s="422"/>
      <c r="B8103" s="461"/>
    </row>
    <row r="8104" spans="1:2">
      <c r="A8104" s="422"/>
      <c r="B8104" s="461"/>
    </row>
    <row r="8105" spans="1:2">
      <c r="A8105" s="422"/>
      <c r="B8105" s="461"/>
    </row>
    <row r="8106" spans="1:2">
      <c r="A8106" s="422"/>
      <c r="B8106" s="461"/>
    </row>
    <row r="8107" spans="1:2">
      <c r="A8107" s="422"/>
      <c r="B8107" s="461"/>
    </row>
    <row r="8108" spans="1:2">
      <c r="A8108" s="422"/>
      <c r="B8108" s="461"/>
    </row>
    <row r="8109" spans="1:2">
      <c r="A8109" s="422"/>
      <c r="B8109" s="461"/>
    </row>
    <row r="8110" spans="1:2">
      <c r="A8110" s="422"/>
      <c r="B8110" s="461"/>
    </row>
    <row r="8111" spans="1:2">
      <c r="A8111" s="422"/>
      <c r="B8111" s="461"/>
    </row>
    <row r="8112" spans="1:2">
      <c r="A8112" s="422"/>
      <c r="B8112" s="461"/>
    </row>
    <row r="8113" spans="1:2">
      <c r="A8113" s="422"/>
      <c r="B8113" s="461"/>
    </row>
    <row r="8114" spans="1:2">
      <c r="A8114" s="422"/>
      <c r="B8114" s="461"/>
    </row>
    <row r="8115" spans="1:2">
      <c r="A8115" s="422"/>
      <c r="B8115" s="461"/>
    </row>
    <row r="8116" spans="1:2">
      <c r="A8116" s="422"/>
      <c r="B8116" s="461"/>
    </row>
    <row r="8117" spans="1:2">
      <c r="A8117" s="422"/>
      <c r="B8117" s="461"/>
    </row>
    <row r="8118" spans="1:2">
      <c r="A8118" s="422"/>
      <c r="B8118" s="461"/>
    </row>
    <row r="8119" spans="1:2">
      <c r="A8119" s="422"/>
      <c r="B8119" s="461"/>
    </row>
    <row r="8120" spans="1:2">
      <c r="A8120" s="422"/>
      <c r="B8120" s="461"/>
    </row>
    <row r="8121" spans="1:2">
      <c r="A8121" s="422"/>
      <c r="B8121" s="461"/>
    </row>
    <row r="8122" spans="1:2">
      <c r="A8122" s="422"/>
      <c r="B8122" s="461"/>
    </row>
    <row r="8123" spans="1:2">
      <c r="A8123" s="422"/>
      <c r="B8123" s="461"/>
    </row>
    <row r="8124" spans="1:2">
      <c r="A8124" s="422"/>
      <c r="B8124" s="461"/>
    </row>
    <row r="8125" spans="1:2">
      <c r="A8125" s="422"/>
      <c r="B8125" s="461"/>
    </row>
    <row r="8126" spans="1:2">
      <c r="A8126" s="422"/>
      <c r="B8126" s="461"/>
    </row>
    <row r="8127" spans="1:2">
      <c r="A8127" s="422"/>
      <c r="B8127" s="461"/>
    </row>
    <row r="8128" spans="1:2">
      <c r="A8128" s="422"/>
      <c r="B8128" s="461"/>
    </row>
    <row r="8129" spans="1:2">
      <c r="A8129" s="422"/>
      <c r="B8129" s="461"/>
    </row>
    <row r="8130" spans="1:2">
      <c r="A8130" s="422"/>
      <c r="B8130" s="461"/>
    </row>
    <row r="8131" spans="1:2">
      <c r="A8131" s="422"/>
      <c r="B8131" s="461"/>
    </row>
    <row r="8132" spans="1:2">
      <c r="A8132" s="422"/>
      <c r="B8132" s="461"/>
    </row>
    <row r="8133" spans="1:2">
      <c r="A8133" s="422"/>
      <c r="B8133" s="461"/>
    </row>
    <row r="8134" spans="1:2">
      <c r="A8134" s="422"/>
      <c r="B8134" s="461"/>
    </row>
    <row r="8135" spans="1:2">
      <c r="A8135" s="422"/>
      <c r="B8135" s="461"/>
    </row>
    <row r="8136" spans="1:2">
      <c r="A8136" s="422"/>
      <c r="B8136" s="461"/>
    </row>
    <row r="8137" spans="1:2">
      <c r="A8137" s="422"/>
      <c r="B8137" s="461"/>
    </row>
    <row r="8138" spans="1:2">
      <c r="A8138" s="422"/>
      <c r="B8138" s="461"/>
    </row>
    <row r="8139" spans="1:2">
      <c r="A8139" s="422"/>
      <c r="B8139" s="461"/>
    </row>
    <row r="8140" spans="1:2">
      <c r="A8140" s="422"/>
      <c r="B8140" s="461"/>
    </row>
    <row r="8141" spans="1:2">
      <c r="A8141" s="422"/>
      <c r="B8141" s="461"/>
    </row>
    <row r="8142" spans="1:2">
      <c r="A8142" s="422"/>
      <c r="B8142" s="461"/>
    </row>
    <row r="8143" spans="1:2">
      <c r="A8143" s="422"/>
      <c r="B8143" s="461"/>
    </row>
    <row r="8144" spans="1:2">
      <c r="A8144" s="422"/>
      <c r="B8144" s="461"/>
    </row>
    <row r="8145" spans="1:2">
      <c r="A8145" s="422"/>
      <c r="B8145" s="461"/>
    </row>
    <row r="8146" spans="1:2">
      <c r="A8146" s="422"/>
      <c r="B8146" s="461"/>
    </row>
    <row r="8147" spans="1:2">
      <c r="A8147" s="422"/>
      <c r="B8147" s="461"/>
    </row>
    <row r="8148" spans="1:2">
      <c r="A8148" s="422"/>
      <c r="B8148" s="461"/>
    </row>
    <row r="8149" spans="1:2">
      <c r="A8149" s="422"/>
      <c r="B8149" s="461"/>
    </row>
    <row r="8150" spans="1:2">
      <c r="A8150" s="422"/>
      <c r="B8150" s="461"/>
    </row>
    <row r="8151" spans="1:2">
      <c r="A8151" s="422"/>
      <c r="B8151" s="461"/>
    </row>
    <row r="8152" spans="1:2">
      <c r="A8152" s="422"/>
      <c r="B8152" s="461"/>
    </row>
    <row r="8153" spans="1:2">
      <c r="A8153" s="422"/>
      <c r="B8153" s="461"/>
    </row>
    <row r="8154" spans="1:2">
      <c r="A8154" s="422"/>
      <c r="B8154" s="461"/>
    </row>
    <row r="8155" spans="1:2">
      <c r="A8155" s="422"/>
      <c r="B8155" s="461"/>
    </row>
    <row r="8156" spans="1:2">
      <c r="A8156" s="422"/>
      <c r="B8156" s="461"/>
    </row>
    <row r="8157" spans="1:2">
      <c r="A8157" s="422"/>
      <c r="B8157" s="461"/>
    </row>
    <row r="8158" spans="1:2">
      <c r="A8158" s="422"/>
      <c r="B8158" s="461"/>
    </row>
    <row r="8159" spans="1:2">
      <c r="A8159" s="422"/>
      <c r="B8159" s="461"/>
    </row>
    <row r="8160" spans="1:2">
      <c r="A8160" s="422"/>
      <c r="B8160" s="461"/>
    </row>
    <row r="8161" spans="1:2">
      <c r="A8161" s="422"/>
      <c r="B8161" s="461"/>
    </row>
    <row r="8162" spans="1:2">
      <c r="A8162" s="422"/>
      <c r="B8162" s="461"/>
    </row>
    <row r="8163" spans="1:2">
      <c r="A8163" s="422"/>
      <c r="B8163" s="461"/>
    </row>
    <row r="8164" spans="1:2">
      <c r="A8164" s="422"/>
      <c r="B8164" s="461"/>
    </row>
    <row r="8165" spans="1:2">
      <c r="A8165" s="422"/>
      <c r="B8165" s="461"/>
    </row>
    <row r="8166" spans="1:2">
      <c r="A8166" s="422"/>
      <c r="B8166" s="461"/>
    </row>
    <row r="8167" spans="1:2">
      <c r="A8167" s="422"/>
      <c r="B8167" s="461"/>
    </row>
    <row r="8168" spans="1:2">
      <c r="A8168" s="422"/>
      <c r="B8168" s="461"/>
    </row>
    <row r="8169" spans="1:2">
      <c r="A8169" s="422"/>
      <c r="B8169" s="461"/>
    </row>
    <row r="8170" spans="1:2">
      <c r="A8170" s="422"/>
      <c r="B8170" s="461"/>
    </row>
    <row r="8171" spans="1:2">
      <c r="A8171" s="422"/>
      <c r="B8171" s="461"/>
    </row>
    <row r="8172" spans="1:2">
      <c r="A8172" s="422"/>
      <c r="B8172" s="461"/>
    </row>
    <row r="8173" spans="1:2">
      <c r="A8173" s="422"/>
      <c r="B8173" s="461"/>
    </row>
    <row r="8174" spans="1:2">
      <c r="A8174" s="422"/>
      <c r="B8174" s="461"/>
    </row>
    <row r="8175" spans="1:2">
      <c r="A8175" s="422"/>
      <c r="B8175" s="461"/>
    </row>
    <row r="8176" spans="1:2">
      <c r="A8176" s="422"/>
      <c r="B8176" s="461"/>
    </row>
    <row r="8177" spans="1:2">
      <c r="A8177" s="422"/>
      <c r="B8177" s="461"/>
    </row>
    <row r="8178" spans="1:2">
      <c r="A8178" s="422"/>
      <c r="B8178" s="461"/>
    </row>
    <row r="8179" spans="1:2">
      <c r="A8179" s="422"/>
      <c r="B8179" s="461"/>
    </row>
    <row r="8180" spans="1:2">
      <c r="A8180" s="422"/>
      <c r="B8180" s="461"/>
    </row>
    <row r="8181" spans="1:2">
      <c r="A8181" s="422"/>
      <c r="B8181" s="461"/>
    </row>
    <row r="8182" spans="1:2">
      <c r="A8182" s="422"/>
      <c r="B8182" s="461"/>
    </row>
    <row r="8183" spans="1:2">
      <c r="A8183" s="422"/>
      <c r="B8183" s="461"/>
    </row>
    <row r="8184" spans="1:2">
      <c r="A8184" s="422"/>
      <c r="B8184" s="461"/>
    </row>
    <row r="8185" spans="1:2">
      <c r="A8185" s="422"/>
      <c r="B8185" s="461"/>
    </row>
    <row r="8186" spans="1:2">
      <c r="A8186" s="422"/>
      <c r="B8186" s="461"/>
    </row>
    <row r="8187" spans="1:2">
      <c r="A8187" s="422"/>
      <c r="B8187" s="461"/>
    </row>
    <row r="8188" spans="1:2">
      <c r="A8188" s="422"/>
      <c r="B8188" s="461"/>
    </row>
    <row r="8189" spans="1:2">
      <c r="A8189" s="422"/>
      <c r="B8189" s="461"/>
    </row>
    <row r="8190" spans="1:2">
      <c r="A8190" s="422"/>
      <c r="B8190" s="461"/>
    </row>
    <row r="8191" spans="1:2">
      <c r="A8191" s="422"/>
      <c r="B8191" s="461"/>
    </row>
    <row r="8192" spans="1:2">
      <c r="A8192" s="422"/>
      <c r="B8192" s="461"/>
    </row>
    <row r="8193" spans="1:2">
      <c r="A8193" s="422"/>
      <c r="B8193" s="461"/>
    </row>
    <row r="8194" spans="1:2">
      <c r="A8194" s="422"/>
      <c r="B8194" s="461"/>
    </row>
    <row r="8195" spans="1:2">
      <c r="A8195" s="422"/>
      <c r="B8195" s="461"/>
    </row>
    <row r="8196" spans="1:2">
      <c r="A8196" s="422"/>
      <c r="B8196" s="461"/>
    </row>
    <row r="8197" spans="1:2">
      <c r="A8197" s="422"/>
      <c r="B8197" s="461"/>
    </row>
    <row r="8198" spans="1:2">
      <c r="A8198" s="422"/>
      <c r="B8198" s="461"/>
    </row>
    <row r="8199" spans="1:2">
      <c r="A8199" s="422"/>
      <c r="B8199" s="461"/>
    </row>
    <row r="8200" spans="1:2">
      <c r="A8200" s="422"/>
      <c r="B8200" s="461"/>
    </row>
    <row r="8201" spans="1:2">
      <c r="A8201" s="422"/>
      <c r="B8201" s="461"/>
    </row>
    <row r="8202" spans="1:2">
      <c r="A8202" s="422"/>
      <c r="B8202" s="461"/>
    </row>
    <row r="8203" spans="1:2">
      <c r="A8203" s="422"/>
      <c r="B8203" s="461"/>
    </row>
    <row r="8204" spans="1:2">
      <c r="A8204" s="422"/>
      <c r="B8204" s="461"/>
    </row>
    <row r="8205" spans="1:2">
      <c r="A8205" s="422"/>
      <c r="B8205" s="461"/>
    </row>
    <row r="8206" spans="1:2">
      <c r="A8206" s="422"/>
      <c r="B8206" s="461"/>
    </row>
    <row r="8207" spans="1:2">
      <c r="A8207" s="422"/>
      <c r="B8207" s="461"/>
    </row>
    <row r="8208" spans="1:2">
      <c r="A8208" s="422"/>
      <c r="B8208" s="461"/>
    </row>
    <row r="8209" spans="1:2">
      <c r="A8209" s="422"/>
      <c r="B8209" s="461"/>
    </row>
    <row r="8210" spans="1:2">
      <c r="A8210" s="422"/>
      <c r="B8210" s="461"/>
    </row>
    <row r="8211" spans="1:2">
      <c r="A8211" s="422"/>
      <c r="B8211" s="461"/>
    </row>
    <row r="8212" spans="1:2">
      <c r="A8212" s="422"/>
      <c r="B8212" s="461"/>
    </row>
    <row r="8213" spans="1:2">
      <c r="A8213" s="422"/>
      <c r="B8213" s="461"/>
    </row>
    <row r="8214" spans="1:2">
      <c r="A8214" s="422"/>
      <c r="B8214" s="461"/>
    </row>
    <row r="8215" spans="1:2">
      <c r="A8215" s="422"/>
      <c r="B8215" s="461"/>
    </row>
    <row r="8216" spans="1:2">
      <c r="A8216" s="422"/>
      <c r="B8216" s="461"/>
    </row>
    <row r="8217" spans="1:2">
      <c r="A8217" s="422"/>
      <c r="B8217" s="461"/>
    </row>
    <row r="8218" spans="1:2">
      <c r="A8218" s="422"/>
      <c r="B8218" s="461"/>
    </row>
    <row r="8219" spans="1:2">
      <c r="A8219" s="422"/>
      <c r="B8219" s="461"/>
    </row>
    <row r="8220" spans="1:2">
      <c r="A8220" s="422"/>
      <c r="B8220" s="461"/>
    </row>
    <row r="8221" spans="1:2">
      <c r="A8221" s="422"/>
      <c r="B8221" s="461"/>
    </row>
    <row r="8222" spans="1:2">
      <c r="A8222" s="422"/>
      <c r="B8222" s="461"/>
    </row>
    <row r="8223" spans="1:2">
      <c r="A8223" s="422"/>
      <c r="B8223" s="461"/>
    </row>
    <row r="8224" spans="1:2">
      <c r="A8224" s="422"/>
      <c r="B8224" s="461"/>
    </row>
    <row r="8225" spans="1:2">
      <c r="A8225" s="422"/>
      <c r="B8225" s="461"/>
    </row>
    <row r="8226" spans="1:2">
      <c r="A8226" s="422"/>
      <c r="B8226" s="461"/>
    </row>
    <row r="8227" spans="1:2">
      <c r="A8227" s="422"/>
      <c r="B8227" s="461"/>
    </row>
    <row r="8228" spans="1:2">
      <c r="A8228" s="422"/>
      <c r="B8228" s="461"/>
    </row>
    <row r="8229" spans="1:2">
      <c r="A8229" s="422"/>
      <c r="B8229" s="461"/>
    </row>
    <row r="8230" spans="1:2">
      <c r="A8230" s="422"/>
      <c r="B8230" s="461"/>
    </row>
    <row r="8231" spans="1:2">
      <c r="A8231" s="422"/>
      <c r="B8231" s="461"/>
    </row>
    <row r="8232" spans="1:2">
      <c r="A8232" s="422"/>
      <c r="B8232" s="461"/>
    </row>
    <row r="8233" spans="1:2">
      <c r="A8233" s="422"/>
      <c r="B8233" s="461"/>
    </row>
    <row r="8234" spans="1:2">
      <c r="A8234" s="422"/>
      <c r="B8234" s="461"/>
    </row>
    <row r="8235" spans="1:2">
      <c r="A8235" s="422"/>
      <c r="B8235" s="461"/>
    </row>
    <row r="8236" spans="1:2">
      <c r="A8236" s="422"/>
      <c r="B8236" s="461"/>
    </row>
    <row r="8237" spans="1:2">
      <c r="A8237" s="422"/>
      <c r="B8237" s="461"/>
    </row>
    <row r="8238" spans="1:2">
      <c r="A8238" s="422"/>
      <c r="B8238" s="461"/>
    </row>
    <row r="8239" spans="1:2">
      <c r="A8239" s="422"/>
      <c r="B8239" s="461"/>
    </row>
    <row r="8240" spans="1:2">
      <c r="A8240" s="422"/>
      <c r="B8240" s="461"/>
    </row>
    <row r="8241" spans="1:2">
      <c r="A8241" s="422"/>
      <c r="B8241" s="461"/>
    </row>
    <row r="8242" spans="1:2">
      <c r="A8242" s="422"/>
      <c r="B8242" s="461"/>
    </row>
    <row r="8243" spans="1:2">
      <c r="A8243" s="422"/>
      <c r="B8243" s="461"/>
    </row>
    <row r="8244" spans="1:2">
      <c r="A8244" s="422"/>
      <c r="B8244" s="461"/>
    </row>
    <row r="8245" spans="1:2">
      <c r="A8245" s="422"/>
      <c r="B8245" s="461"/>
    </row>
    <row r="8246" spans="1:2">
      <c r="A8246" s="422"/>
      <c r="B8246" s="461"/>
    </row>
    <row r="8247" spans="1:2">
      <c r="A8247" s="422"/>
      <c r="B8247" s="461"/>
    </row>
    <row r="8248" spans="1:2">
      <c r="A8248" s="422"/>
      <c r="B8248" s="461"/>
    </row>
    <row r="8249" spans="1:2">
      <c r="A8249" s="422"/>
      <c r="B8249" s="461"/>
    </row>
    <row r="8250" spans="1:2">
      <c r="A8250" s="422"/>
      <c r="B8250" s="461"/>
    </row>
    <row r="8251" spans="1:2">
      <c r="A8251" s="422"/>
      <c r="B8251" s="461"/>
    </row>
    <row r="8252" spans="1:2">
      <c r="A8252" s="422"/>
      <c r="B8252" s="461"/>
    </row>
    <row r="8253" spans="1:2">
      <c r="A8253" s="422"/>
      <c r="B8253" s="461"/>
    </row>
    <row r="8254" spans="1:2">
      <c r="A8254" s="422"/>
      <c r="B8254" s="461"/>
    </row>
    <row r="8255" spans="1:2">
      <c r="A8255" s="422"/>
      <c r="B8255" s="461"/>
    </row>
    <row r="8256" spans="1:2">
      <c r="A8256" s="422"/>
      <c r="B8256" s="461"/>
    </row>
    <row r="8257" spans="1:2">
      <c r="A8257" s="422"/>
      <c r="B8257" s="461"/>
    </row>
    <row r="8258" spans="1:2">
      <c r="A8258" s="422"/>
      <c r="B8258" s="461"/>
    </row>
    <row r="8259" spans="1:2">
      <c r="A8259" s="422"/>
      <c r="B8259" s="461"/>
    </row>
    <row r="8260" spans="1:2">
      <c r="A8260" s="422"/>
      <c r="B8260" s="461"/>
    </row>
    <row r="8261" spans="1:2">
      <c r="A8261" s="422"/>
      <c r="B8261" s="461"/>
    </row>
    <row r="8262" spans="1:2">
      <c r="A8262" s="422"/>
      <c r="B8262" s="461"/>
    </row>
    <row r="8263" spans="1:2">
      <c r="A8263" s="422"/>
      <c r="B8263" s="461"/>
    </row>
    <row r="8264" spans="1:2">
      <c r="A8264" s="422"/>
      <c r="B8264" s="461"/>
    </row>
    <row r="8265" spans="1:2">
      <c r="A8265" s="422"/>
      <c r="B8265" s="461"/>
    </row>
    <row r="8266" spans="1:2">
      <c r="A8266" s="422"/>
      <c r="B8266" s="461"/>
    </row>
    <row r="8267" spans="1:2">
      <c r="A8267" s="422"/>
      <c r="B8267" s="461"/>
    </row>
    <row r="8268" spans="1:2">
      <c r="A8268" s="422"/>
      <c r="B8268" s="461"/>
    </row>
    <row r="8269" spans="1:2">
      <c r="A8269" s="422"/>
      <c r="B8269" s="461"/>
    </row>
    <row r="8270" spans="1:2">
      <c r="A8270" s="422"/>
      <c r="B8270" s="461"/>
    </row>
    <row r="8271" spans="1:2">
      <c r="A8271" s="422"/>
      <c r="B8271" s="461"/>
    </row>
    <row r="8272" spans="1:2">
      <c r="A8272" s="422"/>
      <c r="B8272" s="461"/>
    </row>
    <row r="8273" spans="1:2">
      <c r="A8273" s="422"/>
      <c r="B8273" s="461"/>
    </row>
    <row r="8274" spans="1:2">
      <c r="A8274" s="422"/>
      <c r="B8274" s="461"/>
    </row>
    <row r="8275" spans="1:2">
      <c r="A8275" s="422"/>
      <c r="B8275" s="461"/>
    </row>
    <row r="8276" spans="1:2">
      <c r="A8276" s="422"/>
      <c r="B8276" s="461"/>
    </row>
    <row r="8277" spans="1:2">
      <c r="A8277" s="422"/>
      <c r="B8277" s="461"/>
    </row>
    <row r="8278" spans="1:2">
      <c r="A8278" s="422"/>
      <c r="B8278" s="461"/>
    </row>
    <row r="8279" spans="1:2">
      <c r="A8279" s="422"/>
      <c r="B8279" s="461"/>
    </row>
    <row r="8280" spans="1:2">
      <c r="A8280" s="422"/>
      <c r="B8280" s="461"/>
    </row>
    <row r="8281" spans="1:2">
      <c r="A8281" s="422"/>
      <c r="B8281" s="461"/>
    </row>
    <row r="8282" spans="1:2">
      <c r="A8282" s="422"/>
      <c r="B8282" s="461"/>
    </row>
    <row r="8283" spans="1:2">
      <c r="A8283" s="422"/>
      <c r="B8283" s="461"/>
    </row>
    <row r="8284" spans="1:2">
      <c r="A8284" s="422"/>
      <c r="B8284" s="461"/>
    </row>
    <row r="8285" spans="1:2">
      <c r="A8285" s="422"/>
      <c r="B8285" s="461"/>
    </row>
    <row r="8286" spans="1:2">
      <c r="A8286" s="422"/>
      <c r="B8286" s="461"/>
    </row>
    <row r="8287" spans="1:2">
      <c r="A8287" s="422"/>
      <c r="B8287" s="461"/>
    </row>
    <row r="8288" spans="1:2">
      <c r="A8288" s="422"/>
      <c r="B8288" s="461"/>
    </row>
    <row r="8289" spans="1:2">
      <c r="A8289" s="422"/>
      <c r="B8289" s="461"/>
    </row>
    <row r="8290" spans="1:2">
      <c r="A8290" s="422"/>
      <c r="B8290" s="461"/>
    </row>
    <row r="8291" spans="1:2">
      <c r="A8291" s="422"/>
      <c r="B8291" s="461"/>
    </row>
    <row r="8292" spans="1:2">
      <c r="A8292" s="422"/>
      <c r="B8292" s="461"/>
    </row>
    <row r="8293" spans="1:2">
      <c r="A8293" s="422"/>
      <c r="B8293" s="461"/>
    </row>
    <row r="8294" spans="1:2">
      <c r="A8294" s="422"/>
      <c r="B8294" s="461"/>
    </row>
    <row r="8295" spans="1:2">
      <c r="A8295" s="422"/>
      <c r="B8295" s="461"/>
    </row>
    <row r="8296" spans="1:2">
      <c r="A8296" s="422"/>
      <c r="B8296" s="461"/>
    </row>
    <row r="8297" spans="1:2">
      <c r="A8297" s="422"/>
      <c r="B8297" s="461"/>
    </row>
    <row r="8298" spans="1:2">
      <c r="A8298" s="422"/>
      <c r="B8298" s="461"/>
    </row>
    <row r="8299" spans="1:2">
      <c r="A8299" s="422"/>
      <c r="B8299" s="461"/>
    </row>
    <row r="8300" spans="1:2">
      <c r="A8300" s="422"/>
      <c r="B8300" s="461"/>
    </row>
    <row r="8301" spans="1:2">
      <c r="A8301" s="422"/>
      <c r="B8301" s="461"/>
    </row>
    <row r="8302" spans="1:2">
      <c r="A8302" s="422"/>
      <c r="B8302" s="461"/>
    </row>
    <row r="8303" spans="1:2">
      <c r="A8303" s="422"/>
      <c r="B8303" s="461"/>
    </row>
    <row r="8304" spans="1:2">
      <c r="A8304" s="422"/>
      <c r="B8304" s="461"/>
    </row>
    <row r="8305" spans="1:2">
      <c r="A8305" s="422"/>
      <c r="B8305" s="461"/>
    </row>
    <row r="8306" spans="1:2">
      <c r="A8306" s="422"/>
      <c r="B8306" s="461"/>
    </row>
    <row r="8307" spans="1:2">
      <c r="A8307" s="422"/>
      <c r="B8307" s="461"/>
    </row>
    <row r="8308" spans="1:2">
      <c r="A8308" s="422"/>
      <c r="B8308" s="461"/>
    </row>
    <row r="8309" spans="1:2">
      <c r="A8309" s="422"/>
      <c r="B8309" s="461"/>
    </row>
    <row r="8310" spans="1:2">
      <c r="A8310" s="422"/>
      <c r="B8310" s="461"/>
    </row>
    <row r="8311" spans="1:2">
      <c r="A8311" s="422"/>
      <c r="B8311" s="461"/>
    </row>
    <row r="8312" spans="1:2">
      <c r="A8312" s="422"/>
      <c r="B8312" s="461"/>
    </row>
    <row r="8313" spans="1:2">
      <c r="A8313" s="422"/>
      <c r="B8313" s="461"/>
    </row>
    <row r="8314" spans="1:2">
      <c r="A8314" s="422"/>
      <c r="B8314" s="461"/>
    </row>
    <row r="8315" spans="1:2">
      <c r="A8315" s="422"/>
      <c r="B8315" s="461"/>
    </row>
    <row r="8316" spans="1:2">
      <c r="A8316" s="422"/>
      <c r="B8316" s="461"/>
    </row>
    <row r="8317" spans="1:2">
      <c r="A8317" s="422"/>
      <c r="B8317" s="461"/>
    </row>
    <row r="8318" spans="1:2">
      <c r="A8318" s="422"/>
      <c r="B8318" s="461"/>
    </row>
    <row r="8319" spans="1:2">
      <c r="A8319" s="422"/>
      <c r="B8319" s="461"/>
    </row>
    <row r="8320" spans="1:2">
      <c r="A8320" s="422"/>
      <c r="B8320" s="461"/>
    </row>
    <row r="8321" spans="1:2">
      <c r="A8321" s="422"/>
      <c r="B8321" s="461"/>
    </row>
    <row r="8322" spans="1:2">
      <c r="A8322" s="422"/>
      <c r="B8322" s="461"/>
    </row>
    <row r="8323" spans="1:2">
      <c r="A8323" s="422"/>
      <c r="B8323" s="461"/>
    </row>
    <row r="8324" spans="1:2">
      <c r="A8324" s="422"/>
      <c r="B8324" s="461"/>
    </row>
    <row r="8325" spans="1:2">
      <c r="A8325" s="422"/>
      <c r="B8325" s="461"/>
    </row>
    <row r="8326" spans="1:2">
      <c r="A8326" s="422"/>
      <c r="B8326" s="461"/>
    </row>
    <row r="8327" spans="1:2">
      <c r="A8327" s="422"/>
      <c r="B8327" s="461"/>
    </row>
    <row r="8328" spans="1:2">
      <c r="A8328" s="422"/>
      <c r="B8328" s="461"/>
    </row>
    <row r="8329" spans="1:2">
      <c r="A8329" s="422"/>
      <c r="B8329" s="461"/>
    </row>
    <row r="8330" spans="1:2">
      <c r="A8330" s="422"/>
      <c r="B8330" s="461"/>
    </row>
    <row r="8331" spans="1:2">
      <c r="A8331" s="422"/>
      <c r="B8331" s="461"/>
    </row>
    <row r="8332" spans="1:2">
      <c r="A8332" s="422"/>
      <c r="B8332" s="461"/>
    </row>
    <row r="8333" spans="1:2">
      <c r="A8333" s="422"/>
      <c r="B8333" s="461"/>
    </row>
    <row r="8334" spans="1:2">
      <c r="A8334" s="422"/>
      <c r="B8334" s="461"/>
    </row>
    <row r="8335" spans="1:2">
      <c r="A8335" s="422"/>
      <c r="B8335" s="461"/>
    </row>
    <row r="8336" spans="1:2">
      <c r="A8336" s="422"/>
      <c r="B8336" s="461"/>
    </row>
    <row r="8337" spans="1:2">
      <c r="A8337" s="422"/>
      <c r="B8337" s="461"/>
    </row>
    <row r="8338" spans="1:2">
      <c r="A8338" s="422"/>
      <c r="B8338" s="461"/>
    </row>
    <row r="8339" spans="1:2">
      <c r="A8339" s="422"/>
      <c r="B8339" s="461"/>
    </row>
    <row r="8340" spans="1:2">
      <c r="A8340" s="422"/>
      <c r="B8340" s="461"/>
    </row>
    <row r="8341" spans="1:2">
      <c r="A8341" s="422"/>
      <c r="B8341" s="461"/>
    </row>
    <row r="8342" spans="1:2">
      <c r="A8342" s="422"/>
      <c r="B8342" s="461"/>
    </row>
    <row r="8343" spans="1:2">
      <c r="A8343" s="422"/>
      <c r="B8343" s="461"/>
    </row>
    <row r="8344" spans="1:2">
      <c r="A8344" s="422"/>
      <c r="B8344" s="461"/>
    </row>
    <row r="8345" spans="1:2">
      <c r="A8345" s="422"/>
      <c r="B8345" s="461"/>
    </row>
    <row r="8346" spans="1:2">
      <c r="A8346" s="422"/>
      <c r="B8346" s="461"/>
    </row>
    <row r="8347" spans="1:2">
      <c r="A8347" s="422"/>
      <c r="B8347" s="461"/>
    </row>
    <row r="8348" spans="1:2">
      <c r="A8348" s="422"/>
      <c r="B8348" s="461"/>
    </row>
    <row r="8349" spans="1:2">
      <c r="A8349" s="422"/>
      <c r="B8349" s="461"/>
    </row>
    <row r="8350" spans="1:2">
      <c r="A8350" s="422"/>
      <c r="B8350" s="461"/>
    </row>
    <row r="8351" spans="1:2">
      <c r="A8351" s="422"/>
      <c r="B8351" s="461"/>
    </row>
    <row r="8352" spans="1:2">
      <c r="A8352" s="422"/>
      <c r="B8352" s="461"/>
    </row>
    <row r="8353" spans="1:2">
      <c r="A8353" s="422"/>
      <c r="B8353" s="461"/>
    </row>
    <row r="8354" spans="1:2">
      <c r="A8354" s="422"/>
      <c r="B8354" s="461"/>
    </row>
    <row r="8355" spans="1:2">
      <c r="A8355" s="422"/>
      <c r="B8355" s="461"/>
    </row>
    <row r="8356" spans="1:2">
      <c r="A8356" s="422"/>
      <c r="B8356" s="461"/>
    </row>
    <row r="8357" spans="1:2">
      <c r="A8357" s="422"/>
      <c r="B8357" s="461"/>
    </row>
    <row r="8358" spans="1:2">
      <c r="A8358" s="422"/>
      <c r="B8358" s="461"/>
    </row>
    <row r="8359" spans="1:2">
      <c r="A8359" s="422"/>
      <c r="B8359" s="461"/>
    </row>
    <row r="8360" spans="1:2">
      <c r="A8360" s="422"/>
      <c r="B8360" s="461"/>
    </row>
    <row r="8361" spans="1:2">
      <c r="A8361" s="422"/>
      <c r="B8361" s="461"/>
    </row>
    <row r="8362" spans="1:2">
      <c r="A8362" s="422"/>
      <c r="B8362" s="461"/>
    </row>
    <row r="8363" spans="1:2">
      <c r="A8363" s="422"/>
      <c r="B8363" s="461"/>
    </row>
    <row r="8364" spans="1:2">
      <c r="A8364" s="422"/>
      <c r="B8364" s="461"/>
    </row>
    <row r="8365" spans="1:2">
      <c r="A8365" s="422"/>
      <c r="B8365" s="461"/>
    </row>
    <row r="8366" spans="1:2">
      <c r="A8366" s="422"/>
      <c r="B8366" s="461"/>
    </row>
    <row r="8367" spans="1:2">
      <c r="A8367" s="422"/>
      <c r="B8367" s="461"/>
    </row>
    <row r="8368" spans="1:2">
      <c r="A8368" s="422"/>
      <c r="B8368" s="461"/>
    </row>
    <row r="8369" spans="1:2">
      <c r="A8369" s="422"/>
      <c r="B8369" s="461"/>
    </row>
    <row r="8370" spans="1:2">
      <c r="A8370" s="422"/>
      <c r="B8370" s="461"/>
    </row>
    <row r="8371" spans="1:2">
      <c r="A8371" s="422"/>
      <c r="B8371" s="461"/>
    </row>
    <row r="8372" spans="1:2">
      <c r="A8372" s="422"/>
      <c r="B8372" s="461"/>
    </row>
    <row r="8373" spans="1:2">
      <c r="A8373" s="422"/>
      <c r="B8373" s="461"/>
    </row>
    <row r="8374" spans="1:2">
      <c r="A8374" s="422"/>
      <c r="B8374" s="461"/>
    </row>
    <row r="8375" spans="1:2">
      <c r="A8375" s="422"/>
      <c r="B8375" s="461"/>
    </row>
    <row r="8376" spans="1:2">
      <c r="A8376" s="422"/>
      <c r="B8376" s="461"/>
    </row>
    <row r="8377" spans="1:2">
      <c r="A8377" s="422"/>
      <c r="B8377" s="461"/>
    </row>
    <row r="8378" spans="1:2">
      <c r="A8378" s="422"/>
      <c r="B8378" s="461"/>
    </row>
    <row r="8379" spans="1:2">
      <c r="A8379" s="422"/>
      <c r="B8379" s="461"/>
    </row>
    <row r="8380" spans="1:2">
      <c r="A8380" s="422"/>
      <c r="B8380" s="461"/>
    </row>
    <row r="8381" spans="1:2">
      <c r="A8381" s="422"/>
      <c r="B8381" s="461"/>
    </row>
    <row r="8382" spans="1:2">
      <c r="A8382" s="422"/>
      <c r="B8382" s="461"/>
    </row>
    <row r="8383" spans="1:2">
      <c r="A8383" s="422"/>
      <c r="B8383" s="461"/>
    </row>
    <row r="8384" spans="1:2">
      <c r="A8384" s="422"/>
      <c r="B8384" s="461"/>
    </row>
    <row r="8385" spans="1:2">
      <c r="A8385" s="422"/>
      <c r="B8385" s="461"/>
    </row>
    <row r="8386" spans="1:2">
      <c r="A8386" s="422"/>
      <c r="B8386" s="461"/>
    </row>
    <row r="8387" spans="1:2">
      <c r="A8387" s="422"/>
      <c r="B8387" s="461"/>
    </row>
    <row r="8388" spans="1:2">
      <c r="A8388" s="422"/>
      <c r="B8388" s="461"/>
    </row>
    <row r="8389" spans="1:2">
      <c r="A8389" s="422"/>
      <c r="B8389" s="461"/>
    </row>
    <row r="8390" spans="1:2">
      <c r="A8390" s="422"/>
      <c r="B8390" s="461"/>
    </row>
    <row r="8391" spans="1:2">
      <c r="A8391" s="422"/>
      <c r="B8391" s="461"/>
    </row>
    <row r="8392" spans="1:2">
      <c r="A8392" s="422"/>
      <c r="B8392" s="461"/>
    </row>
    <row r="8393" spans="1:2">
      <c r="A8393" s="422"/>
      <c r="B8393" s="461"/>
    </row>
    <row r="8394" spans="1:2">
      <c r="A8394" s="422"/>
      <c r="B8394" s="461"/>
    </row>
    <row r="8395" spans="1:2">
      <c r="A8395" s="422"/>
      <c r="B8395" s="461"/>
    </row>
    <row r="8396" spans="1:2">
      <c r="A8396" s="422"/>
      <c r="B8396" s="461"/>
    </row>
    <row r="8397" spans="1:2">
      <c r="A8397" s="422"/>
      <c r="B8397" s="461"/>
    </row>
    <row r="8398" spans="1:2">
      <c r="A8398" s="422"/>
      <c r="B8398" s="461"/>
    </row>
    <row r="8399" spans="1:2">
      <c r="A8399" s="422"/>
      <c r="B8399" s="461"/>
    </row>
    <row r="8400" spans="1:2">
      <c r="A8400" s="422"/>
      <c r="B8400" s="461"/>
    </row>
    <row r="8401" spans="1:2">
      <c r="A8401" s="422"/>
      <c r="B8401" s="461"/>
    </row>
    <row r="8402" spans="1:2">
      <c r="A8402" s="422"/>
      <c r="B8402" s="461"/>
    </row>
    <row r="8403" spans="1:2">
      <c r="A8403" s="422"/>
      <c r="B8403" s="461"/>
    </row>
    <row r="8404" spans="1:2">
      <c r="A8404" s="422"/>
      <c r="B8404" s="461"/>
    </row>
    <row r="8405" spans="1:2">
      <c r="A8405" s="422"/>
      <c r="B8405" s="461"/>
    </row>
    <row r="8406" spans="1:2">
      <c r="A8406" s="422"/>
      <c r="B8406" s="461"/>
    </row>
    <row r="8407" spans="1:2">
      <c r="A8407" s="422"/>
      <c r="B8407" s="461"/>
    </row>
    <row r="8408" spans="1:2">
      <c r="A8408" s="422"/>
      <c r="B8408" s="461"/>
    </row>
    <row r="8409" spans="1:2">
      <c r="A8409" s="422"/>
      <c r="B8409" s="461"/>
    </row>
    <row r="8410" spans="1:2">
      <c r="A8410" s="422"/>
      <c r="B8410" s="461"/>
    </row>
    <row r="8411" spans="1:2">
      <c r="A8411" s="422"/>
      <c r="B8411" s="461"/>
    </row>
    <row r="8412" spans="1:2">
      <c r="A8412" s="422"/>
      <c r="B8412" s="461"/>
    </row>
    <row r="8413" spans="1:2">
      <c r="A8413" s="422"/>
      <c r="B8413" s="461"/>
    </row>
    <row r="8414" spans="1:2">
      <c r="A8414" s="422"/>
      <c r="B8414" s="461"/>
    </row>
    <row r="8415" spans="1:2">
      <c r="A8415" s="422"/>
      <c r="B8415" s="461"/>
    </row>
    <row r="8416" spans="1:2">
      <c r="A8416" s="422"/>
      <c r="B8416" s="461"/>
    </row>
    <row r="8417" spans="1:2">
      <c r="A8417" s="422"/>
      <c r="B8417" s="461"/>
    </row>
    <row r="8418" spans="1:2">
      <c r="A8418" s="422"/>
      <c r="B8418" s="461"/>
    </row>
    <row r="8419" spans="1:2">
      <c r="A8419" s="422"/>
      <c r="B8419" s="461"/>
    </row>
    <row r="8420" spans="1:2">
      <c r="A8420" s="422"/>
      <c r="B8420" s="461"/>
    </row>
    <row r="8421" spans="1:2">
      <c r="A8421" s="422"/>
      <c r="B8421" s="461"/>
    </row>
    <row r="8422" spans="1:2">
      <c r="A8422" s="422"/>
      <c r="B8422" s="461"/>
    </row>
    <row r="8423" spans="1:2">
      <c r="A8423" s="422"/>
      <c r="B8423" s="461"/>
    </row>
    <row r="8424" spans="1:2">
      <c r="A8424" s="422"/>
      <c r="B8424" s="461"/>
    </row>
    <row r="8425" spans="1:2">
      <c r="A8425" s="422"/>
      <c r="B8425" s="461"/>
    </row>
    <row r="8426" spans="1:2">
      <c r="A8426" s="422"/>
      <c r="B8426" s="461"/>
    </row>
    <row r="8427" spans="1:2">
      <c r="A8427" s="422"/>
      <c r="B8427" s="461"/>
    </row>
    <row r="8428" spans="1:2">
      <c r="A8428" s="422"/>
      <c r="B8428" s="461"/>
    </row>
    <row r="8429" spans="1:2">
      <c r="A8429" s="422"/>
      <c r="B8429" s="461"/>
    </row>
    <row r="8430" spans="1:2">
      <c r="A8430" s="422"/>
      <c r="B8430" s="461"/>
    </row>
    <row r="8431" spans="1:2">
      <c r="A8431" s="422"/>
      <c r="B8431" s="461"/>
    </row>
    <row r="8432" spans="1:2">
      <c r="A8432" s="422"/>
      <c r="B8432" s="461"/>
    </row>
    <row r="8433" spans="1:2">
      <c r="A8433" s="422"/>
      <c r="B8433" s="461"/>
    </row>
    <row r="8434" spans="1:2">
      <c r="A8434" s="422"/>
      <c r="B8434" s="461"/>
    </row>
    <row r="8435" spans="1:2">
      <c r="A8435" s="422"/>
      <c r="B8435" s="461"/>
    </row>
    <row r="8436" spans="1:2">
      <c r="A8436" s="422"/>
      <c r="B8436" s="461"/>
    </row>
    <row r="8437" spans="1:2">
      <c r="A8437" s="422"/>
      <c r="B8437" s="461"/>
    </row>
    <row r="8438" spans="1:2">
      <c r="A8438" s="422"/>
      <c r="B8438" s="461"/>
    </row>
    <row r="8439" spans="1:2">
      <c r="A8439" s="422"/>
      <c r="B8439" s="461"/>
    </row>
    <row r="8440" spans="1:2">
      <c r="A8440" s="422"/>
      <c r="B8440" s="461"/>
    </row>
    <row r="8441" spans="1:2">
      <c r="A8441" s="422"/>
      <c r="B8441" s="461"/>
    </row>
    <row r="8442" spans="1:2">
      <c r="A8442" s="422"/>
      <c r="B8442" s="461"/>
    </row>
    <row r="8443" spans="1:2">
      <c r="A8443" s="422"/>
      <c r="B8443" s="461"/>
    </row>
    <row r="8444" spans="1:2">
      <c r="A8444" s="422"/>
      <c r="B8444" s="461"/>
    </row>
    <row r="8445" spans="1:2">
      <c r="A8445" s="422"/>
      <c r="B8445" s="461"/>
    </row>
    <row r="8446" spans="1:2">
      <c r="A8446" s="422"/>
      <c r="B8446" s="461"/>
    </row>
    <row r="8447" spans="1:2">
      <c r="A8447" s="422"/>
      <c r="B8447" s="461"/>
    </row>
    <row r="8448" spans="1:2">
      <c r="A8448" s="422"/>
      <c r="B8448" s="461"/>
    </row>
    <row r="8449" spans="1:2">
      <c r="A8449" s="422"/>
      <c r="B8449" s="461"/>
    </row>
    <row r="8450" spans="1:2">
      <c r="A8450" s="422"/>
      <c r="B8450" s="461"/>
    </row>
    <row r="8451" spans="1:2">
      <c r="A8451" s="422"/>
      <c r="B8451" s="461"/>
    </row>
    <row r="8452" spans="1:2">
      <c r="A8452" s="422"/>
      <c r="B8452" s="461"/>
    </row>
    <row r="8453" spans="1:2">
      <c r="A8453" s="422"/>
      <c r="B8453" s="461"/>
    </row>
    <row r="8454" spans="1:2">
      <c r="A8454" s="422"/>
      <c r="B8454" s="461"/>
    </row>
    <row r="8455" spans="1:2">
      <c r="A8455" s="422"/>
      <c r="B8455" s="461"/>
    </row>
    <row r="8456" spans="1:2">
      <c r="A8456" s="422"/>
      <c r="B8456" s="461"/>
    </row>
    <row r="8457" spans="1:2">
      <c r="A8457" s="422"/>
      <c r="B8457" s="461"/>
    </row>
    <row r="8458" spans="1:2">
      <c r="A8458" s="422"/>
      <c r="B8458" s="461"/>
    </row>
    <row r="8459" spans="1:2">
      <c r="A8459" s="422"/>
      <c r="B8459" s="461"/>
    </row>
    <row r="8460" spans="1:2">
      <c r="A8460" s="422"/>
      <c r="B8460" s="461"/>
    </row>
    <row r="8461" spans="1:2">
      <c r="A8461" s="422"/>
      <c r="B8461" s="461"/>
    </row>
    <row r="8462" spans="1:2">
      <c r="A8462" s="422"/>
      <c r="B8462" s="461"/>
    </row>
    <row r="8463" spans="1:2">
      <c r="A8463" s="422"/>
      <c r="B8463" s="461"/>
    </row>
    <row r="8464" spans="1:2">
      <c r="A8464" s="422"/>
      <c r="B8464" s="461"/>
    </row>
    <row r="8465" spans="1:2">
      <c r="A8465" s="422"/>
      <c r="B8465" s="461"/>
    </row>
    <row r="8466" spans="1:2">
      <c r="A8466" s="422"/>
      <c r="B8466" s="461"/>
    </row>
    <row r="8467" spans="1:2">
      <c r="A8467" s="422"/>
      <c r="B8467" s="461"/>
    </row>
    <row r="8468" spans="1:2">
      <c r="A8468" s="422"/>
      <c r="B8468" s="461"/>
    </row>
    <row r="8469" spans="1:2">
      <c r="A8469" s="422"/>
      <c r="B8469" s="461"/>
    </row>
    <row r="8470" spans="1:2">
      <c r="A8470" s="422"/>
      <c r="B8470" s="461"/>
    </row>
    <row r="8471" spans="1:2">
      <c r="A8471" s="422"/>
      <c r="B8471" s="461"/>
    </row>
    <row r="8472" spans="1:2">
      <c r="A8472" s="422"/>
      <c r="B8472" s="461"/>
    </row>
    <row r="8473" spans="1:2">
      <c r="A8473" s="422"/>
      <c r="B8473" s="461"/>
    </row>
    <row r="8474" spans="1:2">
      <c r="A8474" s="422"/>
      <c r="B8474" s="461"/>
    </row>
    <row r="8475" spans="1:2">
      <c r="A8475" s="422"/>
      <c r="B8475" s="461"/>
    </row>
    <row r="8476" spans="1:2">
      <c r="A8476" s="422"/>
      <c r="B8476" s="461"/>
    </row>
    <row r="8477" spans="1:2">
      <c r="A8477" s="422"/>
      <c r="B8477" s="461"/>
    </row>
    <row r="8478" spans="1:2">
      <c r="A8478" s="422"/>
      <c r="B8478" s="461"/>
    </row>
    <row r="8479" spans="1:2">
      <c r="A8479" s="422"/>
      <c r="B8479" s="461"/>
    </row>
    <row r="8480" spans="1:2">
      <c r="A8480" s="422"/>
      <c r="B8480" s="461"/>
    </row>
    <row r="8481" spans="1:2">
      <c r="A8481" s="422"/>
      <c r="B8481" s="461"/>
    </row>
    <row r="8482" spans="1:2">
      <c r="A8482" s="422"/>
      <c r="B8482" s="461"/>
    </row>
    <row r="8483" spans="1:2">
      <c r="A8483" s="422"/>
      <c r="B8483" s="461"/>
    </row>
    <row r="8484" spans="1:2">
      <c r="A8484" s="422"/>
      <c r="B8484" s="461"/>
    </row>
    <row r="8485" spans="1:2">
      <c r="A8485" s="422"/>
      <c r="B8485" s="461"/>
    </row>
    <row r="8486" spans="1:2">
      <c r="A8486" s="422"/>
      <c r="B8486" s="461"/>
    </row>
    <row r="8487" spans="1:2">
      <c r="A8487" s="422"/>
      <c r="B8487" s="461"/>
    </row>
    <row r="8488" spans="1:2">
      <c r="A8488" s="422"/>
      <c r="B8488" s="461"/>
    </row>
    <row r="8489" spans="1:2">
      <c r="A8489" s="422"/>
      <c r="B8489" s="461"/>
    </row>
    <row r="8490" spans="1:2">
      <c r="A8490" s="422"/>
      <c r="B8490" s="461"/>
    </row>
    <row r="8491" spans="1:2">
      <c r="A8491" s="422"/>
      <c r="B8491" s="461"/>
    </row>
    <row r="8492" spans="1:2">
      <c r="A8492" s="422"/>
      <c r="B8492" s="461"/>
    </row>
    <row r="8493" spans="1:2">
      <c r="A8493" s="422"/>
      <c r="B8493" s="461"/>
    </row>
    <row r="8494" spans="1:2">
      <c r="A8494" s="422"/>
      <c r="B8494" s="461"/>
    </row>
    <row r="8495" spans="1:2">
      <c r="A8495" s="422"/>
      <c r="B8495" s="461"/>
    </row>
    <row r="8496" spans="1:2">
      <c r="A8496" s="422"/>
      <c r="B8496" s="461"/>
    </row>
    <row r="8497" spans="1:2">
      <c r="A8497" s="422"/>
      <c r="B8497" s="461"/>
    </row>
    <row r="8498" spans="1:2">
      <c r="A8498" s="422"/>
      <c r="B8498" s="461"/>
    </row>
    <row r="8499" spans="1:2">
      <c r="A8499" s="422"/>
      <c r="B8499" s="461"/>
    </row>
    <row r="8500" spans="1:2">
      <c r="A8500" s="422"/>
      <c r="B8500" s="461"/>
    </row>
    <row r="8501" spans="1:2">
      <c r="A8501" s="422"/>
      <c r="B8501" s="461"/>
    </row>
    <row r="8502" spans="1:2">
      <c r="A8502" s="422"/>
      <c r="B8502" s="461"/>
    </row>
    <row r="8503" spans="1:2">
      <c r="A8503" s="422"/>
      <c r="B8503" s="461"/>
    </row>
    <row r="8504" spans="1:2">
      <c r="A8504" s="422"/>
      <c r="B8504" s="461"/>
    </row>
    <row r="8505" spans="1:2">
      <c r="A8505" s="422"/>
      <c r="B8505" s="461"/>
    </row>
    <row r="8506" spans="1:2">
      <c r="A8506" s="422"/>
      <c r="B8506" s="461"/>
    </row>
    <row r="8507" spans="1:2">
      <c r="A8507" s="422"/>
      <c r="B8507" s="461"/>
    </row>
    <row r="8508" spans="1:2">
      <c r="A8508" s="422"/>
      <c r="B8508" s="461"/>
    </row>
    <row r="8509" spans="1:2">
      <c r="A8509" s="422"/>
      <c r="B8509" s="461"/>
    </row>
    <row r="8510" spans="1:2">
      <c r="A8510" s="422"/>
      <c r="B8510" s="461"/>
    </row>
    <row r="8511" spans="1:2">
      <c r="A8511" s="422"/>
      <c r="B8511" s="461"/>
    </row>
    <row r="8512" spans="1:2">
      <c r="A8512" s="422"/>
      <c r="B8512" s="461"/>
    </row>
    <row r="8513" spans="1:2">
      <c r="A8513" s="422"/>
      <c r="B8513" s="461"/>
    </row>
    <row r="8514" spans="1:2">
      <c r="A8514" s="422"/>
      <c r="B8514" s="461"/>
    </row>
    <row r="8515" spans="1:2">
      <c r="A8515" s="422"/>
      <c r="B8515" s="461"/>
    </row>
    <row r="8516" spans="1:2">
      <c r="A8516" s="422"/>
      <c r="B8516" s="461"/>
    </row>
    <row r="8517" spans="1:2">
      <c r="A8517" s="422"/>
      <c r="B8517" s="461"/>
    </row>
    <row r="8518" spans="1:2">
      <c r="A8518" s="422"/>
      <c r="B8518" s="461"/>
    </row>
    <row r="8519" spans="1:2">
      <c r="A8519" s="422"/>
      <c r="B8519" s="461"/>
    </row>
    <row r="8520" spans="1:2">
      <c r="A8520" s="422"/>
      <c r="B8520" s="461"/>
    </row>
    <row r="8521" spans="1:2">
      <c r="A8521" s="422"/>
      <c r="B8521" s="461"/>
    </row>
    <row r="8522" spans="1:2">
      <c r="A8522" s="422"/>
      <c r="B8522" s="461"/>
    </row>
    <row r="8523" spans="1:2">
      <c r="A8523" s="422"/>
      <c r="B8523" s="461"/>
    </row>
    <row r="8524" spans="1:2">
      <c r="A8524" s="422"/>
      <c r="B8524" s="461"/>
    </row>
    <row r="8525" spans="1:2">
      <c r="A8525" s="422"/>
      <c r="B8525" s="461"/>
    </row>
    <row r="8526" spans="1:2">
      <c r="A8526" s="422"/>
      <c r="B8526" s="461"/>
    </row>
    <row r="8527" spans="1:2">
      <c r="A8527" s="422"/>
      <c r="B8527" s="461"/>
    </row>
    <row r="8528" spans="1:2">
      <c r="A8528" s="422"/>
      <c r="B8528" s="461"/>
    </row>
    <row r="8529" spans="1:2">
      <c r="A8529" s="422"/>
      <c r="B8529" s="461"/>
    </row>
    <row r="8530" spans="1:2">
      <c r="A8530" s="422"/>
      <c r="B8530" s="461"/>
    </row>
    <row r="8531" spans="1:2">
      <c r="A8531" s="422"/>
      <c r="B8531" s="461"/>
    </row>
    <row r="8532" spans="1:2">
      <c r="A8532" s="422"/>
      <c r="B8532" s="461"/>
    </row>
    <row r="8533" spans="1:2">
      <c r="A8533" s="422"/>
      <c r="B8533" s="461"/>
    </row>
    <row r="8534" spans="1:2">
      <c r="A8534" s="422"/>
      <c r="B8534" s="461"/>
    </row>
    <row r="8535" spans="1:2">
      <c r="A8535" s="422"/>
      <c r="B8535" s="461"/>
    </row>
    <row r="8536" spans="1:2">
      <c r="A8536" s="422"/>
      <c r="B8536" s="461"/>
    </row>
    <row r="8537" spans="1:2">
      <c r="A8537" s="422"/>
      <c r="B8537" s="461"/>
    </row>
    <row r="8538" spans="1:2">
      <c r="A8538" s="422"/>
      <c r="B8538" s="461"/>
    </row>
    <row r="8539" spans="1:2">
      <c r="A8539" s="422"/>
      <c r="B8539" s="461"/>
    </row>
    <row r="8540" spans="1:2">
      <c r="A8540" s="422"/>
      <c r="B8540" s="461"/>
    </row>
    <row r="8541" spans="1:2">
      <c r="A8541" s="422"/>
      <c r="B8541" s="461"/>
    </row>
    <row r="8542" spans="1:2">
      <c r="A8542" s="422"/>
      <c r="B8542" s="461"/>
    </row>
    <row r="8543" spans="1:2">
      <c r="A8543" s="422"/>
      <c r="B8543" s="461"/>
    </row>
    <row r="8544" spans="1:2">
      <c r="A8544" s="422"/>
      <c r="B8544" s="461"/>
    </row>
    <row r="8545" spans="1:2">
      <c r="A8545" s="422"/>
      <c r="B8545" s="461"/>
    </row>
    <row r="8546" spans="1:2">
      <c r="A8546" s="422"/>
      <c r="B8546" s="461"/>
    </row>
    <row r="8547" spans="1:2">
      <c r="A8547" s="422"/>
      <c r="B8547" s="461"/>
    </row>
    <row r="8548" spans="1:2">
      <c r="A8548" s="422"/>
      <c r="B8548" s="461"/>
    </row>
    <row r="8549" spans="1:2">
      <c r="A8549" s="422"/>
      <c r="B8549" s="461"/>
    </row>
    <row r="8550" spans="1:2">
      <c r="A8550" s="422"/>
      <c r="B8550" s="461"/>
    </row>
    <row r="8551" spans="1:2">
      <c r="A8551" s="422"/>
      <c r="B8551" s="461"/>
    </row>
    <row r="8552" spans="1:2">
      <c r="A8552" s="422"/>
      <c r="B8552" s="461"/>
    </row>
    <row r="8553" spans="1:2">
      <c r="A8553" s="422"/>
      <c r="B8553" s="461"/>
    </row>
    <row r="8554" spans="1:2">
      <c r="A8554" s="422"/>
      <c r="B8554" s="461"/>
    </row>
    <row r="8555" spans="1:2">
      <c r="A8555" s="422"/>
      <c r="B8555" s="461"/>
    </row>
    <row r="8556" spans="1:2">
      <c r="A8556" s="422"/>
      <c r="B8556" s="461"/>
    </row>
    <row r="8557" spans="1:2">
      <c r="A8557" s="422"/>
      <c r="B8557" s="461"/>
    </row>
    <row r="8558" spans="1:2">
      <c r="A8558" s="422"/>
      <c r="B8558" s="461"/>
    </row>
    <row r="8559" spans="1:2">
      <c r="A8559" s="422"/>
      <c r="B8559" s="461"/>
    </row>
    <row r="8560" spans="1:2">
      <c r="A8560" s="422"/>
      <c r="B8560" s="461"/>
    </row>
    <row r="8561" spans="1:2">
      <c r="A8561" s="422"/>
      <c r="B8561" s="461"/>
    </row>
    <row r="8562" spans="1:2">
      <c r="A8562" s="422"/>
      <c r="B8562" s="461"/>
    </row>
    <row r="8563" spans="1:2">
      <c r="A8563" s="422"/>
      <c r="B8563" s="461"/>
    </row>
    <row r="8564" spans="1:2">
      <c r="A8564" s="422"/>
      <c r="B8564" s="461"/>
    </row>
    <row r="8565" spans="1:2">
      <c r="A8565" s="422"/>
      <c r="B8565" s="461"/>
    </row>
    <row r="8566" spans="1:2">
      <c r="A8566" s="422"/>
      <c r="B8566" s="461"/>
    </row>
    <row r="8567" spans="1:2">
      <c r="A8567" s="422"/>
      <c r="B8567" s="461"/>
    </row>
    <row r="8568" spans="1:2">
      <c r="A8568" s="422"/>
      <c r="B8568" s="461"/>
    </row>
    <row r="8569" spans="1:2">
      <c r="A8569" s="422"/>
      <c r="B8569" s="461"/>
    </row>
    <row r="8570" spans="1:2">
      <c r="A8570" s="422"/>
      <c r="B8570" s="461"/>
    </row>
    <row r="8571" spans="1:2">
      <c r="A8571" s="422"/>
      <c r="B8571" s="461"/>
    </row>
    <row r="8572" spans="1:2">
      <c r="A8572" s="422"/>
      <c r="B8572" s="461"/>
    </row>
    <row r="8573" spans="1:2">
      <c r="A8573" s="422"/>
      <c r="B8573" s="461"/>
    </row>
    <row r="8574" spans="1:2">
      <c r="A8574" s="422"/>
      <c r="B8574" s="461"/>
    </row>
    <row r="8575" spans="1:2">
      <c r="A8575" s="422"/>
      <c r="B8575" s="461"/>
    </row>
    <row r="8576" spans="1:2">
      <c r="A8576" s="422"/>
      <c r="B8576" s="461"/>
    </row>
    <row r="8577" spans="1:2">
      <c r="A8577" s="422"/>
      <c r="B8577" s="461"/>
    </row>
    <row r="8578" spans="1:2">
      <c r="A8578" s="422"/>
      <c r="B8578" s="461"/>
    </row>
    <row r="8579" spans="1:2">
      <c r="A8579" s="422"/>
      <c r="B8579" s="461"/>
    </row>
    <row r="8580" spans="1:2">
      <c r="A8580" s="422"/>
      <c r="B8580" s="461"/>
    </row>
    <row r="8581" spans="1:2">
      <c r="A8581" s="422"/>
      <c r="B8581" s="461"/>
    </row>
    <row r="8582" spans="1:2">
      <c r="A8582" s="422"/>
      <c r="B8582" s="461"/>
    </row>
    <row r="8583" spans="1:2">
      <c r="A8583" s="422"/>
      <c r="B8583" s="461"/>
    </row>
    <row r="8584" spans="1:2">
      <c r="A8584" s="422"/>
      <c r="B8584" s="461"/>
    </row>
    <row r="8585" spans="1:2">
      <c r="A8585" s="422"/>
      <c r="B8585" s="461"/>
    </row>
    <row r="8586" spans="1:2">
      <c r="A8586" s="422"/>
      <c r="B8586" s="461"/>
    </row>
    <row r="8587" spans="1:2">
      <c r="A8587" s="422"/>
      <c r="B8587" s="461"/>
    </row>
    <row r="8588" spans="1:2">
      <c r="A8588" s="422"/>
      <c r="B8588" s="461"/>
    </row>
    <row r="8589" spans="1:2">
      <c r="A8589" s="422"/>
      <c r="B8589" s="461"/>
    </row>
    <row r="8590" spans="1:2">
      <c r="A8590" s="422"/>
      <c r="B8590" s="461"/>
    </row>
    <row r="8591" spans="1:2">
      <c r="A8591" s="422"/>
      <c r="B8591" s="461"/>
    </row>
    <row r="8592" spans="1:2">
      <c r="A8592" s="422"/>
      <c r="B8592" s="461"/>
    </row>
    <row r="8593" spans="1:2">
      <c r="A8593" s="422"/>
      <c r="B8593" s="461"/>
    </row>
    <row r="8594" spans="1:2">
      <c r="A8594" s="422"/>
      <c r="B8594" s="461"/>
    </row>
    <row r="8595" spans="1:2">
      <c r="A8595" s="422"/>
      <c r="B8595" s="461"/>
    </row>
    <row r="8596" spans="1:2">
      <c r="A8596" s="422"/>
      <c r="B8596" s="461"/>
    </row>
    <row r="8597" spans="1:2">
      <c r="A8597" s="422"/>
      <c r="B8597" s="461"/>
    </row>
    <row r="8598" spans="1:2">
      <c r="A8598" s="422"/>
      <c r="B8598" s="461"/>
    </row>
    <row r="8599" spans="1:2">
      <c r="A8599" s="422"/>
      <c r="B8599" s="461"/>
    </row>
    <row r="8600" spans="1:2">
      <c r="A8600" s="422"/>
      <c r="B8600" s="461"/>
    </row>
    <row r="8601" spans="1:2">
      <c r="A8601" s="422"/>
      <c r="B8601" s="461"/>
    </row>
    <row r="8602" spans="1:2">
      <c r="A8602" s="422"/>
      <c r="B8602" s="461"/>
    </row>
    <row r="8603" spans="1:2">
      <c r="A8603" s="422"/>
      <c r="B8603" s="461"/>
    </row>
    <row r="8604" spans="1:2">
      <c r="A8604" s="422"/>
      <c r="B8604" s="461"/>
    </row>
    <row r="8605" spans="1:2">
      <c r="A8605" s="422"/>
      <c r="B8605" s="461"/>
    </row>
    <row r="8606" spans="1:2">
      <c r="A8606" s="422"/>
      <c r="B8606" s="461"/>
    </row>
    <row r="8607" spans="1:2">
      <c r="A8607" s="422"/>
      <c r="B8607" s="461"/>
    </row>
    <row r="8608" spans="1:2">
      <c r="A8608" s="422"/>
      <c r="B8608" s="461"/>
    </row>
    <row r="8609" spans="1:2">
      <c r="A8609" s="422"/>
      <c r="B8609" s="461"/>
    </row>
    <row r="8610" spans="1:2">
      <c r="A8610" s="422"/>
      <c r="B8610" s="461"/>
    </row>
    <row r="8611" spans="1:2">
      <c r="A8611" s="422"/>
      <c r="B8611" s="461"/>
    </row>
    <row r="8612" spans="1:2">
      <c r="A8612" s="422"/>
      <c r="B8612" s="461"/>
    </row>
    <row r="8613" spans="1:2">
      <c r="A8613" s="422"/>
      <c r="B8613" s="461"/>
    </row>
    <row r="8614" spans="1:2">
      <c r="A8614" s="422"/>
      <c r="B8614" s="461"/>
    </row>
    <row r="8615" spans="1:2">
      <c r="A8615" s="422"/>
      <c r="B8615" s="461"/>
    </row>
    <row r="8616" spans="1:2">
      <c r="A8616" s="422"/>
      <c r="B8616" s="461"/>
    </row>
    <row r="8617" spans="1:2">
      <c r="A8617" s="422"/>
      <c r="B8617" s="461"/>
    </row>
    <row r="8618" spans="1:2">
      <c r="A8618" s="422"/>
      <c r="B8618" s="461"/>
    </row>
    <row r="8619" spans="1:2">
      <c r="A8619" s="422"/>
      <c r="B8619" s="461"/>
    </row>
    <row r="8620" spans="1:2">
      <c r="A8620" s="422"/>
      <c r="B8620" s="461"/>
    </row>
    <row r="8621" spans="1:2">
      <c r="A8621" s="422"/>
      <c r="B8621" s="461"/>
    </row>
    <row r="8622" spans="1:2">
      <c r="A8622" s="422"/>
      <c r="B8622" s="461"/>
    </row>
    <row r="8623" spans="1:2">
      <c r="A8623" s="422"/>
      <c r="B8623" s="461"/>
    </row>
    <row r="8624" spans="1:2">
      <c r="A8624" s="422"/>
      <c r="B8624" s="461"/>
    </row>
    <row r="8625" spans="1:2">
      <c r="A8625" s="422"/>
      <c r="B8625" s="461"/>
    </row>
    <row r="8626" spans="1:2">
      <c r="A8626" s="422"/>
      <c r="B8626" s="461"/>
    </row>
    <row r="8627" spans="1:2">
      <c r="A8627" s="422"/>
      <c r="B8627" s="461"/>
    </row>
    <row r="8628" spans="1:2">
      <c r="A8628" s="422"/>
      <c r="B8628" s="461"/>
    </row>
    <row r="8629" spans="1:2">
      <c r="A8629" s="422"/>
      <c r="B8629" s="461"/>
    </row>
    <row r="8630" spans="1:2">
      <c r="A8630" s="422"/>
      <c r="B8630" s="461"/>
    </row>
    <row r="8631" spans="1:2">
      <c r="A8631" s="422"/>
      <c r="B8631" s="461"/>
    </row>
    <row r="8632" spans="1:2">
      <c r="A8632" s="422"/>
      <c r="B8632" s="461"/>
    </row>
    <row r="8633" spans="1:2">
      <c r="A8633" s="422"/>
      <c r="B8633" s="461"/>
    </row>
    <row r="8634" spans="1:2">
      <c r="A8634" s="422"/>
      <c r="B8634" s="461"/>
    </row>
    <row r="8635" spans="1:2">
      <c r="A8635" s="422"/>
      <c r="B8635" s="461"/>
    </row>
    <row r="8636" spans="1:2">
      <c r="A8636" s="422"/>
      <c r="B8636" s="461"/>
    </row>
    <row r="8637" spans="1:2">
      <c r="A8637" s="422"/>
      <c r="B8637" s="461"/>
    </row>
    <row r="8638" spans="1:2">
      <c r="A8638" s="422"/>
      <c r="B8638" s="461"/>
    </row>
    <row r="8639" spans="1:2">
      <c r="A8639" s="422"/>
      <c r="B8639" s="461"/>
    </row>
    <row r="8640" spans="1:2">
      <c r="A8640" s="422"/>
      <c r="B8640" s="461"/>
    </row>
    <row r="8641" spans="1:2">
      <c r="A8641" s="422"/>
      <c r="B8641" s="461"/>
    </row>
    <row r="8642" spans="1:2">
      <c r="A8642" s="422"/>
      <c r="B8642" s="461"/>
    </row>
    <row r="8643" spans="1:2">
      <c r="A8643" s="422"/>
      <c r="B8643" s="461"/>
    </row>
    <row r="8644" spans="1:2">
      <c r="A8644" s="422"/>
      <c r="B8644" s="461"/>
    </row>
    <row r="8645" spans="1:2">
      <c r="A8645" s="422"/>
      <c r="B8645" s="461"/>
    </row>
    <row r="8646" spans="1:2">
      <c r="A8646" s="422"/>
      <c r="B8646" s="461"/>
    </row>
    <row r="8647" spans="1:2">
      <c r="A8647" s="422"/>
      <c r="B8647" s="461"/>
    </row>
    <row r="8648" spans="1:2">
      <c r="A8648" s="422"/>
      <c r="B8648" s="461"/>
    </row>
    <row r="8649" spans="1:2">
      <c r="A8649" s="422"/>
      <c r="B8649" s="461"/>
    </row>
    <row r="8650" spans="1:2">
      <c r="A8650" s="422"/>
      <c r="B8650" s="461"/>
    </row>
    <row r="8651" spans="1:2">
      <c r="A8651" s="422"/>
      <c r="B8651" s="461"/>
    </row>
    <row r="8652" spans="1:2">
      <c r="A8652" s="422"/>
      <c r="B8652" s="461"/>
    </row>
    <row r="8653" spans="1:2">
      <c r="A8653" s="422"/>
      <c r="B8653" s="461"/>
    </row>
    <row r="8654" spans="1:2">
      <c r="A8654" s="422"/>
      <c r="B8654" s="461"/>
    </row>
    <row r="8655" spans="1:2">
      <c r="A8655" s="422"/>
      <c r="B8655" s="461"/>
    </row>
    <row r="8656" spans="1:2">
      <c r="A8656" s="422"/>
      <c r="B8656" s="461"/>
    </row>
    <row r="8657" spans="1:2">
      <c r="A8657" s="422"/>
      <c r="B8657" s="461"/>
    </row>
    <row r="8658" spans="1:2">
      <c r="A8658" s="422"/>
      <c r="B8658" s="461"/>
    </row>
    <row r="8659" spans="1:2">
      <c r="A8659" s="422"/>
      <c r="B8659" s="461"/>
    </row>
    <row r="8660" spans="1:2">
      <c r="A8660" s="422"/>
      <c r="B8660" s="461"/>
    </row>
    <row r="8661" spans="1:2">
      <c r="A8661" s="422"/>
      <c r="B8661" s="461"/>
    </row>
    <row r="8662" spans="1:2">
      <c r="A8662" s="422"/>
      <c r="B8662" s="461"/>
    </row>
    <row r="8663" spans="1:2">
      <c r="A8663" s="422"/>
      <c r="B8663" s="461"/>
    </row>
    <row r="8664" spans="1:2">
      <c r="A8664" s="422"/>
      <c r="B8664" s="461"/>
    </row>
    <row r="8665" spans="1:2">
      <c r="A8665" s="422"/>
      <c r="B8665" s="461"/>
    </row>
    <row r="8666" spans="1:2">
      <c r="A8666" s="422"/>
      <c r="B8666" s="461"/>
    </row>
    <row r="8667" spans="1:2">
      <c r="A8667" s="422"/>
      <c r="B8667" s="461"/>
    </row>
    <row r="8668" spans="1:2">
      <c r="A8668" s="422"/>
      <c r="B8668" s="461"/>
    </row>
    <row r="8669" spans="1:2">
      <c r="A8669" s="422"/>
      <c r="B8669" s="461"/>
    </row>
    <row r="8670" spans="1:2">
      <c r="A8670" s="422"/>
      <c r="B8670" s="461"/>
    </row>
    <row r="8671" spans="1:2">
      <c r="A8671" s="422"/>
      <c r="B8671" s="461"/>
    </row>
    <row r="8672" spans="1:2">
      <c r="A8672" s="422"/>
      <c r="B8672" s="461"/>
    </row>
    <row r="8673" spans="1:2">
      <c r="A8673" s="422"/>
      <c r="B8673" s="461"/>
    </row>
    <row r="8674" spans="1:2">
      <c r="A8674" s="422"/>
      <c r="B8674" s="461"/>
    </row>
    <row r="8675" spans="1:2">
      <c r="A8675" s="422"/>
      <c r="B8675" s="461"/>
    </row>
    <row r="8676" spans="1:2">
      <c r="A8676" s="422"/>
      <c r="B8676" s="461"/>
    </row>
    <row r="8677" spans="1:2">
      <c r="A8677" s="422"/>
      <c r="B8677" s="461"/>
    </row>
    <row r="8678" spans="1:2">
      <c r="A8678" s="422"/>
      <c r="B8678" s="461"/>
    </row>
    <row r="8679" spans="1:2">
      <c r="A8679" s="422"/>
      <c r="B8679" s="461"/>
    </row>
    <row r="8680" spans="1:2">
      <c r="A8680" s="422"/>
      <c r="B8680" s="461"/>
    </row>
    <row r="8681" spans="1:2">
      <c r="A8681" s="422"/>
      <c r="B8681" s="461"/>
    </row>
    <row r="8682" spans="1:2">
      <c r="A8682" s="422"/>
      <c r="B8682" s="461"/>
    </row>
    <row r="8683" spans="1:2">
      <c r="A8683" s="422"/>
      <c r="B8683" s="461"/>
    </row>
    <row r="8684" spans="1:2">
      <c r="A8684" s="422"/>
      <c r="B8684" s="461"/>
    </row>
    <row r="8685" spans="1:2">
      <c r="A8685" s="422"/>
      <c r="B8685" s="461"/>
    </row>
    <row r="8686" spans="1:2">
      <c r="A8686" s="422"/>
      <c r="B8686" s="461"/>
    </row>
    <row r="8687" spans="1:2">
      <c r="A8687" s="422"/>
      <c r="B8687" s="461"/>
    </row>
    <row r="8688" spans="1:2">
      <c r="A8688" s="422"/>
      <c r="B8688" s="461"/>
    </row>
    <row r="8689" spans="1:2">
      <c r="A8689" s="422"/>
      <c r="B8689" s="461"/>
    </row>
    <row r="8690" spans="1:2">
      <c r="A8690" s="422"/>
      <c r="B8690" s="461"/>
    </row>
    <row r="8691" spans="1:2">
      <c r="A8691" s="422"/>
      <c r="B8691" s="461"/>
    </row>
    <row r="8692" spans="1:2">
      <c r="A8692" s="422"/>
      <c r="B8692" s="461"/>
    </row>
    <row r="8693" spans="1:2">
      <c r="A8693" s="422"/>
      <c r="B8693" s="461"/>
    </row>
    <row r="8694" spans="1:2">
      <c r="A8694" s="422"/>
      <c r="B8694" s="461"/>
    </row>
    <row r="8695" spans="1:2">
      <c r="A8695" s="422"/>
      <c r="B8695" s="461"/>
    </row>
    <row r="8696" spans="1:2">
      <c r="A8696" s="422"/>
      <c r="B8696" s="461"/>
    </row>
    <row r="8697" spans="1:2">
      <c r="A8697" s="422"/>
      <c r="B8697" s="461"/>
    </row>
    <row r="8698" spans="1:2">
      <c r="A8698" s="422"/>
      <c r="B8698" s="461"/>
    </row>
    <row r="8699" spans="1:2">
      <c r="A8699" s="422"/>
      <c r="B8699" s="461"/>
    </row>
    <row r="8700" spans="1:2">
      <c r="A8700" s="422"/>
      <c r="B8700" s="461"/>
    </row>
    <row r="8701" spans="1:2">
      <c r="A8701" s="422"/>
      <c r="B8701" s="461"/>
    </row>
    <row r="8702" spans="1:2">
      <c r="A8702" s="422"/>
      <c r="B8702" s="461"/>
    </row>
    <row r="8703" spans="1:2">
      <c r="A8703" s="422"/>
      <c r="B8703" s="461"/>
    </row>
    <row r="8704" spans="1:2">
      <c r="A8704" s="422"/>
      <c r="B8704" s="461"/>
    </row>
    <row r="8705" spans="1:2">
      <c r="A8705" s="422"/>
      <c r="B8705" s="461"/>
    </row>
    <row r="8706" spans="1:2">
      <c r="A8706" s="422"/>
      <c r="B8706" s="461"/>
    </row>
    <row r="8707" spans="1:2">
      <c r="A8707" s="422"/>
      <c r="B8707" s="461"/>
    </row>
    <row r="8708" spans="1:2">
      <c r="A8708" s="422"/>
      <c r="B8708" s="461"/>
    </row>
    <row r="8709" spans="1:2">
      <c r="A8709" s="422"/>
      <c r="B8709" s="461"/>
    </row>
    <row r="8710" spans="1:2">
      <c r="A8710" s="422"/>
      <c r="B8710" s="461"/>
    </row>
    <row r="8711" spans="1:2">
      <c r="A8711" s="422"/>
      <c r="B8711" s="461"/>
    </row>
    <row r="8712" spans="1:2">
      <c r="A8712" s="422"/>
      <c r="B8712" s="461"/>
    </row>
    <row r="8713" spans="1:2">
      <c r="A8713" s="422"/>
      <c r="B8713" s="461"/>
    </row>
    <row r="8714" spans="1:2">
      <c r="A8714" s="422"/>
      <c r="B8714" s="461"/>
    </row>
    <row r="8715" spans="1:2">
      <c r="A8715" s="422"/>
      <c r="B8715" s="461"/>
    </row>
    <row r="8716" spans="1:2">
      <c r="A8716" s="422"/>
      <c r="B8716" s="461"/>
    </row>
    <row r="8717" spans="1:2">
      <c r="A8717" s="422"/>
      <c r="B8717" s="461"/>
    </row>
    <row r="8718" spans="1:2">
      <c r="A8718" s="422"/>
      <c r="B8718" s="461"/>
    </row>
    <row r="8719" spans="1:2">
      <c r="A8719" s="422"/>
      <c r="B8719" s="461"/>
    </row>
    <row r="8720" spans="1:2">
      <c r="A8720" s="422"/>
      <c r="B8720" s="461"/>
    </row>
    <row r="8721" spans="1:2">
      <c r="A8721" s="422"/>
      <c r="B8721" s="461"/>
    </row>
    <row r="8722" spans="1:2">
      <c r="A8722" s="422"/>
      <c r="B8722" s="461"/>
    </row>
    <row r="8723" spans="1:2">
      <c r="A8723" s="422"/>
      <c r="B8723" s="461"/>
    </row>
    <row r="8724" spans="1:2">
      <c r="A8724" s="422"/>
      <c r="B8724" s="461"/>
    </row>
    <row r="8725" spans="1:2">
      <c r="A8725" s="422"/>
      <c r="B8725" s="461"/>
    </row>
    <row r="8726" spans="1:2">
      <c r="A8726" s="422"/>
      <c r="B8726" s="461"/>
    </row>
    <row r="8727" spans="1:2">
      <c r="A8727" s="422"/>
      <c r="B8727" s="461"/>
    </row>
    <row r="8728" spans="1:2">
      <c r="A8728" s="422"/>
      <c r="B8728" s="461"/>
    </row>
    <row r="8729" spans="1:2">
      <c r="A8729" s="422"/>
      <c r="B8729" s="461"/>
    </row>
    <row r="8730" spans="1:2">
      <c r="A8730" s="422"/>
      <c r="B8730" s="461"/>
    </row>
    <row r="8731" spans="1:2">
      <c r="A8731" s="422"/>
      <c r="B8731" s="461"/>
    </row>
    <row r="8732" spans="1:2">
      <c r="A8732" s="422"/>
      <c r="B8732" s="461"/>
    </row>
    <row r="8733" spans="1:2">
      <c r="A8733" s="422"/>
      <c r="B8733" s="461"/>
    </row>
    <row r="8734" spans="1:2">
      <c r="A8734" s="422"/>
      <c r="B8734" s="461"/>
    </row>
    <row r="8735" spans="1:2">
      <c r="A8735" s="422"/>
      <c r="B8735" s="461"/>
    </row>
    <row r="8736" spans="1:2">
      <c r="A8736" s="422"/>
      <c r="B8736" s="461"/>
    </row>
    <row r="8737" spans="1:2">
      <c r="A8737" s="422"/>
      <c r="B8737" s="461"/>
    </row>
    <row r="8738" spans="1:2">
      <c r="A8738" s="422"/>
      <c r="B8738" s="461"/>
    </row>
    <row r="8739" spans="1:2">
      <c r="A8739" s="422"/>
      <c r="B8739" s="461"/>
    </row>
    <row r="8740" spans="1:2">
      <c r="A8740" s="422"/>
      <c r="B8740" s="461"/>
    </row>
    <row r="8741" spans="1:2">
      <c r="A8741" s="422"/>
      <c r="B8741" s="461"/>
    </row>
    <row r="8742" spans="1:2">
      <c r="A8742" s="422"/>
      <c r="B8742" s="461"/>
    </row>
    <row r="8743" spans="1:2">
      <c r="A8743" s="422"/>
      <c r="B8743" s="461"/>
    </row>
    <row r="8744" spans="1:2">
      <c r="A8744" s="422"/>
      <c r="B8744" s="461"/>
    </row>
    <row r="8745" spans="1:2">
      <c r="A8745" s="422"/>
      <c r="B8745" s="461"/>
    </row>
    <row r="8746" spans="1:2">
      <c r="A8746" s="422"/>
      <c r="B8746" s="461"/>
    </row>
    <row r="8747" spans="1:2">
      <c r="A8747" s="422"/>
      <c r="B8747" s="461"/>
    </row>
    <row r="8748" spans="1:2">
      <c r="A8748" s="422"/>
      <c r="B8748" s="461"/>
    </row>
    <row r="8749" spans="1:2">
      <c r="A8749" s="422"/>
      <c r="B8749" s="461"/>
    </row>
    <row r="8750" spans="1:2">
      <c r="A8750" s="422"/>
      <c r="B8750" s="461"/>
    </row>
    <row r="8751" spans="1:2">
      <c r="A8751" s="422"/>
      <c r="B8751" s="461"/>
    </row>
    <row r="8752" spans="1:2">
      <c r="A8752" s="422"/>
      <c r="B8752" s="461"/>
    </row>
    <row r="8753" spans="1:2">
      <c r="A8753" s="422"/>
      <c r="B8753" s="461"/>
    </row>
    <row r="8754" spans="1:2">
      <c r="A8754" s="422"/>
      <c r="B8754" s="461"/>
    </row>
    <row r="8755" spans="1:2">
      <c r="A8755" s="422"/>
      <c r="B8755" s="461"/>
    </row>
    <row r="8756" spans="1:2">
      <c r="A8756" s="422"/>
      <c r="B8756" s="461"/>
    </row>
    <row r="8757" spans="1:2">
      <c r="A8757" s="422"/>
      <c r="B8757" s="461"/>
    </row>
    <row r="8758" spans="1:2">
      <c r="A8758" s="422"/>
      <c r="B8758" s="461"/>
    </row>
    <row r="8759" spans="1:2">
      <c r="A8759" s="422"/>
      <c r="B8759" s="461"/>
    </row>
    <row r="8760" spans="1:2">
      <c r="A8760" s="422"/>
      <c r="B8760" s="461"/>
    </row>
    <row r="8761" spans="1:2">
      <c r="A8761" s="422"/>
      <c r="B8761" s="461"/>
    </row>
    <row r="8762" spans="1:2">
      <c r="A8762" s="422"/>
      <c r="B8762" s="461"/>
    </row>
    <row r="8763" spans="1:2">
      <c r="A8763" s="422"/>
      <c r="B8763" s="461"/>
    </row>
    <row r="8764" spans="1:2">
      <c r="A8764" s="422"/>
      <c r="B8764" s="461"/>
    </row>
    <row r="8765" spans="1:2">
      <c r="A8765" s="422"/>
      <c r="B8765" s="461"/>
    </row>
  </sheetData>
  <mergeCells count="10">
    <mergeCell ref="T3:V3"/>
    <mergeCell ref="F6:G6"/>
    <mergeCell ref="F13:G13"/>
    <mergeCell ref="I17:L17"/>
    <mergeCell ref="F28:G28"/>
    <mergeCell ref="I2:L2"/>
    <mergeCell ref="I14:L14"/>
    <mergeCell ref="B19:D19"/>
    <mergeCell ref="F25:G25"/>
    <mergeCell ref="F2:G2"/>
  </mergeCells>
  <dataValidations disablePrompts="1" count="1">
    <dataValidation type="list" allowBlank="1" showInputMessage="1" showErrorMessage="1" sqref="J29 J26" xr:uid="{00000000-0002-0000-0800-000000000000}">
      <formula1>"Fixed Escalation, Utility Linked"</formula1>
    </dataValidation>
  </dataValidations>
  <pageMargins left="0.7" right="0.7" top="0.75" bottom="0.75" header="0.3" footer="0.3"/>
  <pageSetup orientation="portrait" horizontalDpi="4294967293" verticalDpi="4294967293"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FF2980-7B17-490B-9EC2-9917762BFC87}">
  <sheetPr codeName="Sheet36">
    <tabColor rgb="FFFFC000"/>
  </sheetPr>
  <dimension ref="A1:AB8768"/>
  <sheetViews>
    <sheetView topLeftCell="C7" zoomScale="85" zoomScaleNormal="85" workbookViewId="0">
      <selection activeCell="E95" sqref="E95"/>
    </sheetView>
  </sheetViews>
  <sheetFormatPr defaultColWidth="0" defaultRowHeight="13.5"/>
  <cols>
    <col min="1" max="1" width="8.28515625" style="6" customWidth="1"/>
    <col min="2" max="2" width="8.7109375" style="6" customWidth="1"/>
    <col min="3" max="3" width="9.7109375" style="6" customWidth="1"/>
    <col min="4" max="4" width="8.7109375" style="6" bestFit="1" customWidth="1"/>
    <col min="5" max="5" width="39.7109375" style="6" customWidth="1"/>
    <col min="6" max="6" width="24.42578125" style="6" bestFit="1" customWidth="1"/>
    <col min="7" max="7" width="10.28515625" style="6" customWidth="1"/>
    <col min="8" max="8" width="10.140625" style="6" customWidth="1"/>
    <col min="9" max="9" width="15.7109375" style="6" customWidth="1"/>
    <col min="10" max="10" width="8.42578125" style="6" customWidth="1"/>
    <col min="11" max="11" width="11.42578125" style="6" customWidth="1"/>
    <col min="12" max="12" width="8.7109375" style="6" customWidth="1"/>
    <col min="13" max="13" width="8.140625" style="6" customWidth="1"/>
    <col min="14" max="14" width="8.7109375" style="6" bestFit="1" customWidth="1"/>
    <col min="15" max="15" width="13.42578125" style="6" customWidth="1"/>
    <col min="16" max="16" width="12.28515625" style="6" customWidth="1"/>
    <col min="17" max="17" width="30" style="6" customWidth="1"/>
    <col min="18" max="18" width="18.28515625" style="6" customWidth="1"/>
    <col min="19" max="19" width="11.42578125" style="6" customWidth="1"/>
    <col min="20" max="22" width="8.7109375" style="6" customWidth="1"/>
    <col min="23" max="28" width="0" style="6" hidden="1" customWidth="1"/>
    <col min="29" max="16384" width="6.42578125" style="6" hidden="1"/>
  </cols>
  <sheetData>
    <row r="1" spans="1:21" ht="15" thickBot="1">
      <c r="B1" s="1585" t="s">
        <v>626</v>
      </c>
      <c r="C1" s="1586"/>
      <c r="D1" s="1586"/>
      <c r="E1" s="1587"/>
      <c r="F1" s="871"/>
      <c r="G1" s="871"/>
      <c r="H1" s="871"/>
      <c r="O1" s="871"/>
      <c r="P1" s="871"/>
      <c r="Q1" s="871"/>
    </row>
    <row r="2" spans="1:21" ht="14.5">
      <c r="B2" s="421"/>
      <c r="C2" s="421"/>
      <c r="D2" s="421"/>
      <c r="E2" s="421"/>
      <c r="F2" s="871"/>
      <c r="G2" s="871"/>
      <c r="H2" s="871"/>
      <c r="O2" s="871"/>
      <c r="P2" s="871"/>
      <c r="Q2" s="871"/>
    </row>
    <row r="3" spans="1:21" ht="14.5" customHeight="1">
      <c r="A3" s="1593" t="s">
        <v>627</v>
      </c>
      <c r="B3" s="1593"/>
      <c r="C3" s="1593"/>
      <c r="D3" s="1593"/>
      <c r="E3" s="1593"/>
      <c r="F3" s="1593"/>
      <c r="G3" s="1593"/>
      <c r="H3" s="1593"/>
      <c r="I3" s="1593"/>
      <c r="J3" s="1593"/>
      <c r="K3" s="1593"/>
      <c r="L3" s="1593"/>
      <c r="M3" s="1593"/>
      <c r="N3" s="1593"/>
      <c r="O3" s="1593"/>
      <c r="P3" s="1593"/>
      <c r="Q3" s="1593"/>
    </row>
    <row r="4" spans="1:21" ht="15" thickBot="1">
      <c r="D4" s="871"/>
      <c r="E4" s="871"/>
      <c r="F4" s="871"/>
      <c r="G4" s="871"/>
      <c r="H4" s="871"/>
      <c r="L4" s="871"/>
      <c r="O4" s="865" t="s">
        <v>628</v>
      </c>
      <c r="P4" s="866">
        <f>'Costing Inputs'!AF10/('Costing Inputs'!AF16*365)</f>
        <v>5.4794520547945202</v>
      </c>
      <c r="Q4" s="867" t="s">
        <v>629</v>
      </c>
    </row>
    <row r="5" spans="1:21" ht="14.5">
      <c r="A5" s="1588" t="s">
        <v>125</v>
      </c>
      <c r="B5" s="1589"/>
      <c r="C5" s="1589"/>
      <c r="D5" s="1594" t="s">
        <v>630</v>
      </c>
      <c r="E5" s="1595"/>
      <c r="F5" s="1595"/>
      <c r="G5" s="1590" t="s">
        <v>631</v>
      </c>
      <c r="H5" s="1591"/>
      <c r="I5" s="1592"/>
      <c r="J5" s="1590" t="s">
        <v>632</v>
      </c>
      <c r="K5" s="1591"/>
      <c r="L5" s="1592"/>
      <c r="M5" s="1590" t="s">
        <v>633</v>
      </c>
      <c r="N5" s="1591"/>
      <c r="O5" s="1592"/>
      <c r="P5" s="1597" t="s">
        <v>634</v>
      </c>
      <c r="Q5" s="1598"/>
      <c r="U5" s="421"/>
    </row>
    <row r="6" spans="1:21" s="530" customFormat="1" ht="29.5" thickBot="1">
      <c r="A6" s="892" t="s">
        <v>635</v>
      </c>
      <c r="B6" s="893" t="s">
        <v>126</v>
      </c>
      <c r="C6" s="893" t="s">
        <v>127</v>
      </c>
      <c r="D6" s="894" t="s">
        <v>636</v>
      </c>
      <c r="E6" s="895" t="s">
        <v>637</v>
      </c>
      <c r="F6" s="896" t="s">
        <v>638</v>
      </c>
      <c r="G6" s="897" t="s">
        <v>639</v>
      </c>
      <c r="H6" s="895" t="s">
        <v>640</v>
      </c>
      <c r="I6" s="898" t="s">
        <v>641</v>
      </c>
      <c r="J6" s="897" t="s">
        <v>639</v>
      </c>
      <c r="K6" s="895" t="s">
        <v>640</v>
      </c>
      <c r="L6" s="898" t="s">
        <v>641</v>
      </c>
      <c r="M6" s="897" t="s">
        <v>639</v>
      </c>
      <c r="N6" s="895" t="s">
        <v>640</v>
      </c>
      <c r="O6" s="898" t="s">
        <v>641</v>
      </c>
      <c r="P6" s="897" t="s">
        <v>639</v>
      </c>
      <c r="Q6" s="898" t="s">
        <v>641</v>
      </c>
      <c r="R6" s="1596"/>
      <c r="S6" s="1596"/>
      <c r="T6" s="1596"/>
    </row>
    <row r="7" spans="1:21" ht="14.5">
      <c r="A7" s="891" t="s">
        <v>642</v>
      </c>
      <c r="B7" s="891">
        <f>'Design Inputs'!C78</f>
        <v>49340.32</v>
      </c>
      <c r="C7" s="891">
        <f>'Design Inputs'!D78</f>
        <v>84596.543010617708</v>
      </c>
      <c r="D7" s="874">
        <f>'Design Inputs'!D57</f>
        <v>2.39</v>
      </c>
      <c r="E7" s="876">
        <f>'Design Inputs'!F57</f>
        <v>1.5052000000000001</v>
      </c>
      <c r="F7" s="874">
        <f>'Design Inputs'!E57</f>
        <v>1.0658000000000001</v>
      </c>
      <c r="G7" s="883">
        <f>'Costing Inputs'!$V$18*31</f>
        <v>19344</v>
      </c>
      <c r="H7" s="876">
        <f t="shared" ref="H7:H18" si="0">D7-F7</f>
        <v>1.3242</v>
      </c>
      <c r="I7" s="884">
        <f t="shared" ref="I7:I18" si="1">G7*H7</f>
        <v>25615.324800000002</v>
      </c>
      <c r="J7" s="883">
        <f>'Costing Inputs'!$V$18*31</f>
        <v>19344</v>
      </c>
      <c r="K7" s="876">
        <f>D7-E7</f>
        <v>0.88480000000000003</v>
      </c>
      <c r="L7" s="884">
        <f>K7*J7</f>
        <v>17115.571200000002</v>
      </c>
      <c r="M7" s="883">
        <f>'Costing Inputs'!$V$18*31</f>
        <v>19344</v>
      </c>
      <c r="N7" s="876">
        <f>K7</f>
        <v>0.88480000000000003</v>
      </c>
      <c r="O7" s="884">
        <f>N7*M7</f>
        <v>17115.571200000002</v>
      </c>
      <c r="P7" s="883">
        <f>G7+J7+M7</f>
        <v>58032</v>
      </c>
      <c r="Q7" s="884">
        <f>I7+L7+O7</f>
        <v>59846.467200000014</v>
      </c>
    </row>
    <row r="8" spans="1:21" ht="14.5">
      <c r="A8" s="873" t="s">
        <v>643</v>
      </c>
      <c r="B8" s="873">
        <f>'Design Inputs'!C79</f>
        <v>55321.440000000002</v>
      </c>
      <c r="C8" s="873">
        <f>'Design Inputs'!D79</f>
        <v>71688.707399836348</v>
      </c>
      <c r="D8" s="874">
        <f>D7</f>
        <v>2.39</v>
      </c>
      <c r="E8" s="876">
        <f>E7</f>
        <v>1.5052000000000001</v>
      </c>
      <c r="F8" s="874">
        <f>F7</f>
        <v>1.0658000000000001</v>
      </c>
      <c r="G8" s="883">
        <f>'Costing Inputs'!$V$18*28</f>
        <v>17472</v>
      </c>
      <c r="H8" s="876">
        <f t="shared" si="0"/>
        <v>1.3242</v>
      </c>
      <c r="I8" s="884">
        <f t="shared" si="1"/>
        <v>23136.422399999999</v>
      </c>
      <c r="J8" s="883">
        <f>'Costing Inputs'!$V$18*28</f>
        <v>17472</v>
      </c>
      <c r="K8" s="876">
        <f t="shared" ref="K8:K18" si="2">D8-E8</f>
        <v>0.88480000000000003</v>
      </c>
      <c r="L8" s="884">
        <f t="shared" ref="L8:L18" si="3">K8*J8</f>
        <v>15459.2256</v>
      </c>
      <c r="M8" s="883">
        <f>'Costing Inputs'!$V$18*28</f>
        <v>17472</v>
      </c>
      <c r="N8" s="875">
        <f t="shared" ref="N8:N18" si="4">K8</f>
        <v>0.88480000000000003</v>
      </c>
      <c r="O8" s="884">
        <f t="shared" ref="O8:O18" si="5">N8*M8</f>
        <v>15459.2256</v>
      </c>
      <c r="P8" s="883">
        <f t="shared" ref="P8:P18" si="6">G8+J8+M8</f>
        <v>52416</v>
      </c>
      <c r="Q8" s="884">
        <f t="shared" ref="Q8:Q18" si="7">I8+L8+O8</f>
        <v>54054.873599999999</v>
      </c>
    </row>
    <row r="9" spans="1:21" ht="14.5">
      <c r="A9" s="873" t="s">
        <v>644</v>
      </c>
      <c r="B9" s="873">
        <f>'Design Inputs'!C80</f>
        <v>50704.32</v>
      </c>
      <c r="C9" s="873">
        <f>'Design Inputs'!D80</f>
        <v>72499.688659293955</v>
      </c>
      <c r="D9" s="874">
        <f t="shared" ref="D9:F11" si="8">D8</f>
        <v>2.39</v>
      </c>
      <c r="E9" s="876">
        <f t="shared" si="8"/>
        <v>1.5052000000000001</v>
      </c>
      <c r="F9" s="874">
        <f t="shared" si="8"/>
        <v>1.0658000000000001</v>
      </c>
      <c r="G9" s="883">
        <f>'Costing Inputs'!$V$18*31</f>
        <v>19344</v>
      </c>
      <c r="H9" s="876">
        <f t="shared" si="0"/>
        <v>1.3242</v>
      </c>
      <c r="I9" s="884">
        <f t="shared" si="1"/>
        <v>25615.324800000002</v>
      </c>
      <c r="J9" s="883">
        <f>'Costing Inputs'!$V$18*31</f>
        <v>19344</v>
      </c>
      <c r="K9" s="876">
        <f t="shared" si="2"/>
        <v>0.88480000000000003</v>
      </c>
      <c r="L9" s="884">
        <f t="shared" si="3"/>
        <v>17115.571200000002</v>
      </c>
      <c r="M9" s="883">
        <f>'Costing Inputs'!$V$18*31</f>
        <v>19344</v>
      </c>
      <c r="N9" s="875">
        <f t="shared" si="4"/>
        <v>0.88480000000000003</v>
      </c>
      <c r="O9" s="884">
        <f t="shared" si="5"/>
        <v>17115.571200000002</v>
      </c>
      <c r="P9" s="883">
        <f t="shared" si="6"/>
        <v>58032</v>
      </c>
      <c r="Q9" s="884">
        <f t="shared" si="7"/>
        <v>59846.467200000014</v>
      </c>
    </row>
    <row r="10" spans="1:21" ht="14.5">
      <c r="A10" s="873" t="s">
        <v>645</v>
      </c>
      <c r="B10" s="873">
        <f>'Design Inputs'!C81</f>
        <v>48446.400000000001</v>
      </c>
      <c r="C10" s="873">
        <f>'Design Inputs'!D81</f>
        <v>59931.175751214534</v>
      </c>
      <c r="D10" s="874">
        <f t="shared" si="8"/>
        <v>2.39</v>
      </c>
      <c r="E10" s="876">
        <f t="shared" si="8"/>
        <v>1.5052000000000001</v>
      </c>
      <c r="F10" s="874">
        <f t="shared" si="8"/>
        <v>1.0658000000000001</v>
      </c>
      <c r="G10" s="883">
        <f>'Costing Inputs'!$V$18*30</f>
        <v>18720</v>
      </c>
      <c r="H10" s="876">
        <f t="shared" si="0"/>
        <v>1.3242</v>
      </c>
      <c r="I10" s="884">
        <f t="shared" si="1"/>
        <v>24789.024000000001</v>
      </c>
      <c r="J10" s="883">
        <f>'Costing Inputs'!$V$18*30</f>
        <v>18720</v>
      </c>
      <c r="K10" s="876">
        <f t="shared" si="2"/>
        <v>0.88480000000000003</v>
      </c>
      <c r="L10" s="884">
        <f t="shared" si="3"/>
        <v>16563.456000000002</v>
      </c>
      <c r="M10" s="883">
        <f>'Costing Inputs'!$V$18*30</f>
        <v>18720</v>
      </c>
      <c r="N10" s="875">
        <f t="shared" si="4"/>
        <v>0.88480000000000003</v>
      </c>
      <c r="O10" s="884">
        <f t="shared" si="5"/>
        <v>16563.456000000002</v>
      </c>
      <c r="P10" s="883">
        <f t="shared" si="6"/>
        <v>56160</v>
      </c>
      <c r="Q10" s="884">
        <f t="shared" si="7"/>
        <v>57915.936000000002</v>
      </c>
    </row>
    <row r="11" spans="1:21" ht="14.5">
      <c r="A11" s="873" t="s">
        <v>49</v>
      </c>
      <c r="B11" s="873">
        <f>'Design Inputs'!C82</f>
        <v>50376.480000000003</v>
      </c>
      <c r="C11" s="873">
        <f>'Design Inputs'!D82</f>
        <v>56619.386172843719</v>
      </c>
      <c r="D11" s="874">
        <f t="shared" si="8"/>
        <v>2.39</v>
      </c>
      <c r="E11" s="876">
        <f t="shared" si="8"/>
        <v>1.5052000000000001</v>
      </c>
      <c r="F11" s="874">
        <f t="shared" si="8"/>
        <v>1.0658000000000001</v>
      </c>
      <c r="G11" s="883">
        <f>'Costing Inputs'!$V$18*31</f>
        <v>19344</v>
      </c>
      <c r="H11" s="876">
        <f t="shared" si="0"/>
        <v>1.3242</v>
      </c>
      <c r="I11" s="884">
        <f t="shared" si="1"/>
        <v>25615.324800000002</v>
      </c>
      <c r="J11" s="883">
        <f>'Costing Inputs'!$V$18*31</f>
        <v>19344</v>
      </c>
      <c r="K11" s="876">
        <f t="shared" si="2"/>
        <v>0.88480000000000003</v>
      </c>
      <c r="L11" s="884">
        <f t="shared" si="3"/>
        <v>17115.571200000002</v>
      </c>
      <c r="M11" s="883">
        <f>'Costing Inputs'!$V$18*31</f>
        <v>19344</v>
      </c>
      <c r="N11" s="875">
        <f t="shared" si="4"/>
        <v>0.88480000000000003</v>
      </c>
      <c r="O11" s="884">
        <f t="shared" si="5"/>
        <v>17115.571200000002</v>
      </c>
      <c r="P11" s="883">
        <f t="shared" si="6"/>
        <v>58032</v>
      </c>
      <c r="Q11" s="884">
        <f t="shared" si="7"/>
        <v>59846.467200000014</v>
      </c>
    </row>
    <row r="12" spans="1:21" ht="14.5">
      <c r="A12" s="879" t="s">
        <v>646</v>
      </c>
      <c r="B12" s="879">
        <f>'Design Inputs'!C83</f>
        <v>52984</v>
      </c>
      <c r="C12" s="879">
        <f>'Design Inputs'!D83</f>
        <v>50535.330113398151</v>
      </c>
      <c r="D12" s="880">
        <f>'Design Inputs'!D58</f>
        <v>5.8186999999999998</v>
      </c>
      <c r="E12" s="881">
        <f>'Design Inputs'!F58</f>
        <v>2.23</v>
      </c>
      <c r="F12" s="880">
        <f>'Design Inputs'!E58</f>
        <v>1.27</v>
      </c>
      <c r="G12" s="885">
        <f>'Costing Inputs'!$V$18*30</f>
        <v>18720</v>
      </c>
      <c r="H12" s="881">
        <f t="shared" si="0"/>
        <v>4.5487000000000002</v>
      </c>
      <c r="I12" s="886">
        <f t="shared" si="1"/>
        <v>85151.664000000004</v>
      </c>
      <c r="J12" s="885">
        <f>'Costing Inputs'!$V$18*30</f>
        <v>18720</v>
      </c>
      <c r="K12" s="881">
        <f t="shared" si="2"/>
        <v>3.5886999999999998</v>
      </c>
      <c r="L12" s="886">
        <f t="shared" si="3"/>
        <v>67180.463999999993</v>
      </c>
      <c r="M12" s="885">
        <f>'Costing Inputs'!$V$18*30</f>
        <v>18720</v>
      </c>
      <c r="N12" s="881">
        <f t="shared" si="4"/>
        <v>3.5886999999999998</v>
      </c>
      <c r="O12" s="886">
        <f t="shared" si="5"/>
        <v>67180.463999999993</v>
      </c>
      <c r="P12" s="885">
        <f t="shared" si="6"/>
        <v>56160</v>
      </c>
      <c r="Q12" s="886">
        <f t="shared" si="7"/>
        <v>219512.592</v>
      </c>
    </row>
    <row r="13" spans="1:21" ht="14.5">
      <c r="A13" s="879" t="s">
        <v>647</v>
      </c>
      <c r="B13" s="879">
        <f>'Design Inputs'!C84</f>
        <v>51941.919999999998</v>
      </c>
      <c r="C13" s="879">
        <f>'Design Inputs'!D84</f>
        <v>56174.873432304194</v>
      </c>
      <c r="D13" s="880">
        <f t="shared" ref="D13:F14" si="9">D12</f>
        <v>5.8186999999999998</v>
      </c>
      <c r="E13" s="880">
        <f t="shared" si="9"/>
        <v>2.23</v>
      </c>
      <c r="F13" s="880">
        <f t="shared" si="9"/>
        <v>1.27</v>
      </c>
      <c r="G13" s="885">
        <f>'Costing Inputs'!$V$18*31</f>
        <v>19344</v>
      </c>
      <c r="H13" s="881">
        <f t="shared" si="0"/>
        <v>4.5487000000000002</v>
      </c>
      <c r="I13" s="886">
        <f t="shared" si="1"/>
        <v>87990.052800000005</v>
      </c>
      <c r="J13" s="885">
        <f>'Costing Inputs'!$V$18*31</f>
        <v>19344</v>
      </c>
      <c r="K13" s="881">
        <f t="shared" si="2"/>
        <v>3.5886999999999998</v>
      </c>
      <c r="L13" s="886">
        <f t="shared" si="3"/>
        <v>69419.8128</v>
      </c>
      <c r="M13" s="885">
        <f>'Costing Inputs'!$V$18*31</f>
        <v>19344</v>
      </c>
      <c r="N13" s="881">
        <f t="shared" si="4"/>
        <v>3.5886999999999998</v>
      </c>
      <c r="O13" s="886">
        <f t="shared" si="5"/>
        <v>69419.8128</v>
      </c>
      <c r="P13" s="885">
        <f t="shared" si="6"/>
        <v>58032</v>
      </c>
      <c r="Q13" s="886">
        <f t="shared" si="7"/>
        <v>226829.67840000003</v>
      </c>
    </row>
    <row r="14" spans="1:21" ht="14.5">
      <c r="A14" s="879" t="s">
        <v>648</v>
      </c>
      <c r="B14" s="879">
        <f>'Design Inputs'!C85</f>
        <v>57959.839999999997</v>
      </c>
      <c r="C14" s="879">
        <f>'Design Inputs'!D85</f>
        <v>65930.401134984641</v>
      </c>
      <c r="D14" s="880">
        <f t="shared" si="9"/>
        <v>5.8186999999999998</v>
      </c>
      <c r="E14" s="880">
        <f t="shared" si="9"/>
        <v>2.23</v>
      </c>
      <c r="F14" s="880">
        <f t="shared" si="9"/>
        <v>1.27</v>
      </c>
      <c r="G14" s="885">
        <f>'Costing Inputs'!$V$18*31</f>
        <v>19344</v>
      </c>
      <c r="H14" s="881">
        <f t="shared" si="0"/>
        <v>4.5487000000000002</v>
      </c>
      <c r="I14" s="886">
        <f t="shared" si="1"/>
        <v>87990.052800000005</v>
      </c>
      <c r="J14" s="885">
        <f>'Costing Inputs'!$V$18*31</f>
        <v>19344</v>
      </c>
      <c r="K14" s="881">
        <f t="shared" si="2"/>
        <v>3.5886999999999998</v>
      </c>
      <c r="L14" s="886">
        <f t="shared" si="3"/>
        <v>69419.8128</v>
      </c>
      <c r="M14" s="885">
        <f>'Costing Inputs'!$V$18*31</f>
        <v>19344</v>
      </c>
      <c r="N14" s="881">
        <f t="shared" si="4"/>
        <v>3.5886999999999998</v>
      </c>
      <c r="O14" s="886">
        <f t="shared" si="5"/>
        <v>69419.8128</v>
      </c>
      <c r="P14" s="885">
        <f t="shared" si="6"/>
        <v>58032</v>
      </c>
      <c r="Q14" s="886">
        <f t="shared" si="7"/>
        <v>226829.67840000003</v>
      </c>
    </row>
    <row r="15" spans="1:21" ht="14.5">
      <c r="A15" s="873" t="s">
        <v>649</v>
      </c>
      <c r="B15" s="873">
        <f>'Design Inputs'!C86</f>
        <v>50066.879999999997</v>
      </c>
      <c r="C15" s="873">
        <f>'Design Inputs'!D86</f>
        <v>73795.901383615332</v>
      </c>
      <c r="D15" s="874">
        <f>D7</f>
        <v>2.39</v>
      </c>
      <c r="E15" s="876">
        <f>E7</f>
        <v>1.5052000000000001</v>
      </c>
      <c r="F15" s="874">
        <f>F7</f>
        <v>1.0658000000000001</v>
      </c>
      <c r="G15" s="883">
        <f>'Costing Inputs'!$V$18*30</f>
        <v>18720</v>
      </c>
      <c r="H15" s="876">
        <f t="shared" si="0"/>
        <v>1.3242</v>
      </c>
      <c r="I15" s="884">
        <f t="shared" si="1"/>
        <v>24789.024000000001</v>
      </c>
      <c r="J15" s="883">
        <f>'Costing Inputs'!$V$18*30</f>
        <v>18720</v>
      </c>
      <c r="K15" s="876">
        <f t="shared" si="2"/>
        <v>0.88480000000000003</v>
      </c>
      <c r="L15" s="884">
        <f t="shared" si="3"/>
        <v>16563.456000000002</v>
      </c>
      <c r="M15" s="883">
        <f>'Costing Inputs'!$V$18*30</f>
        <v>18720</v>
      </c>
      <c r="N15" s="875">
        <f t="shared" si="4"/>
        <v>0.88480000000000003</v>
      </c>
      <c r="O15" s="884">
        <f t="shared" si="5"/>
        <v>16563.456000000002</v>
      </c>
      <c r="P15" s="883">
        <f t="shared" si="6"/>
        <v>56160</v>
      </c>
      <c r="Q15" s="884">
        <f t="shared" si="7"/>
        <v>57915.936000000002</v>
      </c>
    </row>
    <row r="16" spans="1:21" ht="14.5">
      <c r="A16" s="873" t="s">
        <v>650</v>
      </c>
      <c r="B16" s="873">
        <f>'Design Inputs'!C87</f>
        <v>44910.080000000002</v>
      </c>
      <c r="C16" s="873">
        <f>'Design Inputs'!D87</f>
        <v>80694.331929545515</v>
      </c>
      <c r="D16" s="874">
        <f t="shared" ref="D16:F18" si="10">D8</f>
        <v>2.39</v>
      </c>
      <c r="E16" s="876">
        <f t="shared" si="10"/>
        <v>1.5052000000000001</v>
      </c>
      <c r="F16" s="874">
        <f t="shared" si="10"/>
        <v>1.0658000000000001</v>
      </c>
      <c r="G16" s="883">
        <f>'Costing Inputs'!$V$18*31</f>
        <v>19344</v>
      </c>
      <c r="H16" s="876">
        <f t="shared" si="0"/>
        <v>1.3242</v>
      </c>
      <c r="I16" s="884">
        <f t="shared" si="1"/>
        <v>25615.324800000002</v>
      </c>
      <c r="J16" s="883">
        <f>'Costing Inputs'!$V$18*31</f>
        <v>19344</v>
      </c>
      <c r="K16" s="876">
        <f t="shared" si="2"/>
        <v>0.88480000000000003</v>
      </c>
      <c r="L16" s="884">
        <f t="shared" si="3"/>
        <v>17115.571200000002</v>
      </c>
      <c r="M16" s="883">
        <f>'Costing Inputs'!$V$18*31</f>
        <v>19344</v>
      </c>
      <c r="N16" s="875">
        <f t="shared" si="4"/>
        <v>0.88480000000000003</v>
      </c>
      <c r="O16" s="884">
        <f t="shared" si="5"/>
        <v>17115.571200000002</v>
      </c>
      <c r="P16" s="883">
        <f t="shared" si="6"/>
        <v>58032</v>
      </c>
      <c r="Q16" s="884">
        <f t="shared" si="7"/>
        <v>59846.467200000014</v>
      </c>
    </row>
    <row r="17" spans="1:17" ht="14.5">
      <c r="A17" s="873" t="s">
        <v>651</v>
      </c>
      <c r="B17" s="873">
        <f>'Design Inputs'!C88</f>
        <v>51417.120000000003</v>
      </c>
      <c r="C17" s="873">
        <f>'Design Inputs'!D88</f>
        <v>82587.752610622279</v>
      </c>
      <c r="D17" s="874">
        <f t="shared" si="10"/>
        <v>2.39</v>
      </c>
      <c r="E17" s="876">
        <f t="shared" si="10"/>
        <v>1.5052000000000001</v>
      </c>
      <c r="F17" s="874">
        <f t="shared" si="10"/>
        <v>1.0658000000000001</v>
      </c>
      <c r="G17" s="883">
        <f>'Costing Inputs'!$V$18*30</f>
        <v>18720</v>
      </c>
      <c r="H17" s="876">
        <f t="shared" si="0"/>
        <v>1.3242</v>
      </c>
      <c r="I17" s="884">
        <f t="shared" si="1"/>
        <v>24789.024000000001</v>
      </c>
      <c r="J17" s="883">
        <f>'Costing Inputs'!$V$18*30</f>
        <v>18720</v>
      </c>
      <c r="K17" s="876">
        <f t="shared" si="2"/>
        <v>0.88480000000000003</v>
      </c>
      <c r="L17" s="884">
        <f t="shared" si="3"/>
        <v>16563.456000000002</v>
      </c>
      <c r="M17" s="883">
        <f>'Costing Inputs'!$V$18*30</f>
        <v>18720</v>
      </c>
      <c r="N17" s="875">
        <f t="shared" si="4"/>
        <v>0.88480000000000003</v>
      </c>
      <c r="O17" s="884">
        <f t="shared" si="5"/>
        <v>16563.456000000002</v>
      </c>
      <c r="P17" s="883">
        <f t="shared" si="6"/>
        <v>56160</v>
      </c>
      <c r="Q17" s="884">
        <f t="shared" si="7"/>
        <v>57915.936000000002</v>
      </c>
    </row>
    <row r="18" spans="1:17" ht="15" thickBot="1">
      <c r="A18" s="873" t="s">
        <v>652</v>
      </c>
      <c r="B18" s="873">
        <f>'Design Inputs'!C89</f>
        <v>42398.879999999997</v>
      </c>
      <c r="C18" s="873">
        <f>'Design Inputs'!D89</f>
        <v>88318.913059257844</v>
      </c>
      <c r="D18" s="877">
        <f t="shared" si="10"/>
        <v>2.39</v>
      </c>
      <c r="E18" s="878">
        <f t="shared" si="10"/>
        <v>1.5052000000000001</v>
      </c>
      <c r="F18" s="877">
        <f t="shared" si="10"/>
        <v>1.0658000000000001</v>
      </c>
      <c r="G18" s="887">
        <f>'Costing Inputs'!$V$18*31</f>
        <v>19344</v>
      </c>
      <c r="H18" s="888">
        <f t="shared" si="0"/>
        <v>1.3242</v>
      </c>
      <c r="I18" s="889">
        <f t="shared" si="1"/>
        <v>25615.324800000002</v>
      </c>
      <c r="J18" s="887">
        <f>'Costing Inputs'!$V$18*31</f>
        <v>19344</v>
      </c>
      <c r="K18" s="888">
        <f t="shared" si="2"/>
        <v>0.88480000000000003</v>
      </c>
      <c r="L18" s="889">
        <f t="shared" si="3"/>
        <v>17115.571200000002</v>
      </c>
      <c r="M18" s="887">
        <f>'Costing Inputs'!$V$18*31</f>
        <v>19344</v>
      </c>
      <c r="N18" s="890">
        <f t="shared" si="4"/>
        <v>0.88480000000000003</v>
      </c>
      <c r="O18" s="889">
        <f t="shared" si="5"/>
        <v>17115.571200000002</v>
      </c>
      <c r="P18" s="887">
        <f t="shared" si="6"/>
        <v>58032</v>
      </c>
      <c r="Q18" s="889">
        <f t="shared" si="7"/>
        <v>59846.467200000014</v>
      </c>
    </row>
    <row r="19" spans="1:17" ht="14.5">
      <c r="B19" s="499"/>
      <c r="C19" s="500"/>
      <c r="D19" s="871"/>
      <c r="E19" s="871"/>
      <c r="F19" s="871"/>
      <c r="G19" s="117"/>
      <c r="H19" s="117"/>
      <c r="I19" s="117"/>
      <c r="J19" s="117"/>
      <c r="K19" s="117"/>
      <c r="L19" s="117"/>
      <c r="M19" s="117"/>
      <c r="N19" s="117"/>
      <c r="O19" s="117"/>
      <c r="P19" s="871"/>
      <c r="Q19" s="871"/>
    </row>
    <row r="20" spans="1:17" ht="14.5">
      <c r="B20" s="498">
        <f>SUM(B7:B18)</f>
        <v>605867.68000000005</v>
      </c>
      <c r="C20" s="501">
        <f>SUM(C7:C18)</f>
        <v>843373.00465753418</v>
      </c>
      <c r="D20" s="871"/>
      <c r="E20" s="871"/>
      <c r="F20" s="871"/>
      <c r="G20" s="868">
        <f>SUM(G7:G18)</f>
        <v>227760</v>
      </c>
      <c r="H20" s="869">
        <f>I20/G20</f>
        <v>2.1369506849315067</v>
      </c>
      <c r="I20" s="870">
        <f>SUM(I7:I18)</f>
        <v>486711.88799999998</v>
      </c>
      <c r="J20" s="868">
        <f>SUM(J7:J18)</f>
        <v>227760</v>
      </c>
      <c r="K20" s="869">
        <f>L20/J20</f>
        <v>1.5663309589041099</v>
      </c>
      <c r="L20" s="870">
        <f>SUM(L7:L18)</f>
        <v>356747.53920000006</v>
      </c>
      <c r="M20" s="868">
        <f>SUM(M7:M18)</f>
        <v>227760</v>
      </c>
      <c r="N20" s="869">
        <f>O20/M20</f>
        <v>1.5663309589041099</v>
      </c>
      <c r="O20" s="870">
        <f>SUM(O7:O18)</f>
        <v>356747.53920000006</v>
      </c>
      <c r="P20" s="868">
        <f>SUM(P7:P18)</f>
        <v>683280</v>
      </c>
      <c r="Q20" s="882">
        <f>IF(Cashflows!C7=0,0,IF(Cashflows!C7=1,'4.4 BESS Data'!I20,IF(Cashflows!C7=2,SUM('4.4 BESS Data'!I20,'4.4 BESS Data'!L20),SUM('4.4 BESS Data'!I20,'4.4 BESS Data'!L20,'4.4 BESS Data'!O20))))</f>
        <v>843459.42720000003</v>
      </c>
    </row>
    <row r="21" spans="1:17">
      <c r="B21" s="422"/>
    </row>
    <row r="22" spans="1:17">
      <c r="A22" s="1593" t="s">
        <v>653</v>
      </c>
      <c r="B22" s="1593"/>
      <c r="C22" s="1593"/>
      <c r="D22" s="1593"/>
      <c r="E22" s="1593"/>
      <c r="F22" s="1593"/>
      <c r="G22" s="1593"/>
      <c r="H22" s="1593"/>
      <c r="I22" s="1593"/>
      <c r="J22" s="1593"/>
      <c r="K22" s="1593"/>
      <c r="L22" s="1593"/>
      <c r="M22" s="1593"/>
      <c r="N22" s="1593"/>
      <c r="O22" s="1593"/>
      <c r="P22" s="1593"/>
      <c r="Q22" s="1593"/>
    </row>
    <row r="23" spans="1:17" ht="29.5" thickBot="1">
      <c r="A23" s="892" t="s">
        <v>635</v>
      </c>
      <c r="B23" s="893" t="s">
        <v>654</v>
      </c>
      <c r="C23" s="893" t="s">
        <v>655</v>
      </c>
      <c r="E23" s="900" t="s">
        <v>979</v>
      </c>
      <c r="F23" s="900" t="s">
        <v>656</v>
      </c>
      <c r="G23" s="900"/>
      <c r="H23" s="900" t="s">
        <v>657</v>
      </c>
      <c r="I23" s="900" t="s">
        <v>658</v>
      </c>
      <c r="J23" s="900"/>
    </row>
    <row r="24" spans="1:17" ht="14.5">
      <c r="A24" s="891" t="s">
        <v>642</v>
      </c>
      <c r="B24" s="891">
        <f>'Design Inputs'!I22</f>
        <v>175.74600000000001</v>
      </c>
      <c r="C24" s="899">
        <f>'Design Inputs'!$D$61*'4.4 BESS Data'!B24</f>
        <v>41300.310000000005</v>
      </c>
      <c r="E24" s="891">
        <f>B24-('Costing Inputs'!$V$17/'Design Inputs'!$L$22)</f>
        <v>144.49600000000001</v>
      </c>
      <c r="F24" s="891">
        <f>B24-('Costing Inputs'!$V$17/(AVERAGE(2,'Design Inputs'!$L$22)))</f>
        <v>125.74600000000001</v>
      </c>
      <c r="G24" s="891">
        <f>B24-('Costing Inputs'!$V$17/2)</f>
        <v>50.746000000000009</v>
      </c>
      <c r="H24" s="901">
        <v>0.8</v>
      </c>
      <c r="I24" s="899">
        <f>'Design Inputs'!$D$61*('4.4 BESS Data'!B24-MAX(E24:G24))*H24</f>
        <v>5875</v>
      </c>
      <c r="J24" s="891"/>
    </row>
    <row r="25" spans="1:17" ht="14.5">
      <c r="A25" s="873" t="s">
        <v>643</v>
      </c>
      <c r="B25" s="891">
        <f>'Design Inputs'!I23</f>
        <v>189.46199999999999</v>
      </c>
      <c r="C25" s="899">
        <f>'Design Inputs'!$D$61*'4.4 BESS Data'!B25</f>
        <v>44523.57</v>
      </c>
      <c r="E25" s="891">
        <f>B25-('Costing Inputs'!$V$17/'Design Inputs'!$L$22)</f>
        <v>158.21199999999999</v>
      </c>
      <c r="F25" s="891">
        <f>B25-('Costing Inputs'!$V$17/(AVERAGE(2,'Design Inputs'!$L$22)))</f>
        <v>139.46199999999999</v>
      </c>
      <c r="G25" s="891">
        <f>B25-('Costing Inputs'!$V$17/2)</f>
        <v>64.461999999999989</v>
      </c>
      <c r="H25" s="901">
        <v>0.8</v>
      </c>
      <c r="I25" s="899">
        <f>'Design Inputs'!$D$61*('4.4 BESS Data'!B25-MAX(E25:G25))*H25</f>
        <v>5875</v>
      </c>
      <c r="J25" s="891"/>
    </row>
    <row r="26" spans="1:17" ht="14.5">
      <c r="A26" s="873" t="s">
        <v>644</v>
      </c>
      <c r="B26" s="891">
        <f>'Design Inputs'!I24</f>
        <v>189.44</v>
      </c>
      <c r="C26" s="899">
        <f>'Design Inputs'!$D$61*'4.4 BESS Data'!B26</f>
        <v>44518.400000000001</v>
      </c>
      <c r="E26" s="891">
        <f>B26-('Costing Inputs'!$V$17/'Design Inputs'!$L$22)</f>
        <v>158.19</v>
      </c>
      <c r="F26" s="891">
        <f>B26-('Costing Inputs'!$V$17/(AVERAGE(2,'Design Inputs'!$L$22)))</f>
        <v>139.44</v>
      </c>
      <c r="G26" s="891">
        <f>B26-('Costing Inputs'!$V$17/2)</f>
        <v>64.44</v>
      </c>
      <c r="H26" s="901">
        <v>0.8</v>
      </c>
      <c r="I26" s="899">
        <f>'Design Inputs'!$D$61*('4.4 BESS Data'!B26-MAX(E26:G26))*H26</f>
        <v>5875</v>
      </c>
      <c r="J26" s="891"/>
    </row>
    <row r="27" spans="1:17" ht="14.5">
      <c r="A27" s="873" t="s">
        <v>645</v>
      </c>
      <c r="B27" s="891">
        <f>'Design Inputs'!I25</f>
        <v>186.762</v>
      </c>
      <c r="C27" s="899">
        <f>'Design Inputs'!$D$61*'4.4 BESS Data'!B27</f>
        <v>43889.07</v>
      </c>
      <c r="E27" s="891">
        <f>B27-('Costing Inputs'!$V$17/'Design Inputs'!$L$22)</f>
        <v>155.512</v>
      </c>
      <c r="F27" s="891">
        <f>B27-('Costing Inputs'!$V$17/(AVERAGE(2,'Design Inputs'!$L$22)))</f>
        <v>136.762</v>
      </c>
      <c r="G27" s="891">
        <f>B27-('Costing Inputs'!$V$17/2)</f>
        <v>61.762</v>
      </c>
      <c r="H27" s="901">
        <v>0.8</v>
      </c>
      <c r="I27" s="899">
        <f>'Design Inputs'!$D$61*('4.4 BESS Data'!B27-MAX(E27:G27))*H27</f>
        <v>5875</v>
      </c>
      <c r="J27" s="891"/>
    </row>
    <row r="28" spans="1:17" ht="14.5">
      <c r="A28" s="873" t="s">
        <v>49</v>
      </c>
      <c r="B28" s="891">
        <f>'Design Inputs'!I26</f>
        <v>189.184</v>
      </c>
      <c r="C28" s="899">
        <f>'Design Inputs'!$D$61*'4.4 BESS Data'!B28</f>
        <v>44458.239999999998</v>
      </c>
      <c r="E28" s="891">
        <f>B28-('Costing Inputs'!$V$17/'Design Inputs'!$L$22)</f>
        <v>157.934</v>
      </c>
      <c r="F28" s="891">
        <f>B28-('Costing Inputs'!$V$17/(AVERAGE(2,'Design Inputs'!$L$22)))</f>
        <v>139.184</v>
      </c>
      <c r="G28" s="891">
        <f>B28-('Costing Inputs'!$V$17/2)</f>
        <v>64.183999999999997</v>
      </c>
      <c r="H28" s="901">
        <v>0.8</v>
      </c>
      <c r="I28" s="899">
        <f>'Design Inputs'!$D$61*('4.4 BESS Data'!B28-MAX(E28:G28))*H28</f>
        <v>5875</v>
      </c>
      <c r="J28" s="891"/>
    </row>
    <row r="29" spans="1:17" ht="14.5">
      <c r="A29" s="879" t="s">
        <v>646</v>
      </c>
      <c r="B29" s="891">
        <f>'Design Inputs'!I27</f>
        <v>187.29</v>
      </c>
      <c r="C29" s="899">
        <f>'Design Inputs'!$D$61*'4.4 BESS Data'!B29</f>
        <v>44013.15</v>
      </c>
      <c r="E29" s="891">
        <f>B29-('Costing Inputs'!$V$17/'Design Inputs'!$L$22)</f>
        <v>156.04</v>
      </c>
      <c r="F29" s="891">
        <f>B29-('Costing Inputs'!$V$17/(AVERAGE(2,'Design Inputs'!$L$22)))</f>
        <v>137.29</v>
      </c>
      <c r="G29" s="891">
        <f>B29-('Costing Inputs'!$V$17/2)</f>
        <v>62.289999999999992</v>
      </c>
      <c r="H29" s="901">
        <v>0.8</v>
      </c>
      <c r="I29" s="899">
        <f>'Design Inputs'!$D$61*('4.4 BESS Data'!B29-MAX(E29:G29))*H29</f>
        <v>5875</v>
      </c>
      <c r="J29" s="891"/>
    </row>
    <row r="30" spans="1:17" ht="14.5">
      <c r="A30" s="879" t="s">
        <v>647</v>
      </c>
      <c r="B30" s="891">
        <f>'Design Inputs'!I28</f>
        <v>123.995</v>
      </c>
      <c r="C30" s="899">
        <f>'Design Inputs'!$D$61*'4.4 BESS Data'!B30</f>
        <v>29138.825000000001</v>
      </c>
      <c r="E30" s="891">
        <f>B30-('Costing Inputs'!$V$17/'Design Inputs'!$L$22)</f>
        <v>92.745000000000005</v>
      </c>
      <c r="F30" s="891">
        <f>B30-('Costing Inputs'!$V$17/(AVERAGE(2,'Design Inputs'!$L$22)))</f>
        <v>73.995000000000005</v>
      </c>
      <c r="G30" s="891">
        <f>B30-('Costing Inputs'!$V$17/2)</f>
        <v>-1.0049999999999955</v>
      </c>
      <c r="H30" s="901">
        <v>0.8</v>
      </c>
      <c r="I30" s="899">
        <f>'Design Inputs'!$D$61*('4.4 BESS Data'!B30-MAX(E30:G30))*H30</f>
        <v>5875</v>
      </c>
      <c r="J30" s="891"/>
    </row>
    <row r="31" spans="1:17" ht="14.5">
      <c r="A31" s="879" t="s">
        <v>648</v>
      </c>
      <c r="B31" s="891">
        <f>'Design Inputs'!I29</f>
        <v>190.136</v>
      </c>
      <c r="C31" s="899">
        <f>'Design Inputs'!$D$61*'4.4 BESS Data'!B31</f>
        <v>44681.96</v>
      </c>
      <c r="E31" s="891">
        <f>B31-('Costing Inputs'!$V$17/'Design Inputs'!$L$22)</f>
        <v>158.886</v>
      </c>
      <c r="F31" s="891">
        <f>B31-('Costing Inputs'!$V$17/(AVERAGE(2,'Design Inputs'!$L$22)))</f>
        <v>140.136</v>
      </c>
      <c r="G31" s="891">
        <f>B31-('Costing Inputs'!$V$17/2)</f>
        <v>65.135999999999996</v>
      </c>
      <c r="H31" s="901">
        <v>0.8</v>
      </c>
      <c r="I31" s="899">
        <f>'Design Inputs'!$D$61*('4.4 BESS Data'!B31-MAX(E31:G31))*H31</f>
        <v>5875</v>
      </c>
      <c r="J31" s="891"/>
    </row>
    <row r="32" spans="1:17" ht="14.5">
      <c r="A32" s="873" t="s">
        <v>649</v>
      </c>
      <c r="B32" s="891">
        <f>'Design Inputs'!I30</f>
        <v>192.72200000000001</v>
      </c>
      <c r="C32" s="899">
        <f>'Design Inputs'!$D$61*'4.4 BESS Data'!B32</f>
        <v>45289.670000000006</v>
      </c>
      <c r="E32" s="891">
        <f>B32-('Costing Inputs'!$V$17/'Design Inputs'!$L$22)</f>
        <v>161.47200000000001</v>
      </c>
      <c r="F32" s="891">
        <f>B32-('Costing Inputs'!$V$17/(AVERAGE(2,'Design Inputs'!$L$22)))</f>
        <v>142.72200000000001</v>
      </c>
      <c r="G32" s="891">
        <f>B32-('Costing Inputs'!$V$17/2)</f>
        <v>67.722000000000008</v>
      </c>
      <c r="H32" s="901">
        <v>0.8</v>
      </c>
      <c r="I32" s="899">
        <f>'Design Inputs'!$D$61*('4.4 BESS Data'!B32-MAX(E32:G32))*H32</f>
        <v>5875</v>
      </c>
      <c r="J32" s="891"/>
    </row>
    <row r="33" spans="1:10" ht="14.5">
      <c r="A33" s="873" t="s">
        <v>650</v>
      </c>
      <c r="B33" s="891">
        <f>'Design Inputs'!I31</f>
        <v>202.23599999999999</v>
      </c>
      <c r="C33" s="899">
        <f>'Design Inputs'!$D$61*'4.4 BESS Data'!B33</f>
        <v>47525.46</v>
      </c>
      <c r="E33" s="891">
        <f>B33-('Costing Inputs'!$V$17/'Design Inputs'!$L$22)</f>
        <v>170.98599999999999</v>
      </c>
      <c r="F33" s="891">
        <f>B33-('Costing Inputs'!$V$17/(AVERAGE(2,'Design Inputs'!$L$22)))</f>
        <v>152.23599999999999</v>
      </c>
      <c r="G33" s="891">
        <f>B33-('Costing Inputs'!$V$17/2)</f>
        <v>77.23599999999999</v>
      </c>
      <c r="H33" s="901">
        <v>0.8</v>
      </c>
      <c r="I33" s="899">
        <f>'Design Inputs'!$D$61*('4.4 BESS Data'!B33-MAX(E33:G33))*H33</f>
        <v>5875</v>
      </c>
      <c r="J33" s="891"/>
    </row>
    <row r="34" spans="1:10" ht="14.5">
      <c r="A34" s="873" t="s">
        <v>651</v>
      </c>
      <c r="B34" s="891">
        <f>'Design Inputs'!I32</f>
        <v>179.52</v>
      </c>
      <c r="C34" s="899">
        <f>'Design Inputs'!$D$61*'4.4 BESS Data'!B34</f>
        <v>42187.200000000004</v>
      </c>
      <c r="E34" s="891">
        <f>B34-('Costing Inputs'!$V$17/'Design Inputs'!$L$22)</f>
        <v>148.27000000000001</v>
      </c>
      <c r="F34" s="891">
        <f>B34-('Costing Inputs'!$V$17/(AVERAGE(2,'Design Inputs'!$L$22)))</f>
        <v>129.52000000000001</v>
      </c>
      <c r="G34" s="891">
        <f>B34-('Costing Inputs'!$V$17/2)</f>
        <v>54.52000000000001</v>
      </c>
      <c r="H34" s="901">
        <v>0.8</v>
      </c>
      <c r="I34" s="899">
        <f>'Design Inputs'!$D$61*('4.4 BESS Data'!B34-MAX(E34:G34))*H34</f>
        <v>5875</v>
      </c>
      <c r="J34" s="891"/>
    </row>
    <row r="35" spans="1:10" ht="14.5">
      <c r="A35" s="873" t="s">
        <v>652</v>
      </c>
      <c r="B35" s="891">
        <f>'Design Inputs'!I33</f>
        <v>183.75800000000001</v>
      </c>
      <c r="C35" s="899">
        <f>'Design Inputs'!$D$61*'4.4 BESS Data'!B35</f>
        <v>43183.130000000005</v>
      </c>
      <c r="E35" s="891">
        <f>B35-('Costing Inputs'!$V$17/'Design Inputs'!$L$22)</f>
        <v>152.50800000000001</v>
      </c>
      <c r="F35" s="891">
        <f>B35-('Costing Inputs'!$V$17/(AVERAGE(2,'Design Inputs'!$L$22)))</f>
        <v>133.75800000000001</v>
      </c>
      <c r="G35" s="891">
        <f>B35-('Costing Inputs'!$V$17/2)</f>
        <v>58.75800000000001</v>
      </c>
      <c r="H35" s="901">
        <v>0.8</v>
      </c>
      <c r="I35" s="899">
        <f>'Design Inputs'!$D$61*('4.4 BESS Data'!B35-MAX(E35:G35))*H35</f>
        <v>5875</v>
      </c>
      <c r="J35" s="891"/>
    </row>
    <row r="37" spans="1:10" ht="14.5">
      <c r="I37" s="899">
        <f>SUM(I24:I36)</f>
        <v>70500</v>
      </c>
    </row>
    <row r="38" spans="1:10" ht="14.25" customHeight="1"/>
    <row r="40" spans="1:10">
      <c r="B40" s="422"/>
    </row>
    <row r="41" spans="1:10">
      <c r="B41" s="422"/>
    </row>
    <row r="42" spans="1:10">
      <c r="B42" s="422"/>
    </row>
    <row r="43" spans="1:10">
      <c r="B43" s="422"/>
    </row>
    <row r="44" spans="1:10">
      <c r="B44" s="422"/>
    </row>
    <row r="45" spans="1:10">
      <c r="B45" s="422"/>
    </row>
    <row r="46" spans="1:10">
      <c r="B46" s="422"/>
    </row>
    <row r="47" spans="1:10">
      <c r="B47" s="422"/>
    </row>
    <row r="48" spans="1:10">
      <c r="B48" s="422"/>
    </row>
    <row r="49" spans="2:2">
      <c r="B49" s="422"/>
    </row>
    <row r="50" spans="2:2">
      <c r="B50" s="422"/>
    </row>
    <row r="51" spans="2:2">
      <c r="B51" s="422"/>
    </row>
    <row r="52" spans="2:2">
      <c r="B52" s="422"/>
    </row>
    <row r="53" spans="2:2">
      <c r="B53" s="422"/>
    </row>
    <row r="54" spans="2:2">
      <c r="B54" s="422"/>
    </row>
    <row r="55" spans="2:2">
      <c r="B55" s="422"/>
    </row>
    <row r="56" spans="2:2">
      <c r="B56" s="422"/>
    </row>
    <row r="57" spans="2:2">
      <c r="B57" s="422"/>
    </row>
    <row r="58" spans="2:2">
      <c r="B58" s="422"/>
    </row>
    <row r="59" spans="2:2">
      <c r="B59" s="422"/>
    </row>
    <row r="60" spans="2:2">
      <c r="B60" s="422"/>
    </row>
    <row r="61" spans="2:2">
      <c r="B61" s="422"/>
    </row>
    <row r="62" spans="2:2">
      <c r="B62" s="422"/>
    </row>
    <row r="63" spans="2:2">
      <c r="B63" s="422"/>
    </row>
    <row r="64" spans="2:2">
      <c r="B64" s="422"/>
    </row>
    <row r="65" spans="2:2">
      <c r="B65" s="422"/>
    </row>
    <row r="66" spans="2:2">
      <c r="B66" s="422"/>
    </row>
    <row r="67" spans="2:2">
      <c r="B67" s="422"/>
    </row>
    <row r="68" spans="2:2">
      <c r="B68" s="422"/>
    </row>
    <row r="69" spans="2:2">
      <c r="B69" s="422"/>
    </row>
    <row r="70" spans="2:2">
      <c r="B70" s="422"/>
    </row>
    <row r="71" spans="2:2">
      <c r="B71" s="422"/>
    </row>
    <row r="72" spans="2:2">
      <c r="B72" s="422"/>
    </row>
    <row r="73" spans="2:2">
      <c r="B73" s="422"/>
    </row>
    <row r="74" spans="2:2">
      <c r="B74" s="422"/>
    </row>
    <row r="75" spans="2:2">
      <c r="B75" s="422"/>
    </row>
    <row r="76" spans="2:2">
      <c r="B76" s="422"/>
    </row>
    <row r="77" spans="2:2">
      <c r="B77" s="422"/>
    </row>
    <row r="78" spans="2:2">
      <c r="B78" s="422"/>
    </row>
    <row r="79" spans="2:2">
      <c r="B79" s="422"/>
    </row>
    <row r="80" spans="2:2">
      <c r="B80" s="422"/>
    </row>
    <row r="81" spans="2:2">
      <c r="B81" s="422"/>
    </row>
    <row r="82" spans="2:2">
      <c r="B82" s="422"/>
    </row>
    <row r="83" spans="2:2">
      <c r="B83" s="422"/>
    </row>
    <row r="84" spans="2:2">
      <c r="B84" s="422"/>
    </row>
    <row r="85" spans="2:2">
      <c r="B85" s="422"/>
    </row>
    <row r="86" spans="2:2">
      <c r="B86" s="422"/>
    </row>
    <row r="87" spans="2:2">
      <c r="B87" s="422"/>
    </row>
    <row r="88" spans="2:2">
      <c r="B88" s="422"/>
    </row>
    <row r="89" spans="2:2">
      <c r="B89" s="422"/>
    </row>
    <row r="90" spans="2:2">
      <c r="B90" s="422"/>
    </row>
    <row r="91" spans="2:2">
      <c r="B91" s="422"/>
    </row>
    <row r="92" spans="2:2">
      <c r="B92" s="422"/>
    </row>
    <row r="93" spans="2:2">
      <c r="B93" s="422"/>
    </row>
    <row r="94" spans="2:2">
      <c r="B94" s="422"/>
    </row>
    <row r="95" spans="2:2">
      <c r="B95" s="422"/>
    </row>
    <row r="96" spans="2:2">
      <c r="B96" s="422"/>
    </row>
    <row r="97" spans="2:2">
      <c r="B97" s="422"/>
    </row>
    <row r="98" spans="2:2">
      <c r="B98" s="422"/>
    </row>
    <row r="99" spans="2:2">
      <c r="B99" s="422"/>
    </row>
    <row r="100" spans="2:2">
      <c r="B100" s="422"/>
    </row>
    <row r="101" spans="2:2">
      <c r="B101" s="422"/>
    </row>
    <row r="102" spans="2:2">
      <c r="B102" s="422"/>
    </row>
    <row r="103" spans="2:2">
      <c r="B103" s="422"/>
    </row>
    <row r="104" spans="2:2">
      <c r="B104" s="422"/>
    </row>
    <row r="105" spans="2:2">
      <c r="B105" s="422"/>
    </row>
    <row r="106" spans="2:2">
      <c r="B106" s="422"/>
    </row>
    <row r="107" spans="2:2">
      <c r="B107" s="422"/>
    </row>
    <row r="108" spans="2:2">
      <c r="B108" s="422"/>
    </row>
    <row r="109" spans="2:2">
      <c r="B109" s="422"/>
    </row>
    <row r="110" spans="2:2">
      <c r="B110" s="422"/>
    </row>
    <row r="111" spans="2:2">
      <c r="B111" s="422"/>
    </row>
    <row r="112" spans="2:2">
      <c r="B112" s="422"/>
    </row>
    <row r="113" spans="2:2">
      <c r="B113" s="422"/>
    </row>
    <row r="114" spans="2:2">
      <c r="B114" s="422"/>
    </row>
    <row r="115" spans="2:2">
      <c r="B115" s="422"/>
    </row>
    <row r="116" spans="2:2">
      <c r="B116" s="422"/>
    </row>
    <row r="117" spans="2:2">
      <c r="B117" s="422"/>
    </row>
    <row r="118" spans="2:2">
      <c r="B118" s="422"/>
    </row>
    <row r="119" spans="2:2">
      <c r="B119" s="422"/>
    </row>
    <row r="120" spans="2:2">
      <c r="B120" s="422"/>
    </row>
    <row r="121" spans="2:2">
      <c r="B121" s="422"/>
    </row>
    <row r="122" spans="2:2">
      <c r="B122" s="422"/>
    </row>
    <row r="123" spans="2:2">
      <c r="B123" s="422"/>
    </row>
    <row r="124" spans="2:2">
      <c r="B124" s="422"/>
    </row>
    <row r="125" spans="2:2">
      <c r="B125" s="422"/>
    </row>
    <row r="126" spans="2:2">
      <c r="B126" s="422"/>
    </row>
    <row r="127" spans="2:2">
      <c r="B127" s="422"/>
    </row>
    <row r="128" spans="2:2">
      <c r="B128" s="422"/>
    </row>
    <row r="129" spans="2:2">
      <c r="B129" s="422"/>
    </row>
    <row r="130" spans="2:2">
      <c r="B130" s="422"/>
    </row>
    <row r="131" spans="2:2">
      <c r="B131" s="422"/>
    </row>
    <row r="132" spans="2:2">
      <c r="B132" s="422"/>
    </row>
    <row r="133" spans="2:2">
      <c r="B133" s="422"/>
    </row>
    <row r="134" spans="2:2">
      <c r="B134" s="422"/>
    </row>
    <row r="135" spans="2:2">
      <c r="B135" s="422"/>
    </row>
    <row r="136" spans="2:2">
      <c r="B136" s="422"/>
    </row>
    <row r="137" spans="2:2">
      <c r="B137" s="422"/>
    </row>
    <row r="138" spans="2:2">
      <c r="B138" s="422"/>
    </row>
    <row r="139" spans="2:2">
      <c r="B139" s="422"/>
    </row>
    <row r="140" spans="2:2">
      <c r="B140" s="422"/>
    </row>
    <row r="141" spans="2:2">
      <c r="B141" s="422"/>
    </row>
    <row r="142" spans="2:2">
      <c r="B142" s="422"/>
    </row>
    <row r="143" spans="2:2">
      <c r="B143" s="422"/>
    </row>
    <row r="144" spans="2:2">
      <c r="B144" s="422"/>
    </row>
    <row r="145" spans="2:2">
      <c r="B145" s="422"/>
    </row>
    <row r="146" spans="2:2">
      <c r="B146" s="422"/>
    </row>
    <row r="147" spans="2:2">
      <c r="B147" s="422"/>
    </row>
    <row r="148" spans="2:2">
      <c r="B148" s="422"/>
    </row>
    <row r="149" spans="2:2">
      <c r="B149" s="422"/>
    </row>
    <row r="150" spans="2:2">
      <c r="B150" s="422"/>
    </row>
    <row r="151" spans="2:2">
      <c r="B151" s="422"/>
    </row>
    <row r="152" spans="2:2">
      <c r="B152" s="422"/>
    </row>
    <row r="153" spans="2:2">
      <c r="B153" s="422"/>
    </row>
    <row r="154" spans="2:2">
      <c r="B154" s="422"/>
    </row>
    <row r="155" spans="2:2">
      <c r="B155" s="422"/>
    </row>
    <row r="156" spans="2:2">
      <c r="B156" s="422"/>
    </row>
    <row r="157" spans="2:2">
      <c r="B157" s="422"/>
    </row>
    <row r="158" spans="2:2">
      <c r="B158" s="422"/>
    </row>
    <row r="159" spans="2:2">
      <c r="B159" s="422"/>
    </row>
    <row r="160" spans="2:2">
      <c r="B160" s="422"/>
    </row>
    <row r="161" spans="2:2">
      <c r="B161" s="422"/>
    </row>
    <row r="162" spans="2:2">
      <c r="B162" s="422"/>
    </row>
    <row r="163" spans="2:2">
      <c r="B163" s="422"/>
    </row>
    <row r="164" spans="2:2">
      <c r="B164" s="422"/>
    </row>
    <row r="165" spans="2:2">
      <c r="B165" s="422"/>
    </row>
    <row r="166" spans="2:2">
      <c r="B166" s="422"/>
    </row>
    <row r="167" spans="2:2">
      <c r="B167" s="422"/>
    </row>
    <row r="168" spans="2:2">
      <c r="B168" s="422"/>
    </row>
    <row r="169" spans="2:2">
      <c r="B169" s="422"/>
    </row>
    <row r="170" spans="2:2">
      <c r="B170" s="422"/>
    </row>
    <row r="171" spans="2:2">
      <c r="B171" s="422"/>
    </row>
    <row r="172" spans="2:2">
      <c r="B172" s="422"/>
    </row>
    <row r="173" spans="2:2">
      <c r="B173" s="422"/>
    </row>
    <row r="174" spans="2:2">
      <c r="B174" s="422"/>
    </row>
    <row r="175" spans="2:2">
      <c r="B175" s="422"/>
    </row>
    <row r="176" spans="2:2">
      <c r="B176" s="422"/>
    </row>
    <row r="177" spans="2:2">
      <c r="B177" s="422"/>
    </row>
    <row r="178" spans="2:2">
      <c r="B178" s="422"/>
    </row>
    <row r="179" spans="2:2">
      <c r="B179" s="422"/>
    </row>
    <row r="180" spans="2:2">
      <c r="B180" s="422"/>
    </row>
    <row r="181" spans="2:2">
      <c r="B181" s="422"/>
    </row>
    <row r="182" spans="2:2">
      <c r="B182" s="422"/>
    </row>
    <row r="183" spans="2:2">
      <c r="B183" s="422"/>
    </row>
    <row r="184" spans="2:2">
      <c r="B184" s="422"/>
    </row>
    <row r="185" spans="2:2">
      <c r="B185" s="422"/>
    </row>
    <row r="186" spans="2:2">
      <c r="B186" s="422"/>
    </row>
    <row r="187" spans="2:2">
      <c r="B187" s="422"/>
    </row>
    <row r="188" spans="2:2">
      <c r="B188" s="422"/>
    </row>
    <row r="189" spans="2:2">
      <c r="B189" s="422"/>
    </row>
    <row r="190" spans="2:2">
      <c r="B190" s="422"/>
    </row>
    <row r="191" spans="2:2">
      <c r="B191" s="422"/>
    </row>
    <row r="192" spans="2:2">
      <c r="B192" s="422"/>
    </row>
    <row r="193" spans="2:2">
      <c r="B193" s="422"/>
    </row>
    <row r="194" spans="2:2">
      <c r="B194" s="422"/>
    </row>
    <row r="195" spans="2:2">
      <c r="B195" s="422"/>
    </row>
    <row r="196" spans="2:2">
      <c r="B196" s="422"/>
    </row>
    <row r="197" spans="2:2">
      <c r="B197" s="422"/>
    </row>
    <row r="198" spans="2:2">
      <c r="B198" s="422"/>
    </row>
    <row r="199" spans="2:2">
      <c r="B199" s="422"/>
    </row>
    <row r="200" spans="2:2">
      <c r="B200" s="422"/>
    </row>
    <row r="201" spans="2:2">
      <c r="B201" s="422"/>
    </row>
    <row r="202" spans="2:2">
      <c r="B202" s="422"/>
    </row>
    <row r="203" spans="2:2">
      <c r="B203" s="422"/>
    </row>
    <row r="204" spans="2:2">
      <c r="B204" s="422"/>
    </row>
    <row r="205" spans="2:2">
      <c r="B205" s="422"/>
    </row>
    <row r="206" spans="2:2">
      <c r="B206" s="422"/>
    </row>
    <row r="207" spans="2:2">
      <c r="B207" s="422"/>
    </row>
    <row r="208" spans="2:2">
      <c r="B208" s="422"/>
    </row>
    <row r="209" spans="2:2">
      <c r="B209" s="422"/>
    </row>
    <row r="210" spans="2:2">
      <c r="B210" s="422"/>
    </row>
    <row r="211" spans="2:2">
      <c r="B211" s="422"/>
    </row>
    <row r="212" spans="2:2">
      <c r="B212" s="422"/>
    </row>
    <row r="213" spans="2:2">
      <c r="B213" s="422"/>
    </row>
    <row r="214" spans="2:2">
      <c r="B214" s="422"/>
    </row>
    <row r="215" spans="2:2">
      <c r="B215" s="422"/>
    </row>
    <row r="216" spans="2:2">
      <c r="B216" s="422"/>
    </row>
    <row r="217" spans="2:2">
      <c r="B217" s="422"/>
    </row>
    <row r="218" spans="2:2">
      <c r="B218" s="422"/>
    </row>
    <row r="219" spans="2:2">
      <c r="B219" s="422"/>
    </row>
    <row r="220" spans="2:2">
      <c r="B220" s="422"/>
    </row>
    <row r="221" spans="2:2">
      <c r="B221" s="422"/>
    </row>
    <row r="222" spans="2:2">
      <c r="B222" s="422"/>
    </row>
    <row r="223" spans="2:2">
      <c r="B223" s="422"/>
    </row>
    <row r="224" spans="2:2">
      <c r="B224" s="422"/>
    </row>
    <row r="225" spans="2:2">
      <c r="B225" s="422"/>
    </row>
    <row r="226" spans="2:2">
      <c r="B226" s="422"/>
    </row>
    <row r="227" spans="2:2">
      <c r="B227" s="422"/>
    </row>
    <row r="228" spans="2:2">
      <c r="B228" s="422"/>
    </row>
    <row r="229" spans="2:2">
      <c r="B229" s="422"/>
    </row>
    <row r="230" spans="2:2">
      <c r="B230" s="422"/>
    </row>
    <row r="231" spans="2:2">
      <c r="B231" s="422"/>
    </row>
    <row r="232" spans="2:2">
      <c r="B232" s="422"/>
    </row>
    <row r="233" spans="2:2">
      <c r="B233" s="422"/>
    </row>
    <row r="234" spans="2:2">
      <c r="B234" s="422"/>
    </row>
    <row r="235" spans="2:2">
      <c r="B235" s="422"/>
    </row>
    <row r="236" spans="2:2">
      <c r="B236" s="422"/>
    </row>
    <row r="237" spans="2:2">
      <c r="B237" s="422"/>
    </row>
    <row r="238" spans="2:2">
      <c r="B238" s="422"/>
    </row>
    <row r="239" spans="2:2">
      <c r="B239" s="422"/>
    </row>
    <row r="240" spans="2:2">
      <c r="B240" s="422"/>
    </row>
    <row r="241" spans="2:2">
      <c r="B241" s="422"/>
    </row>
    <row r="242" spans="2:2">
      <c r="B242" s="422"/>
    </row>
    <row r="243" spans="2:2">
      <c r="B243" s="422"/>
    </row>
    <row r="244" spans="2:2">
      <c r="B244" s="422"/>
    </row>
    <row r="245" spans="2:2">
      <c r="B245" s="422"/>
    </row>
    <row r="246" spans="2:2">
      <c r="B246" s="422"/>
    </row>
    <row r="247" spans="2:2">
      <c r="B247" s="422"/>
    </row>
    <row r="248" spans="2:2">
      <c r="B248" s="422"/>
    </row>
    <row r="249" spans="2:2">
      <c r="B249" s="422"/>
    </row>
    <row r="250" spans="2:2">
      <c r="B250" s="422"/>
    </row>
    <row r="251" spans="2:2">
      <c r="B251" s="422"/>
    </row>
    <row r="252" spans="2:2">
      <c r="B252" s="422"/>
    </row>
    <row r="253" spans="2:2">
      <c r="B253" s="422"/>
    </row>
    <row r="254" spans="2:2">
      <c r="B254" s="422"/>
    </row>
    <row r="255" spans="2:2">
      <c r="B255" s="422"/>
    </row>
    <row r="256" spans="2:2">
      <c r="B256" s="422"/>
    </row>
    <row r="257" spans="2:2">
      <c r="B257" s="422"/>
    </row>
    <row r="258" spans="2:2">
      <c r="B258" s="422"/>
    </row>
    <row r="259" spans="2:2">
      <c r="B259" s="422"/>
    </row>
    <row r="260" spans="2:2">
      <c r="B260" s="422"/>
    </row>
    <row r="261" spans="2:2">
      <c r="B261" s="422"/>
    </row>
    <row r="262" spans="2:2">
      <c r="B262" s="422"/>
    </row>
    <row r="263" spans="2:2">
      <c r="B263" s="422"/>
    </row>
    <row r="264" spans="2:2">
      <c r="B264" s="422"/>
    </row>
    <row r="265" spans="2:2">
      <c r="B265" s="422"/>
    </row>
    <row r="266" spans="2:2">
      <c r="B266" s="422"/>
    </row>
    <row r="267" spans="2:2">
      <c r="B267" s="422"/>
    </row>
    <row r="268" spans="2:2">
      <c r="B268" s="422"/>
    </row>
    <row r="269" spans="2:2">
      <c r="B269" s="422"/>
    </row>
    <row r="270" spans="2:2">
      <c r="B270" s="422"/>
    </row>
    <row r="271" spans="2:2">
      <c r="B271" s="422"/>
    </row>
    <row r="272" spans="2:2">
      <c r="B272" s="422"/>
    </row>
    <row r="273" spans="2:2">
      <c r="B273" s="422"/>
    </row>
    <row r="274" spans="2:2">
      <c r="B274" s="422"/>
    </row>
    <row r="275" spans="2:2">
      <c r="B275" s="422"/>
    </row>
    <row r="276" spans="2:2">
      <c r="B276" s="422"/>
    </row>
    <row r="277" spans="2:2">
      <c r="B277" s="422"/>
    </row>
    <row r="278" spans="2:2">
      <c r="B278" s="422"/>
    </row>
    <row r="279" spans="2:2">
      <c r="B279" s="422"/>
    </row>
    <row r="280" spans="2:2">
      <c r="B280" s="422"/>
    </row>
    <row r="281" spans="2:2">
      <c r="B281" s="422"/>
    </row>
    <row r="282" spans="2:2">
      <c r="B282" s="422"/>
    </row>
    <row r="283" spans="2:2">
      <c r="B283" s="422"/>
    </row>
    <row r="284" spans="2:2">
      <c r="B284" s="422"/>
    </row>
    <row r="285" spans="2:2">
      <c r="B285" s="422"/>
    </row>
    <row r="286" spans="2:2">
      <c r="B286" s="422"/>
    </row>
    <row r="287" spans="2:2">
      <c r="B287" s="422"/>
    </row>
    <row r="288" spans="2:2">
      <c r="B288" s="422"/>
    </row>
    <row r="289" spans="2:2">
      <c r="B289" s="422"/>
    </row>
    <row r="290" spans="2:2">
      <c r="B290" s="422"/>
    </row>
    <row r="291" spans="2:2">
      <c r="B291" s="422"/>
    </row>
    <row r="292" spans="2:2">
      <c r="B292" s="422"/>
    </row>
    <row r="293" spans="2:2">
      <c r="B293" s="422"/>
    </row>
    <row r="294" spans="2:2">
      <c r="B294" s="422"/>
    </row>
    <row r="295" spans="2:2">
      <c r="B295" s="422"/>
    </row>
    <row r="296" spans="2:2">
      <c r="B296" s="422"/>
    </row>
    <row r="297" spans="2:2">
      <c r="B297" s="422"/>
    </row>
    <row r="298" spans="2:2">
      <c r="B298" s="422"/>
    </row>
    <row r="299" spans="2:2">
      <c r="B299" s="422"/>
    </row>
    <row r="300" spans="2:2">
      <c r="B300" s="422"/>
    </row>
    <row r="301" spans="2:2">
      <c r="B301" s="422"/>
    </row>
    <row r="302" spans="2:2">
      <c r="B302" s="422"/>
    </row>
    <row r="303" spans="2:2">
      <c r="B303" s="422"/>
    </row>
    <row r="304" spans="2:2">
      <c r="B304" s="422"/>
    </row>
    <row r="305" spans="2:2">
      <c r="B305" s="422"/>
    </row>
    <row r="306" spans="2:2">
      <c r="B306" s="422"/>
    </row>
    <row r="307" spans="2:2">
      <c r="B307" s="422"/>
    </row>
    <row r="308" spans="2:2">
      <c r="B308" s="422"/>
    </row>
    <row r="309" spans="2:2">
      <c r="B309" s="422"/>
    </row>
    <row r="310" spans="2:2">
      <c r="B310" s="422"/>
    </row>
    <row r="311" spans="2:2">
      <c r="B311" s="422"/>
    </row>
    <row r="312" spans="2:2">
      <c r="B312" s="422"/>
    </row>
    <row r="313" spans="2:2">
      <c r="B313" s="422"/>
    </row>
    <row r="314" spans="2:2">
      <c r="B314" s="422"/>
    </row>
    <row r="315" spans="2:2">
      <c r="B315" s="422"/>
    </row>
    <row r="316" spans="2:2">
      <c r="B316" s="422"/>
    </row>
    <row r="317" spans="2:2">
      <c r="B317" s="422"/>
    </row>
    <row r="318" spans="2:2">
      <c r="B318" s="422"/>
    </row>
    <row r="319" spans="2:2">
      <c r="B319" s="422"/>
    </row>
    <row r="320" spans="2:2">
      <c r="B320" s="422"/>
    </row>
    <row r="321" spans="2:2">
      <c r="B321" s="422"/>
    </row>
    <row r="322" spans="2:2">
      <c r="B322" s="422"/>
    </row>
    <row r="323" spans="2:2">
      <c r="B323" s="422"/>
    </row>
    <row r="324" spans="2:2">
      <c r="B324" s="422"/>
    </row>
    <row r="325" spans="2:2">
      <c r="B325" s="422"/>
    </row>
    <row r="326" spans="2:2">
      <c r="B326" s="422"/>
    </row>
    <row r="327" spans="2:2">
      <c r="B327" s="422"/>
    </row>
    <row r="328" spans="2:2">
      <c r="B328" s="422"/>
    </row>
    <row r="329" spans="2:2">
      <c r="B329" s="422"/>
    </row>
    <row r="330" spans="2:2">
      <c r="B330" s="422"/>
    </row>
    <row r="331" spans="2:2">
      <c r="B331" s="422"/>
    </row>
    <row r="332" spans="2:2">
      <c r="B332" s="422"/>
    </row>
    <row r="333" spans="2:2">
      <c r="B333" s="422"/>
    </row>
    <row r="334" spans="2:2">
      <c r="B334" s="422"/>
    </row>
    <row r="335" spans="2:2">
      <c r="B335" s="422"/>
    </row>
    <row r="336" spans="2:2">
      <c r="B336" s="422"/>
    </row>
    <row r="337" spans="2:2">
      <c r="B337" s="422"/>
    </row>
    <row r="338" spans="2:2">
      <c r="B338" s="422"/>
    </row>
    <row r="339" spans="2:2">
      <c r="B339" s="422"/>
    </row>
    <row r="340" spans="2:2">
      <c r="B340" s="422"/>
    </row>
    <row r="341" spans="2:2">
      <c r="B341" s="422"/>
    </row>
    <row r="342" spans="2:2">
      <c r="B342" s="422"/>
    </row>
    <row r="343" spans="2:2">
      <c r="B343" s="422"/>
    </row>
    <row r="344" spans="2:2">
      <c r="B344" s="422"/>
    </row>
    <row r="345" spans="2:2">
      <c r="B345" s="422"/>
    </row>
    <row r="346" spans="2:2">
      <c r="B346" s="422"/>
    </row>
    <row r="347" spans="2:2">
      <c r="B347" s="422"/>
    </row>
    <row r="348" spans="2:2">
      <c r="B348" s="422"/>
    </row>
    <row r="349" spans="2:2">
      <c r="B349" s="422"/>
    </row>
    <row r="350" spans="2:2">
      <c r="B350" s="422"/>
    </row>
    <row r="351" spans="2:2">
      <c r="B351" s="422"/>
    </row>
    <row r="352" spans="2:2">
      <c r="B352" s="422"/>
    </row>
    <row r="353" spans="2:2">
      <c r="B353" s="422"/>
    </row>
    <row r="354" spans="2:2">
      <c r="B354" s="422"/>
    </row>
    <row r="355" spans="2:2">
      <c r="B355" s="422"/>
    </row>
    <row r="356" spans="2:2">
      <c r="B356" s="422"/>
    </row>
    <row r="357" spans="2:2">
      <c r="B357" s="422"/>
    </row>
    <row r="358" spans="2:2">
      <c r="B358" s="422"/>
    </row>
    <row r="359" spans="2:2">
      <c r="B359" s="422"/>
    </row>
    <row r="360" spans="2:2">
      <c r="B360" s="422"/>
    </row>
    <row r="361" spans="2:2">
      <c r="B361" s="422"/>
    </row>
    <row r="362" spans="2:2">
      <c r="B362" s="422"/>
    </row>
    <row r="363" spans="2:2">
      <c r="B363" s="422"/>
    </row>
    <row r="364" spans="2:2">
      <c r="B364" s="422"/>
    </row>
    <row r="365" spans="2:2">
      <c r="B365" s="422"/>
    </row>
    <row r="366" spans="2:2">
      <c r="B366" s="422"/>
    </row>
    <row r="367" spans="2:2">
      <c r="B367" s="422"/>
    </row>
    <row r="368" spans="2:2">
      <c r="B368" s="422"/>
    </row>
    <row r="369" spans="2:2">
      <c r="B369" s="422"/>
    </row>
    <row r="370" spans="2:2">
      <c r="B370" s="422"/>
    </row>
    <row r="371" spans="2:2">
      <c r="B371" s="422"/>
    </row>
    <row r="372" spans="2:2">
      <c r="B372" s="422"/>
    </row>
    <row r="373" spans="2:2">
      <c r="B373" s="422"/>
    </row>
    <row r="374" spans="2:2">
      <c r="B374" s="422"/>
    </row>
    <row r="375" spans="2:2">
      <c r="B375" s="422"/>
    </row>
    <row r="376" spans="2:2">
      <c r="B376" s="422"/>
    </row>
    <row r="377" spans="2:2">
      <c r="B377" s="422"/>
    </row>
    <row r="378" spans="2:2">
      <c r="B378" s="422"/>
    </row>
    <row r="379" spans="2:2">
      <c r="B379" s="422"/>
    </row>
    <row r="380" spans="2:2">
      <c r="B380" s="422"/>
    </row>
    <row r="381" spans="2:2">
      <c r="B381" s="422"/>
    </row>
    <row r="382" spans="2:2">
      <c r="B382" s="422"/>
    </row>
    <row r="383" spans="2:2">
      <c r="B383" s="422"/>
    </row>
    <row r="384" spans="2:2">
      <c r="B384" s="422"/>
    </row>
    <row r="385" spans="2:2">
      <c r="B385" s="422"/>
    </row>
    <row r="386" spans="2:2">
      <c r="B386" s="422"/>
    </row>
    <row r="387" spans="2:2">
      <c r="B387" s="422"/>
    </row>
    <row r="388" spans="2:2">
      <c r="B388" s="422"/>
    </row>
    <row r="389" spans="2:2">
      <c r="B389" s="422"/>
    </row>
    <row r="390" spans="2:2">
      <c r="B390" s="422"/>
    </row>
    <row r="391" spans="2:2">
      <c r="B391" s="422"/>
    </row>
    <row r="392" spans="2:2">
      <c r="B392" s="422"/>
    </row>
    <row r="393" spans="2:2">
      <c r="B393" s="422"/>
    </row>
    <row r="394" spans="2:2">
      <c r="B394" s="422"/>
    </row>
    <row r="395" spans="2:2">
      <c r="B395" s="422"/>
    </row>
    <row r="396" spans="2:2">
      <c r="B396" s="422"/>
    </row>
    <row r="397" spans="2:2">
      <c r="B397" s="422"/>
    </row>
    <row r="398" spans="2:2">
      <c r="B398" s="422"/>
    </row>
    <row r="399" spans="2:2">
      <c r="B399" s="422"/>
    </row>
    <row r="400" spans="2:2">
      <c r="B400" s="422"/>
    </row>
    <row r="401" spans="2:2">
      <c r="B401" s="422"/>
    </row>
    <row r="402" spans="2:2">
      <c r="B402" s="422"/>
    </row>
    <row r="403" spans="2:2">
      <c r="B403" s="422"/>
    </row>
    <row r="404" spans="2:2">
      <c r="B404" s="422"/>
    </row>
    <row r="405" spans="2:2">
      <c r="B405" s="422"/>
    </row>
    <row r="406" spans="2:2">
      <c r="B406" s="422"/>
    </row>
    <row r="407" spans="2:2">
      <c r="B407" s="422"/>
    </row>
    <row r="408" spans="2:2">
      <c r="B408" s="422"/>
    </row>
    <row r="409" spans="2:2">
      <c r="B409" s="422"/>
    </row>
    <row r="410" spans="2:2">
      <c r="B410" s="422"/>
    </row>
    <row r="411" spans="2:2">
      <c r="B411" s="422"/>
    </row>
    <row r="412" spans="2:2">
      <c r="B412" s="422"/>
    </row>
    <row r="413" spans="2:2">
      <c r="B413" s="422"/>
    </row>
    <row r="414" spans="2:2">
      <c r="B414" s="422"/>
    </row>
    <row r="415" spans="2:2">
      <c r="B415" s="422"/>
    </row>
    <row r="416" spans="2:2">
      <c r="B416" s="422"/>
    </row>
    <row r="417" spans="2:2">
      <c r="B417" s="422"/>
    </row>
    <row r="418" spans="2:2">
      <c r="B418" s="422"/>
    </row>
    <row r="419" spans="2:2">
      <c r="B419" s="422"/>
    </row>
    <row r="420" spans="2:2">
      <c r="B420" s="422"/>
    </row>
    <row r="421" spans="2:2">
      <c r="B421" s="422"/>
    </row>
    <row r="422" spans="2:2">
      <c r="B422" s="422"/>
    </row>
    <row r="423" spans="2:2">
      <c r="B423" s="422"/>
    </row>
    <row r="424" spans="2:2">
      <c r="B424" s="422"/>
    </row>
    <row r="425" spans="2:2">
      <c r="B425" s="422"/>
    </row>
    <row r="426" spans="2:2">
      <c r="B426" s="422"/>
    </row>
    <row r="427" spans="2:2">
      <c r="B427" s="422"/>
    </row>
    <row r="428" spans="2:2">
      <c r="B428" s="422"/>
    </row>
    <row r="429" spans="2:2">
      <c r="B429" s="422"/>
    </row>
    <row r="430" spans="2:2">
      <c r="B430" s="422"/>
    </row>
    <row r="431" spans="2:2">
      <c r="B431" s="422"/>
    </row>
    <row r="432" spans="2:2">
      <c r="B432" s="422"/>
    </row>
    <row r="433" spans="2:2">
      <c r="B433" s="422"/>
    </row>
    <row r="434" spans="2:2">
      <c r="B434" s="422"/>
    </row>
    <row r="435" spans="2:2">
      <c r="B435" s="422"/>
    </row>
    <row r="436" spans="2:2">
      <c r="B436" s="422"/>
    </row>
    <row r="437" spans="2:2">
      <c r="B437" s="422"/>
    </row>
    <row r="438" spans="2:2">
      <c r="B438" s="422"/>
    </row>
    <row r="439" spans="2:2">
      <c r="B439" s="422"/>
    </row>
    <row r="440" spans="2:2">
      <c r="B440" s="422"/>
    </row>
    <row r="441" spans="2:2">
      <c r="B441" s="422"/>
    </row>
    <row r="442" spans="2:2">
      <c r="B442" s="422"/>
    </row>
    <row r="443" spans="2:2">
      <c r="B443" s="422"/>
    </row>
    <row r="444" spans="2:2">
      <c r="B444" s="422"/>
    </row>
    <row r="445" spans="2:2">
      <c r="B445" s="422"/>
    </row>
    <row r="446" spans="2:2">
      <c r="B446" s="422"/>
    </row>
    <row r="447" spans="2:2">
      <c r="B447" s="422"/>
    </row>
    <row r="448" spans="2:2">
      <c r="B448" s="422"/>
    </row>
    <row r="449" spans="2:2">
      <c r="B449" s="422"/>
    </row>
    <row r="450" spans="2:2">
      <c r="B450" s="422"/>
    </row>
    <row r="451" spans="2:2">
      <c r="B451" s="422"/>
    </row>
    <row r="452" spans="2:2">
      <c r="B452" s="422"/>
    </row>
    <row r="453" spans="2:2">
      <c r="B453" s="422"/>
    </row>
    <row r="454" spans="2:2">
      <c r="B454" s="422"/>
    </row>
    <row r="455" spans="2:2">
      <c r="B455" s="422"/>
    </row>
    <row r="456" spans="2:2">
      <c r="B456" s="422"/>
    </row>
    <row r="457" spans="2:2">
      <c r="B457" s="422"/>
    </row>
    <row r="458" spans="2:2">
      <c r="B458" s="422"/>
    </row>
    <row r="459" spans="2:2">
      <c r="B459" s="422"/>
    </row>
    <row r="460" spans="2:2">
      <c r="B460" s="422"/>
    </row>
    <row r="461" spans="2:2">
      <c r="B461" s="422"/>
    </row>
    <row r="462" spans="2:2">
      <c r="B462" s="422"/>
    </row>
    <row r="463" spans="2:2">
      <c r="B463" s="422"/>
    </row>
    <row r="464" spans="2:2">
      <c r="B464" s="422"/>
    </row>
    <row r="465" spans="2:2">
      <c r="B465" s="422"/>
    </row>
    <row r="466" spans="2:2">
      <c r="B466" s="422"/>
    </row>
    <row r="467" spans="2:2">
      <c r="B467" s="422"/>
    </row>
    <row r="468" spans="2:2">
      <c r="B468" s="422"/>
    </row>
    <row r="469" spans="2:2">
      <c r="B469" s="422"/>
    </row>
    <row r="470" spans="2:2">
      <c r="B470" s="422"/>
    </row>
    <row r="471" spans="2:2">
      <c r="B471" s="422"/>
    </row>
    <row r="472" spans="2:2">
      <c r="B472" s="422"/>
    </row>
    <row r="473" spans="2:2">
      <c r="B473" s="422"/>
    </row>
    <row r="474" spans="2:2">
      <c r="B474" s="422"/>
    </row>
    <row r="475" spans="2:2">
      <c r="B475" s="422"/>
    </row>
    <row r="476" spans="2:2">
      <c r="B476" s="422"/>
    </row>
    <row r="477" spans="2:2">
      <c r="B477" s="422"/>
    </row>
    <row r="478" spans="2:2">
      <c r="B478" s="422"/>
    </row>
    <row r="479" spans="2:2">
      <c r="B479" s="422"/>
    </row>
    <row r="480" spans="2:2">
      <c r="B480" s="422"/>
    </row>
    <row r="481" spans="2:2">
      <c r="B481" s="422"/>
    </row>
    <row r="482" spans="2:2">
      <c r="B482" s="422"/>
    </row>
    <row r="483" spans="2:2">
      <c r="B483" s="422"/>
    </row>
    <row r="484" spans="2:2">
      <c r="B484" s="422"/>
    </row>
    <row r="485" spans="2:2">
      <c r="B485" s="422"/>
    </row>
    <row r="486" spans="2:2">
      <c r="B486" s="422"/>
    </row>
    <row r="487" spans="2:2">
      <c r="B487" s="422"/>
    </row>
    <row r="488" spans="2:2">
      <c r="B488" s="422"/>
    </row>
    <row r="489" spans="2:2">
      <c r="B489" s="422"/>
    </row>
    <row r="490" spans="2:2">
      <c r="B490" s="422"/>
    </row>
    <row r="491" spans="2:2">
      <c r="B491" s="422"/>
    </row>
    <row r="492" spans="2:2">
      <c r="B492" s="422"/>
    </row>
    <row r="493" spans="2:2">
      <c r="B493" s="422"/>
    </row>
    <row r="494" spans="2:2">
      <c r="B494" s="422"/>
    </row>
    <row r="495" spans="2:2">
      <c r="B495" s="422"/>
    </row>
    <row r="496" spans="2:2">
      <c r="B496" s="422"/>
    </row>
    <row r="497" spans="2:2">
      <c r="B497" s="422"/>
    </row>
    <row r="498" spans="2:2">
      <c r="B498" s="422"/>
    </row>
    <row r="499" spans="2:2">
      <c r="B499" s="422"/>
    </row>
    <row r="500" spans="2:2">
      <c r="B500" s="422"/>
    </row>
    <row r="501" spans="2:2">
      <c r="B501" s="422"/>
    </row>
    <row r="502" spans="2:2">
      <c r="B502" s="422"/>
    </row>
    <row r="503" spans="2:2">
      <c r="B503" s="422"/>
    </row>
    <row r="504" spans="2:2">
      <c r="B504" s="422"/>
    </row>
    <row r="505" spans="2:2">
      <c r="B505" s="422"/>
    </row>
    <row r="506" spans="2:2">
      <c r="B506" s="422"/>
    </row>
    <row r="507" spans="2:2">
      <c r="B507" s="422"/>
    </row>
    <row r="508" spans="2:2">
      <c r="B508" s="422"/>
    </row>
    <row r="509" spans="2:2">
      <c r="B509" s="422"/>
    </row>
    <row r="510" spans="2:2">
      <c r="B510" s="422"/>
    </row>
    <row r="511" spans="2:2">
      <c r="B511" s="422"/>
    </row>
    <row r="512" spans="2:2">
      <c r="B512" s="422"/>
    </row>
    <row r="513" spans="2:2">
      <c r="B513" s="422"/>
    </row>
    <row r="514" spans="2:2">
      <c r="B514" s="422"/>
    </row>
    <row r="515" spans="2:2">
      <c r="B515" s="422"/>
    </row>
    <row r="516" spans="2:2">
      <c r="B516" s="422"/>
    </row>
    <row r="517" spans="2:2">
      <c r="B517" s="422"/>
    </row>
    <row r="518" spans="2:2">
      <c r="B518" s="422"/>
    </row>
    <row r="519" spans="2:2">
      <c r="B519" s="422"/>
    </row>
    <row r="520" spans="2:2">
      <c r="B520" s="422"/>
    </row>
    <row r="521" spans="2:2">
      <c r="B521" s="422"/>
    </row>
    <row r="522" spans="2:2">
      <c r="B522" s="422"/>
    </row>
    <row r="523" spans="2:2">
      <c r="B523" s="422"/>
    </row>
    <row r="524" spans="2:2">
      <c r="B524" s="422"/>
    </row>
    <row r="525" spans="2:2">
      <c r="B525" s="422"/>
    </row>
    <row r="526" spans="2:2">
      <c r="B526" s="422"/>
    </row>
    <row r="527" spans="2:2">
      <c r="B527" s="422"/>
    </row>
    <row r="528" spans="2:2">
      <c r="B528" s="422"/>
    </row>
    <row r="529" spans="2:2">
      <c r="B529" s="422"/>
    </row>
    <row r="530" spans="2:2">
      <c r="B530" s="422"/>
    </row>
    <row r="531" spans="2:2">
      <c r="B531" s="422"/>
    </row>
    <row r="532" spans="2:2">
      <c r="B532" s="422"/>
    </row>
    <row r="533" spans="2:2">
      <c r="B533" s="422"/>
    </row>
    <row r="534" spans="2:2">
      <c r="B534" s="422"/>
    </row>
    <row r="535" spans="2:2">
      <c r="B535" s="422"/>
    </row>
    <row r="536" spans="2:2">
      <c r="B536" s="422"/>
    </row>
    <row r="537" spans="2:2">
      <c r="B537" s="422"/>
    </row>
    <row r="538" spans="2:2">
      <c r="B538" s="422"/>
    </row>
    <row r="539" spans="2:2">
      <c r="B539" s="422"/>
    </row>
    <row r="540" spans="2:2">
      <c r="B540" s="422"/>
    </row>
    <row r="541" spans="2:2">
      <c r="B541" s="422"/>
    </row>
    <row r="542" spans="2:2">
      <c r="B542" s="422"/>
    </row>
    <row r="543" spans="2:2">
      <c r="B543" s="422"/>
    </row>
    <row r="544" spans="2:2">
      <c r="B544" s="422"/>
    </row>
    <row r="545" spans="2:2">
      <c r="B545" s="422"/>
    </row>
    <row r="546" spans="2:2">
      <c r="B546" s="422"/>
    </row>
    <row r="547" spans="2:2">
      <c r="B547" s="422"/>
    </row>
    <row r="548" spans="2:2">
      <c r="B548" s="422"/>
    </row>
    <row r="549" spans="2:2">
      <c r="B549" s="422"/>
    </row>
    <row r="550" spans="2:2">
      <c r="B550" s="422"/>
    </row>
    <row r="551" spans="2:2">
      <c r="B551" s="422"/>
    </row>
    <row r="552" spans="2:2">
      <c r="B552" s="422"/>
    </row>
    <row r="553" spans="2:2">
      <c r="B553" s="422"/>
    </row>
    <row r="554" spans="2:2">
      <c r="B554" s="422"/>
    </row>
    <row r="555" spans="2:2">
      <c r="B555" s="422"/>
    </row>
    <row r="556" spans="2:2">
      <c r="B556" s="422"/>
    </row>
    <row r="557" spans="2:2">
      <c r="B557" s="422"/>
    </row>
    <row r="558" spans="2:2">
      <c r="B558" s="422"/>
    </row>
    <row r="559" spans="2:2">
      <c r="B559" s="422"/>
    </row>
    <row r="560" spans="2:2">
      <c r="B560" s="422"/>
    </row>
    <row r="561" spans="2:2">
      <c r="B561" s="422"/>
    </row>
    <row r="562" spans="2:2">
      <c r="B562" s="422"/>
    </row>
    <row r="563" spans="2:2">
      <c r="B563" s="422"/>
    </row>
    <row r="564" spans="2:2">
      <c r="B564" s="422"/>
    </row>
    <row r="565" spans="2:2">
      <c r="B565" s="422"/>
    </row>
    <row r="566" spans="2:2">
      <c r="B566" s="422"/>
    </row>
    <row r="567" spans="2:2">
      <c r="B567" s="422"/>
    </row>
    <row r="568" spans="2:2">
      <c r="B568" s="422"/>
    </row>
    <row r="569" spans="2:2">
      <c r="B569" s="422"/>
    </row>
    <row r="570" spans="2:2">
      <c r="B570" s="422"/>
    </row>
    <row r="571" spans="2:2">
      <c r="B571" s="422"/>
    </row>
    <row r="572" spans="2:2">
      <c r="B572" s="422"/>
    </row>
    <row r="573" spans="2:2">
      <c r="B573" s="422"/>
    </row>
    <row r="574" spans="2:2">
      <c r="B574" s="422"/>
    </row>
    <row r="575" spans="2:2">
      <c r="B575" s="422"/>
    </row>
    <row r="576" spans="2:2">
      <c r="B576" s="422"/>
    </row>
    <row r="577" spans="2:2">
      <c r="B577" s="422"/>
    </row>
    <row r="578" spans="2:2">
      <c r="B578" s="422"/>
    </row>
    <row r="579" spans="2:2">
      <c r="B579" s="422"/>
    </row>
    <row r="580" spans="2:2">
      <c r="B580" s="422"/>
    </row>
    <row r="581" spans="2:2">
      <c r="B581" s="422"/>
    </row>
    <row r="582" spans="2:2">
      <c r="B582" s="422"/>
    </row>
    <row r="583" spans="2:2">
      <c r="B583" s="422"/>
    </row>
    <row r="584" spans="2:2">
      <c r="B584" s="422"/>
    </row>
    <row r="585" spans="2:2">
      <c r="B585" s="422"/>
    </row>
    <row r="586" spans="2:2">
      <c r="B586" s="422"/>
    </row>
    <row r="587" spans="2:2">
      <c r="B587" s="422"/>
    </row>
    <row r="588" spans="2:2">
      <c r="B588" s="422"/>
    </row>
    <row r="589" spans="2:2">
      <c r="B589" s="422"/>
    </row>
    <row r="590" spans="2:2">
      <c r="B590" s="422"/>
    </row>
    <row r="591" spans="2:2">
      <c r="B591" s="422"/>
    </row>
    <row r="592" spans="2:2">
      <c r="B592" s="422"/>
    </row>
    <row r="593" spans="2:2">
      <c r="B593" s="422"/>
    </row>
    <row r="594" spans="2:2">
      <c r="B594" s="422"/>
    </row>
    <row r="595" spans="2:2">
      <c r="B595" s="422"/>
    </row>
    <row r="596" spans="2:2">
      <c r="B596" s="422"/>
    </row>
    <row r="597" spans="2:2">
      <c r="B597" s="422"/>
    </row>
    <row r="598" spans="2:2">
      <c r="B598" s="422"/>
    </row>
    <row r="599" spans="2:2">
      <c r="B599" s="422"/>
    </row>
    <row r="600" spans="2:2">
      <c r="B600" s="422"/>
    </row>
    <row r="601" spans="2:2">
      <c r="B601" s="422"/>
    </row>
    <row r="602" spans="2:2">
      <c r="B602" s="422"/>
    </row>
    <row r="603" spans="2:2">
      <c r="B603" s="422"/>
    </row>
    <row r="604" spans="2:2">
      <c r="B604" s="422"/>
    </row>
    <row r="605" spans="2:2">
      <c r="B605" s="422"/>
    </row>
    <row r="606" spans="2:2">
      <c r="B606" s="422"/>
    </row>
    <row r="607" spans="2:2">
      <c r="B607" s="422"/>
    </row>
    <row r="608" spans="2:2">
      <c r="B608" s="422"/>
    </row>
    <row r="609" spans="2:2">
      <c r="B609" s="422"/>
    </row>
    <row r="610" spans="2:2">
      <c r="B610" s="422"/>
    </row>
    <row r="611" spans="2:2">
      <c r="B611" s="422"/>
    </row>
    <row r="612" spans="2:2">
      <c r="B612" s="422"/>
    </row>
    <row r="613" spans="2:2">
      <c r="B613" s="422"/>
    </row>
    <row r="614" spans="2:2">
      <c r="B614" s="422"/>
    </row>
    <row r="615" spans="2:2">
      <c r="B615" s="422"/>
    </row>
    <row r="616" spans="2:2">
      <c r="B616" s="422"/>
    </row>
    <row r="617" spans="2:2">
      <c r="B617" s="422"/>
    </row>
    <row r="618" spans="2:2">
      <c r="B618" s="422"/>
    </row>
    <row r="619" spans="2:2">
      <c r="B619" s="422"/>
    </row>
    <row r="620" spans="2:2">
      <c r="B620" s="422"/>
    </row>
    <row r="621" spans="2:2">
      <c r="B621" s="422"/>
    </row>
    <row r="622" spans="2:2">
      <c r="B622" s="422"/>
    </row>
    <row r="623" spans="2:2">
      <c r="B623" s="422"/>
    </row>
    <row r="624" spans="2:2">
      <c r="B624" s="422"/>
    </row>
    <row r="625" spans="2:2">
      <c r="B625" s="422"/>
    </row>
    <row r="626" spans="2:2">
      <c r="B626" s="422"/>
    </row>
    <row r="627" spans="2:2">
      <c r="B627" s="422"/>
    </row>
    <row r="628" spans="2:2">
      <c r="B628" s="422"/>
    </row>
    <row r="629" spans="2:2">
      <c r="B629" s="422"/>
    </row>
    <row r="630" spans="2:2">
      <c r="B630" s="422"/>
    </row>
    <row r="631" spans="2:2">
      <c r="B631" s="422"/>
    </row>
    <row r="632" spans="2:2">
      <c r="B632" s="422"/>
    </row>
    <row r="633" spans="2:2">
      <c r="B633" s="422"/>
    </row>
    <row r="634" spans="2:2">
      <c r="B634" s="422"/>
    </row>
    <row r="635" spans="2:2">
      <c r="B635" s="422"/>
    </row>
    <row r="636" spans="2:2">
      <c r="B636" s="422"/>
    </row>
    <row r="637" spans="2:2">
      <c r="B637" s="422"/>
    </row>
    <row r="638" spans="2:2">
      <c r="B638" s="422"/>
    </row>
    <row r="639" spans="2:2">
      <c r="B639" s="422"/>
    </row>
    <row r="640" spans="2:2">
      <c r="B640" s="422"/>
    </row>
    <row r="641" spans="2:2">
      <c r="B641" s="422"/>
    </row>
    <row r="642" spans="2:2">
      <c r="B642" s="422"/>
    </row>
    <row r="643" spans="2:2">
      <c r="B643" s="422"/>
    </row>
    <row r="644" spans="2:2">
      <c r="B644" s="422"/>
    </row>
    <row r="645" spans="2:2">
      <c r="B645" s="422"/>
    </row>
    <row r="646" spans="2:2">
      <c r="B646" s="422"/>
    </row>
    <row r="647" spans="2:2">
      <c r="B647" s="422"/>
    </row>
    <row r="648" spans="2:2">
      <c r="B648" s="422"/>
    </row>
    <row r="649" spans="2:2">
      <c r="B649" s="422"/>
    </row>
    <row r="650" spans="2:2">
      <c r="B650" s="422"/>
    </row>
    <row r="651" spans="2:2">
      <c r="B651" s="422"/>
    </row>
    <row r="652" spans="2:2">
      <c r="B652" s="422"/>
    </row>
    <row r="653" spans="2:2">
      <c r="B653" s="422"/>
    </row>
    <row r="654" spans="2:2">
      <c r="B654" s="422"/>
    </row>
    <row r="655" spans="2:2">
      <c r="B655" s="422"/>
    </row>
    <row r="656" spans="2:2">
      <c r="B656" s="422"/>
    </row>
    <row r="657" spans="2:2">
      <c r="B657" s="422"/>
    </row>
    <row r="658" spans="2:2">
      <c r="B658" s="422"/>
    </row>
    <row r="659" spans="2:2">
      <c r="B659" s="422"/>
    </row>
    <row r="660" spans="2:2">
      <c r="B660" s="422"/>
    </row>
    <row r="661" spans="2:2">
      <c r="B661" s="422"/>
    </row>
    <row r="662" spans="2:2">
      <c r="B662" s="422"/>
    </row>
    <row r="663" spans="2:2">
      <c r="B663" s="422"/>
    </row>
    <row r="664" spans="2:2">
      <c r="B664" s="422"/>
    </row>
    <row r="665" spans="2:2">
      <c r="B665" s="422"/>
    </row>
    <row r="666" spans="2:2">
      <c r="B666" s="422"/>
    </row>
    <row r="667" spans="2:2">
      <c r="B667" s="422"/>
    </row>
    <row r="668" spans="2:2">
      <c r="B668" s="422"/>
    </row>
    <row r="669" spans="2:2">
      <c r="B669" s="422"/>
    </row>
    <row r="670" spans="2:2">
      <c r="B670" s="422"/>
    </row>
    <row r="671" spans="2:2">
      <c r="B671" s="422"/>
    </row>
    <row r="672" spans="2:2">
      <c r="B672" s="422"/>
    </row>
    <row r="673" spans="2:2">
      <c r="B673" s="422"/>
    </row>
    <row r="674" spans="2:2">
      <c r="B674" s="422"/>
    </row>
    <row r="675" spans="2:2">
      <c r="B675" s="422"/>
    </row>
    <row r="676" spans="2:2">
      <c r="B676" s="422"/>
    </row>
    <row r="677" spans="2:2">
      <c r="B677" s="422"/>
    </row>
    <row r="678" spans="2:2">
      <c r="B678" s="422"/>
    </row>
    <row r="679" spans="2:2">
      <c r="B679" s="422"/>
    </row>
    <row r="680" spans="2:2">
      <c r="B680" s="422"/>
    </row>
    <row r="681" spans="2:2">
      <c r="B681" s="422"/>
    </row>
    <row r="682" spans="2:2">
      <c r="B682" s="422"/>
    </row>
    <row r="683" spans="2:2">
      <c r="B683" s="422"/>
    </row>
    <row r="684" spans="2:2">
      <c r="B684" s="422"/>
    </row>
    <row r="685" spans="2:2">
      <c r="B685" s="422"/>
    </row>
    <row r="686" spans="2:2">
      <c r="B686" s="422"/>
    </row>
    <row r="687" spans="2:2">
      <c r="B687" s="422"/>
    </row>
    <row r="688" spans="2:2">
      <c r="B688" s="422"/>
    </row>
    <row r="689" spans="2:2">
      <c r="B689" s="422"/>
    </row>
    <row r="690" spans="2:2">
      <c r="B690" s="422"/>
    </row>
    <row r="691" spans="2:2">
      <c r="B691" s="422"/>
    </row>
    <row r="692" spans="2:2">
      <c r="B692" s="422"/>
    </row>
    <row r="693" spans="2:2">
      <c r="B693" s="422"/>
    </row>
    <row r="694" spans="2:2">
      <c r="B694" s="422"/>
    </row>
    <row r="695" spans="2:2">
      <c r="B695" s="422"/>
    </row>
    <row r="696" spans="2:2">
      <c r="B696" s="422"/>
    </row>
    <row r="697" spans="2:2">
      <c r="B697" s="422"/>
    </row>
    <row r="698" spans="2:2">
      <c r="B698" s="422"/>
    </row>
    <row r="699" spans="2:2">
      <c r="B699" s="422"/>
    </row>
    <row r="700" spans="2:2">
      <c r="B700" s="422"/>
    </row>
    <row r="701" spans="2:2">
      <c r="B701" s="422"/>
    </row>
    <row r="702" spans="2:2">
      <c r="B702" s="422"/>
    </row>
    <row r="703" spans="2:2">
      <c r="B703" s="422"/>
    </row>
    <row r="704" spans="2:2">
      <c r="B704" s="422"/>
    </row>
    <row r="705" spans="2:2">
      <c r="B705" s="422"/>
    </row>
    <row r="706" spans="2:2">
      <c r="B706" s="422"/>
    </row>
    <row r="707" spans="2:2">
      <c r="B707" s="422"/>
    </row>
    <row r="708" spans="2:2">
      <c r="B708" s="422"/>
    </row>
    <row r="709" spans="2:2">
      <c r="B709" s="422"/>
    </row>
    <row r="710" spans="2:2">
      <c r="B710" s="422"/>
    </row>
    <row r="711" spans="2:2">
      <c r="B711" s="422"/>
    </row>
    <row r="712" spans="2:2">
      <c r="B712" s="422"/>
    </row>
    <row r="713" spans="2:2">
      <c r="B713" s="422"/>
    </row>
    <row r="714" spans="2:2">
      <c r="B714" s="422"/>
    </row>
    <row r="715" spans="2:2">
      <c r="B715" s="422"/>
    </row>
    <row r="716" spans="2:2">
      <c r="B716" s="422"/>
    </row>
    <row r="717" spans="2:2">
      <c r="B717" s="422"/>
    </row>
    <row r="718" spans="2:2">
      <c r="B718" s="422"/>
    </row>
    <row r="719" spans="2:2">
      <c r="B719" s="422"/>
    </row>
    <row r="720" spans="2:2">
      <c r="B720" s="422"/>
    </row>
    <row r="721" spans="2:2">
      <c r="B721" s="422"/>
    </row>
    <row r="722" spans="2:2">
      <c r="B722" s="422"/>
    </row>
    <row r="723" spans="2:2">
      <c r="B723" s="422"/>
    </row>
    <row r="724" spans="2:2">
      <c r="B724" s="422"/>
    </row>
    <row r="725" spans="2:2">
      <c r="B725" s="422"/>
    </row>
    <row r="726" spans="2:2">
      <c r="B726" s="422"/>
    </row>
    <row r="727" spans="2:2">
      <c r="B727" s="422"/>
    </row>
    <row r="728" spans="2:2">
      <c r="B728" s="422"/>
    </row>
    <row r="729" spans="2:2">
      <c r="B729" s="422"/>
    </row>
    <row r="730" spans="2:2">
      <c r="B730" s="422"/>
    </row>
    <row r="731" spans="2:2">
      <c r="B731" s="422"/>
    </row>
    <row r="732" spans="2:2">
      <c r="B732" s="422"/>
    </row>
    <row r="733" spans="2:2">
      <c r="B733" s="422"/>
    </row>
    <row r="734" spans="2:2">
      <c r="B734" s="422"/>
    </row>
    <row r="735" spans="2:2">
      <c r="B735" s="422"/>
    </row>
    <row r="736" spans="2:2">
      <c r="B736" s="422"/>
    </row>
    <row r="737" spans="2:2">
      <c r="B737" s="422"/>
    </row>
    <row r="738" spans="2:2">
      <c r="B738" s="422"/>
    </row>
    <row r="739" spans="2:2">
      <c r="B739" s="422"/>
    </row>
    <row r="740" spans="2:2">
      <c r="B740" s="422"/>
    </row>
    <row r="741" spans="2:2">
      <c r="B741" s="422"/>
    </row>
    <row r="742" spans="2:2">
      <c r="B742" s="422"/>
    </row>
    <row r="743" spans="2:2">
      <c r="B743" s="422"/>
    </row>
    <row r="744" spans="2:2">
      <c r="B744" s="422"/>
    </row>
    <row r="745" spans="2:2">
      <c r="B745" s="422"/>
    </row>
    <row r="746" spans="2:2">
      <c r="B746" s="422"/>
    </row>
    <row r="747" spans="2:2">
      <c r="B747" s="422"/>
    </row>
    <row r="748" spans="2:2">
      <c r="B748" s="422"/>
    </row>
    <row r="749" spans="2:2">
      <c r="B749" s="422"/>
    </row>
    <row r="750" spans="2:2">
      <c r="B750" s="422"/>
    </row>
    <row r="751" spans="2:2">
      <c r="B751" s="422"/>
    </row>
    <row r="752" spans="2:2">
      <c r="B752" s="422"/>
    </row>
    <row r="753" spans="2:2">
      <c r="B753" s="422"/>
    </row>
    <row r="754" spans="2:2">
      <c r="B754" s="422"/>
    </row>
    <row r="755" spans="2:2">
      <c r="B755" s="422"/>
    </row>
    <row r="756" spans="2:2">
      <c r="B756" s="422"/>
    </row>
    <row r="757" spans="2:2">
      <c r="B757" s="422"/>
    </row>
    <row r="758" spans="2:2">
      <c r="B758" s="422"/>
    </row>
    <row r="759" spans="2:2">
      <c r="B759" s="422"/>
    </row>
    <row r="760" spans="2:2">
      <c r="B760" s="422"/>
    </row>
    <row r="761" spans="2:2">
      <c r="B761" s="422"/>
    </row>
    <row r="762" spans="2:2">
      <c r="B762" s="422"/>
    </row>
    <row r="763" spans="2:2">
      <c r="B763" s="422"/>
    </row>
    <row r="764" spans="2:2">
      <c r="B764" s="422"/>
    </row>
    <row r="765" spans="2:2">
      <c r="B765" s="422"/>
    </row>
    <row r="766" spans="2:2">
      <c r="B766" s="422"/>
    </row>
    <row r="767" spans="2:2">
      <c r="B767" s="422"/>
    </row>
    <row r="768" spans="2:2">
      <c r="B768" s="422"/>
    </row>
    <row r="769" spans="2:2">
      <c r="B769" s="422"/>
    </row>
    <row r="770" spans="2:2">
      <c r="B770" s="422"/>
    </row>
    <row r="771" spans="2:2">
      <c r="B771" s="422"/>
    </row>
    <row r="772" spans="2:2">
      <c r="B772" s="422"/>
    </row>
    <row r="773" spans="2:2">
      <c r="B773" s="422"/>
    </row>
    <row r="774" spans="2:2">
      <c r="B774" s="422"/>
    </row>
    <row r="775" spans="2:2">
      <c r="B775" s="422"/>
    </row>
    <row r="776" spans="2:2">
      <c r="B776" s="422"/>
    </row>
    <row r="777" spans="2:2">
      <c r="B777" s="422"/>
    </row>
    <row r="778" spans="2:2">
      <c r="B778" s="422"/>
    </row>
    <row r="779" spans="2:2">
      <c r="B779" s="422"/>
    </row>
    <row r="780" spans="2:2">
      <c r="B780" s="422"/>
    </row>
    <row r="781" spans="2:2">
      <c r="B781" s="422"/>
    </row>
    <row r="782" spans="2:2">
      <c r="B782" s="422"/>
    </row>
    <row r="783" spans="2:2">
      <c r="B783" s="422"/>
    </row>
    <row r="784" spans="2:2">
      <c r="B784" s="422"/>
    </row>
    <row r="785" spans="2:2">
      <c r="B785" s="422"/>
    </row>
    <row r="786" spans="2:2">
      <c r="B786" s="422"/>
    </row>
    <row r="787" spans="2:2">
      <c r="B787" s="422"/>
    </row>
    <row r="788" spans="2:2">
      <c r="B788" s="422"/>
    </row>
    <row r="789" spans="2:2">
      <c r="B789" s="422"/>
    </row>
    <row r="790" spans="2:2">
      <c r="B790" s="422"/>
    </row>
    <row r="791" spans="2:2">
      <c r="B791" s="422"/>
    </row>
    <row r="792" spans="2:2">
      <c r="B792" s="422"/>
    </row>
    <row r="793" spans="2:2">
      <c r="B793" s="422"/>
    </row>
    <row r="794" spans="2:2">
      <c r="B794" s="422"/>
    </row>
    <row r="795" spans="2:2">
      <c r="B795" s="422"/>
    </row>
    <row r="796" spans="2:2">
      <c r="B796" s="422"/>
    </row>
    <row r="797" spans="2:2">
      <c r="B797" s="422"/>
    </row>
    <row r="798" spans="2:2">
      <c r="B798" s="422"/>
    </row>
    <row r="799" spans="2:2">
      <c r="B799" s="422"/>
    </row>
    <row r="800" spans="2:2">
      <c r="B800" s="422"/>
    </row>
    <row r="801" spans="2:2">
      <c r="B801" s="422"/>
    </row>
    <row r="802" spans="2:2">
      <c r="B802" s="422"/>
    </row>
    <row r="803" spans="2:2">
      <c r="B803" s="422"/>
    </row>
    <row r="804" spans="2:2">
      <c r="B804" s="422"/>
    </row>
    <row r="805" spans="2:2">
      <c r="B805" s="422"/>
    </row>
    <row r="806" spans="2:2">
      <c r="B806" s="422"/>
    </row>
    <row r="807" spans="2:2">
      <c r="B807" s="422"/>
    </row>
    <row r="808" spans="2:2">
      <c r="B808" s="422"/>
    </row>
    <row r="809" spans="2:2">
      <c r="B809" s="422"/>
    </row>
    <row r="810" spans="2:2">
      <c r="B810" s="422"/>
    </row>
    <row r="811" spans="2:2">
      <c r="B811" s="422"/>
    </row>
    <row r="812" spans="2:2">
      <c r="B812" s="422"/>
    </row>
    <row r="813" spans="2:2">
      <c r="B813" s="422"/>
    </row>
    <row r="814" spans="2:2">
      <c r="B814" s="422"/>
    </row>
    <row r="815" spans="2:2">
      <c r="B815" s="422"/>
    </row>
    <row r="816" spans="2:2">
      <c r="B816" s="422"/>
    </row>
    <row r="817" spans="2:2">
      <c r="B817" s="422"/>
    </row>
    <row r="818" spans="2:2">
      <c r="B818" s="422"/>
    </row>
    <row r="819" spans="2:2">
      <c r="B819" s="422"/>
    </row>
    <row r="820" spans="2:2">
      <c r="B820" s="422"/>
    </row>
    <row r="821" spans="2:2">
      <c r="B821" s="422"/>
    </row>
    <row r="822" spans="2:2">
      <c r="B822" s="422"/>
    </row>
    <row r="823" spans="2:2">
      <c r="B823" s="422"/>
    </row>
    <row r="824" spans="2:2">
      <c r="B824" s="422"/>
    </row>
    <row r="825" spans="2:2">
      <c r="B825" s="422"/>
    </row>
    <row r="826" spans="2:2">
      <c r="B826" s="422"/>
    </row>
    <row r="827" spans="2:2">
      <c r="B827" s="422"/>
    </row>
    <row r="828" spans="2:2">
      <c r="B828" s="422"/>
    </row>
    <row r="829" spans="2:2">
      <c r="B829" s="422"/>
    </row>
    <row r="830" spans="2:2">
      <c r="B830" s="422"/>
    </row>
    <row r="831" spans="2:2">
      <c r="B831" s="422"/>
    </row>
    <row r="832" spans="2:2">
      <c r="B832" s="422"/>
    </row>
    <row r="833" spans="2:2">
      <c r="B833" s="422"/>
    </row>
    <row r="834" spans="2:2">
      <c r="B834" s="422"/>
    </row>
    <row r="835" spans="2:2">
      <c r="B835" s="422"/>
    </row>
    <row r="836" spans="2:2">
      <c r="B836" s="422"/>
    </row>
    <row r="837" spans="2:2">
      <c r="B837" s="422"/>
    </row>
    <row r="838" spans="2:2">
      <c r="B838" s="422"/>
    </row>
    <row r="839" spans="2:2">
      <c r="B839" s="422"/>
    </row>
    <row r="840" spans="2:2">
      <c r="B840" s="422"/>
    </row>
    <row r="841" spans="2:2">
      <c r="B841" s="422"/>
    </row>
    <row r="842" spans="2:2">
      <c r="B842" s="422"/>
    </row>
    <row r="843" spans="2:2">
      <c r="B843" s="422"/>
    </row>
    <row r="844" spans="2:2">
      <c r="B844" s="422"/>
    </row>
    <row r="845" spans="2:2">
      <c r="B845" s="422"/>
    </row>
    <row r="846" spans="2:2">
      <c r="B846" s="422"/>
    </row>
    <row r="847" spans="2:2">
      <c r="B847" s="422"/>
    </row>
    <row r="848" spans="2:2">
      <c r="B848" s="422"/>
    </row>
    <row r="849" spans="2:2">
      <c r="B849" s="422"/>
    </row>
    <row r="850" spans="2:2">
      <c r="B850" s="422"/>
    </row>
    <row r="851" spans="2:2">
      <c r="B851" s="422"/>
    </row>
    <row r="852" spans="2:2">
      <c r="B852" s="422"/>
    </row>
    <row r="853" spans="2:2">
      <c r="B853" s="422"/>
    </row>
    <row r="854" spans="2:2">
      <c r="B854" s="422"/>
    </row>
    <row r="855" spans="2:2">
      <c r="B855" s="422"/>
    </row>
    <row r="856" spans="2:2">
      <c r="B856" s="422"/>
    </row>
    <row r="857" spans="2:2">
      <c r="B857" s="422"/>
    </row>
    <row r="858" spans="2:2">
      <c r="B858" s="422"/>
    </row>
    <row r="859" spans="2:2">
      <c r="B859" s="422"/>
    </row>
    <row r="860" spans="2:2">
      <c r="B860" s="422"/>
    </row>
    <row r="861" spans="2:2">
      <c r="B861" s="422"/>
    </row>
    <row r="862" spans="2:2">
      <c r="B862" s="422"/>
    </row>
    <row r="863" spans="2:2">
      <c r="B863" s="422"/>
    </row>
    <row r="864" spans="2:2">
      <c r="B864" s="422"/>
    </row>
    <row r="865" spans="2:2">
      <c r="B865" s="422"/>
    </row>
    <row r="866" spans="2:2">
      <c r="B866" s="422"/>
    </row>
    <row r="867" spans="2:2">
      <c r="B867" s="422"/>
    </row>
    <row r="868" spans="2:2">
      <c r="B868" s="422"/>
    </row>
    <row r="869" spans="2:2">
      <c r="B869" s="422"/>
    </row>
    <row r="870" spans="2:2">
      <c r="B870" s="422"/>
    </row>
    <row r="871" spans="2:2">
      <c r="B871" s="422"/>
    </row>
    <row r="872" spans="2:2">
      <c r="B872" s="422"/>
    </row>
    <row r="873" spans="2:2">
      <c r="B873" s="422"/>
    </row>
    <row r="874" spans="2:2">
      <c r="B874" s="422"/>
    </row>
    <row r="875" spans="2:2">
      <c r="B875" s="422"/>
    </row>
    <row r="876" spans="2:2">
      <c r="B876" s="422"/>
    </row>
    <row r="877" spans="2:2">
      <c r="B877" s="422"/>
    </row>
    <row r="878" spans="2:2">
      <c r="B878" s="422"/>
    </row>
    <row r="879" spans="2:2">
      <c r="B879" s="422"/>
    </row>
    <row r="880" spans="2:2">
      <c r="B880" s="422"/>
    </row>
    <row r="881" spans="2:2">
      <c r="B881" s="422"/>
    </row>
    <row r="882" spans="2:2">
      <c r="B882" s="422"/>
    </row>
    <row r="883" spans="2:2">
      <c r="B883" s="422"/>
    </row>
    <row r="884" spans="2:2">
      <c r="B884" s="422"/>
    </row>
    <row r="885" spans="2:2">
      <c r="B885" s="422"/>
    </row>
    <row r="886" spans="2:2">
      <c r="B886" s="422"/>
    </row>
    <row r="887" spans="2:2">
      <c r="B887" s="422"/>
    </row>
    <row r="888" spans="2:2">
      <c r="B888" s="422"/>
    </row>
    <row r="889" spans="2:2">
      <c r="B889" s="422"/>
    </row>
    <row r="890" spans="2:2">
      <c r="B890" s="422"/>
    </row>
    <row r="891" spans="2:2">
      <c r="B891" s="422"/>
    </row>
    <row r="892" spans="2:2">
      <c r="B892" s="422"/>
    </row>
    <row r="893" spans="2:2">
      <c r="B893" s="422"/>
    </row>
    <row r="894" spans="2:2">
      <c r="B894" s="422"/>
    </row>
    <row r="895" spans="2:2">
      <c r="B895" s="422"/>
    </row>
    <row r="896" spans="2:2">
      <c r="B896" s="422"/>
    </row>
    <row r="897" spans="2:2">
      <c r="B897" s="422"/>
    </row>
    <row r="898" spans="2:2">
      <c r="B898" s="422"/>
    </row>
    <row r="899" spans="2:2">
      <c r="B899" s="422"/>
    </row>
    <row r="900" spans="2:2">
      <c r="B900" s="422"/>
    </row>
    <row r="901" spans="2:2">
      <c r="B901" s="422"/>
    </row>
    <row r="902" spans="2:2">
      <c r="B902" s="422"/>
    </row>
    <row r="903" spans="2:2">
      <c r="B903" s="422"/>
    </row>
    <row r="904" spans="2:2">
      <c r="B904" s="422"/>
    </row>
    <row r="905" spans="2:2">
      <c r="B905" s="422"/>
    </row>
    <row r="906" spans="2:2">
      <c r="B906" s="422"/>
    </row>
    <row r="907" spans="2:2">
      <c r="B907" s="422"/>
    </row>
    <row r="908" spans="2:2">
      <c r="B908" s="422"/>
    </row>
    <row r="909" spans="2:2">
      <c r="B909" s="422"/>
    </row>
    <row r="910" spans="2:2">
      <c r="B910" s="422"/>
    </row>
    <row r="911" spans="2:2">
      <c r="B911" s="422"/>
    </row>
    <row r="912" spans="2:2">
      <c r="B912" s="422"/>
    </row>
    <row r="913" spans="2:2">
      <c r="B913" s="422"/>
    </row>
    <row r="914" spans="2:2">
      <c r="B914" s="422"/>
    </row>
    <row r="915" spans="2:2">
      <c r="B915" s="422"/>
    </row>
    <row r="916" spans="2:2">
      <c r="B916" s="422"/>
    </row>
    <row r="917" spans="2:2">
      <c r="B917" s="422"/>
    </row>
    <row r="918" spans="2:2">
      <c r="B918" s="422"/>
    </row>
    <row r="919" spans="2:2">
      <c r="B919" s="422"/>
    </row>
    <row r="920" spans="2:2">
      <c r="B920" s="422"/>
    </row>
    <row r="921" spans="2:2">
      <c r="B921" s="422"/>
    </row>
    <row r="922" spans="2:2">
      <c r="B922" s="422"/>
    </row>
    <row r="923" spans="2:2">
      <c r="B923" s="422"/>
    </row>
    <row r="924" spans="2:2">
      <c r="B924" s="422"/>
    </row>
    <row r="925" spans="2:2">
      <c r="B925" s="422"/>
    </row>
    <row r="926" spans="2:2">
      <c r="B926" s="422"/>
    </row>
    <row r="927" spans="2:2">
      <c r="B927" s="422"/>
    </row>
    <row r="928" spans="2:2">
      <c r="B928" s="422"/>
    </row>
    <row r="929" spans="2:2">
      <c r="B929" s="422"/>
    </row>
    <row r="930" spans="2:2">
      <c r="B930" s="422"/>
    </row>
    <row r="931" spans="2:2">
      <c r="B931" s="422"/>
    </row>
    <row r="932" spans="2:2">
      <c r="B932" s="422"/>
    </row>
    <row r="933" spans="2:2">
      <c r="B933" s="422"/>
    </row>
    <row r="934" spans="2:2">
      <c r="B934" s="422"/>
    </row>
    <row r="935" spans="2:2">
      <c r="B935" s="422"/>
    </row>
    <row r="936" spans="2:2">
      <c r="B936" s="422"/>
    </row>
    <row r="937" spans="2:2">
      <c r="B937" s="422"/>
    </row>
    <row r="938" spans="2:2">
      <c r="B938" s="422"/>
    </row>
    <row r="939" spans="2:2">
      <c r="B939" s="422"/>
    </row>
    <row r="940" spans="2:2">
      <c r="B940" s="422"/>
    </row>
    <row r="941" spans="2:2">
      <c r="B941" s="422"/>
    </row>
    <row r="942" spans="2:2">
      <c r="B942" s="422"/>
    </row>
    <row r="943" spans="2:2">
      <c r="B943" s="422"/>
    </row>
    <row r="944" spans="2:2">
      <c r="B944" s="422"/>
    </row>
    <row r="945" spans="2:2">
      <c r="B945" s="422"/>
    </row>
    <row r="946" spans="2:2">
      <c r="B946" s="422"/>
    </row>
    <row r="947" spans="2:2">
      <c r="B947" s="422"/>
    </row>
    <row r="948" spans="2:2">
      <c r="B948" s="422"/>
    </row>
    <row r="949" spans="2:2">
      <c r="B949" s="422"/>
    </row>
    <row r="950" spans="2:2">
      <c r="B950" s="422"/>
    </row>
    <row r="951" spans="2:2">
      <c r="B951" s="422"/>
    </row>
    <row r="952" spans="2:2">
      <c r="B952" s="422"/>
    </row>
    <row r="953" spans="2:2">
      <c r="B953" s="422"/>
    </row>
    <row r="954" spans="2:2">
      <c r="B954" s="422"/>
    </row>
    <row r="955" spans="2:2">
      <c r="B955" s="422"/>
    </row>
    <row r="956" spans="2:2">
      <c r="B956" s="422"/>
    </row>
    <row r="957" spans="2:2">
      <c r="B957" s="422"/>
    </row>
    <row r="958" spans="2:2">
      <c r="B958" s="422"/>
    </row>
    <row r="959" spans="2:2">
      <c r="B959" s="422"/>
    </row>
    <row r="960" spans="2:2">
      <c r="B960" s="422"/>
    </row>
    <row r="961" spans="2:2">
      <c r="B961" s="422"/>
    </row>
    <row r="962" spans="2:2">
      <c r="B962" s="422"/>
    </row>
    <row r="963" spans="2:2">
      <c r="B963" s="422"/>
    </row>
    <row r="964" spans="2:2">
      <c r="B964" s="422"/>
    </row>
    <row r="965" spans="2:2">
      <c r="B965" s="422"/>
    </row>
    <row r="966" spans="2:2">
      <c r="B966" s="422"/>
    </row>
    <row r="967" spans="2:2">
      <c r="B967" s="422"/>
    </row>
    <row r="968" spans="2:2">
      <c r="B968" s="422"/>
    </row>
    <row r="969" spans="2:2">
      <c r="B969" s="422"/>
    </row>
    <row r="970" spans="2:2">
      <c r="B970" s="422"/>
    </row>
    <row r="971" spans="2:2">
      <c r="B971" s="422"/>
    </row>
    <row r="972" spans="2:2">
      <c r="B972" s="422"/>
    </row>
    <row r="973" spans="2:2">
      <c r="B973" s="422"/>
    </row>
    <row r="974" spans="2:2">
      <c r="B974" s="422"/>
    </row>
    <row r="975" spans="2:2">
      <c r="B975" s="422"/>
    </row>
    <row r="976" spans="2:2">
      <c r="B976" s="422"/>
    </row>
    <row r="977" spans="2:2">
      <c r="B977" s="422"/>
    </row>
    <row r="978" spans="2:2">
      <c r="B978" s="422"/>
    </row>
    <row r="979" spans="2:2">
      <c r="B979" s="422"/>
    </row>
    <row r="980" spans="2:2">
      <c r="B980" s="422"/>
    </row>
    <row r="981" spans="2:2">
      <c r="B981" s="422"/>
    </row>
    <row r="982" spans="2:2">
      <c r="B982" s="422"/>
    </row>
    <row r="983" spans="2:2">
      <c r="B983" s="422"/>
    </row>
    <row r="984" spans="2:2">
      <c r="B984" s="422"/>
    </row>
    <row r="985" spans="2:2">
      <c r="B985" s="422"/>
    </row>
    <row r="986" spans="2:2">
      <c r="B986" s="422"/>
    </row>
    <row r="987" spans="2:2">
      <c r="B987" s="422"/>
    </row>
    <row r="988" spans="2:2">
      <c r="B988" s="422"/>
    </row>
    <row r="989" spans="2:2">
      <c r="B989" s="422"/>
    </row>
    <row r="990" spans="2:2">
      <c r="B990" s="422"/>
    </row>
    <row r="991" spans="2:2">
      <c r="B991" s="422"/>
    </row>
    <row r="992" spans="2:2">
      <c r="B992" s="422"/>
    </row>
    <row r="993" spans="2:2">
      <c r="B993" s="422"/>
    </row>
    <row r="994" spans="2:2">
      <c r="B994" s="422"/>
    </row>
    <row r="995" spans="2:2">
      <c r="B995" s="422"/>
    </row>
    <row r="996" spans="2:2">
      <c r="B996" s="422"/>
    </row>
    <row r="997" spans="2:2">
      <c r="B997" s="422"/>
    </row>
    <row r="998" spans="2:2">
      <c r="B998" s="422"/>
    </row>
    <row r="999" spans="2:2">
      <c r="B999" s="422"/>
    </row>
    <row r="1000" spans="2:2">
      <c r="B1000" s="422"/>
    </row>
    <row r="1001" spans="2:2">
      <c r="B1001" s="422"/>
    </row>
    <row r="1002" spans="2:2">
      <c r="B1002" s="422"/>
    </row>
    <row r="1003" spans="2:2">
      <c r="B1003" s="422"/>
    </row>
    <row r="1004" spans="2:2">
      <c r="B1004" s="422"/>
    </row>
    <row r="1005" spans="2:2">
      <c r="B1005" s="422"/>
    </row>
    <row r="1006" spans="2:2">
      <c r="B1006" s="422"/>
    </row>
    <row r="1007" spans="2:2">
      <c r="B1007" s="422"/>
    </row>
    <row r="1008" spans="2:2">
      <c r="B1008" s="422"/>
    </row>
    <row r="1009" spans="2:2">
      <c r="B1009" s="422"/>
    </row>
    <row r="1010" spans="2:2">
      <c r="B1010" s="422"/>
    </row>
    <row r="1011" spans="2:2">
      <c r="B1011" s="422"/>
    </row>
    <row r="1012" spans="2:2">
      <c r="B1012" s="422"/>
    </row>
    <row r="1013" spans="2:2">
      <c r="B1013" s="422"/>
    </row>
    <row r="1014" spans="2:2">
      <c r="B1014" s="422"/>
    </row>
    <row r="1015" spans="2:2">
      <c r="B1015" s="422"/>
    </row>
    <row r="1016" spans="2:2">
      <c r="B1016" s="422"/>
    </row>
    <row r="1017" spans="2:2">
      <c r="B1017" s="422"/>
    </row>
    <row r="1018" spans="2:2">
      <c r="B1018" s="422"/>
    </row>
    <row r="1019" spans="2:2">
      <c r="B1019" s="422"/>
    </row>
    <row r="1020" spans="2:2">
      <c r="B1020" s="422"/>
    </row>
    <row r="1021" spans="2:2">
      <c r="B1021" s="422"/>
    </row>
    <row r="1022" spans="2:2">
      <c r="B1022" s="422"/>
    </row>
    <row r="1023" spans="2:2">
      <c r="B1023" s="422"/>
    </row>
    <row r="1024" spans="2:2">
      <c r="B1024" s="422"/>
    </row>
    <row r="1025" spans="2:2">
      <c r="B1025" s="422"/>
    </row>
    <row r="1026" spans="2:2">
      <c r="B1026" s="422"/>
    </row>
    <row r="1027" spans="2:2">
      <c r="B1027" s="422"/>
    </row>
    <row r="1028" spans="2:2">
      <c r="B1028" s="422"/>
    </row>
    <row r="1029" spans="2:2">
      <c r="B1029" s="422"/>
    </row>
    <row r="1030" spans="2:2">
      <c r="B1030" s="422"/>
    </row>
    <row r="1031" spans="2:2">
      <c r="B1031" s="422"/>
    </row>
    <row r="1032" spans="2:2">
      <c r="B1032" s="422"/>
    </row>
    <row r="1033" spans="2:2">
      <c r="B1033" s="422"/>
    </row>
    <row r="1034" spans="2:2">
      <c r="B1034" s="422"/>
    </row>
    <row r="1035" spans="2:2">
      <c r="B1035" s="422"/>
    </row>
    <row r="1036" spans="2:2">
      <c r="B1036" s="422"/>
    </row>
    <row r="1037" spans="2:2">
      <c r="B1037" s="422"/>
    </row>
    <row r="1038" spans="2:2">
      <c r="B1038" s="422"/>
    </row>
    <row r="1039" spans="2:2">
      <c r="B1039" s="422"/>
    </row>
    <row r="1040" spans="2:2">
      <c r="B1040" s="422"/>
    </row>
    <row r="1041" spans="2:2">
      <c r="B1041" s="422"/>
    </row>
    <row r="1042" spans="2:2">
      <c r="B1042" s="422"/>
    </row>
    <row r="1043" spans="2:2">
      <c r="B1043" s="422"/>
    </row>
    <row r="1044" spans="2:2">
      <c r="B1044" s="422"/>
    </row>
    <row r="1045" spans="2:2">
      <c r="B1045" s="422"/>
    </row>
    <row r="1046" spans="2:2">
      <c r="B1046" s="422"/>
    </row>
    <row r="1047" spans="2:2">
      <c r="B1047" s="422"/>
    </row>
    <row r="1048" spans="2:2">
      <c r="B1048" s="422"/>
    </row>
    <row r="1049" spans="2:2">
      <c r="B1049" s="422"/>
    </row>
    <row r="1050" spans="2:2">
      <c r="B1050" s="422"/>
    </row>
    <row r="1051" spans="2:2">
      <c r="B1051" s="422"/>
    </row>
    <row r="1052" spans="2:2">
      <c r="B1052" s="422"/>
    </row>
    <row r="1053" spans="2:2">
      <c r="B1053" s="422"/>
    </row>
    <row r="1054" spans="2:2">
      <c r="B1054" s="422"/>
    </row>
    <row r="1055" spans="2:2">
      <c r="B1055" s="422"/>
    </row>
    <row r="1056" spans="2:2">
      <c r="B1056" s="422"/>
    </row>
    <row r="1057" spans="2:2">
      <c r="B1057" s="422"/>
    </row>
    <row r="1058" spans="2:2">
      <c r="B1058" s="422"/>
    </row>
    <row r="1059" spans="2:2">
      <c r="B1059" s="422"/>
    </row>
    <row r="1060" spans="2:2">
      <c r="B1060" s="422"/>
    </row>
    <row r="1061" spans="2:2">
      <c r="B1061" s="422"/>
    </row>
    <row r="1062" spans="2:2">
      <c r="B1062" s="422"/>
    </row>
    <row r="1063" spans="2:2">
      <c r="B1063" s="422"/>
    </row>
    <row r="1064" spans="2:2">
      <c r="B1064" s="422"/>
    </row>
    <row r="1065" spans="2:2">
      <c r="B1065" s="422"/>
    </row>
    <row r="1066" spans="2:2">
      <c r="B1066" s="422"/>
    </row>
    <row r="1067" spans="2:2">
      <c r="B1067" s="422"/>
    </row>
    <row r="1068" spans="2:2">
      <c r="B1068" s="422"/>
    </row>
    <row r="1069" spans="2:2">
      <c r="B1069" s="422"/>
    </row>
    <row r="1070" spans="2:2">
      <c r="B1070" s="422"/>
    </row>
    <row r="1071" spans="2:2">
      <c r="B1071" s="422"/>
    </row>
    <row r="1072" spans="2:2">
      <c r="B1072" s="422"/>
    </row>
    <row r="1073" spans="2:2">
      <c r="B1073" s="422"/>
    </row>
    <row r="1074" spans="2:2">
      <c r="B1074" s="422"/>
    </row>
    <row r="1075" spans="2:2">
      <c r="B1075" s="422"/>
    </row>
    <row r="1076" spans="2:2">
      <c r="B1076" s="422"/>
    </row>
    <row r="1077" spans="2:2">
      <c r="B1077" s="422"/>
    </row>
    <row r="1078" spans="2:2">
      <c r="B1078" s="422"/>
    </row>
    <row r="1079" spans="2:2">
      <c r="B1079" s="422"/>
    </row>
    <row r="1080" spans="2:2">
      <c r="B1080" s="422"/>
    </row>
    <row r="1081" spans="2:2">
      <c r="B1081" s="422"/>
    </row>
    <row r="1082" spans="2:2">
      <c r="B1082" s="422"/>
    </row>
    <row r="1083" spans="2:2">
      <c r="B1083" s="422"/>
    </row>
    <row r="1084" spans="2:2">
      <c r="B1084" s="422"/>
    </row>
    <row r="1085" spans="2:2">
      <c r="B1085" s="422"/>
    </row>
    <row r="1086" spans="2:2">
      <c r="B1086" s="422"/>
    </row>
    <row r="1087" spans="2:2">
      <c r="B1087" s="422"/>
    </row>
    <row r="1088" spans="2:2">
      <c r="B1088" s="422"/>
    </row>
    <row r="1089" spans="2:2">
      <c r="B1089" s="422"/>
    </row>
    <row r="1090" spans="2:2">
      <c r="B1090" s="422"/>
    </row>
    <row r="1091" spans="2:2">
      <c r="B1091" s="422"/>
    </row>
    <row r="1092" spans="2:2">
      <c r="B1092" s="422"/>
    </row>
    <row r="1093" spans="2:2">
      <c r="B1093" s="422"/>
    </row>
    <row r="1094" spans="2:2">
      <c r="B1094" s="422"/>
    </row>
    <row r="1095" spans="2:2">
      <c r="B1095" s="422"/>
    </row>
    <row r="1096" spans="2:2">
      <c r="B1096" s="422"/>
    </row>
    <row r="1097" spans="2:2">
      <c r="B1097" s="422"/>
    </row>
    <row r="1098" spans="2:2">
      <c r="B1098" s="422"/>
    </row>
    <row r="1099" spans="2:2">
      <c r="B1099" s="422"/>
    </row>
    <row r="1100" spans="2:2">
      <c r="B1100" s="422"/>
    </row>
    <row r="1101" spans="2:2">
      <c r="B1101" s="422"/>
    </row>
    <row r="1102" spans="2:2">
      <c r="B1102" s="422"/>
    </row>
    <row r="1103" spans="2:2">
      <c r="B1103" s="422"/>
    </row>
    <row r="1104" spans="2:2">
      <c r="B1104" s="422"/>
    </row>
    <row r="1105" spans="2:2">
      <c r="B1105" s="422"/>
    </row>
    <row r="1106" spans="2:2">
      <c r="B1106" s="422"/>
    </row>
    <row r="1107" spans="2:2">
      <c r="B1107" s="422"/>
    </row>
    <row r="1108" spans="2:2">
      <c r="B1108" s="422"/>
    </row>
    <row r="1109" spans="2:2">
      <c r="B1109" s="422"/>
    </row>
    <row r="1110" spans="2:2">
      <c r="B1110" s="422"/>
    </row>
    <row r="1111" spans="2:2">
      <c r="B1111" s="422"/>
    </row>
    <row r="1112" spans="2:2">
      <c r="B1112" s="422"/>
    </row>
    <row r="1113" spans="2:2">
      <c r="B1113" s="422"/>
    </row>
    <row r="1114" spans="2:2">
      <c r="B1114" s="422"/>
    </row>
    <row r="1115" spans="2:2">
      <c r="B1115" s="422"/>
    </row>
    <row r="1116" spans="2:2">
      <c r="B1116" s="422"/>
    </row>
    <row r="1117" spans="2:2">
      <c r="B1117" s="422"/>
    </row>
    <row r="1118" spans="2:2">
      <c r="B1118" s="422"/>
    </row>
    <row r="1119" spans="2:2">
      <c r="B1119" s="422"/>
    </row>
    <row r="1120" spans="2:2">
      <c r="B1120" s="422"/>
    </row>
    <row r="1121" spans="2:2">
      <c r="B1121" s="422"/>
    </row>
    <row r="1122" spans="2:2">
      <c r="B1122" s="422"/>
    </row>
    <row r="1123" spans="2:2">
      <c r="B1123" s="422"/>
    </row>
    <row r="1124" spans="2:2">
      <c r="B1124" s="422"/>
    </row>
    <row r="1125" spans="2:2">
      <c r="B1125" s="422"/>
    </row>
    <row r="1126" spans="2:2">
      <c r="B1126" s="422"/>
    </row>
    <row r="1127" spans="2:2">
      <c r="B1127" s="422"/>
    </row>
    <row r="1128" spans="2:2">
      <c r="B1128" s="422"/>
    </row>
    <row r="1129" spans="2:2">
      <c r="B1129" s="422"/>
    </row>
    <row r="1130" spans="2:2">
      <c r="B1130" s="422"/>
    </row>
    <row r="1131" spans="2:2">
      <c r="B1131" s="422"/>
    </row>
    <row r="1132" spans="2:2">
      <c r="B1132" s="422"/>
    </row>
    <row r="1133" spans="2:2">
      <c r="B1133" s="422"/>
    </row>
    <row r="1134" spans="2:2">
      <c r="B1134" s="422"/>
    </row>
    <row r="1135" spans="2:2">
      <c r="B1135" s="422"/>
    </row>
    <row r="1136" spans="2:2">
      <c r="B1136" s="422"/>
    </row>
    <row r="1137" spans="2:2">
      <c r="B1137" s="422"/>
    </row>
    <row r="1138" spans="2:2">
      <c r="B1138" s="422"/>
    </row>
    <row r="1139" spans="2:2">
      <c r="B1139" s="422"/>
    </row>
    <row r="1140" spans="2:2">
      <c r="B1140" s="422"/>
    </row>
    <row r="1141" spans="2:2">
      <c r="B1141" s="422"/>
    </row>
    <row r="1142" spans="2:2">
      <c r="B1142" s="422"/>
    </row>
    <row r="1143" spans="2:2">
      <c r="B1143" s="422"/>
    </row>
    <row r="1144" spans="2:2">
      <c r="B1144" s="422"/>
    </row>
    <row r="1145" spans="2:2">
      <c r="B1145" s="422"/>
    </row>
    <row r="1146" spans="2:2">
      <c r="B1146" s="422"/>
    </row>
    <row r="1147" spans="2:2">
      <c r="B1147" s="422"/>
    </row>
    <row r="1148" spans="2:2">
      <c r="B1148" s="422"/>
    </row>
    <row r="1149" spans="2:2">
      <c r="B1149" s="422"/>
    </row>
    <row r="1150" spans="2:2">
      <c r="B1150" s="422"/>
    </row>
    <row r="1151" spans="2:2">
      <c r="B1151" s="422"/>
    </row>
    <row r="1152" spans="2:2">
      <c r="B1152" s="422"/>
    </row>
    <row r="1153" spans="2:2">
      <c r="B1153" s="422"/>
    </row>
    <row r="1154" spans="2:2">
      <c r="B1154" s="422"/>
    </row>
    <row r="1155" spans="2:2">
      <c r="B1155" s="422"/>
    </row>
    <row r="1156" spans="2:2">
      <c r="B1156" s="422"/>
    </row>
    <row r="1157" spans="2:2">
      <c r="B1157" s="422"/>
    </row>
    <row r="1158" spans="2:2">
      <c r="B1158" s="422"/>
    </row>
    <row r="1159" spans="2:2">
      <c r="B1159" s="422"/>
    </row>
    <row r="1160" spans="2:2">
      <c r="B1160" s="422"/>
    </row>
    <row r="1161" spans="2:2">
      <c r="B1161" s="422"/>
    </row>
    <row r="1162" spans="2:2">
      <c r="B1162" s="422"/>
    </row>
    <row r="1163" spans="2:2">
      <c r="B1163" s="422"/>
    </row>
    <row r="1164" spans="2:2">
      <c r="B1164" s="422"/>
    </row>
    <row r="1165" spans="2:2">
      <c r="B1165" s="422"/>
    </row>
    <row r="1166" spans="2:2">
      <c r="B1166" s="422"/>
    </row>
    <row r="1167" spans="2:2">
      <c r="B1167" s="422"/>
    </row>
    <row r="1168" spans="2:2">
      <c r="B1168" s="422"/>
    </row>
    <row r="1169" spans="2:2">
      <c r="B1169" s="422"/>
    </row>
    <row r="1170" spans="2:2">
      <c r="B1170" s="422"/>
    </row>
    <row r="1171" spans="2:2">
      <c r="B1171" s="422"/>
    </row>
    <row r="1172" spans="2:2">
      <c r="B1172" s="422"/>
    </row>
    <row r="1173" spans="2:2">
      <c r="B1173" s="422"/>
    </row>
    <row r="1174" spans="2:2">
      <c r="B1174" s="422"/>
    </row>
    <row r="1175" spans="2:2">
      <c r="B1175" s="422"/>
    </row>
    <row r="1176" spans="2:2">
      <c r="B1176" s="422"/>
    </row>
    <row r="1177" spans="2:2">
      <c r="B1177" s="422"/>
    </row>
    <row r="1178" spans="2:2">
      <c r="B1178" s="422"/>
    </row>
    <row r="1179" spans="2:2">
      <c r="B1179" s="422"/>
    </row>
    <row r="1180" spans="2:2">
      <c r="B1180" s="422"/>
    </row>
    <row r="1181" spans="2:2">
      <c r="B1181" s="422"/>
    </row>
    <row r="1182" spans="2:2">
      <c r="B1182" s="422"/>
    </row>
    <row r="1183" spans="2:2">
      <c r="B1183" s="422"/>
    </row>
    <row r="1184" spans="2:2">
      <c r="B1184" s="422"/>
    </row>
    <row r="1185" spans="2:2">
      <c r="B1185" s="422"/>
    </row>
    <row r="1186" spans="2:2">
      <c r="B1186" s="422"/>
    </row>
    <row r="1187" spans="2:2">
      <c r="B1187" s="422"/>
    </row>
    <row r="1188" spans="2:2">
      <c r="B1188" s="422"/>
    </row>
    <row r="1189" spans="2:2">
      <c r="B1189" s="422"/>
    </row>
    <row r="1190" spans="2:2">
      <c r="B1190" s="422"/>
    </row>
    <row r="1191" spans="2:2">
      <c r="B1191" s="422"/>
    </row>
    <row r="1192" spans="2:2">
      <c r="B1192" s="422"/>
    </row>
    <row r="1193" spans="2:2">
      <c r="B1193" s="422"/>
    </row>
    <row r="1194" spans="2:2">
      <c r="B1194" s="422"/>
    </row>
    <row r="1195" spans="2:2">
      <c r="B1195" s="422"/>
    </row>
    <row r="1196" spans="2:2">
      <c r="B1196" s="422"/>
    </row>
    <row r="1197" spans="2:2">
      <c r="B1197" s="422"/>
    </row>
    <row r="1198" spans="2:2">
      <c r="B1198" s="422"/>
    </row>
    <row r="1199" spans="2:2">
      <c r="B1199" s="422"/>
    </row>
    <row r="1200" spans="2:2">
      <c r="B1200" s="422"/>
    </row>
    <row r="1201" spans="2:2">
      <c r="B1201" s="422"/>
    </row>
    <row r="1202" spans="2:2">
      <c r="B1202" s="422"/>
    </row>
    <row r="1203" spans="2:2">
      <c r="B1203" s="422"/>
    </row>
    <row r="1204" spans="2:2">
      <c r="B1204" s="422"/>
    </row>
    <row r="1205" spans="2:2">
      <c r="B1205" s="422"/>
    </row>
    <row r="1206" spans="2:2">
      <c r="B1206" s="422"/>
    </row>
    <row r="1207" spans="2:2">
      <c r="B1207" s="422"/>
    </row>
    <row r="1208" spans="2:2">
      <c r="B1208" s="422"/>
    </row>
    <row r="1209" spans="2:2">
      <c r="B1209" s="422"/>
    </row>
    <row r="1210" spans="2:2">
      <c r="B1210" s="422"/>
    </row>
    <row r="1211" spans="2:2">
      <c r="B1211" s="422"/>
    </row>
    <row r="1212" spans="2:2">
      <c r="B1212" s="422"/>
    </row>
    <row r="1213" spans="2:2">
      <c r="B1213" s="422"/>
    </row>
    <row r="1214" spans="2:2">
      <c r="B1214" s="422"/>
    </row>
    <row r="1215" spans="2:2">
      <c r="B1215" s="422"/>
    </row>
    <row r="1216" spans="2:2">
      <c r="B1216" s="422"/>
    </row>
    <row r="1217" spans="2:2">
      <c r="B1217" s="422"/>
    </row>
    <row r="1218" spans="2:2">
      <c r="B1218" s="422"/>
    </row>
    <row r="1219" spans="2:2">
      <c r="B1219" s="422"/>
    </row>
    <row r="1220" spans="2:2">
      <c r="B1220" s="422"/>
    </row>
    <row r="1221" spans="2:2">
      <c r="B1221" s="422"/>
    </row>
    <row r="1222" spans="2:2">
      <c r="B1222" s="422"/>
    </row>
    <row r="1223" spans="2:2">
      <c r="B1223" s="422"/>
    </row>
    <row r="1224" spans="2:2">
      <c r="B1224" s="422"/>
    </row>
    <row r="1225" spans="2:2">
      <c r="B1225" s="422"/>
    </row>
    <row r="1226" spans="2:2">
      <c r="B1226" s="422"/>
    </row>
    <row r="1227" spans="2:2">
      <c r="B1227" s="422"/>
    </row>
    <row r="1228" spans="2:2">
      <c r="B1228" s="422"/>
    </row>
    <row r="1229" spans="2:2">
      <c r="B1229" s="422"/>
    </row>
    <row r="1230" spans="2:2">
      <c r="B1230" s="422"/>
    </row>
    <row r="1231" spans="2:2">
      <c r="B1231" s="422"/>
    </row>
    <row r="1232" spans="2:2">
      <c r="B1232" s="422"/>
    </row>
    <row r="1233" spans="2:2">
      <c r="B1233" s="422"/>
    </row>
    <row r="1234" spans="2:2">
      <c r="B1234" s="422"/>
    </row>
    <row r="1235" spans="2:2">
      <c r="B1235" s="422"/>
    </row>
    <row r="1236" spans="2:2">
      <c r="B1236" s="422"/>
    </row>
    <row r="1237" spans="2:2">
      <c r="B1237" s="422"/>
    </row>
    <row r="1238" spans="2:2">
      <c r="B1238" s="422"/>
    </row>
    <row r="1239" spans="2:2">
      <c r="B1239" s="422"/>
    </row>
    <row r="1240" spans="2:2">
      <c r="B1240" s="422"/>
    </row>
    <row r="1241" spans="2:2">
      <c r="B1241" s="422"/>
    </row>
    <row r="1242" spans="2:2">
      <c r="B1242" s="422"/>
    </row>
    <row r="1243" spans="2:2">
      <c r="B1243" s="422"/>
    </row>
    <row r="1244" spans="2:2">
      <c r="B1244" s="422"/>
    </row>
    <row r="1245" spans="2:2">
      <c r="B1245" s="422"/>
    </row>
    <row r="1246" spans="2:2">
      <c r="B1246" s="422"/>
    </row>
    <row r="1247" spans="2:2">
      <c r="B1247" s="422"/>
    </row>
    <row r="1248" spans="2:2">
      <c r="B1248" s="422"/>
    </row>
    <row r="1249" spans="2:2">
      <c r="B1249" s="422"/>
    </row>
    <row r="1250" spans="2:2">
      <c r="B1250" s="422"/>
    </row>
    <row r="1251" spans="2:2">
      <c r="B1251" s="422"/>
    </row>
    <row r="1252" spans="2:2">
      <c r="B1252" s="422"/>
    </row>
    <row r="1253" spans="2:2">
      <c r="B1253" s="422"/>
    </row>
    <row r="1254" spans="2:2">
      <c r="B1254" s="422"/>
    </row>
    <row r="1255" spans="2:2">
      <c r="B1255" s="422"/>
    </row>
    <row r="1256" spans="2:2">
      <c r="B1256" s="422"/>
    </row>
    <row r="1257" spans="2:2">
      <c r="B1257" s="422"/>
    </row>
    <row r="1258" spans="2:2">
      <c r="B1258" s="422"/>
    </row>
    <row r="1259" spans="2:2">
      <c r="B1259" s="422"/>
    </row>
    <row r="1260" spans="2:2">
      <c r="B1260" s="422"/>
    </row>
    <row r="1261" spans="2:2">
      <c r="B1261" s="422"/>
    </row>
    <row r="1262" spans="2:2">
      <c r="B1262" s="422"/>
    </row>
    <row r="1263" spans="2:2">
      <c r="B1263" s="422"/>
    </row>
    <row r="1264" spans="2:2">
      <c r="B1264" s="422"/>
    </row>
    <row r="1265" spans="2:2">
      <c r="B1265" s="422"/>
    </row>
    <row r="1266" spans="2:2">
      <c r="B1266" s="422"/>
    </row>
    <row r="1267" spans="2:2">
      <c r="B1267" s="422"/>
    </row>
    <row r="1268" spans="2:2">
      <c r="B1268" s="422"/>
    </row>
    <row r="1269" spans="2:2">
      <c r="B1269" s="422"/>
    </row>
    <row r="1270" spans="2:2">
      <c r="B1270" s="422"/>
    </row>
    <row r="1271" spans="2:2">
      <c r="B1271" s="422"/>
    </row>
    <row r="1272" spans="2:2">
      <c r="B1272" s="422"/>
    </row>
    <row r="1273" spans="2:2">
      <c r="B1273" s="422"/>
    </row>
    <row r="1274" spans="2:2">
      <c r="B1274" s="422"/>
    </row>
    <row r="1275" spans="2:2">
      <c r="B1275" s="422"/>
    </row>
    <row r="1276" spans="2:2">
      <c r="B1276" s="422"/>
    </row>
    <row r="1277" spans="2:2">
      <c r="B1277" s="422"/>
    </row>
    <row r="1278" spans="2:2">
      <c r="B1278" s="422"/>
    </row>
    <row r="1279" spans="2:2">
      <c r="B1279" s="422"/>
    </row>
    <row r="1280" spans="2:2">
      <c r="B1280" s="422"/>
    </row>
    <row r="1281" spans="2:2">
      <c r="B1281" s="422"/>
    </row>
    <row r="1282" spans="2:2">
      <c r="B1282" s="422"/>
    </row>
    <row r="1283" spans="2:2">
      <c r="B1283" s="422"/>
    </row>
    <row r="1284" spans="2:2">
      <c r="B1284" s="422"/>
    </row>
    <row r="1285" spans="2:2">
      <c r="B1285" s="422"/>
    </row>
    <row r="1286" spans="2:2">
      <c r="B1286" s="422"/>
    </row>
    <row r="1287" spans="2:2">
      <c r="B1287" s="422"/>
    </row>
    <row r="1288" spans="2:2">
      <c r="B1288" s="422"/>
    </row>
    <row r="1289" spans="2:2">
      <c r="B1289" s="422"/>
    </row>
    <row r="1290" spans="2:2">
      <c r="B1290" s="422"/>
    </row>
    <row r="1291" spans="2:2">
      <c r="B1291" s="422"/>
    </row>
    <row r="1292" spans="2:2">
      <c r="B1292" s="422"/>
    </row>
    <row r="1293" spans="2:2">
      <c r="B1293" s="422"/>
    </row>
    <row r="1294" spans="2:2">
      <c r="B1294" s="422"/>
    </row>
    <row r="1295" spans="2:2">
      <c r="B1295" s="422"/>
    </row>
    <row r="1296" spans="2:2">
      <c r="B1296" s="422"/>
    </row>
    <row r="1297" spans="2:2">
      <c r="B1297" s="422"/>
    </row>
    <row r="1298" spans="2:2">
      <c r="B1298" s="422"/>
    </row>
    <row r="1299" spans="2:2">
      <c r="B1299" s="422"/>
    </row>
    <row r="1300" spans="2:2">
      <c r="B1300" s="422"/>
    </row>
    <row r="1301" spans="2:2">
      <c r="B1301" s="422"/>
    </row>
    <row r="1302" spans="2:2">
      <c r="B1302" s="422"/>
    </row>
    <row r="1303" spans="2:2">
      <c r="B1303" s="422"/>
    </row>
    <row r="1304" spans="2:2">
      <c r="B1304" s="422"/>
    </row>
    <row r="1305" spans="2:2">
      <c r="B1305" s="422"/>
    </row>
    <row r="1306" spans="2:2">
      <c r="B1306" s="422"/>
    </row>
    <row r="1307" spans="2:2">
      <c r="B1307" s="422"/>
    </row>
    <row r="1308" spans="2:2">
      <c r="B1308" s="422"/>
    </row>
    <row r="1309" spans="2:2">
      <c r="B1309" s="422"/>
    </row>
    <row r="1310" spans="2:2">
      <c r="B1310" s="422"/>
    </row>
    <row r="1311" spans="2:2">
      <c r="B1311" s="422"/>
    </row>
    <row r="1312" spans="2:2">
      <c r="B1312" s="422"/>
    </row>
    <row r="1313" spans="2:2">
      <c r="B1313" s="422"/>
    </row>
    <row r="1314" spans="2:2">
      <c r="B1314" s="422"/>
    </row>
    <row r="1315" spans="2:2">
      <c r="B1315" s="422"/>
    </row>
    <row r="1316" spans="2:2">
      <c r="B1316" s="422"/>
    </row>
    <row r="1317" spans="2:2">
      <c r="B1317" s="422"/>
    </row>
    <row r="1318" spans="2:2">
      <c r="B1318" s="422"/>
    </row>
    <row r="1319" spans="2:2">
      <c r="B1319" s="422"/>
    </row>
    <row r="1320" spans="2:2">
      <c r="B1320" s="422"/>
    </row>
    <row r="1321" spans="2:2">
      <c r="B1321" s="422"/>
    </row>
    <row r="1322" spans="2:2">
      <c r="B1322" s="422"/>
    </row>
    <row r="1323" spans="2:2">
      <c r="B1323" s="422"/>
    </row>
    <row r="1324" spans="2:2">
      <c r="B1324" s="422"/>
    </row>
    <row r="1325" spans="2:2">
      <c r="B1325" s="422"/>
    </row>
    <row r="1326" spans="2:2">
      <c r="B1326" s="422"/>
    </row>
    <row r="1327" spans="2:2">
      <c r="B1327" s="422"/>
    </row>
    <row r="1328" spans="2:2">
      <c r="B1328" s="422"/>
    </row>
    <row r="1329" spans="2:2">
      <c r="B1329" s="422"/>
    </row>
    <row r="1330" spans="2:2">
      <c r="B1330" s="422"/>
    </row>
    <row r="1331" spans="2:2">
      <c r="B1331" s="422"/>
    </row>
    <row r="1332" spans="2:2">
      <c r="B1332" s="422"/>
    </row>
    <row r="1333" spans="2:2">
      <c r="B1333" s="422"/>
    </row>
    <row r="1334" spans="2:2">
      <c r="B1334" s="422"/>
    </row>
    <row r="1335" spans="2:2">
      <c r="B1335" s="422"/>
    </row>
    <row r="1336" spans="2:2">
      <c r="B1336" s="422"/>
    </row>
    <row r="1337" spans="2:2">
      <c r="B1337" s="422"/>
    </row>
    <row r="1338" spans="2:2">
      <c r="B1338" s="422"/>
    </row>
    <row r="1339" spans="2:2">
      <c r="B1339" s="422"/>
    </row>
    <row r="1340" spans="2:2">
      <c r="B1340" s="422"/>
    </row>
    <row r="1341" spans="2:2">
      <c r="B1341" s="422"/>
    </row>
    <row r="1342" spans="2:2">
      <c r="B1342" s="422"/>
    </row>
    <row r="1343" spans="2:2">
      <c r="B1343" s="422"/>
    </row>
    <row r="1344" spans="2:2">
      <c r="B1344" s="422"/>
    </row>
    <row r="1345" spans="2:2">
      <c r="B1345" s="422"/>
    </row>
    <row r="1346" spans="2:2">
      <c r="B1346" s="422"/>
    </row>
    <row r="1347" spans="2:2">
      <c r="B1347" s="422"/>
    </row>
    <row r="1348" spans="2:2">
      <c r="B1348" s="422"/>
    </row>
    <row r="1349" spans="2:2">
      <c r="B1349" s="422"/>
    </row>
    <row r="1350" spans="2:2">
      <c r="B1350" s="422"/>
    </row>
    <row r="1351" spans="2:2">
      <c r="B1351" s="422"/>
    </row>
    <row r="1352" spans="2:2">
      <c r="B1352" s="422"/>
    </row>
    <row r="1353" spans="2:2">
      <c r="B1353" s="422"/>
    </row>
    <row r="1354" spans="2:2">
      <c r="B1354" s="422"/>
    </row>
    <row r="1355" spans="2:2">
      <c r="B1355" s="422"/>
    </row>
    <row r="1356" spans="2:2">
      <c r="B1356" s="422"/>
    </row>
    <row r="1357" spans="2:2">
      <c r="B1357" s="422"/>
    </row>
    <row r="1358" spans="2:2">
      <c r="B1358" s="422"/>
    </row>
    <row r="1359" spans="2:2">
      <c r="B1359" s="422"/>
    </row>
    <row r="1360" spans="2:2">
      <c r="B1360" s="422"/>
    </row>
    <row r="1361" spans="2:2">
      <c r="B1361" s="422"/>
    </row>
    <row r="1362" spans="2:2">
      <c r="B1362" s="422"/>
    </row>
    <row r="1363" spans="2:2">
      <c r="B1363" s="422"/>
    </row>
    <row r="1364" spans="2:2">
      <c r="B1364" s="422"/>
    </row>
    <row r="1365" spans="2:2">
      <c r="B1365" s="422"/>
    </row>
    <row r="1366" spans="2:2">
      <c r="B1366" s="422"/>
    </row>
    <row r="1367" spans="2:2">
      <c r="B1367" s="422"/>
    </row>
    <row r="1368" spans="2:2">
      <c r="B1368" s="422"/>
    </row>
    <row r="1369" spans="2:2">
      <c r="B1369" s="422"/>
    </row>
    <row r="1370" spans="2:2">
      <c r="B1370" s="422"/>
    </row>
    <row r="1371" spans="2:2">
      <c r="B1371" s="422"/>
    </row>
    <row r="1372" spans="2:2">
      <c r="B1372" s="422"/>
    </row>
    <row r="1373" spans="2:2">
      <c r="B1373" s="422"/>
    </row>
    <row r="1374" spans="2:2">
      <c r="B1374" s="422"/>
    </row>
    <row r="1375" spans="2:2">
      <c r="B1375" s="422"/>
    </row>
    <row r="1376" spans="2:2">
      <c r="B1376" s="422"/>
    </row>
    <row r="1377" spans="2:2">
      <c r="B1377" s="422"/>
    </row>
    <row r="1378" spans="2:2">
      <c r="B1378" s="422"/>
    </row>
    <row r="1379" spans="2:2">
      <c r="B1379" s="422"/>
    </row>
    <row r="1380" spans="2:2">
      <c r="B1380" s="422"/>
    </row>
    <row r="1381" spans="2:2">
      <c r="B1381" s="422"/>
    </row>
    <row r="1382" spans="2:2">
      <c r="B1382" s="422"/>
    </row>
    <row r="1383" spans="2:2">
      <c r="B1383" s="422"/>
    </row>
    <row r="1384" spans="2:2">
      <c r="B1384" s="422"/>
    </row>
    <row r="1385" spans="2:2">
      <c r="B1385" s="422"/>
    </row>
    <row r="1386" spans="2:2">
      <c r="B1386" s="422"/>
    </row>
    <row r="1387" spans="2:2">
      <c r="B1387" s="422"/>
    </row>
    <row r="1388" spans="2:2">
      <c r="B1388" s="422"/>
    </row>
    <row r="1389" spans="2:2">
      <c r="B1389" s="422"/>
    </row>
    <row r="1390" spans="2:2">
      <c r="B1390" s="422"/>
    </row>
    <row r="1391" spans="2:2">
      <c r="B1391" s="422"/>
    </row>
    <row r="1392" spans="2:2">
      <c r="B1392" s="422"/>
    </row>
    <row r="1393" spans="2:2">
      <c r="B1393" s="422"/>
    </row>
    <row r="1394" spans="2:2">
      <c r="B1394" s="422"/>
    </row>
    <row r="1395" spans="2:2">
      <c r="B1395" s="422"/>
    </row>
    <row r="1396" spans="2:2">
      <c r="B1396" s="422"/>
    </row>
    <row r="1397" spans="2:2">
      <c r="B1397" s="422"/>
    </row>
    <row r="1398" spans="2:2">
      <c r="B1398" s="422"/>
    </row>
    <row r="1399" spans="2:2">
      <c r="B1399" s="422"/>
    </row>
    <row r="1400" spans="2:2">
      <c r="B1400" s="422"/>
    </row>
    <row r="1401" spans="2:2">
      <c r="B1401" s="422"/>
    </row>
    <row r="1402" spans="2:2">
      <c r="B1402" s="422"/>
    </row>
    <row r="1403" spans="2:2">
      <c r="B1403" s="422"/>
    </row>
    <row r="1404" spans="2:2">
      <c r="B1404" s="422"/>
    </row>
    <row r="1405" spans="2:2">
      <c r="B1405" s="422"/>
    </row>
    <row r="1406" spans="2:2">
      <c r="B1406" s="422"/>
    </row>
    <row r="1407" spans="2:2">
      <c r="B1407" s="422"/>
    </row>
    <row r="1408" spans="2:2">
      <c r="B1408" s="422"/>
    </row>
    <row r="1409" spans="2:2">
      <c r="B1409" s="422"/>
    </row>
    <row r="1410" spans="2:2">
      <c r="B1410" s="422"/>
    </row>
    <row r="1411" spans="2:2">
      <c r="B1411" s="422"/>
    </row>
    <row r="1412" spans="2:2">
      <c r="B1412" s="422"/>
    </row>
    <row r="1413" spans="2:2">
      <c r="B1413" s="422"/>
    </row>
    <row r="1414" spans="2:2">
      <c r="B1414" s="422"/>
    </row>
    <row r="1415" spans="2:2">
      <c r="B1415" s="422"/>
    </row>
    <row r="1416" spans="2:2">
      <c r="B1416" s="422"/>
    </row>
    <row r="1417" spans="2:2">
      <c r="B1417" s="422"/>
    </row>
    <row r="1418" spans="2:2">
      <c r="B1418" s="422"/>
    </row>
    <row r="1419" spans="2:2">
      <c r="B1419" s="422"/>
    </row>
    <row r="1420" spans="2:2">
      <c r="B1420" s="422"/>
    </row>
    <row r="1421" spans="2:2">
      <c r="B1421" s="422"/>
    </row>
    <row r="1422" spans="2:2">
      <c r="B1422" s="422"/>
    </row>
    <row r="1423" spans="2:2">
      <c r="B1423" s="422"/>
    </row>
    <row r="1424" spans="2:2">
      <c r="B1424" s="422"/>
    </row>
    <row r="1425" spans="2:2">
      <c r="B1425" s="422"/>
    </row>
    <row r="1426" spans="2:2">
      <c r="B1426" s="422"/>
    </row>
    <row r="1427" spans="2:2">
      <c r="B1427" s="422"/>
    </row>
    <row r="1428" spans="2:2">
      <c r="B1428" s="422"/>
    </row>
    <row r="1429" spans="2:2">
      <c r="B1429" s="422"/>
    </row>
    <row r="1430" spans="2:2">
      <c r="B1430" s="422"/>
    </row>
    <row r="1431" spans="2:2">
      <c r="B1431" s="422"/>
    </row>
    <row r="1432" spans="2:2">
      <c r="B1432" s="422"/>
    </row>
    <row r="1433" spans="2:2">
      <c r="B1433" s="422"/>
    </row>
    <row r="1434" spans="2:2">
      <c r="B1434" s="422"/>
    </row>
    <row r="1435" spans="2:2">
      <c r="B1435" s="422"/>
    </row>
    <row r="1436" spans="2:2">
      <c r="B1436" s="422"/>
    </row>
    <row r="1437" spans="2:2">
      <c r="B1437" s="422"/>
    </row>
    <row r="1438" spans="2:2">
      <c r="B1438" s="422"/>
    </row>
    <row r="1439" spans="2:2">
      <c r="B1439" s="422"/>
    </row>
    <row r="1440" spans="2:2">
      <c r="B1440" s="422"/>
    </row>
    <row r="1441" spans="2:2">
      <c r="B1441" s="422"/>
    </row>
    <row r="1442" spans="2:2">
      <c r="B1442" s="422"/>
    </row>
    <row r="1443" spans="2:2">
      <c r="B1443" s="422"/>
    </row>
    <row r="1444" spans="2:2">
      <c r="B1444" s="422"/>
    </row>
    <row r="1445" spans="2:2">
      <c r="B1445" s="422"/>
    </row>
    <row r="1446" spans="2:2">
      <c r="B1446" s="422"/>
    </row>
    <row r="1447" spans="2:2">
      <c r="B1447" s="422"/>
    </row>
    <row r="1448" spans="2:2">
      <c r="B1448" s="422"/>
    </row>
    <row r="1449" spans="2:2">
      <c r="B1449" s="422"/>
    </row>
    <row r="1450" spans="2:2">
      <c r="B1450" s="422"/>
    </row>
    <row r="1451" spans="2:2">
      <c r="B1451" s="422"/>
    </row>
    <row r="1452" spans="2:2">
      <c r="B1452" s="422"/>
    </row>
    <row r="1453" spans="2:2">
      <c r="B1453" s="422"/>
    </row>
    <row r="1454" spans="2:2">
      <c r="B1454" s="422"/>
    </row>
    <row r="1455" spans="2:2">
      <c r="B1455" s="422"/>
    </row>
    <row r="1456" spans="2:2">
      <c r="B1456" s="422"/>
    </row>
    <row r="1457" spans="2:2">
      <c r="B1457" s="422"/>
    </row>
    <row r="1458" spans="2:2">
      <c r="B1458" s="422"/>
    </row>
    <row r="1459" spans="2:2">
      <c r="B1459" s="422"/>
    </row>
    <row r="1460" spans="2:2">
      <c r="B1460" s="422"/>
    </row>
    <row r="1461" spans="2:2">
      <c r="B1461" s="422"/>
    </row>
    <row r="1462" spans="2:2">
      <c r="B1462" s="422"/>
    </row>
    <row r="1463" spans="2:2">
      <c r="B1463" s="422"/>
    </row>
    <row r="1464" spans="2:2">
      <c r="B1464" s="422"/>
    </row>
    <row r="1465" spans="2:2">
      <c r="B1465" s="422"/>
    </row>
    <row r="1466" spans="2:2">
      <c r="B1466" s="422"/>
    </row>
    <row r="1467" spans="2:2">
      <c r="B1467" s="422"/>
    </row>
    <row r="1468" spans="2:2">
      <c r="B1468" s="422"/>
    </row>
    <row r="1469" spans="2:2">
      <c r="B1469" s="422"/>
    </row>
    <row r="1470" spans="2:2">
      <c r="B1470" s="422"/>
    </row>
    <row r="1471" spans="2:2">
      <c r="B1471" s="422"/>
    </row>
    <row r="1472" spans="2:2">
      <c r="B1472" s="422"/>
    </row>
    <row r="1473" spans="2:2">
      <c r="B1473" s="422"/>
    </row>
    <row r="1474" spans="2:2">
      <c r="B1474" s="422"/>
    </row>
    <row r="1475" spans="2:2">
      <c r="B1475" s="422"/>
    </row>
    <row r="1476" spans="2:2">
      <c r="B1476" s="422"/>
    </row>
    <row r="1477" spans="2:2">
      <c r="B1477" s="422"/>
    </row>
    <row r="1478" spans="2:2">
      <c r="B1478" s="422"/>
    </row>
    <row r="1479" spans="2:2">
      <c r="B1479" s="422"/>
    </row>
    <row r="1480" spans="2:2">
      <c r="B1480" s="422"/>
    </row>
    <row r="1481" spans="2:2">
      <c r="B1481" s="422"/>
    </row>
    <row r="1482" spans="2:2">
      <c r="B1482" s="422"/>
    </row>
    <row r="1483" spans="2:2">
      <c r="B1483" s="422"/>
    </row>
    <row r="1484" spans="2:2">
      <c r="B1484" s="422"/>
    </row>
    <row r="1485" spans="2:2">
      <c r="B1485" s="422"/>
    </row>
    <row r="1486" spans="2:2">
      <c r="B1486" s="422"/>
    </row>
    <row r="1487" spans="2:2">
      <c r="B1487" s="422"/>
    </row>
    <row r="1488" spans="2:2">
      <c r="B1488" s="422"/>
    </row>
    <row r="1489" spans="2:2">
      <c r="B1489" s="422"/>
    </row>
    <row r="1490" spans="2:2">
      <c r="B1490" s="422"/>
    </row>
    <row r="1491" spans="2:2">
      <c r="B1491" s="422"/>
    </row>
    <row r="1492" spans="2:2">
      <c r="B1492" s="422"/>
    </row>
    <row r="1493" spans="2:2">
      <c r="B1493" s="422"/>
    </row>
    <row r="1494" spans="2:2">
      <c r="B1494" s="422"/>
    </row>
    <row r="1495" spans="2:2">
      <c r="B1495" s="422"/>
    </row>
    <row r="1496" spans="2:2">
      <c r="B1496" s="422"/>
    </row>
    <row r="1497" spans="2:2">
      <c r="B1497" s="422"/>
    </row>
    <row r="1498" spans="2:2">
      <c r="B1498" s="422"/>
    </row>
    <row r="1499" spans="2:2">
      <c r="B1499" s="422"/>
    </row>
    <row r="1500" spans="2:2">
      <c r="B1500" s="422"/>
    </row>
    <row r="1501" spans="2:2">
      <c r="B1501" s="422"/>
    </row>
    <row r="1502" spans="2:2">
      <c r="B1502" s="422"/>
    </row>
    <row r="1503" spans="2:2">
      <c r="B1503" s="422"/>
    </row>
    <row r="1504" spans="2:2">
      <c r="B1504" s="422"/>
    </row>
    <row r="1505" spans="2:2">
      <c r="B1505" s="422"/>
    </row>
    <row r="1506" spans="2:2">
      <c r="B1506" s="422"/>
    </row>
    <row r="1507" spans="2:2">
      <c r="B1507" s="422"/>
    </row>
    <row r="1508" spans="2:2">
      <c r="B1508" s="422"/>
    </row>
    <row r="1509" spans="2:2">
      <c r="B1509" s="422"/>
    </row>
    <row r="1510" spans="2:2">
      <c r="B1510" s="422"/>
    </row>
    <row r="1511" spans="2:2">
      <c r="B1511" s="422"/>
    </row>
    <row r="1512" spans="2:2">
      <c r="B1512" s="422"/>
    </row>
    <row r="1513" spans="2:2">
      <c r="B1513" s="422"/>
    </row>
    <row r="1514" spans="2:2">
      <c r="B1514" s="422"/>
    </row>
    <row r="1515" spans="2:2">
      <c r="B1515" s="422"/>
    </row>
    <row r="1516" spans="2:2">
      <c r="B1516" s="422"/>
    </row>
    <row r="1517" spans="2:2">
      <c r="B1517" s="422"/>
    </row>
    <row r="1518" spans="2:2">
      <c r="B1518" s="422"/>
    </row>
    <row r="1519" spans="2:2">
      <c r="B1519" s="422"/>
    </row>
    <row r="1520" spans="2:2">
      <c r="B1520" s="422"/>
    </row>
    <row r="1521" spans="2:2">
      <c r="B1521" s="422"/>
    </row>
    <row r="1522" spans="2:2">
      <c r="B1522" s="422"/>
    </row>
    <row r="1523" spans="2:2">
      <c r="B1523" s="422"/>
    </row>
    <row r="1524" spans="2:2">
      <c r="B1524" s="422"/>
    </row>
    <row r="1525" spans="2:2">
      <c r="B1525" s="422"/>
    </row>
    <row r="1526" spans="2:2">
      <c r="B1526" s="422"/>
    </row>
    <row r="1527" spans="2:2">
      <c r="B1527" s="422"/>
    </row>
    <row r="1528" spans="2:2">
      <c r="B1528" s="422"/>
    </row>
    <row r="1529" spans="2:2">
      <c r="B1529" s="422"/>
    </row>
    <row r="1530" spans="2:2">
      <c r="B1530" s="422"/>
    </row>
    <row r="1531" spans="2:2">
      <c r="B1531" s="422"/>
    </row>
    <row r="1532" spans="2:2">
      <c r="B1532" s="422"/>
    </row>
    <row r="1533" spans="2:2">
      <c r="B1533" s="422"/>
    </row>
    <row r="1534" spans="2:2">
      <c r="B1534" s="422"/>
    </row>
    <row r="1535" spans="2:2">
      <c r="B1535" s="422"/>
    </row>
    <row r="1536" spans="2:2">
      <c r="B1536" s="422"/>
    </row>
    <row r="1537" spans="2:2">
      <c r="B1537" s="422"/>
    </row>
    <row r="1538" spans="2:2">
      <c r="B1538" s="422"/>
    </row>
    <row r="1539" spans="2:2">
      <c r="B1539" s="422"/>
    </row>
    <row r="1540" spans="2:2">
      <c r="B1540" s="422"/>
    </row>
    <row r="1541" spans="2:2">
      <c r="B1541" s="422"/>
    </row>
    <row r="1542" spans="2:2">
      <c r="B1542" s="422"/>
    </row>
    <row r="1543" spans="2:2">
      <c r="B1543" s="422"/>
    </row>
    <row r="1544" spans="2:2">
      <c r="B1544" s="422"/>
    </row>
    <row r="1545" spans="2:2">
      <c r="B1545" s="422"/>
    </row>
    <row r="1546" spans="2:2">
      <c r="B1546" s="422"/>
    </row>
    <row r="1547" spans="2:2">
      <c r="B1547" s="422"/>
    </row>
    <row r="1548" spans="2:2">
      <c r="B1548" s="422"/>
    </row>
    <row r="1549" spans="2:2">
      <c r="B1549" s="422"/>
    </row>
    <row r="1550" spans="2:2">
      <c r="B1550" s="422"/>
    </row>
    <row r="1551" spans="2:2">
      <c r="B1551" s="422"/>
    </row>
    <row r="1552" spans="2:2">
      <c r="B1552" s="422"/>
    </row>
    <row r="1553" spans="2:2">
      <c r="B1553" s="422"/>
    </row>
    <row r="1554" spans="2:2">
      <c r="B1554" s="422"/>
    </row>
    <row r="1555" spans="2:2">
      <c r="B1555" s="422"/>
    </row>
    <row r="1556" spans="2:2">
      <c r="B1556" s="422"/>
    </row>
    <row r="1557" spans="2:2">
      <c r="B1557" s="422"/>
    </row>
    <row r="1558" spans="2:2">
      <c r="B1558" s="422"/>
    </row>
    <row r="1559" spans="2:2">
      <c r="B1559" s="422"/>
    </row>
    <row r="1560" spans="2:2">
      <c r="B1560" s="422"/>
    </row>
    <row r="1561" spans="2:2">
      <c r="B1561" s="422"/>
    </row>
    <row r="1562" spans="2:2">
      <c r="B1562" s="422"/>
    </row>
    <row r="1563" spans="2:2">
      <c r="B1563" s="422"/>
    </row>
    <row r="1564" spans="2:2">
      <c r="B1564" s="422"/>
    </row>
    <row r="1565" spans="2:2">
      <c r="B1565" s="422"/>
    </row>
    <row r="1566" spans="2:2">
      <c r="B1566" s="422"/>
    </row>
    <row r="1567" spans="2:2">
      <c r="B1567" s="422"/>
    </row>
    <row r="1568" spans="2:2">
      <c r="B1568" s="422"/>
    </row>
    <row r="1569" spans="2:2">
      <c r="B1569" s="422"/>
    </row>
    <row r="1570" spans="2:2">
      <c r="B1570" s="422"/>
    </row>
    <row r="1571" spans="2:2">
      <c r="B1571" s="422"/>
    </row>
    <row r="1572" spans="2:2">
      <c r="B1572" s="422"/>
    </row>
    <row r="1573" spans="2:2">
      <c r="B1573" s="422"/>
    </row>
    <row r="1574" spans="2:2">
      <c r="B1574" s="422"/>
    </row>
    <row r="1575" spans="2:2">
      <c r="B1575" s="422"/>
    </row>
    <row r="1576" spans="2:2">
      <c r="B1576" s="422"/>
    </row>
    <row r="1577" spans="2:2">
      <c r="B1577" s="422"/>
    </row>
    <row r="1578" spans="2:2">
      <c r="B1578" s="422"/>
    </row>
    <row r="1579" spans="2:2">
      <c r="B1579" s="422"/>
    </row>
    <row r="1580" spans="2:2">
      <c r="B1580" s="422"/>
    </row>
    <row r="1581" spans="2:2">
      <c r="B1581" s="422"/>
    </row>
    <row r="1582" spans="2:2">
      <c r="B1582" s="422"/>
    </row>
    <row r="1583" spans="2:2">
      <c r="B1583" s="422"/>
    </row>
    <row r="1584" spans="2:2">
      <c r="B1584" s="422"/>
    </row>
    <row r="1585" spans="2:2">
      <c r="B1585" s="422"/>
    </row>
    <row r="1586" spans="2:2">
      <c r="B1586" s="422"/>
    </row>
    <row r="1587" spans="2:2">
      <c r="B1587" s="422"/>
    </row>
    <row r="1588" spans="2:2">
      <c r="B1588" s="422"/>
    </row>
    <row r="1589" spans="2:2">
      <c r="B1589" s="422"/>
    </row>
    <row r="1590" spans="2:2">
      <c r="B1590" s="422"/>
    </row>
    <row r="1591" spans="2:2">
      <c r="B1591" s="422"/>
    </row>
    <row r="1592" spans="2:2">
      <c r="B1592" s="422"/>
    </row>
    <row r="1593" spans="2:2">
      <c r="B1593" s="422"/>
    </row>
    <row r="1594" spans="2:2">
      <c r="B1594" s="422"/>
    </row>
    <row r="1595" spans="2:2">
      <c r="B1595" s="422"/>
    </row>
    <row r="1596" spans="2:2">
      <c r="B1596" s="422"/>
    </row>
    <row r="1597" spans="2:2">
      <c r="B1597" s="422"/>
    </row>
    <row r="1598" spans="2:2">
      <c r="B1598" s="422"/>
    </row>
    <row r="1599" spans="2:2">
      <c r="B1599" s="422"/>
    </row>
    <row r="1600" spans="2:2">
      <c r="B1600" s="422"/>
    </row>
    <row r="1601" spans="2:2">
      <c r="B1601" s="422"/>
    </row>
    <row r="1602" spans="2:2">
      <c r="B1602" s="422"/>
    </row>
    <row r="1603" spans="2:2">
      <c r="B1603" s="422"/>
    </row>
    <row r="1604" spans="2:2">
      <c r="B1604" s="422"/>
    </row>
    <row r="1605" spans="2:2">
      <c r="B1605" s="422"/>
    </row>
    <row r="1606" spans="2:2">
      <c r="B1606" s="422"/>
    </row>
    <row r="1607" spans="2:2">
      <c r="B1607" s="422"/>
    </row>
    <row r="1608" spans="2:2">
      <c r="B1608" s="422"/>
    </row>
    <row r="1609" spans="2:2">
      <c r="B1609" s="422"/>
    </row>
    <row r="1610" spans="2:2">
      <c r="B1610" s="422"/>
    </row>
    <row r="1611" spans="2:2">
      <c r="B1611" s="422"/>
    </row>
    <row r="1612" spans="2:2">
      <c r="B1612" s="422"/>
    </row>
    <row r="1613" spans="2:2">
      <c r="B1613" s="422"/>
    </row>
    <row r="1614" spans="2:2">
      <c r="B1614" s="422"/>
    </row>
    <row r="1615" spans="2:2">
      <c r="B1615" s="422"/>
    </row>
    <row r="1616" spans="2:2">
      <c r="B1616" s="422"/>
    </row>
    <row r="1617" spans="2:2">
      <c r="B1617" s="422"/>
    </row>
    <row r="1618" spans="2:2">
      <c r="B1618" s="422"/>
    </row>
    <row r="1619" spans="2:2">
      <c r="B1619" s="422"/>
    </row>
    <row r="1620" spans="2:2">
      <c r="B1620" s="422"/>
    </row>
    <row r="1621" spans="2:2">
      <c r="B1621" s="422"/>
    </row>
    <row r="1622" spans="2:2">
      <c r="B1622" s="422"/>
    </row>
    <row r="1623" spans="2:2">
      <c r="B1623" s="422"/>
    </row>
    <row r="1624" spans="2:2">
      <c r="B1624" s="422"/>
    </row>
    <row r="1625" spans="2:2">
      <c r="B1625" s="422"/>
    </row>
    <row r="1626" spans="2:2">
      <c r="B1626" s="422"/>
    </row>
    <row r="1627" spans="2:2">
      <c r="B1627" s="422"/>
    </row>
    <row r="1628" spans="2:2">
      <c r="B1628" s="422"/>
    </row>
    <row r="1629" spans="2:2">
      <c r="B1629" s="422"/>
    </row>
    <row r="1630" spans="2:2">
      <c r="B1630" s="422"/>
    </row>
    <row r="1631" spans="2:2">
      <c r="B1631" s="422"/>
    </row>
    <row r="1632" spans="2:2">
      <c r="B1632" s="422"/>
    </row>
    <row r="1633" spans="2:2">
      <c r="B1633" s="422"/>
    </row>
    <row r="1634" spans="2:2">
      <c r="B1634" s="422"/>
    </row>
    <row r="1635" spans="2:2">
      <c r="B1635" s="422"/>
    </row>
    <row r="1636" spans="2:2">
      <c r="B1636" s="422"/>
    </row>
    <row r="1637" spans="2:2">
      <c r="B1637" s="422"/>
    </row>
    <row r="1638" spans="2:2">
      <c r="B1638" s="422"/>
    </row>
    <row r="1639" spans="2:2">
      <c r="B1639" s="422"/>
    </row>
    <row r="1640" spans="2:2">
      <c r="B1640" s="422"/>
    </row>
    <row r="1641" spans="2:2">
      <c r="B1641" s="422"/>
    </row>
    <row r="1642" spans="2:2">
      <c r="B1642" s="422"/>
    </row>
    <row r="1643" spans="2:2">
      <c r="B1643" s="422"/>
    </row>
    <row r="1644" spans="2:2">
      <c r="B1644" s="422"/>
    </row>
    <row r="1645" spans="2:2">
      <c r="B1645" s="422"/>
    </row>
    <row r="1646" spans="2:2">
      <c r="B1646" s="422"/>
    </row>
    <row r="1647" spans="2:2">
      <c r="B1647" s="422"/>
    </row>
    <row r="1648" spans="2:2">
      <c r="B1648" s="422"/>
    </row>
    <row r="1649" spans="2:2">
      <c r="B1649" s="422"/>
    </row>
    <row r="1650" spans="2:2">
      <c r="B1650" s="422"/>
    </row>
    <row r="1651" spans="2:2">
      <c r="B1651" s="422"/>
    </row>
    <row r="1652" spans="2:2">
      <c r="B1652" s="422"/>
    </row>
    <row r="1653" spans="2:2">
      <c r="B1653" s="422"/>
    </row>
    <row r="1654" spans="2:2">
      <c r="B1654" s="422"/>
    </row>
    <row r="1655" spans="2:2">
      <c r="B1655" s="422"/>
    </row>
    <row r="1656" spans="2:2">
      <c r="B1656" s="422"/>
    </row>
    <row r="1657" spans="2:2">
      <c r="B1657" s="422"/>
    </row>
    <row r="1658" spans="2:2">
      <c r="B1658" s="422"/>
    </row>
    <row r="1659" spans="2:2">
      <c r="B1659" s="422"/>
    </row>
    <row r="1660" spans="2:2">
      <c r="B1660" s="422"/>
    </row>
    <row r="1661" spans="2:2">
      <c r="B1661" s="422"/>
    </row>
    <row r="1662" spans="2:2">
      <c r="B1662" s="422"/>
    </row>
    <row r="1663" spans="2:2">
      <c r="B1663" s="422"/>
    </row>
    <row r="1664" spans="2:2">
      <c r="B1664" s="422"/>
    </row>
    <row r="1665" spans="2:2">
      <c r="B1665" s="422"/>
    </row>
    <row r="1666" spans="2:2">
      <c r="B1666" s="422"/>
    </row>
    <row r="1667" spans="2:2">
      <c r="B1667" s="422"/>
    </row>
    <row r="1668" spans="2:2">
      <c r="B1668" s="422"/>
    </row>
    <row r="1669" spans="2:2">
      <c r="B1669" s="422"/>
    </row>
    <row r="1670" spans="2:2">
      <c r="B1670" s="422"/>
    </row>
    <row r="1671" spans="2:2">
      <c r="B1671" s="422"/>
    </row>
    <row r="1672" spans="2:2">
      <c r="B1672" s="422"/>
    </row>
    <row r="1673" spans="2:2">
      <c r="B1673" s="422"/>
    </row>
    <row r="1674" spans="2:2">
      <c r="B1674" s="422"/>
    </row>
    <row r="1675" spans="2:2">
      <c r="B1675" s="422"/>
    </row>
    <row r="1676" spans="2:2">
      <c r="B1676" s="422"/>
    </row>
    <row r="1677" spans="2:2">
      <c r="B1677" s="422"/>
    </row>
    <row r="1678" spans="2:2">
      <c r="B1678" s="422"/>
    </row>
    <row r="1679" spans="2:2">
      <c r="B1679" s="422"/>
    </row>
    <row r="1680" spans="2:2">
      <c r="B1680" s="422"/>
    </row>
    <row r="1681" spans="2:2">
      <c r="B1681" s="422"/>
    </row>
    <row r="1682" spans="2:2">
      <c r="B1682" s="422"/>
    </row>
    <row r="1683" spans="2:2">
      <c r="B1683" s="422"/>
    </row>
    <row r="1684" spans="2:2">
      <c r="B1684" s="422"/>
    </row>
    <row r="1685" spans="2:2">
      <c r="B1685" s="422"/>
    </row>
    <row r="1686" spans="2:2">
      <c r="B1686" s="422"/>
    </row>
    <row r="1687" spans="2:2">
      <c r="B1687" s="422"/>
    </row>
    <row r="1688" spans="2:2">
      <c r="B1688" s="422"/>
    </row>
    <row r="1689" spans="2:2">
      <c r="B1689" s="422"/>
    </row>
    <row r="1690" spans="2:2">
      <c r="B1690" s="422"/>
    </row>
    <row r="1691" spans="2:2">
      <c r="B1691" s="422"/>
    </row>
    <row r="1692" spans="2:2">
      <c r="B1692" s="422"/>
    </row>
    <row r="1693" spans="2:2">
      <c r="B1693" s="422"/>
    </row>
    <row r="1694" spans="2:2">
      <c r="B1694" s="422"/>
    </row>
    <row r="1695" spans="2:2">
      <c r="B1695" s="422"/>
    </row>
    <row r="1696" spans="2:2">
      <c r="B1696" s="422"/>
    </row>
    <row r="1697" spans="2:2">
      <c r="B1697" s="422"/>
    </row>
    <row r="1698" spans="2:2">
      <c r="B1698" s="422"/>
    </row>
    <row r="1699" spans="2:2">
      <c r="B1699" s="422"/>
    </row>
    <row r="1700" spans="2:2">
      <c r="B1700" s="422"/>
    </row>
    <row r="1701" spans="2:2">
      <c r="B1701" s="422"/>
    </row>
    <row r="1702" spans="2:2">
      <c r="B1702" s="422"/>
    </row>
    <row r="1703" spans="2:2">
      <c r="B1703" s="422"/>
    </row>
    <row r="1704" spans="2:2">
      <c r="B1704" s="422"/>
    </row>
    <row r="1705" spans="2:2">
      <c r="B1705" s="422"/>
    </row>
    <row r="1706" spans="2:2">
      <c r="B1706" s="422"/>
    </row>
    <row r="1707" spans="2:2">
      <c r="B1707" s="422"/>
    </row>
    <row r="1708" spans="2:2">
      <c r="B1708" s="422"/>
    </row>
    <row r="1709" spans="2:2">
      <c r="B1709" s="422"/>
    </row>
    <row r="1710" spans="2:2">
      <c r="B1710" s="422"/>
    </row>
    <row r="1711" spans="2:2">
      <c r="B1711" s="422"/>
    </row>
    <row r="1712" spans="2:2">
      <c r="B1712" s="422"/>
    </row>
    <row r="1713" spans="2:2">
      <c r="B1713" s="422"/>
    </row>
    <row r="1714" spans="2:2">
      <c r="B1714" s="422"/>
    </row>
    <row r="1715" spans="2:2">
      <c r="B1715" s="422"/>
    </row>
    <row r="1716" spans="2:2">
      <c r="B1716" s="422"/>
    </row>
    <row r="1717" spans="2:2">
      <c r="B1717" s="422"/>
    </row>
    <row r="1718" spans="2:2">
      <c r="B1718" s="422"/>
    </row>
    <row r="1719" spans="2:2">
      <c r="B1719" s="422"/>
    </row>
    <row r="1720" spans="2:2">
      <c r="B1720" s="422"/>
    </row>
    <row r="1721" spans="2:2">
      <c r="B1721" s="422"/>
    </row>
    <row r="1722" spans="2:2">
      <c r="B1722" s="422"/>
    </row>
    <row r="1723" spans="2:2">
      <c r="B1723" s="422"/>
    </row>
    <row r="1724" spans="2:2">
      <c r="B1724" s="422"/>
    </row>
    <row r="1725" spans="2:2">
      <c r="B1725" s="422"/>
    </row>
    <row r="1726" spans="2:2">
      <c r="B1726" s="422"/>
    </row>
    <row r="1727" spans="2:2">
      <c r="B1727" s="422"/>
    </row>
    <row r="1728" spans="2:2">
      <c r="B1728" s="422"/>
    </row>
    <row r="1729" spans="2:2">
      <c r="B1729" s="422"/>
    </row>
    <row r="1730" spans="2:2">
      <c r="B1730" s="422"/>
    </row>
    <row r="1731" spans="2:2">
      <c r="B1731" s="422"/>
    </row>
    <row r="1732" spans="2:2">
      <c r="B1732" s="422"/>
    </row>
    <row r="1733" spans="2:2">
      <c r="B1733" s="422"/>
    </row>
    <row r="1734" spans="2:2">
      <c r="B1734" s="422"/>
    </row>
    <row r="1735" spans="2:2">
      <c r="B1735" s="422"/>
    </row>
    <row r="1736" spans="2:2">
      <c r="B1736" s="422"/>
    </row>
    <row r="1737" spans="2:2">
      <c r="B1737" s="422"/>
    </row>
    <row r="1738" spans="2:2">
      <c r="B1738" s="422"/>
    </row>
    <row r="1739" spans="2:2">
      <c r="B1739" s="422"/>
    </row>
    <row r="1740" spans="2:2">
      <c r="B1740" s="422"/>
    </row>
    <row r="1741" spans="2:2">
      <c r="B1741" s="422"/>
    </row>
    <row r="1742" spans="2:2">
      <c r="B1742" s="422"/>
    </row>
    <row r="1743" spans="2:2">
      <c r="B1743" s="422"/>
    </row>
    <row r="1744" spans="2:2">
      <c r="B1744" s="422"/>
    </row>
    <row r="1745" spans="2:2">
      <c r="B1745" s="422"/>
    </row>
    <row r="1746" spans="2:2">
      <c r="B1746" s="422"/>
    </row>
    <row r="1747" spans="2:2">
      <c r="B1747" s="422"/>
    </row>
    <row r="1748" spans="2:2">
      <c r="B1748" s="422"/>
    </row>
    <row r="1749" spans="2:2">
      <c r="B1749" s="422"/>
    </row>
    <row r="1750" spans="2:2">
      <c r="B1750" s="422"/>
    </row>
    <row r="1751" spans="2:2">
      <c r="B1751" s="422"/>
    </row>
    <row r="1752" spans="2:2">
      <c r="B1752" s="422"/>
    </row>
    <row r="1753" spans="2:2">
      <c r="B1753" s="422"/>
    </row>
    <row r="1754" spans="2:2">
      <c r="B1754" s="422"/>
    </row>
    <row r="1755" spans="2:2">
      <c r="B1755" s="422"/>
    </row>
    <row r="1756" spans="2:2">
      <c r="B1756" s="422"/>
    </row>
    <row r="1757" spans="2:2">
      <c r="B1757" s="422"/>
    </row>
    <row r="1758" spans="2:2">
      <c r="B1758" s="422"/>
    </row>
    <row r="1759" spans="2:2">
      <c r="B1759" s="422"/>
    </row>
    <row r="1760" spans="2:2">
      <c r="B1760" s="422"/>
    </row>
    <row r="1761" spans="2:2">
      <c r="B1761" s="422"/>
    </row>
    <row r="1762" spans="2:2">
      <c r="B1762" s="422"/>
    </row>
    <row r="1763" spans="2:2">
      <c r="B1763" s="422"/>
    </row>
    <row r="1764" spans="2:2">
      <c r="B1764" s="422"/>
    </row>
    <row r="1765" spans="2:2">
      <c r="B1765" s="422"/>
    </row>
    <row r="1766" spans="2:2">
      <c r="B1766" s="422"/>
    </row>
    <row r="1767" spans="2:2">
      <c r="B1767" s="422"/>
    </row>
    <row r="1768" spans="2:2">
      <c r="B1768" s="422"/>
    </row>
    <row r="1769" spans="2:2">
      <c r="B1769" s="422"/>
    </row>
    <row r="1770" spans="2:2">
      <c r="B1770" s="422"/>
    </row>
    <row r="1771" spans="2:2">
      <c r="B1771" s="422"/>
    </row>
    <row r="1772" spans="2:2">
      <c r="B1772" s="422"/>
    </row>
    <row r="1773" spans="2:2">
      <c r="B1773" s="422"/>
    </row>
    <row r="1774" spans="2:2">
      <c r="B1774" s="422"/>
    </row>
    <row r="1775" spans="2:2">
      <c r="B1775" s="422"/>
    </row>
    <row r="1776" spans="2:2">
      <c r="B1776" s="422"/>
    </row>
    <row r="1777" spans="2:2">
      <c r="B1777" s="422"/>
    </row>
    <row r="1778" spans="2:2">
      <c r="B1778" s="422"/>
    </row>
    <row r="1779" spans="2:2">
      <c r="B1779" s="422"/>
    </row>
    <row r="1780" spans="2:2">
      <c r="B1780" s="422"/>
    </row>
    <row r="1781" spans="2:2">
      <c r="B1781" s="422"/>
    </row>
    <row r="1782" spans="2:2">
      <c r="B1782" s="422"/>
    </row>
    <row r="1783" spans="2:2">
      <c r="B1783" s="422"/>
    </row>
    <row r="1784" spans="2:2">
      <c r="B1784" s="422"/>
    </row>
    <row r="1785" spans="2:2">
      <c r="B1785" s="422"/>
    </row>
    <row r="1786" spans="2:2">
      <c r="B1786" s="422"/>
    </row>
    <row r="1787" spans="2:2">
      <c r="B1787" s="422"/>
    </row>
    <row r="1788" spans="2:2">
      <c r="B1788" s="422"/>
    </row>
    <row r="1789" spans="2:2">
      <c r="B1789" s="422"/>
    </row>
    <row r="1790" spans="2:2">
      <c r="B1790" s="422"/>
    </row>
    <row r="1791" spans="2:2">
      <c r="B1791" s="422"/>
    </row>
    <row r="1792" spans="2:2">
      <c r="B1792" s="422"/>
    </row>
    <row r="1793" spans="2:2">
      <c r="B1793" s="422"/>
    </row>
    <row r="1794" spans="2:2">
      <c r="B1794" s="422"/>
    </row>
    <row r="1795" spans="2:2">
      <c r="B1795" s="422"/>
    </row>
    <row r="1796" spans="2:2">
      <c r="B1796" s="422"/>
    </row>
    <row r="1797" spans="2:2">
      <c r="B1797" s="422"/>
    </row>
    <row r="1798" spans="2:2">
      <c r="B1798" s="422"/>
    </row>
    <row r="1799" spans="2:2">
      <c r="B1799" s="422"/>
    </row>
    <row r="1800" spans="2:2">
      <c r="B1800" s="422"/>
    </row>
    <row r="1801" spans="2:2">
      <c r="B1801" s="422"/>
    </row>
    <row r="1802" spans="2:2">
      <c r="B1802" s="422"/>
    </row>
    <row r="1803" spans="2:2">
      <c r="B1803" s="422"/>
    </row>
    <row r="1804" spans="2:2">
      <c r="B1804" s="422"/>
    </row>
    <row r="1805" spans="2:2">
      <c r="B1805" s="422"/>
    </row>
    <row r="1806" spans="2:2">
      <c r="B1806" s="422"/>
    </row>
    <row r="1807" spans="2:2">
      <c r="B1807" s="422"/>
    </row>
    <row r="1808" spans="2:2">
      <c r="B1808" s="422"/>
    </row>
    <row r="1809" spans="2:2">
      <c r="B1809" s="422"/>
    </row>
    <row r="1810" spans="2:2">
      <c r="B1810" s="422"/>
    </row>
    <row r="1811" spans="2:2">
      <c r="B1811" s="422"/>
    </row>
    <row r="1812" spans="2:2">
      <c r="B1812" s="422"/>
    </row>
    <row r="1813" spans="2:2">
      <c r="B1813" s="422"/>
    </row>
    <row r="1814" spans="2:2">
      <c r="B1814" s="422"/>
    </row>
    <row r="1815" spans="2:2">
      <c r="B1815" s="422"/>
    </row>
    <row r="1816" spans="2:2">
      <c r="B1816" s="422"/>
    </row>
    <row r="1817" spans="2:2">
      <c r="B1817" s="422"/>
    </row>
    <row r="1818" spans="2:2">
      <c r="B1818" s="422"/>
    </row>
    <row r="1819" spans="2:2">
      <c r="B1819" s="422"/>
    </row>
    <row r="1820" spans="2:2">
      <c r="B1820" s="422"/>
    </row>
    <row r="1821" spans="2:2">
      <c r="B1821" s="422"/>
    </row>
    <row r="1822" spans="2:2">
      <c r="B1822" s="422"/>
    </row>
    <row r="1823" spans="2:2">
      <c r="B1823" s="422"/>
    </row>
    <row r="1824" spans="2:2">
      <c r="B1824" s="422"/>
    </row>
    <row r="1825" spans="2:2">
      <c r="B1825" s="422"/>
    </row>
    <row r="1826" spans="2:2">
      <c r="B1826" s="422"/>
    </row>
    <row r="1827" spans="2:2">
      <c r="B1827" s="422"/>
    </row>
    <row r="1828" spans="2:2">
      <c r="B1828" s="422"/>
    </row>
    <row r="1829" spans="2:2">
      <c r="B1829" s="422"/>
    </row>
    <row r="1830" spans="2:2">
      <c r="B1830" s="422"/>
    </row>
    <row r="1831" spans="2:2">
      <c r="B1831" s="422"/>
    </row>
    <row r="1832" spans="2:2">
      <c r="B1832" s="422"/>
    </row>
    <row r="1833" spans="2:2">
      <c r="B1833" s="422"/>
    </row>
    <row r="1834" spans="2:2">
      <c r="B1834" s="422"/>
    </row>
    <row r="1835" spans="2:2">
      <c r="B1835" s="422"/>
    </row>
    <row r="1836" spans="2:2">
      <c r="B1836" s="422"/>
    </row>
    <row r="1837" spans="2:2">
      <c r="B1837" s="422"/>
    </row>
    <row r="1838" spans="2:2">
      <c r="B1838" s="422"/>
    </row>
    <row r="1839" spans="2:2">
      <c r="B1839" s="422"/>
    </row>
    <row r="1840" spans="2:2">
      <c r="B1840" s="422"/>
    </row>
    <row r="1841" spans="2:2">
      <c r="B1841" s="422"/>
    </row>
    <row r="1842" spans="2:2">
      <c r="B1842" s="422"/>
    </row>
    <row r="1843" spans="2:2">
      <c r="B1843" s="422"/>
    </row>
    <row r="1844" spans="2:2">
      <c r="B1844" s="422"/>
    </row>
    <row r="1845" spans="2:2">
      <c r="B1845" s="422"/>
    </row>
    <row r="1846" spans="2:2">
      <c r="B1846" s="422"/>
    </row>
    <row r="1847" spans="2:2">
      <c r="B1847" s="422"/>
    </row>
    <row r="1848" spans="2:2">
      <c r="B1848" s="422"/>
    </row>
    <row r="1849" spans="2:2">
      <c r="B1849" s="422"/>
    </row>
    <row r="1850" spans="2:2">
      <c r="B1850" s="422"/>
    </row>
    <row r="1851" spans="2:2">
      <c r="B1851" s="422"/>
    </row>
    <row r="1852" spans="2:2">
      <c r="B1852" s="422"/>
    </row>
    <row r="1853" spans="2:2">
      <c r="B1853" s="422"/>
    </row>
    <row r="1854" spans="2:2">
      <c r="B1854" s="422"/>
    </row>
    <row r="1855" spans="2:2">
      <c r="B1855" s="422"/>
    </row>
    <row r="1856" spans="2:2">
      <c r="B1856" s="422"/>
    </row>
    <row r="1857" spans="2:2">
      <c r="B1857" s="422"/>
    </row>
    <row r="1858" spans="2:2">
      <c r="B1858" s="422"/>
    </row>
    <row r="1859" spans="2:2">
      <c r="B1859" s="422"/>
    </row>
    <row r="1860" spans="2:2">
      <c r="B1860" s="422"/>
    </row>
    <row r="1861" spans="2:2">
      <c r="B1861" s="422"/>
    </row>
    <row r="1862" spans="2:2">
      <c r="B1862" s="422"/>
    </row>
    <row r="1863" spans="2:2">
      <c r="B1863" s="422"/>
    </row>
    <row r="1864" spans="2:2">
      <c r="B1864" s="422"/>
    </row>
    <row r="1865" spans="2:2">
      <c r="B1865" s="422"/>
    </row>
    <row r="1866" spans="2:2">
      <c r="B1866" s="422"/>
    </row>
    <row r="1867" spans="2:2">
      <c r="B1867" s="422"/>
    </row>
    <row r="1868" spans="2:2">
      <c r="B1868" s="422"/>
    </row>
    <row r="1869" spans="2:2">
      <c r="B1869" s="422"/>
    </row>
    <row r="1870" spans="2:2">
      <c r="B1870" s="422"/>
    </row>
    <row r="1871" spans="2:2">
      <c r="B1871" s="422"/>
    </row>
    <row r="1872" spans="2:2">
      <c r="B1872" s="422"/>
    </row>
    <row r="1873" spans="2:2">
      <c r="B1873" s="422"/>
    </row>
    <row r="1874" spans="2:2">
      <c r="B1874" s="422"/>
    </row>
    <row r="1875" spans="2:2">
      <c r="B1875" s="422"/>
    </row>
    <row r="1876" spans="2:2">
      <c r="B1876" s="422"/>
    </row>
    <row r="1877" spans="2:2">
      <c r="B1877" s="422"/>
    </row>
    <row r="1878" spans="2:2">
      <c r="B1878" s="422"/>
    </row>
    <row r="1879" spans="2:2">
      <c r="B1879" s="422"/>
    </row>
    <row r="1880" spans="2:2">
      <c r="B1880" s="422"/>
    </row>
    <row r="1881" spans="2:2">
      <c r="B1881" s="422"/>
    </row>
    <row r="1882" spans="2:2">
      <c r="B1882" s="422"/>
    </row>
    <row r="1883" spans="2:2">
      <c r="B1883" s="422"/>
    </row>
    <row r="1884" spans="2:2">
      <c r="B1884" s="422"/>
    </row>
    <row r="1885" spans="2:2">
      <c r="B1885" s="422"/>
    </row>
    <row r="1886" spans="2:2">
      <c r="B1886" s="422"/>
    </row>
    <row r="1887" spans="2:2">
      <c r="B1887" s="422"/>
    </row>
    <row r="1888" spans="2:2">
      <c r="B1888" s="422"/>
    </row>
    <row r="1889" spans="2:2">
      <c r="B1889" s="422"/>
    </row>
    <row r="1890" spans="2:2">
      <c r="B1890" s="422"/>
    </row>
    <row r="1891" spans="2:2">
      <c r="B1891" s="422"/>
    </row>
    <row r="1892" spans="2:2">
      <c r="B1892" s="422"/>
    </row>
    <row r="1893" spans="2:2">
      <c r="B1893" s="422"/>
    </row>
    <row r="1894" spans="2:2">
      <c r="B1894" s="422"/>
    </row>
    <row r="1895" spans="2:2">
      <c r="B1895" s="422"/>
    </row>
    <row r="1896" spans="2:2">
      <c r="B1896" s="422"/>
    </row>
    <row r="1897" spans="2:2">
      <c r="B1897" s="422"/>
    </row>
    <row r="1898" spans="2:2">
      <c r="B1898" s="422"/>
    </row>
    <row r="1899" spans="2:2">
      <c r="B1899" s="422"/>
    </row>
    <row r="1900" spans="2:2">
      <c r="B1900" s="422"/>
    </row>
    <row r="1901" spans="2:2">
      <c r="B1901" s="422"/>
    </row>
    <row r="1902" spans="2:2">
      <c r="B1902" s="422"/>
    </row>
    <row r="1903" spans="2:2">
      <c r="B1903" s="422"/>
    </row>
    <row r="1904" spans="2:2">
      <c r="B1904" s="422"/>
    </row>
    <row r="1905" spans="2:2">
      <c r="B1905" s="422"/>
    </row>
    <row r="1906" spans="2:2">
      <c r="B1906" s="422"/>
    </row>
    <row r="1907" spans="2:2">
      <c r="B1907" s="422"/>
    </row>
    <row r="1908" spans="2:2">
      <c r="B1908" s="422"/>
    </row>
    <row r="1909" spans="2:2">
      <c r="B1909" s="422"/>
    </row>
    <row r="1910" spans="2:2">
      <c r="B1910" s="422"/>
    </row>
    <row r="1911" spans="2:2">
      <c r="B1911" s="422"/>
    </row>
    <row r="1912" spans="2:2">
      <c r="B1912" s="422"/>
    </row>
    <row r="1913" spans="2:2">
      <c r="B1913" s="422"/>
    </row>
    <row r="1914" spans="2:2">
      <c r="B1914" s="422"/>
    </row>
    <row r="1915" spans="2:2">
      <c r="B1915" s="422"/>
    </row>
    <row r="1916" spans="2:2">
      <c r="B1916" s="422"/>
    </row>
    <row r="1917" spans="2:2">
      <c r="B1917" s="422"/>
    </row>
    <row r="1918" spans="2:2">
      <c r="B1918" s="422"/>
    </row>
    <row r="1919" spans="2:2">
      <c r="B1919" s="422"/>
    </row>
    <row r="1920" spans="2:2">
      <c r="B1920" s="422"/>
    </row>
    <row r="1921" spans="2:2">
      <c r="B1921" s="422"/>
    </row>
    <row r="1922" spans="2:2">
      <c r="B1922" s="422"/>
    </row>
    <row r="1923" spans="2:2">
      <c r="B1923" s="422"/>
    </row>
    <row r="1924" spans="2:2">
      <c r="B1924" s="422"/>
    </row>
    <row r="1925" spans="2:2">
      <c r="B1925" s="422"/>
    </row>
    <row r="1926" spans="2:2">
      <c r="B1926" s="422"/>
    </row>
    <row r="1927" spans="2:2">
      <c r="B1927" s="422"/>
    </row>
    <row r="1928" spans="2:2">
      <c r="B1928" s="422"/>
    </row>
    <row r="1929" spans="2:2">
      <c r="B1929" s="422"/>
    </row>
    <row r="1930" spans="2:2">
      <c r="B1930" s="422"/>
    </row>
    <row r="1931" spans="2:2">
      <c r="B1931" s="422"/>
    </row>
    <row r="1932" spans="2:2">
      <c r="B1932" s="422"/>
    </row>
    <row r="1933" spans="2:2">
      <c r="B1933" s="422"/>
    </row>
    <row r="1934" spans="2:2">
      <c r="B1934" s="422"/>
    </row>
    <row r="1935" spans="2:2">
      <c r="B1935" s="422"/>
    </row>
    <row r="1936" spans="2:2">
      <c r="B1936" s="422"/>
    </row>
    <row r="1937" spans="2:2">
      <c r="B1937" s="422"/>
    </row>
    <row r="1938" spans="2:2">
      <c r="B1938" s="422"/>
    </row>
    <row r="1939" spans="2:2">
      <c r="B1939" s="422"/>
    </row>
    <row r="1940" spans="2:2">
      <c r="B1940" s="422"/>
    </row>
    <row r="1941" spans="2:2">
      <c r="B1941" s="422"/>
    </row>
    <row r="1942" spans="2:2">
      <c r="B1942" s="422"/>
    </row>
    <row r="1943" spans="2:2">
      <c r="B1943" s="422"/>
    </row>
    <row r="1944" spans="2:2">
      <c r="B1944" s="422"/>
    </row>
    <row r="1945" spans="2:2">
      <c r="B1945" s="422"/>
    </row>
    <row r="1946" spans="2:2">
      <c r="B1946" s="422"/>
    </row>
    <row r="1947" spans="2:2">
      <c r="B1947" s="422"/>
    </row>
    <row r="1948" spans="2:2">
      <c r="B1948" s="422"/>
    </row>
    <row r="1949" spans="2:2">
      <c r="B1949" s="422"/>
    </row>
    <row r="1950" spans="2:2">
      <c r="B1950" s="422"/>
    </row>
    <row r="1951" spans="2:2">
      <c r="B1951" s="422"/>
    </row>
    <row r="1952" spans="2:2">
      <c r="B1952" s="422"/>
    </row>
    <row r="1953" spans="2:2">
      <c r="B1953" s="422"/>
    </row>
    <row r="1954" spans="2:2">
      <c r="B1954" s="422"/>
    </row>
    <row r="1955" spans="2:2">
      <c r="B1955" s="422"/>
    </row>
    <row r="1956" spans="2:2">
      <c r="B1956" s="422"/>
    </row>
    <row r="1957" spans="2:2">
      <c r="B1957" s="422"/>
    </row>
    <row r="1958" spans="2:2">
      <c r="B1958" s="422"/>
    </row>
    <row r="1959" spans="2:2">
      <c r="B1959" s="422"/>
    </row>
    <row r="1960" spans="2:2">
      <c r="B1960" s="422"/>
    </row>
    <row r="1961" spans="2:2">
      <c r="B1961" s="422"/>
    </row>
    <row r="1962" spans="2:2">
      <c r="B1962" s="422"/>
    </row>
    <row r="1963" spans="2:2">
      <c r="B1963" s="422"/>
    </row>
    <row r="1964" spans="2:2">
      <c r="B1964" s="422"/>
    </row>
    <row r="1965" spans="2:2">
      <c r="B1965" s="422"/>
    </row>
    <row r="1966" spans="2:2">
      <c r="B1966" s="422"/>
    </row>
    <row r="1967" spans="2:2">
      <c r="B1967" s="422"/>
    </row>
    <row r="1968" spans="2:2">
      <c r="B1968" s="422"/>
    </row>
    <row r="1969" spans="2:2">
      <c r="B1969" s="422"/>
    </row>
    <row r="1970" spans="2:2">
      <c r="B1970" s="422"/>
    </row>
    <row r="1971" spans="2:2">
      <c r="B1971" s="422"/>
    </row>
    <row r="1972" spans="2:2">
      <c r="B1972" s="422"/>
    </row>
    <row r="1973" spans="2:2">
      <c r="B1973" s="422"/>
    </row>
    <row r="1974" spans="2:2">
      <c r="B1974" s="422"/>
    </row>
    <row r="1975" spans="2:2">
      <c r="B1975" s="422"/>
    </row>
    <row r="1976" spans="2:2">
      <c r="B1976" s="422"/>
    </row>
    <row r="1977" spans="2:2">
      <c r="B1977" s="422"/>
    </row>
    <row r="1978" spans="2:2">
      <c r="B1978" s="422"/>
    </row>
    <row r="1979" spans="2:2">
      <c r="B1979" s="422"/>
    </row>
    <row r="1980" spans="2:2">
      <c r="B1980" s="422"/>
    </row>
    <row r="1981" spans="2:2">
      <c r="B1981" s="422"/>
    </row>
    <row r="1982" spans="2:2">
      <c r="B1982" s="422"/>
    </row>
    <row r="1983" spans="2:2">
      <c r="B1983" s="422"/>
    </row>
    <row r="1984" spans="2:2">
      <c r="B1984" s="422"/>
    </row>
    <row r="1985" spans="2:2">
      <c r="B1985" s="422"/>
    </row>
    <row r="1986" spans="2:2">
      <c r="B1986" s="422"/>
    </row>
    <row r="1987" spans="2:2">
      <c r="B1987" s="422"/>
    </row>
    <row r="1988" spans="2:2">
      <c r="B1988" s="422"/>
    </row>
    <row r="1989" spans="2:2">
      <c r="B1989" s="422"/>
    </row>
    <row r="1990" spans="2:2">
      <c r="B1990" s="422"/>
    </row>
    <row r="1991" spans="2:2">
      <c r="B1991" s="422"/>
    </row>
    <row r="1992" spans="2:2">
      <c r="B1992" s="422"/>
    </row>
    <row r="1993" spans="2:2">
      <c r="B1993" s="422"/>
    </row>
    <row r="1994" spans="2:2">
      <c r="B1994" s="422"/>
    </row>
    <row r="1995" spans="2:2">
      <c r="B1995" s="422"/>
    </row>
    <row r="1996" spans="2:2">
      <c r="B1996" s="422"/>
    </row>
    <row r="1997" spans="2:2">
      <c r="B1997" s="422"/>
    </row>
    <row r="1998" spans="2:2">
      <c r="B1998" s="422"/>
    </row>
    <row r="1999" spans="2:2">
      <c r="B1999" s="422"/>
    </row>
    <row r="2000" spans="2:2">
      <c r="B2000" s="422"/>
    </row>
    <row r="2001" spans="2:2">
      <c r="B2001" s="422"/>
    </row>
    <row r="2002" spans="2:2">
      <c r="B2002" s="422"/>
    </row>
    <row r="2003" spans="2:2">
      <c r="B2003" s="422"/>
    </row>
    <row r="2004" spans="2:2">
      <c r="B2004" s="422"/>
    </row>
    <row r="2005" spans="2:2">
      <c r="B2005" s="422"/>
    </row>
    <row r="2006" spans="2:2">
      <c r="B2006" s="422"/>
    </row>
    <row r="2007" spans="2:2">
      <c r="B2007" s="422"/>
    </row>
    <row r="2008" spans="2:2">
      <c r="B2008" s="422"/>
    </row>
    <row r="2009" spans="2:2">
      <c r="B2009" s="422"/>
    </row>
    <row r="2010" spans="2:2">
      <c r="B2010" s="422"/>
    </row>
    <row r="2011" spans="2:2">
      <c r="B2011" s="422"/>
    </row>
    <row r="2012" spans="2:2">
      <c r="B2012" s="422"/>
    </row>
    <row r="2013" spans="2:2">
      <c r="B2013" s="422"/>
    </row>
    <row r="2014" spans="2:2">
      <c r="B2014" s="422"/>
    </row>
    <row r="2015" spans="2:2">
      <c r="B2015" s="422"/>
    </row>
    <row r="2016" spans="2:2">
      <c r="B2016" s="422"/>
    </row>
    <row r="2017" spans="2:2">
      <c r="B2017" s="422"/>
    </row>
    <row r="2018" spans="2:2">
      <c r="B2018" s="422"/>
    </row>
    <row r="2019" spans="2:2">
      <c r="B2019" s="422"/>
    </row>
    <row r="2020" spans="2:2">
      <c r="B2020" s="422"/>
    </row>
    <row r="2021" spans="2:2">
      <c r="B2021" s="422"/>
    </row>
    <row r="2022" spans="2:2">
      <c r="B2022" s="422"/>
    </row>
    <row r="2023" spans="2:2">
      <c r="B2023" s="422"/>
    </row>
    <row r="2024" spans="2:2">
      <c r="B2024" s="422"/>
    </row>
    <row r="2025" spans="2:2">
      <c r="B2025" s="422"/>
    </row>
    <row r="2026" spans="2:2">
      <c r="B2026" s="422"/>
    </row>
    <row r="2027" spans="2:2">
      <c r="B2027" s="422"/>
    </row>
    <row r="2028" spans="2:2">
      <c r="B2028" s="422"/>
    </row>
    <row r="2029" spans="2:2">
      <c r="B2029" s="422"/>
    </row>
    <row r="2030" spans="2:2">
      <c r="B2030" s="422"/>
    </row>
    <row r="2031" spans="2:2">
      <c r="B2031" s="422"/>
    </row>
    <row r="2032" spans="2:2">
      <c r="B2032" s="422"/>
    </row>
    <row r="2033" spans="2:2">
      <c r="B2033" s="422"/>
    </row>
    <row r="2034" spans="2:2">
      <c r="B2034" s="422"/>
    </row>
    <row r="2035" spans="2:2">
      <c r="B2035" s="422"/>
    </row>
    <row r="2036" spans="2:2">
      <c r="B2036" s="422"/>
    </row>
    <row r="2037" spans="2:2">
      <c r="B2037" s="422"/>
    </row>
    <row r="2038" spans="2:2">
      <c r="B2038" s="422"/>
    </row>
    <row r="2039" spans="2:2">
      <c r="B2039" s="422"/>
    </row>
    <row r="2040" spans="2:2">
      <c r="B2040" s="422"/>
    </row>
    <row r="2041" spans="2:2">
      <c r="B2041" s="422"/>
    </row>
    <row r="2042" spans="2:2">
      <c r="B2042" s="422"/>
    </row>
    <row r="2043" spans="2:2">
      <c r="B2043" s="422"/>
    </row>
    <row r="2044" spans="2:2">
      <c r="B2044" s="422"/>
    </row>
    <row r="2045" spans="2:2">
      <c r="B2045" s="422"/>
    </row>
    <row r="2046" spans="2:2">
      <c r="B2046" s="422"/>
    </row>
    <row r="2047" spans="2:2">
      <c r="B2047" s="422"/>
    </row>
    <row r="2048" spans="2:2">
      <c r="B2048" s="422"/>
    </row>
    <row r="2049" spans="2:2">
      <c r="B2049" s="422"/>
    </row>
    <row r="2050" spans="2:2">
      <c r="B2050" s="422"/>
    </row>
    <row r="2051" spans="2:2">
      <c r="B2051" s="422"/>
    </row>
    <row r="2052" spans="2:2">
      <c r="B2052" s="422"/>
    </row>
    <row r="2053" spans="2:2">
      <c r="B2053" s="422"/>
    </row>
    <row r="2054" spans="2:2">
      <c r="B2054" s="422"/>
    </row>
    <row r="2055" spans="2:2">
      <c r="B2055" s="422"/>
    </row>
    <row r="2056" spans="2:2">
      <c r="B2056" s="422"/>
    </row>
    <row r="2057" spans="2:2">
      <c r="B2057" s="422"/>
    </row>
    <row r="2058" spans="2:2">
      <c r="B2058" s="422"/>
    </row>
    <row r="2059" spans="2:2">
      <c r="B2059" s="422"/>
    </row>
    <row r="2060" spans="2:2">
      <c r="B2060" s="422"/>
    </row>
    <row r="2061" spans="2:2">
      <c r="B2061" s="422"/>
    </row>
    <row r="2062" spans="2:2">
      <c r="B2062" s="422"/>
    </row>
    <row r="2063" spans="2:2">
      <c r="B2063" s="422"/>
    </row>
    <row r="2064" spans="2:2">
      <c r="B2064" s="422"/>
    </row>
    <row r="2065" spans="2:2">
      <c r="B2065" s="422"/>
    </row>
    <row r="2066" spans="2:2">
      <c r="B2066" s="422"/>
    </row>
    <row r="2067" spans="2:2">
      <c r="B2067" s="422"/>
    </row>
    <row r="2068" spans="2:2">
      <c r="B2068" s="422"/>
    </row>
    <row r="2069" spans="2:2">
      <c r="B2069" s="422"/>
    </row>
    <row r="2070" spans="2:2">
      <c r="B2070" s="422"/>
    </row>
    <row r="2071" spans="2:2">
      <c r="B2071" s="422"/>
    </row>
    <row r="2072" spans="2:2">
      <c r="B2072" s="422"/>
    </row>
    <row r="2073" spans="2:2">
      <c r="B2073" s="422"/>
    </row>
    <row r="2074" spans="2:2">
      <c r="B2074" s="422"/>
    </row>
    <row r="2075" spans="2:2">
      <c r="B2075" s="422"/>
    </row>
    <row r="2076" spans="2:2">
      <c r="B2076" s="422"/>
    </row>
    <row r="2077" spans="2:2">
      <c r="B2077" s="422"/>
    </row>
    <row r="2078" spans="2:2">
      <c r="B2078" s="422"/>
    </row>
    <row r="2079" spans="2:2">
      <c r="B2079" s="422"/>
    </row>
    <row r="2080" spans="2:2">
      <c r="B2080" s="422"/>
    </row>
    <row r="2081" spans="2:2">
      <c r="B2081" s="422"/>
    </row>
    <row r="2082" spans="2:2">
      <c r="B2082" s="422"/>
    </row>
    <row r="2083" spans="2:2">
      <c r="B2083" s="422"/>
    </row>
    <row r="2084" spans="2:2">
      <c r="B2084" s="422"/>
    </row>
    <row r="2085" spans="2:2">
      <c r="B2085" s="422"/>
    </row>
    <row r="2086" spans="2:2">
      <c r="B2086" s="422"/>
    </row>
    <row r="2087" spans="2:2">
      <c r="B2087" s="422"/>
    </row>
    <row r="2088" spans="2:2">
      <c r="B2088" s="422"/>
    </row>
    <row r="2089" spans="2:2">
      <c r="B2089" s="422"/>
    </row>
    <row r="2090" spans="2:2">
      <c r="B2090" s="422"/>
    </row>
    <row r="2091" spans="2:2">
      <c r="B2091" s="422"/>
    </row>
    <row r="2092" spans="2:2">
      <c r="B2092" s="422"/>
    </row>
    <row r="2093" spans="2:2">
      <c r="B2093" s="422"/>
    </row>
    <row r="2094" spans="2:2">
      <c r="B2094" s="422"/>
    </row>
    <row r="2095" spans="2:2">
      <c r="B2095" s="422"/>
    </row>
    <row r="2096" spans="2:2">
      <c r="B2096" s="422"/>
    </row>
    <row r="2097" spans="2:2">
      <c r="B2097" s="422"/>
    </row>
    <row r="2098" spans="2:2">
      <c r="B2098" s="422"/>
    </row>
    <row r="2099" spans="2:2">
      <c r="B2099" s="422"/>
    </row>
    <row r="2100" spans="2:2">
      <c r="B2100" s="422"/>
    </row>
    <row r="2101" spans="2:2">
      <c r="B2101" s="422"/>
    </row>
    <row r="2102" spans="2:2">
      <c r="B2102" s="422"/>
    </row>
    <row r="2103" spans="2:2">
      <c r="B2103" s="422"/>
    </row>
    <row r="2104" spans="2:2">
      <c r="B2104" s="422"/>
    </row>
    <row r="2105" spans="2:2">
      <c r="B2105" s="422"/>
    </row>
    <row r="2106" spans="2:2">
      <c r="B2106" s="422"/>
    </row>
    <row r="2107" spans="2:2">
      <c r="B2107" s="422"/>
    </row>
    <row r="2108" spans="2:2">
      <c r="B2108" s="422"/>
    </row>
    <row r="2109" spans="2:2">
      <c r="B2109" s="422"/>
    </row>
    <row r="2110" spans="2:2">
      <c r="B2110" s="422"/>
    </row>
    <row r="2111" spans="2:2">
      <c r="B2111" s="422"/>
    </row>
    <row r="2112" spans="2:2">
      <c r="B2112" s="422"/>
    </row>
    <row r="2113" spans="2:2">
      <c r="B2113" s="422"/>
    </row>
    <row r="2114" spans="2:2">
      <c r="B2114" s="422"/>
    </row>
    <row r="2115" spans="2:2">
      <c r="B2115" s="422"/>
    </row>
    <row r="2116" spans="2:2">
      <c r="B2116" s="422"/>
    </row>
    <row r="2117" spans="2:2">
      <c r="B2117" s="422"/>
    </row>
    <row r="2118" spans="2:2">
      <c r="B2118" s="422"/>
    </row>
    <row r="2119" spans="2:2">
      <c r="B2119" s="422"/>
    </row>
    <row r="2120" spans="2:2">
      <c r="B2120" s="422"/>
    </row>
    <row r="2121" spans="2:2">
      <c r="B2121" s="422"/>
    </row>
    <row r="2122" spans="2:2">
      <c r="B2122" s="422"/>
    </row>
    <row r="2123" spans="2:2">
      <c r="B2123" s="422"/>
    </row>
    <row r="2124" spans="2:2">
      <c r="B2124" s="422"/>
    </row>
    <row r="2125" spans="2:2">
      <c r="B2125" s="422"/>
    </row>
    <row r="2126" spans="2:2">
      <c r="B2126" s="422"/>
    </row>
    <row r="2127" spans="2:2">
      <c r="B2127" s="422"/>
    </row>
    <row r="2128" spans="2:2">
      <c r="B2128" s="422"/>
    </row>
    <row r="2129" spans="2:2">
      <c r="B2129" s="422"/>
    </row>
    <row r="2130" spans="2:2">
      <c r="B2130" s="422"/>
    </row>
    <row r="2131" spans="2:2">
      <c r="B2131" s="422"/>
    </row>
    <row r="2132" spans="2:2">
      <c r="B2132" s="422"/>
    </row>
    <row r="2133" spans="2:2">
      <c r="B2133" s="422"/>
    </row>
    <row r="2134" spans="2:2">
      <c r="B2134" s="422"/>
    </row>
    <row r="2135" spans="2:2">
      <c r="B2135" s="422"/>
    </row>
    <row r="2136" spans="2:2">
      <c r="B2136" s="422"/>
    </row>
    <row r="2137" spans="2:2">
      <c r="B2137" s="422"/>
    </row>
    <row r="2138" spans="2:2">
      <c r="B2138" s="422"/>
    </row>
    <row r="2139" spans="2:2">
      <c r="B2139" s="422"/>
    </row>
    <row r="2140" spans="2:2">
      <c r="B2140" s="422"/>
    </row>
    <row r="2141" spans="2:2">
      <c r="B2141" s="422"/>
    </row>
    <row r="2142" spans="2:2">
      <c r="B2142" s="422"/>
    </row>
    <row r="2143" spans="2:2">
      <c r="B2143" s="422"/>
    </row>
    <row r="2144" spans="2:2">
      <c r="B2144" s="422"/>
    </row>
    <row r="2145" spans="2:2">
      <c r="B2145" s="422"/>
    </row>
    <row r="2146" spans="2:2">
      <c r="B2146" s="422"/>
    </row>
    <row r="2147" spans="2:2">
      <c r="B2147" s="422"/>
    </row>
    <row r="2148" spans="2:2">
      <c r="B2148" s="422"/>
    </row>
    <row r="2149" spans="2:2">
      <c r="B2149" s="422"/>
    </row>
    <row r="2150" spans="2:2">
      <c r="B2150" s="422"/>
    </row>
    <row r="2151" spans="2:2">
      <c r="B2151" s="422"/>
    </row>
    <row r="2152" spans="2:2">
      <c r="B2152" s="422"/>
    </row>
    <row r="2153" spans="2:2">
      <c r="B2153" s="422"/>
    </row>
    <row r="2154" spans="2:2">
      <c r="B2154" s="422"/>
    </row>
    <row r="2155" spans="2:2">
      <c r="B2155" s="422"/>
    </row>
    <row r="2156" spans="2:2">
      <c r="B2156" s="422"/>
    </row>
    <row r="2157" spans="2:2">
      <c r="B2157" s="422"/>
    </row>
    <row r="2158" spans="2:2">
      <c r="B2158" s="422"/>
    </row>
    <row r="2159" spans="2:2">
      <c r="B2159" s="422"/>
    </row>
    <row r="2160" spans="2:2">
      <c r="B2160" s="422"/>
    </row>
    <row r="2161" spans="2:2">
      <c r="B2161" s="422"/>
    </row>
    <row r="2162" spans="2:2">
      <c r="B2162" s="422"/>
    </row>
    <row r="2163" spans="2:2">
      <c r="B2163" s="422"/>
    </row>
    <row r="2164" spans="2:2">
      <c r="B2164" s="422"/>
    </row>
    <row r="2165" spans="2:2">
      <c r="B2165" s="422"/>
    </row>
    <row r="2166" spans="2:2">
      <c r="B2166" s="422"/>
    </row>
    <row r="2167" spans="2:2">
      <c r="B2167" s="422"/>
    </row>
    <row r="2168" spans="2:2">
      <c r="B2168" s="422"/>
    </row>
    <row r="2169" spans="2:2">
      <c r="B2169" s="422"/>
    </row>
    <row r="2170" spans="2:2">
      <c r="B2170" s="422"/>
    </row>
    <row r="2171" spans="2:2">
      <c r="B2171" s="422"/>
    </row>
    <row r="2172" spans="2:2">
      <c r="B2172" s="422"/>
    </row>
    <row r="2173" spans="2:2">
      <c r="B2173" s="422"/>
    </row>
    <row r="2174" spans="2:2">
      <c r="B2174" s="422"/>
    </row>
    <row r="2175" spans="2:2">
      <c r="B2175" s="422"/>
    </row>
    <row r="2176" spans="2:2">
      <c r="B2176" s="422"/>
    </row>
    <row r="2177" spans="2:2">
      <c r="B2177" s="422"/>
    </row>
    <row r="2178" spans="2:2">
      <c r="B2178" s="422"/>
    </row>
    <row r="2179" spans="2:2">
      <c r="B2179" s="422"/>
    </row>
    <row r="2180" spans="2:2">
      <c r="B2180" s="422"/>
    </row>
    <row r="2181" spans="2:2">
      <c r="B2181" s="422"/>
    </row>
    <row r="2182" spans="2:2">
      <c r="B2182" s="422"/>
    </row>
    <row r="2183" spans="2:2">
      <c r="B2183" s="422"/>
    </row>
    <row r="2184" spans="2:2">
      <c r="B2184" s="422"/>
    </row>
    <row r="2185" spans="2:2">
      <c r="B2185" s="422"/>
    </row>
    <row r="2186" spans="2:2">
      <c r="B2186" s="422"/>
    </row>
    <row r="2187" spans="2:2">
      <c r="B2187" s="422"/>
    </row>
    <row r="2188" spans="2:2">
      <c r="B2188" s="422"/>
    </row>
    <row r="2189" spans="2:2">
      <c r="B2189" s="422"/>
    </row>
    <row r="2190" spans="2:2">
      <c r="B2190" s="422"/>
    </row>
    <row r="2191" spans="2:2">
      <c r="B2191" s="422"/>
    </row>
    <row r="2192" spans="2:2">
      <c r="B2192" s="422"/>
    </row>
    <row r="2193" spans="2:2">
      <c r="B2193" s="422"/>
    </row>
    <row r="2194" spans="2:2">
      <c r="B2194" s="422"/>
    </row>
    <row r="2195" spans="2:2">
      <c r="B2195" s="422"/>
    </row>
    <row r="2196" spans="2:2">
      <c r="B2196" s="422"/>
    </row>
    <row r="2197" spans="2:2">
      <c r="B2197" s="422"/>
    </row>
    <row r="2198" spans="2:2">
      <c r="B2198" s="422"/>
    </row>
    <row r="2199" spans="2:2">
      <c r="B2199" s="422"/>
    </row>
    <row r="2200" spans="2:2">
      <c r="B2200" s="422"/>
    </row>
    <row r="2201" spans="2:2">
      <c r="B2201" s="422"/>
    </row>
    <row r="2202" spans="2:2">
      <c r="B2202" s="422"/>
    </row>
    <row r="2203" spans="2:2">
      <c r="B2203" s="422"/>
    </row>
    <row r="2204" spans="2:2">
      <c r="B2204" s="422"/>
    </row>
    <row r="2205" spans="2:2">
      <c r="B2205" s="422"/>
    </row>
    <row r="2206" spans="2:2">
      <c r="B2206" s="422"/>
    </row>
    <row r="2207" spans="2:2">
      <c r="B2207" s="422"/>
    </row>
    <row r="2208" spans="2:2">
      <c r="B2208" s="422"/>
    </row>
    <row r="2209" spans="2:2">
      <c r="B2209" s="422"/>
    </row>
    <row r="2210" spans="2:2">
      <c r="B2210" s="422"/>
    </row>
    <row r="2211" spans="2:2">
      <c r="B2211" s="422"/>
    </row>
    <row r="2212" spans="2:2">
      <c r="B2212" s="422"/>
    </row>
    <row r="2213" spans="2:2">
      <c r="B2213" s="422"/>
    </row>
    <row r="2214" spans="2:2">
      <c r="B2214" s="422"/>
    </row>
    <row r="2215" spans="2:2">
      <c r="B2215" s="422"/>
    </row>
    <row r="2216" spans="2:2">
      <c r="B2216" s="422"/>
    </row>
    <row r="2217" spans="2:2">
      <c r="B2217" s="422"/>
    </row>
    <row r="2218" spans="2:2">
      <c r="B2218" s="422"/>
    </row>
    <row r="2219" spans="2:2">
      <c r="B2219" s="422"/>
    </row>
    <row r="2220" spans="2:2">
      <c r="B2220" s="422"/>
    </row>
    <row r="2221" spans="2:2">
      <c r="B2221" s="422"/>
    </row>
    <row r="2222" spans="2:2">
      <c r="B2222" s="422"/>
    </row>
    <row r="2223" spans="2:2">
      <c r="B2223" s="422"/>
    </row>
    <row r="2224" spans="2:2">
      <c r="B2224" s="422"/>
    </row>
    <row r="2225" spans="2:2">
      <c r="B2225" s="422"/>
    </row>
    <row r="2226" spans="2:2">
      <c r="B2226" s="422"/>
    </row>
    <row r="2227" spans="2:2">
      <c r="B2227" s="422"/>
    </row>
    <row r="2228" spans="2:2">
      <c r="B2228" s="422"/>
    </row>
    <row r="2229" spans="2:2">
      <c r="B2229" s="422"/>
    </row>
    <row r="2230" spans="2:2">
      <c r="B2230" s="422"/>
    </row>
    <row r="2231" spans="2:2">
      <c r="B2231" s="422"/>
    </row>
    <row r="2232" spans="2:2">
      <c r="B2232" s="422"/>
    </row>
    <row r="2233" spans="2:2">
      <c r="B2233" s="422"/>
    </row>
    <row r="2234" spans="2:2">
      <c r="B2234" s="422"/>
    </row>
    <row r="2235" spans="2:2">
      <c r="B2235" s="422"/>
    </row>
    <row r="2236" spans="2:2">
      <c r="B2236" s="422"/>
    </row>
    <row r="2237" spans="2:2">
      <c r="B2237" s="422"/>
    </row>
    <row r="2238" spans="2:2">
      <c r="B2238" s="422"/>
    </row>
    <row r="2239" spans="2:2">
      <c r="B2239" s="422"/>
    </row>
    <row r="2240" spans="2:2">
      <c r="B2240" s="422"/>
    </row>
    <row r="2241" spans="2:2">
      <c r="B2241" s="422"/>
    </row>
    <row r="2242" spans="2:2">
      <c r="B2242" s="422"/>
    </row>
    <row r="2243" spans="2:2">
      <c r="B2243" s="422"/>
    </row>
    <row r="2244" spans="2:2">
      <c r="B2244" s="422"/>
    </row>
    <row r="2245" spans="2:2">
      <c r="B2245" s="422"/>
    </row>
    <row r="2246" spans="2:2">
      <c r="B2246" s="422"/>
    </row>
    <row r="2247" spans="2:2">
      <c r="B2247" s="422"/>
    </row>
    <row r="2248" spans="2:2">
      <c r="B2248" s="422"/>
    </row>
    <row r="2249" spans="2:2">
      <c r="B2249" s="422"/>
    </row>
    <row r="2250" spans="2:2">
      <c r="B2250" s="422"/>
    </row>
    <row r="2251" spans="2:2">
      <c r="B2251" s="422"/>
    </row>
    <row r="2252" spans="2:2">
      <c r="B2252" s="422"/>
    </row>
    <row r="2253" spans="2:2">
      <c r="B2253" s="422"/>
    </row>
    <row r="2254" spans="2:2">
      <c r="B2254" s="422"/>
    </row>
    <row r="2255" spans="2:2">
      <c r="B2255" s="422"/>
    </row>
    <row r="2256" spans="2:2">
      <c r="B2256" s="422"/>
    </row>
    <row r="2257" spans="2:2">
      <c r="B2257" s="422"/>
    </row>
    <row r="2258" spans="2:2">
      <c r="B2258" s="422"/>
    </row>
    <row r="2259" spans="2:2">
      <c r="B2259" s="422"/>
    </row>
    <row r="2260" spans="2:2">
      <c r="B2260" s="422"/>
    </row>
    <row r="2261" spans="2:2">
      <c r="B2261" s="422"/>
    </row>
    <row r="2262" spans="2:2">
      <c r="B2262" s="422"/>
    </row>
    <row r="2263" spans="2:2">
      <c r="B2263" s="422"/>
    </row>
    <row r="2264" spans="2:2">
      <c r="B2264" s="422"/>
    </row>
    <row r="2265" spans="2:2">
      <c r="B2265" s="422"/>
    </row>
    <row r="2266" spans="2:2">
      <c r="B2266" s="422"/>
    </row>
    <row r="2267" spans="2:2">
      <c r="B2267" s="422"/>
    </row>
    <row r="2268" spans="2:2">
      <c r="B2268" s="422"/>
    </row>
    <row r="2269" spans="2:2">
      <c r="B2269" s="422"/>
    </row>
    <row r="2270" spans="2:2">
      <c r="B2270" s="422"/>
    </row>
    <row r="2271" spans="2:2">
      <c r="B2271" s="422"/>
    </row>
    <row r="2272" spans="2:2">
      <c r="B2272" s="422"/>
    </row>
    <row r="2273" spans="2:2">
      <c r="B2273" s="422"/>
    </row>
    <row r="2274" spans="2:2">
      <c r="B2274" s="422"/>
    </row>
    <row r="2275" spans="2:2">
      <c r="B2275" s="422"/>
    </row>
    <row r="2276" spans="2:2">
      <c r="B2276" s="422"/>
    </row>
    <row r="2277" spans="2:2">
      <c r="B2277" s="422"/>
    </row>
    <row r="2278" spans="2:2">
      <c r="B2278" s="422"/>
    </row>
    <row r="2279" spans="2:2">
      <c r="B2279" s="422"/>
    </row>
    <row r="2280" spans="2:2">
      <c r="B2280" s="422"/>
    </row>
    <row r="2281" spans="2:2">
      <c r="B2281" s="422"/>
    </row>
    <row r="2282" spans="2:2">
      <c r="B2282" s="422"/>
    </row>
    <row r="2283" spans="2:2">
      <c r="B2283" s="422"/>
    </row>
    <row r="2284" spans="2:2">
      <c r="B2284" s="422"/>
    </row>
    <row r="2285" spans="2:2">
      <c r="B2285" s="422"/>
    </row>
    <row r="2286" spans="2:2">
      <c r="B2286" s="422"/>
    </row>
    <row r="2287" spans="2:2">
      <c r="B2287" s="422"/>
    </row>
    <row r="2288" spans="2:2">
      <c r="B2288" s="422"/>
    </row>
    <row r="2289" spans="2:2">
      <c r="B2289" s="422"/>
    </row>
    <row r="2290" spans="2:2">
      <c r="B2290" s="422"/>
    </row>
    <row r="2291" spans="2:2">
      <c r="B2291" s="422"/>
    </row>
    <row r="2292" spans="2:2">
      <c r="B2292" s="422"/>
    </row>
    <row r="2293" spans="2:2">
      <c r="B2293" s="422"/>
    </row>
    <row r="2294" spans="2:2">
      <c r="B2294" s="422"/>
    </row>
    <row r="2295" spans="2:2">
      <c r="B2295" s="422"/>
    </row>
    <row r="2296" spans="2:2">
      <c r="B2296" s="422"/>
    </row>
    <row r="2297" spans="2:2">
      <c r="B2297" s="422"/>
    </row>
    <row r="2298" spans="2:2">
      <c r="B2298" s="422"/>
    </row>
    <row r="2299" spans="2:2">
      <c r="B2299" s="422"/>
    </row>
    <row r="2300" spans="2:2">
      <c r="B2300" s="422"/>
    </row>
    <row r="2301" spans="2:2">
      <c r="B2301" s="422"/>
    </row>
    <row r="2302" spans="2:2">
      <c r="B2302" s="422"/>
    </row>
    <row r="2303" spans="2:2">
      <c r="B2303" s="422"/>
    </row>
    <row r="2304" spans="2:2">
      <c r="B2304" s="422"/>
    </row>
    <row r="2305" spans="2:2">
      <c r="B2305" s="422"/>
    </row>
    <row r="2306" spans="2:2">
      <c r="B2306" s="422"/>
    </row>
    <row r="2307" spans="2:2">
      <c r="B2307" s="422"/>
    </row>
    <row r="2308" spans="2:2">
      <c r="B2308" s="422"/>
    </row>
    <row r="2309" spans="2:2">
      <c r="B2309" s="422"/>
    </row>
    <row r="2310" spans="2:2">
      <c r="B2310" s="422"/>
    </row>
    <row r="2311" spans="2:2">
      <c r="B2311" s="422"/>
    </row>
    <row r="2312" spans="2:2">
      <c r="B2312" s="422"/>
    </row>
    <row r="2313" spans="2:2">
      <c r="B2313" s="422"/>
    </row>
    <row r="2314" spans="2:2">
      <c r="B2314" s="422"/>
    </row>
    <row r="2315" spans="2:2">
      <c r="B2315" s="422"/>
    </row>
    <row r="2316" spans="2:2">
      <c r="B2316" s="422"/>
    </row>
    <row r="2317" spans="2:2">
      <c r="B2317" s="422"/>
    </row>
    <row r="2318" spans="2:2">
      <c r="B2318" s="422"/>
    </row>
    <row r="2319" spans="2:2">
      <c r="B2319" s="422"/>
    </row>
    <row r="2320" spans="2:2">
      <c r="B2320" s="422"/>
    </row>
    <row r="2321" spans="2:2">
      <c r="B2321" s="422"/>
    </row>
    <row r="2322" spans="2:2">
      <c r="B2322" s="422"/>
    </row>
    <row r="2323" spans="2:2">
      <c r="B2323" s="422"/>
    </row>
    <row r="2324" spans="2:2">
      <c r="B2324" s="422"/>
    </row>
    <row r="2325" spans="2:2">
      <c r="B2325" s="422"/>
    </row>
    <row r="2326" spans="2:2">
      <c r="B2326" s="422"/>
    </row>
    <row r="2327" spans="2:2">
      <c r="B2327" s="422"/>
    </row>
    <row r="2328" spans="2:2">
      <c r="B2328" s="422"/>
    </row>
    <row r="2329" spans="2:2">
      <c r="B2329" s="422"/>
    </row>
    <row r="2330" spans="2:2">
      <c r="B2330" s="422"/>
    </row>
    <row r="2331" spans="2:2">
      <c r="B2331" s="422"/>
    </row>
    <row r="2332" spans="2:2">
      <c r="B2332" s="422"/>
    </row>
    <row r="2333" spans="2:2">
      <c r="B2333" s="422"/>
    </row>
    <row r="2334" spans="2:2">
      <c r="B2334" s="422"/>
    </row>
    <row r="2335" spans="2:2">
      <c r="B2335" s="422"/>
    </row>
    <row r="2336" spans="2:2">
      <c r="B2336" s="422"/>
    </row>
    <row r="2337" spans="2:2">
      <c r="B2337" s="422"/>
    </row>
    <row r="2338" spans="2:2">
      <c r="B2338" s="422"/>
    </row>
    <row r="2339" spans="2:2">
      <c r="B2339" s="422"/>
    </row>
    <row r="2340" spans="2:2">
      <c r="B2340" s="422"/>
    </row>
    <row r="2341" spans="2:2">
      <c r="B2341" s="422"/>
    </row>
    <row r="2342" spans="2:2">
      <c r="B2342" s="422"/>
    </row>
    <row r="2343" spans="2:2">
      <c r="B2343" s="422"/>
    </row>
    <row r="2344" spans="2:2">
      <c r="B2344" s="422"/>
    </row>
    <row r="2345" spans="2:2">
      <c r="B2345" s="422"/>
    </row>
    <row r="2346" spans="2:2">
      <c r="B2346" s="422"/>
    </row>
    <row r="2347" spans="2:2">
      <c r="B2347" s="422"/>
    </row>
    <row r="2348" spans="2:2">
      <c r="B2348" s="422"/>
    </row>
    <row r="2349" spans="2:2">
      <c r="B2349" s="422"/>
    </row>
    <row r="2350" spans="2:2">
      <c r="B2350" s="422"/>
    </row>
    <row r="2351" spans="2:2">
      <c r="B2351" s="422"/>
    </row>
    <row r="2352" spans="2:2">
      <c r="B2352" s="422"/>
    </row>
    <row r="2353" spans="2:2">
      <c r="B2353" s="422"/>
    </row>
    <row r="2354" spans="2:2">
      <c r="B2354" s="422"/>
    </row>
    <row r="2355" spans="2:2">
      <c r="B2355" s="422"/>
    </row>
    <row r="2356" spans="2:2">
      <c r="B2356" s="422"/>
    </row>
    <row r="2357" spans="2:2">
      <c r="B2357" s="422"/>
    </row>
    <row r="2358" spans="2:2">
      <c r="B2358" s="422"/>
    </row>
    <row r="2359" spans="2:2">
      <c r="B2359" s="422"/>
    </row>
    <row r="2360" spans="2:2">
      <c r="B2360" s="422"/>
    </row>
    <row r="2361" spans="2:2">
      <c r="B2361" s="422"/>
    </row>
    <row r="2362" spans="2:2">
      <c r="B2362" s="422"/>
    </row>
    <row r="2363" spans="2:2">
      <c r="B2363" s="422"/>
    </row>
    <row r="2364" spans="2:2">
      <c r="B2364" s="422"/>
    </row>
    <row r="2365" spans="2:2">
      <c r="B2365" s="422"/>
    </row>
    <row r="2366" spans="2:2">
      <c r="B2366" s="422"/>
    </row>
    <row r="2367" spans="2:2">
      <c r="B2367" s="422"/>
    </row>
    <row r="2368" spans="2:2">
      <c r="B2368" s="422"/>
    </row>
    <row r="2369" spans="2:2">
      <c r="B2369" s="422"/>
    </row>
    <row r="2370" spans="2:2">
      <c r="B2370" s="422"/>
    </row>
    <row r="2371" spans="2:2">
      <c r="B2371" s="422"/>
    </row>
    <row r="2372" spans="2:2">
      <c r="B2372" s="422"/>
    </row>
    <row r="2373" spans="2:2">
      <c r="B2373" s="422"/>
    </row>
    <row r="2374" spans="2:2">
      <c r="B2374" s="422"/>
    </row>
    <row r="2375" spans="2:2">
      <c r="B2375" s="422"/>
    </row>
    <row r="2376" spans="2:2">
      <c r="B2376" s="422"/>
    </row>
    <row r="2377" spans="2:2">
      <c r="B2377" s="422"/>
    </row>
    <row r="2378" spans="2:2">
      <c r="B2378" s="422"/>
    </row>
    <row r="2379" spans="2:2">
      <c r="B2379" s="422"/>
    </row>
    <row r="2380" spans="2:2">
      <c r="B2380" s="422"/>
    </row>
    <row r="2381" spans="2:2">
      <c r="B2381" s="422"/>
    </row>
    <row r="2382" spans="2:2">
      <c r="B2382" s="422"/>
    </row>
    <row r="2383" spans="2:2">
      <c r="B2383" s="422"/>
    </row>
    <row r="2384" spans="2:2">
      <c r="B2384" s="422"/>
    </row>
    <row r="2385" spans="2:2">
      <c r="B2385" s="422"/>
    </row>
    <row r="2386" spans="2:2">
      <c r="B2386" s="422"/>
    </row>
    <row r="2387" spans="2:2">
      <c r="B2387" s="422"/>
    </row>
    <row r="2388" spans="2:2">
      <c r="B2388" s="422"/>
    </row>
    <row r="2389" spans="2:2">
      <c r="B2389" s="422"/>
    </row>
    <row r="2390" spans="2:2">
      <c r="B2390" s="422"/>
    </row>
    <row r="2391" spans="2:2">
      <c r="B2391" s="422"/>
    </row>
    <row r="2392" spans="2:2">
      <c r="B2392" s="422"/>
    </row>
    <row r="2393" spans="2:2">
      <c r="B2393" s="422"/>
    </row>
    <row r="2394" spans="2:2">
      <c r="B2394" s="422"/>
    </row>
    <row r="2395" spans="2:2">
      <c r="B2395" s="422"/>
    </row>
    <row r="2396" spans="2:2">
      <c r="B2396" s="422"/>
    </row>
    <row r="2397" spans="2:2">
      <c r="B2397" s="422"/>
    </row>
    <row r="2398" spans="2:2">
      <c r="B2398" s="422"/>
    </row>
    <row r="2399" spans="2:2">
      <c r="B2399" s="422"/>
    </row>
    <row r="2400" spans="2:2">
      <c r="B2400" s="422"/>
    </row>
    <row r="2401" spans="2:2">
      <c r="B2401" s="422"/>
    </row>
    <row r="2402" spans="2:2">
      <c r="B2402" s="422"/>
    </row>
    <row r="2403" spans="2:2">
      <c r="B2403" s="422"/>
    </row>
    <row r="2404" spans="2:2">
      <c r="B2404" s="422"/>
    </row>
    <row r="2405" spans="2:2">
      <c r="B2405" s="422"/>
    </row>
    <row r="2406" spans="2:2">
      <c r="B2406" s="422"/>
    </row>
    <row r="2407" spans="2:2">
      <c r="B2407" s="422"/>
    </row>
    <row r="2408" spans="2:2">
      <c r="B2408" s="422"/>
    </row>
    <row r="2409" spans="2:2">
      <c r="B2409" s="422"/>
    </row>
    <row r="2410" spans="2:2">
      <c r="B2410" s="422"/>
    </row>
    <row r="2411" spans="2:2">
      <c r="B2411" s="422"/>
    </row>
    <row r="2412" spans="2:2">
      <c r="B2412" s="422"/>
    </row>
    <row r="2413" spans="2:2">
      <c r="B2413" s="422"/>
    </row>
    <row r="2414" spans="2:2">
      <c r="B2414" s="422"/>
    </row>
    <row r="2415" spans="2:2">
      <c r="B2415" s="422"/>
    </row>
    <row r="2416" spans="2:2">
      <c r="B2416" s="422"/>
    </row>
    <row r="2417" spans="2:2">
      <c r="B2417" s="422"/>
    </row>
    <row r="2418" spans="2:2">
      <c r="B2418" s="422"/>
    </row>
    <row r="2419" spans="2:2">
      <c r="B2419" s="422"/>
    </row>
    <row r="2420" spans="2:2">
      <c r="B2420" s="422"/>
    </row>
    <row r="2421" spans="2:2">
      <c r="B2421" s="422"/>
    </row>
    <row r="2422" spans="2:2">
      <c r="B2422" s="422"/>
    </row>
    <row r="2423" spans="2:2">
      <c r="B2423" s="422"/>
    </row>
    <row r="2424" spans="2:2">
      <c r="B2424" s="422"/>
    </row>
    <row r="2425" spans="2:2">
      <c r="B2425" s="422"/>
    </row>
    <row r="2426" spans="2:2">
      <c r="B2426" s="422"/>
    </row>
    <row r="2427" spans="2:2">
      <c r="B2427" s="422"/>
    </row>
    <row r="2428" spans="2:2">
      <c r="B2428" s="422"/>
    </row>
    <row r="2429" spans="2:2">
      <c r="B2429" s="422"/>
    </row>
    <row r="2430" spans="2:2">
      <c r="B2430" s="422"/>
    </row>
    <row r="2431" spans="2:2">
      <c r="B2431" s="422"/>
    </row>
    <row r="2432" spans="2:2">
      <c r="B2432" s="422"/>
    </row>
    <row r="2433" spans="2:2">
      <c r="B2433" s="422"/>
    </row>
    <row r="2434" spans="2:2">
      <c r="B2434" s="422"/>
    </row>
    <row r="2435" spans="2:2">
      <c r="B2435" s="422"/>
    </row>
    <row r="2436" spans="2:2">
      <c r="B2436" s="422"/>
    </row>
    <row r="2437" spans="2:2">
      <c r="B2437" s="422"/>
    </row>
    <row r="2438" spans="2:2">
      <c r="B2438" s="422"/>
    </row>
    <row r="2439" spans="2:2">
      <c r="B2439" s="422"/>
    </row>
    <row r="2440" spans="2:2">
      <c r="B2440" s="422"/>
    </row>
    <row r="2441" spans="2:2">
      <c r="B2441" s="422"/>
    </row>
    <row r="2442" spans="2:2">
      <c r="B2442" s="422"/>
    </row>
    <row r="2443" spans="2:2">
      <c r="B2443" s="422"/>
    </row>
    <row r="2444" spans="2:2">
      <c r="B2444" s="422"/>
    </row>
    <row r="2445" spans="2:2">
      <c r="B2445" s="422"/>
    </row>
    <row r="2446" spans="2:2">
      <c r="B2446" s="422"/>
    </row>
    <row r="2447" spans="2:2">
      <c r="B2447" s="422"/>
    </row>
    <row r="2448" spans="2:2">
      <c r="B2448" s="422"/>
    </row>
    <row r="2449" spans="2:2">
      <c r="B2449" s="422"/>
    </row>
    <row r="2450" spans="2:2">
      <c r="B2450" s="422"/>
    </row>
    <row r="2451" spans="2:2">
      <c r="B2451" s="422"/>
    </row>
    <row r="2452" spans="2:2">
      <c r="B2452" s="422"/>
    </row>
    <row r="2453" spans="2:2">
      <c r="B2453" s="422"/>
    </row>
    <row r="2454" spans="2:2">
      <c r="B2454" s="422"/>
    </row>
    <row r="2455" spans="2:2">
      <c r="B2455" s="422"/>
    </row>
    <row r="2456" spans="2:2">
      <c r="B2456" s="422"/>
    </row>
    <row r="2457" spans="2:2">
      <c r="B2457" s="422"/>
    </row>
    <row r="2458" spans="2:2">
      <c r="B2458" s="422"/>
    </row>
    <row r="2459" spans="2:2">
      <c r="B2459" s="422"/>
    </row>
    <row r="2460" spans="2:2">
      <c r="B2460" s="422"/>
    </row>
    <row r="2461" spans="2:2">
      <c r="B2461" s="422"/>
    </row>
    <row r="2462" spans="2:2">
      <c r="B2462" s="422"/>
    </row>
    <row r="2463" spans="2:2">
      <c r="B2463" s="422"/>
    </row>
    <row r="2464" spans="2:2">
      <c r="B2464" s="422"/>
    </row>
    <row r="2465" spans="2:2">
      <c r="B2465" s="422"/>
    </row>
    <row r="2466" spans="2:2">
      <c r="B2466" s="422"/>
    </row>
    <row r="2467" spans="2:2">
      <c r="B2467" s="422"/>
    </row>
    <row r="2468" spans="2:2">
      <c r="B2468" s="422"/>
    </row>
    <row r="2469" spans="2:2">
      <c r="B2469" s="422"/>
    </row>
    <row r="2470" spans="2:2">
      <c r="B2470" s="422"/>
    </row>
    <row r="2471" spans="2:2">
      <c r="B2471" s="422"/>
    </row>
    <row r="2472" spans="2:2">
      <c r="B2472" s="422"/>
    </row>
    <row r="2473" spans="2:2">
      <c r="B2473" s="422"/>
    </row>
    <row r="2474" spans="2:2">
      <c r="B2474" s="422"/>
    </row>
    <row r="2475" spans="2:2">
      <c r="B2475" s="422"/>
    </row>
    <row r="2476" spans="2:2">
      <c r="B2476" s="422"/>
    </row>
    <row r="2477" spans="2:2">
      <c r="B2477" s="422"/>
    </row>
    <row r="2478" spans="2:2">
      <c r="B2478" s="422"/>
    </row>
    <row r="2479" spans="2:2">
      <c r="B2479" s="422"/>
    </row>
    <row r="2480" spans="2:2">
      <c r="B2480" s="422"/>
    </row>
    <row r="2481" spans="2:2">
      <c r="B2481" s="422"/>
    </row>
    <row r="2482" spans="2:2">
      <c r="B2482" s="422"/>
    </row>
    <row r="2483" spans="2:2">
      <c r="B2483" s="422"/>
    </row>
    <row r="2484" spans="2:2">
      <c r="B2484" s="422"/>
    </row>
    <row r="2485" spans="2:2">
      <c r="B2485" s="422"/>
    </row>
    <row r="2486" spans="2:2">
      <c r="B2486" s="422"/>
    </row>
    <row r="2487" spans="2:2">
      <c r="B2487" s="422"/>
    </row>
    <row r="2488" spans="2:2">
      <c r="B2488" s="422"/>
    </row>
    <row r="2489" spans="2:2">
      <c r="B2489" s="422"/>
    </row>
    <row r="2490" spans="2:2">
      <c r="B2490" s="422"/>
    </row>
    <row r="2491" spans="2:2">
      <c r="B2491" s="422"/>
    </row>
    <row r="2492" spans="2:2">
      <c r="B2492" s="422"/>
    </row>
    <row r="2493" spans="2:2">
      <c r="B2493" s="422"/>
    </row>
    <row r="2494" spans="2:2">
      <c r="B2494" s="422"/>
    </row>
    <row r="2495" spans="2:2">
      <c r="B2495" s="422"/>
    </row>
    <row r="2496" spans="2:2">
      <c r="B2496" s="422"/>
    </row>
    <row r="2497" spans="2:2">
      <c r="B2497" s="422"/>
    </row>
    <row r="2498" spans="2:2">
      <c r="B2498" s="422"/>
    </row>
    <row r="2499" spans="2:2">
      <c r="B2499" s="422"/>
    </row>
    <row r="2500" spans="2:2">
      <c r="B2500" s="422"/>
    </row>
    <row r="2501" spans="2:2">
      <c r="B2501" s="422"/>
    </row>
    <row r="2502" spans="2:2">
      <c r="B2502" s="422"/>
    </row>
    <row r="2503" spans="2:2">
      <c r="B2503" s="422"/>
    </row>
    <row r="2504" spans="2:2">
      <c r="B2504" s="422"/>
    </row>
    <row r="2505" spans="2:2">
      <c r="B2505" s="422"/>
    </row>
    <row r="2506" spans="2:2">
      <c r="B2506" s="422"/>
    </row>
    <row r="2507" spans="2:2">
      <c r="B2507" s="422"/>
    </row>
    <row r="2508" spans="2:2">
      <c r="B2508" s="422"/>
    </row>
    <row r="2509" spans="2:2">
      <c r="B2509" s="422"/>
    </row>
    <row r="2510" spans="2:2">
      <c r="B2510" s="422"/>
    </row>
    <row r="2511" spans="2:2">
      <c r="B2511" s="422"/>
    </row>
    <row r="2512" spans="2:2">
      <c r="B2512" s="422"/>
    </row>
    <row r="2513" spans="2:2">
      <c r="B2513" s="422"/>
    </row>
    <row r="2514" spans="2:2">
      <c r="B2514" s="422"/>
    </row>
    <row r="2515" spans="2:2">
      <c r="B2515" s="422"/>
    </row>
    <row r="2516" spans="2:2">
      <c r="B2516" s="422"/>
    </row>
    <row r="2517" spans="2:2">
      <c r="B2517" s="422"/>
    </row>
    <row r="2518" spans="2:2">
      <c r="B2518" s="422"/>
    </row>
    <row r="2519" spans="2:2">
      <c r="B2519" s="422"/>
    </row>
    <row r="2520" spans="2:2">
      <c r="B2520" s="422"/>
    </row>
    <row r="2521" spans="2:2">
      <c r="B2521" s="422"/>
    </row>
    <row r="2522" spans="2:2">
      <c r="B2522" s="422"/>
    </row>
    <row r="2523" spans="2:2">
      <c r="B2523" s="422"/>
    </row>
    <row r="2524" spans="2:2">
      <c r="B2524" s="422"/>
    </row>
    <row r="2525" spans="2:2">
      <c r="B2525" s="422"/>
    </row>
    <row r="2526" spans="2:2">
      <c r="B2526" s="422"/>
    </row>
    <row r="2527" spans="2:2">
      <c r="B2527" s="422"/>
    </row>
    <row r="2528" spans="2:2">
      <c r="B2528" s="422"/>
    </row>
    <row r="2529" spans="2:2">
      <c r="B2529" s="422"/>
    </row>
    <row r="2530" spans="2:2">
      <c r="B2530" s="422"/>
    </row>
    <row r="2531" spans="2:2">
      <c r="B2531" s="422"/>
    </row>
    <row r="2532" spans="2:2">
      <c r="B2532" s="422"/>
    </row>
    <row r="2533" spans="2:2">
      <c r="B2533" s="422"/>
    </row>
    <row r="2534" spans="2:2">
      <c r="B2534" s="422"/>
    </row>
    <row r="2535" spans="2:2">
      <c r="B2535" s="422"/>
    </row>
    <row r="2536" spans="2:2">
      <c r="B2536" s="422"/>
    </row>
    <row r="2537" spans="2:2">
      <c r="B2537" s="422"/>
    </row>
    <row r="2538" spans="2:2">
      <c r="B2538" s="422"/>
    </row>
    <row r="2539" spans="2:2">
      <c r="B2539" s="422"/>
    </row>
    <row r="2540" spans="2:2">
      <c r="B2540" s="422"/>
    </row>
    <row r="2541" spans="2:2">
      <c r="B2541" s="422"/>
    </row>
    <row r="2542" spans="2:2">
      <c r="B2542" s="422"/>
    </row>
    <row r="2543" spans="2:2">
      <c r="B2543" s="422"/>
    </row>
    <row r="2544" spans="2:2">
      <c r="B2544" s="422"/>
    </row>
    <row r="2545" spans="2:2">
      <c r="B2545" s="422"/>
    </row>
    <row r="2546" spans="2:2">
      <c r="B2546" s="422"/>
    </row>
    <row r="2547" spans="2:2">
      <c r="B2547" s="422"/>
    </row>
    <row r="2548" spans="2:2">
      <c r="B2548" s="422"/>
    </row>
    <row r="2549" spans="2:2">
      <c r="B2549" s="422"/>
    </row>
    <row r="2550" spans="2:2">
      <c r="B2550" s="422"/>
    </row>
    <row r="2551" spans="2:2">
      <c r="B2551" s="422"/>
    </row>
    <row r="2552" spans="2:2">
      <c r="B2552" s="422"/>
    </row>
    <row r="2553" spans="2:2">
      <c r="B2553" s="422"/>
    </row>
    <row r="2554" spans="2:2">
      <c r="B2554" s="422"/>
    </row>
    <row r="2555" spans="2:2">
      <c r="B2555" s="422"/>
    </row>
    <row r="2556" spans="2:2">
      <c r="B2556" s="422"/>
    </row>
    <row r="2557" spans="2:2">
      <c r="B2557" s="422"/>
    </row>
    <row r="2558" spans="2:2">
      <c r="B2558" s="422"/>
    </row>
    <row r="2559" spans="2:2">
      <c r="B2559" s="422"/>
    </row>
    <row r="2560" spans="2:2">
      <c r="B2560" s="422"/>
    </row>
    <row r="2561" spans="2:2">
      <c r="B2561" s="422"/>
    </row>
    <row r="2562" spans="2:2">
      <c r="B2562" s="422"/>
    </row>
    <row r="2563" spans="2:2">
      <c r="B2563" s="422"/>
    </row>
    <row r="2564" spans="2:2">
      <c r="B2564" s="422"/>
    </row>
    <row r="2565" spans="2:2">
      <c r="B2565" s="422"/>
    </row>
    <row r="2566" spans="2:2">
      <c r="B2566" s="422"/>
    </row>
    <row r="2567" spans="2:2">
      <c r="B2567" s="422"/>
    </row>
    <row r="2568" spans="2:2">
      <c r="B2568" s="422"/>
    </row>
    <row r="2569" spans="2:2">
      <c r="B2569" s="422"/>
    </row>
    <row r="2570" spans="2:2">
      <c r="B2570" s="422"/>
    </row>
    <row r="2571" spans="2:2">
      <c r="B2571" s="422"/>
    </row>
    <row r="2572" spans="2:2">
      <c r="B2572" s="422"/>
    </row>
    <row r="2573" spans="2:2">
      <c r="B2573" s="422"/>
    </row>
    <row r="2574" spans="2:2">
      <c r="B2574" s="422"/>
    </row>
    <row r="2575" spans="2:2">
      <c r="B2575" s="422"/>
    </row>
    <row r="2576" spans="2:2">
      <c r="B2576" s="422"/>
    </row>
    <row r="2577" spans="2:2">
      <c r="B2577" s="422"/>
    </row>
    <row r="2578" spans="2:2">
      <c r="B2578" s="422"/>
    </row>
    <row r="2579" spans="2:2">
      <c r="B2579" s="422"/>
    </row>
    <row r="2580" spans="2:2">
      <c r="B2580" s="422"/>
    </row>
    <row r="2581" spans="2:2">
      <c r="B2581" s="422"/>
    </row>
    <row r="2582" spans="2:2">
      <c r="B2582" s="422"/>
    </row>
    <row r="2583" spans="2:2">
      <c r="B2583" s="422"/>
    </row>
    <row r="2584" spans="2:2">
      <c r="B2584" s="422"/>
    </row>
    <row r="2585" spans="2:2">
      <c r="B2585" s="422"/>
    </row>
    <row r="2586" spans="2:2">
      <c r="B2586" s="422"/>
    </row>
    <row r="2587" spans="2:2">
      <c r="B2587" s="422"/>
    </row>
    <row r="2588" spans="2:2">
      <c r="B2588" s="422"/>
    </row>
    <row r="2589" spans="2:2">
      <c r="B2589" s="422"/>
    </row>
    <row r="2590" spans="2:2">
      <c r="B2590" s="422"/>
    </row>
    <row r="2591" spans="2:2">
      <c r="B2591" s="422"/>
    </row>
    <row r="2592" spans="2:2">
      <c r="B2592" s="422"/>
    </row>
    <row r="2593" spans="2:2">
      <c r="B2593" s="422"/>
    </row>
    <row r="2594" spans="2:2">
      <c r="B2594" s="422"/>
    </row>
    <row r="2595" spans="2:2">
      <c r="B2595" s="422"/>
    </row>
    <row r="2596" spans="2:2">
      <c r="B2596" s="422"/>
    </row>
    <row r="2597" spans="2:2">
      <c r="B2597" s="422"/>
    </row>
    <row r="2598" spans="2:2">
      <c r="B2598" s="422"/>
    </row>
    <row r="2599" spans="2:2">
      <c r="B2599" s="422"/>
    </row>
    <row r="2600" spans="2:2">
      <c r="B2600" s="422"/>
    </row>
    <row r="2601" spans="2:2">
      <c r="B2601" s="422"/>
    </row>
    <row r="2602" spans="2:2">
      <c r="B2602" s="422"/>
    </row>
    <row r="2603" spans="2:2">
      <c r="B2603" s="422"/>
    </row>
    <row r="2604" spans="2:2">
      <c r="B2604" s="422"/>
    </row>
    <row r="2605" spans="2:2">
      <c r="B2605" s="422"/>
    </row>
    <row r="2606" spans="2:2">
      <c r="B2606" s="422"/>
    </row>
    <row r="2607" spans="2:2">
      <c r="B2607" s="422"/>
    </row>
    <row r="2608" spans="2:2">
      <c r="B2608" s="422"/>
    </row>
    <row r="2609" spans="2:2">
      <c r="B2609" s="422"/>
    </row>
    <row r="2610" spans="2:2">
      <c r="B2610" s="422"/>
    </row>
    <row r="2611" spans="2:2">
      <c r="B2611" s="422"/>
    </row>
    <row r="2612" spans="2:2">
      <c r="B2612" s="422"/>
    </row>
    <row r="2613" spans="2:2">
      <c r="B2613" s="422"/>
    </row>
    <row r="2614" spans="2:2">
      <c r="B2614" s="422"/>
    </row>
    <row r="2615" spans="2:2">
      <c r="B2615" s="422"/>
    </row>
    <row r="2616" spans="2:2">
      <c r="B2616" s="422"/>
    </row>
    <row r="2617" spans="2:2">
      <c r="B2617" s="422"/>
    </row>
    <row r="2618" spans="2:2">
      <c r="B2618" s="422"/>
    </row>
    <row r="2619" spans="2:2">
      <c r="B2619" s="422"/>
    </row>
    <row r="2620" spans="2:2">
      <c r="B2620" s="422"/>
    </row>
    <row r="2621" spans="2:2">
      <c r="B2621" s="422"/>
    </row>
    <row r="2622" spans="2:2">
      <c r="B2622" s="422"/>
    </row>
    <row r="2623" spans="2:2">
      <c r="B2623" s="422"/>
    </row>
    <row r="2624" spans="2:2">
      <c r="B2624" s="422"/>
    </row>
    <row r="2625" spans="2:2">
      <c r="B2625" s="422"/>
    </row>
    <row r="2626" spans="2:2">
      <c r="B2626" s="422"/>
    </row>
    <row r="2627" spans="2:2">
      <c r="B2627" s="422"/>
    </row>
    <row r="2628" spans="2:2">
      <c r="B2628" s="422"/>
    </row>
    <row r="2629" spans="2:2">
      <c r="B2629" s="422"/>
    </row>
    <row r="2630" spans="2:2">
      <c r="B2630" s="422"/>
    </row>
    <row r="2631" spans="2:2">
      <c r="B2631" s="422"/>
    </row>
    <row r="2632" spans="2:2">
      <c r="B2632" s="422"/>
    </row>
    <row r="2633" spans="2:2">
      <c r="B2633" s="422"/>
    </row>
    <row r="2634" spans="2:2">
      <c r="B2634" s="422"/>
    </row>
    <row r="2635" spans="2:2">
      <c r="B2635" s="422"/>
    </row>
    <row r="2636" spans="2:2">
      <c r="B2636" s="422"/>
    </row>
    <row r="2637" spans="2:2">
      <c r="B2637" s="422"/>
    </row>
    <row r="2638" spans="2:2">
      <c r="B2638" s="422"/>
    </row>
    <row r="2639" spans="2:2">
      <c r="B2639" s="422"/>
    </row>
    <row r="2640" spans="2:2">
      <c r="B2640" s="422"/>
    </row>
    <row r="2641" spans="2:2">
      <c r="B2641" s="422"/>
    </row>
    <row r="2642" spans="2:2">
      <c r="B2642" s="422"/>
    </row>
    <row r="2643" spans="2:2">
      <c r="B2643" s="422"/>
    </row>
    <row r="2644" spans="2:2">
      <c r="B2644" s="422"/>
    </row>
    <row r="2645" spans="2:2">
      <c r="B2645" s="422"/>
    </row>
    <row r="2646" spans="2:2">
      <c r="B2646" s="422"/>
    </row>
    <row r="2647" spans="2:2">
      <c r="B2647" s="422"/>
    </row>
    <row r="2648" spans="2:2">
      <c r="B2648" s="422"/>
    </row>
    <row r="2649" spans="2:2">
      <c r="B2649" s="422"/>
    </row>
    <row r="2650" spans="2:2">
      <c r="B2650" s="422"/>
    </row>
    <row r="2651" spans="2:2">
      <c r="B2651" s="422"/>
    </row>
    <row r="2652" spans="2:2">
      <c r="B2652" s="422"/>
    </row>
    <row r="2653" spans="2:2">
      <c r="B2653" s="422"/>
    </row>
    <row r="2654" spans="2:2">
      <c r="B2654" s="422"/>
    </row>
    <row r="2655" spans="2:2">
      <c r="B2655" s="422"/>
    </row>
    <row r="2656" spans="2:2">
      <c r="B2656" s="422"/>
    </row>
    <row r="2657" spans="2:2">
      <c r="B2657" s="422"/>
    </row>
    <row r="2658" spans="2:2">
      <c r="B2658" s="422"/>
    </row>
    <row r="2659" spans="2:2">
      <c r="B2659" s="422"/>
    </row>
    <row r="2660" spans="2:2">
      <c r="B2660" s="422"/>
    </row>
    <row r="2661" spans="2:2">
      <c r="B2661" s="422"/>
    </row>
    <row r="2662" spans="2:2">
      <c r="B2662" s="422"/>
    </row>
    <row r="2663" spans="2:2">
      <c r="B2663" s="422"/>
    </row>
    <row r="2664" spans="2:2">
      <c r="B2664" s="422"/>
    </row>
    <row r="2665" spans="2:2">
      <c r="B2665" s="422"/>
    </row>
    <row r="2666" spans="2:2">
      <c r="B2666" s="422"/>
    </row>
    <row r="2667" spans="2:2">
      <c r="B2667" s="422"/>
    </row>
    <row r="2668" spans="2:2">
      <c r="B2668" s="422"/>
    </row>
    <row r="2669" spans="2:2">
      <c r="B2669" s="422"/>
    </row>
    <row r="2670" spans="2:2">
      <c r="B2670" s="422"/>
    </row>
    <row r="2671" spans="2:2">
      <c r="B2671" s="422"/>
    </row>
    <row r="2672" spans="2:2">
      <c r="B2672" s="422"/>
    </row>
    <row r="2673" spans="2:2">
      <c r="B2673" s="422"/>
    </row>
    <row r="2674" spans="2:2">
      <c r="B2674" s="422"/>
    </row>
    <row r="2675" spans="2:2">
      <c r="B2675" s="422"/>
    </row>
    <row r="2676" spans="2:2">
      <c r="B2676" s="422"/>
    </row>
    <row r="2677" spans="2:2">
      <c r="B2677" s="422"/>
    </row>
    <row r="2678" spans="2:2">
      <c r="B2678" s="422"/>
    </row>
    <row r="2679" spans="2:2">
      <c r="B2679" s="422"/>
    </row>
    <row r="2680" spans="2:2">
      <c r="B2680" s="422"/>
    </row>
    <row r="2681" spans="2:2">
      <c r="B2681" s="422"/>
    </row>
    <row r="2682" spans="2:2">
      <c r="B2682" s="422"/>
    </row>
    <row r="2683" spans="2:2">
      <c r="B2683" s="422"/>
    </row>
    <row r="2684" spans="2:2">
      <c r="B2684" s="422"/>
    </row>
    <row r="2685" spans="2:2">
      <c r="B2685" s="422"/>
    </row>
    <row r="2686" spans="2:2">
      <c r="B2686" s="422"/>
    </row>
    <row r="2687" spans="2:2">
      <c r="B2687" s="422"/>
    </row>
    <row r="2688" spans="2:2">
      <c r="B2688" s="422"/>
    </row>
    <row r="2689" spans="2:2">
      <c r="B2689" s="422"/>
    </row>
    <row r="2690" spans="2:2">
      <c r="B2690" s="422"/>
    </row>
    <row r="2691" spans="2:2">
      <c r="B2691" s="422"/>
    </row>
    <row r="2692" spans="2:2">
      <c r="B2692" s="422"/>
    </row>
    <row r="2693" spans="2:2">
      <c r="B2693" s="422"/>
    </row>
    <row r="2694" spans="2:2">
      <c r="B2694" s="422"/>
    </row>
    <row r="2695" spans="2:2">
      <c r="B2695" s="422"/>
    </row>
    <row r="2696" spans="2:2">
      <c r="B2696" s="422"/>
    </row>
    <row r="2697" spans="2:2">
      <c r="B2697" s="422"/>
    </row>
    <row r="2698" spans="2:2">
      <c r="B2698" s="422"/>
    </row>
    <row r="2699" spans="2:2">
      <c r="B2699" s="422"/>
    </row>
    <row r="2700" spans="2:2">
      <c r="B2700" s="422"/>
    </row>
    <row r="2701" spans="2:2">
      <c r="B2701" s="422"/>
    </row>
    <row r="2702" spans="2:2">
      <c r="B2702" s="422"/>
    </row>
    <row r="2703" spans="2:2">
      <c r="B2703" s="422"/>
    </row>
    <row r="2704" spans="2:2">
      <c r="B2704" s="422"/>
    </row>
    <row r="2705" spans="2:2">
      <c r="B2705" s="422"/>
    </row>
    <row r="2706" spans="2:2">
      <c r="B2706" s="422"/>
    </row>
    <row r="2707" spans="2:2">
      <c r="B2707" s="422"/>
    </row>
    <row r="2708" spans="2:2">
      <c r="B2708" s="422"/>
    </row>
    <row r="2709" spans="2:2">
      <c r="B2709" s="422"/>
    </row>
    <row r="2710" spans="2:2">
      <c r="B2710" s="422"/>
    </row>
    <row r="2711" spans="2:2">
      <c r="B2711" s="422"/>
    </row>
    <row r="2712" spans="2:2">
      <c r="B2712" s="422"/>
    </row>
    <row r="2713" spans="2:2">
      <c r="B2713" s="422"/>
    </row>
    <row r="2714" spans="2:2">
      <c r="B2714" s="422"/>
    </row>
    <row r="2715" spans="2:2">
      <c r="B2715" s="422"/>
    </row>
    <row r="2716" spans="2:2">
      <c r="B2716" s="422"/>
    </row>
    <row r="2717" spans="2:2">
      <c r="B2717" s="422"/>
    </row>
    <row r="2718" spans="2:2">
      <c r="B2718" s="422"/>
    </row>
    <row r="2719" spans="2:2">
      <c r="B2719" s="422"/>
    </row>
    <row r="2720" spans="2:2">
      <c r="B2720" s="422"/>
    </row>
    <row r="2721" spans="2:2">
      <c r="B2721" s="422"/>
    </row>
    <row r="2722" spans="2:2">
      <c r="B2722" s="422"/>
    </row>
    <row r="2723" spans="2:2">
      <c r="B2723" s="422"/>
    </row>
    <row r="2724" spans="2:2">
      <c r="B2724" s="422"/>
    </row>
    <row r="2725" spans="2:2">
      <c r="B2725" s="422"/>
    </row>
    <row r="2726" spans="2:2">
      <c r="B2726" s="422"/>
    </row>
    <row r="2727" spans="2:2">
      <c r="B2727" s="422"/>
    </row>
    <row r="2728" spans="2:2">
      <c r="B2728" s="422"/>
    </row>
    <row r="2729" spans="2:2">
      <c r="B2729" s="422"/>
    </row>
    <row r="2730" spans="2:2">
      <c r="B2730" s="422"/>
    </row>
    <row r="2731" spans="2:2">
      <c r="B2731" s="422"/>
    </row>
    <row r="2732" spans="2:2">
      <c r="B2732" s="422"/>
    </row>
    <row r="2733" spans="2:2">
      <c r="B2733" s="422"/>
    </row>
    <row r="2734" spans="2:2">
      <c r="B2734" s="422"/>
    </row>
    <row r="2735" spans="2:2">
      <c r="B2735" s="422"/>
    </row>
    <row r="2736" spans="2:2">
      <c r="B2736" s="422"/>
    </row>
    <row r="2737" spans="2:2">
      <c r="B2737" s="422"/>
    </row>
    <row r="2738" spans="2:2">
      <c r="B2738" s="422"/>
    </row>
    <row r="2739" spans="2:2">
      <c r="B2739" s="422"/>
    </row>
    <row r="2740" spans="2:2">
      <c r="B2740" s="422"/>
    </row>
    <row r="2741" spans="2:2">
      <c r="B2741" s="422"/>
    </row>
    <row r="2742" spans="2:2">
      <c r="B2742" s="422"/>
    </row>
    <row r="2743" spans="2:2">
      <c r="B2743" s="422"/>
    </row>
    <row r="2744" spans="2:2">
      <c r="B2744" s="422"/>
    </row>
    <row r="2745" spans="2:2">
      <c r="B2745" s="422"/>
    </row>
    <row r="2746" spans="2:2">
      <c r="B2746" s="422"/>
    </row>
    <row r="2747" spans="2:2">
      <c r="B2747" s="422"/>
    </row>
    <row r="2748" spans="2:2">
      <c r="B2748" s="422"/>
    </row>
    <row r="2749" spans="2:2">
      <c r="B2749" s="422"/>
    </row>
    <row r="2750" spans="2:2">
      <c r="B2750" s="422"/>
    </row>
    <row r="2751" spans="2:2">
      <c r="B2751" s="422"/>
    </row>
    <row r="2752" spans="2:2">
      <c r="B2752" s="422"/>
    </row>
    <row r="2753" spans="2:2">
      <c r="B2753" s="422"/>
    </row>
    <row r="2754" spans="2:2">
      <c r="B2754" s="422"/>
    </row>
    <row r="2755" spans="2:2">
      <c r="B2755" s="422"/>
    </row>
    <row r="2756" spans="2:2">
      <c r="B2756" s="422"/>
    </row>
    <row r="2757" spans="2:2">
      <c r="B2757" s="422"/>
    </row>
    <row r="2758" spans="2:2">
      <c r="B2758" s="422"/>
    </row>
    <row r="2759" spans="2:2">
      <c r="B2759" s="422"/>
    </row>
    <row r="2760" spans="2:2">
      <c r="B2760" s="422"/>
    </row>
    <row r="2761" spans="2:2">
      <c r="B2761" s="422"/>
    </row>
    <row r="2762" spans="2:2">
      <c r="B2762" s="422"/>
    </row>
    <row r="2763" spans="2:2">
      <c r="B2763" s="422"/>
    </row>
    <row r="2764" spans="2:2">
      <c r="B2764" s="422"/>
    </row>
    <row r="2765" spans="2:2">
      <c r="B2765" s="422"/>
    </row>
    <row r="2766" spans="2:2">
      <c r="B2766" s="422"/>
    </row>
    <row r="2767" spans="2:2">
      <c r="B2767" s="422"/>
    </row>
    <row r="2768" spans="2:2">
      <c r="B2768" s="422"/>
    </row>
    <row r="2769" spans="2:2">
      <c r="B2769" s="422"/>
    </row>
    <row r="2770" spans="2:2">
      <c r="B2770" s="422"/>
    </row>
    <row r="2771" spans="2:2">
      <c r="B2771" s="422"/>
    </row>
    <row r="2772" spans="2:2">
      <c r="B2772" s="422"/>
    </row>
    <row r="2773" spans="2:2">
      <c r="B2773" s="422"/>
    </row>
    <row r="2774" spans="2:2">
      <c r="B2774" s="422"/>
    </row>
    <row r="2775" spans="2:2">
      <c r="B2775" s="422"/>
    </row>
    <row r="2776" spans="2:2">
      <c r="B2776" s="422"/>
    </row>
    <row r="2777" spans="2:2">
      <c r="B2777" s="422"/>
    </row>
    <row r="2778" spans="2:2">
      <c r="B2778" s="422"/>
    </row>
    <row r="2779" spans="2:2">
      <c r="B2779" s="422"/>
    </row>
    <row r="2780" spans="2:2">
      <c r="B2780" s="422"/>
    </row>
    <row r="2781" spans="2:2">
      <c r="B2781" s="422"/>
    </row>
    <row r="2782" spans="2:2">
      <c r="B2782" s="422"/>
    </row>
    <row r="2783" spans="2:2">
      <c r="B2783" s="422"/>
    </row>
    <row r="2784" spans="2:2">
      <c r="B2784" s="422"/>
    </row>
    <row r="2785" spans="2:2">
      <c r="B2785" s="422"/>
    </row>
    <row r="2786" spans="2:2">
      <c r="B2786" s="422"/>
    </row>
    <row r="2787" spans="2:2">
      <c r="B2787" s="422"/>
    </row>
    <row r="2788" spans="2:2">
      <c r="B2788" s="422"/>
    </row>
    <row r="2789" spans="2:2">
      <c r="B2789" s="422"/>
    </row>
    <row r="2790" spans="2:2">
      <c r="B2790" s="422"/>
    </row>
    <row r="2791" spans="2:2">
      <c r="B2791" s="422"/>
    </row>
    <row r="2792" spans="2:2">
      <c r="B2792" s="422"/>
    </row>
    <row r="2793" spans="2:2">
      <c r="B2793" s="422"/>
    </row>
    <row r="2794" spans="2:2">
      <c r="B2794" s="422"/>
    </row>
    <row r="2795" spans="2:2">
      <c r="B2795" s="422"/>
    </row>
    <row r="2796" spans="2:2">
      <c r="B2796" s="422"/>
    </row>
    <row r="2797" spans="2:2">
      <c r="B2797" s="422"/>
    </row>
    <row r="2798" spans="2:2">
      <c r="B2798" s="422"/>
    </row>
    <row r="2799" spans="2:2">
      <c r="B2799" s="422"/>
    </row>
    <row r="2800" spans="2:2">
      <c r="B2800" s="422"/>
    </row>
    <row r="2801" spans="2:2">
      <c r="B2801" s="422"/>
    </row>
    <row r="2802" spans="2:2">
      <c r="B2802" s="422"/>
    </row>
    <row r="2803" spans="2:2">
      <c r="B2803" s="422"/>
    </row>
    <row r="2804" spans="2:2">
      <c r="B2804" s="422"/>
    </row>
    <row r="2805" spans="2:2">
      <c r="B2805" s="422"/>
    </row>
    <row r="2806" spans="2:2">
      <c r="B2806" s="422"/>
    </row>
    <row r="2807" spans="2:2">
      <c r="B2807" s="422"/>
    </row>
    <row r="2808" spans="2:2">
      <c r="B2808" s="422"/>
    </row>
    <row r="2809" spans="2:2">
      <c r="B2809" s="422"/>
    </row>
    <row r="2810" spans="2:2">
      <c r="B2810" s="422"/>
    </row>
    <row r="2811" spans="2:2">
      <c r="B2811" s="422"/>
    </row>
    <row r="2812" spans="2:2">
      <c r="B2812" s="422"/>
    </row>
    <row r="2813" spans="2:2">
      <c r="B2813" s="422"/>
    </row>
    <row r="2814" spans="2:2">
      <c r="B2814" s="422"/>
    </row>
    <row r="2815" spans="2:2">
      <c r="B2815" s="422"/>
    </row>
    <row r="2816" spans="2:2">
      <c r="B2816" s="422"/>
    </row>
    <row r="2817" spans="2:2">
      <c r="B2817" s="422"/>
    </row>
    <row r="2818" spans="2:2">
      <c r="B2818" s="422"/>
    </row>
    <row r="2819" spans="2:2">
      <c r="B2819" s="422"/>
    </row>
    <row r="2820" spans="2:2">
      <c r="B2820" s="422"/>
    </row>
    <row r="2821" spans="2:2">
      <c r="B2821" s="422"/>
    </row>
    <row r="2822" spans="2:2">
      <c r="B2822" s="422"/>
    </row>
    <row r="2823" spans="2:2">
      <c r="B2823" s="422"/>
    </row>
    <row r="2824" spans="2:2">
      <c r="B2824" s="422"/>
    </row>
    <row r="2825" spans="2:2">
      <c r="B2825" s="422"/>
    </row>
    <row r="2826" spans="2:2">
      <c r="B2826" s="422"/>
    </row>
    <row r="2827" spans="2:2">
      <c r="B2827" s="422"/>
    </row>
    <row r="2828" spans="2:2">
      <c r="B2828" s="422"/>
    </row>
    <row r="2829" spans="2:2">
      <c r="B2829" s="422"/>
    </row>
    <row r="2830" spans="2:2">
      <c r="B2830" s="422"/>
    </row>
    <row r="2831" spans="2:2">
      <c r="B2831" s="422"/>
    </row>
    <row r="2832" spans="2:2">
      <c r="B2832" s="422"/>
    </row>
    <row r="2833" spans="2:2">
      <c r="B2833" s="422"/>
    </row>
    <row r="2834" spans="2:2">
      <c r="B2834" s="422"/>
    </row>
    <row r="2835" spans="2:2">
      <c r="B2835" s="422"/>
    </row>
    <row r="2836" spans="2:2">
      <c r="B2836" s="422"/>
    </row>
    <row r="2837" spans="2:2">
      <c r="B2837" s="422"/>
    </row>
    <row r="2838" spans="2:2">
      <c r="B2838" s="422"/>
    </row>
    <row r="2839" spans="2:2">
      <c r="B2839" s="422"/>
    </row>
    <row r="2840" spans="2:2">
      <c r="B2840" s="422"/>
    </row>
    <row r="2841" spans="2:2">
      <c r="B2841" s="422"/>
    </row>
    <row r="2842" spans="2:2">
      <c r="B2842" s="422"/>
    </row>
    <row r="2843" spans="2:2">
      <c r="B2843" s="422"/>
    </row>
    <row r="2844" spans="2:2">
      <c r="B2844" s="422"/>
    </row>
    <row r="2845" spans="2:2">
      <c r="B2845" s="422"/>
    </row>
    <row r="2846" spans="2:2">
      <c r="B2846" s="422"/>
    </row>
    <row r="2847" spans="2:2">
      <c r="B2847" s="422"/>
    </row>
    <row r="2848" spans="2:2">
      <c r="B2848" s="422"/>
    </row>
    <row r="2849" spans="2:2">
      <c r="B2849" s="422"/>
    </row>
    <row r="2850" spans="2:2">
      <c r="B2850" s="422"/>
    </row>
    <row r="2851" spans="2:2">
      <c r="B2851" s="422"/>
    </row>
    <row r="2852" spans="2:2">
      <c r="B2852" s="422"/>
    </row>
    <row r="2853" spans="2:2">
      <c r="B2853" s="422"/>
    </row>
    <row r="2854" spans="2:2">
      <c r="B2854" s="422"/>
    </row>
    <row r="2855" spans="2:2">
      <c r="B2855" s="422"/>
    </row>
    <row r="2856" spans="2:2">
      <c r="B2856" s="422"/>
    </row>
    <row r="2857" spans="2:2">
      <c r="B2857" s="422"/>
    </row>
    <row r="2858" spans="2:2">
      <c r="B2858" s="422"/>
    </row>
    <row r="2859" spans="2:2">
      <c r="B2859" s="422"/>
    </row>
    <row r="2860" spans="2:2">
      <c r="B2860" s="422"/>
    </row>
    <row r="2861" spans="2:2">
      <c r="B2861" s="422"/>
    </row>
    <row r="2862" spans="2:2">
      <c r="B2862" s="422"/>
    </row>
    <row r="2863" spans="2:2">
      <c r="B2863" s="422"/>
    </row>
    <row r="2864" spans="2:2">
      <c r="B2864" s="422"/>
    </row>
    <row r="2865" spans="2:2">
      <c r="B2865" s="422"/>
    </row>
    <row r="2866" spans="2:2">
      <c r="B2866" s="422"/>
    </row>
    <row r="2867" spans="2:2">
      <c r="B2867" s="422"/>
    </row>
    <row r="2868" spans="2:2">
      <c r="B2868" s="422"/>
    </row>
    <row r="2869" spans="2:2">
      <c r="B2869" s="422"/>
    </row>
    <row r="2870" spans="2:2">
      <c r="B2870" s="422"/>
    </row>
    <row r="2871" spans="2:2">
      <c r="B2871" s="422"/>
    </row>
    <row r="2872" spans="2:2">
      <c r="B2872" s="422"/>
    </row>
    <row r="2873" spans="2:2">
      <c r="B2873" s="422"/>
    </row>
    <row r="2874" spans="2:2">
      <c r="B2874" s="422"/>
    </row>
    <row r="2875" spans="2:2">
      <c r="B2875" s="422"/>
    </row>
    <row r="2876" spans="2:2">
      <c r="B2876" s="422"/>
    </row>
    <row r="2877" spans="2:2">
      <c r="B2877" s="422"/>
    </row>
    <row r="2878" spans="2:2">
      <c r="B2878" s="422"/>
    </row>
    <row r="2879" spans="2:2">
      <c r="B2879" s="422"/>
    </row>
    <row r="2880" spans="2:2">
      <c r="B2880" s="422"/>
    </row>
    <row r="2881" spans="2:2">
      <c r="B2881" s="422"/>
    </row>
    <row r="2882" spans="2:2">
      <c r="B2882" s="422"/>
    </row>
    <row r="2883" spans="2:2">
      <c r="B2883" s="422"/>
    </row>
    <row r="2884" spans="2:2">
      <c r="B2884" s="422"/>
    </row>
    <row r="2885" spans="2:2">
      <c r="B2885" s="422"/>
    </row>
    <row r="2886" spans="2:2">
      <c r="B2886" s="422"/>
    </row>
    <row r="2887" spans="2:2">
      <c r="B2887" s="422"/>
    </row>
    <row r="2888" spans="2:2">
      <c r="B2888" s="422"/>
    </row>
    <row r="2889" spans="2:2">
      <c r="B2889" s="422"/>
    </row>
    <row r="2890" spans="2:2">
      <c r="B2890" s="422"/>
    </row>
    <row r="2891" spans="2:2">
      <c r="B2891" s="422"/>
    </row>
    <row r="2892" spans="2:2">
      <c r="B2892" s="422"/>
    </row>
    <row r="2893" spans="2:2">
      <c r="B2893" s="422"/>
    </row>
    <row r="2894" spans="2:2">
      <c r="B2894" s="422"/>
    </row>
    <row r="2895" spans="2:2">
      <c r="B2895" s="422"/>
    </row>
    <row r="2896" spans="2:2">
      <c r="B2896" s="422"/>
    </row>
    <row r="2897" spans="2:2">
      <c r="B2897" s="422"/>
    </row>
    <row r="2898" spans="2:2">
      <c r="B2898" s="422"/>
    </row>
    <row r="2899" spans="2:2">
      <c r="B2899" s="422"/>
    </row>
    <row r="2900" spans="2:2">
      <c r="B2900" s="422"/>
    </row>
    <row r="2901" spans="2:2">
      <c r="B2901" s="422"/>
    </row>
    <row r="2902" spans="2:2">
      <c r="B2902" s="422"/>
    </row>
    <row r="2903" spans="2:2">
      <c r="B2903" s="422"/>
    </row>
    <row r="2904" spans="2:2">
      <c r="B2904" s="422"/>
    </row>
    <row r="2905" spans="2:2">
      <c r="B2905" s="422"/>
    </row>
    <row r="2906" spans="2:2">
      <c r="B2906" s="422"/>
    </row>
    <row r="2907" spans="2:2">
      <c r="B2907" s="422"/>
    </row>
    <row r="2908" spans="2:2">
      <c r="B2908" s="422"/>
    </row>
    <row r="2909" spans="2:2">
      <c r="B2909" s="422"/>
    </row>
    <row r="2910" spans="2:2">
      <c r="B2910" s="422"/>
    </row>
    <row r="2911" spans="2:2">
      <c r="B2911" s="422"/>
    </row>
    <row r="2912" spans="2:2">
      <c r="B2912" s="422"/>
    </row>
    <row r="2913" spans="2:2">
      <c r="B2913" s="422"/>
    </row>
    <row r="2914" spans="2:2">
      <c r="B2914" s="422"/>
    </row>
    <row r="2915" spans="2:2">
      <c r="B2915" s="422"/>
    </row>
    <row r="2916" spans="2:2">
      <c r="B2916" s="422"/>
    </row>
    <row r="2917" spans="2:2">
      <c r="B2917" s="422"/>
    </row>
    <row r="2918" spans="2:2">
      <c r="B2918" s="422"/>
    </row>
    <row r="2919" spans="2:2">
      <c r="B2919" s="422"/>
    </row>
    <row r="2920" spans="2:2">
      <c r="B2920" s="422"/>
    </row>
    <row r="2921" spans="2:2">
      <c r="B2921" s="422"/>
    </row>
    <row r="2922" spans="2:2">
      <c r="B2922" s="422"/>
    </row>
    <row r="2923" spans="2:2">
      <c r="B2923" s="422"/>
    </row>
    <row r="2924" spans="2:2">
      <c r="B2924" s="422"/>
    </row>
    <row r="2925" spans="2:2">
      <c r="B2925" s="422"/>
    </row>
    <row r="2926" spans="2:2">
      <c r="B2926" s="422"/>
    </row>
    <row r="2927" spans="2:2">
      <c r="B2927" s="422"/>
    </row>
    <row r="2928" spans="2:2">
      <c r="B2928" s="422"/>
    </row>
    <row r="2929" spans="2:2">
      <c r="B2929" s="422"/>
    </row>
    <row r="2930" spans="2:2">
      <c r="B2930" s="422"/>
    </row>
    <row r="2931" spans="2:2">
      <c r="B2931" s="422"/>
    </row>
    <row r="2932" spans="2:2">
      <c r="B2932" s="422"/>
    </row>
    <row r="2933" spans="2:2">
      <c r="B2933" s="422"/>
    </row>
    <row r="2934" spans="2:2">
      <c r="B2934" s="422"/>
    </row>
    <row r="2935" spans="2:2">
      <c r="B2935" s="422"/>
    </row>
    <row r="2936" spans="2:2">
      <c r="B2936" s="422"/>
    </row>
    <row r="2937" spans="2:2">
      <c r="B2937" s="422"/>
    </row>
    <row r="2938" spans="2:2">
      <c r="B2938" s="422"/>
    </row>
    <row r="2939" spans="2:2">
      <c r="B2939" s="422"/>
    </row>
    <row r="2940" spans="2:2">
      <c r="B2940" s="422"/>
    </row>
    <row r="2941" spans="2:2">
      <c r="B2941" s="422"/>
    </row>
    <row r="2942" spans="2:2">
      <c r="B2942" s="422"/>
    </row>
    <row r="2943" spans="2:2">
      <c r="B2943" s="422"/>
    </row>
    <row r="2944" spans="2:2">
      <c r="B2944" s="422"/>
    </row>
    <row r="2945" spans="2:2">
      <c r="B2945" s="422"/>
    </row>
    <row r="2946" spans="2:2">
      <c r="B2946" s="422"/>
    </row>
    <row r="2947" spans="2:2">
      <c r="B2947" s="422"/>
    </row>
    <row r="2948" spans="2:2">
      <c r="B2948" s="422"/>
    </row>
    <row r="2949" spans="2:2">
      <c r="B2949" s="422"/>
    </row>
    <row r="2950" spans="2:2">
      <c r="B2950" s="422"/>
    </row>
    <row r="2951" spans="2:2">
      <c r="B2951" s="422"/>
    </row>
    <row r="2952" spans="2:2">
      <c r="B2952" s="422"/>
    </row>
    <row r="2953" spans="2:2">
      <c r="B2953" s="422"/>
    </row>
    <row r="2954" spans="2:2">
      <c r="B2954" s="422"/>
    </row>
    <row r="2955" spans="2:2">
      <c r="B2955" s="422"/>
    </row>
    <row r="2956" spans="2:2">
      <c r="B2956" s="422"/>
    </row>
    <row r="2957" spans="2:2">
      <c r="B2957" s="422"/>
    </row>
    <row r="2958" spans="2:2">
      <c r="B2958" s="422"/>
    </row>
    <row r="2959" spans="2:2">
      <c r="B2959" s="422"/>
    </row>
    <row r="2960" spans="2:2">
      <c r="B2960" s="422"/>
    </row>
    <row r="2961" spans="2:2">
      <c r="B2961" s="422"/>
    </row>
    <row r="2962" spans="2:2">
      <c r="B2962" s="422"/>
    </row>
    <row r="2963" spans="2:2">
      <c r="B2963" s="422"/>
    </row>
    <row r="2964" spans="2:2">
      <c r="B2964" s="422"/>
    </row>
    <row r="2965" spans="2:2">
      <c r="B2965" s="422"/>
    </row>
    <row r="2966" spans="2:2">
      <c r="B2966" s="422"/>
    </row>
    <row r="2967" spans="2:2">
      <c r="B2967" s="422"/>
    </row>
    <row r="2968" spans="2:2">
      <c r="B2968" s="422"/>
    </row>
    <row r="2969" spans="2:2">
      <c r="B2969" s="422"/>
    </row>
    <row r="2970" spans="2:2">
      <c r="B2970" s="422"/>
    </row>
    <row r="2971" spans="2:2">
      <c r="B2971" s="422"/>
    </row>
    <row r="2972" spans="2:2">
      <c r="B2972" s="422"/>
    </row>
    <row r="2973" spans="2:2">
      <c r="B2973" s="422"/>
    </row>
    <row r="2974" spans="2:2">
      <c r="B2974" s="422"/>
    </row>
    <row r="2975" spans="2:2">
      <c r="B2975" s="422"/>
    </row>
    <row r="2976" spans="2:2">
      <c r="B2976" s="422"/>
    </row>
    <row r="2977" spans="2:2">
      <c r="B2977" s="422"/>
    </row>
    <row r="2978" spans="2:2">
      <c r="B2978" s="422"/>
    </row>
    <row r="2979" spans="2:2">
      <c r="B2979" s="422"/>
    </row>
    <row r="2980" spans="2:2">
      <c r="B2980" s="422"/>
    </row>
    <row r="2981" spans="2:2">
      <c r="B2981" s="422"/>
    </row>
    <row r="2982" spans="2:2">
      <c r="B2982" s="422"/>
    </row>
    <row r="2983" spans="2:2">
      <c r="B2983" s="422"/>
    </row>
    <row r="2984" spans="2:2">
      <c r="B2984" s="422"/>
    </row>
    <row r="2985" spans="2:2">
      <c r="B2985" s="422"/>
    </row>
    <row r="2986" spans="2:2">
      <c r="B2986" s="422"/>
    </row>
    <row r="2987" spans="2:2">
      <c r="B2987" s="422"/>
    </row>
    <row r="2988" spans="2:2">
      <c r="B2988" s="422"/>
    </row>
    <row r="2989" spans="2:2">
      <c r="B2989" s="422"/>
    </row>
    <row r="2990" spans="2:2">
      <c r="B2990" s="422"/>
    </row>
    <row r="2991" spans="2:2">
      <c r="B2991" s="422"/>
    </row>
    <row r="2992" spans="2:2">
      <c r="B2992" s="422"/>
    </row>
    <row r="2993" spans="2:2">
      <c r="B2993" s="422"/>
    </row>
    <row r="2994" spans="2:2">
      <c r="B2994" s="422"/>
    </row>
    <row r="2995" spans="2:2">
      <c r="B2995" s="422"/>
    </row>
    <row r="2996" spans="2:2">
      <c r="B2996" s="422"/>
    </row>
    <row r="2997" spans="2:2">
      <c r="B2997" s="422"/>
    </row>
    <row r="2998" spans="2:2">
      <c r="B2998" s="422"/>
    </row>
    <row r="2999" spans="2:2">
      <c r="B2999" s="422"/>
    </row>
    <row r="3000" spans="2:2">
      <c r="B3000" s="422"/>
    </row>
    <row r="3001" spans="2:2">
      <c r="B3001" s="422"/>
    </row>
    <row r="3002" spans="2:2">
      <c r="B3002" s="422"/>
    </row>
    <row r="3003" spans="2:2">
      <c r="B3003" s="422"/>
    </row>
    <row r="3004" spans="2:2">
      <c r="B3004" s="422"/>
    </row>
    <row r="3005" spans="2:2">
      <c r="B3005" s="422"/>
    </row>
    <row r="3006" spans="2:2">
      <c r="B3006" s="422"/>
    </row>
    <row r="3007" spans="2:2">
      <c r="B3007" s="422"/>
    </row>
    <row r="3008" spans="2:2">
      <c r="B3008" s="422"/>
    </row>
    <row r="3009" spans="2:2">
      <c r="B3009" s="422"/>
    </row>
    <row r="3010" spans="2:2">
      <c r="B3010" s="422"/>
    </row>
    <row r="3011" spans="2:2">
      <c r="B3011" s="422"/>
    </row>
    <row r="3012" spans="2:2">
      <c r="B3012" s="422"/>
    </row>
    <row r="3013" spans="2:2">
      <c r="B3013" s="422"/>
    </row>
    <row r="3014" spans="2:2">
      <c r="B3014" s="422"/>
    </row>
    <row r="3015" spans="2:2">
      <c r="B3015" s="422"/>
    </row>
    <row r="3016" spans="2:2">
      <c r="B3016" s="422"/>
    </row>
    <row r="3017" spans="2:2">
      <c r="B3017" s="422"/>
    </row>
    <row r="3018" spans="2:2">
      <c r="B3018" s="422"/>
    </row>
    <row r="3019" spans="2:2">
      <c r="B3019" s="422"/>
    </row>
    <row r="3020" spans="2:2">
      <c r="B3020" s="422"/>
    </row>
    <row r="3021" spans="2:2">
      <c r="B3021" s="422"/>
    </row>
    <row r="3022" spans="2:2">
      <c r="B3022" s="422"/>
    </row>
    <row r="3023" spans="2:2">
      <c r="B3023" s="422"/>
    </row>
    <row r="3024" spans="2:2">
      <c r="B3024" s="422"/>
    </row>
    <row r="3025" spans="2:2">
      <c r="B3025" s="422"/>
    </row>
    <row r="3026" spans="2:2">
      <c r="B3026" s="422"/>
    </row>
    <row r="3027" spans="2:2">
      <c r="B3027" s="422"/>
    </row>
    <row r="3028" spans="2:2">
      <c r="B3028" s="422"/>
    </row>
    <row r="3029" spans="2:2">
      <c r="B3029" s="422"/>
    </row>
    <row r="3030" spans="2:2">
      <c r="B3030" s="422"/>
    </row>
    <row r="3031" spans="2:2">
      <c r="B3031" s="422"/>
    </row>
    <row r="3032" spans="2:2">
      <c r="B3032" s="422"/>
    </row>
    <row r="3033" spans="2:2">
      <c r="B3033" s="422"/>
    </row>
    <row r="3034" spans="2:2">
      <c r="B3034" s="422"/>
    </row>
    <row r="3035" spans="2:2">
      <c r="B3035" s="422"/>
    </row>
    <row r="3036" spans="2:2">
      <c r="B3036" s="422"/>
    </row>
    <row r="3037" spans="2:2">
      <c r="B3037" s="422"/>
    </row>
    <row r="3038" spans="2:2">
      <c r="B3038" s="422"/>
    </row>
    <row r="3039" spans="2:2">
      <c r="B3039" s="422"/>
    </row>
    <row r="3040" spans="2:2">
      <c r="B3040" s="422"/>
    </row>
    <row r="3041" spans="2:2">
      <c r="B3041" s="422"/>
    </row>
    <row r="3042" spans="2:2">
      <c r="B3042" s="422"/>
    </row>
    <row r="3043" spans="2:2">
      <c r="B3043" s="422"/>
    </row>
    <row r="3044" spans="2:2">
      <c r="B3044" s="422"/>
    </row>
    <row r="3045" spans="2:2">
      <c r="B3045" s="422"/>
    </row>
    <row r="3046" spans="2:2">
      <c r="B3046" s="422"/>
    </row>
    <row r="3047" spans="2:2">
      <c r="B3047" s="422"/>
    </row>
    <row r="3048" spans="2:2">
      <c r="B3048" s="422"/>
    </row>
    <row r="3049" spans="2:2">
      <c r="B3049" s="422"/>
    </row>
    <row r="3050" spans="2:2">
      <c r="B3050" s="422"/>
    </row>
    <row r="3051" spans="2:2">
      <c r="B3051" s="422"/>
    </row>
    <row r="3052" spans="2:2">
      <c r="B3052" s="422"/>
    </row>
    <row r="3053" spans="2:2">
      <c r="B3053" s="422"/>
    </row>
    <row r="3054" spans="2:2">
      <c r="B3054" s="422"/>
    </row>
    <row r="3055" spans="2:2">
      <c r="B3055" s="422"/>
    </row>
    <row r="3056" spans="2:2">
      <c r="B3056" s="422"/>
    </row>
    <row r="3057" spans="2:2">
      <c r="B3057" s="422"/>
    </row>
    <row r="3058" spans="2:2">
      <c r="B3058" s="422"/>
    </row>
    <row r="3059" spans="2:2">
      <c r="B3059" s="422"/>
    </row>
    <row r="3060" spans="2:2">
      <c r="B3060" s="422"/>
    </row>
    <row r="3061" spans="2:2">
      <c r="B3061" s="422"/>
    </row>
    <row r="3062" spans="2:2">
      <c r="B3062" s="422"/>
    </row>
    <row r="3063" spans="2:2">
      <c r="B3063" s="422"/>
    </row>
    <row r="3064" spans="2:2">
      <c r="B3064" s="422"/>
    </row>
    <row r="3065" spans="2:2">
      <c r="B3065" s="422"/>
    </row>
    <row r="3066" spans="2:2">
      <c r="B3066" s="422"/>
    </row>
    <row r="3067" spans="2:2">
      <c r="B3067" s="422"/>
    </row>
    <row r="3068" spans="2:2">
      <c r="B3068" s="422"/>
    </row>
    <row r="3069" spans="2:2">
      <c r="B3069" s="422"/>
    </row>
    <row r="3070" spans="2:2">
      <c r="B3070" s="422"/>
    </row>
    <row r="3071" spans="2:2">
      <c r="B3071" s="422"/>
    </row>
    <row r="3072" spans="2:2">
      <c r="B3072" s="422"/>
    </row>
    <row r="3073" spans="2:2">
      <c r="B3073" s="422"/>
    </row>
    <row r="3074" spans="2:2">
      <c r="B3074" s="422"/>
    </row>
    <row r="3075" spans="2:2">
      <c r="B3075" s="422"/>
    </row>
    <row r="3076" spans="2:2">
      <c r="B3076" s="422"/>
    </row>
    <row r="3077" spans="2:2">
      <c r="B3077" s="422"/>
    </row>
    <row r="3078" spans="2:2">
      <c r="B3078" s="422"/>
    </row>
    <row r="3079" spans="2:2">
      <c r="B3079" s="422"/>
    </row>
    <row r="3080" spans="2:2">
      <c r="B3080" s="422"/>
    </row>
    <row r="3081" spans="2:2">
      <c r="B3081" s="422"/>
    </row>
    <row r="3082" spans="2:2">
      <c r="B3082" s="422"/>
    </row>
    <row r="3083" spans="2:2">
      <c r="B3083" s="422"/>
    </row>
    <row r="3084" spans="2:2">
      <c r="B3084" s="422"/>
    </row>
    <row r="3085" spans="2:2">
      <c r="B3085" s="422"/>
    </row>
    <row r="3086" spans="2:2">
      <c r="B3086" s="422"/>
    </row>
    <row r="3087" spans="2:2">
      <c r="B3087" s="422"/>
    </row>
    <row r="3088" spans="2:2">
      <c r="B3088" s="422"/>
    </row>
    <row r="3089" spans="2:2">
      <c r="B3089" s="422"/>
    </row>
    <row r="3090" spans="2:2">
      <c r="B3090" s="422"/>
    </row>
    <row r="3091" spans="2:2">
      <c r="B3091" s="422"/>
    </row>
    <row r="3092" spans="2:2">
      <c r="B3092" s="422"/>
    </row>
    <row r="3093" spans="2:2">
      <c r="B3093" s="422"/>
    </row>
    <row r="3094" spans="2:2">
      <c r="B3094" s="422"/>
    </row>
    <row r="3095" spans="2:2">
      <c r="B3095" s="422"/>
    </row>
    <row r="3096" spans="2:2">
      <c r="B3096" s="422"/>
    </row>
    <row r="3097" spans="2:2">
      <c r="B3097" s="422"/>
    </row>
    <row r="3098" spans="2:2">
      <c r="B3098" s="422"/>
    </row>
    <row r="3099" spans="2:2">
      <c r="B3099" s="422"/>
    </row>
    <row r="3100" spans="2:2">
      <c r="B3100" s="422"/>
    </row>
    <row r="3101" spans="2:2">
      <c r="B3101" s="422"/>
    </row>
    <row r="3102" spans="2:2">
      <c r="B3102" s="422"/>
    </row>
    <row r="3103" spans="2:2">
      <c r="B3103" s="422"/>
    </row>
    <row r="3104" spans="2:2">
      <c r="B3104" s="422"/>
    </row>
    <row r="3105" spans="2:2">
      <c r="B3105" s="422"/>
    </row>
    <row r="3106" spans="2:2">
      <c r="B3106" s="422"/>
    </row>
    <row r="3107" spans="2:2">
      <c r="B3107" s="422"/>
    </row>
    <row r="3108" spans="2:2">
      <c r="B3108" s="422"/>
    </row>
    <row r="3109" spans="2:2">
      <c r="B3109" s="422"/>
    </row>
    <row r="3110" spans="2:2">
      <c r="B3110" s="422"/>
    </row>
    <row r="3111" spans="2:2">
      <c r="B3111" s="422"/>
    </row>
    <row r="3112" spans="2:2">
      <c r="B3112" s="422"/>
    </row>
    <row r="3113" spans="2:2">
      <c r="B3113" s="422"/>
    </row>
    <row r="3114" spans="2:2">
      <c r="B3114" s="422"/>
    </row>
    <row r="3115" spans="2:2">
      <c r="B3115" s="422"/>
    </row>
    <row r="3116" spans="2:2">
      <c r="B3116" s="422"/>
    </row>
    <row r="3117" spans="2:2">
      <c r="B3117" s="422"/>
    </row>
    <row r="3118" spans="2:2">
      <c r="B3118" s="422"/>
    </row>
    <row r="3119" spans="2:2">
      <c r="B3119" s="422"/>
    </row>
    <row r="3120" spans="2:2">
      <c r="B3120" s="422"/>
    </row>
    <row r="3121" spans="2:2">
      <c r="B3121" s="422"/>
    </row>
    <row r="3122" spans="2:2">
      <c r="B3122" s="422"/>
    </row>
    <row r="3123" spans="2:2">
      <c r="B3123" s="422"/>
    </row>
    <row r="3124" spans="2:2">
      <c r="B3124" s="422"/>
    </row>
    <row r="3125" spans="2:2">
      <c r="B3125" s="422"/>
    </row>
    <row r="3126" spans="2:2">
      <c r="B3126" s="422"/>
    </row>
    <row r="3127" spans="2:2">
      <c r="B3127" s="422"/>
    </row>
    <row r="3128" spans="2:2">
      <c r="B3128" s="422"/>
    </row>
    <row r="3129" spans="2:2">
      <c r="B3129" s="422"/>
    </row>
    <row r="3130" spans="2:2">
      <c r="B3130" s="422"/>
    </row>
    <row r="3131" spans="2:2">
      <c r="B3131" s="422"/>
    </row>
    <row r="3132" spans="2:2">
      <c r="B3132" s="422"/>
    </row>
    <row r="3133" spans="2:2">
      <c r="B3133" s="422"/>
    </row>
    <row r="3134" spans="2:2">
      <c r="B3134" s="422"/>
    </row>
    <row r="3135" spans="2:2">
      <c r="B3135" s="422"/>
    </row>
    <row r="3136" spans="2:2">
      <c r="B3136" s="422"/>
    </row>
    <row r="3137" spans="2:2">
      <c r="B3137" s="422"/>
    </row>
    <row r="3138" spans="2:2">
      <c r="B3138" s="422"/>
    </row>
    <row r="3139" spans="2:2">
      <c r="B3139" s="422"/>
    </row>
    <row r="3140" spans="2:2">
      <c r="B3140" s="422"/>
    </row>
    <row r="3141" spans="2:2">
      <c r="B3141" s="422"/>
    </row>
    <row r="3142" spans="2:2">
      <c r="B3142" s="422"/>
    </row>
    <row r="3143" spans="2:2">
      <c r="B3143" s="422"/>
    </row>
    <row r="3144" spans="2:2">
      <c r="B3144" s="422"/>
    </row>
    <row r="3145" spans="2:2">
      <c r="B3145" s="422"/>
    </row>
    <row r="3146" spans="2:2">
      <c r="B3146" s="422"/>
    </row>
    <row r="3147" spans="2:2">
      <c r="B3147" s="422"/>
    </row>
    <row r="3148" spans="2:2">
      <c r="B3148" s="422"/>
    </row>
    <row r="3149" spans="2:2">
      <c r="B3149" s="422"/>
    </row>
    <row r="3150" spans="2:2">
      <c r="B3150" s="422"/>
    </row>
    <row r="3151" spans="2:2">
      <c r="B3151" s="422"/>
    </row>
    <row r="3152" spans="2:2">
      <c r="B3152" s="422"/>
    </row>
    <row r="3153" spans="2:2">
      <c r="B3153" s="422"/>
    </row>
    <row r="3154" spans="2:2">
      <c r="B3154" s="422"/>
    </row>
    <row r="3155" spans="2:2">
      <c r="B3155" s="422"/>
    </row>
    <row r="3156" spans="2:2">
      <c r="B3156" s="422"/>
    </row>
    <row r="3157" spans="2:2">
      <c r="B3157" s="422"/>
    </row>
    <row r="3158" spans="2:2">
      <c r="B3158" s="422"/>
    </row>
    <row r="3159" spans="2:2">
      <c r="B3159" s="422"/>
    </row>
    <row r="3160" spans="2:2">
      <c r="B3160" s="422"/>
    </row>
    <row r="3161" spans="2:2">
      <c r="B3161" s="422"/>
    </row>
    <row r="3162" spans="2:2">
      <c r="B3162" s="422"/>
    </row>
    <row r="3163" spans="2:2">
      <c r="B3163" s="422"/>
    </row>
    <row r="3164" spans="2:2">
      <c r="B3164" s="422"/>
    </row>
    <row r="3165" spans="2:2">
      <c r="B3165" s="422"/>
    </row>
    <row r="3166" spans="2:2">
      <c r="B3166" s="422"/>
    </row>
    <row r="3167" spans="2:2">
      <c r="B3167" s="422"/>
    </row>
    <row r="3168" spans="2:2">
      <c r="B3168" s="422"/>
    </row>
    <row r="3169" spans="2:2">
      <c r="B3169" s="422"/>
    </row>
    <row r="3170" spans="2:2">
      <c r="B3170" s="422"/>
    </row>
    <row r="3171" spans="2:2">
      <c r="B3171" s="422"/>
    </row>
    <row r="3172" spans="2:2">
      <c r="B3172" s="422"/>
    </row>
    <row r="3173" spans="2:2">
      <c r="B3173" s="422"/>
    </row>
    <row r="3174" spans="2:2">
      <c r="B3174" s="422"/>
    </row>
    <row r="3175" spans="2:2">
      <c r="B3175" s="422"/>
    </row>
    <row r="3176" spans="2:2">
      <c r="B3176" s="422"/>
    </row>
    <row r="3177" spans="2:2">
      <c r="B3177" s="422"/>
    </row>
    <row r="3178" spans="2:2">
      <c r="B3178" s="422"/>
    </row>
    <row r="3179" spans="2:2">
      <c r="B3179" s="422"/>
    </row>
    <row r="3180" spans="2:2">
      <c r="B3180" s="422"/>
    </row>
    <row r="3181" spans="2:2">
      <c r="B3181" s="422"/>
    </row>
    <row r="3182" spans="2:2">
      <c r="B3182" s="422"/>
    </row>
    <row r="3183" spans="2:2">
      <c r="B3183" s="422"/>
    </row>
    <row r="3184" spans="2:2">
      <c r="B3184" s="422"/>
    </row>
    <row r="3185" spans="2:2">
      <c r="B3185" s="422"/>
    </row>
    <row r="3186" spans="2:2">
      <c r="B3186" s="422"/>
    </row>
    <row r="3187" spans="2:2">
      <c r="B3187" s="422"/>
    </row>
    <row r="3188" spans="2:2">
      <c r="B3188" s="422"/>
    </row>
    <row r="3189" spans="2:2">
      <c r="B3189" s="422"/>
    </row>
    <row r="3190" spans="2:2">
      <c r="B3190" s="422"/>
    </row>
    <row r="3191" spans="2:2">
      <c r="B3191" s="422"/>
    </row>
    <row r="3192" spans="2:2">
      <c r="B3192" s="422"/>
    </row>
    <row r="3193" spans="2:2">
      <c r="B3193" s="422"/>
    </row>
    <row r="3194" spans="2:2">
      <c r="B3194" s="422"/>
    </row>
    <row r="3195" spans="2:2">
      <c r="B3195" s="422"/>
    </row>
    <row r="3196" spans="2:2">
      <c r="B3196" s="422"/>
    </row>
    <row r="3197" spans="2:2">
      <c r="B3197" s="422"/>
    </row>
    <row r="3198" spans="2:2">
      <c r="B3198" s="422"/>
    </row>
    <row r="3199" spans="2:2">
      <c r="B3199" s="422"/>
    </row>
    <row r="3200" spans="2:2">
      <c r="B3200" s="422"/>
    </row>
    <row r="3201" spans="2:2">
      <c r="B3201" s="422"/>
    </row>
    <row r="3202" spans="2:2">
      <c r="B3202" s="422"/>
    </row>
    <row r="3203" spans="2:2">
      <c r="B3203" s="422"/>
    </row>
    <row r="3204" spans="2:2">
      <c r="B3204" s="422"/>
    </row>
    <row r="3205" spans="2:2">
      <c r="B3205" s="422"/>
    </row>
    <row r="3206" spans="2:2">
      <c r="B3206" s="422"/>
    </row>
    <row r="3207" spans="2:2">
      <c r="B3207" s="422"/>
    </row>
    <row r="3208" spans="2:2">
      <c r="B3208" s="422"/>
    </row>
    <row r="3209" spans="2:2">
      <c r="B3209" s="422"/>
    </row>
    <row r="3210" spans="2:2">
      <c r="B3210" s="422"/>
    </row>
    <row r="3211" spans="2:2">
      <c r="B3211" s="422"/>
    </row>
    <row r="3212" spans="2:2">
      <c r="B3212" s="422"/>
    </row>
    <row r="3213" spans="2:2">
      <c r="B3213" s="422"/>
    </row>
    <row r="3214" spans="2:2">
      <c r="B3214" s="422"/>
    </row>
    <row r="3215" spans="2:2">
      <c r="B3215" s="422"/>
    </row>
    <row r="3216" spans="2:2">
      <c r="B3216" s="422"/>
    </row>
    <row r="3217" spans="2:2">
      <c r="B3217" s="422"/>
    </row>
    <row r="3218" spans="2:2">
      <c r="B3218" s="422"/>
    </row>
    <row r="3219" spans="2:2">
      <c r="B3219" s="422"/>
    </row>
    <row r="3220" spans="2:2">
      <c r="B3220" s="422"/>
    </row>
    <row r="3221" spans="2:2">
      <c r="B3221" s="422"/>
    </row>
    <row r="3222" spans="2:2">
      <c r="B3222" s="422"/>
    </row>
    <row r="3223" spans="2:2">
      <c r="B3223" s="422"/>
    </row>
    <row r="3224" spans="2:2">
      <c r="B3224" s="422"/>
    </row>
    <row r="3225" spans="2:2">
      <c r="B3225" s="422"/>
    </row>
    <row r="3226" spans="2:2">
      <c r="B3226" s="422"/>
    </row>
    <row r="3227" spans="2:2">
      <c r="B3227" s="422"/>
    </row>
    <row r="3228" spans="2:2">
      <c r="B3228" s="422"/>
    </row>
    <row r="3229" spans="2:2">
      <c r="B3229" s="422"/>
    </row>
    <row r="3230" spans="2:2">
      <c r="B3230" s="422"/>
    </row>
    <row r="3231" spans="2:2">
      <c r="B3231" s="422"/>
    </row>
    <row r="3232" spans="2:2">
      <c r="B3232" s="422"/>
    </row>
    <row r="3233" spans="2:2">
      <c r="B3233" s="422"/>
    </row>
    <row r="3234" spans="2:2">
      <c r="B3234" s="422"/>
    </row>
    <row r="3235" spans="2:2">
      <c r="B3235" s="422"/>
    </row>
    <row r="3236" spans="2:2">
      <c r="B3236" s="422"/>
    </row>
    <row r="3237" spans="2:2">
      <c r="B3237" s="422"/>
    </row>
    <row r="3238" spans="2:2">
      <c r="B3238" s="422"/>
    </row>
    <row r="3239" spans="2:2">
      <c r="B3239" s="422"/>
    </row>
    <row r="3240" spans="2:2">
      <c r="B3240" s="422"/>
    </row>
    <row r="3241" spans="2:2">
      <c r="B3241" s="422"/>
    </row>
    <row r="3242" spans="2:2">
      <c r="B3242" s="422"/>
    </row>
    <row r="3243" spans="2:2">
      <c r="B3243" s="422"/>
    </row>
    <row r="3244" spans="2:2">
      <c r="B3244" s="422"/>
    </row>
    <row r="3245" spans="2:2">
      <c r="B3245" s="422"/>
    </row>
    <row r="3246" spans="2:2">
      <c r="B3246" s="422"/>
    </row>
    <row r="3247" spans="2:2">
      <c r="B3247" s="422"/>
    </row>
    <row r="3248" spans="2:2">
      <c r="B3248" s="422"/>
    </row>
    <row r="3249" spans="2:2">
      <c r="B3249" s="422"/>
    </row>
    <row r="3250" spans="2:2">
      <c r="B3250" s="422"/>
    </row>
    <row r="3251" spans="2:2">
      <c r="B3251" s="422"/>
    </row>
    <row r="3252" spans="2:2">
      <c r="B3252" s="422"/>
    </row>
    <row r="3253" spans="2:2">
      <c r="B3253" s="422"/>
    </row>
    <row r="3254" spans="2:2">
      <c r="B3254" s="422"/>
    </row>
    <row r="3255" spans="2:2">
      <c r="B3255" s="422"/>
    </row>
    <row r="3256" spans="2:2">
      <c r="B3256" s="422"/>
    </row>
    <row r="3257" spans="2:2">
      <c r="B3257" s="422"/>
    </row>
    <row r="3258" spans="2:2">
      <c r="B3258" s="422"/>
    </row>
    <row r="3259" spans="2:2">
      <c r="B3259" s="422"/>
    </row>
    <row r="3260" spans="2:2">
      <c r="B3260" s="422"/>
    </row>
    <row r="3261" spans="2:2">
      <c r="B3261" s="422"/>
    </row>
    <row r="3262" spans="2:2">
      <c r="B3262" s="422"/>
    </row>
    <row r="3263" spans="2:2">
      <c r="B3263" s="422"/>
    </row>
    <row r="3264" spans="2:2">
      <c r="B3264" s="422"/>
    </row>
    <row r="3265" spans="2:2">
      <c r="B3265" s="422"/>
    </row>
    <row r="3266" spans="2:2">
      <c r="B3266" s="422"/>
    </row>
    <row r="3267" spans="2:2">
      <c r="B3267" s="422"/>
    </row>
    <row r="3268" spans="2:2">
      <c r="B3268" s="422"/>
    </row>
    <row r="3269" spans="2:2">
      <c r="B3269" s="422"/>
    </row>
    <row r="3270" spans="2:2">
      <c r="B3270" s="422"/>
    </row>
    <row r="3271" spans="2:2">
      <c r="B3271" s="422"/>
    </row>
    <row r="3272" spans="2:2">
      <c r="B3272" s="422"/>
    </row>
    <row r="3273" spans="2:2">
      <c r="B3273" s="422"/>
    </row>
    <row r="3274" spans="2:2">
      <c r="B3274" s="422"/>
    </row>
    <row r="3275" spans="2:2">
      <c r="B3275" s="422"/>
    </row>
    <row r="3276" spans="2:2">
      <c r="B3276" s="422"/>
    </row>
    <row r="3277" spans="2:2">
      <c r="B3277" s="422"/>
    </row>
    <row r="3278" spans="2:2">
      <c r="B3278" s="422"/>
    </row>
    <row r="3279" spans="2:2">
      <c r="B3279" s="422"/>
    </row>
    <row r="3280" spans="2:2">
      <c r="B3280" s="422"/>
    </row>
    <row r="3281" spans="2:2">
      <c r="B3281" s="422"/>
    </row>
    <row r="3282" spans="2:2">
      <c r="B3282" s="422"/>
    </row>
    <row r="3283" spans="2:2">
      <c r="B3283" s="422"/>
    </row>
    <row r="3284" spans="2:2">
      <c r="B3284" s="422"/>
    </row>
    <row r="3285" spans="2:2">
      <c r="B3285" s="422"/>
    </row>
    <row r="3286" spans="2:2">
      <c r="B3286" s="422"/>
    </row>
    <row r="3287" spans="2:2">
      <c r="B3287" s="422"/>
    </row>
    <row r="3288" spans="2:2">
      <c r="B3288" s="422"/>
    </row>
    <row r="3289" spans="2:2">
      <c r="B3289" s="422"/>
    </row>
    <row r="3290" spans="2:2">
      <c r="B3290" s="422"/>
    </row>
    <row r="3291" spans="2:2">
      <c r="B3291" s="422"/>
    </row>
    <row r="3292" spans="2:2">
      <c r="B3292" s="422"/>
    </row>
    <row r="3293" spans="2:2">
      <c r="B3293" s="422"/>
    </row>
    <row r="3294" spans="2:2">
      <c r="B3294" s="422"/>
    </row>
    <row r="3295" spans="2:2">
      <c r="B3295" s="422"/>
    </row>
    <row r="3296" spans="2:2">
      <c r="B3296" s="422"/>
    </row>
    <row r="3297" spans="2:2">
      <c r="B3297" s="422"/>
    </row>
    <row r="3298" spans="2:2">
      <c r="B3298" s="422"/>
    </row>
    <row r="3299" spans="2:2">
      <c r="B3299" s="422"/>
    </row>
    <row r="3300" spans="2:2">
      <c r="B3300" s="422"/>
    </row>
    <row r="3301" spans="2:2">
      <c r="B3301" s="422"/>
    </row>
    <row r="3302" spans="2:2">
      <c r="B3302" s="422"/>
    </row>
    <row r="3303" spans="2:2">
      <c r="B3303" s="422"/>
    </row>
    <row r="3304" spans="2:2">
      <c r="B3304" s="422"/>
    </row>
    <row r="3305" spans="2:2">
      <c r="B3305" s="422"/>
    </row>
    <row r="3306" spans="2:2">
      <c r="B3306" s="422"/>
    </row>
    <row r="3307" spans="2:2">
      <c r="B3307" s="422"/>
    </row>
    <row r="3308" spans="2:2">
      <c r="B3308" s="422"/>
    </row>
    <row r="3309" spans="2:2">
      <c r="B3309" s="422"/>
    </row>
    <row r="3310" spans="2:2">
      <c r="B3310" s="422"/>
    </row>
    <row r="3311" spans="2:2">
      <c r="B3311" s="422"/>
    </row>
    <row r="3312" spans="2:2">
      <c r="B3312" s="422"/>
    </row>
    <row r="3313" spans="2:2">
      <c r="B3313" s="422"/>
    </row>
    <row r="3314" spans="2:2">
      <c r="B3314" s="422"/>
    </row>
    <row r="3315" spans="2:2">
      <c r="B3315" s="422"/>
    </row>
    <row r="3316" spans="2:2">
      <c r="B3316" s="422"/>
    </row>
    <row r="3317" spans="2:2">
      <c r="B3317" s="422"/>
    </row>
    <row r="3318" spans="2:2">
      <c r="B3318" s="422"/>
    </row>
    <row r="3319" spans="2:2">
      <c r="B3319" s="422"/>
    </row>
    <row r="3320" spans="2:2">
      <c r="B3320" s="422"/>
    </row>
    <row r="3321" spans="2:2">
      <c r="B3321" s="422"/>
    </row>
    <row r="3322" spans="2:2">
      <c r="B3322" s="422"/>
    </row>
    <row r="3323" spans="2:2">
      <c r="B3323" s="422"/>
    </row>
    <row r="3324" spans="2:2">
      <c r="B3324" s="422"/>
    </row>
    <row r="3325" spans="2:2">
      <c r="B3325" s="422"/>
    </row>
    <row r="3326" spans="2:2">
      <c r="B3326" s="422"/>
    </row>
    <row r="3327" spans="2:2">
      <c r="B3327" s="422"/>
    </row>
    <row r="3328" spans="2:2">
      <c r="B3328" s="422"/>
    </row>
    <row r="3329" spans="2:2">
      <c r="B3329" s="422"/>
    </row>
    <row r="3330" spans="2:2">
      <c r="B3330" s="422"/>
    </row>
    <row r="3331" spans="2:2">
      <c r="B3331" s="422"/>
    </row>
    <row r="3332" spans="2:2">
      <c r="B3332" s="422"/>
    </row>
    <row r="3333" spans="2:2">
      <c r="B3333" s="422"/>
    </row>
    <row r="3334" spans="2:2">
      <c r="B3334" s="422"/>
    </row>
    <row r="3335" spans="2:2">
      <c r="B3335" s="422"/>
    </row>
    <row r="3336" spans="2:2">
      <c r="B3336" s="422"/>
    </row>
    <row r="3337" spans="2:2">
      <c r="B3337" s="422"/>
    </row>
    <row r="3338" spans="2:2">
      <c r="B3338" s="422"/>
    </row>
    <row r="3339" spans="2:2">
      <c r="B3339" s="422"/>
    </row>
    <row r="3340" spans="2:2">
      <c r="B3340" s="422"/>
    </row>
    <row r="3341" spans="2:2">
      <c r="B3341" s="422"/>
    </row>
    <row r="3342" spans="2:2">
      <c r="B3342" s="422"/>
    </row>
    <row r="3343" spans="2:2">
      <c r="B3343" s="422"/>
    </row>
    <row r="3344" spans="2:2">
      <c r="B3344" s="422"/>
    </row>
    <row r="3345" spans="2:2">
      <c r="B3345" s="422"/>
    </row>
    <row r="3346" spans="2:2">
      <c r="B3346" s="422"/>
    </row>
    <row r="3347" spans="2:2">
      <c r="B3347" s="422"/>
    </row>
    <row r="3348" spans="2:2">
      <c r="B3348" s="422"/>
    </row>
    <row r="3349" spans="2:2">
      <c r="B3349" s="422"/>
    </row>
    <row r="3350" spans="2:2">
      <c r="B3350" s="422"/>
    </row>
    <row r="3351" spans="2:2">
      <c r="B3351" s="422"/>
    </row>
    <row r="3352" spans="2:2">
      <c r="B3352" s="422"/>
    </row>
    <row r="3353" spans="2:2">
      <c r="B3353" s="422"/>
    </row>
    <row r="3354" spans="2:2">
      <c r="B3354" s="422"/>
    </row>
    <row r="3355" spans="2:2">
      <c r="B3355" s="422"/>
    </row>
    <row r="3356" spans="2:2">
      <c r="B3356" s="422"/>
    </row>
    <row r="3357" spans="2:2">
      <c r="B3357" s="422"/>
    </row>
    <row r="3358" spans="2:2">
      <c r="B3358" s="422"/>
    </row>
    <row r="3359" spans="2:2">
      <c r="B3359" s="422"/>
    </row>
    <row r="3360" spans="2:2">
      <c r="B3360" s="422"/>
    </row>
    <row r="3361" spans="2:2">
      <c r="B3361" s="422"/>
    </row>
    <row r="3362" spans="2:2">
      <c r="B3362" s="422"/>
    </row>
    <row r="3363" spans="2:2">
      <c r="B3363" s="422"/>
    </row>
    <row r="3364" spans="2:2">
      <c r="B3364" s="422"/>
    </row>
    <row r="3365" spans="2:2">
      <c r="B3365" s="422"/>
    </row>
    <row r="3366" spans="2:2">
      <c r="B3366" s="422"/>
    </row>
    <row r="3367" spans="2:2">
      <c r="B3367" s="422"/>
    </row>
    <row r="3368" spans="2:2">
      <c r="B3368" s="422"/>
    </row>
    <row r="3369" spans="2:2">
      <c r="B3369" s="422"/>
    </row>
    <row r="3370" spans="2:2">
      <c r="B3370" s="422"/>
    </row>
    <row r="3371" spans="2:2">
      <c r="B3371" s="422"/>
    </row>
    <row r="3372" spans="2:2">
      <c r="B3372" s="422"/>
    </row>
    <row r="3373" spans="2:2">
      <c r="B3373" s="422"/>
    </row>
    <row r="3374" spans="2:2">
      <c r="B3374" s="422"/>
    </row>
    <row r="3375" spans="2:2">
      <c r="B3375" s="422"/>
    </row>
    <row r="3376" spans="2:2">
      <c r="B3376" s="422"/>
    </row>
    <row r="3377" spans="2:2">
      <c r="B3377" s="422"/>
    </row>
    <row r="3378" spans="2:2">
      <c r="B3378" s="422"/>
    </row>
    <row r="3379" spans="2:2">
      <c r="B3379" s="422"/>
    </row>
    <row r="3380" spans="2:2">
      <c r="B3380" s="422"/>
    </row>
    <row r="3381" spans="2:2">
      <c r="B3381" s="422"/>
    </row>
    <row r="3382" spans="2:2">
      <c r="B3382" s="422"/>
    </row>
    <row r="3383" spans="2:2">
      <c r="B3383" s="422"/>
    </row>
    <row r="3384" spans="2:2">
      <c r="B3384" s="422"/>
    </row>
    <row r="3385" spans="2:2">
      <c r="B3385" s="422"/>
    </row>
    <row r="3386" spans="2:2">
      <c r="B3386" s="422"/>
    </row>
    <row r="3387" spans="2:2">
      <c r="B3387" s="422"/>
    </row>
    <row r="3388" spans="2:2">
      <c r="B3388" s="422"/>
    </row>
    <row r="3389" spans="2:2">
      <c r="B3389" s="422"/>
    </row>
    <row r="3390" spans="2:2">
      <c r="B3390" s="422"/>
    </row>
    <row r="3391" spans="2:2">
      <c r="B3391" s="422"/>
    </row>
    <row r="3392" spans="2:2">
      <c r="B3392" s="422"/>
    </row>
    <row r="3393" spans="2:2">
      <c r="B3393" s="422"/>
    </row>
    <row r="3394" spans="2:2">
      <c r="B3394" s="422"/>
    </row>
    <row r="3395" spans="2:2">
      <c r="B3395" s="422"/>
    </row>
    <row r="3396" spans="2:2">
      <c r="B3396" s="422"/>
    </row>
    <row r="3397" spans="2:2">
      <c r="B3397" s="422"/>
    </row>
    <row r="3398" spans="2:2">
      <c r="B3398" s="422"/>
    </row>
    <row r="3399" spans="2:2">
      <c r="B3399" s="422"/>
    </row>
    <row r="3400" spans="2:2">
      <c r="B3400" s="422"/>
    </row>
    <row r="3401" spans="2:2">
      <c r="B3401" s="422"/>
    </row>
    <row r="3402" spans="2:2">
      <c r="B3402" s="422"/>
    </row>
    <row r="3403" spans="2:2">
      <c r="B3403" s="422"/>
    </row>
    <row r="3404" spans="2:2">
      <c r="B3404" s="422"/>
    </row>
    <row r="3405" spans="2:2">
      <c r="B3405" s="422"/>
    </row>
    <row r="3406" spans="2:2">
      <c r="B3406" s="422"/>
    </row>
    <row r="3407" spans="2:2">
      <c r="B3407" s="422"/>
    </row>
    <row r="3408" spans="2:2">
      <c r="B3408" s="422"/>
    </row>
    <row r="3409" spans="2:2">
      <c r="B3409" s="422"/>
    </row>
    <row r="3410" spans="2:2">
      <c r="B3410" s="422"/>
    </row>
    <row r="3411" spans="2:2">
      <c r="B3411" s="422"/>
    </row>
    <row r="3412" spans="2:2">
      <c r="B3412" s="422"/>
    </row>
    <row r="3413" spans="2:2">
      <c r="B3413" s="422"/>
    </row>
    <row r="3414" spans="2:2">
      <c r="B3414" s="422"/>
    </row>
    <row r="3415" spans="2:2">
      <c r="B3415" s="422"/>
    </row>
    <row r="3416" spans="2:2">
      <c r="B3416" s="422"/>
    </row>
    <row r="3417" spans="2:2">
      <c r="B3417" s="422"/>
    </row>
    <row r="3418" spans="2:2">
      <c r="B3418" s="422"/>
    </row>
    <row r="3419" spans="2:2">
      <c r="B3419" s="422"/>
    </row>
    <row r="3420" spans="2:2">
      <c r="B3420" s="422"/>
    </row>
    <row r="3421" spans="2:2">
      <c r="B3421" s="422"/>
    </row>
    <row r="3422" spans="2:2">
      <c r="B3422" s="422"/>
    </row>
    <row r="3423" spans="2:2">
      <c r="B3423" s="422"/>
    </row>
    <row r="3424" spans="2:2">
      <c r="B3424" s="422"/>
    </row>
    <row r="3425" spans="2:2">
      <c r="B3425" s="422"/>
    </row>
    <row r="3426" spans="2:2">
      <c r="B3426" s="422"/>
    </row>
    <row r="3427" spans="2:2">
      <c r="B3427" s="422"/>
    </row>
    <row r="3428" spans="2:2">
      <c r="B3428" s="422"/>
    </row>
    <row r="3429" spans="2:2">
      <c r="B3429" s="422"/>
    </row>
    <row r="3430" spans="2:2">
      <c r="B3430" s="422"/>
    </row>
    <row r="3431" spans="2:2">
      <c r="B3431" s="422"/>
    </row>
    <row r="3432" spans="2:2">
      <c r="B3432" s="422"/>
    </row>
    <row r="3433" spans="2:2">
      <c r="B3433" s="422"/>
    </row>
    <row r="3434" spans="2:2">
      <c r="B3434" s="422"/>
    </row>
    <row r="3435" spans="2:2">
      <c r="B3435" s="422"/>
    </row>
    <row r="3436" spans="2:2">
      <c r="B3436" s="422"/>
    </row>
    <row r="3437" spans="2:2">
      <c r="B3437" s="422"/>
    </row>
    <row r="3438" spans="2:2">
      <c r="B3438" s="422"/>
    </row>
    <row r="3439" spans="2:2">
      <c r="B3439" s="422"/>
    </row>
    <row r="3440" spans="2:2">
      <c r="B3440" s="422"/>
    </row>
    <row r="3441" spans="2:2">
      <c r="B3441" s="422"/>
    </row>
    <row r="3442" spans="2:2">
      <c r="B3442" s="422"/>
    </row>
    <row r="3443" spans="2:2">
      <c r="B3443" s="422"/>
    </row>
    <row r="3444" spans="2:2">
      <c r="B3444" s="422"/>
    </row>
    <row r="3445" spans="2:2">
      <c r="B3445" s="422"/>
    </row>
    <row r="3446" spans="2:2">
      <c r="B3446" s="422"/>
    </row>
    <row r="3447" spans="2:2">
      <c r="B3447" s="422"/>
    </row>
    <row r="3448" spans="2:2">
      <c r="B3448" s="422"/>
    </row>
    <row r="3449" spans="2:2">
      <c r="B3449" s="422"/>
    </row>
    <row r="3450" spans="2:2">
      <c r="B3450" s="422"/>
    </row>
    <row r="3451" spans="2:2">
      <c r="B3451" s="422"/>
    </row>
    <row r="3452" spans="2:2">
      <c r="B3452" s="422"/>
    </row>
    <row r="3453" spans="2:2">
      <c r="B3453" s="422"/>
    </row>
    <row r="3454" spans="2:2">
      <c r="B3454" s="422"/>
    </row>
    <row r="3455" spans="2:2">
      <c r="B3455" s="422"/>
    </row>
    <row r="3456" spans="2:2">
      <c r="B3456" s="422"/>
    </row>
    <row r="3457" spans="2:2">
      <c r="B3457" s="422"/>
    </row>
    <row r="3458" spans="2:2">
      <c r="B3458" s="422"/>
    </row>
    <row r="3459" spans="2:2">
      <c r="B3459" s="422"/>
    </row>
    <row r="3460" spans="2:2">
      <c r="B3460" s="422"/>
    </row>
    <row r="3461" spans="2:2">
      <c r="B3461" s="422"/>
    </row>
    <row r="3462" spans="2:2">
      <c r="B3462" s="422"/>
    </row>
    <row r="3463" spans="2:2">
      <c r="B3463" s="422"/>
    </row>
    <row r="3464" spans="2:2">
      <c r="B3464" s="422"/>
    </row>
    <row r="3465" spans="2:2">
      <c r="B3465" s="422"/>
    </row>
    <row r="3466" spans="2:2">
      <c r="B3466" s="422"/>
    </row>
    <row r="3467" spans="2:2">
      <c r="B3467" s="422"/>
    </row>
    <row r="3468" spans="2:2">
      <c r="B3468" s="422"/>
    </row>
    <row r="3469" spans="2:2">
      <c r="B3469" s="422"/>
    </row>
    <row r="3470" spans="2:2">
      <c r="B3470" s="422"/>
    </row>
    <row r="3471" spans="2:2">
      <c r="B3471" s="422"/>
    </row>
    <row r="3472" spans="2:2">
      <c r="B3472" s="422"/>
    </row>
    <row r="3473" spans="2:2">
      <c r="B3473" s="422"/>
    </row>
    <row r="3474" spans="2:2">
      <c r="B3474" s="422"/>
    </row>
    <row r="3475" spans="2:2">
      <c r="B3475" s="422"/>
    </row>
    <row r="3476" spans="2:2">
      <c r="B3476" s="422"/>
    </row>
    <row r="3477" spans="2:2">
      <c r="B3477" s="422"/>
    </row>
    <row r="3478" spans="2:2">
      <c r="B3478" s="422"/>
    </row>
    <row r="3479" spans="2:2">
      <c r="B3479" s="422"/>
    </row>
    <row r="3480" spans="2:2">
      <c r="B3480" s="422"/>
    </row>
    <row r="3481" spans="2:2">
      <c r="B3481" s="422"/>
    </row>
    <row r="3482" spans="2:2">
      <c r="B3482" s="422"/>
    </row>
    <row r="3483" spans="2:2">
      <c r="B3483" s="422"/>
    </row>
    <row r="3484" spans="2:2">
      <c r="B3484" s="422"/>
    </row>
    <row r="3485" spans="2:2">
      <c r="B3485" s="422"/>
    </row>
    <row r="3486" spans="2:2">
      <c r="B3486" s="422"/>
    </row>
    <row r="3487" spans="2:2">
      <c r="B3487" s="422"/>
    </row>
    <row r="3488" spans="2:2">
      <c r="B3488" s="422"/>
    </row>
    <row r="3489" spans="2:2">
      <c r="B3489" s="422"/>
    </row>
    <row r="3490" spans="2:2">
      <c r="B3490" s="422"/>
    </row>
    <row r="3491" spans="2:2">
      <c r="B3491" s="422"/>
    </row>
    <row r="3492" spans="2:2">
      <c r="B3492" s="422"/>
    </row>
    <row r="3493" spans="2:2">
      <c r="B3493" s="422"/>
    </row>
    <row r="3494" spans="2:2">
      <c r="B3494" s="422"/>
    </row>
    <row r="3495" spans="2:2">
      <c r="B3495" s="422"/>
    </row>
    <row r="3496" spans="2:2">
      <c r="B3496" s="422"/>
    </row>
    <row r="3497" spans="2:2">
      <c r="B3497" s="422"/>
    </row>
    <row r="3498" spans="2:2">
      <c r="B3498" s="422"/>
    </row>
    <row r="3499" spans="2:2">
      <c r="B3499" s="422"/>
    </row>
    <row r="3500" spans="2:2">
      <c r="B3500" s="422"/>
    </row>
    <row r="3501" spans="2:2">
      <c r="B3501" s="422"/>
    </row>
    <row r="3502" spans="2:2">
      <c r="B3502" s="422"/>
    </row>
    <row r="3503" spans="2:2">
      <c r="B3503" s="422"/>
    </row>
    <row r="3504" spans="2:2">
      <c r="B3504" s="422"/>
    </row>
    <row r="3505" spans="2:2">
      <c r="B3505" s="422"/>
    </row>
    <row r="3506" spans="2:2">
      <c r="B3506" s="422"/>
    </row>
    <row r="3507" spans="2:2">
      <c r="B3507" s="422"/>
    </row>
    <row r="3508" spans="2:2">
      <c r="B3508" s="422"/>
    </row>
    <row r="3509" spans="2:2">
      <c r="B3509" s="422"/>
    </row>
    <row r="3510" spans="2:2">
      <c r="B3510" s="422"/>
    </row>
    <row r="3511" spans="2:2">
      <c r="B3511" s="422"/>
    </row>
    <row r="3512" spans="2:2">
      <c r="B3512" s="422"/>
    </row>
    <row r="3513" spans="2:2">
      <c r="B3513" s="422"/>
    </row>
    <row r="3514" spans="2:2">
      <c r="B3514" s="422"/>
    </row>
    <row r="3515" spans="2:2">
      <c r="B3515" s="422"/>
    </row>
    <row r="3516" spans="2:2">
      <c r="B3516" s="422"/>
    </row>
    <row r="3517" spans="2:2">
      <c r="B3517" s="422"/>
    </row>
    <row r="3518" spans="2:2">
      <c r="B3518" s="422"/>
    </row>
    <row r="3519" spans="2:2">
      <c r="B3519" s="422"/>
    </row>
    <row r="3520" spans="2:2">
      <c r="B3520" s="422"/>
    </row>
    <row r="3521" spans="2:2">
      <c r="B3521" s="422"/>
    </row>
    <row r="3522" spans="2:2">
      <c r="B3522" s="422"/>
    </row>
    <row r="3523" spans="2:2">
      <c r="B3523" s="422"/>
    </row>
    <row r="3524" spans="2:2">
      <c r="B3524" s="422"/>
    </row>
    <row r="3525" spans="2:2">
      <c r="B3525" s="422"/>
    </row>
    <row r="3526" spans="2:2">
      <c r="B3526" s="422"/>
    </row>
    <row r="3527" spans="2:2">
      <c r="B3527" s="422"/>
    </row>
    <row r="3528" spans="2:2">
      <c r="B3528" s="422"/>
    </row>
    <row r="3529" spans="2:2">
      <c r="B3529" s="422"/>
    </row>
    <row r="3530" spans="2:2">
      <c r="B3530" s="422"/>
    </row>
    <row r="3531" spans="2:2">
      <c r="B3531" s="422"/>
    </row>
    <row r="3532" spans="2:2">
      <c r="B3532" s="422"/>
    </row>
    <row r="3533" spans="2:2">
      <c r="B3533" s="422"/>
    </row>
    <row r="3534" spans="2:2">
      <c r="B3534" s="422"/>
    </row>
    <row r="3535" spans="2:2">
      <c r="B3535" s="422"/>
    </row>
    <row r="3536" spans="2:2">
      <c r="B3536" s="422"/>
    </row>
    <row r="3537" spans="2:2">
      <c r="B3537" s="422"/>
    </row>
    <row r="3538" spans="2:2">
      <c r="B3538" s="422"/>
    </row>
    <row r="3539" spans="2:2">
      <c r="B3539" s="422"/>
    </row>
    <row r="3540" spans="2:2">
      <c r="B3540" s="422"/>
    </row>
    <row r="3541" spans="2:2">
      <c r="B3541" s="422"/>
    </row>
    <row r="3542" spans="2:2">
      <c r="B3542" s="422"/>
    </row>
    <row r="3543" spans="2:2">
      <c r="B3543" s="422"/>
    </row>
    <row r="3544" spans="2:2">
      <c r="B3544" s="422"/>
    </row>
    <row r="3545" spans="2:2">
      <c r="B3545" s="422"/>
    </row>
    <row r="3546" spans="2:2">
      <c r="B3546" s="422"/>
    </row>
    <row r="3547" spans="2:2">
      <c r="B3547" s="422"/>
    </row>
    <row r="3548" spans="2:2">
      <c r="B3548" s="422"/>
    </row>
    <row r="3549" spans="2:2">
      <c r="B3549" s="422"/>
    </row>
    <row r="3550" spans="2:2">
      <c r="B3550" s="422"/>
    </row>
    <row r="3551" spans="2:2">
      <c r="B3551" s="422"/>
    </row>
    <row r="3552" spans="2:2">
      <c r="B3552" s="422"/>
    </row>
    <row r="3553" spans="2:2">
      <c r="B3553" s="422"/>
    </row>
    <row r="3554" spans="2:2">
      <c r="B3554" s="422"/>
    </row>
    <row r="3555" spans="2:2">
      <c r="B3555" s="422"/>
    </row>
    <row r="3556" spans="2:2">
      <c r="B3556" s="422"/>
    </row>
    <row r="3557" spans="2:2">
      <c r="B3557" s="422"/>
    </row>
    <row r="3558" spans="2:2">
      <c r="B3558" s="422"/>
    </row>
    <row r="3559" spans="2:2">
      <c r="B3559" s="422"/>
    </row>
    <row r="3560" spans="2:2">
      <c r="B3560" s="422"/>
    </row>
    <row r="3561" spans="2:2">
      <c r="B3561" s="422"/>
    </row>
    <row r="3562" spans="2:2">
      <c r="B3562" s="422"/>
    </row>
    <row r="3563" spans="2:2">
      <c r="B3563" s="422"/>
    </row>
    <row r="3564" spans="2:2">
      <c r="B3564" s="422"/>
    </row>
    <row r="3565" spans="2:2">
      <c r="B3565" s="422"/>
    </row>
    <row r="3566" spans="2:2">
      <c r="B3566" s="422"/>
    </row>
    <row r="3567" spans="2:2">
      <c r="B3567" s="422"/>
    </row>
    <row r="3568" spans="2:2">
      <c r="B3568" s="422"/>
    </row>
    <row r="3569" spans="2:2">
      <c r="B3569" s="422"/>
    </row>
    <row r="3570" spans="2:2">
      <c r="B3570" s="422"/>
    </row>
    <row r="3571" spans="2:2">
      <c r="B3571" s="422"/>
    </row>
    <row r="3572" spans="2:2">
      <c r="B3572" s="422"/>
    </row>
    <row r="3573" spans="2:2">
      <c r="B3573" s="422"/>
    </row>
    <row r="3574" spans="2:2">
      <c r="B3574" s="422"/>
    </row>
    <row r="3575" spans="2:2">
      <c r="B3575" s="422"/>
    </row>
    <row r="3576" spans="2:2">
      <c r="B3576" s="422"/>
    </row>
    <row r="3577" spans="2:2">
      <c r="B3577" s="422"/>
    </row>
    <row r="3578" spans="2:2">
      <c r="B3578" s="422"/>
    </row>
    <row r="3579" spans="2:2">
      <c r="B3579" s="422"/>
    </row>
    <row r="3580" spans="2:2">
      <c r="B3580" s="422"/>
    </row>
    <row r="3581" spans="2:2">
      <c r="B3581" s="422"/>
    </row>
    <row r="3582" spans="2:2">
      <c r="B3582" s="422"/>
    </row>
    <row r="3583" spans="2:2">
      <c r="B3583" s="422"/>
    </row>
    <row r="3584" spans="2:2">
      <c r="B3584" s="422"/>
    </row>
    <row r="3585" spans="2:2">
      <c r="B3585" s="422"/>
    </row>
    <row r="3586" spans="2:2">
      <c r="B3586" s="422"/>
    </row>
    <row r="3587" spans="2:2">
      <c r="B3587" s="422"/>
    </row>
    <row r="3588" spans="2:2">
      <c r="B3588" s="422"/>
    </row>
    <row r="3589" spans="2:2">
      <c r="B3589" s="422"/>
    </row>
    <row r="3590" spans="2:2">
      <c r="B3590" s="422"/>
    </row>
    <row r="3591" spans="2:2">
      <c r="B3591" s="422"/>
    </row>
    <row r="3592" spans="2:2">
      <c r="B3592" s="422"/>
    </row>
    <row r="3593" spans="2:2">
      <c r="B3593" s="422"/>
    </row>
    <row r="3594" spans="2:2">
      <c r="B3594" s="422"/>
    </row>
    <row r="3595" spans="2:2">
      <c r="B3595" s="422"/>
    </row>
    <row r="3596" spans="2:2">
      <c r="B3596" s="422"/>
    </row>
    <row r="3597" spans="2:2">
      <c r="B3597" s="422"/>
    </row>
    <row r="3598" spans="2:2">
      <c r="B3598" s="422"/>
    </row>
    <row r="3599" spans="2:2">
      <c r="B3599" s="422"/>
    </row>
    <row r="3600" spans="2:2">
      <c r="B3600" s="422"/>
    </row>
    <row r="3601" spans="2:2">
      <c r="B3601" s="422"/>
    </row>
    <row r="3602" spans="2:2">
      <c r="B3602" s="422"/>
    </row>
    <row r="3603" spans="2:2">
      <c r="B3603" s="422"/>
    </row>
    <row r="3604" spans="2:2">
      <c r="B3604" s="422"/>
    </row>
    <row r="3605" spans="2:2">
      <c r="B3605" s="422"/>
    </row>
    <row r="3606" spans="2:2">
      <c r="B3606" s="422"/>
    </row>
    <row r="3607" spans="2:2">
      <c r="B3607" s="422"/>
    </row>
    <row r="3608" spans="2:2">
      <c r="B3608" s="422"/>
    </row>
    <row r="3609" spans="2:2">
      <c r="B3609" s="422"/>
    </row>
    <row r="3610" spans="2:2">
      <c r="B3610" s="422"/>
    </row>
    <row r="3611" spans="2:2">
      <c r="B3611" s="422"/>
    </row>
    <row r="3612" spans="2:2">
      <c r="B3612" s="422"/>
    </row>
    <row r="3613" spans="2:2">
      <c r="B3613" s="422"/>
    </row>
    <row r="3614" spans="2:2">
      <c r="B3614" s="422"/>
    </row>
    <row r="3615" spans="2:2">
      <c r="B3615" s="422"/>
    </row>
    <row r="3616" spans="2:2">
      <c r="B3616" s="422"/>
    </row>
    <row r="3617" spans="2:20">
      <c r="B3617" s="422"/>
    </row>
    <row r="3618" spans="2:20">
      <c r="B3618" s="422"/>
    </row>
    <row r="3619" spans="2:20">
      <c r="B3619" s="422"/>
    </row>
    <row r="3620" spans="2:20">
      <c r="B3620" s="422"/>
    </row>
    <row r="3621" spans="2:20">
      <c r="B3621" s="422"/>
    </row>
    <row r="3622" spans="2:20">
      <c r="B3622" s="422"/>
    </row>
    <row r="3623" spans="2:20">
      <c r="B3623" s="422"/>
    </row>
    <row r="3624" spans="2:20">
      <c r="B3624" s="422"/>
    </row>
    <row r="3625" spans="2:20">
      <c r="B3625" s="422"/>
    </row>
    <row r="3626" spans="2:20">
      <c r="B3626" s="422"/>
    </row>
    <row r="3627" spans="2:20">
      <c r="B3627" s="422"/>
    </row>
    <row r="3628" spans="2:20">
      <c r="B3628" s="422"/>
    </row>
    <row r="3629" spans="2:20">
      <c r="B3629" s="422"/>
    </row>
    <row r="3630" spans="2:20">
      <c r="B3630" s="422"/>
    </row>
    <row r="3631" spans="2:20">
      <c r="B3631" s="422"/>
    </row>
    <row r="3632" spans="2:20" s="476" customFormat="1">
      <c r="B3632" s="475"/>
      <c r="C3632" s="6"/>
      <c r="D3632" s="6"/>
      <c r="E3632" s="6"/>
      <c r="F3632" s="6"/>
      <c r="G3632" s="6"/>
      <c r="H3632" s="6"/>
      <c r="I3632" s="6"/>
      <c r="J3632" s="6"/>
      <c r="K3632" s="6"/>
      <c r="L3632" s="6"/>
      <c r="M3632" s="6"/>
      <c r="N3632" s="6"/>
      <c r="O3632" s="6"/>
      <c r="P3632" s="6"/>
      <c r="Q3632" s="6"/>
      <c r="R3632" s="6"/>
      <c r="S3632" s="6"/>
      <c r="T3632" s="6"/>
    </row>
    <row r="3633" spans="2:20" s="476" customFormat="1">
      <c r="B3633" s="475"/>
      <c r="C3633" s="6"/>
      <c r="D3633" s="6"/>
      <c r="E3633" s="6"/>
      <c r="F3633" s="6"/>
      <c r="G3633" s="6"/>
      <c r="H3633" s="6"/>
      <c r="I3633" s="6"/>
      <c r="J3633" s="6"/>
      <c r="K3633" s="6"/>
      <c r="L3633" s="6"/>
      <c r="M3633" s="6"/>
      <c r="N3633" s="6"/>
      <c r="O3633" s="6"/>
      <c r="P3633" s="6"/>
      <c r="Q3633" s="6"/>
      <c r="R3633" s="6"/>
      <c r="S3633" s="6"/>
      <c r="T3633" s="6"/>
    </row>
    <row r="3634" spans="2:20">
      <c r="B3634" s="422"/>
    </row>
    <row r="3635" spans="2:20">
      <c r="B3635" s="422"/>
    </row>
    <row r="3636" spans="2:20">
      <c r="B3636" s="422"/>
    </row>
    <row r="3637" spans="2:20">
      <c r="B3637" s="422"/>
    </row>
    <row r="3638" spans="2:20">
      <c r="B3638" s="422"/>
    </row>
    <row r="3639" spans="2:20">
      <c r="B3639" s="422"/>
    </row>
    <row r="3640" spans="2:20">
      <c r="B3640" s="422"/>
    </row>
    <row r="3641" spans="2:20">
      <c r="B3641" s="422"/>
    </row>
    <row r="3642" spans="2:20">
      <c r="B3642" s="422"/>
    </row>
    <row r="3643" spans="2:20">
      <c r="B3643" s="422"/>
    </row>
    <row r="3644" spans="2:20">
      <c r="B3644" s="422"/>
    </row>
    <row r="3645" spans="2:20">
      <c r="B3645" s="422"/>
    </row>
    <row r="3646" spans="2:20">
      <c r="B3646" s="422"/>
    </row>
    <row r="3647" spans="2:20">
      <c r="B3647" s="422"/>
    </row>
    <row r="3648" spans="2:20">
      <c r="B3648" s="422"/>
    </row>
    <row r="3649" spans="2:2">
      <c r="B3649" s="422"/>
    </row>
    <row r="3650" spans="2:2">
      <c r="B3650" s="422"/>
    </row>
    <row r="3651" spans="2:2">
      <c r="B3651" s="422"/>
    </row>
    <row r="3652" spans="2:2">
      <c r="B3652" s="422"/>
    </row>
    <row r="3653" spans="2:2">
      <c r="B3653" s="422"/>
    </row>
    <row r="3654" spans="2:2">
      <c r="B3654" s="422"/>
    </row>
    <row r="3655" spans="2:2">
      <c r="B3655" s="422"/>
    </row>
    <row r="3656" spans="2:2">
      <c r="B3656" s="422"/>
    </row>
    <row r="3657" spans="2:2">
      <c r="B3657" s="422"/>
    </row>
    <row r="3658" spans="2:2">
      <c r="B3658" s="422"/>
    </row>
    <row r="3659" spans="2:2">
      <c r="B3659" s="422"/>
    </row>
    <row r="3660" spans="2:2">
      <c r="B3660" s="422"/>
    </row>
    <row r="3661" spans="2:2">
      <c r="B3661" s="422"/>
    </row>
    <row r="3662" spans="2:2">
      <c r="B3662" s="422"/>
    </row>
    <row r="3663" spans="2:2">
      <c r="B3663" s="422"/>
    </row>
    <row r="3664" spans="2:2">
      <c r="B3664" s="422"/>
    </row>
    <row r="3665" spans="2:2">
      <c r="B3665" s="422"/>
    </row>
    <row r="3666" spans="2:2">
      <c r="B3666" s="422"/>
    </row>
    <row r="3667" spans="2:2">
      <c r="B3667" s="422"/>
    </row>
    <row r="3668" spans="2:2">
      <c r="B3668" s="422"/>
    </row>
    <row r="3669" spans="2:2">
      <c r="B3669" s="422"/>
    </row>
    <row r="3670" spans="2:2">
      <c r="B3670" s="422"/>
    </row>
    <row r="3671" spans="2:2">
      <c r="B3671" s="422"/>
    </row>
    <row r="3672" spans="2:2">
      <c r="B3672" s="422"/>
    </row>
    <row r="3673" spans="2:2">
      <c r="B3673" s="422"/>
    </row>
    <row r="3674" spans="2:2">
      <c r="B3674" s="422"/>
    </row>
    <row r="3675" spans="2:2">
      <c r="B3675" s="422"/>
    </row>
    <row r="3676" spans="2:2">
      <c r="B3676" s="422"/>
    </row>
    <row r="3677" spans="2:2">
      <c r="B3677" s="422"/>
    </row>
    <row r="3678" spans="2:2">
      <c r="B3678" s="422"/>
    </row>
    <row r="3679" spans="2:2">
      <c r="B3679" s="422"/>
    </row>
    <row r="3680" spans="2:2">
      <c r="B3680" s="422"/>
    </row>
    <row r="3681" spans="2:2">
      <c r="B3681" s="422"/>
    </row>
    <row r="3682" spans="2:2">
      <c r="B3682" s="422"/>
    </row>
    <row r="3683" spans="2:2">
      <c r="B3683" s="422"/>
    </row>
    <row r="3684" spans="2:2">
      <c r="B3684" s="422"/>
    </row>
    <row r="3685" spans="2:2">
      <c r="B3685" s="422"/>
    </row>
    <row r="3686" spans="2:2">
      <c r="B3686" s="422"/>
    </row>
    <row r="3687" spans="2:2">
      <c r="B3687" s="422"/>
    </row>
    <row r="3688" spans="2:2">
      <c r="B3688" s="422"/>
    </row>
    <row r="3689" spans="2:2">
      <c r="B3689" s="422"/>
    </row>
    <row r="3690" spans="2:2">
      <c r="B3690" s="422"/>
    </row>
    <row r="3691" spans="2:2">
      <c r="B3691" s="422"/>
    </row>
    <row r="3692" spans="2:2">
      <c r="B3692" s="422"/>
    </row>
    <row r="3693" spans="2:2">
      <c r="B3693" s="422"/>
    </row>
    <row r="3694" spans="2:2">
      <c r="B3694" s="422"/>
    </row>
    <row r="3695" spans="2:2">
      <c r="B3695" s="422"/>
    </row>
    <row r="3696" spans="2:2">
      <c r="B3696" s="422"/>
    </row>
    <row r="3697" spans="2:2">
      <c r="B3697" s="422"/>
    </row>
    <row r="3698" spans="2:2">
      <c r="B3698" s="422"/>
    </row>
    <row r="3699" spans="2:2">
      <c r="B3699" s="422"/>
    </row>
    <row r="3700" spans="2:2">
      <c r="B3700" s="422"/>
    </row>
    <row r="3701" spans="2:2">
      <c r="B3701" s="422"/>
    </row>
    <row r="3702" spans="2:2">
      <c r="B3702" s="422"/>
    </row>
    <row r="3703" spans="2:2">
      <c r="B3703" s="422"/>
    </row>
    <row r="3704" spans="2:2">
      <c r="B3704" s="422"/>
    </row>
    <row r="3705" spans="2:2">
      <c r="B3705" s="422"/>
    </row>
    <row r="3706" spans="2:2">
      <c r="B3706" s="422"/>
    </row>
    <row r="3707" spans="2:2">
      <c r="B3707" s="422"/>
    </row>
    <row r="3708" spans="2:2">
      <c r="B3708" s="422"/>
    </row>
    <row r="3709" spans="2:2">
      <c r="B3709" s="422"/>
    </row>
    <row r="3710" spans="2:2">
      <c r="B3710" s="422"/>
    </row>
    <row r="3711" spans="2:2">
      <c r="B3711" s="422"/>
    </row>
    <row r="3712" spans="2:2">
      <c r="B3712" s="422"/>
    </row>
    <row r="3713" spans="2:2">
      <c r="B3713" s="422"/>
    </row>
    <row r="3714" spans="2:2">
      <c r="B3714" s="422"/>
    </row>
    <row r="3715" spans="2:2">
      <c r="B3715" s="422"/>
    </row>
    <row r="3716" spans="2:2">
      <c r="B3716" s="422"/>
    </row>
    <row r="3717" spans="2:2">
      <c r="B3717" s="422"/>
    </row>
    <row r="3718" spans="2:2">
      <c r="B3718" s="422"/>
    </row>
    <row r="3719" spans="2:2">
      <c r="B3719" s="422"/>
    </row>
    <row r="3720" spans="2:2">
      <c r="B3720" s="422"/>
    </row>
    <row r="3721" spans="2:2">
      <c r="B3721" s="422"/>
    </row>
    <row r="3722" spans="2:2">
      <c r="B3722" s="422"/>
    </row>
    <row r="3723" spans="2:2">
      <c r="B3723" s="422"/>
    </row>
    <row r="3724" spans="2:2">
      <c r="B3724" s="422"/>
    </row>
    <row r="3725" spans="2:2">
      <c r="B3725" s="422"/>
    </row>
    <row r="3726" spans="2:2">
      <c r="B3726" s="422"/>
    </row>
    <row r="3727" spans="2:2">
      <c r="B3727" s="422"/>
    </row>
    <row r="3728" spans="2:2">
      <c r="B3728" s="422"/>
    </row>
    <row r="3729" spans="2:2">
      <c r="B3729" s="422"/>
    </row>
    <row r="3730" spans="2:2">
      <c r="B3730" s="422"/>
    </row>
    <row r="3731" spans="2:2">
      <c r="B3731" s="422"/>
    </row>
    <row r="3732" spans="2:2">
      <c r="B3732" s="422"/>
    </row>
    <row r="3733" spans="2:2">
      <c r="B3733" s="422"/>
    </row>
    <row r="3734" spans="2:2">
      <c r="B3734" s="422"/>
    </row>
    <row r="3735" spans="2:2">
      <c r="B3735" s="422"/>
    </row>
    <row r="3736" spans="2:2">
      <c r="B3736" s="422"/>
    </row>
    <row r="3737" spans="2:2">
      <c r="B3737" s="422"/>
    </row>
    <row r="3738" spans="2:2">
      <c r="B3738" s="422"/>
    </row>
    <row r="3739" spans="2:2">
      <c r="B3739" s="422"/>
    </row>
    <row r="3740" spans="2:2">
      <c r="B3740" s="422"/>
    </row>
    <row r="3741" spans="2:2">
      <c r="B3741" s="422"/>
    </row>
    <row r="3742" spans="2:2">
      <c r="B3742" s="422"/>
    </row>
    <row r="3743" spans="2:2">
      <c r="B3743" s="422"/>
    </row>
    <row r="3744" spans="2:2">
      <c r="B3744" s="422"/>
    </row>
    <row r="3745" spans="2:2">
      <c r="B3745" s="422"/>
    </row>
    <row r="3746" spans="2:2">
      <c r="B3746" s="422"/>
    </row>
    <row r="3747" spans="2:2">
      <c r="B3747" s="422"/>
    </row>
    <row r="3748" spans="2:2">
      <c r="B3748" s="422"/>
    </row>
    <row r="3749" spans="2:2">
      <c r="B3749" s="422"/>
    </row>
    <row r="3750" spans="2:2">
      <c r="B3750" s="422"/>
    </row>
    <row r="3751" spans="2:2">
      <c r="B3751" s="422"/>
    </row>
    <row r="3752" spans="2:2">
      <c r="B3752" s="422"/>
    </row>
    <row r="3753" spans="2:2">
      <c r="B3753" s="422"/>
    </row>
    <row r="3754" spans="2:2">
      <c r="B3754" s="422"/>
    </row>
    <row r="3755" spans="2:2">
      <c r="B3755" s="422"/>
    </row>
    <row r="3756" spans="2:2">
      <c r="B3756" s="422"/>
    </row>
    <row r="3757" spans="2:2">
      <c r="B3757" s="422"/>
    </row>
    <row r="3758" spans="2:2">
      <c r="B3758" s="422"/>
    </row>
    <row r="3759" spans="2:2">
      <c r="B3759" s="422"/>
    </row>
    <row r="3760" spans="2:2">
      <c r="B3760" s="422"/>
    </row>
    <row r="3761" spans="2:2">
      <c r="B3761" s="422"/>
    </row>
    <row r="3762" spans="2:2">
      <c r="B3762" s="422"/>
    </row>
    <row r="3763" spans="2:2">
      <c r="B3763" s="422"/>
    </row>
    <row r="3764" spans="2:2">
      <c r="B3764" s="422"/>
    </row>
    <row r="3765" spans="2:2">
      <c r="B3765" s="422"/>
    </row>
    <row r="3766" spans="2:2">
      <c r="B3766" s="422"/>
    </row>
    <row r="3767" spans="2:2">
      <c r="B3767" s="422"/>
    </row>
    <row r="3768" spans="2:2">
      <c r="B3768" s="422"/>
    </row>
    <row r="3769" spans="2:2">
      <c r="B3769" s="422"/>
    </row>
    <row r="3770" spans="2:2">
      <c r="B3770" s="422"/>
    </row>
    <row r="3771" spans="2:2">
      <c r="B3771" s="422"/>
    </row>
    <row r="3772" spans="2:2">
      <c r="B3772" s="422"/>
    </row>
    <row r="3773" spans="2:2">
      <c r="B3773" s="422"/>
    </row>
    <row r="3774" spans="2:2">
      <c r="B3774" s="422"/>
    </row>
    <row r="3775" spans="2:2">
      <c r="B3775" s="422"/>
    </row>
    <row r="3776" spans="2:2">
      <c r="B3776" s="422"/>
    </row>
    <row r="3777" spans="2:2">
      <c r="B3777" s="422"/>
    </row>
    <row r="3778" spans="2:2">
      <c r="B3778" s="422"/>
    </row>
    <row r="3779" spans="2:2">
      <c r="B3779" s="422"/>
    </row>
    <row r="3780" spans="2:2">
      <c r="B3780" s="422"/>
    </row>
    <row r="3781" spans="2:2">
      <c r="B3781" s="422"/>
    </row>
    <row r="3782" spans="2:2">
      <c r="B3782" s="422"/>
    </row>
    <row r="3783" spans="2:2">
      <c r="B3783" s="422"/>
    </row>
    <row r="3784" spans="2:2">
      <c r="B3784" s="422"/>
    </row>
    <row r="3785" spans="2:2">
      <c r="B3785" s="422"/>
    </row>
    <row r="3786" spans="2:2">
      <c r="B3786" s="422"/>
    </row>
    <row r="3787" spans="2:2">
      <c r="B3787" s="422"/>
    </row>
    <row r="3788" spans="2:2">
      <c r="B3788" s="422"/>
    </row>
    <row r="3789" spans="2:2">
      <c r="B3789" s="422"/>
    </row>
    <row r="3790" spans="2:2">
      <c r="B3790" s="422"/>
    </row>
    <row r="3791" spans="2:2">
      <c r="B3791" s="422"/>
    </row>
    <row r="3792" spans="2:2">
      <c r="B3792" s="422"/>
    </row>
    <row r="3793" spans="2:2">
      <c r="B3793" s="422"/>
    </row>
    <row r="3794" spans="2:2">
      <c r="B3794" s="422"/>
    </row>
    <row r="3795" spans="2:2">
      <c r="B3795" s="422"/>
    </row>
    <row r="3796" spans="2:2">
      <c r="B3796" s="422"/>
    </row>
    <row r="3797" spans="2:2">
      <c r="B3797" s="422"/>
    </row>
    <row r="3798" spans="2:2">
      <c r="B3798" s="422"/>
    </row>
    <row r="3799" spans="2:2">
      <c r="B3799" s="422"/>
    </row>
    <row r="3800" spans="2:2">
      <c r="B3800" s="422"/>
    </row>
    <row r="3801" spans="2:2">
      <c r="B3801" s="422"/>
    </row>
    <row r="3802" spans="2:2">
      <c r="B3802" s="422"/>
    </row>
    <row r="3803" spans="2:2">
      <c r="B3803" s="422"/>
    </row>
    <row r="3804" spans="2:2">
      <c r="B3804" s="422"/>
    </row>
    <row r="3805" spans="2:2">
      <c r="B3805" s="422"/>
    </row>
    <row r="3806" spans="2:2">
      <c r="B3806" s="422"/>
    </row>
    <row r="3807" spans="2:2">
      <c r="B3807" s="422"/>
    </row>
    <row r="3808" spans="2:2">
      <c r="B3808" s="422"/>
    </row>
    <row r="3809" spans="2:2">
      <c r="B3809" s="422"/>
    </row>
    <row r="3810" spans="2:2">
      <c r="B3810" s="422"/>
    </row>
    <row r="3811" spans="2:2">
      <c r="B3811" s="422"/>
    </row>
    <row r="3812" spans="2:2">
      <c r="B3812" s="422"/>
    </row>
    <row r="3813" spans="2:2">
      <c r="B3813" s="422"/>
    </row>
    <row r="3814" spans="2:2">
      <c r="B3814" s="422"/>
    </row>
    <row r="3815" spans="2:2">
      <c r="B3815" s="422"/>
    </row>
    <row r="3816" spans="2:2">
      <c r="B3816" s="422"/>
    </row>
    <row r="3817" spans="2:2">
      <c r="B3817" s="422"/>
    </row>
    <row r="3818" spans="2:2">
      <c r="B3818" s="422"/>
    </row>
    <row r="3819" spans="2:2">
      <c r="B3819" s="422"/>
    </row>
    <row r="3820" spans="2:2">
      <c r="B3820" s="422"/>
    </row>
    <row r="3821" spans="2:2">
      <c r="B3821" s="422"/>
    </row>
    <row r="3822" spans="2:2">
      <c r="B3822" s="422"/>
    </row>
    <row r="3823" spans="2:2">
      <c r="B3823" s="422"/>
    </row>
    <row r="3824" spans="2:2">
      <c r="B3824" s="422"/>
    </row>
    <row r="3825" spans="2:2">
      <c r="B3825" s="422"/>
    </row>
    <row r="3826" spans="2:2">
      <c r="B3826" s="422"/>
    </row>
    <row r="3827" spans="2:2">
      <c r="B3827" s="422"/>
    </row>
    <row r="3828" spans="2:2">
      <c r="B3828" s="422"/>
    </row>
    <row r="3829" spans="2:2">
      <c r="B3829" s="422"/>
    </row>
    <row r="3830" spans="2:2">
      <c r="B3830" s="422"/>
    </row>
    <row r="3831" spans="2:2">
      <c r="B3831" s="422"/>
    </row>
    <row r="3832" spans="2:2">
      <c r="B3832" s="422"/>
    </row>
    <row r="3833" spans="2:2">
      <c r="B3833" s="422"/>
    </row>
    <row r="3834" spans="2:2">
      <c r="B3834" s="422"/>
    </row>
    <row r="3835" spans="2:2">
      <c r="B3835" s="422"/>
    </row>
    <row r="3836" spans="2:2">
      <c r="B3836" s="422"/>
    </row>
    <row r="3837" spans="2:2">
      <c r="B3837" s="422"/>
    </row>
    <row r="3838" spans="2:2">
      <c r="B3838" s="422"/>
    </row>
    <row r="3839" spans="2:2">
      <c r="B3839" s="422"/>
    </row>
    <row r="3840" spans="2:2">
      <c r="B3840" s="422"/>
    </row>
    <row r="3841" spans="2:2">
      <c r="B3841" s="422"/>
    </row>
    <row r="3842" spans="2:2">
      <c r="B3842" s="422"/>
    </row>
    <row r="3843" spans="2:2">
      <c r="B3843" s="422"/>
    </row>
    <row r="3844" spans="2:2">
      <c r="B3844" s="422"/>
    </row>
    <row r="3845" spans="2:2">
      <c r="B3845" s="422"/>
    </row>
    <row r="3846" spans="2:2">
      <c r="B3846" s="422"/>
    </row>
    <row r="3847" spans="2:2">
      <c r="B3847" s="422"/>
    </row>
    <row r="3848" spans="2:2">
      <c r="B3848" s="422"/>
    </row>
    <row r="3849" spans="2:2">
      <c r="B3849" s="422"/>
    </row>
    <row r="3850" spans="2:2">
      <c r="B3850" s="422"/>
    </row>
    <row r="3851" spans="2:2">
      <c r="B3851" s="422"/>
    </row>
    <row r="3852" spans="2:2">
      <c r="B3852" s="422"/>
    </row>
    <row r="3853" spans="2:2">
      <c r="B3853" s="422"/>
    </row>
    <row r="3854" spans="2:2">
      <c r="B3854" s="422"/>
    </row>
    <row r="3855" spans="2:2">
      <c r="B3855" s="422"/>
    </row>
    <row r="3856" spans="2:2">
      <c r="B3856" s="422"/>
    </row>
    <row r="3857" spans="2:2">
      <c r="B3857" s="422"/>
    </row>
    <row r="3858" spans="2:2">
      <c r="B3858" s="422"/>
    </row>
    <row r="3859" spans="2:2">
      <c r="B3859" s="422"/>
    </row>
    <row r="3860" spans="2:2">
      <c r="B3860" s="422"/>
    </row>
    <row r="3861" spans="2:2">
      <c r="B3861" s="422"/>
    </row>
    <row r="3862" spans="2:2">
      <c r="B3862" s="422"/>
    </row>
    <row r="3863" spans="2:2">
      <c r="B3863" s="422"/>
    </row>
    <row r="3864" spans="2:2">
      <c r="B3864" s="422"/>
    </row>
    <row r="3865" spans="2:2">
      <c r="B3865" s="422"/>
    </row>
    <row r="3866" spans="2:2">
      <c r="B3866" s="422"/>
    </row>
    <row r="3867" spans="2:2">
      <c r="B3867" s="422"/>
    </row>
    <row r="3868" spans="2:2">
      <c r="B3868" s="422"/>
    </row>
    <row r="3869" spans="2:2">
      <c r="B3869" s="422"/>
    </row>
    <row r="3870" spans="2:2">
      <c r="B3870" s="422"/>
    </row>
    <row r="3871" spans="2:2">
      <c r="B3871" s="422"/>
    </row>
    <row r="3872" spans="2:2">
      <c r="B3872" s="422"/>
    </row>
    <row r="3873" spans="2:2">
      <c r="B3873" s="422"/>
    </row>
    <row r="3874" spans="2:2">
      <c r="B3874" s="422"/>
    </row>
    <row r="3875" spans="2:2">
      <c r="B3875" s="422"/>
    </row>
    <row r="3876" spans="2:2">
      <c r="B3876" s="422"/>
    </row>
    <row r="3877" spans="2:2">
      <c r="B3877" s="422"/>
    </row>
    <row r="3878" spans="2:2">
      <c r="B3878" s="422"/>
    </row>
    <row r="3879" spans="2:2">
      <c r="B3879" s="422"/>
    </row>
    <row r="3880" spans="2:2">
      <c r="B3880" s="422"/>
    </row>
    <row r="3881" spans="2:2">
      <c r="B3881" s="422"/>
    </row>
    <row r="3882" spans="2:2">
      <c r="B3882" s="422"/>
    </row>
    <row r="3883" spans="2:2">
      <c r="B3883" s="422"/>
    </row>
    <row r="3884" spans="2:2">
      <c r="B3884" s="422"/>
    </row>
    <row r="3885" spans="2:2">
      <c r="B3885" s="422"/>
    </row>
    <row r="3886" spans="2:2">
      <c r="B3886" s="422"/>
    </row>
    <row r="3887" spans="2:2">
      <c r="B3887" s="422"/>
    </row>
    <row r="3888" spans="2:2">
      <c r="B3888" s="422"/>
    </row>
    <row r="3889" spans="2:2">
      <c r="B3889" s="422"/>
    </row>
    <row r="3890" spans="2:2">
      <c r="B3890" s="422"/>
    </row>
    <row r="3891" spans="2:2">
      <c r="B3891" s="422"/>
    </row>
    <row r="3892" spans="2:2">
      <c r="B3892" s="422"/>
    </row>
    <row r="3893" spans="2:2">
      <c r="B3893" s="422"/>
    </row>
    <row r="3894" spans="2:2">
      <c r="B3894" s="422"/>
    </row>
    <row r="3895" spans="2:2">
      <c r="B3895" s="422"/>
    </row>
    <row r="3896" spans="2:2">
      <c r="B3896" s="422"/>
    </row>
    <row r="3897" spans="2:2">
      <c r="B3897" s="422"/>
    </row>
    <row r="3898" spans="2:2">
      <c r="B3898" s="422"/>
    </row>
    <row r="3899" spans="2:2">
      <c r="B3899" s="422"/>
    </row>
    <row r="3900" spans="2:2">
      <c r="B3900" s="422"/>
    </row>
    <row r="3901" spans="2:2">
      <c r="B3901" s="422"/>
    </row>
    <row r="3902" spans="2:2">
      <c r="B3902" s="422"/>
    </row>
    <row r="3903" spans="2:2">
      <c r="B3903" s="422"/>
    </row>
    <row r="3904" spans="2:2">
      <c r="B3904" s="422"/>
    </row>
    <row r="3905" spans="2:2">
      <c r="B3905" s="422"/>
    </row>
    <row r="3906" spans="2:2">
      <c r="B3906" s="422"/>
    </row>
    <row r="3907" spans="2:2">
      <c r="B3907" s="422"/>
    </row>
    <row r="3908" spans="2:2">
      <c r="B3908" s="422"/>
    </row>
    <row r="3909" spans="2:2">
      <c r="B3909" s="422"/>
    </row>
    <row r="3910" spans="2:2">
      <c r="B3910" s="422"/>
    </row>
    <row r="3911" spans="2:2">
      <c r="B3911" s="422"/>
    </row>
    <row r="3912" spans="2:2">
      <c r="B3912" s="422"/>
    </row>
    <row r="3913" spans="2:2">
      <c r="B3913" s="422"/>
    </row>
    <row r="3914" spans="2:2">
      <c r="B3914" s="422"/>
    </row>
    <row r="3915" spans="2:2">
      <c r="B3915" s="422"/>
    </row>
    <row r="3916" spans="2:2">
      <c r="B3916" s="422"/>
    </row>
    <row r="3917" spans="2:2">
      <c r="B3917" s="422"/>
    </row>
    <row r="3918" spans="2:2">
      <c r="B3918" s="422"/>
    </row>
    <row r="3919" spans="2:2">
      <c r="B3919" s="422"/>
    </row>
    <row r="3920" spans="2:2">
      <c r="B3920" s="422"/>
    </row>
    <row r="3921" spans="2:2">
      <c r="B3921" s="422"/>
    </row>
    <row r="3922" spans="2:2">
      <c r="B3922" s="422"/>
    </row>
    <row r="3923" spans="2:2">
      <c r="B3923" s="422"/>
    </row>
    <row r="3924" spans="2:2">
      <c r="B3924" s="422"/>
    </row>
    <row r="3925" spans="2:2">
      <c r="B3925" s="422"/>
    </row>
    <row r="3926" spans="2:2">
      <c r="B3926" s="422"/>
    </row>
    <row r="3927" spans="2:2">
      <c r="B3927" s="422"/>
    </row>
    <row r="3928" spans="2:2">
      <c r="B3928" s="422"/>
    </row>
    <row r="3929" spans="2:2">
      <c r="B3929" s="422"/>
    </row>
    <row r="3930" spans="2:2">
      <c r="B3930" s="422"/>
    </row>
    <row r="3931" spans="2:2">
      <c r="B3931" s="422"/>
    </row>
    <row r="3932" spans="2:2">
      <c r="B3932" s="422"/>
    </row>
    <row r="3933" spans="2:2">
      <c r="B3933" s="422"/>
    </row>
    <row r="3934" spans="2:2">
      <c r="B3934" s="422"/>
    </row>
    <row r="3935" spans="2:2">
      <c r="B3935" s="422"/>
    </row>
    <row r="3936" spans="2:2">
      <c r="B3936" s="422"/>
    </row>
    <row r="3937" spans="2:2">
      <c r="B3937" s="422"/>
    </row>
    <row r="3938" spans="2:2">
      <c r="B3938" s="422"/>
    </row>
    <row r="3939" spans="2:2">
      <c r="B3939" s="422"/>
    </row>
    <row r="3940" spans="2:2">
      <c r="B3940" s="422"/>
    </row>
    <row r="3941" spans="2:2">
      <c r="B3941" s="422"/>
    </row>
    <row r="3942" spans="2:2">
      <c r="B3942" s="422"/>
    </row>
    <row r="3943" spans="2:2">
      <c r="B3943" s="422"/>
    </row>
    <row r="3944" spans="2:2">
      <c r="B3944" s="422"/>
    </row>
    <row r="3945" spans="2:2">
      <c r="B3945" s="422"/>
    </row>
    <row r="3946" spans="2:2">
      <c r="B3946" s="422"/>
    </row>
    <row r="3947" spans="2:2">
      <c r="B3947" s="422"/>
    </row>
    <row r="3948" spans="2:2">
      <c r="B3948" s="422"/>
    </row>
    <row r="3949" spans="2:2">
      <c r="B3949" s="422"/>
    </row>
    <row r="3950" spans="2:2">
      <c r="B3950" s="422"/>
    </row>
    <row r="3951" spans="2:2">
      <c r="B3951" s="422"/>
    </row>
    <row r="3952" spans="2:2">
      <c r="B3952" s="422"/>
    </row>
    <row r="3953" spans="2:2">
      <c r="B3953" s="422"/>
    </row>
    <row r="3954" spans="2:2">
      <c r="B3954" s="422"/>
    </row>
    <row r="3955" spans="2:2">
      <c r="B3955" s="422"/>
    </row>
    <row r="3956" spans="2:2">
      <c r="B3956" s="422"/>
    </row>
    <row r="3957" spans="2:2">
      <c r="B3957" s="422"/>
    </row>
    <row r="3958" spans="2:2">
      <c r="B3958" s="422"/>
    </row>
    <row r="3959" spans="2:2">
      <c r="B3959" s="422"/>
    </row>
    <row r="3960" spans="2:2">
      <c r="B3960" s="422"/>
    </row>
    <row r="3961" spans="2:2">
      <c r="B3961" s="422"/>
    </row>
    <row r="3962" spans="2:2">
      <c r="B3962" s="422"/>
    </row>
    <row r="3963" spans="2:2">
      <c r="B3963" s="422"/>
    </row>
    <row r="3964" spans="2:2">
      <c r="B3964" s="422"/>
    </row>
    <row r="3965" spans="2:2">
      <c r="B3965" s="422"/>
    </row>
    <row r="3966" spans="2:2">
      <c r="B3966" s="422"/>
    </row>
    <row r="3967" spans="2:2">
      <c r="B3967" s="422"/>
    </row>
    <row r="3968" spans="2:2">
      <c r="B3968" s="422"/>
    </row>
    <row r="3969" spans="2:2">
      <c r="B3969" s="422"/>
    </row>
    <row r="3970" spans="2:2">
      <c r="B3970" s="422"/>
    </row>
    <row r="3971" spans="2:2">
      <c r="B3971" s="422"/>
    </row>
    <row r="3972" spans="2:2">
      <c r="B3972" s="422"/>
    </row>
    <row r="3973" spans="2:2">
      <c r="B3973" s="422"/>
    </row>
    <row r="3974" spans="2:2">
      <c r="B3974" s="422"/>
    </row>
    <row r="3975" spans="2:2">
      <c r="B3975" s="422"/>
    </row>
    <row r="3976" spans="2:2">
      <c r="B3976" s="422"/>
    </row>
    <row r="3977" spans="2:2">
      <c r="B3977" s="422"/>
    </row>
    <row r="3978" spans="2:2">
      <c r="B3978" s="422"/>
    </row>
    <row r="3979" spans="2:2">
      <c r="B3979" s="422"/>
    </row>
    <row r="3980" spans="2:2">
      <c r="B3980" s="422"/>
    </row>
    <row r="3981" spans="2:2">
      <c r="B3981" s="422"/>
    </row>
    <row r="3982" spans="2:2">
      <c r="B3982" s="422"/>
    </row>
    <row r="3983" spans="2:2">
      <c r="B3983" s="422"/>
    </row>
    <row r="3984" spans="2:2">
      <c r="B3984" s="422"/>
    </row>
    <row r="3985" spans="2:2">
      <c r="B3985" s="422"/>
    </row>
    <row r="3986" spans="2:2">
      <c r="B3986" s="422"/>
    </row>
    <row r="3987" spans="2:2">
      <c r="B3987" s="422"/>
    </row>
    <row r="3988" spans="2:2">
      <c r="B3988" s="422"/>
    </row>
    <row r="3989" spans="2:2">
      <c r="B3989" s="422"/>
    </row>
    <row r="3990" spans="2:2">
      <c r="B3990" s="422"/>
    </row>
    <row r="3991" spans="2:2">
      <c r="B3991" s="422"/>
    </row>
    <row r="3992" spans="2:2">
      <c r="B3992" s="422"/>
    </row>
    <row r="3993" spans="2:2">
      <c r="B3993" s="422"/>
    </row>
    <row r="3994" spans="2:2">
      <c r="B3994" s="422"/>
    </row>
    <row r="3995" spans="2:2">
      <c r="B3995" s="422"/>
    </row>
    <row r="3996" spans="2:2">
      <c r="B3996" s="422"/>
    </row>
    <row r="3997" spans="2:2">
      <c r="B3997" s="422"/>
    </row>
    <row r="3998" spans="2:2">
      <c r="B3998" s="422"/>
    </row>
    <row r="3999" spans="2:2">
      <c r="B3999" s="422"/>
    </row>
    <row r="4000" spans="2:2">
      <c r="B4000" s="422"/>
    </row>
    <row r="4001" spans="2:2">
      <c r="B4001" s="422"/>
    </row>
    <row r="4002" spans="2:2">
      <c r="B4002" s="422"/>
    </row>
    <row r="4003" spans="2:2">
      <c r="B4003" s="422"/>
    </row>
    <row r="4004" spans="2:2">
      <c r="B4004" s="422"/>
    </row>
    <row r="4005" spans="2:2">
      <c r="B4005" s="422"/>
    </row>
    <row r="4006" spans="2:2">
      <c r="B4006" s="422"/>
    </row>
    <row r="4007" spans="2:2">
      <c r="B4007" s="422"/>
    </row>
    <row r="4008" spans="2:2">
      <c r="B4008" s="422"/>
    </row>
    <row r="4009" spans="2:2">
      <c r="B4009" s="422"/>
    </row>
    <row r="4010" spans="2:2">
      <c r="B4010" s="422"/>
    </row>
    <row r="4011" spans="2:2">
      <c r="B4011" s="422"/>
    </row>
    <row r="4012" spans="2:2">
      <c r="B4012" s="422"/>
    </row>
    <row r="4013" spans="2:2">
      <c r="B4013" s="422"/>
    </row>
    <row r="4014" spans="2:2">
      <c r="B4014" s="422"/>
    </row>
    <row r="4015" spans="2:2">
      <c r="B4015" s="422"/>
    </row>
    <row r="4016" spans="2:2">
      <c r="B4016" s="422"/>
    </row>
    <row r="4017" spans="2:2">
      <c r="B4017" s="422"/>
    </row>
    <row r="4018" spans="2:2">
      <c r="B4018" s="422"/>
    </row>
    <row r="4019" spans="2:2">
      <c r="B4019" s="422"/>
    </row>
    <row r="4020" spans="2:2">
      <c r="B4020" s="422"/>
    </row>
    <row r="4021" spans="2:2">
      <c r="B4021" s="422"/>
    </row>
    <row r="4022" spans="2:2">
      <c r="B4022" s="422"/>
    </row>
    <row r="4023" spans="2:2">
      <c r="B4023" s="422"/>
    </row>
    <row r="4024" spans="2:2">
      <c r="B4024" s="422"/>
    </row>
    <row r="4025" spans="2:2">
      <c r="B4025" s="422"/>
    </row>
    <row r="4026" spans="2:2">
      <c r="B4026" s="422"/>
    </row>
    <row r="4027" spans="2:2">
      <c r="B4027" s="422"/>
    </row>
    <row r="4028" spans="2:2">
      <c r="B4028" s="422"/>
    </row>
    <row r="4029" spans="2:2">
      <c r="B4029" s="422"/>
    </row>
    <row r="4030" spans="2:2">
      <c r="B4030" s="422"/>
    </row>
    <row r="4031" spans="2:2">
      <c r="B4031" s="422"/>
    </row>
    <row r="4032" spans="2:2">
      <c r="B4032" s="422"/>
    </row>
    <row r="4033" spans="2:2">
      <c r="B4033" s="422"/>
    </row>
    <row r="4034" spans="2:2">
      <c r="B4034" s="422"/>
    </row>
    <row r="4035" spans="2:2">
      <c r="B4035" s="422"/>
    </row>
    <row r="4036" spans="2:2">
      <c r="B4036" s="422"/>
    </row>
    <row r="4037" spans="2:2">
      <c r="B4037" s="422"/>
    </row>
    <row r="4038" spans="2:2">
      <c r="B4038" s="422"/>
    </row>
    <row r="4039" spans="2:2">
      <c r="B4039" s="422"/>
    </row>
    <row r="4040" spans="2:2">
      <c r="B4040" s="422"/>
    </row>
    <row r="4041" spans="2:2">
      <c r="B4041" s="422"/>
    </row>
    <row r="4042" spans="2:2">
      <c r="B4042" s="422"/>
    </row>
    <row r="4043" spans="2:2">
      <c r="B4043" s="422"/>
    </row>
    <row r="4044" spans="2:2">
      <c r="B4044" s="422"/>
    </row>
    <row r="4045" spans="2:2">
      <c r="B4045" s="422"/>
    </row>
    <row r="4046" spans="2:2">
      <c r="B4046" s="422"/>
    </row>
    <row r="4047" spans="2:2">
      <c r="B4047" s="422"/>
    </row>
    <row r="4048" spans="2:2">
      <c r="B4048" s="422"/>
    </row>
    <row r="4049" spans="2:2">
      <c r="B4049" s="422"/>
    </row>
    <row r="4050" spans="2:2">
      <c r="B4050" s="422"/>
    </row>
    <row r="4051" spans="2:2">
      <c r="B4051" s="422"/>
    </row>
    <row r="4052" spans="2:2">
      <c r="B4052" s="422"/>
    </row>
    <row r="4053" spans="2:2">
      <c r="B4053" s="422"/>
    </row>
    <row r="4054" spans="2:2">
      <c r="B4054" s="422"/>
    </row>
    <row r="4055" spans="2:2">
      <c r="B4055" s="422"/>
    </row>
    <row r="4056" spans="2:2">
      <c r="B4056" s="422"/>
    </row>
    <row r="4057" spans="2:2">
      <c r="B4057" s="422"/>
    </row>
    <row r="4058" spans="2:2">
      <c r="B4058" s="422"/>
    </row>
    <row r="4059" spans="2:2">
      <c r="B4059" s="422"/>
    </row>
    <row r="4060" spans="2:2">
      <c r="B4060" s="422"/>
    </row>
    <row r="4061" spans="2:2">
      <c r="B4061" s="422"/>
    </row>
    <row r="4062" spans="2:2">
      <c r="B4062" s="422"/>
    </row>
    <row r="4063" spans="2:2">
      <c r="B4063" s="422"/>
    </row>
    <row r="4064" spans="2:2">
      <c r="B4064" s="422"/>
    </row>
    <row r="4065" spans="2:2">
      <c r="B4065" s="422"/>
    </row>
    <row r="4066" spans="2:2">
      <c r="B4066" s="422"/>
    </row>
    <row r="4067" spans="2:2">
      <c r="B4067" s="422"/>
    </row>
    <row r="4068" spans="2:2">
      <c r="B4068" s="422"/>
    </row>
    <row r="4069" spans="2:2">
      <c r="B4069" s="422"/>
    </row>
    <row r="4070" spans="2:2">
      <c r="B4070" s="422"/>
    </row>
    <row r="4071" spans="2:2">
      <c r="B4071" s="422"/>
    </row>
    <row r="4072" spans="2:2">
      <c r="B4072" s="422"/>
    </row>
    <row r="4073" spans="2:2">
      <c r="B4073" s="422"/>
    </row>
    <row r="4074" spans="2:2">
      <c r="B4074" s="422"/>
    </row>
    <row r="4075" spans="2:2">
      <c r="B4075" s="422"/>
    </row>
    <row r="4076" spans="2:2">
      <c r="B4076" s="422"/>
    </row>
    <row r="4077" spans="2:2">
      <c r="B4077" s="422"/>
    </row>
    <row r="4078" spans="2:2">
      <c r="B4078" s="422"/>
    </row>
    <row r="4079" spans="2:2">
      <c r="B4079" s="422"/>
    </row>
    <row r="4080" spans="2:2">
      <c r="B4080" s="422"/>
    </row>
    <row r="4081" spans="2:2">
      <c r="B4081" s="422"/>
    </row>
    <row r="4082" spans="2:2">
      <c r="B4082" s="422"/>
    </row>
    <row r="4083" spans="2:2">
      <c r="B4083" s="422"/>
    </row>
    <row r="4084" spans="2:2">
      <c r="B4084" s="422"/>
    </row>
    <row r="4085" spans="2:2">
      <c r="B4085" s="422"/>
    </row>
    <row r="4086" spans="2:2">
      <c r="B4086" s="422"/>
    </row>
    <row r="4087" spans="2:2">
      <c r="B4087" s="422"/>
    </row>
    <row r="4088" spans="2:2">
      <c r="B4088" s="422"/>
    </row>
    <row r="4089" spans="2:2">
      <c r="B4089" s="422"/>
    </row>
    <row r="4090" spans="2:2">
      <c r="B4090" s="422"/>
    </row>
    <row r="4091" spans="2:2">
      <c r="B4091" s="422"/>
    </row>
    <row r="4092" spans="2:2">
      <c r="B4092" s="422"/>
    </row>
    <row r="4093" spans="2:2">
      <c r="B4093" s="422"/>
    </row>
    <row r="4094" spans="2:2">
      <c r="B4094" s="422"/>
    </row>
    <row r="4095" spans="2:2">
      <c r="B4095" s="422"/>
    </row>
    <row r="4096" spans="2:2">
      <c r="B4096" s="422"/>
    </row>
    <row r="4097" spans="2:2">
      <c r="B4097" s="422"/>
    </row>
    <row r="4098" spans="2:2">
      <c r="B4098" s="422"/>
    </row>
    <row r="4099" spans="2:2">
      <c r="B4099" s="422"/>
    </row>
    <row r="4100" spans="2:2">
      <c r="B4100" s="422"/>
    </row>
    <row r="4101" spans="2:2">
      <c r="B4101" s="422"/>
    </row>
    <row r="4102" spans="2:2">
      <c r="B4102" s="422"/>
    </row>
    <row r="4103" spans="2:2">
      <c r="B4103" s="422"/>
    </row>
    <row r="4104" spans="2:2">
      <c r="B4104" s="422"/>
    </row>
    <row r="4105" spans="2:2">
      <c r="B4105" s="422"/>
    </row>
    <row r="4106" spans="2:2">
      <c r="B4106" s="422"/>
    </row>
    <row r="4107" spans="2:2">
      <c r="B4107" s="422"/>
    </row>
    <row r="4108" spans="2:2">
      <c r="B4108" s="422"/>
    </row>
    <row r="4109" spans="2:2">
      <c r="B4109" s="422"/>
    </row>
    <row r="4110" spans="2:2">
      <c r="B4110" s="422"/>
    </row>
    <row r="4111" spans="2:2">
      <c r="B4111" s="422"/>
    </row>
    <row r="4112" spans="2:2">
      <c r="B4112" s="422"/>
    </row>
    <row r="4113" spans="2:2">
      <c r="B4113" s="422"/>
    </row>
    <row r="4114" spans="2:2">
      <c r="B4114" s="422"/>
    </row>
    <row r="4115" spans="2:2">
      <c r="B4115" s="422"/>
    </row>
    <row r="4116" spans="2:2">
      <c r="B4116" s="422"/>
    </row>
    <row r="4117" spans="2:2">
      <c r="B4117" s="422"/>
    </row>
    <row r="4118" spans="2:2">
      <c r="B4118" s="422"/>
    </row>
    <row r="4119" spans="2:2">
      <c r="B4119" s="422"/>
    </row>
    <row r="4120" spans="2:2">
      <c r="B4120" s="422"/>
    </row>
    <row r="4121" spans="2:2">
      <c r="B4121" s="422"/>
    </row>
    <row r="4122" spans="2:2">
      <c r="B4122" s="422"/>
    </row>
    <row r="4123" spans="2:2">
      <c r="B4123" s="422"/>
    </row>
    <row r="4124" spans="2:2">
      <c r="B4124" s="422"/>
    </row>
    <row r="4125" spans="2:2">
      <c r="B4125" s="422"/>
    </row>
    <row r="4126" spans="2:2">
      <c r="B4126" s="422"/>
    </row>
    <row r="4127" spans="2:2">
      <c r="B4127" s="422"/>
    </row>
    <row r="4128" spans="2:2">
      <c r="B4128" s="422"/>
    </row>
    <row r="4129" spans="2:2">
      <c r="B4129" s="422"/>
    </row>
    <row r="4130" spans="2:2">
      <c r="B4130" s="422"/>
    </row>
    <row r="4131" spans="2:2">
      <c r="B4131" s="422"/>
    </row>
    <row r="4132" spans="2:2">
      <c r="B4132" s="422"/>
    </row>
    <row r="4133" spans="2:2">
      <c r="B4133" s="422"/>
    </row>
    <row r="4134" spans="2:2">
      <c r="B4134" s="422"/>
    </row>
    <row r="4135" spans="2:2">
      <c r="B4135" s="422"/>
    </row>
    <row r="4136" spans="2:2">
      <c r="B4136" s="422"/>
    </row>
    <row r="4137" spans="2:2">
      <c r="B4137" s="422"/>
    </row>
    <row r="4138" spans="2:2">
      <c r="B4138" s="422"/>
    </row>
    <row r="4139" spans="2:2">
      <c r="B4139" s="422"/>
    </row>
    <row r="4140" spans="2:2">
      <c r="B4140" s="422"/>
    </row>
    <row r="4141" spans="2:2">
      <c r="B4141" s="422"/>
    </row>
    <row r="4142" spans="2:2">
      <c r="B4142" s="422"/>
    </row>
    <row r="4143" spans="2:2">
      <c r="B4143" s="422"/>
    </row>
    <row r="4144" spans="2:2">
      <c r="B4144" s="422"/>
    </row>
    <row r="4145" spans="2:2">
      <c r="B4145" s="422"/>
    </row>
    <row r="4146" spans="2:2">
      <c r="B4146" s="422"/>
    </row>
    <row r="4147" spans="2:2">
      <c r="B4147" s="422"/>
    </row>
    <row r="4148" spans="2:2">
      <c r="B4148" s="422"/>
    </row>
    <row r="4149" spans="2:2">
      <c r="B4149" s="422"/>
    </row>
    <row r="4150" spans="2:2">
      <c r="B4150" s="422"/>
    </row>
    <row r="4151" spans="2:2">
      <c r="B4151" s="422"/>
    </row>
    <row r="4152" spans="2:2">
      <c r="B4152" s="422"/>
    </row>
    <row r="4153" spans="2:2">
      <c r="B4153" s="422"/>
    </row>
    <row r="4154" spans="2:2">
      <c r="B4154" s="422"/>
    </row>
    <row r="4155" spans="2:2">
      <c r="B4155" s="422"/>
    </row>
    <row r="4156" spans="2:2">
      <c r="B4156" s="422"/>
    </row>
    <row r="4157" spans="2:2">
      <c r="B4157" s="422"/>
    </row>
    <row r="4158" spans="2:2">
      <c r="B4158" s="422"/>
    </row>
    <row r="4159" spans="2:2">
      <c r="B4159" s="422"/>
    </row>
    <row r="4160" spans="2:2">
      <c r="B4160" s="422"/>
    </row>
    <row r="4161" spans="2:2">
      <c r="B4161" s="422"/>
    </row>
    <row r="4162" spans="2:2">
      <c r="B4162" s="422"/>
    </row>
    <row r="4163" spans="2:2">
      <c r="B4163" s="422"/>
    </row>
    <row r="4164" spans="2:2">
      <c r="B4164" s="422"/>
    </row>
    <row r="4165" spans="2:2">
      <c r="B4165" s="422"/>
    </row>
    <row r="4166" spans="2:2">
      <c r="B4166" s="422"/>
    </row>
    <row r="4167" spans="2:2">
      <c r="B4167" s="422"/>
    </row>
    <row r="4168" spans="2:2">
      <c r="B4168" s="422"/>
    </row>
    <row r="4169" spans="2:2">
      <c r="B4169" s="422"/>
    </row>
    <row r="4170" spans="2:2">
      <c r="B4170" s="422"/>
    </row>
    <row r="4171" spans="2:2">
      <c r="B4171" s="422"/>
    </row>
    <row r="4172" spans="2:2">
      <c r="B4172" s="422"/>
    </row>
    <row r="4173" spans="2:2">
      <c r="B4173" s="422"/>
    </row>
    <row r="4174" spans="2:2">
      <c r="B4174" s="422"/>
    </row>
    <row r="4175" spans="2:2">
      <c r="B4175" s="422"/>
    </row>
    <row r="4176" spans="2:2">
      <c r="B4176" s="422"/>
    </row>
    <row r="4177" spans="2:2">
      <c r="B4177" s="422"/>
    </row>
    <row r="4178" spans="2:2">
      <c r="B4178" s="422"/>
    </row>
    <row r="4179" spans="2:2">
      <c r="B4179" s="422"/>
    </row>
    <row r="4180" spans="2:2">
      <c r="B4180" s="422"/>
    </row>
    <row r="4181" spans="2:2">
      <c r="B4181" s="422"/>
    </row>
    <row r="4182" spans="2:2">
      <c r="B4182" s="422"/>
    </row>
    <row r="4183" spans="2:2">
      <c r="B4183" s="422"/>
    </row>
    <row r="4184" spans="2:2">
      <c r="B4184" s="422"/>
    </row>
    <row r="4185" spans="2:2">
      <c r="B4185" s="422"/>
    </row>
    <row r="4186" spans="2:2">
      <c r="B4186" s="422"/>
    </row>
    <row r="4187" spans="2:2">
      <c r="B4187" s="422"/>
    </row>
    <row r="4188" spans="2:2">
      <c r="B4188" s="422"/>
    </row>
    <row r="4189" spans="2:2">
      <c r="B4189" s="422"/>
    </row>
    <row r="4190" spans="2:2">
      <c r="B4190" s="422"/>
    </row>
    <row r="4191" spans="2:2">
      <c r="B4191" s="422"/>
    </row>
    <row r="4192" spans="2:2">
      <c r="B4192" s="422"/>
    </row>
    <row r="4193" spans="2:2">
      <c r="B4193" s="422"/>
    </row>
    <row r="4194" spans="2:2">
      <c r="B4194" s="422"/>
    </row>
    <row r="4195" spans="2:2">
      <c r="B4195" s="422"/>
    </row>
    <row r="4196" spans="2:2">
      <c r="B4196" s="422"/>
    </row>
    <row r="4197" spans="2:2">
      <c r="B4197" s="422"/>
    </row>
    <row r="4198" spans="2:2">
      <c r="B4198" s="422"/>
    </row>
    <row r="4199" spans="2:2">
      <c r="B4199" s="422"/>
    </row>
    <row r="4200" spans="2:2">
      <c r="B4200" s="422"/>
    </row>
    <row r="4201" spans="2:2">
      <c r="B4201" s="422"/>
    </row>
    <row r="4202" spans="2:2">
      <c r="B4202" s="422"/>
    </row>
    <row r="4203" spans="2:2">
      <c r="B4203" s="422"/>
    </row>
    <row r="4204" spans="2:2">
      <c r="B4204" s="422"/>
    </row>
    <row r="4205" spans="2:2">
      <c r="B4205" s="422"/>
    </row>
    <row r="4206" spans="2:2">
      <c r="B4206" s="422"/>
    </row>
    <row r="4207" spans="2:2">
      <c r="B4207" s="422"/>
    </row>
    <row r="4208" spans="2:2">
      <c r="B4208" s="422"/>
    </row>
    <row r="4209" spans="2:2">
      <c r="B4209" s="422"/>
    </row>
    <row r="4210" spans="2:2">
      <c r="B4210" s="422"/>
    </row>
    <row r="4211" spans="2:2">
      <c r="B4211" s="422"/>
    </row>
    <row r="4212" spans="2:2">
      <c r="B4212" s="422"/>
    </row>
    <row r="4213" spans="2:2">
      <c r="B4213" s="422"/>
    </row>
    <row r="4214" spans="2:2">
      <c r="B4214" s="422"/>
    </row>
    <row r="4215" spans="2:2">
      <c r="B4215" s="422"/>
    </row>
    <row r="4216" spans="2:2">
      <c r="B4216" s="422"/>
    </row>
    <row r="4217" spans="2:2">
      <c r="B4217" s="422"/>
    </row>
    <row r="4218" spans="2:2">
      <c r="B4218" s="422"/>
    </row>
    <row r="4219" spans="2:2">
      <c r="B4219" s="422"/>
    </row>
    <row r="4220" spans="2:2">
      <c r="B4220" s="422"/>
    </row>
    <row r="4221" spans="2:2">
      <c r="B4221" s="422"/>
    </row>
    <row r="4222" spans="2:2">
      <c r="B4222" s="422"/>
    </row>
    <row r="4223" spans="2:2">
      <c r="B4223" s="422"/>
    </row>
    <row r="4224" spans="2:2">
      <c r="B4224" s="422"/>
    </row>
    <row r="4225" spans="2:2">
      <c r="B4225" s="422"/>
    </row>
    <row r="4226" spans="2:2">
      <c r="B4226" s="422"/>
    </row>
    <row r="4227" spans="2:2">
      <c r="B4227" s="422"/>
    </row>
    <row r="4228" spans="2:2">
      <c r="B4228" s="422"/>
    </row>
    <row r="4229" spans="2:2">
      <c r="B4229" s="422"/>
    </row>
    <row r="4230" spans="2:2">
      <c r="B4230" s="422"/>
    </row>
    <row r="4231" spans="2:2">
      <c r="B4231" s="422"/>
    </row>
    <row r="4232" spans="2:2">
      <c r="B4232" s="422"/>
    </row>
    <row r="4233" spans="2:2">
      <c r="B4233" s="422"/>
    </row>
    <row r="4234" spans="2:2">
      <c r="B4234" s="422"/>
    </row>
    <row r="4235" spans="2:2">
      <c r="B4235" s="422"/>
    </row>
    <row r="4236" spans="2:2">
      <c r="B4236" s="422"/>
    </row>
    <row r="4237" spans="2:2">
      <c r="B4237" s="422"/>
    </row>
    <row r="4238" spans="2:2">
      <c r="B4238" s="422"/>
    </row>
    <row r="4239" spans="2:2">
      <c r="B4239" s="422"/>
    </row>
    <row r="4240" spans="2:2">
      <c r="B4240" s="422"/>
    </row>
    <row r="4241" spans="2:2">
      <c r="B4241" s="422"/>
    </row>
    <row r="4242" spans="2:2">
      <c r="B4242" s="422"/>
    </row>
    <row r="4243" spans="2:2">
      <c r="B4243" s="422"/>
    </row>
    <row r="4244" spans="2:2">
      <c r="B4244" s="422"/>
    </row>
    <row r="4245" spans="2:2">
      <c r="B4245" s="422"/>
    </row>
    <row r="4246" spans="2:2">
      <c r="B4246" s="422"/>
    </row>
    <row r="4247" spans="2:2">
      <c r="B4247" s="422"/>
    </row>
    <row r="4248" spans="2:2">
      <c r="B4248" s="422"/>
    </row>
    <row r="4249" spans="2:2">
      <c r="B4249" s="422"/>
    </row>
    <row r="4250" spans="2:2">
      <c r="B4250" s="422"/>
    </row>
    <row r="4251" spans="2:2">
      <c r="B4251" s="422"/>
    </row>
    <row r="4252" spans="2:2">
      <c r="B4252" s="422"/>
    </row>
    <row r="4253" spans="2:2">
      <c r="B4253" s="422"/>
    </row>
    <row r="4254" spans="2:2">
      <c r="B4254" s="422"/>
    </row>
    <row r="4255" spans="2:2">
      <c r="B4255" s="422"/>
    </row>
    <row r="4256" spans="2:2">
      <c r="B4256" s="422"/>
    </row>
    <row r="4257" spans="2:2">
      <c r="B4257" s="422"/>
    </row>
    <row r="4258" spans="2:2">
      <c r="B4258" s="422"/>
    </row>
    <row r="4259" spans="2:2">
      <c r="B4259" s="422"/>
    </row>
    <row r="4260" spans="2:2">
      <c r="B4260" s="422"/>
    </row>
    <row r="4261" spans="2:2">
      <c r="B4261" s="422"/>
    </row>
    <row r="4262" spans="2:2">
      <c r="B4262" s="422"/>
    </row>
    <row r="4263" spans="2:2">
      <c r="B4263" s="422"/>
    </row>
    <row r="4264" spans="2:2">
      <c r="B4264" s="422"/>
    </row>
    <row r="4265" spans="2:2">
      <c r="B4265" s="422"/>
    </row>
    <row r="4266" spans="2:2">
      <c r="B4266" s="422"/>
    </row>
    <row r="4267" spans="2:2">
      <c r="B4267" s="422"/>
    </row>
    <row r="4268" spans="2:2">
      <c r="B4268" s="422"/>
    </row>
    <row r="4269" spans="2:2">
      <c r="B4269" s="422"/>
    </row>
    <row r="4270" spans="2:2">
      <c r="B4270" s="422"/>
    </row>
    <row r="4271" spans="2:2">
      <c r="B4271" s="422"/>
    </row>
    <row r="4272" spans="2:2">
      <c r="B4272" s="422"/>
    </row>
    <row r="4273" spans="2:2">
      <c r="B4273" s="422"/>
    </row>
    <row r="4274" spans="2:2">
      <c r="B4274" s="422"/>
    </row>
    <row r="4275" spans="2:2">
      <c r="B4275" s="422"/>
    </row>
    <row r="4276" spans="2:2">
      <c r="B4276" s="422"/>
    </row>
    <row r="4277" spans="2:2">
      <c r="B4277" s="422"/>
    </row>
    <row r="4278" spans="2:2">
      <c r="B4278" s="422"/>
    </row>
    <row r="4279" spans="2:2">
      <c r="B4279" s="422"/>
    </row>
    <row r="4280" spans="2:2">
      <c r="B4280" s="422"/>
    </row>
    <row r="4281" spans="2:2">
      <c r="B4281" s="422"/>
    </row>
    <row r="4282" spans="2:2">
      <c r="B4282" s="422"/>
    </row>
    <row r="4283" spans="2:2">
      <c r="B4283" s="422"/>
    </row>
    <row r="4284" spans="2:2">
      <c r="B4284" s="422"/>
    </row>
    <row r="4285" spans="2:2">
      <c r="B4285" s="422"/>
    </row>
    <row r="4286" spans="2:2">
      <c r="B4286" s="422"/>
    </row>
    <row r="4287" spans="2:2">
      <c r="B4287" s="422"/>
    </row>
    <row r="4288" spans="2:2">
      <c r="B4288" s="422"/>
    </row>
    <row r="4289" spans="2:2">
      <c r="B4289" s="422"/>
    </row>
    <row r="4290" spans="2:2">
      <c r="B4290" s="422"/>
    </row>
    <row r="4291" spans="2:2">
      <c r="B4291" s="422"/>
    </row>
    <row r="4292" spans="2:2">
      <c r="B4292" s="422"/>
    </row>
    <row r="4293" spans="2:2">
      <c r="B4293" s="422"/>
    </row>
    <row r="4294" spans="2:2">
      <c r="B4294" s="422"/>
    </row>
    <row r="4295" spans="2:2">
      <c r="B4295" s="422"/>
    </row>
    <row r="4296" spans="2:2">
      <c r="B4296" s="422"/>
    </row>
    <row r="4297" spans="2:2">
      <c r="B4297" s="422"/>
    </row>
    <row r="4298" spans="2:2">
      <c r="B4298" s="422"/>
    </row>
    <row r="4299" spans="2:2">
      <c r="B4299" s="422"/>
    </row>
    <row r="4300" spans="2:2">
      <c r="B4300" s="422"/>
    </row>
    <row r="4301" spans="2:2">
      <c r="B4301" s="422"/>
    </row>
    <row r="4302" spans="2:2">
      <c r="B4302" s="422"/>
    </row>
    <row r="4303" spans="2:2">
      <c r="B4303" s="422"/>
    </row>
    <row r="4304" spans="2:2">
      <c r="B4304" s="422"/>
    </row>
    <row r="4305" spans="2:2">
      <c r="B4305" s="422"/>
    </row>
    <row r="4306" spans="2:2">
      <c r="B4306" s="422"/>
    </row>
    <row r="4307" spans="2:2">
      <c r="B4307" s="422"/>
    </row>
    <row r="4308" spans="2:2">
      <c r="B4308" s="422"/>
    </row>
    <row r="4309" spans="2:2">
      <c r="B4309" s="422"/>
    </row>
    <row r="4310" spans="2:2">
      <c r="B4310" s="422"/>
    </row>
    <row r="4311" spans="2:2">
      <c r="B4311" s="422"/>
    </row>
    <row r="4312" spans="2:2">
      <c r="B4312" s="422"/>
    </row>
    <row r="4313" spans="2:2">
      <c r="B4313" s="422"/>
    </row>
    <row r="4314" spans="2:2">
      <c r="B4314" s="422"/>
    </row>
    <row r="4315" spans="2:2">
      <c r="B4315" s="422"/>
    </row>
    <row r="4316" spans="2:2">
      <c r="B4316" s="422"/>
    </row>
    <row r="4317" spans="2:2">
      <c r="B4317" s="422"/>
    </row>
    <row r="4318" spans="2:2">
      <c r="B4318" s="422"/>
    </row>
    <row r="4319" spans="2:2">
      <c r="B4319" s="422"/>
    </row>
    <row r="4320" spans="2:2">
      <c r="B4320" s="422"/>
    </row>
    <row r="4321" spans="2:2">
      <c r="B4321" s="422"/>
    </row>
    <row r="4322" spans="2:2">
      <c r="B4322" s="422"/>
    </row>
    <row r="4323" spans="2:2">
      <c r="B4323" s="422"/>
    </row>
    <row r="4324" spans="2:2">
      <c r="B4324" s="422"/>
    </row>
    <row r="4325" spans="2:2">
      <c r="B4325" s="422"/>
    </row>
    <row r="4326" spans="2:2">
      <c r="B4326" s="422"/>
    </row>
    <row r="4327" spans="2:2">
      <c r="B4327" s="422"/>
    </row>
    <row r="4328" spans="2:2">
      <c r="B4328" s="422"/>
    </row>
    <row r="4329" spans="2:2">
      <c r="B4329" s="422"/>
    </row>
    <row r="4330" spans="2:2">
      <c r="B4330" s="422"/>
    </row>
    <row r="4331" spans="2:2">
      <c r="B4331" s="422"/>
    </row>
    <row r="4332" spans="2:2">
      <c r="B4332" s="422"/>
    </row>
    <row r="4333" spans="2:2">
      <c r="B4333" s="422"/>
    </row>
    <row r="4334" spans="2:2">
      <c r="B4334" s="422"/>
    </row>
    <row r="4335" spans="2:2">
      <c r="B4335" s="422"/>
    </row>
    <row r="4336" spans="2:2">
      <c r="B4336" s="422"/>
    </row>
    <row r="4337" spans="2:2">
      <c r="B4337" s="422"/>
    </row>
    <row r="4338" spans="2:2">
      <c r="B4338" s="422"/>
    </row>
    <row r="4339" spans="2:2">
      <c r="B4339" s="422"/>
    </row>
    <row r="4340" spans="2:2">
      <c r="B4340" s="422"/>
    </row>
    <row r="4341" spans="2:2">
      <c r="B4341" s="422"/>
    </row>
    <row r="4342" spans="2:2">
      <c r="B4342" s="422"/>
    </row>
    <row r="4343" spans="2:2">
      <c r="B4343" s="422"/>
    </row>
    <row r="4344" spans="2:2">
      <c r="B4344" s="422"/>
    </row>
    <row r="4345" spans="2:2">
      <c r="B4345" s="422"/>
    </row>
    <row r="4346" spans="2:2">
      <c r="B4346" s="422"/>
    </row>
    <row r="4347" spans="2:2">
      <c r="B4347" s="422"/>
    </row>
    <row r="4348" spans="2:2">
      <c r="B4348" s="422"/>
    </row>
    <row r="4349" spans="2:2">
      <c r="B4349" s="422"/>
    </row>
    <row r="4350" spans="2:2">
      <c r="B4350" s="422"/>
    </row>
    <row r="4351" spans="2:2">
      <c r="B4351" s="422"/>
    </row>
    <row r="4352" spans="2:2">
      <c r="B4352" s="422"/>
    </row>
    <row r="4353" spans="2:2">
      <c r="B4353" s="422"/>
    </row>
    <row r="4354" spans="2:2">
      <c r="B4354" s="422"/>
    </row>
    <row r="4355" spans="2:2">
      <c r="B4355" s="422"/>
    </row>
    <row r="4356" spans="2:2">
      <c r="B4356" s="422"/>
    </row>
    <row r="4357" spans="2:2">
      <c r="B4357" s="422"/>
    </row>
    <row r="4358" spans="2:2">
      <c r="B4358" s="422"/>
    </row>
    <row r="4359" spans="2:2">
      <c r="B4359" s="422"/>
    </row>
    <row r="4360" spans="2:2">
      <c r="B4360" s="422"/>
    </row>
    <row r="4361" spans="2:2">
      <c r="B4361" s="422"/>
    </row>
    <row r="4362" spans="2:2">
      <c r="B4362" s="422"/>
    </row>
    <row r="4363" spans="2:2">
      <c r="B4363" s="422"/>
    </row>
    <row r="4364" spans="2:2">
      <c r="B4364" s="422"/>
    </row>
    <row r="4365" spans="2:2">
      <c r="B4365" s="422"/>
    </row>
    <row r="4366" spans="2:2">
      <c r="B4366" s="422"/>
    </row>
    <row r="4367" spans="2:2">
      <c r="B4367" s="422"/>
    </row>
    <row r="4368" spans="2:2">
      <c r="B4368" s="422"/>
    </row>
    <row r="4369" spans="2:2">
      <c r="B4369" s="422"/>
    </row>
    <row r="4370" spans="2:2">
      <c r="B4370" s="422"/>
    </row>
    <row r="4371" spans="2:2">
      <c r="B4371" s="422"/>
    </row>
    <row r="4372" spans="2:2">
      <c r="B4372" s="422"/>
    </row>
    <row r="4373" spans="2:2">
      <c r="B4373" s="422"/>
    </row>
    <row r="4374" spans="2:2">
      <c r="B4374" s="422"/>
    </row>
    <row r="4375" spans="2:2">
      <c r="B4375" s="422"/>
    </row>
    <row r="4376" spans="2:2">
      <c r="B4376" s="422"/>
    </row>
    <row r="4377" spans="2:2">
      <c r="B4377" s="422"/>
    </row>
    <row r="4378" spans="2:2">
      <c r="B4378" s="422"/>
    </row>
    <row r="4379" spans="2:2">
      <c r="B4379" s="422"/>
    </row>
    <row r="4380" spans="2:2">
      <c r="B4380" s="422"/>
    </row>
    <row r="4381" spans="2:2">
      <c r="B4381" s="422"/>
    </row>
    <row r="4382" spans="2:2">
      <c r="B4382" s="422"/>
    </row>
    <row r="4383" spans="2:2">
      <c r="B4383" s="422"/>
    </row>
    <row r="4384" spans="2:2">
      <c r="B4384" s="422"/>
    </row>
    <row r="4385" spans="2:2">
      <c r="B4385" s="422"/>
    </row>
    <row r="4386" spans="2:2">
      <c r="B4386" s="422"/>
    </row>
    <row r="4387" spans="2:2">
      <c r="B4387" s="422"/>
    </row>
    <row r="4388" spans="2:2">
      <c r="B4388" s="422"/>
    </row>
    <row r="4389" spans="2:2">
      <c r="B4389" s="422"/>
    </row>
    <row r="4390" spans="2:2">
      <c r="B4390" s="422"/>
    </row>
    <row r="4391" spans="2:2">
      <c r="B4391" s="422"/>
    </row>
    <row r="4392" spans="2:2">
      <c r="B4392" s="422"/>
    </row>
    <row r="4393" spans="2:2">
      <c r="B4393" s="422"/>
    </row>
    <row r="4394" spans="2:2">
      <c r="B4394" s="422"/>
    </row>
    <row r="4395" spans="2:2">
      <c r="B4395" s="422"/>
    </row>
    <row r="4396" spans="2:2">
      <c r="B4396" s="422"/>
    </row>
    <row r="4397" spans="2:2">
      <c r="B4397" s="422"/>
    </row>
    <row r="4398" spans="2:2">
      <c r="B4398" s="422"/>
    </row>
    <row r="4399" spans="2:2">
      <c r="B4399" s="422"/>
    </row>
    <row r="4400" spans="2:2">
      <c r="B4400" s="422"/>
    </row>
    <row r="4401" spans="2:2">
      <c r="B4401" s="422"/>
    </row>
    <row r="4402" spans="2:2">
      <c r="B4402" s="422"/>
    </row>
    <row r="4403" spans="2:2">
      <c r="B4403" s="422"/>
    </row>
    <row r="4404" spans="2:2">
      <c r="B4404" s="422"/>
    </row>
    <row r="4405" spans="2:2">
      <c r="B4405" s="422"/>
    </row>
    <row r="4406" spans="2:2">
      <c r="B4406" s="422"/>
    </row>
    <row r="4407" spans="2:2">
      <c r="B4407" s="422"/>
    </row>
    <row r="4408" spans="2:2">
      <c r="B4408" s="422"/>
    </row>
    <row r="4409" spans="2:2">
      <c r="B4409" s="422"/>
    </row>
    <row r="4410" spans="2:2">
      <c r="B4410" s="422"/>
    </row>
    <row r="4411" spans="2:2">
      <c r="B4411" s="422"/>
    </row>
    <row r="4412" spans="2:2">
      <c r="B4412" s="422"/>
    </row>
    <row r="4413" spans="2:2">
      <c r="B4413" s="422"/>
    </row>
    <row r="4414" spans="2:2">
      <c r="B4414" s="422"/>
    </row>
    <row r="4415" spans="2:2">
      <c r="B4415" s="422"/>
    </row>
    <row r="4416" spans="2:2">
      <c r="B4416" s="422"/>
    </row>
    <row r="4417" spans="2:2">
      <c r="B4417" s="422"/>
    </row>
    <row r="4418" spans="2:2">
      <c r="B4418" s="422"/>
    </row>
    <row r="4419" spans="2:2">
      <c r="B4419" s="422"/>
    </row>
    <row r="4420" spans="2:2">
      <c r="B4420" s="422"/>
    </row>
    <row r="4421" spans="2:2">
      <c r="B4421" s="422"/>
    </row>
    <row r="4422" spans="2:2">
      <c r="B4422" s="422"/>
    </row>
    <row r="4423" spans="2:2">
      <c r="B4423" s="422"/>
    </row>
    <row r="4424" spans="2:2">
      <c r="B4424" s="422"/>
    </row>
    <row r="4425" spans="2:2">
      <c r="B4425" s="422"/>
    </row>
    <row r="4426" spans="2:2">
      <c r="B4426" s="422"/>
    </row>
    <row r="4427" spans="2:2">
      <c r="B4427" s="422"/>
    </row>
    <row r="4428" spans="2:2">
      <c r="B4428" s="422"/>
    </row>
    <row r="4429" spans="2:2">
      <c r="B4429" s="422"/>
    </row>
    <row r="4430" spans="2:2">
      <c r="B4430" s="422"/>
    </row>
    <row r="4431" spans="2:2">
      <c r="B4431" s="422"/>
    </row>
    <row r="4432" spans="2:2">
      <c r="B4432" s="422"/>
    </row>
    <row r="4433" spans="2:2">
      <c r="B4433" s="422"/>
    </row>
    <row r="4434" spans="2:2">
      <c r="B4434" s="422"/>
    </row>
    <row r="4435" spans="2:2">
      <c r="B4435" s="422"/>
    </row>
    <row r="4436" spans="2:2">
      <c r="B4436" s="422"/>
    </row>
    <row r="4437" spans="2:2">
      <c r="B4437" s="422"/>
    </row>
    <row r="4438" spans="2:2">
      <c r="B4438" s="422"/>
    </row>
    <row r="4439" spans="2:2">
      <c r="B4439" s="422"/>
    </row>
    <row r="4440" spans="2:2">
      <c r="B4440" s="422"/>
    </row>
    <row r="4441" spans="2:2">
      <c r="B4441" s="422"/>
    </row>
    <row r="4442" spans="2:2">
      <c r="B4442" s="422"/>
    </row>
    <row r="4443" spans="2:2">
      <c r="B4443" s="422"/>
    </row>
    <row r="4444" spans="2:2">
      <c r="B4444" s="422"/>
    </row>
    <row r="4445" spans="2:2">
      <c r="B4445" s="422"/>
    </row>
    <row r="4446" spans="2:2">
      <c r="B4446" s="422"/>
    </row>
    <row r="4447" spans="2:2">
      <c r="B4447" s="422"/>
    </row>
    <row r="4448" spans="2:2">
      <c r="B4448" s="422"/>
    </row>
    <row r="4449" spans="2:2">
      <c r="B4449" s="422"/>
    </row>
    <row r="4450" spans="2:2">
      <c r="B4450" s="422"/>
    </row>
    <row r="4451" spans="2:2">
      <c r="B4451" s="422"/>
    </row>
    <row r="4452" spans="2:2">
      <c r="B4452" s="422"/>
    </row>
    <row r="4453" spans="2:2">
      <c r="B4453" s="422"/>
    </row>
    <row r="4454" spans="2:2">
      <c r="B4454" s="422"/>
    </row>
    <row r="4455" spans="2:2">
      <c r="B4455" s="422"/>
    </row>
    <row r="4456" spans="2:2">
      <c r="B4456" s="422"/>
    </row>
    <row r="4457" spans="2:2">
      <c r="B4457" s="422"/>
    </row>
    <row r="4458" spans="2:2">
      <c r="B4458" s="422"/>
    </row>
    <row r="4459" spans="2:2">
      <c r="B4459" s="422"/>
    </row>
    <row r="4460" spans="2:2">
      <c r="B4460" s="422"/>
    </row>
    <row r="4461" spans="2:2">
      <c r="B4461" s="422"/>
    </row>
    <row r="4462" spans="2:2">
      <c r="B4462" s="422"/>
    </row>
    <row r="4463" spans="2:2">
      <c r="B4463" s="422"/>
    </row>
    <row r="4464" spans="2:2">
      <c r="B4464" s="422"/>
    </row>
    <row r="4465" spans="2:2">
      <c r="B4465" s="422"/>
    </row>
    <row r="4466" spans="2:2">
      <c r="B4466" s="422"/>
    </row>
    <row r="4467" spans="2:2">
      <c r="B4467" s="422"/>
    </row>
    <row r="4468" spans="2:2">
      <c r="B4468" s="422"/>
    </row>
    <row r="4469" spans="2:2">
      <c r="B4469" s="422"/>
    </row>
    <row r="4470" spans="2:2">
      <c r="B4470" s="422"/>
    </row>
    <row r="4471" spans="2:2">
      <c r="B4471" s="422"/>
    </row>
    <row r="4472" spans="2:2">
      <c r="B4472" s="422"/>
    </row>
    <row r="4473" spans="2:2">
      <c r="B4473" s="422"/>
    </row>
    <row r="4474" spans="2:2">
      <c r="B4474" s="422"/>
    </row>
    <row r="4475" spans="2:2">
      <c r="B4475" s="422"/>
    </row>
    <row r="4476" spans="2:2">
      <c r="B4476" s="422"/>
    </row>
    <row r="4477" spans="2:2">
      <c r="B4477" s="422"/>
    </row>
    <row r="4478" spans="2:2">
      <c r="B4478" s="422"/>
    </row>
    <row r="4479" spans="2:2">
      <c r="B4479" s="422"/>
    </row>
    <row r="4480" spans="2:2">
      <c r="B4480" s="422"/>
    </row>
    <row r="4481" spans="2:2">
      <c r="B4481" s="422"/>
    </row>
    <row r="4482" spans="2:2">
      <c r="B4482" s="422"/>
    </row>
    <row r="4483" spans="2:2">
      <c r="B4483" s="422"/>
    </row>
    <row r="4484" spans="2:2">
      <c r="B4484" s="422"/>
    </row>
    <row r="4485" spans="2:2">
      <c r="B4485" s="422"/>
    </row>
    <row r="4486" spans="2:2">
      <c r="B4486" s="422"/>
    </row>
    <row r="4487" spans="2:2">
      <c r="B4487" s="422"/>
    </row>
    <row r="4488" spans="2:2">
      <c r="B4488" s="422"/>
    </row>
    <row r="4489" spans="2:2">
      <c r="B4489" s="422"/>
    </row>
    <row r="4490" spans="2:2">
      <c r="B4490" s="422"/>
    </row>
    <row r="4491" spans="2:2">
      <c r="B4491" s="422"/>
    </row>
    <row r="4492" spans="2:2">
      <c r="B4492" s="422"/>
    </row>
    <row r="4493" spans="2:2">
      <c r="B4493" s="422"/>
    </row>
    <row r="4494" spans="2:2">
      <c r="B4494" s="422"/>
    </row>
    <row r="4495" spans="2:2">
      <c r="B4495" s="422"/>
    </row>
    <row r="4496" spans="2:2">
      <c r="B4496" s="422"/>
    </row>
    <row r="4497" spans="2:2">
      <c r="B4497" s="422"/>
    </row>
    <row r="4498" spans="2:2">
      <c r="B4498" s="422"/>
    </row>
    <row r="4499" spans="2:2">
      <c r="B4499" s="422"/>
    </row>
    <row r="4500" spans="2:2">
      <c r="B4500" s="422"/>
    </row>
    <row r="4501" spans="2:2">
      <c r="B4501" s="422"/>
    </row>
    <row r="4502" spans="2:2">
      <c r="B4502" s="422"/>
    </row>
    <row r="4503" spans="2:2">
      <c r="B4503" s="422"/>
    </row>
    <row r="4504" spans="2:2">
      <c r="B4504" s="422"/>
    </row>
    <row r="4505" spans="2:2">
      <c r="B4505" s="422"/>
    </row>
    <row r="4506" spans="2:2">
      <c r="B4506" s="422"/>
    </row>
    <row r="4507" spans="2:2">
      <c r="B4507" s="422"/>
    </row>
    <row r="4508" spans="2:2">
      <c r="B4508" s="422"/>
    </row>
    <row r="4509" spans="2:2">
      <c r="B4509" s="422"/>
    </row>
    <row r="4510" spans="2:2">
      <c r="B4510" s="422"/>
    </row>
    <row r="4511" spans="2:2">
      <c r="B4511" s="422"/>
    </row>
    <row r="4512" spans="2:2">
      <c r="B4512" s="422"/>
    </row>
    <row r="4513" spans="2:2">
      <c r="B4513" s="422"/>
    </row>
    <row r="4514" spans="2:2">
      <c r="B4514" s="422"/>
    </row>
    <row r="4515" spans="2:2">
      <c r="B4515" s="422"/>
    </row>
    <row r="4516" spans="2:2">
      <c r="B4516" s="422"/>
    </row>
    <row r="4517" spans="2:2">
      <c r="B4517" s="422"/>
    </row>
    <row r="4518" spans="2:2">
      <c r="B4518" s="422"/>
    </row>
    <row r="4519" spans="2:2">
      <c r="B4519" s="422"/>
    </row>
    <row r="4520" spans="2:2">
      <c r="B4520" s="422"/>
    </row>
    <row r="4521" spans="2:2">
      <c r="B4521" s="422"/>
    </row>
    <row r="4522" spans="2:2">
      <c r="B4522" s="422"/>
    </row>
    <row r="4523" spans="2:2">
      <c r="B4523" s="422"/>
    </row>
    <row r="4524" spans="2:2">
      <c r="B4524" s="422"/>
    </row>
    <row r="4525" spans="2:2">
      <c r="B4525" s="422"/>
    </row>
    <row r="4526" spans="2:2">
      <c r="B4526" s="422"/>
    </row>
    <row r="4527" spans="2:2">
      <c r="B4527" s="422"/>
    </row>
    <row r="4528" spans="2:2">
      <c r="B4528" s="422"/>
    </row>
    <row r="4529" spans="2:2">
      <c r="B4529" s="422"/>
    </row>
    <row r="4530" spans="2:2">
      <c r="B4530" s="422"/>
    </row>
    <row r="4531" spans="2:2">
      <c r="B4531" s="422"/>
    </row>
    <row r="4532" spans="2:2">
      <c r="B4532" s="422"/>
    </row>
    <row r="4533" spans="2:2">
      <c r="B4533" s="422"/>
    </row>
    <row r="4534" spans="2:2">
      <c r="B4534" s="422"/>
    </row>
    <row r="4535" spans="2:2">
      <c r="B4535" s="422"/>
    </row>
    <row r="4536" spans="2:2">
      <c r="B4536" s="422"/>
    </row>
    <row r="4537" spans="2:2">
      <c r="B4537" s="422"/>
    </row>
    <row r="4538" spans="2:2">
      <c r="B4538" s="422"/>
    </row>
    <row r="4539" spans="2:2">
      <c r="B4539" s="422"/>
    </row>
    <row r="4540" spans="2:2">
      <c r="B4540" s="422"/>
    </row>
    <row r="4541" spans="2:2">
      <c r="B4541" s="422"/>
    </row>
    <row r="4542" spans="2:2">
      <c r="B4542" s="422"/>
    </row>
    <row r="4543" spans="2:2">
      <c r="B4543" s="422"/>
    </row>
    <row r="4544" spans="2:2">
      <c r="B4544" s="422"/>
    </row>
    <row r="4545" spans="2:2">
      <c r="B4545" s="422"/>
    </row>
    <row r="4546" spans="2:2">
      <c r="B4546" s="422"/>
    </row>
    <row r="4547" spans="2:2">
      <c r="B4547" s="422"/>
    </row>
    <row r="4548" spans="2:2">
      <c r="B4548" s="422"/>
    </row>
    <row r="4549" spans="2:2">
      <c r="B4549" s="422"/>
    </row>
    <row r="4550" spans="2:2">
      <c r="B4550" s="422"/>
    </row>
    <row r="4551" spans="2:2">
      <c r="B4551" s="422"/>
    </row>
    <row r="4552" spans="2:2">
      <c r="B4552" s="422"/>
    </row>
    <row r="4553" spans="2:2">
      <c r="B4553" s="422"/>
    </row>
    <row r="4554" spans="2:2">
      <c r="B4554" s="422"/>
    </row>
    <row r="4555" spans="2:2">
      <c r="B4555" s="422"/>
    </row>
    <row r="4556" spans="2:2">
      <c r="B4556" s="422"/>
    </row>
    <row r="4557" spans="2:2">
      <c r="B4557" s="422"/>
    </row>
    <row r="4558" spans="2:2">
      <c r="B4558" s="422"/>
    </row>
    <row r="4559" spans="2:2">
      <c r="B4559" s="422"/>
    </row>
    <row r="4560" spans="2:2">
      <c r="B4560" s="422"/>
    </row>
    <row r="4561" spans="2:2">
      <c r="B4561" s="422"/>
    </row>
    <row r="4562" spans="2:2">
      <c r="B4562" s="422"/>
    </row>
    <row r="4563" spans="2:2">
      <c r="B4563" s="422"/>
    </row>
    <row r="4564" spans="2:2">
      <c r="B4564" s="422"/>
    </row>
    <row r="4565" spans="2:2">
      <c r="B4565" s="422"/>
    </row>
    <row r="4566" spans="2:2">
      <c r="B4566" s="422"/>
    </row>
    <row r="4567" spans="2:2">
      <c r="B4567" s="422"/>
    </row>
    <row r="4568" spans="2:2">
      <c r="B4568" s="422"/>
    </row>
    <row r="4569" spans="2:2">
      <c r="B4569" s="422"/>
    </row>
    <row r="4570" spans="2:2">
      <c r="B4570" s="422"/>
    </row>
    <row r="4571" spans="2:2">
      <c r="B4571" s="422"/>
    </row>
    <row r="4572" spans="2:2">
      <c r="B4572" s="422"/>
    </row>
    <row r="4573" spans="2:2">
      <c r="B4573" s="422"/>
    </row>
    <row r="4574" spans="2:2">
      <c r="B4574" s="422"/>
    </row>
    <row r="4575" spans="2:2">
      <c r="B4575" s="422"/>
    </row>
    <row r="4576" spans="2:2">
      <c r="B4576" s="422"/>
    </row>
    <row r="4577" spans="2:2">
      <c r="B4577" s="422"/>
    </row>
    <row r="4578" spans="2:2">
      <c r="B4578" s="422"/>
    </row>
    <row r="4579" spans="2:2">
      <c r="B4579" s="422"/>
    </row>
    <row r="4580" spans="2:2">
      <c r="B4580" s="422"/>
    </row>
    <row r="4581" spans="2:2">
      <c r="B4581" s="422"/>
    </row>
    <row r="4582" spans="2:2">
      <c r="B4582" s="422"/>
    </row>
    <row r="4583" spans="2:2">
      <c r="B4583" s="422"/>
    </row>
    <row r="4584" spans="2:2">
      <c r="B4584" s="422"/>
    </row>
    <row r="4585" spans="2:2">
      <c r="B4585" s="422"/>
    </row>
    <row r="4586" spans="2:2">
      <c r="B4586" s="422"/>
    </row>
    <row r="4587" spans="2:2">
      <c r="B4587" s="422"/>
    </row>
    <row r="4588" spans="2:2">
      <c r="B4588" s="422"/>
    </row>
    <row r="4589" spans="2:2">
      <c r="B4589" s="422"/>
    </row>
    <row r="4590" spans="2:2">
      <c r="B4590" s="422"/>
    </row>
    <row r="4591" spans="2:2">
      <c r="B4591" s="422"/>
    </row>
    <row r="4592" spans="2:2">
      <c r="B4592" s="422"/>
    </row>
    <row r="4593" spans="2:2">
      <c r="B4593" s="422"/>
    </row>
    <row r="4594" spans="2:2">
      <c r="B4594" s="422"/>
    </row>
    <row r="4595" spans="2:2">
      <c r="B4595" s="422"/>
    </row>
    <row r="4596" spans="2:2">
      <c r="B4596" s="422"/>
    </row>
    <row r="4597" spans="2:2">
      <c r="B4597" s="422"/>
    </row>
    <row r="4598" spans="2:2">
      <c r="B4598" s="422"/>
    </row>
    <row r="4599" spans="2:2">
      <c r="B4599" s="422"/>
    </row>
    <row r="4600" spans="2:2">
      <c r="B4600" s="422"/>
    </row>
    <row r="4601" spans="2:2">
      <c r="B4601" s="422"/>
    </row>
    <row r="4602" spans="2:2">
      <c r="B4602" s="422"/>
    </row>
    <row r="4603" spans="2:2">
      <c r="B4603" s="422"/>
    </row>
    <row r="4604" spans="2:2">
      <c r="B4604" s="422"/>
    </row>
    <row r="4605" spans="2:2">
      <c r="B4605" s="422"/>
    </row>
    <row r="4606" spans="2:2">
      <c r="B4606" s="422"/>
    </row>
    <row r="4607" spans="2:2">
      <c r="B4607" s="422"/>
    </row>
    <row r="4608" spans="2:2">
      <c r="B4608" s="422"/>
    </row>
    <row r="4609" spans="2:2">
      <c r="B4609" s="422"/>
    </row>
    <row r="4610" spans="2:2">
      <c r="B4610" s="422"/>
    </row>
    <row r="4611" spans="2:2">
      <c r="B4611" s="422"/>
    </row>
    <row r="4612" spans="2:2">
      <c r="B4612" s="422"/>
    </row>
    <row r="4613" spans="2:2">
      <c r="B4613" s="422"/>
    </row>
    <row r="4614" spans="2:2">
      <c r="B4614" s="422"/>
    </row>
    <row r="4615" spans="2:2">
      <c r="B4615" s="422"/>
    </row>
    <row r="4616" spans="2:2">
      <c r="B4616" s="422"/>
    </row>
    <row r="4617" spans="2:2">
      <c r="B4617" s="422"/>
    </row>
    <row r="4618" spans="2:2">
      <c r="B4618" s="422"/>
    </row>
    <row r="4619" spans="2:2">
      <c r="B4619" s="422"/>
    </row>
    <row r="4620" spans="2:2">
      <c r="B4620" s="422"/>
    </row>
    <row r="4621" spans="2:2">
      <c r="B4621" s="422"/>
    </row>
    <row r="4622" spans="2:2">
      <c r="B4622" s="422"/>
    </row>
    <row r="4623" spans="2:2">
      <c r="B4623" s="422"/>
    </row>
    <row r="4624" spans="2:2">
      <c r="B4624" s="422"/>
    </row>
    <row r="4625" spans="2:2">
      <c r="B4625" s="422"/>
    </row>
    <row r="4626" spans="2:2">
      <c r="B4626" s="422"/>
    </row>
    <row r="4627" spans="2:2">
      <c r="B4627" s="422"/>
    </row>
    <row r="4628" spans="2:2">
      <c r="B4628" s="422"/>
    </row>
    <row r="4629" spans="2:2">
      <c r="B4629" s="422"/>
    </row>
    <row r="4630" spans="2:2">
      <c r="B4630" s="422"/>
    </row>
    <row r="4631" spans="2:2">
      <c r="B4631" s="422"/>
    </row>
    <row r="4632" spans="2:2">
      <c r="B4632" s="422"/>
    </row>
    <row r="4633" spans="2:2">
      <c r="B4633" s="422"/>
    </row>
    <row r="4634" spans="2:2">
      <c r="B4634" s="422"/>
    </row>
    <row r="4635" spans="2:2">
      <c r="B4635" s="422"/>
    </row>
    <row r="4636" spans="2:2">
      <c r="B4636" s="422"/>
    </row>
    <row r="4637" spans="2:2">
      <c r="B4637" s="422"/>
    </row>
    <row r="4638" spans="2:2">
      <c r="B4638" s="422"/>
    </row>
    <row r="4639" spans="2:2">
      <c r="B4639" s="422"/>
    </row>
    <row r="4640" spans="2:2">
      <c r="B4640" s="422"/>
    </row>
    <row r="4641" spans="2:2">
      <c r="B4641" s="422"/>
    </row>
    <row r="4642" spans="2:2">
      <c r="B4642" s="422"/>
    </row>
    <row r="4643" spans="2:2">
      <c r="B4643" s="422"/>
    </row>
    <row r="4644" spans="2:2">
      <c r="B4644" s="422"/>
    </row>
    <row r="4645" spans="2:2">
      <c r="B4645" s="422"/>
    </row>
    <row r="4646" spans="2:2">
      <c r="B4646" s="422"/>
    </row>
    <row r="4647" spans="2:2">
      <c r="B4647" s="422"/>
    </row>
    <row r="4648" spans="2:2">
      <c r="B4648" s="422"/>
    </row>
    <row r="4649" spans="2:2">
      <c r="B4649" s="422"/>
    </row>
    <row r="4650" spans="2:2">
      <c r="B4650" s="422"/>
    </row>
    <row r="4651" spans="2:2">
      <c r="B4651" s="422"/>
    </row>
    <row r="4652" spans="2:2">
      <c r="B4652" s="422"/>
    </row>
    <row r="4653" spans="2:2">
      <c r="B4653" s="422"/>
    </row>
    <row r="4654" spans="2:2">
      <c r="B4654" s="422"/>
    </row>
    <row r="4655" spans="2:2">
      <c r="B4655" s="422"/>
    </row>
    <row r="4656" spans="2:2">
      <c r="B4656" s="422"/>
    </row>
    <row r="4657" spans="2:2">
      <c r="B4657" s="422"/>
    </row>
    <row r="4658" spans="2:2">
      <c r="B4658" s="422"/>
    </row>
    <row r="4659" spans="2:2">
      <c r="B4659" s="422"/>
    </row>
    <row r="4660" spans="2:2">
      <c r="B4660" s="422"/>
    </row>
    <row r="4661" spans="2:2">
      <c r="B4661" s="422"/>
    </row>
    <row r="4662" spans="2:2">
      <c r="B4662" s="422"/>
    </row>
    <row r="4663" spans="2:2">
      <c r="B4663" s="422"/>
    </row>
    <row r="4664" spans="2:2">
      <c r="B4664" s="422"/>
    </row>
    <row r="4665" spans="2:2">
      <c r="B4665" s="422"/>
    </row>
    <row r="4666" spans="2:2">
      <c r="B4666" s="422"/>
    </row>
    <row r="4667" spans="2:2">
      <c r="B4667" s="422"/>
    </row>
    <row r="4668" spans="2:2">
      <c r="B4668" s="422"/>
    </row>
    <row r="4669" spans="2:2">
      <c r="B4669" s="422"/>
    </row>
    <row r="4670" spans="2:2">
      <c r="B4670" s="422"/>
    </row>
    <row r="4671" spans="2:2">
      <c r="B4671" s="422"/>
    </row>
    <row r="4672" spans="2:2">
      <c r="B4672" s="422"/>
    </row>
    <row r="4673" spans="2:2">
      <c r="B4673" s="422"/>
    </row>
    <row r="4674" spans="2:2">
      <c r="B4674" s="422"/>
    </row>
    <row r="4675" spans="2:2">
      <c r="B4675" s="422"/>
    </row>
    <row r="4676" spans="2:2">
      <c r="B4676" s="422"/>
    </row>
    <row r="4677" spans="2:2">
      <c r="B4677" s="422"/>
    </row>
    <row r="4678" spans="2:2">
      <c r="B4678" s="422"/>
    </row>
    <row r="4679" spans="2:2">
      <c r="B4679" s="422"/>
    </row>
    <row r="4680" spans="2:2">
      <c r="B4680" s="422"/>
    </row>
    <row r="4681" spans="2:2">
      <c r="B4681" s="422"/>
    </row>
    <row r="4682" spans="2:2">
      <c r="B4682" s="422"/>
    </row>
    <row r="4683" spans="2:2">
      <c r="B4683" s="422"/>
    </row>
    <row r="4684" spans="2:2">
      <c r="B4684" s="422"/>
    </row>
    <row r="4685" spans="2:2">
      <c r="B4685" s="422"/>
    </row>
    <row r="4686" spans="2:2">
      <c r="B4686" s="422"/>
    </row>
    <row r="4687" spans="2:2">
      <c r="B4687" s="422"/>
    </row>
    <row r="4688" spans="2:2">
      <c r="B4688" s="422"/>
    </row>
    <row r="4689" spans="2:2">
      <c r="B4689" s="422"/>
    </row>
    <row r="4690" spans="2:2">
      <c r="B4690" s="422"/>
    </row>
    <row r="4691" spans="2:2">
      <c r="B4691" s="422"/>
    </row>
    <row r="4692" spans="2:2">
      <c r="B4692" s="422"/>
    </row>
    <row r="4693" spans="2:2">
      <c r="B4693" s="422"/>
    </row>
    <row r="4694" spans="2:2">
      <c r="B4694" s="422"/>
    </row>
    <row r="4695" spans="2:2">
      <c r="B4695" s="422"/>
    </row>
    <row r="4696" spans="2:2">
      <c r="B4696" s="422"/>
    </row>
    <row r="4697" spans="2:2">
      <c r="B4697" s="422"/>
    </row>
    <row r="4698" spans="2:2">
      <c r="B4698" s="422"/>
    </row>
    <row r="4699" spans="2:2">
      <c r="B4699" s="422"/>
    </row>
    <row r="4700" spans="2:2">
      <c r="B4700" s="422"/>
    </row>
    <row r="4701" spans="2:2">
      <c r="B4701" s="422"/>
    </row>
    <row r="4702" spans="2:2">
      <c r="B4702" s="422"/>
    </row>
    <row r="4703" spans="2:2">
      <c r="B4703" s="422"/>
    </row>
    <row r="4704" spans="2:2">
      <c r="B4704" s="422"/>
    </row>
    <row r="4705" spans="2:2">
      <c r="B4705" s="422"/>
    </row>
    <row r="4706" spans="2:2">
      <c r="B4706" s="422"/>
    </row>
    <row r="4707" spans="2:2">
      <c r="B4707" s="422"/>
    </row>
    <row r="4708" spans="2:2">
      <c r="B4708" s="422"/>
    </row>
    <row r="4709" spans="2:2">
      <c r="B4709" s="422"/>
    </row>
    <row r="4710" spans="2:2">
      <c r="B4710" s="422"/>
    </row>
    <row r="4711" spans="2:2">
      <c r="B4711" s="422"/>
    </row>
    <row r="4712" spans="2:2">
      <c r="B4712" s="422"/>
    </row>
    <row r="4713" spans="2:2">
      <c r="B4713" s="422"/>
    </row>
    <row r="4714" spans="2:2">
      <c r="B4714" s="422"/>
    </row>
    <row r="4715" spans="2:2">
      <c r="B4715" s="422"/>
    </row>
    <row r="4716" spans="2:2">
      <c r="B4716" s="422"/>
    </row>
    <row r="4717" spans="2:2">
      <c r="B4717" s="422"/>
    </row>
    <row r="4718" spans="2:2">
      <c r="B4718" s="422"/>
    </row>
    <row r="4719" spans="2:2">
      <c r="B4719" s="422"/>
    </row>
    <row r="4720" spans="2:2">
      <c r="B4720" s="422"/>
    </row>
    <row r="4721" spans="2:2">
      <c r="B4721" s="422"/>
    </row>
    <row r="4722" spans="2:2">
      <c r="B4722" s="422"/>
    </row>
    <row r="4723" spans="2:2">
      <c r="B4723" s="422"/>
    </row>
    <row r="4724" spans="2:2">
      <c r="B4724" s="422"/>
    </row>
    <row r="4725" spans="2:2">
      <c r="B4725" s="422"/>
    </row>
    <row r="4726" spans="2:2">
      <c r="B4726" s="422"/>
    </row>
    <row r="4727" spans="2:2">
      <c r="B4727" s="422"/>
    </row>
    <row r="4728" spans="2:2">
      <c r="B4728" s="422"/>
    </row>
    <row r="4729" spans="2:2">
      <c r="B4729" s="422"/>
    </row>
    <row r="4730" spans="2:2">
      <c r="B4730" s="422"/>
    </row>
    <row r="4731" spans="2:2">
      <c r="B4731" s="422"/>
    </row>
    <row r="4732" spans="2:2">
      <c r="B4732" s="422"/>
    </row>
    <row r="4733" spans="2:2">
      <c r="B4733" s="422"/>
    </row>
    <row r="4734" spans="2:2">
      <c r="B4734" s="422"/>
    </row>
    <row r="4735" spans="2:2">
      <c r="B4735" s="422"/>
    </row>
    <row r="4736" spans="2:2">
      <c r="B4736" s="422"/>
    </row>
    <row r="4737" spans="2:2">
      <c r="B4737" s="422"/>
    </row>
    <row r="4738" spans="2:2">
      <c r="B4738" s="422"/>
    </row>
    <row r="4739" spans="2:2">
      <c r="B4739" s="422"/>
    </row>
    <row r="4740" spans="2:2">
      <c r="B4740" s="422"/>
    </row>
    <row r="4741" spans="2:2">
      <c r="B4741" s="422"/>
    </row>
    <row r="4742" spans="2:2">
      <c r="B4742" s="422"/>
    </row>
    <row r="4743" spans="2:2">
      <c r="B4743" s="422"/>
    </row>
    <row r="4744" spans="2:2">
      <c r="B4744" s="422"/>
    </row>
    <row r="4745" spans="2:2">
      <c r="B4745" s="422"/>
    </row>
    <row r="4746" spans="2:2">
      <c r="B4746" s="422"/>
    </row>
    <row r="4747" spans="2:2">
      <c r="B4747" s="422"/>
    </row>
    <row r="4748" spans="2:2">
      <c r="B4748" s="422"/>
    </row>
    <row r="4749" spans="2:2">
      <c r="B4749" s="422"/>
    </row>
    <row r="4750" spans="2:2">
      <c r="B4750" s="422"/>
    </row>
    <row r="4751" spans="2:2">
      <c r="B4751" s="422"/>
    </row>
    <row r="4752" spans="2:2">
      <c r="B4752" s="422"/>
    </row>
    <row r="4753" spans="2:2">
      <c r="B4753" s="422"/>
    </row>
    <row r="4754" spans="2:2">
      <c r="B4754" s="422"/>
    </row>
    <row r="4755" spans="2:2">
      <c r="B4755" s="422"/>
    </row>
    <row r="4756" spans="2:2">
      <c r="B4756" s="422"/>
    </row>
    <row r="4757" spans="2:2">
      <c r="B4757" s="422"/>
    </row>
    <row r="4758" spans="2:2">
      <c r="B4758" s="422"/>
    </row>
    <row r="4759" spans="2:2">
      <c r="B4759" s="422"/>
    </row>
    <row r="4760" spans="2:2">
      <c r="B4760" s="422"/>
    </row>
    <row r="4761" spans="2:2">
      <c r="B4761" s="422"/>
    </row>
    <row r="4762" spans="2:2">
      <c r="B4762" s="422"/>
    </row>
    <row r="4763" spans="2:2">
      <c r="B4763" s="422"/>
    </row>
    <row r="4764" spans="2:2">
      <c r="B4764" s="422"/>
    </row>
    <row r="4765" spans="2:2">
      <c r="B4765" s="422"/>
    </row>
    <row r="4766" spans="2:2">
      <c r="B4766" s="422"/>
    </row>
    <row r="4767" spans="2:2">
      <c r="B4767" s="422"/>
    </row>
    <row r="4768" spans="2:2">
      <c r="B4768" s="422"/>
    </row>
    <row r="4769" spans="2:2">
      <c r="B4769" s="422"/>
    </row>
    <row r="4770" spans="2:2">
      <c r="B4770" s="422"/>
    </row>
    <row r="4771" spans="2:2">
      <c r="B4771" s="422"/>
    </row>
    <row r="4772" spans="2:2">
      <c r="B4772" s="422"/>
    </row>
    <row r="4773" spans="2:2">
      <c r="B4773" s="422"/>
    </row>
    <row r="4774" spans="2:2">
      <c r="B4774" s="422"/>
    </row>
    <row r="4775" spans="2:2">
      <c r="B4775" s="422"/>
    </row>
    <row r="4776" spans="2:2">
      <c r="B4776" s="422"/>
    </row>
    <row r="4777" spans="2:2">
      <c r="B4777" s="422"/>
    </row>
    <row r="4778" spans="2:2">
      <c r="B4778" s="422"/>
    </row>
    <row r="4779" spans="2:2">
      <c r="B4779" s="422"/>
    </row>
    <row r="4780" spans="2:2">
      <c r="B4780" s="422"/>
    </row>
    <row r="4781" spans="2:2">
      <c r="B4781" s="422"/>
    </row>
    <row r="4782" spans="2:2">
      <c r="B4782" s="422"/>
    </row>
    <row r="4783" spans="2:2">
      <c r="B4783" s="422"/>
    </row>
    <row r="4784" spans="2:2">
      <c r="B4784" s="422"/>
    </row>
    <row r="4785" spans="2:2">
      <c r="B4785" s="422"/>
    </row>
    <row r="4786" spans="2:2">
      <c r="B4786" s="422"/>
    </row>
    <row r="4787" spans="2:2">
      <c r="B4787" s="422"/>
    </row>
    <row r="4788" spans="2:2">
      <c r="B4788" s="422"/>
    </row>
    <row r="4789" spans="2:2">
      <c r="B4789" s="422"/>
    </row>
    <row r="4790" spans="2:2">
      <c r="B4790" s="422"/>
    </row>
    <row r="4791" spans="2:2">
      <c r="B4791" s="422"/>
    </row>
    <row r="4792" spans="2:2">
      <c r="B4792" s="422"/>
    </row>
    <row r="4793" spans="2:2">
      <c r="B4793" s="422"/>
    </row>
    <row r="4794" spans="2:2">
      <c r="B4794" s="422"/>
    </row>
    <row r="4795" spans="2:2">
      <c r="B4795" s="422"/>
    </row>
    <row r="4796" spans="2:2">
      <c r="B4796" s="422"/>
    </row>
    <row r="4797" spans="2:2">
      <c r="B4797" s="422"/>
    </row>
    <row r="4798" spans="2:2">
      <c r="B4798" s="422"/>
    </row>
    <row r="4799" spans="2:2">
      <c r="B4799" s="422"/>
    </row>
    <row r="4800" spans="2:2">
      <c r="B4800" s="422"/>
    </row>
    <row r="4801" spans="2:2">
      <c r="B4801" s="422"/>
    </row>
    <row r="4802" spans="2:2">
      <c r="B4802" s="422"/>
    </row>
    <row r="4803" spans="2:2">
      <c r="B4803" s="422"/>
    </row>
    <row r="4804" spans="2:2">
      <c r="B4804" s="422"/>
    </row>
    <row r="4805" spans="2:2">
      <c r="B4805" s="422"/>
    </row>
    <row r="4806" spans="2:2">
      <c r="B4806" s="422"/>
    </row>
    <row r="4807" spans="2:2">
      <c r="B4807" s="422"/>
    </row>
    <row r="4808" spans="2:2">
      <c r="B4808" s="422"/>
    </row>
    <row r="4809" spans="2:2">
      <c r="B4809" s="422"/>
    </row>
    <row r="4810" spans="2:2">
      <c r="B4810" s="422"/>
    </row>
    <row r="4811" spans="2:2">
      <c r="B4811" s="422"/>
    </row>
    <row r="4812" spans="2:2">
      <c r="B4812" s="422"/>
    </row>
    <row r="4813" spans="2:2">
      <c r="B4813" s="422"/>
    </row>
    <row r="4814" spans="2:2">
      <c r="B4814" s="422"/>
    </row>
    <row r="4815" spans="2:2">
      <c r="B4815" s="422"/>
    </row>
    <row r="4816" spans="2:2">
      <c r="B4816" s="422"/>
    </row>
    <row r="4817" spans="2:2">
      <c r="B4817" s="422"/>
    </row>
    <row r="4818" spans="2:2">
      <c r="B4818" s="422"/>
    </row>
    <row r="4819" spans="2:2">
      <c r="B4819" s="422"/>
    </row>
    <row r="4820" spans="2:2">
      <c r="B4820" s="422"/>
    </row>
    <row r="4821" spans="2:2">
      <c r="B4821" s="422"/>
    </row>
    <row r="4822" spans="2:2">
      <c r="B4822" s="422"/>
    </row>
    <row r="4823" spans="2:2">
      <c r="B4823" s="422"/>
    </row>
    <row r="4824" spans="2:2">
      <c r="B4824" s="422"/>
    </row>
    <row r="4825" spans="2:2">
      <c r="B4825" s="422"/>
    </row>
    <row r="4826" spans="2:2">
      <c r="B4826" s="422"/>
    </row>
    <row r="4827" spans="2:2">
      <c r="B4827" s="422"/>
    </row>
    <row r="4828" spans="2:2">
      <c r="B4828" s="422"/>
    </row>
    <row r="4829" spans="2:2">
      <c r="B4829" s="422"/>
    </row>
    <row r="4830" spans="2:2">
      <c r="B4830" s="422"/>
    </row>
    <row r="4831" spans="2:2">
      <c r="B4831" s="422"/>
    </row>
    <row r="4832" spans="2:2">
      <c r="B4832" s="422"/>
    </row>
    <row r="4833" spans="2:2">
      <c r="B4833" s="422"/>
    </row>
    <row r="4834" spans="2:2">
      <c r="B4834" s="422"/>
    </row>
    <row r="4835" spans="2:2">
      <c r="B4835" s="422"/>
    </row>
    <row r="4836" spans="2:2">
      <c r="B4836" s="422"/>
    </row>
    <row r="4837" spans="2:2">
      <c r="B4837" s="422"/>
    </row>
    <row r="4838" spans="2:2">
      <c r="B4838" s="422"/>
    </row>
    <row r="4839" spans="2:2">
      <c r="B4839" s="422"/>
    </row>
    <row r="4840" spans="2:2">
      <c r="B4840" s="422"/>
    </row>
    <row r="4841" spans="2:2">
      <c r="B4841" s="422"/>
    </row>
    <row r="4842" spans="2:2">
      <c r="B4842" s="422"/>
    </row>
    <row r="4843" spans="2:2">
      <c r="B4843" s="422"/>
    </row>
    <row r="4844" spans="2:2">
      <c r="B4844" s="422"/>
    </row>
    <row r="4845" spans="2:2">
      <c r="B4845" s="422"/>
    </row>
    <row r="4846" spans="2:2">
      <c r="B4846" s="422"/>
    </row>
    <row r="4847" spans="2:2">
      <c r="B4847" s="422"/>
    </row>
    <row r="4848" spans="2:2">
      <c r="B4848" s="422"/>
    </row>
    <row r="4849" spans="2:2">
      <c r="B4849" s="422"/>
    </row>
    <row r="4850" spans="2:2">
      <c r="B4850" s="422"/>
    </row>
    <row r="4851" spans="2:2">
      <c r="B4851" s="422"/>
    </row>
    <row r="4852" spans="2:2">
      <c r="B4852" s="422"/>
    </row>
    <row r="4853" spans="2:2">
      <c r="B4853" s="422"/>
    </row>
    <row r="4854" spans="2:2">
      <c r="B4854" s="422"/>
    </row>
    <row r="4855" spans="2:2">
      <c r="B4855" s="422"/>
    </row>
    <row r="4856" spans="2:2">
      <c r="B4856" s="422"/>
    </row>
    <row r="4857" spans="2:2">
      <c r="B4857" s="422"/>
    </row>
    <row r="4858" spans="2:2">
      <c r="B4858" s="422"/>
    </row>
    <row r="4859" spans="2:2">
      <c r="B4859" s="422"/>
    </row>
    <row r="4860" spans="2:2">
      <c r="B4860" s="422"/>
    </row>
    <row r="4861" spans="2:2">
      <c r="B4861" s="422"/>
    </row>
    <row r="4862" spans="2:2">
      <c r="B4862" s="422"/>
    </row>
    <row r="4863" spans="2:2">
      <c r="B4863" s="422"/>
    </row>
    <row r="4864" spans="2:2">
      <c r="B4864" s="422"/>
    </row>
    <row r="4865" spans="2:2">
      <c r="B4865" s="422"/>
    </row>
    <row r="4866" spans="2:2">
      <c r="B4866" s="422"/>
    </row>
    <row r="4867" spans="2:2">
      <c r="B4867" s="422"/>
    </row>
    <row r="4868" spans="2:2">
      <c r="B4868" s="422"/>
    </row>
    <row r="4869" spans="2:2">
      <c r="B4869" s="422"/>
    </row>
    <row r="4870" spans="2:2">
      <c r="B4870" s="422"/>
    </row>
    <row r="4871" spans="2:2">
      <c r="B4871" s="422"/>
    </row>
    <row r="4872" spans="2:2">
      <c r="B4872" s="422"/>
    </row>
    <row r="4873" spans="2:2">
      <c r="B4873" s="422"/>
    </row>
    <row r="4874" spans="2:2">
      <c r="B4874" s="422"/>
    </row>
    <row r="4875" spans="2:2">
      <c r="B4875" s="422"/>
    </row>
    <row r="4876" spans="2:2">
      <c r="B4876" s="422"/>
    </row>
    <row r="4877" spans="2:2">
      <c r="B4877" s="422"/>
    </row>
    <row r="4878" spans="2:2">
      <c r="B4878" s="422"/>
    </row>
    <row r="4879" spans="2:2">
      <c r="B4879" s="422"/>
    </row>
    <row r="4880" spans="2:2">
      <c r="B4880" s="422"/>
    </row>
    <row r="4881" spans="2:2">
      <c r="B4881" s="422"/>
    </row>
    <row r="4882" spans="2:2">
      <c r="B4882" s="422"/>
    </row>
    <row r="4883" spans="2:2">
      <c r="B4883" s="422"/>
    </row>
    <row r="4884" spans="2:2">
      <c r="B4884" s="422"/>
    </row>
    <row r="4885" spans="2:2">
      <c r="B4885" s="422"/>
    </row>
    <row r="4886" spans="2:2">
      <c r="B4886" s="422"/>
    </row>
    <row r="4887" spans="2:2">
      <c r="B4887" s="422"/>
    </row>
    <row r="4888" spans="2:2">
      <c r="B4888" s="422"/>
    </row>
    <row r="4889" spans="2:2">
      <c r="B4889" s="422"/>
    </row>
    <row r="4890" spans="2:2">
      <c r="B4890" s="422"/>
    </row>
    <row r="4891" spans="2:2">
      <c r="B4891" s="422"/>
    </row>
    <row r="4892" spans="2:2">
      <c r="B4892" s="422"/>
    </row>
    <row r="4893" spans="2:2">
      <c r="B4893" s="422"/>
    </row>
    <row r="4894" spans="2:2">
      <c r="B4894" s="422"/>
    </row>
    <row r="4895" spans="2:2">
      <c r="B4895" s="422"/>
    </row>
    <row r="4896" spans="2:2">
      <c r="B4896" s="422"/>
    </row>
    <row r="4897" spans="2:2">
      <c r="B4897" s="422"/>
    </row>
    <row r="4898" spans="2:2">
      <c r="B4898" s="422"/>
    </row>
    <row r="4899" spans="2:2">
      <c r="B4899" s="422"/>
    </row>
    <row r="4900" spans="2:2">
      <c r="B4900" s="422"/>
    </row>
    <row r="4901" spans="2:2">
      <c r="B4901" s="422"/>
    </row>
    <row r="4902" spans="2:2">
      <c r="B4902" s="422"/>
    </row>
    <row r="4903" spans="2:2">
      <c r="B4903" s="422"/>
    </row>
    <row r="4904" spans="2:2">
      <c r="B4904" s="422"/>
    </row>
    <row r="4905" spans="2:2">
      <c r="B4905" s="422"/>
    </row>
    <row r="4906" spans="2:2">
      <c r="B4906" s="422"/>
    </row>
    <row r="4907" spans="2:2">
      <c r="B4907" s="422"/>
    </row>
    <row r="4908" spans="2:2">
      <c r="B4908" s="422"/>
    </row>
    <row r="4909" spans="2:2">
      <c r="B4909" s="422"/>
    </row>
    <row r="4910" spans="2:2">
      <c r="B4910" s="422"/>
    </row>
    <row r="4911" spans="2:2">
      <c r="B4911" s="422"/>
    </row>
    <row r="4912" spans="2:2">
      <c r="B4912" s="422"/>
    </row>
    <row r="4913" spans="2:2">
      <c r="B4913" s="422"/>
    </row>
    <row r="4914" spans="2:2">
      <c r="B4914" s="422"/>
    </row>
    <row r="4915" spans="2:2">
      <c r="B4915" s="422"/>
    </row>
    <row r="4916" spans="2:2">
      <c r="B4916" s="422"/>
    </row>
    <row r="4917" spans="2:2">
      <c r="B4917" s="422"/>
    </row>
    <row r="4918" spans="2:2">
      <c r="B4918" s="422"/>
    </row>
    <row r="4919" spans="2:2">
      <c r="B4919" s="422"/>
    </row>
    <row r="4920" spans="2:2">
      <c r="B4920" s="422"/>
    </row>
    <row r="4921" spans="2:2">
      <c r="B4921" s="422"/>
    </row>
    <row r="4922" spans="2:2">
      <c r="B4922" s="422"/>
    </row>
    <row r="4923" spans="2:2">
      <c r="B4923" s="422"/>
    </row>
    <row r="4924" spans="2:2">
      <c r="B4924" s="422"/>
    </row>
    <row r="4925" spans="2:2">
      <c r="B4925" s="422"/>
    </row>
    <row r="4926" spans="2:2">
      <c r="B4926" s="422"/>
    </row>
    <row r="4927" spans="2:2">
      <c r="B4927" s="422"/>
    </row>
    <row r="4928" spans="2:2">
      <c r="B4928" s="422"/>
    </row>
    <row r="4929" spans="2:2">
      <c r="B4929" s="422"/>
    </row>
    <row r="4930" spans="2:2">
      <c r="B4930" s="422"/>
    </row>
    <row r="4931" spans="2:2">
      <c r="B4931" s="422"/>
    </row>
    <row r="4932" spans="2:2">
      <c r="B4932" s="422"/>
    </row>
    <row r="4933" spans="2:2">
      <c r="B4933" s="422"/>
    </row>
    <row r="4934" spans="2:2">
      <c r="B4934" s="422"/>
    </row>
    <row r="4935" spans="2:2">
      <c r="B4935" s="422"/>
    </row>
    <row r="4936" spans="2:2">
      <c r="B4936" s="422"/>
    </row>
    <row r="4937" spans="2:2">
      <c r="B4937" s="422"/>
    </row>
    <row r="4938" spans="2:2">
      <c r="B4938" s="422"/>
    </row>
    <row r="4939" spans="2:2">
      <c r="B4939" s="422"/>
    </row>
    <row r="4940" spans="2:2">
      <c r="B4940" s="422"/>
    </row>
    <row r="4941" spans="2:2">
      <c r="B4941" s="422"/>
    </row>
    <row r="4942" spans="2:2">
      <c r="B4942" s="422"/>
    </row>
    <row r="4943" spans="2:2">
      <c r="B4943" s="422"/>
    </row>
    <row r="4944" spans="2:2">
      <c r="B4944" s="422"/>
    </row>
    <row r="4945" spans="2:2">
      <c r="B4945" s="422"/>
    </row>
    <row r="4946" spans="2:2">
      <c r="B4946" s="422"/>
    </row>
    <row r="4947" spans="2:2">
      <c r="B4947" s="422"/>
    </row>
    <row r="4948" spans="2:2">
      <c r="B4948" s="422"/>
    </row>
    <row r="4949" spans="2:2">
      <c r="B4949" s="422"/>
    </row>
    <row r="4950" spans="2:2">
      <c r="B4950" s="422"/>
    </row>
    <row r="4951" spans="2:2">
      <c r="B4951" s="422"/>
    </row>
    <row r="4952" spans="2:2">
      <c r="B4952" s="422"/>
    </row>
    <row r="4953" spans="2:2">
      <c r="B4953" s="422"/>
    </row>
    <row r="4954" spans="2:2">
      <c r="B4954" s="422"/>
    </row>
    <row r="4955" spans="2:2">
      <c r="B4955" s="422"/>
    </row>
    <row r="4956" spans="2:2">
      <c r="B4956" s="422"/>
    </row>
    <row r="4957" spans="2:2">
      <c r="B4957" s="422"/>
    </row>
    <row r="4958" spans="2:2">
      <c r="B4958" s="422"/>
    </row>
    <row r="4959" spans="2:2">
      <c r="B4959" s="422"/>
    </row>
    <row r="4960" spans="2:2">
      <c r="B4960" s="422"/>
    </row>
    <row r="4961" spans="2:2">
      <c r="B4961" s="422"/>
    </row>
    <row r="4962" spans="2:2">
      <c r="B4962" s="422"/>
    </row>
    <row r="4963" spans="2:2">
      <c r="B4963" s="422"/>
    </row>
    <row r="4964" spans="2:2">
      <c r="B4964" s="422"/>
    </row>
    <row r="4965" spans="2:2">
      <c r="B4965" s="422"/>
    </row>
    <row r="4966" spans="2:2">
      <c r="B4966" s="422"/>
    </row>
    <row r="4967" spans="2:2">
      <c r="B4967" s="422"/>
    </row>
    <row r="4968" spans="2:2">
      <c r="B4968" s="422"/>
    </row>
    <row r="4969" spans="2:2">
      <c r="B4969" s="422"/>
    </row>
    <row r="4970" spans="2:2">
      <c r="B4970" s="422"/>
    </row>
    <row r="4971" spans="2:2">
      <c r="B4971" s="422"/>
    </row>
    <row r="4972" spans="2:2">
      <c r="B4972" s="422"/>
    </row>
    <row r="4973" spans="2:2">
      <c r="B4973" s="422"/>
    </row>
    <row r="4974" spans="2:2">
      <c r="B4974" s="422"/>
    </row>
    <row r="4975" spans="2:2">
      <c r="B4975" s="422"/>
    </row>
    <row r="4976" spans="2:2">
      <c r="B4976" s="422"/>
    </row>
    <row r="4977" spans="2:2">
      <c r="B4977" s="422"/>
    </row>
    <row r="4978" spans="2:2">
      <c r="B4978" s="422"/>
    </row>
    <row r="4979" spans="2:2">
      <c r="B4979" s="422"/>
    </row>
    <row r="4980" spans="2:2">
      <c r="B4980" s="422"/>
    </row>
    <row r="4981" spans="2:2">
      <c r="B4981" s="422"/>
    </row>
    <row r="4982" spans="2:2">
      <c r="B4982" s="422"/>
    </row>
    <row r="4983" spans="2:2">
      <c r="B4983" s="422"/>
    </row>
    <row r="4984" spans="2:2">
      <c r="B4984" s="422"/>
    </row>
    <row r="4985" spans="2:2">
      <c r="B4985" s="422"/>
    </row>
    <row r="4986" spans="2:2">
      <c r="B4986" s="422"/>
    </row>
    <row r="4987" spans="2:2">
      <c r="B4987" s="422"/>
    </row>
    <row r="4988" spans="2:2">
      <c r="B4988" s="422"/>
    </row>
    <row r="4989" spans="2:2">
      <c r="B4989" s="422"/>
    </row>
    <row r="4990" spans="2:2">
      <c r="B4990" s="422"/>
    </row>
    <row r="4991" spans="2:2">
      <c r="B4991" s="422"/>
    </row>
    <row r="4992" spans="2:2">
      <c r="B4992" s="422"/>
    </row>
    <row r="4993" spans="2:2">
      <c r="B4993" s="422"/>
    </row>
    <row r="4994" spans="2:2">
      <c r="B4994" s="422"/>
    </row>
    <row r="4995" spans="2:2">
      <c r="B4995" s="422"/>
    </row>
    <row r="4996" spans="2:2">
      <c r="B4996" s="422"/>
    </row>
    <row r="4997" spans="2:2">
      <c r="B4997" s="422"/>
    </row>
    <row r="4998" spans="2:2">
      <c r="B4998" s="422"/>
    </row>
    <row r="4999" spans="2:2">
      <c r="B4999" s="422"/>
    </row>
    <row r="5000" spans="2:2">
      <c r="B5000" s="422"/>
    </row>
    <row r="5001" spans="2:2">
      <c r="B5001" s="422"/>
    </row>
    <row r="5002" spans="2:2">
      <c r="B5002" s="422"/>
    </row>
    <row r="5003" spans="2:2">
      <c r="B5003" s="422"/>
    </row>
    <row r="5004" spans="2:2">
      <c r="B5004" s="422"/>
    </row>
    <row r="5005" spans="2:2">
      <c r="B5005" s="422"/>
    </row>
    <row r="5006" spans="2:2">
      <c r="B5006" s="422"/>
    </row>
    <row r="5007" spans="2:2">
      <c r="B5007" s="422"/>
    </row>
    <row r="5008" spans="2:2">
      <c r="B5008" s="422"/>
    </row>
    <row r="5009" spans="2:2">
      <c r="B5009" s="422"/>
    </row>
    <row r="5010" spans="2:2">
      <c r="B5010" s="422"/>
    </row>
    <row r="5011" spans="2:2">
      <c r="B5011" s="422"/>
    </row>
    <row r="5012" spans="2:2">
      <c r="B5012" s="422"/>
    </row>
    <row r="5013" spans="2:2">
      <c r="B5013" s="422"/>
    </row>
    <row r="5014" spans="2:2">
      <c r="B5014" s="422"/>
    </row>
    <row r="5015" spans="2:2">
      <c r="B5015" s="422"/>
    </row>
    <row r="5016" spans="2:2">
      <c r="B5016" s="422"/>
    </row>
    <row r="5017" spans="2:2">
      <c r="B5017" s="422"/>
    </row>
    <row r="5018" spans="2:2">
      <c r="B5018" s="422"/>
    </row>
    <row r="5019" spans="2:2">
      <c r="B5019" s="422"/>
    </row>
    <row r="5020" spans="2:2">
      <c r="B5020" s="422"/>
    </row>
    <row r="5021" spans="2:2">
      <c r="B5021" s="422"/>
    </row>
    <row r="5022" spans="2:2">
      <c r="B5022" s="422"/>
    </row>
    <row r="5023" spans="2:2">
      <c r="B5023" s="422"/>
    </row>
    <row r="5024" spans="2:2">
      <c r="B5024" s="422"/>
    </row>
    <row r="5025" spans="2:2">
      <c r="B5025" s="422"/>
    </row>
    <row r="5026" spans="2:2">
      <c r="B5026" s="422"/>
    </row>
    <row r="5027" spans="2:2">
      <c r="B5027" s="422"/>
    </row>
    <row r="5028" spans="2:2">
      <c r="B5028" s="422"/>
    </row>
    <row r="5029" spans="2:2">
      <c r="B5029" s="422"/>
    </row>
    <row r="5030" spans="2:2">
      <c r="B5030" s="422"/>
    </row>
    <row r="5031" spans="2:2">
      <c r="B5031" s="422"/>
    </row>
    <row r="5032" spans="2:2">
      <c r="B5032" s="422"/>
    </row>
    <row r="5033" spans="2:2">
      <c r="B5033" s="422"/>
    </row>
    <row r="5034" spans="2:2">
      <c r="B5034" s="422"/>
    </row>
    <row r="5035" spans="2:2">
      <c r="B5035" s="422"/>
    </row>
    <row r="5036" spans="2:2">
      <c r="B5036" s="422"/>
    </row>
    <row r="5037" spans="2:2">
      <c r="B5037" s="422"/>
    </row>
    <row r="5038" spans="2:2">
      <c r="B5038" s="422"/>
    </row>
    <row r="5039" spans="2:2">
      <c r="B5039" s="422"/>
    </row>
    <row r="5040" spans="2:2">
      <c r="B5040" s="422"/>
    </row>
    <row r="5041" spans="2:2">
      <c r="B5041" s="422"/>
    </row>
    <row r="5042" spans="2:2">
      <c r="B5042" s="422"/>
    </row>
    <row r="5043" spans="2:2">
      <c r="B5043" s="422"/>
    </row>
    <row r="5044" spans="2:2">
      <c r="B5044" s="422"/>
    </row>
    <row r="5045" spans="2:2">
      <c r="B5045" s="422"/>
    </row>
    <row r="5046" spans="2:2">
      <c r="B5046" s="422"/>
    </row>
    <row r="5047" spans="2:2">
      <c r="B5047" s="422"/>
    </row>
    <row r="5048" spans="2:2">
      <c r="B5048" s="422"/>
    </row>
    <row r="5049" spans="2:2">
      <c r="B5049" s="422"/>
    </row>
    <row r="5050" spans="2:2">
      <c r="B5050" s="422"/>
    </row>
    <row r="5051" spans="2:2">
      <c r="B5051" s="422"/>
    </row>
    <row r="5052" spans="2:2">
      <c r="B5052" s="422"/>
    </row>
    <row r="5053" spans="2:2">
      <c r="B5053" s="422"/>
    </row>
    <row r="5054" spans="2:2">
      <c r="B5054" s="422"/>
    </row>
    <row r="5055" spans="2:2">
      <c r="B5055" s="422"/>
    </row>
    <row r="5056" spans="2:2">
      <c r="B5056" s="422"/>
    </row>
    <row r="5057" spans="2:2">
      <c r="B5057" s="422"/>
    </row>
    <row r="5058" spans="2:2">
      <c r="B5058" s="422"/>
    </row>
    <row r="5059" spans="2:2">
      <c r="B5059" s="422"/>
    </row>
    <row r="5060" spans="2:2">
      <c r="B5060" s="422"/>
    </row>
    <row r="5061" spans="2:2">
      <c r="B5061" s="422"/>
    </row>
    <row r="5062" spans="2:2">
      <c r="B5062" s="422"/>
    </row>
    <row r="5063" spans="2:2">
      <c r="B5063" s="422"/>
    </row>
    <row r="5064" spans="2:2">
      <c r="B5064" s="422"/>
    </row>
    <row r="5065" spans="2:2">
      <c r="B5065" s="422"/>
    </row>
    <row r="5066" spans="2:2">
      <c r="B5066" s="422"/>
    </row>
    <row r="5067" spans="2:2">
      <c r="B5067" s="422"/>
    </row>
    <row r="5068" spans="2:2">
      <c r="B5068" s="422"/>
    </row>
    <row r="5069" spans="2:2">
      <c r="B5069" s="422"/>
    </row>
    <row r="5070" spans="2:2">
      <c r="B5070" s="422"/>
    </row>
    <row r="5071" spans="2:2">
      <c r="B5071" s="422"/>
    </row>
    <row r="5072" spans="2:2">
      <c r="B5072" s="422"/>
    </row>
    <row r="5073" spans="2:2">
      <c r="B5073" s="422"/>
    </row>
    <row r="5074" spans="2:2">
      <c r="B5074" s="422"/>
    </row>
    <row r="5075" spans="2:2">
      <c r="B5075" s="422"/>
    </row>
    <row r="5076" spans="2:2">
      <c r="B5076" s="422"/>
    </row>
    <row r="5077" spans="2:2">
      <c r="B5077" s="422"/>
    </row>
    <row r="5078" spans="2:2">
      <c r="B5078" s="422"/>
    </row>
    <row r="5079" spans="2:2">
      <c r="B5079" s="422"/>
    </row>
    <row r="5080" spans="2:2">
      <c r="B5080" s="422"/>
    </row>
    <row r="5081" spans="2:2">
      <c r="B5081" s="422"/>
    </row>
    <row r="5082" spans="2:2">
      <c r="B5082" s="422"/>
    </row>
    <row r="5083" spans="2:2">
      <c r="B5083" s="422"/>
    </row>
    <row r="5084" spans="2:2">
      <c r="B5084" s="422"/>
    </row>
    <row r="5085" spans="2:2">
      <c r="B5085" s="422"/>
    </row>
    <row r="5086" spans="2:2">
      <c r="B5086" s="422"/>
    </row>
    <row r="5087" spans="2:2">
      <c r="B5087" s="422"/>
    </row>
    <row r="5088" spans="2:2">
      <c r="B5088" s="422"/>
    </row>
    <row r="5089" spans="2:2">
      <c r="B5089" s="422"/>
    </row>
    <row r="5090" spans="2:2">
      <c r="B5090" s="422"/>
    </row>
    <row r="5091" spans="2:2">
      <c r="B5091" s="422"/>
    </row>
    <row r="5092" spans="2:2">
      <c r="B5092" s="422"/>
    </row>
    <row r="5093" spans="2:2">
      <c r="B5093" s="422"/>
    </row>
    <row r="5094" spans="2:2">
      <c r="B5094" s="422"/>
    </row>
    <row r="5095" spans="2:2">
      <c r="B5095" s="422"/>
    </row>
    <row r="5096" spans="2:2">
      <c r="B5096" s="422"/>
    </row>
    <row r="5097" spans="2:2">
      <c r="B5097" s="422"/>
    </row>
    <row r="5098" spans="2:2">
      <c r="B5098" s="422"/>
    </row>
    <row r="5099" spans="2:2">
      <c r="B5099" s="422"/>
    </row>
    <row r="5100" spans="2:2">
      <c r="B5100" s="422"/>
    </row>
    <row r="5101" spans="2:2">
      <c r="B5101" s="422"/>
    </row>
    <row r="5102" spans="2:2">
      <c r="B5102" s="422"/>
    </row>
    <row r="5103" spans="2:2">
      <c r="B5103" s="422"/>
    </row>
    <row r="5104" spans="2:2">
      <c r="B5104" s="422"/>
    </row>
    <row r="5105" spans="2:2">
      <c r="B5105" s="422"/>
    </row>
    <row r="5106" spans="2:2">
      <c r="B5106" s="422"/>
    </row>
    <row r="5107" spans="2:2">
      <c r="B5107" s="422"/>
    </row>
    <row r="5108" spans="2:2">
      <c r="B5108" s="422"/>
    </row>
    <row r="5109" spans="2:2">
      <c r="B5109" s="422"/>
    </row>
    <row r="5110" spans="2:2">
      <c r="B5110" s="422"/>
    </row>
    <row r="5111" spans="2:2">
      <c r="B5111" s="422"/>
    </row>
    <row r="5112" spans="2:2">
      <c r="B5112" s="422"/>
    </row>
    <row r="5113" spans="2:2">
      <c r="B5113" s="422"/>
    </row>
    <row r="5114" spans="2:2">
      <c r="B5114" s="422"/>
    </row>
    <row r="5115" spans="2:2">
      <c r="B5115" s="422"/>
    </row>
    <row r="5116" spans="2:2">
      <c r="B5116" s="422"/>
    </row>
    <row r="5117" spans="2:2">
      <c r="B5117" s="422"/>
    </row>
    <row r="5118" spans="2:2">
      <c r="B5118" s="422"/>
    </row>
    <row r="5119" spans="2:2">
      <c r="B5119" s="422"/>
    </row>
    <row r="5120" spans="2:2">
      <c r="B5120" s="422"/>
    </row>
    <row r="5121" spans="2:2">
      <c r="B5121" s="422"/>
    </row>
    <row r="5122" spans="2:2">
      <c r="B5122" s="422"/>
    </row>
    <row r="5123" spans="2:2">
      <c r="B5123" s="422"/>
    </row>
    <row r="5124" spans="2:2">
      <c r="B5124" s="422"/>
    </row>
    <row r="5125" spans="2:2">
      <c r="B5125" s="422"/>
    </row>
    <row r="5126" spans="2:2">
      <c r="B5126" s="422"/>
    </row>
    <row r="5127" spans="2:2">
      <c r="B5127" s="422"/>
    </row>
    <row r="5128" spans="2:2">
      <c r="B5128" s="422"/>
    </row>
    <row r="5129" spans="2:2">
      <c r="B5129" s="422"/>
    </row>
    <row r="5130" spans="2:2">
      <c r="B5130" s="422"/>
    </row>
    <row r="5131" spans="2:2">
      <c r="B5131" s="422"/>
    </row>
    <row r="5132" spans="2:2">
      <c r="B5132" s="422"/>
    </row>
    <row r="5133" spans="2:2">
      <c r="B5133" s="422"/>
    </row>
    <row r="5134" spans="2:2">
      <c r="B5134" s="422"/>
    </row>
    <row r="5135" spans="2:2">
      <c r="B5135" s="422"/>
    </row>
    <row r="5136" spans="2:2">
      <c r="B5136" s="422"/>
    </row>
    <row r="5137" spans="2:2">
      <c r="B5137" s="422"/>
    </row>
    <row r="5138" spans="2:2">
      <c r="B5138" s="422"/>
    </row>
    <row r="5139" spans="2:2">
      <c r="B5139" s="422"/>
    </row>
    <row r="5140" spans="2:2">
      <c r="B5140" s="422"/>
    </row>
    <row r="5141" spans="2:2">
      <c r="B5141" s="422"/>
    </row>
    <row r="5142" spans="2:2">
      <c r="B5142" s="422"/>
    </row>
    <row r="5143" spans="2:2">
      <c r="B5143" s="422"/>
    </row>
    <row r="5144" spans="2:2">
      <c r="B5144" s="422"/>
    </row>
    <row r="5145" spans="2:2">
      <c r="B5145" s="422"/>
    </row>
    <row r="5146" spans="2:2">
      <c r="B5146" s="422"/>
    </row>
    <row r="5147" spans="2:2">
      <c r="B5147" s="422"/>
    </row>
    <row r="5148" spans="2:2">
      <c r="B5148" s="422"/>
    </row>
    <row r="5149" spans="2:2">
      <c r="B5149" s="422"/>
    </row>
    <row r="5150" spans="2:2">
      <c r="B5150" s="422"/>
    </row>
    <row r="5151" spans="2:2">
      <c r="B5151" s="422"/>
    </row>
    <row r="5152" spans="2:2">
      <c r="B5152" s="422"/>
    </row>
    <row r="5153" spans="2:2">
      <c r="B5153" s="422"/>
    </row>
    <row r="5154" spans="2:2">
      <c r="B5154" s="422"/>
    </row>
    <row r="5155" spans="2:2">
      <c r="B5155" s="422"/>
    </row>
    <row r="5156" spans="2:2">
      <c r="B5156" s="422"/>
    </row>
    <row r="5157" spans="2:2">
      <c r="B5157" s="422"/>
    </row>
    <row r="5158" spans="2:2">
      <c r="B5158" s="422"/>
    </row>
    <row r="5159" spans="2:2">
      <c r="B5159" s="422"/>
    </row>
    <row r="5160" spans="2:2">
      <c r="B5160" s="422"/>
    </row>
    <row r="5161" spans="2:2">
      <c r="B5161" s="422"/>
    </row>
    <row r="5162" spans="2:2">
      <c r="B5162" s="422"/>
    </row>
    <row r="5163" spans="2:2">
      <c r="B5163" s="422"/>
    </row>
    <row r="5164" spans="2:2">
      <c r="B5164" s="422"/>
    </row>
    <row r="5165" spans="2:2">
      <c r="B5165" s="422"/>
    </row>
    <row r="5166" spans="2:2">
      <c r="B5166" s="422"/>
    </row>
    <row r="5167" spans="2:2">
      <c r="B5167" s="422"/>
    </row>
    <row r="5168" spans="2:2">
      <c r="B5168" s="422"/>
    </row>
    <row r="5169" spans="2:2">
      <c r="B5169" s="422"/>
    </row>
    <row r="5170" spans="2:2">
      <c r="B5170" s="422"/>
    </row>
    <row r="5171" spans="2:2">
      <c r="B5171" s="422"/>
    </row>
    <row r="5172" spans="2:2">
      <c r="B5172" s="422"/>
    </row>
    <row r="5173" spans="2:2">
      <c r="B5173" s="422"/>
    </row>
    <row r="5174" spans="2:2">
      <c r="B5174" s="422"/>
    </row>
    <row r="5175" spans="2:2">
      <c r="B5175" s="422"/>
    </row>
    <row r="5176" spans="2:2">
      <c r="B5176" s="422"/>
    </row>
    <row r="5177" spans="2:2">
      <c r="B5177" s="422"/>
    </row>
    <row r="5178" spans="2:2">
      <c r="B5178" s="422"/>
    </row>
    <row r="5179" spans="2:2">
      <c r="B5179" s="422"/>
    </row>
    <row r="5180" spans="2:2">
      <c r="B5180" s="422"/>
    </row>
    <row r="5181" spans="2:2">
      <c r="B5181" s="422"/>
    </row>
    <row r="5182" spans="2:2">
      <c r="B5182" s="422"/>
    </row>
    <row r="5183" spans="2:2">
      <c r="B5183" s="422"/>
    </row>
    <row r="5184" spans="2:2">
      <c r="B5184" s="422"/>
    </row>
    <row r="5185" spans="2:2">
      <c r="B5185" s="422"/>
    </row>
    <row r="5186" spans="2:2">
      <c r="B5186" s="422"/>
    </row>
    <row r="5187" spans="2:2">
      <c r="B5187" s="422"/>
    </row>
    <row r="5188" spans="2:2">
      <c r="B5188" s="422"/>
    </row>
    <row r="5189" spans="2:2">
      <c r="B5189" s="422"/>
    </row>
    <row r="5190" spans="2:2">
      <c r="B5190" s="422"/>
    </row>
    <row r="5191" spans="2:2">
      <c r="B5191" s="422"/>
    </row>
    <row r="5192" spans="2:2">
      <c r="B5192" s="422"/>
    </row>
    <row r="5193" spans="2:2">
      <c r="B5193" s="422"/>
    </row>
    <row r="5194" spans="2:2">
      <c r="B5194" s="422"/>
    </row>
    <row r="5195" spans="2:2">
      <c r="B5195" s="422"/>
    </row>
    <row r="5196" spans="2:2">
      <c r="B5196" s="422"/>
    </row>
    <row r="5197" spans="2:2">
      <c r="B5197" s="422"/>
    </row>
    <row r="5198" spans="2:2">
      <c r="B5198" s="422"/>
    </row>
    <row r="5199" spans="2:2">
      <c r="B5199" s="422"/>
    </row>
    <row r="5200" spans="2:2">
      <c r="B5200" s="422"/>
    </row>
    <row r="5201" spans="2:2">
      <c r="B5201" s="422"/>
    </row>
    <row r="5202" spans="2:2">
      <c r="B5202" s="422"/>
    </row>
    <row r="5203" spans="2:2">
      <c r="B5203" s="422"/>
    </row>
    <row r="5204" spans="2:2">
      <c r="B5204" s="422"/>
    </row>
    <row r="5205" spans="2:2">
      <c r="B5205" s="422"/>
    </row>
    <row r="5206" spans="2:2">
      <c r="B5206" s="422"/>
    </row>
    <row r="5207" spans="2:2">
      <c r="B5207" s="422"/>
    </row>
    <row r="5208" spans="2:2">
      <c r="B5208" s="422"/>
    </row>
    <row r="5209" spans="2:2">
      <c r="B5209" s="422"/>
    </row>
    <row r="5210" spans="2:2">
      <c r="B5210" s="422"/>
    </row>
    <row r="5211" spans="2:2">
      <c r="B5211" s="422"/>
    </row>
    <row r="5212" spans="2:2">
      <c r="B5212" s="422"/>
    </row>
    <row r="5213" spans="2:2">
      <c r="B5213" s="422"/>
    </row>
    <row r="5214" spans="2:2">
      <c r="B5214" s="422"/>
    </row>
    <row r="5215" spans="2:2">
      <c r="B5215" s="422"/>
    </row>
    <row r="5216" spans="2:2">
      <c r="B5216" s="422"/>
    </row>
    <row r="5217" spans="2:2">
      <c r="B5217" s="422"/>
    </row>
    <row r="5218" spans="2:2">
      <c r="B5218" s="422"/>
    </row>
    <row r="5219" spans="2:2">
      <c r="B5219" s="422"/>
    </row>
    <row r="5220" spans="2:2">
      <c r="B5220" s="422"/>
    </row>
    <row r="5221" spans="2:2">
      <c r="B5221" s="422"/>
    </row>
    <row r="5222" spans="2:2">
      <c r="B5222" s="422"/>
    </row>
    <row r="5223" spans="2:2">
      <c r="B5223" s="422"/>
    </row>
    <row r="5224" spans="2:2">
      <c r="B5224" s="422"/>
    </row>
    <row r="5225" spans="2:2">
      <c r="B5225" s="422"/>
    </row>
    <row r="5226" spans="2:2">
      <c r="B5226" s="422"/>
    </row>
    <row r="5227" spans="2:2">
      <c r="B5227" s="422"/>
    </row>
    <row r="5228" spans="2:2">
      <c r="B5228" s="422"/>
    </row>
    <row r="5229" spans="2:2">
      <c r="B5229" s="422"/>
    </row>
    <row r="5230" spans="2:2">
      <c r="B5230" s="422"/>
    </row>
    <row r="5231" spans="2:2">
      <c r="B5231" s="422"/>
    </row>
    <row r="5232" spans="2:2">
      <c r="B5232" s="422"/>
    </row>
    <row r="5233" spans="2:2">
      <c r="B5233" s="422"/>
    </row>
    <row r="5234" spans="2:2">
      <c r="B5234" s="422"/>
    </row>
    <row r="5235" spans="2:2">
      <c r="B5235" s="422"/>
    </row>
    <row r="5236" spans="2:2">
      <c r="B5236" s="422"/>
    </row>
    <row r="5237" spans="2:2">
      <c r="B5237" s="422"/>
    </row>
    <row r="5238" spans="2:2">
      <c r="B5238" s="422"/>
    </row>
    <row r="5239" spans="2:2">
      <c r="B5239" s="422"/>
    </row>
    <row r="5240" spans="2:2">
      <c r="B5240" s="422"/>
    </row>
    <row r="5241" spans="2:2">
      <c r="B5241" s="422"/>
    </row>
    <row r="5242" spans="2:2">
      <c r="B5242" s="422"/>
    </row>
    <row r="5243" spans="2:2">
      <c r="B5243" s="422"/>
    </row>
    <row r="5244" spans="2:2">
      <c r="B5244" s="422"/>
    </row>
    <row r="5245" spans="2:2">
      <c r="B5245" s="422"/>
    </row>
    <row r="5246" spans="2:2">
      <c r="B5246" s="422"/>
    </row>
    <row r="5247" spans="2:2">
      <c r="B5247" s="422"/>
    </row>
    <row r="5248" spans="2:2">
      <c r="B5248" s="422"/>
    </row>
    <row r="5249" spans="2:2">
      <c r="B5249" s="422"/>
    </row>
    <row r="5250" spans="2:2">
      <c r="B5250" s="422"/>
    </row>
    <row r="5251" spans="2:2">
      <c r="B5251" s="422"/>
    </row>
    <row r="5252" spans="2:2">
      <c r="B5252" s="422"/>
    </row>
    <row r="5253" spans="2:2">
      <c r="B5253" s="422"/>
    </row>
    <row r="5254" spans="2:2">
      <c r="B5254" s="422"/>
    </row>
    <row r="5255" spans="2:2">
      <c r="B5255" s="422"/>
    </row>
    <row r="5256" spans="2:2">
      <c r="B5256" s="422"/>
    </row>
    <row r="5257" spans="2:2">
      <c r="B5257" s="422"/>
    </row>
    <row r="5258" spans="2:2">
      <c r="B5258" s="422"/>
    </row>
    <row r="5259" spans="2:2">
      <c r="B5259" s="422"/>
    </row>
    <row r="5260" spans="2:2">
      <c r="B5260" s="422"/>
    </row>
    <row r="5261" spans="2:2">
      <c r="B5261" s="422"/>
    </row>
    <row r="5262" spans="2:2">
      <c r="B5262" s="422"/>
    </row>
    <row r="5263" spans="2:2">
      <c r="B5263" s="422"/>
    </row>
    <row r="5264" spans="2:2">
      <c r="B5264" s="422"/>
    </row>
    <row r="5265" spans="2:2">
      <c r="B5265" s="422"/>
    </row>
    <row r="5266" spans="2:2">
      <c r="B5266" s="422"/>
    </row>
    <row r="5267" spans="2:2">
      <c r="B5267" s="422"/>
    </row>
    <row r="5268" spans="2:2">
      <c r="B5268" s="422"/>
    </row>
    <row r="5269" spans="2:2">
      <c r="B5269" s="422"/>
    </row>
    <row r="5270" spans="2:2">
      <c r="B5270" s="422"/>
    </row>
    <row r="5271" spans="2:2">
      <c r="B5271" s="422"/>
    </row>
    <row r="5272" spans="2:2">
      <c r="B5272" s="422"/>
    </row>
    <row r="5273" spans="2:2">
      <c r="B5273" s="422"/>
    </row>
    <row r="5274" spans="2:2">
      <c r="B5274" s="422"/>
    </row>
    <row r="5275" spans="2:2">
      <c r="B5275" s="422"/>
    </row>
    <row r="5276" spans="2:2">
      <c r="B5276" s="422"/>
    </row>
    <row r="5277" spans="2:2">
      <c r="B5277" s="422"/>
    </row>
    <row r="5278" spans="2:2">
      <c r="B5278" s="422"/>
    </row>
    <row r="5279" spans="2:2">
      <c r="B5279" s="422"/>
    </row>
    <row r="5280" spans="2:2">
      <c r="B5280" s="422"/>
    </row>
    <row r="5281" spans="2:2">
      <c r="B5281" s="422"/>
    </row>
    <row r="5282" spans="2:2">
      <c r="B5282" s="422"/>
    </row>
    <row r="5283" spans="2:2">
      <c r="B5283" s="422"/>
    </row>
    <row r="5284" spans="2:2">
      <c r="B5284" s="422"/>
    </row>
    <row r="5285" spans="2:2">
      <c r="B5285" s="422"/>
    </row>
    <row r="5286" spans="2:2">
      <c r="B5286" s="422"/>
    </row>
    <row r="5287" spans="2:2">
      <c r="B5287" s="422"/>
    </row>
    <row r="5288" spans="2:2">
      <c r="B5288" s="422"/>
    </row>
    <row r="5289" spans="2:2">
      <c r="B5289" s="422"/>
    </row>
    <row r="5290" spans="2:2">
      <c r="B5290" s="422"/>
    </row>
    <row r="5291" spans="2:2">
      <c r="B5291" s="422"/>
    </row>
    <row r="5292" spans="2:2">
      <c r="B5292" s="422"/>
    </row>
    <row r="5293" spans="2:2">
      <c r="B5293" s="422"/>
    </row>
    <row r="5294" spans="2:2">
      <c r="B5294" s="422"/>
    </row>
    <row r="5295" spans="2:2">
      <c r="B5295" s="422"/>
    </row>
    <row r="5296" spans="2:2">
      <c r="B5296" s="422"/>
    </row>
    <row r="5297" spans="2:2">
      <c r="B5297" s="422"/>
    </row>
    <row r="5298" spans="2:2">
      <c r="B5298" s="422"/>
    </row>
    <row r="5299" spans="2:2">
      <c r="B5299" s="422"/>
    </row>
    <row r="5300" spans="2:2">
      <c r="B5300" s="422"/>
    </row>
    <row r="5301" spans="2:2">
      <c r="B5301" s="422"/>
    </row>
    <row r="5302" spans="2:2">
      <c r="B5302" s="422"/>
    </row>
    <row r="5303" spans="2:2">
      <c r="B5303" s="422"/>
    </row>
    <row r="5304" spans="2:2">
      <c r="B5304" s="422"/>
    </row>
    <row r="5305" spans="2:2">
      <c r="B5305" s="422"/>
    </row>
    <row r="5306" spans="2:2">
      <c r="B5306" s="422"/>
    </row>
    <row r="5307" spans="2:2">
      <c r="B5307" s="422"/>
    </row>
    <row r="5308" spans="2:2">
      <c r="B5308" s="422"/>
    </row>
    <row r="5309" spans="2:2">
      <c r="B5309" s="422"/>
    </row>
    <row r="5310" spans="2:2">
      <c r="B5310" s="422"/>
    </row>
    <row r="5311" spans="2:2">
      <c r="B5311" s="422"/>
    </row>
    <row r="5312" spans="2:2">
      <c r="B5312" s="422"/>
    </row>
    <row r="5313" spans="2:2">
      <c r="B5313" s="422"/>
    </row>
    <row r="5314" spans="2:2">
      <c r="B5314" s="422"/>
    </row>
    <row r="5315" spans="2:2">
      <c r="B5315" s="422"/>
    </row>
    <row r="5316" spans="2:2">
      <c r="B5316" s="422"/>
    </row>
    <row r="5317" spans="2:2">
      <c r="B5317" s="422"/>
    </row>
    <row r="5318" spans="2:2">
      <c r="B5318" s="422"/>
    </row>
    <row r="5319" spans="2:2">
      <c r="B5319" s="422"/>
    </row>
    <row r="5320" spans="2:2">
      <c r="B5320" s="422"/>
    </row>
    <row r="5321" spans="2:2">
      <c r="B5321" s="422"/>
    </row>
    <row r="5322" spans="2:2">
      <c r="B5322" s="422"/>
    </row>
    <row r="5323" spans="2:2">
      <c r="B5323" s="422"/>
    </row>
    <row r="5324" spans="2:2">
      <c r="B5324" s="422"/>
    </row>
    <row r="5325" spans="2:2">
      <c r="B5325" s="422"/>
    </row>
    <row r="5326" spans="2:2">
      <c r="B5326" s="422"/>
    </row>
    <row r="5327" spans="2:2">
      <c r="B5327" s="422"/>
    </row>
    <row r="5328" spans="2:2">
      <c r="B5328" s="422"/>
    </row>
    <row r="5329" spans="2:2">
      <c r="B5329" s="422"/>
    </row>
    <row r="5330" spans="2:2">
      <c r="B5330" s="422"/>
    </row>
    <row r="5331" spans="2:2">
      <c r="B5331" s="422"/>
    </row>
    <row r="5332" spans="2:2">
      <c r="B5332" s="422"/>
    </row>
    <row r="5333" spans="2:2">
      <c r="B5333" s="422"/>
    </row>
    <row r="5334" spans="2:2">
      <c r="B5334" s="422"/>
    </row>
    <row r="5335" spans="2:2">
      <c r="B5335" s="422"/>
    </row>
    <row r="5336" spans="2:2">
      <c r="B5336" s="422"/>
    </row>
    <row r="5337" spans="2:2">
      <c r="B5337" s="422"/>
    </row>
    <row r="5338" spans="2:2">
      <c r="B5338" s="422"/>
    </row>
    <row r="5339" spans="2:2">
      <c r="B5339" s="422"/>
    </row>
    <row r="5340" spans="2:2">
      <c r="B5340" s="422"/>
    </row>
    <row r="5341" spans="2:2">
      <c r="B5341" s="422"/>
    </row>
    <row r="5342" spans="2:2">
      <c r="B5342" s="422"/>
    </row>
    <row r="5343" spans="2:2">
      <c r="B5343" s="422"/>
    </row>
    <row r="5344" spans="2:2">
      <c r="B5344" s="422"/>
    </row>
    <row r="5345" spans="2:2">
      <c r="B5345" s="422"/>
    </row>
    <row r="5346" spans="2:2">
      <c r="B5346" s="422"/>
    </row>
    <row r="5347" spans="2:2">
      <c r="B5347" s="422"/>
    </row>
    <row r="5348" spans="2:2">
      <c r="B5348" s="422"/>
    </row>
    <row r="5349" spans="2:2">
      <c r="B5349" s="422"/>
    </row>
    <row r="5350" spans="2:2">
      <c r="B5350" s="422"/>
    </row>
    <row r="5351" spans="2:2">
      <c r="B5351" s="422"/>
    </row>
    <row r="5352" spans="2:2">
      <c r="B5352" s="422"/>
    </row>
    <row r="5353" spans="2:2">
      <c r="B5353" s="422"/>
    </row>
    <row r="5354" spans="2:2">
      <c r="B5354" s="422"/>
    </row>
    <row r="5355" spans="2:2">
      <c r="B5355" s="422"/>
    </row>
    <row r="5356" spans="2:2">
      <c r="B5356" s="422"/>
    </row>
    <row r="5357" spans="2:2">
      <c r="B5357" s="422"/>
    </row>
    <row r="5358" spans="2:2">
      <c r="B5358" s="422"/>
    </row>
    <row r="5359" spans="2:2">
      <c r="B5359" s="422"/>
    </row>
    <row r="5360" spans="2:2">
      <c r="B5360" s="422"/>
    </row>
    <row r="5361" spans="2:2">
      <c r="B5361" s="422"/>
    </row>
    <row r="5362" spans="2:2">
      <c r="B5362" s="422"/>
    </row>
    <row r="5363" spans="2:2">
      <c r="B5363" s="422"/>
    </row>
    <row r="5364" spans="2:2">
      <c r="B5364" s="422"/>
    </row>
    <row r="5365" spans="2:2">
      <c r="B5365" s="422"/>
    </row>
    <row r="5366" spans="2:2">
      <c r="B5366" s="422"/>
    </row>
    <row r="5367" spans="2:2">
      <c r="B5367" s="422"/>
    </row>
    <row r="5368" spans="2:2">
      <c r="B5368" s="422"/>
    </row>
    <row r="5369" spans="2:2">
      <c r="B5369" s="422"/>
    </row>
    <row r="5370" spans="2:2">
      <c r="B5370" s="422"/>
    </row>
    <row r="5371" spans="2:2">
      <c r="B5371" s="422"/>
    </row>
    <row r="5372" spans="2:2">
      <c r="B5372" s="422"/>
    </row>
    <row r="5373" spans="2:2">
      <c r="B5373" s="422"/>
    </row>
    <row r="5374" spans="2:2">
      <c r="B5374" s="422"/>
    </row>
    <row r="5375" spans="2:2">
      <c r="B5375" s="422"/>
    </row>
    <row r="5376" spans="2:2">
      <c r="B5376" s="422"/>
    </row>
    <row r="5377" spans="2:2">
      <c r="B5377" s="422"/>
    </row>
    <row r="5378" spans="2:2">
      <c r="B5378" s="422"/>
    </row>
    <row r="5379" spans="2:2">
      <c r="B5379" s="422"/>
    </row>
    <row r="5380" spans="2:2">
      <c r="B5380" s="422"/>
    </row>
    <row r="5381" spans="2:2">
      <c r="B5381" s="422"/>
    </row>
    <row r="5382" spans="2:2">
      <c r="B5382" s="422"/>
    </row>
    <row r="5383" spans="2:2">
      <c r="B5383" s="422"/>
    </row>
    <row r="5384" spans="2:2">
      <c r="B5384" s="422"/>
    </row>
    <row r="5385" spans="2:2">
      <c r="B5385" s="422"/>
    </row>
    <row r="5386" spans="2:2">
      <c r="B5386" s="422"/>
    </row>
    <row r="5387" spans="2:2">
      <c r="B5387" s="422"/>
    </row>
    <row r="5388" spans="2:2">
      <c r="B5388" s="422"/>
    </row>
    <row r="5389" spans="2:2">
      <c r="B5389" s="422"/>
    </row>
    <row r="5390" spans="2:2">
      <c r="B5390" s="422"/>
    </row>
    <row r="5391" spans="2:2">
      <c r="B5391" s="422"/>
    </row>
    <row r="5392" spans="2:2">
      <c r="B5392" s="422"/>
    </row>
    <row r="5393" spans="2:2">
      <c r="B5393" s="422"/>
    </row>
    <row r="5394" spans="2:2">
      <c r="B5394" s="422"/>
    </row>
    <row r="5395" spans="2:2">
      <c r="B5395" s="422"/>
    </row>
    <row r="5396" spans="2:2">
      <c r="B5396" s="422"/>
    </row>
    <row r="5397" spans="2:2">
      <c r="B5397" s="422"/>
    </row>
    <row r="5398" spans="2:2">
      <c r="B5398" s="422"/>
    </row>
    <row r="5399" spans="2:2">
      <c r="B5399" s="422"/>
    </row>
    <row r="5400" spans="2:2">
      <c r="B5400" s="422"/>
    </row>
    <row r="5401" spans="2:2">
      <c r="B5401" s="422"/>
    </row>
    <row r="5402" spans="2:2">
      <c r="B5402" s="422"/>
    </row>
    <row r="5403" spans="2:2">
      <c r="B5403" s="422"/>
    </row>
    <row r="5404" spans="2:2">
      <c r="B5404" s="422"/>
    </row>
    <row r="5405" spans="2:2">
      <c r="B5405" s="422"/>
    </row>
    <row r="5406" spans="2:2">
      <c r="B5406" s="422"/>
    </row>
    <row r="5407" spans="2:2">
      <c r="B5407" s="422"/>
    </row>
    <row r="5408" spans="2:2">
      <c r="B5408" s="422"/>
    </row>
    <row r="5409" spans="2:2">
      <c r="B5409" s="422"/>
    </row>
    <row r="5410" spans="2:2">
      <c r="B5410" s="422"/>
    </row>
    <row r="5411" spans="2:2">
      <c r="B5411" s="422"/>
    </row>
    <row r="5412" spans="2:2">
      <c r="B5412" s="422"/>
    </row>
    <row r="5413" spans="2:2">
      <c r="B5413" s="422"/>
    </row>
    <row r="5414" spans="2:2">
      <c r="B5414" s="422"/>
    </row>
    <row r="5415" spans="2:2">
      <c r="B5415" s="422"/>
    </row>
    <row r="5416" spans="2:2">
      <c r="B5416" s="422"/>
    </row>
    <row r="5417" spans="2:2">
      <c r="B5417" s="422"/>
    </row>
    <row r="5418" spans="2:2">
      <c r="B5418" s="422"/>
    </row>
    <row r="5419" spans="2:2">
      <c r="B5419" s="422"/>
    </row>
    <row r="5420" spans="2:2">
      <c r="B5420" s="422"/>
    </row>
    <row r="5421" spans="2:2">
      <c r="B5421" s="422"/>
    </row>
    <row r="5422" spans="2:2">
      <c r="B5422" s="422"/>
    </row>
    <row r="5423" spans="2:2">
      <c r="B5423" s="422"/>
    </row>
    <row r="5424" spans="2:2">
      <c r="B5424" s="422"/>
    </row>
    <row r="5425" spans="2:2">
      <c r="B5425" s="422"/>
    </row>
    <row r="5426" spans="2:2">
      <c r="B5426" s="422"/>
    </row>
    <row r="5427" spans="2:2">
      <c r="B5427" s="422"/>
    </row>
    <row r="5428" spans="2:2">
      <c r="B5428" s="422"/>
    </row>
    <row r="5429" spans="2:2">
      <c r="B5429" s="422"/>
    </row>
    <row r="5430" spans="2:2">
      <c r="B5430" s="422"/>
    </row>
    <row r="5431" spans="2:2">
      <c r="B5431" s="422"/>
    </row>
    <row r="5432" spans="2:2">
      <c r="B5432" s="422"/>
    </row>
    <row r="5433" spans="2:2">
      <c r="B5433" s="422"/>
    </row>
    <row r="5434" spans="2:2">
      <c r="B5434" s="422"/>
    </row>
    <row r="5435" spans="2:2">
      <c r="B5435" s="422"/>
    </row>
    <row r="5436" spans="2:2">
      <c r="B5436" s="422"/>
    </row>
    <row r="5437" spans="2:2">
      <c r="B5437" s="422"/>
    </row>
    <row r="5438" spans="2:2">
      <c r="B5438" s="422"/>
    </row>
    <row r="5439" spans="2:2">
      <c r="B5439" s="422"/>
    </row>
    <row r="5440" spans="2:2">
      <c r="B5440" s="422"/>
    </row>
    <row r="5441" spans="2:2">
      <c r="B5441" s="422"/>
    </row>
    <row r="5442" spans="2:2">
      <c r="B5442" s="422"/>
    </row>
    <row r="5443" spans="2:2">
      <c r="B5443" s="422"/>
    </row>
    <row r="5444" spans="2:2">
      <c r="B5444" s="422"/>
    </row>
    <row r="5445" spans="2:2">
      <c r="B5445" s="422"/>
    </row>
    <row r="5446" spans="2:2">
      <c r="B5446" s="422"/>
    </row>
    <row r="5447" spans="2:2">
      <c r="B5447" s="422"/>
    </row>
    <row r="5448" spans="2:2">
      <c r="B5448" s="422"/>
    </row>
    <row r="5449" spans="2:2">
      <c r="B5449" s="422"/>
    </row>
    <row r="5450" spans="2:2">
      <c r="B5450" s="422"/>
    </row>
    <row r="5451" spans="2:2">
      <c r="B5451" s="422"/>
    </row>
    <row r="5452" spans="2:2">
      <c r="B5452" s="422"/>
    </row>
    <row r="5453" spans="2:2">
      <c r="B5453" s="422"/>
    </row>
    <row r="5454" spans="2:2">
      <c r="B5454" s="422"/>
    </row>
    <row r="5455" spans="2:2">
      <c r="B5455" s="422"/>
    </row>
    <row r="5456" spans="2:2">
      <c r="B5456" s="422"/>
    </row>
    <row r="5457" spans="2:2">
      <c r="B5457" s="422"/>
    </row>
    <row r="5458" spans="2:2">
      <c r="B5458" s="422"/>
    </row>
    <row r="5459" spans="2:2">
      <c r="B5459" s="422"/>
    </row>
    <row r="5460" spans="2:2">
      <c r="B5460" s="422"/>
    </row>
    <row r="5461" spans="2:2">
      <c r="B5461" s="422"/>
    </row>
    <row r="5462" spans="2:2">
      <c r="B5462" s="422"/>
    </row>
    <row r="5463" spans="2:2">
      <c r="B5463" s="422"/>
    </row>
    <row r="5464" spans="2:2">
      <c r="B5464" s="422"/>
    </row>
    <row r="5465" spans="2:2">
      <c r="B5465" s="422"/>
    </row>
    <row r="5466" spans="2:2">
      <c r="B5466" s="422"/>
    </row>
    <row r="5467" spans="2:2">
      <c r="B5467" s="422"/>
    </row>
    <row r="5468" spans="2:2">
      <c r="B5468" s="422"/>
    </row>
    <row r="5469" spans="2:2">
      <c r="B5469" s="422"/>
    </row>
    <row r="5470" spans="2:2">
      <c r="B5470" s="422"/>
    </row>
    <row r="5471" spans="2:2">
      <c r="B5471" s="422"/>
    </row>
    <row r="5472" spans="2:2">
      <c r="B5472" s="422"/>
    </row>
    <row r="5473" spans="2:2">
      <c r="B5473" s="422"/>
    </row>
    <row r="5474" spans="2:2">
      <c r="B5474" s="422"/>
    </row>
    <row r="5475" spans="2:2">
      <c r="B5475" s="422"/>
    </row>
    <row r="5476" spans="2:2">
      <c r="B5476" s="422"/>
    </row>
    <row r="5477" spans="2:2">
      <c r="B5477" s="422"/>
    </row>
    <row r="5478" spans="2:2">
      <c r="B5478" s="422"/>
    </row>
    <row r="5479" spans="2:2">
      <c r="B5479" s="422"/>
    </row>
    <row r="5480" spans="2:2">
      <c r="B5480" s="422"/>
    </row>
    <row r="5481" spans="2:2">
      <c r="B5481" s="422"/>
    </row>
    <row r="5482" spans="2:2">
      <c r="B5482" s="422"/>
    </row>
    <row r="5483" spans="2:2">
      <c r="B5483" s="422"/>
    </row>
    <row r="5484" spans="2:2">
      <c r="B5484" s="422"/>
    </row>
    <row r="5485" spans="2:2">
      <c r="B5485" s="422"/>
    </row>
    <row r="5486" spans="2:2">
      <c r="B5486" s="422"/>
    </row>
    <row r="5487" spans="2:2">
      <c r="B5487" s="422"/>
    </row>
    <row r="5488" spans="2:2">
      <c r="B5488" s="422"/>
    </row>
    <row r="5489" spans="2:2">
      <c r="B5489" s="422"/>
    </row>
    <row r="5490" spans="2:2">
      <c r="B5490" s="422"/>
    </row>
    <row r="5491" spans="2:2">
      <c r="B5491" s="422"/>
    </row>
    <row r="5492" spans="2:2">
      <c r="B5492" s="422"/>
    </row>
    <row r="5493" spans="2:2">
      <c r="B5493" s="422"/>
    </row>
    <row r="5494" spans="2:2">
      <c r="B5494" s="422"/>
    </row>
    <row r="5495" spans="2:2">
      <c r="B5495" s="422"/>
    </row>
    <row r="5496" spans="2:2">
      <c r="B5496" s="422"/>
    </row>
    <row r="5497" spans="2:2">
      <c r="B5497" s="422"/>
    </row>
    <row r="5498" spans="2:2">
      <c r="B5498" s="422"/>
    </row>
    <row r="5499" spans="2:2">
      <c r="B5499" s="422"/>
    </row>
    <row r="5500" spans="2:2">
      <c r="B5500" s="422"/>
    </row>
    <row r="5501" spans="2:2">
      <c r="B5501" s="422"/>
    </row>
    <row r="5502" spans="2:2">
      <c r="B5502" s="422"/>
    </row>
    <row r="5503" spans="2:2">
      <c r="B5503" s="422"/>
    </row>
    <row r="5504" spans="2:2">
      <c r="B5504" s="422"/>
    </row>
    <row r="5505" spans="2:2">
      <c r="B5505" s="422"/>
    </row>
    <row r="5506" spans="2:2">
      <c r="B5506" s="422"/>
    </row>
    <row r="5507" spans="2:2">
      <c r="B5507" s="422"/>
    </row>
    <row r="5508" spans="2:2">
      <c r="B5508" s="422"/>
    </row>
    <row r="5509" spans="2:2">
      <c r="B5509" s="422"/>
    </row>
    <row r="5510" spans="2:2">
      <c r="B5510" s="422"/>
    </row>
    <row r="5511" spans="2:2">
      <c r="B5511" s="422"/>
    </row>
    <row r="5512" spans="2:2">
      <c r="B5512" s="422"/>
    </row>
    <row r="5513" spans="2:2">
      <c r="B5513" s="422"/>
    </row>
    <row r="5514" spans="2:2">
      <c r="B5514" s="422"/>
    </row>
    <row r="5515" spans="2:2">
      <c r="B5515" s="422"/>
    </row>
    <row r="5516" spans="2:2">
      <c r="B5516" s="422"/>
    </row>
    <row r="5517" spans="2:2">
      <c r="B5517" s="422"/>
    </row>
    <row r="5518" spans="2:2">
      <c r="B5518" s="422"/>
    </row>
    <row r="5519" spans="2:2">
      <c r="B5519" s="422"/>
    </row>
    <row r="5520" spans="2:2">
      <c r="B5520" s="422"/>
    </row>
    <row r="5521" spans="2:2">
      <c r="B5521" s="422"/>
    </row>
    <row r="5522" spans="2:2">
      <c r="B5522" s="422"/>
    </row>
    <row r="5523" spans="2:2">
      <c r="B5523" s="422"/>
    </row>
    <row r="5524" spans="2:2">
      <c r="B5524" s="422"/>
    </row>
    <row r="5525" spans="2:2">
      <c r="B5525" s="422"/>
    </row>
    <row r="5526" spans="2:2">
      <c r="B5526" s="422"/>
    </row>
    <row r="5527" spans="2:2">
      <c r="B5527" s="422"/>
    </row>
    <row r="5528" spans="2:2">
      <c r="B5528" s="422"/>
    </row>
    <row r="5529" spans="2:2">
      <c r="B5529" s="422"/>
    </row>
    <row r="5530" spans="2:2">
      <c r="B5530" s="422"/>
    </row>
    <row r="5531" spans="2:2">
      <c r="B5531" s="422"/>
    </row>
    <row r="5532" spans="2:2">
      <c r="B5532" s="422"/>
    </row>
    <row r="5533" spans="2:2">
      <c r="B5533" s="422"/>
    </row>
    <row r="5534" spans="2:2">
      <c r="B5534" s="422"/>
    </row>
    <row r="5535" spans="2:2">
      <c r="B5535" s="422"/>
    </row>
    <row r="5536" spans="2:2">
      <c r="B5536" s="422"/>
    </row>
    <row r="5537" spans="2:2">
      <c r="B5537" s="422"/>
    </row>
    <row r="5538" spans="2:2">
      <c r="B5538" s="422"/>
    </row>
    <row r="5539" spans="2:2">
      <c r="B5539" s="422"/>
    </row>
    <row r="5540" spans="2:2">
      <c r="B5540" s="422"/>
    </row>
    <row r="5541" spans="2:2">
      <c r="B5541" s="422"/>
    </row>
    <row r="5542" spans="2:2">
      <c r="B5542" s="422"/>
    </row>
    <row r="5543" spans="2:2">
      <c r="B5543" s="422"/>
    </row>
    <row r="5544" spans="2:2">
      <c r="B5544" s="422"/>
    </row>
    <row r="5545" spans="2:2">
      <c r="B5545" s="422"/>
    </row>
    <row r="5546" spans="2:2">
      <c r="B5546" s="422"/>
    </row>
    <row r="5547" spans="2:2">
      <c r="B5547" s="422"/>
    </row>
    <row r="5548" spans="2:2">
      <c r="B5548" s="422"/>
    </row>
    <row r="5549" spans="2:2">
      <c r="B5549" s="422"/>
    </row>
    <row r="5550" spans="2:2">
      <c r="B5550" s="422"/>
    </row>
    <row r="5551" spans="2:2">
      <c r="B5551" s="422"/>
    </row>
    <row r="5552" spans="2:2">
      <c r="B5552" s="422"/>
    </row>
    <row r="5553" spans="2:2">
      <c r="B5553" s="422"/>
    </row>
    <row r="5554" spans="2:2">
      <c r="B5554" s="422"/>
    </row>
    <row r="5555" spans="2:2">
      <c r="B5555" s="422"/>
    </row>
    <row r="5556" spans="2:2">
      <c r="B5556" s="422"/>
    </row>
    <row r="5557" spans="2:2">
      <c r="B5557" s="422"/>
    </row>
    <row r="5558" spans="2:2">
      <c r="B5558" s="422"/>
    </row>
    <row r="5559" spans="2:2">
      <c r="B5559" s="422"/>
    </row>
    <row r="5560" spans="2:2">
      <c r="B5560" s="422"/>
    </row>
    <row r="5561" spans="2:2">
      <c r="B5561" s="422"/>
    </row>
    <row r="5562" spans="2:2">
      <c r="B5562" s="422"/>
    </row>
    <row r="5563" spans="2:2">
      <c r="B5563" s="422"/>
    </row>
    <row r="5564" spans="2:2">
      <c r="B5564" s="422"/>
    </row>
    <row r="5565" spans="2:2">
      <c r="B5565" s="422"/>
    </row>
    <row r="5566" spans="2:2">
      <c r="B5566" s="422"/>
    </row>
    <row r="5567" spans="2:2">
      <c r="B5567" s="422"/>
    </row>
    <row r="5568" spans="2:2">
      <c r="B5568" s="422"/>
    </row>
    <row r="5569" spans="2:2">
      <c r="B5569" s="422"/>
    </row>
    <row r="5570" spans="2:2">
      <c r="B5570" s="422"/>
    </row>
    <row r="5571" spans="2:2">
      <c r="B5571" s="422"/>
    </row>
    <row r="5572" spans="2:2">
      <c r="B5572" s="422"/>
    </row>
    <row r="5573" spans="2:2">
      <c r="B5573" s="422"/>
    </row>
    <row r="5574" spans="2:2">
      <c r="B5574" s="422"/>
    </row>
    <row r="5575" spans="2:2">
      <c r="B5575" s="422"/>
    </row>
    <row r="5576" spans="2:2">
      <c r="B5576" s="422"/>
    </row>
    <row r="5577" spans="2:2">
      <c r="B5577" s="422"/>
    </row>
    <row r="5578" spans="2:2">
      <c r="B5578" s="422"/>
    </row>
    <row r="5579" spans="2:2">
      <c r="B5579" s="422"/>
    </row>
    <row r="5580" spans="2:2">
      <c r="B5580" s="422"/>
    </row>
    <row r="5581" spans="2:2">
      <c r="B5581" s="422"/>
    </row>
    <row r="5582" spans="2:2">
      <c r="B5582" s="422"/>
    </row>
    <row r="5583" spans="2:2">
      <c r="B5583" s="422"/>
    </row>
    <row r="5584" spans="2:2">
      <c r="B5584" s="422"/>
    </row>
    <row r="5585" spans="2:2">
      <c r="B5585" s="422"/>
    </row>
    <row r="5586" spans="2:2">
      <c r="B5586" s="422"/>
    </row>
    <row r="5587" spans="2:2">
      <c r="B5587" s="422"/>
    </row>
    <row r="5588" spans="2:2">
      <c r="B5588" s="422"/>
    </row>
    <row r="5589" spans="2:2">
      <c r="B5589" s="422"/>
    </row>
    <row r="5590" spans="2:2">
      <c r="B5590" s="422"/>
    </row>
    <row r="5591" spans="2:2">
      <c r="B5591" s="422"/>
    </row>
    <row r="5592" spans="2:2">
      <c r="B5592" s="422"/>
    </row>
    <row r="5593" spans="2:2">
      <c r="B5593" s="422"/>
    </row>
    <row r="5594" spans="2:2">
      <c r="B5594" s="422"/>
    </row>
    <row r="5595" spans="2:2">
      <c r="B5595" s="422"/>
    </row>
    <row r="5596" spans="2:2">
      <c r="B5596" s="422"/>
    </row>
    <row r="5597" spans="2:2">
      <c r="B5597" s="422"/>
    </row>
    <row r="5598" spans="2:2">
      <c r="B5598" s="422"/>
    </row>
    <row r="5599" spans="2:2">
      <c r="B5599" s="422"/>
    </row>
    <row r="5600" spans="2:2">
      <c r="B5600" s="422"/>
    </row>
    <row r="5601" spans="2:2">
      <c r="B5601" s="422"/>
    </row>
    <row r="5602" spans="2:2">
      <c r="B5602" s="422"/>
    </row>
    <row r="5603" spans="2:2">
      <c r="B5603" s="422"/>
    </row>
    <row r="5604" spans="2:2">
      <c r="B5604" s="422"/>
    </row>
    <row r="5605" spans="2:2">
      <c r="B5605" s="422"/>
    </row>
    <row r="5606" spans="2:2">
      <c r="B5606" s="422"/>
    </row>
    <row r="5607" spans="2:2">
      <c r="B5607" s="422"/>
    </row>
    <row r="5608" spans="2:2">
      <c r="B5608" s="422"/>
    </row>
    <row r="5609" spans="2:2">
      <c r="B5609" s="422"/>
    </row>
    <row r="5610" spans="2:2">
      <c r="B5610" s="422"/>
    </row>
    <row r="5611" spans="2:2">
      <c r="B5611" s="422"/>
    </row>
    <row r="5612" spans="2:2">
      <c r="B5612" s="422"/>
    </row>
    <row r="5613" spans="2:2">
      <c r="B5613" s="422"/>
    </row>
    <row r="5614" spans="2:2">
      <c r="B5614" s="422"/>
    </row>
    <row r="5615" spans="2:2">
      <c r="B5615" s="422"/>
    </row>
    <row r="5616" spans="2:2">
      <c r="B5616" s="422"/>
    </row>
    <row r="5617" spans="2:2">
      <c r="B5617" s="422"/>
    </row>
    <row r="5618" spans="2:2">
      <c r="B5618" s="422"/>
    </row>
    <row r="5619" spans="2:2">
      <c r="B5619" s="422"/>
    </row>
    <row r="5620" spans="2:2">
      <c r="B5620" s="422"/>
    </row>
    <row r="5621" spans="2:2">
      <c r="B5621" s="422"/>
    </row>
    <row r="5622" spans="2:2">
      <c r="B5622" s="422"/>
    </row>
    <row r="5623" spans="2:2">
      <c r="B5623" s="422"/>
    </row>
    <row r="5624" spans="2:2">
      <c r="B5624" s="422"/>
    </row>
    <row r="5625" spans="2:2">
      <c r="B5625" s="422"/>
    </row>
    <row r="5626" spans="2:2">
      <c r="B5626" s="422"/>
    </row>
    <row r="5627" spans="2:2">
      <c r="B5627" s="422"/>
    </row>
    <row r="5628" spans="2:2">
      <c r="B5628" s="422"/>
    </row>
    <row r="5629" spans="2:2">
      <c r="B5629" s="422"/>
    </row>
    <row r="5630" spans="2:2">
      <c r="B5630" s="422"/>
    </row>
    <row r="5631" spans="2:2">
      <c r="B5631" s="422"/>
    </row>
    <row r="5632" spans="2:2">
      <c r="B5632" s="422"/>
    </row>
    <row r="5633" spans="2:2">
      <c r="B5633" s="422"/>
    </row>
    <row r="5634" spans="2:2">
      <c r="B5634" s="422"/>
    </row>
    <row r="5635" spans="2:2">
      <c r="B5635" s="422"/>
    </row>
    <row r="5636" spans="2:2">
      <c r="B5636" s="422"/>
    </row>
    <row r="5637" spans="2:2">
      <c r="B5637" s="422"/>
    </row>
    <row r="5638" spans="2:2">
      <c r="B5638" s="422"/>
    </row>
    <row r="5639" spans="2:2">
      <c r="B5639" s="422"/>
    </row>
    <row r="5640" spans="2:2">
      <c r="B5640" s="422"/>
    </row>
    <row r="5641" spans="2:2">
      <c r="B5641" s="422"/>
    </row>
    <row r="5642" spans="2:2">
      <c r="B5642" s="422"/>
    </row>
    <row r="5643" spans="2:2">
      <c r="B5643" s="422"/>
    </row>
    <row r="5644" spans="2:2">
      <c r="B5644" s="422"/>
    </row>
    <row r="5645" spans="2:2">
      <c r="B5645" s="422"/>
    </row>
    <row r="5646" spans="2:2">
      <c r="B5646" s="422"/>
    </row>
    <row r="5647" spans="2:2">
      <c r="B5647" s="422"/>
    </row>
    <row r="5648" spans="2:2">
      <c r="B5648" s="422"/>
    </row>
    <row r="5649" spans="2:2">
      <c r="B5649" s="422"/>
    </row>
    <row r="5650" spans="2:2">
      <c r="B5650" s="422"/>
    </row>
    <row r="5651" spans="2:2">
      <c r="B5651" s="422"/>
    </row>
    <row r="5652" spans="2:2">
      <c r="B5652" s="422"/>
    </row>
    <row r="5653" spans="2:2">
      <c r="B5653" s="422"/>
    </row>
    <row r="5654" spans="2:2">
      <c r="B5654" s="422"/>
    </row>
    <row r="5655" spans="2:2">
      <c r="B5655" s="422"/>
    </row>
    <row r="5656" spans="2:2">
      <c r="B5656" s="422"/>
    </row>
    <row r="5657" spans="2:2">
      <c r="B5657" s="422"/>
    </row>
    <row r="5658" spans="2:2">
      <c r="B5658" s="422"/>
    </row>
    <row r="5659" spans="2:2">
      <c r="B5659" s="422"/>
    </row>
    <row r="5660" spans="2:2">
      <c r="B5660" s="422"/>
    </row>
    <row r="5661" spans="2:2">
      <c r="B5661" s="422"/>
    </row>
    <row r="5662" spans="2:2">
      <c r="B5662" s="422"/>
    </row>
    <row r="5663" spans="2:2">
      <c r="B5663" s="422"/>
    </row>
    <row r="5664" spans="2:2">
      <c r="B5664" s="422"/>
    </row>
    <row r="5665" spans="2:2">
      <c r="B5665" s="422"/>
    </row>
    <row r="5666" spans="2:2">
      <c r="B5666" s="422"/>
    </row>
    <row r="5667" spans="2:2">
      <c r="B5667" s="422"/>
    </row>
    <row r="5668" spans="2:2">
      <c r="B5668" s="422"/>
    </row>
    <row r="5669" spans="2:2">
      <c r="B5669" s="422"/>
    </row>
    <row r="5670" spans="2:2">
      <c r="B5670" s="422"/>
    </row>
    <row r="5671" spans="2:2">
      <c r="B5671" s="422"/>
    </row>
    <row r="5672" spans="2:2">
      <c r="B5672" s="422"/>
    </row>
    <row r="5673" spans="2:2">
      <c r="B5673" s="422"/>
    </row>
    <row r="5674" spans="2:2">
      <c r="B5674" s="422"/>
    </row>
    <row r="5675" spans="2:2">
      <c r="B5675" s="422"/>
    </row>
    <row r="5676" spans="2:2">
      <c r="B5676" s="422"/>
    </row>
    <row r="5677" spans="2:2">
      <c r="B5677" s="422"/>
    </row>
    <row r="5678" spans="2:2">
      <c r="B5678" s="422"/>
    </row>
    <row r="5679" spans="2:2">
      <c r="B5679" s="422"/>
    </row>
    <row r="5680" spans="2:2">
      <c r="B5680" s="422"/>
    </row>
    <row r="5681" spans="2:2">
      <c r="B5681" s="422"/>
    </row>
    <row r="5682" spans="2:2">
      <c r="B5682" s="422"/>
    </row>
    <row r="5683" spans="2:2">
      <c r="B5683" s="422"/>
    </row>
    <row r="5684" spans="2:2">
      <c r="B5684" s="422"/>
    </row>
    <row r="5685" spans="2:2">
      <c r="B5685" s="422"/>
    </row>
    <row r="5686" spans="2:2">
      <c r="B5686" s="422"/>
    </row>
    <row r="5687" spans="2:2">
      <c r="B5687" s="422"/>
    </row>
    <row r="5688" spans="2:2">
      <c r="B5688" s="422"/>
    </row>
    <row r="5689" spans="2:2">
      <c r="B5689" s="422"/>
    </row>
    <row r="5690" spans="2:2">
      <c r="B5690" s="422"/>
    </row>
    <row r="5691" spans="2:2">
      <c r="B5691" s="422"/>
    </row>
    <row r="5692" spans="2:2">
      <c r="B5692" s="422"/>
    </row>
    <row r="5693" spans="2:2">
      <c r="B5693" s="422"/>
    </row>
    <row r="5694" spans="2:2">
      <c r="B5694" s="422"/>
    </row>
    <row r="5695" spans="2:2">
      <c r="B5695" s="422"/>
    </row>
    <row r="5696" spans="2:2">
      <c r="B5696" s="422"/>
    </row>
    <row r="5697" spans="2:2">
      <c r="B5697" s="422"/>
    </row>
    <row r="5698" spans="2:2">
      <c r="B5698" s="422"/>
    </row>
    <row r="5699" spans="2:2">
      <c r="B5699" s="422"/>
    </row>
    <row r="5700" spans="2:2">
      <c r="B5700" s="422"/>
    </row>
    <row r="5701" spans="2:2">
      <c r="B5701" s="422"/>
    </row>
    <row r="5702" spans="2:2">
      <c r="B5702" s="422"/>
    </row>
    <row r="5703" spans="2:2">
      <c r="B5703" s="422"/>
    </row>
    <row r="5704" spans="2:2">
      <c r="B5704" s="422"/>
    </row>
    <row r="5705" spans="2:2">
      <c r="B5705" s="422"/>
    </row>
    <row r="5706" spans="2:2">
      <c r="B5706" s="422"/>
    </row>
    <row r="5707" spans="2:2">
      <c r="B5707" s="422"/>
    </row>
    <row r="5708" spans="2:2">
      <c r="B5708" s="422"/>
    </row>
    <row r="5709" spans="2:2">
      <c r="B5709" s="422"/>
    </row>
    <row r="5710" spans="2:2">
      <c r="B5710" s="422"/>
    </row>
    <row r="5711" spans="2:2">
      <c r="B5711" s="422"/>
    </row>
    <row r="5712" spans="2:2">
      <c r="B5712" s="422"/>
    </row>
    <row r="5713" spans="2:2">
      <c r="B5713" s="422"/>
    </row>
    <row r="5714" spans="2:2">
      <c r="B5714" s="422"/>
    </row>
    <row r="5715" spans="2:2">
      <c r="B5715" s="422"/>
    </row>
    <row r="5716" spans="2:2">
      <c r="B5716" s="422"/>
    </row>
    <row r="5717" spans="2:2">
      <c r="B5717" s="422"/>
    </row>
    <row r="5718" spans="2:2">
      <c r="B5718" s="422"/>
    </row>
    <row r="5719" spans="2:2">
      <c r="B5719" s="422"/>
    </row>
    <row r="5720" spans="2:2">
      <c r="B5720" s="422"/>
    </row>
    <row r="5721" spans="2:2">
      <c r="B5721" s="422"/>
    </row>
    <row r="5722" spans="2:2">
      <c r="B5722" s="422"/>
    </row>
    <row r="5723" spans="2:2">
      <c r="B5723" s="422"/>
    </row>
    <row r="5724" spans="2:2">
      <c r="B5724" s="422"/>
    </row>
    <row r="5725" spans="2:2">
      <c r="B5725" s="422"/>
    </row>
    <row r="5726" spans="2:2">
      <c r="B5726" s="422"/>
    </row>
    <row r="5727" spans="2:2">
      <c r="B5727" s="422"/>
    </row>
    <row r="5728" spans="2:2">
      <c r="B5728" s="422"/>
    </row>
    <row r="5729" spans="2:2">
      <c r="B5729" s="422"/>
    </row>
    <row r="5730" spans="2:2">
      <c r="B5730" s="422"/>
    </row>
    <row r="5731" spans="2:2">
      <c r="B5731" s="422"/>
    </row>
    <row r="5732" spans="2:2">
      <c r="B5732" s="422"/>
    </row>
    <row r="5733" spans="2:2">
      <c r="B5733" s="422"/>
    </row>
    <row r="5734" spans="2:2">
      <c r="B5734" s="422"/>
    </row>
    <row r="5735" spans="2:2">
      <c r="B5735" s="422"/>
    </row>
    <row r="5736" spans="2:2">
      <c r="B5736" s="422"/>
    </row>
    <row r="5737" spans="2:2">
      <c r="B5737" s="422"/>
    </row>
    <row r="5738" spans="2:2">
      <c r="B5738" s="422"/>
    </row>
    <row r="5739" spans="2:2">
      <c r="B5739" s="422"/>
    </row>
    <row r="5740" spans="2:2">
      <c r="B5740" s="422"/>
    </row>
    <row r="5741" spans="2:2">
      <c r="B5741" s="422"/>
    </row>
    <row r="5742" spans="2:2">
      <c r="B5742" s="422"/>
    </row>
    <row r="5743" spans="2:2">
      <c r="B5743" s="422"/>
    </row>
    <row r="5744" spans="2:2">
      <c r="B5744" s="422"/>
    </row>
    <row r="5745" spans="2:2">
      <c r="B5745" s="422"/>
    </row>
    <row r="5746" spans="2:2">
      <c r="B5746" s="422"/>
    </row>
    <row r="5747" spans="2:2">
      <c r="B5747" s="422"/>
    </row>
    <row r="5748" spans="2:2">
      <c r="B5748" s="422"/>
    </row>
    <row r="5749" spans="2:2">
      <c r="B5749" s="422"/>
    </row>
    <row r="5750" spans="2:2">
      <c r="B5750" s="422"/>
    </row>
    <row r="5751" spans="2:2">
      <c r="B5751" s="422"/>
    </row>
    <row r="5752" spans="2:2">
      <c r="B5752" s="422"/>
    </row>
    <row r="5753" spans="2:2">
      <c r="B5753" s="422"/>
    </row>
    <row r="5754" spans="2:2">
      <c r="B5754" s="422"/>
    </row>
    <row r="5755" spans="2:2">
      <c r="B5755" s="422"/>
    </row>
    <row r="5756" spans="2:2">
      <c r="B5756" s="422"/>
    </row>
    <row r="5757" spans="2:2">
      <c r="B5757" s="422"/>
    </row>
    <row r="5758" spans="2:2">
      <c r="B5758" s="422"/>
    </row>
    <row r="5759" spans="2:2">
      <c r="B5759" s="422"/>
    </row>
    <row r="5760" spans="2:2">
      <c r="B5760" s="422"/>
    </row>
    <row r="5761" spans="2:2">
      <c r="B5761" s="422"/>
    </row>
    <row r="5762" spans="2:2">
      <c r="B5762" s="422"/>
    </row>
    <row r="5763" spans="2:2">
      <c r="B5763" s="422"/>
    </row>
    <row r="5764" spans="2:2">
      <c r="B5764" s="422"/>
    </row>
    <row r="5765" spans="2:2">
      <c r="B5765" s="422"/>
    </row>
    <row r="5766" spans="2:2">
      <c r="B5766" s="422"/>
    </row>
    <row r="5767" spans="2:2">
      <c r="B5767" s="422"/>
    </row>
    <row r="5768" spans="2:2">
      <c r="B5768" s="422"/>
    </row>
    <row r="5769" spans="2:2">
      <c r="B5769" s="422"/>
    </row>
    <row r="5770" spans="2:2">
      <c r="B5770" s="422"/>
    </row>
    <row r="5771" spans="2:2">
      <c r="B5771" s="422"/>
    </row>
    <row r="5772" spans="2:2">
      <c r="B5772" s="422"/>
    </row>
    <row r="5773" spans="2:2">
      <c r="B5773" s="422"/>
    </row>
    <row r="5774" spans="2:2">
      <c r="B5774" s="422"/>
    </row>
    <row r="5775" spans="2:2">
      <c r="B5775" s="422"/>
    </row>
    <row r="5776" spans="2:2">
      <c r="B5776" s="422"/>
    </row>
    <row r="5777" spans="2:2">
      <c r="B5777" s="422"/>
    </row>
    <row r="5778" spans="2:2">
      <c r="B5778" s="422"/>
    </row>
    <row r="5779" spans="2:2">
      <c r="B5779" s="422"/>
    </row>
    <row r="5780" spans="2:2">
      <c r="B5780" s="422"/>
    </row>
    <row r="5781" spans="2:2">
      <c r="B5781" s="422"/>
    </row>
    <row r="5782" spans="2:2">
      <c r="B5782" s="422"/>
    </row>
    <row r="5783" spans="2:2">
      <c r="B5783" s="422"/>
    </row>
    <row r="5784" spans="2:2">
      <c r="B5784" s="422"/>
    </row>
    <row r="5785" spans="2:2">
      <c r="B5785" s="422"/>
    </row>
    <row r="5786" spans="2:2">
      <c r="B5786" s="422"/>
    </row>
    <row r="5787" spans="2:2">
      <c r="B5787" s="422"/>
    </row>
    <row r="5788" spans="2:2">
      <c r="B5788" s="422"/>
    </row>
    <row r="5789" spans="2:2">
      <c r="B5789" s="422"/>
    </row>
    <row r="5790" spans="2:2">
      <c r="B5790" s="422"/>
    </row>
    <row r="5791" spans="2:2">
      <c r="B5791" s="422"/>
    </row>
    <row r="5792" spans="2:2">
      <c r="B5792" s="422"/>
    </row>
    <row r="5793" spans="2:2">
      <c r="B5793" s="422"/>
    </row>
    <row r="5794" spans="2:2">
      <c r="B5794" s="422"/>
    </row>
    <row r="5795" spans="2:2">
      <c r="B5795" s="422"/>
    </row>
    <row r="5796" spans="2:2">
      <c r="B5796" s="422"/>
    </row>
    <row r="5797" spans="2:2">
      <c r="B5797" s="422"/>
    </row>
    <row r="5798" spans="2:2">
      <c r="B5798" s="422"/>
    </row>
    <row r="5799" spans="2:2">
      <c r="B5799" s="422"/>
    </row>
    <row r="5800" spans="2:2">
      <c r="B5800" s="422"/>
    </row>
    <row r="5801" spans="2:2">
      <c r="B5801" s="422"/>
    </row>
    <row r="5802" spans="2:2">
      <c r="B5802" s="422"/>
    </row>
    <row r="5803" spans="2:2">
      <c r="B5803" s="422"/>
    </row>
    <row r="5804" spans="2:2">
      <c r="B5804" s="422"/>
    </row>
    <row r="5805" spans="2:2">
      <c r="B5805" s="422"/>
    </row>
    <row r="5806" spans="2:2">
      <c r="B5806" s="422"/>
    </row>
    <row r="5807" spans="2:2">
      <c r="B5807" s="422"/>
    </row>
    <row r="5808" spans="2:2">
      <c r="B5808" s="422"/>
    </row>
    <row r="5809" spans="2:2">
      <c r="B5809" s="422"/>
    </row>
    <row r="5810" spans="2:2">
      <c r="B5810" s="422"/>
    </row>
    <row r="5811" spans="2:2">
      <c r="B5811" s="422"/>
    </row>
    <row r="5812" spans="2:2">
      <c r="B5812" s="422"/>
    </row>
    <row r="5813" spans="2:2">
      <c r="B5813" s="422"/>
    </row>
    <row r="5814" spans="2:2">
      <c r="B5814" s="422"/>
    </row>
    <row r="5815" spans="2:2">
      <c r="B5815" s="422"/>
    </row>
    <row r="5816" spans="2:2">
      <c r="B5816" s="422"/>
    </row>
    <row r="5817" spans="2:2">
      <c r="B5817" s="422"/>
    </row>
    <row r="5818" spans="2:2">
      <c r="B5818" s="422"/>
    </row>
    <row r="5819" spans="2:2">
      <c r="B5819" s="422"/>
    </row>
    <row r="5820" spans="2:2">
      <c r="B5820" s="422"/>
    </row>
    <row r="5821" spans="2:2">
      <c r="B5821" s="422"/>
    </row>
    <row r="5822" spans="2:2">
      <c r="B5822" s="422"/>
    </row>
    <row r="5823" spans="2:2">
      <c r="B5823" s="422"/>
    </row>
    <row r="5824" spans="2:2">
      <c r="B5824" s="422"/>
    </row>
    <row r="5825" spans="2:2">
      <c r="B5825" s="422"/>
    </row>
    <row r="5826" spans="2:2">
      <c r="B5826" s="422"/>
    </row>
    <row r="5827" spans="2:2">
      <c r="B5827" s="422"/>
    </row>
    <row r="5828" spans="2:2">
      <c r="B5828" s="422"/>
    </row>
    <row r="5829" spans="2:2">
      <c r="B5829" s="422"/>
    </row>
    <row r="5830" spans="2:2">
      <c r="B5830" s="422"/>
    </row>
    <row r="5831" spans="2:2">
      <c r="B5831" s="422"/>
    </row>
    <row r="5832" spans="2:2">
      <c r="B5832" s="422"/>
    </row>
    <row r="5833" spans="2:2">
      <c r="B5833" s="422"/>
    </row>
    <row r="5834" spans="2:2">
      <c r="B5834" s="422"/>
    </row>
    <row r="5835" spans="2:2">
      <c r="B5835" s="422"/>
    </row>
    <row r="5836" spans="2:2">
      <c r="B5836" s="422"/>
    </row>
    <row r="5837" spans="2:2">
      <c r="B5837" s="422"/>
    </row>
    <row r="5838" spans="2:2">
      <c r="B5838" s="422"/>
    </row>
    <row r="5839" spans="2:2">
      <c r="B5839" s="422"/>
    </row>
    <row r="5840" spans="2:2">
      <c r="B5840" s="422"/>
    </row>
    <row r="5841" spans="2:2">
      <c r="B5841" s="422"/>
    </row>
    <row r="5842" spans="2:2">
      <c r="B5842" s="422"/>
    </row>
    <row r="5843" spans="2:2">
      <c r="B5843" s="422"/>
    </row>
    <row r="5844" spans="2:2">
      <c r="B5844" s="422"/>
    </row>
    <row r="5845" spans="2:2">
      <c r="B5845" s="422"/>
    </row>
    <row r="5846" spans="2:2">
      <c r="B5846" s="422"/>
    </row>
    <row r="5847" spans="2:2">
      <c r="B5847" s="422"/>
    </row>
    <row r="5848" spans="2:2">
      <c r="B5848" s="422"/>
    </row>
    <row r="5849" spans="2:2">
      <c r="B5849" s="422"/>
    </row>
    <row r="5850" spans="2:2">
      <c r="B5850" s="422"/>
    </row>
    <row r="5851" spans="2:2">
      <c r="B5851" s="422"/>
    </row>
    <row r="5852" spans="2:2">
      <c r="B5852" s="422"/>
    </row>
    <row r="5853" spans="2:2">
      <c r="B5853" s="422"/>
    </row>
    <row r="5854" spans="2:2">
      <c r="B5854" s="422"/>
    </row>
    <row r="5855" spans="2:2">
      <c r="B5855" s="422"/>
    </row>
    <row r="5856" spans="2:2">
      <c r="B5856" s="422"/>
    </row>
    <row r="5857" spans="2:2">
      <c r="B5857" s="422"/>
    </row>
    <row r="5858" spans="2:2">
      <c r="B5858" s="422"/>
    </row>
    <row r="5859" spans="2:2">
      <c r="B5859" s="422"/>
    </row>
    <row r="5860" spans="2:2">
      <c r="B5860" s="422"/>
    </row>
    <row r="5861" spans="2:2">
      <c r="B5861" s="422"/>
    </row>
    <row r="5862" spans="2:2">
      <c r="B5862" s="422"/>
    </row>
    <row r="5863" spans="2:2">
      <c r="B5863" s="422"/>
    </row>
    <row r="5864" spans="2:2">
      <c r="B5864" s="422"/>
    </row>
    <row r="5865" spans="2:2">
      <c r="B5865" s="422"/>
    </row>
    <row r="5866" spans="2:2">
      <c r="B5866" s="422"/>
    </row>
    <row r="5867" spans="2:2">
      <c r="B5867" s="422"/>
    </row>
    <row r="5868" spans="2:2">
      <c r="B5868" s="422"/>
    </row>
    <row r="5869" spans="2:2">
      <c r="B5869" s="422"/>
    </row>
    <row r="5870" spans="2:2">
      <c r="B5870" s="422"/>
    </row>
    <row r="5871" spans="2:2">
      <c r="B5871" s="422"/>
    </row>
    <row r="5872" spans="2:2">
      <c r="B5872" s="422"/>
    </row>
    <row r="5873" spans="2:2">
      <c r="B5873" s="422"/>
    </row>
    <row r="5874" spans="2:2">
      <c r="B5874" s="422"/>
    </row>
    <row r="5875" spans="2:2">
      <c r="B5875" s="422"/>
    </row>
    <row r="5876" spans="2:2">
      <c r="B5876" s="422"/>
    </row>
    <row r="5877" spans="2:2">
      <c r="B5877" s="422"/>
    </row>
    <row r="5878" spans="2:2">
      <c r="B5878" s="422"/>
    </row>
    <row r="5879" spans="2:2">
      <c r="B5879" s="422"/>
    </row>
    <row r="5880" spans="2:2">
      <c r="B5880" s="422"/>
    </row>
    <row r="5881" spans="2:2">
      <c r="B5881" s="422"/>
    </row>
    <row r="5882" spans="2:2">
      <c r="B5882" s="422"/>
    </row>
    <row r="5883" spans="2:2">
      <c r="B5883" s="422"/>
    </row>
    <row r="5884" spans="2:2">
      <c r="B5884" s="422"/>
    </row>
    <row r="5885" spans="2:2">
      <c r="B5885" s="422"/>
    </row>
    <row r="5886" spans="2:2">
      <c r="B5886" s="422"/>
    </row>
    <row r="5887" spans="2:2">
      <c r="B5887" s="422"/>
    </row>
    <row r="5888" spans="2:2">
      <c r="B5888" s="422"/>
    </row>
    <row r="5889" spans="2:2">
      <c r="B5889" s="422"/>
    </row>
    <row r="5890" spans="2:2">
      <c r="B5890" s="422"/>
    </row>
    <row r="5891" spans="2:2">
      <c r="B5891" s="422"/>
    </row>
    <row r="5892" spans="2:2">
      <c r="B5892" s="422"/>
    </row>
    <row r="5893" spans="2:2">
      <c r="B5893" s="422"/>
    </row>
    <row r="5894" spans="2:2">
      <c r="B5894" s="422"/>
    </row>
    <row r="5895" spans="2:2">
      <c r="B5895" s="422"/>
    </row>
    <row r="5896" spans="2:2">
      <c r="B5896" s="422"/>
    </row>
    <row r="5897" spans="2:2">
      <c r="B5897" s="422"/>
    </row>
    <row r="5898" spans="2:2">
      <c r="B5898" s="422"/>
    </row>
    <row r="5899" spans="2:2">
      <c r="B5899" s="422"/>
    </row>
    <row r="5900" spans="2:2">
      <c r="B5900" s="422"/>
    </row>
    <row r="5901" spans="2:2">
      <c r="B5901" s="422"/>
    </row>
    <row r="5902" spans="2:2">
      <c r="B5902" s="422"/>
    </row>
    <row r="5903" spans="2:2">
      <c r="B5903" s="422"/>
    </row>
    <row r="5904" spans="2:2">
      <c r="B5904" s="422"/>
    </row>
    <row r="5905" spans="2:2">
      <c r="B5905" s="422"/>
    </row>
    <row r="5906" spans="2:2">
      <c r="B5906" s="422"/>
    </row>
    <row r="5907" spans="2:2">
      <c r="B5907" s="422"/>
    </row>
    <row r="5908" spans="2:2">
      <c r="B5908" s="422"/>
    </row>
    <row r="5909" spans="2:2">
      <c r="B5909" s="422"/>
    </row>
    <row r="5910" spans="2:2">
      <c r="B5910" s="422"/>
    </row>
    <row r="5911" spans="2:2">
      <c r="B5911" s="422"/>
    </row>
    <row r="5912" spans="2:2">
      <c r="B5912" s="422"/>
    </row>
    <row r="5913" spans="2:2">
      <c r="B5913" s="422"/>
    </row>
    <row r="5914" spans="2:2">
      <c r="B5914" s="422"/>
    </row>
    <row r="5915" spans="2:2">
      <c r="B5915" s="422"/>
    </row>
    <row r="5916" spans="2:2">
      <c r="B5916" s="422"/>
    </row>
    <row r="5917" spans="2:2">
      <c r="B5917" s="422"/>
    </row>
    <row r="5918" spans="2:2">
      <c r="B5918" s="422"/>
    </row>
    <row r="5919" spans="2:2">
      <c r="B5919" s="422"/>
    </row>
    <row r="5920" spans="2:2">
      <c r="B5920" s="422"/>
    </row>
    <row r="5921" spans="2:2">
      <c r="B5921" s="422"/>
    </row>
    <row r="5922" spans="2:2">
      <c r="B5922" s="422"/>
    </row>
    <row r="5923" spans="2:2">
      <c r="B5923" s="422"/>
    </row>
    <row r="5924" spans="2:2">
      <c r="B5924" s="422"/>
    </row>
    <row r="5925" spans="2:2">
      <c r="B5925" s="422"/>
    </row>
    <row r="5926" spans="2:2">
      <c r="B5926" s="422"/>
    </row>
    <row r="5927" spans="2:2">
      <c r="B5927" s="422"/>
    </row>
    <row r="5928" spans="2:2">
      <c r="B5928" s="422"/>
    </row>
    <row r="5929" spans="2:2">
      <c r="B5929" s="422"/>
    </row>
    <row r="5930" spans="2:2">
      <c r="B5930" s="422"/>
    </row>
    <row r="5931" spans="2:2">
      <c r="B5931" s="422"/>
    </row>
    <row r="5932" spans="2:2">
      <c r="B5932" s="422"/>
    </row>
    <row r="5933" spans="2:2">
      <c r="B5933" s="422"/>
    </row>
    <row r="5934" spans="2:2">
      <c r="B5934" s="422"/>
    </row>
    <row r="5935" spans="2:2">
      <c r="B5935" s="422"/>
    </row>
    <row r="5936" spans="2:2">
      <c r="B5936" s="422"/>
    </row>
    <row r="5937" spans="2:2">
      <c r="B5937" s="422"/>
    </row>
    <row r="5938" spans="2:2">
      <c r="B5938" s="422"/>
    </row>
    <row r="5939" spans="2:2">
      <c r="B5939" s="422"/>
    </row>
    <row r="5940" spans="2:2">
      <c r="B5940" s="422"/>
    </row>
    <row r="5941" spans="2:2">
      <c r="B5941" s="422"/>
    </row>
    <row r="5942" spans="2:2">
      <c r="B5942" s="422"/>
    </row>
    <row r="5943" spans="2:2">
      <c r="B5943" s="422"/>
    </row>
    <row r="5944" spans="2:2">
      <c r="B5944" s="422"/>
    </row>
    <row r="5945" spans="2:2">
      <c r="B5945" s="422"/>
    </row>
    <row r="5946" spans="2:2">
      <c r="B5946" s="422"/>
    </row>
    <row r="5947" spans="2:2">
      <c r="B5947" s="422"/>
    </row>
    <row r="5948" spans="2:2">
      <c r="B5948" s="422"/>
    </row>
    <row r="5949" spans="2:2">
      <c r="B5949" s="422"/>
    </row>
    <row r="5950" spans="2:2">
      <c r="B5950" s="422"/>
    </row>
    <row r="5951" spans="2:2">
      <c r="B5951" s="422"/>
    </row>
    <row r="5952" spans="2:2">
      <c r="B5952" s="422"/>
    </row>
    <row r="5953" spans="2:2">
      <c r="B5953" s="422"/>
    </row>
    <row r="5954" spans="2:2">
      <c r="B5954" s="422"/>
    </row>
    <row r="5955" spans="2:2">
      <c r="B5955" s="422"/>
    </row>
    <row r="5956" spans="2:2">
      <c r="B5956" s="422"/>
    </row>
    <row r="5957" spans="2:2">
      <c r="B5957" s="422"/>
    </row>
    <row r="5958" spans="2:2">
      <c r="B5958" s="422"/>
    </row>
    <row r="5959" spans="2:2">
      <c r="B5959" s="422"/>
    </row>
    <row r="5960" spans="2:2">
      <c r="B5960" s="422"/>
    </row>
    <row r="5961" spans="2:2">
      <c r="B5961" s="422"/>
    </row>
    <row r="5962" spans="2:2">
      <c r="B5962" s="422"/>
    </row>
    <row r="5963" spans="2:2">
      <c r="B5963" s="422"/>
    </row>
    <row r="5964" spans="2:2">
      <c r="B5964" s="422"/>
    </row>
    <row r="5965" spans="2:2">
      <c r="B5965" s="422"/>
    </row>
    <row r="5966" spans="2:2">
      <c r="B5966" s="422"/>
    </row>
    <row r="5967" spans="2:2">
      <c r="B5967" s="422"/>
    </row>
    <row r="5968" spans="2:2">
      <c r="B5968" s="422"/>
    </row>
    <row r="5969" spans="2:2">
      <c r="B5969" s="422"/>
    </row>
    <row r="5970" spans="2:2">
      <c r="B5970" s="422"/>
    </row>
    <row r="5971" spans="2:2">
      <c r="B5971" s="422"/>
    </row>
    <row r="5972" spans="2:2">
      <c r="B5972" s="422"/>
    </row>
    <row r="5973" spans="2:2">
      <c r="B5973" s="422"/>
    </row>
    <row r="5974" spans="2:2">
      <c r="B5974" s="422"/>
    </row>
    <row r="5975" spans="2:2">
      <c r="B5975" s="422"/>
    </row>
    <row r="5976" spans="2:2">
      <c r="B5976" s="422"/>
    </row>
    <row r="5977" spans="2:2">
      <c r="B5977" s="422"/>
    </row>
    <row r="5978" spans="2:2">
      <c r="B5978" s="422"/>
    </row>
    <row r="5979" spans="2:2">
      <c r="B5979" s="422"/>
    </row>
    <row r="5980" spans="2:2">
      <c r="B5980" s="422"/>
    </row>
    <row r="5981" spans="2:2">
      <c r="B5981" s="422"/>
    </row>
    <row r="5982" spans="2:2">
      <c r="B5982" s="422"/>
    </row>
    <row r="5983" spans="2:2">
      <c r="B5983" s="422"/>
    </row>
    <row r="5984" spans="2:2">
      <c r="B5984" s="422"/>
    </row>
    <row r="5985" spans="2:2">
      <c r="B5985" s="422"/>
    </row>
    <row r="5986" spans="2:2">
      <c r="B5986" s="422"/>
    </row>
    <row r="5987" spans="2:2">
      <c r="B5987" s="422"/>
    </row>
    <row r="5988" spans="2:2">
      <c r="B5988" s="422"/>
    </row>
    <row r="5989" spans="2:2">
      <c r="B5989" s="422"/>
    </row>
    <row r="5990" spans="2:2">
      <c r="B5990" s="422"/>
    </row>
    <row r="5991" spans="2:2">
      <c r="B5991" s="422"/>
    </row>
    <row r="5992" spans="2:2">
      <c r="B5992" s="422"/>
    </row>
    <row r="5993" spans="2:2">
      <c r="B5993" s="422"/>
    </row>
    <row r="5994" spans="2:2">
      <c r="B5994" s="422"/>
    </row>
    <row r="5995" spans="2:2">
      <c r="B5995" s="422"/>
    </row>
    <row r="5996" spans="2:2">
      <c r="B5996" s="422"/>
    </row>
    <row r="5997" spans="2:2">
      <c r="B5997" s="422"/>
    </row>
    <row r="5998" spans="2:2">
      <c r="B5998" s="422"/>
    </row>
    <row r="5999" spans="2:2">
      <c r="B5999" s="422"/>
    </row>
    <row r="6000" spans="2:2">
      <c r="B6000" s="422"/>
    </row>
    <row r="6001" spans="2:2">
      <c r="B6001" s="422"/>
    </row>
    <row r="6002" spans="2:2">
      <c r="B6002" s="422"/>
    </row>
    <row r="6003" spans="2:2">
      <c r="B6003" s="422"/>
    </row>
    <row r="6004" spans="2:2">
      <c r="B6004" s="422"/>
    </row>
    <row r="6005" spans="2:2">
      <c r="B6005" s="422"/>
    </row>
    <row r="6006" spans="2:2">
      <c r="B6006" s="422"/>
    </row>
    <row r="6007" spans="2:2">
      <c r="B6007" s="422"/>
    </row>
    <row r="6008" spans="2:2">
      <c r="B6008" s="422"/>
    </row>
    <row r="6009" spans="2:2">
      <c r="B6009" s="422"/>
    </row>
    <row r="6010" spans="2:2">
      <c r="B6010" s="422"/>
    </row>
    <row r="6011" spans="2:2">
      <c r="B6011" s="422"/>
    </row>
    <row r="6012" spans="2:2">
      <c r="B6012" s="422"/>
    </row>
    <row r="6013" spans="2:2">
      <c r="B6013" s="422"/>
    </row>
    <row r="6014" spans="2:2">
      <c r="B6014" s="422"/>
    </row>
    <row r="6015" spans="2:2">
      <c r="B6015" s="422"/>
    </row>
    <row r="6016" spans="2:2">
      <c r="B6016" s="422"/>
    </row>
    <row r="6017" spans="2:2">
      <c r="B6017" s="422"/>
    </row>
    <row r="6018" spans="2:2">
      <c r="B6018" s="422"/>
    </row>
    <row r="6019" spans="2:2">
      <c r="B6019" s="422"/>
    </row>
    <row r="6020" spans="2:2">
      <c r="B6020" s="422"/>
    </row>
    <row r="6021" spans="2:2">
      <c r="B6021" s="422"/>
    </row>
    <row r="6022" spans="2:2">
      <c r="B6022" s="422"/>
    </row>
    <row r="6023" spans="2:2">
      <c r="B6023" s="422"/>
    </row>
    <row r="6024" spans="2:2">
      <c r="B6024" s="422"/>
    </row>
    <row r="6025" spans="2:2">
      <c r="B6025" s="422"/>
    </row>
    <row r="6026" spans="2:2">
      <c r="B6026" s="422"/>
    </row>
    <row r="6027" spans="2:2">
      <c r="B6027" s="422"/>
    </row>
    <row r="6028" spans="2:2">
      <c r="B6028" s="422"/>
    </row>
    <row r="6029" spans="2:2">
      <c r="B6029" s="422"/>
    </row>
    <row r="6030" spans="2:2">
      <c r="B6030" s="422"/>
    </row>
    <row r="6031" spans="2:2">
      <c r="B6031" s="422"/>
    </row>
    <row r="6032" spans="2:2">
      <c r="B6032" s="422"/>
    </row>
    <row r="6033" spans="2:2">
      <c r="B6033" s="422"/>
    </row>
    <row r="6034" spans="2:2">
      <c r="B6034" s="422"/>
    </row>
    <row r="6035" spans="2:2">
      <c r="B6035" s="422"/>
    </row>
    <row r="6036" spans="2:2">
      <c r="B6036" s="422"/>
    </row>
    <row r="6037" spans="2:2">
      <c r="B6037" s="422"/>
    </row>
    <row r="6038" spans="2:2">
      <c r="B6038" s="422"/>
    </row>
    <row r="6039" spans="2:2">
      <c r="B6039" s="422"/>
    </row>
    <row r="6040" spans="2:2">
      <c r="B6040" s="422"/>
    </row>
    <row r="6041" spans="2:2">
      <c r="B6041" s="422"/>
    </row>
    <row r="6042" spans="2:2">
      <c r="B6042" s="422"/>
    </row>
    <row r="6043" spans="2:2">
      <c r="B6043" s="422"/>
    </row>
    <row r="6044" spans="2:2">
      <c r="B6044" s="422"/>
    </row>
    <row r="6045" spans="2:2">
      <c r="B6045" s="422"/>
    </row>
    <row r="6046" spans="2:2">
      <c r="B6046" s="422"/>
    </row>
    <row r="6047" spans="2:2">
      <c r="B6047" s="422"/>
    </row>
    <row r="6048" spans="2:2">
      <c r="B6048" s="422"/>
    </row>
    <row r="6049" spans="2:2">
      <c r="B6049" s="422"/>
    </row>
    <row r="6050" spans="2:2">
      <c r="B6050" s="422"/>
    </row>
    <row r="6051" spans="2:2">
      <c r="B6051" s="422"/>
    </row>
    <row r="6052" spans="2:2">
      <c r="B6052" s="422"/>
    </row>
    <row r="6053" spans="2:2">
      <c r="B6053" s="422"/>
    </row>
    <row r="6054" spans="2:2">
      <c r="B6054" s="422"/>
    </row>
    <row r="6055" spans="2:2">
      <c r="B6055" s="422"/>
    </row>
    <row r="6056" spans="2:2">
      <c r="B6056" s="422"/>
    </row>
    <row r="6057" spans="2:2">
      <c r="B6057" s="422"/>
    </row>
    <row r="6058" spans="2:2">
      <c r="B6058" s="422"/>
    </row>
    <row r="6059" spans="2:2">
      <c r="B6059" s="422"/>
    </row>
    <row r="6060" spans="2:2">
      <c r="B6060" s="422"/>
    </row>
    <row r="6061" spans="2:2">
      <c r="B6061" s="422"/>
    </row>
    <row r="6062" spans="2:2">
      <c r="B6062" s="422"/>
    </row>
    <row r="6063" spans="2:2">
      <c r="B6063" s="422"/>
    </row>
    <row r="6064" spans="2:2">
      <c r="B6064" s="422"/>
    </row>
    <row r="6065" spans="2:2">
      <c r="B6065" s="422"/>
    </row>
    <row r="6066" spans="2:2">
      <c r="B6066" s="422"/>
    </row>
    <row r="6067" spans="2:2">
      <c r="B6067" s="422"/>
    </row>
    <row r="6068" spans="2:2">
      <c r="B6068" s="422"/>
    </row>
    <row r="6069" spans="2:2">
      <c r="B6069" s="422"/>
    </row>
    <row r="6070" spans="2:2">
      <c r="B6070" s="422"/>
    </row>
    <row r="6071" spans="2:2">
      <c r="B6071" s="422"/>
    </row>
    <row r="6072" spans="2:2">
      <c r="B6072" s="422"/>
    </row>
    <row r="6073" spans="2:2">
      <c r="B6073" s="422"/>
    </row>
    <row r="6074" spans="2:2">
      <c r="B6074" s="422"/>
    </row>
    <row r="6075" spans="2:2">
      <c r="B6075" s="422"/>
    </row>
    <row r="6076" spans="2:2">
      <c r="B6076" s="422"/>
    </row>
    <row r="6077" spans="2:2">
      <c r="B6077" s="422"/>
    </row>
    <row r="6078" spans="2:2">
      <c r="B6078" s="422"/>
    </row>
    <row r="6079" spans="2:2">
      <c r="B6079" s="422"/>
    </row>
    <row r="6080" spans="2:2">
      <c r="B6080" s="422"/>
    </row>
    <row r="6081" spans="2:2">
      <c r="B6081" s="422"/>
    </row>
    <row r="6082" spans="2:2">
      <c r="B6082" s="422"/>
    </row>
    <row r="6083" spans="2:2">
      <c r="B6083" s="422"/>
    </row>
    <row r="6084" spans="2:2">
      <c r="B6084" s="422"/>
    </row>
    <row r="6085" spans="2:2">
      <c r="B6085" s="422"/>
    </row>
    <row r="6086" spans="2:2">
      <c r="B6086" s="422"/>
    </row>
    <row r="6087" spans="2:2">
      <c r="B6087" s="422"/>
    </row>
    <row r="6088" spans="2:2">
      <c r="B6088" s="422"/>
    </row>
    <row r="6089" spans="2:2">
      <c r="B6089" s="422"/>
    </row>
    <row r="6090" spans="2:2">
      <c r="B6090" s="422"/>
    </row>
    <row r="6091" spans="2:2">
      <c r="B6091" s="422"/>
    </row>
    <row r="6092" spans="2:2">
      <c r="B6092" s="422"/>
    </row>
    <row r="6093" spans="2:2">
      <c r="B6093" s="422"/>
    </row>
    <row r="6094" spans="2:2">
      <c r="B6094" s="422"/>
    </row>
    <row r="6095" spans="2:2">
      <c r="B6095" s="422"/>
    </row>
    <row r="6096" spans="2:2">
      <c r="B6096" s="422"/>
    </row>
    <row r="6097" spans="2:2">
      <c r="B6097" s="422"/>
    </row>
    <row r="6098" spans="2:2">
      <c r="B6098" s="422"/>
    </row>
    <row r="6099" spans="2:2">
      <c r="B6099" s="422"/>
    </row>
    <row r="6100" spans="2:2">
      <c r="B6100" s="422"/>
    </row>
    <row r="6101" spans="2:2">
      <c r="B6101" s="422"/>
    </row>
    <row r="6102" spans="2:2">
      <c r="B6102" s="422"/>
    </row>
    <row r="6103" spans="2:2">
      <c r="B6103" s="422"/>
    </row>
    <row r="6104" spans="2:2">
      <c r="B6104" s="422"/>
    </row>
    <row r="6105" spans="2:2">
      <c r="B6105" s="422"/>
    </row>
    <row r="6106" spans="2:2">
      <c r="B6106" s="422"/>
    </row>
    <row r="6107" spans="2:2">
      <c r="B6107" s="422"/>
    </row>
    <row r="6108" spans="2:2">
      <c r="B6108" s="422"/>
    </row>
    <row r="6109" spans="2:2">
      <c r="B6109" s="422"/>
    </row>
    <row r="6110" spans="2:2">
      <c r="B6110" s="422"/>
    </row>
    <row r="6111" spans="2:2">
      <c r="B6111" s="422"/>
    </row>
    <row r="6112" spans="2:2">
      <c r="B6112" s="422"/>
    </row>
    <row r="6113" spans="2:2">
      <c r="B6113" s="422"/>
    </row>
    <row r="6114" spans="2:2">
      <c r="B6114" s="422"/>
    </row>
    <row r="6115" spans="2:2">
      <c r="B6115" s="422"/>
    </row>
    <row r="6116" spans="2:2">
      <c r="B6116" s="422"/>
    </row>
    <row r="6117" spans="2:2">
      <c r="B6117" s="422"/>
    </row>
    <row r="6118" spans="2:2">
      <c r="B6118" s="422"/>
    </row>
    <row r="6119" spans="2:2">
      <c r="B6119" s="422"/>
    </row>
    <row r="6120" spans="2:2">
      <c r="B6120" s="422"/>
    </row>
    <row r="6121" spans="2:2">
      <c r="B6121" s="422"/>
    </row>
    <row r="6122" spans="2:2">
      <c r="B6122" s="422"/>
    </row>
    <row r="6123" spans="2:2">
      <c r="B6123" s="422"/>
    </row>
    <row r="6124" spans="2:2">
      <c r="B6124" s="422"/>
    </row>
    <row r="6125" spans="2:2">
      <c r="B6125" s="422"/>
    </row>
    <row r="6126" spans="2:2">
      <c r="B6126" s="422"/>
    </row>
    <row r="6127" spans="2:2">
      <c r="B6127" s="422"/>
    </row>
    <row r="6128" spans="2:2">
      <c r="B6128" s="422"/>
    </row>
    <row r="6129" spans="2:2">
      <c r="B6129" s="422"/>
    </row>
    <row r="6130" spans="2:2">
      <c r="B6130" s="422"/>
    </row>
    <row r="6131" spans="2:2">
      <c r="B6131" s="422"/>
    </row>
    <row r="6132" spans="2:2">
      <c r="B6132" s="422"/>
    </row>
    <row r="6133" spans="2:2">
      <c r="B6133" s="422"/>
    </row>
    <row r="6134" spans="2:2">
      <c r="B6134" s="422"/>
    </row>
    <row r="6135" spans="2:2">
      <c r="B6135" s="422"/>
    </row>
    <row r="6136" spans="2:2">
      <c r="B6136" s="422"/>
    </row>
    <row r="6137" spans="2:2">
      <c r="B6137" s="422"/>
    </row>
    <row r="6138" spans="2:2">
      <c r="B6138" s="422"/>
    </row>
    <row r="6139" spans="2:2">
      <c r="B6139" s="422"/>
    </row>
    <row r="6140" spans="2:2">
      <c r="B6140" s="422"/>
    </row>
    <row r="6141" spans="2:2">
      <c r="B6141" s="422"/>
    </row>
    <row r="6142" spans="2:2">
      <c r="B6142" s="422"/>
    </row>
    <row r="6143" spans="2:2">
      <c r="B6143" s="422"/>
    </row>
    <row r="6144" spans="2:2">
      <c r="B6144" s="422"/>
    </row>
    <row r="6145" spans="2:2">
      <c r="B6145" s="422"/>
    </row>
    <row r="6146" spans="2:2">
      <c r="B6146" s="422"/>
    </row>
    <row r="6147" spans="2:2">
      <c r="B6147" s="422"/>
    </row>
    <row r="6148" spans="2:2">
      <c r="B6148" s="422"/>
    </row>
    <row r="6149" spans="2:2">
      <c r="B6149" s="422"/>
    </row>
    <row r="6150" spans="2:2">
      <c r="B6150" s="422"/>
    </row>
    <row r="6151" spans="2:2">
      <c r="B6151" s="422"/>
    </row>
    <row r="6152" spans="2:2">
      <c r="B6152" s="422"/>
    </row>
    <row r="6153" spans="2:2">
      <c r="B6153" s="422"/>
    </row>
    <row r="6154" spans="2:2">
      <c r="B6154" s="422"/>
    </row>
    <row r="6155" spans="2:2">
      <c r="B6155" s="422"/>
    </row>
    <row r="6156" spans="2:2">
      <c r="B6156" s="422"/>
    </row>
    <row r="6157" spans="2:2">
      <c r="B6157" s="422"/>
    </row>
    <row r="6158" spans="2:2">
      <c r="B6158" s="422"/>
    </row>
    <row r="6159" spans="2:2">
      <c r="B6159" s="422"/>
    </row>
    <row r="6160" spans="2:2">
      <c r="B6160" s="422"/>
    </row>
    <row r="6161" spans="2:2">
      <c r="B6161" s="422"/>
    </row>
    <row r="6162" spans="2:2">
      <c r="B6162" s="422"/>
    </row>
    <row r="6163" spans="2:2">
      <c r="B6163" s="422"/>
    </row>
    <row r="6164" spans="2:2">
      <c r="B6164" s="422"/>
    </row>
    <row r="6165" spans="2:2">
      <c r="B6165" s="422"/>
    </row>
    <row r="6166" spans="2:2">
      <c r="B6166" s="422"/>
    </row>
    <row r="6167" spans="2:2">
      <c r="B6167" s="422"/>
    </row>
    <row r="6168" spans="2:2">
      <c r="B6168" s="422"/>
    </row>
    <row r="6169" spans="2:2">
      <c r="B6169" s="422"/>
    </row>
    <row r="6170" spans="2:2">
      <c r="B6170" s="422"/>
    </row>
    <row r="6171" spans="2:2">
      <c r="B6171" s="422"/>
    </row>
    <row r="6172" spans="2:2">
      <c r="B6172" s="422"/>
    </row>
    <row r="6173" spans="2:2">
      <c r="B6173" s="422"/>
    </row>
    <row r="6174" spans="2:2">
      <c r="B6174" s="422"/>
    </row>
    <row r="6175" spans="2:2">
      <c r="B6175" s="422"/>
    </row>
    <row r="6176" spans="2:2">
      <c r="B6176" s="422"/>
    </row>
    <row r="6177" spans="2:2">
      <c r="B6177" s="422"/>
    </row>
    <row r="6178" spans="2:2">
      <c r="B6178" s="422"/>
    </row>
    <row r="6179" spans="2:2">
      <c r="B6179" s="422"/>
    </row>
    <row r="6180" spans="2:2">
      <c r="B6180" s="422"/>
    </row>
    <row r="6181" spans="2:2">
      <c r="B6181" s="422"/>
    </row>
    <row r="6182" spans="2:2">
      <c r="B6182" s="422"/>
    </row>
    <row r="6183" spans="2:2">
      <c r="B6183" s="422"/>
    </row>
    <row r="6184" spans="2:2">
      <c r="B6184" s="422"/>
    </row>
    <row r="6185" spans="2:2">
      <c r="B6185" s="422"/>
    </row>
    <row r="6186" spans="2:2">
      <c r="B6186" s="422"/>
    </row>
    <row r="6187" spans="2:2">
      <c r="B6187" s="422"/>
    </row>
    <row r="6188" spans="2:2">
      <c r="B6188" s="422"/>
    </row>
    <row r="6189" spans="2:2">
      <c r="B6189" s="422"/>
    </row>
    <row r="6190" spans="2:2">
      <c r="B6190" s="422"/>
    </row>
    <row r="6191" spans="2:2">
      <c r="B6191" s="422"/>
    </row>
    <row r="6192" spans="2:2">
      <c r="B6192" s="422"/>
    </row>
    <row r="6193" spans="2:2">
      <c r="B6193" s="422"/>
    </row>
    <row r="6194" spans="2:2">
      <c r="B6194" s="422"/>
    </row>
    <row r="6195" spans="2:2">
      <c r="B6195" s="422"/>
    </row>
    <row r="6196" spans="2:2">
      <c r="B6196" s="422"/>
    </row>
    <row r="6197" spans="2:2">
      <c r="B6197" s="422"/>
    </row>
    <row r="6198" spans="2:2">
      <c r="B6198" s="422"/>
    </row>
    <row r="6199" spans="2:2">
      <c r="B6199" s="422"/>
    </row>
    <row r="6200" spans="2:2">
      <c r="B6200" s="422"/>
    </row>
    <row r="6201" spans="2:2">
      <c r="B6201" s="422"/>
    </row>
    <row r="6202" spans="2:2">
      <c r="B6202" s="422"/>
    </row>
    <row r="6203" spans="2:2">
      <c r="B6203" s="422"/>
    </row>
    <row r="6204" spans="2:2">
      <c r="B6204" s="422"/>
    </row>
    <row r="6205" spans="2:2">
      <c r="B6205" s="422"/>
    </row>
    <row r="6206" spans="2:2">
      <c r="B6206" s="422"/>
    </row>
    <row r="6207" spans="2:2">
      <c r="B6207" s="422"/>
    </row>
    <row r="6208" spans="2:2">
      <c r="B6208" s="422"/>
    </row>
    <row r="6209" spans="2:2">
      <c r="B6209" s="422"/>
    </row>
    <row r="6210" spans="2:2">
      <c r="B6210" s="422"/>
    </row>
    <row r="6211" spans="2:2">
      <c r="B6211" s="422"/>
    </row>
    <row r="6212" spans="2:2">
      <c r="B6212" s="422"/>
    </row>
    <row r="6213" spans="2:2">
      <c r="B6213" s="422"/>
    </row>
    <row r="6214" spans="2:2">
      <c r="B6214" s="422"/>
    </row>
    <row r="6215" spans="2:2">
      <c r="B6215" s="422"/>
    </row>
    <row r="6216" spans="2:2">
      <c r="B6216" s="422"/>
    </row>
    <row r="6217" spans="2:2">
      <c r="B6217" s="422"/>
    </row>
    <row r="6218" spans="2:2">
      <c r="B6218" s="422"/>
    </row>
    <row r="6219" spans="2:2">
      <c r="B6219" s="422"/>
    </row>
    <row r="6220" spans="2:2">
      <c r="B6220" s="422"/>
    </row>
    <row r="6221" spans="2:2">
      <c r="B6221" s="422"/>
    </row>
    <row r="6222" spans="2:2">
      <c r="B6222" s="422"/>
    </row>
    <row r="6223" spans="2:2">
      <c r="B6223" s="422"/>
    </row>
    <row r="6224" spans="2:2">
      <c r="B6224" s="422"/>
    </row>
    <row r="6225" spans="2:2">
      <c r="B6225" s="422"/>
    </row>
    <row r="6226" spans="2:2">
      <c r="B6226" s="422"/>
    </row>
    <row r="6227" spans="2:2">
      <c r="B6227" s="422"/>
    </row>
    <row r="6228" spans="2:2">
      <c r="B6228" s="422"/>
    </row>
    <row r="6229" spans="2:2">
      <c r="B6229" s="422"/>
    </row>
    <row r="6230" spans="2:2">
      <c r="B6230" s="422"/>
    </row>
    <row r="6231" spans="2:2">
      <c r="B6231" s="422"/>
    </row>
    <row r="6232" spans="2:2">
      <c r="B6232" s="422"/>
    </row>
    <row r="6233" spans="2:2">
      <c r="B6233" s="422"/>
    </row>
    <row r="6234" spans="2:2">
      <c r="B6234" s="422"/>
    </row>
    <row r="6235" spans="2:2">
      <c r="B6235" s="422"/>
    </row>
    <row r="6236" spans="2:2">
      <c r="B6236" s="422"/>
    </row>
    <row r="6237" spans="2:2">
      <c r="B6237" s="422"/>
    </row>
    <row r="6238" spans="2:2">
      <c r="B6238" s="422"/>
    </row>
    <row r="6239" spans="2:2">
      <c r="B6239" s="422"/>
    </row>
    <row r="6240" spans="2:2">
      <c r="B6240" s="422"/>
    </row>
    <row r="6241" spans="2:2">
      <c r="B6241" s="422"/>
    </row>
    <row r="6242" spans="2:2">
      <c r="B6242" s="422"/>
    </row>
    <row r="6243" spans="2:2">
      <c r="B6243" s="422"/>
    </row>
    <row r="6244" spans="2:2">
      <c r="B6244" s="422"/>
    </row>
    <row r="6245" spans="2:2">
      <c r="B6245" s="422"/>
    </row>
    <row r="6246" spans="2:2">
      <c r="B6246" s="422"/>
    </row>
    <row r="6247" spans="2:2">
      <c r="B6247" s="422"/>
    </row>
    <row r="6248" spans="2:2">
      <c r="B6248" s="422"/>
    </row>
    <row r="6249" spans="2:2">
      <c r="B6249" s="422"/>
    </row>
    <row r="6250" spans="2:2">
      <c r="B6250" s="422"/>
    </row>
    <row r="6251" spans="2:2">
      <c r="B6251" s="422"/>
    </row>
    <row r="6252" spans="2:2">
      <c r="B6252" s="422"/>
    </row>
    <row r="6253" spans="2:2">
      <c r="B6253" s="422"/>
    </row>
    <row r="6254" spans="2:2">
      <c r="B6254" s="422"/>
    </row>
    <row r="6255" spans="2:2">
      <c r="B6255" s="422"/>
    </row>
    <row r="6256" spans="2:2">
      <c r="B6256" s="422"/>
    </row>
    <row r="6257" spans="2:2">
      <c r="B6257" s="422"/>
    </row>
    <row r="6258" spans="2:2">
      <c r="B6258" s="422"/>
    </row>
    <row r="6259" spans="2:2">
      <c r="B6259" s="422"/>
    </row>
    <row r="6260" spans="2:2">
      <c r="B6260" s="422"/>
    </row>
    <row r="6261" spans="2:2">
      <c r="B6261" s="422"/>
    </row>
    <row r="6262" spans="2:2">
      <c r="B6262" s="422"/>
    </row>
    <row r="6263" spans="2:2">
      <c r="B6263" s="422"/>
    </row>
    <row r="6264" spans="2:2">
      <c r="B6264" s="422"/>
    </row>
    <row r="6265" spans="2:2">
      <c r="B6265" s="422"/>
    </row>
    <row r="6266" spans="2:2">
      <c r="B6266" s="422"/>
    </row>
    <row r="6267" spans="2:2">
      <c r="B6267" s="422"/>
    </row>
    <row r="6268" spans="2:2">
      <c r="B6268" s="422"/>
    </row>
    <row r="6269" spans="2:2">
      <c r="B6269" s="422"/>
    </row>
    <row r="6270" spans="2:2">
      <c r="B6270" s="422"/>
    </row>
    <row r="6271" spans="2:2">
      <c r="B6271" s="422"/>
    </row>
    <row r="6272" spans="2:2">
      <c r="B6272" s="422"/>
    </row>
    <row r="6273" spans="2:2">
      <c r="B6273" s="422"/>
    </row>
    <row r="6274" spans="2:2">
      <c r="B6274" s="422"/>
    </row>
    <row r="6275" spans="2:2">
      <c r="B6275" s="422"/>
    </row>
    <row r="6276" spans="2:2">
      <c r="B6276" s="422"/>
    </row>
    <row r="6277" spans="2:2">
      <c r="B6277" s="422"/>
    </row>
    <row r="6278" spans="2:2">
      <c r="B6278" s="422"/>
    </row>
    <row r="6279" spans="2:2">
      <c r="B6279" s="422"/>
    </row>
    <row r="6280" spans="2:2">
      <c r="B6280" s="422"/>
    </row>
    <row r="6281" spans="2:2">
      <c r="B6281" s="422"/>
    </row>
    <row r="6282" spans="2:2">
      <c r="B6282" s="422"/>
    </row>
    <row r="6283" spans="2:2">
      <c r="B6283" s="422"/>
    </row>
    <row r="6284" spans="2:2">
      <c r="B6284" s="422"/>
    </row>
    <row r="6285" spans="2:2">
      <c r="B6285" s="422"/>
    </row>
    <row r="6286" spans="2:2">
      <c r="B6286" s="422"/>
    </row>
    <row r="6287" spans="2:2">
      <c r="B6287" s="422"/>
    </row>
    <row r="6288" spans="2:2">
      <c r="B6288" s="422"/>
    </row>
    <row r="6289" spans="2:2">
      <c r="B6289" s="422"/>
    </row>
    <row r="6290" spans="2:2">
      <c r="B6290" s="422"/>
    </row>
    <row r="6291" spans="2:2">
      <c r="B6291" s="422"/>
    </row>
    <row r="6292" spans="2:2">
      <c r="B6292" s="422"/>
    </row>
    <row r="6293" spans="2:2">
      <c r="B6293" s="422"/>
    </row>
    <row r="6294" spans="2:2">
      <c r="B6294" s="422"/>
    </row>
    <row r="6295" spans="2:2">
      <c r="B6295" s="422"/>
    </row>
    <row r="6296" spans="2:2">
      <c r="B6296" s="422"/>
    </row>
    <row r="6297" spans="2:2">
      <c r="B6297" s="422"/>
    </row>
    <row r="6298" spans="2:2">
      <c r="B6298" s="422"/>
    </row>
    <row r="6299" spans="2:2">
      <c r="B6299" s="422"/>
    </row>
    <row r="6300" spans="2:2">
      <c r="B6300" s="422"/>
    </row>
    <row r="6301" spans="2:2">
      <c r="B6301" s="422"/>
    </row>
    <row r="6302" spans="2:2">
      <c r="B6302" s="422"/>
    </row>
    <row r="6303" spans="2:2">
      <c r="B6303" s="422"/>
    </row>
    <row r="6304" spans="2:2">
      <c r="B6304" s="422"/>
    </row>
    <row r="6305" spans="2:2">
      <c r="B6305" s="422"/>
    </row>
    <row r="6306" spans="2:2">
      <c r="B6306" s="422"/>
    </row>
    <row r="6307" spans="2:2">
      <c r="B6307" s="422"/>
    </row>
    <row r="6308" spans="2:2">
      <c r="B6308" s="422"/>
    </row>
    <row r="6309" spans="2:2">
      <c r="B6309" s="422"/>
    </row>
    <row r="6310" spans="2:2">
      <c r="B6310" s="422"/>
    </row>
    <row r="6311" spans="2:2">
      <c r="B6311" s="422"/>
    </row>
    <row r="6312" spans="2:2">
      <c r="B6312" s="422"/>
    </row>
    <row r="6313" spans="2:2">
      <c r="B6313" s="422"/>
    </row>
    <row r="6314" spans="2:2">
      <c r="B6314" s="422"/>
    </row>
    <row r="6315" spans="2:2">
      <c r="B6315" s="422"/>
    </row>
    <row r="6316" spans="2:2">
      <c r="B6316" s="422"/>
    </row>
    <row r="6317" spans="2:2">
      <c r="B6317" s="422"/>
    </row>
    <row r="6318" spans="2:2">
      <c r="B6318" s="422"/>
    </row>
    <row r="6319" spans="2:2">
      <c r="B6319" s="422"/>
    </row>
    <row r="6320" spans="2:2">
      <c r="B6320" s="422"/>
    </row>
    <row r="6321" spans="2:2">
      <c r="B6321" s="422"/>
    </row>
    <row r="6322" spans="2:2">
      <c r="B6322" s="422"/>
    </row>
    <row r="6323" spans="2:2">
      <c r="B6323" s="422"/>
    </row>
    <row r="6324" spans="2:2">
      <c r="B6324" s="422"/>
    </row>
    <row r="6325" spans="2:2">
      <c r="B6325" s="422"/>
    </row>
    <row r="6326" spans="2:2">
      <c r="B6326" s="422"/>
    </row>
    <row r="6327" spans="2:2">
      <c r="B6327" s="422"/>
    </row>
    <row r="6328" spans="2:2">
      <c r="B6328" s="422"/>
    </row>
    <row r="6329" spans="2:2">
      <c r="B6329" s="422"/>
    </row>
    <row r="6330" spans="2:2">
      <c r="B6330" s="422"/>
    </row>
    <row r="6331" spans="2:2">
      <c r="B6331" s="422"/>
    </row>
    <row r="6332" spans="2:2">
      <c r="B6332" s="422"/>
    </row>
    <row r="6333" spans="2:2">
      <c r="B6333" s="422"/>
    </row>
    <row r="6334" spans="2:2">
      <c r="B6334" s="422"/>
    </row>
    <row r="6335" spans="2:2">
      <c r="B6335" s="422"/>
    </row>
    <row r="6336" spans="2:2">
      <c r="B6336" s="422"/>
    </row>
    <row r="6337" spans="2:2">
      <c r="B6337" s="422"/>
    </row>
    <row r="6338" spans="2:2">
      <c r="B6338" s="422"/>
    </row>
    <row r="6339" spans="2:2">
      <c r="B6339" s="422"/>
    </row>
    <row r="6340" spans="2:2">
      <c r="B6340" s="422"/>
    </row>
    <row r="6341" spans="2:2">
      <c r="B6341" s="422"/>
    </row>
    <row r="6342" spans="2:2">
      <c r="B6342" s="422"/>
    </row>
    <row r="6343" spans="2:2">
      <c r="B6343" s="422"/>
    </row>
    <row r="6344" spans="2:2">
      <c r="B6344" s="422"/>
    </row>
    <row r="6345" spans="2:2">
      <c r="B6345" s="422"/>
    </row>
    <row r="6346" spans="2:2">
      <c r="B6346" s="422"/>
    </row>
    <row r="6347" spans="2:2">
      <c r="B6347" s="422"/>
    </row>
    <row r="6348" spans="2:2">
      <c r="B6348" s="422"/>
    </row>
    <row r="6349" spans="2:2">
      <c r="B6349" s="422"/>
    </row>
    <row r="6350" spans="2:2">
      <c r="B6350" s="422"/>
    </row>
    <row r="6351" spans="2:2">
      <c r="B6351" s="422"/>
    </row>
    <row r="6352" spans="2:2">
      <c r="B6352" s="422"/>
    </row>
    <row r="6353" spans="2:2">
      <c r="B6353" s="422"/>
    </row>
    <row r="6354" spans="2:2">
      <c r="B6354" s="422"/>
    </row>
    <row r="6355" spans="2:2">
      <c r="B6355" s="422"/>
    </row>
    <row r="6356" spans="2:2">
      <c r="B6356" s="422"/>
    </row>
    <row r="6357" spans="2:2">
      <c r="B6357" s="422"/>
    </row>
    <row r="6358" spans="2:2">
      <c r="B6358" s="422"/>
    </row>
    <row r="6359" spans="2:2">
      <c r="B6359" s="422"/>
    </row>
    <row r="6360" spans="2:2">
      <c r="B6360" s="422"/>
    </row>
    <row r="6361" spans="2:2">
      <c r="B6361" s="422"/>
    </row>
    <row r="6362" spans="2:2">
      <c r="B6362" s="422"/>
    </row>
    <row r="6363" spans="2:2">
      <c r="B6363" s="422"/>
    </row>
    <row r="6364" spans="2:2">
      <c r="B6364" s="422"/>
    </row>
    <row r="6365" spans="2:2">
      <c r="B6365" s="422"/>
    </row>
    <row r="6366" spans="2:2">
      <c r="B6366" s="422"/>
    </row>
    <row r="6367" spans="2:2">
      <c r="B6367" s="422"/>
    </row>
    <row r="6368" spans="2:2">
      <c r="B6368" s="422"/>
    </row>
    <row r="6369" spans="2:2">
      <c r="B6369" s="422"/>
    </row>
    <row r="6370" spans="2:2">
      <c r="B6370" s="422"/>
    </row>
    <row r="6371" spans="2:2">
      <c r="B6371" s="422"/>
    </row>
    <row r="6372" spans="2:2">
      <c r="B6372" s="422"/>
    </row>
    <row r="6373" spans="2:2">
      <c r="B6373" s="422"/>
    </row>
    <row r="6374" spans="2:2">
      <c r="B6374" s="422"/>
    </row>
    <row r="6375" spans="2:2">
      <c r="B6375" s="422"/>
    </row>
    <row r="6376" spans="2:2">
      <c r="B6376" s="422"/>
    </row>
    <row r="6377" spans="2:2">
      <c r="B6377" s="422"/>
    </row>
    <row r="6378" spans="2:2">
      <c r="B6378" s="422"/>
    </row>
    <row r="6379" spans="2:2">
      <c r="B6379" s="422"/>
    </row>
    <row r="6380" spans="2:2">
      <c r="B6380" s="422"/>
    </row>
    <row r="6381" spans="2:2">
      <c r="B6381" s="422"/>
    </row>
    <row r="6382" spans="2:2">
      <c r="B6382" s="422"/>
    </row>
    <row r="6383" spans="2:2">
      <c r="B6383" s="422"/>
    </row>
    <row r="6384" spans="2:2">
      <c r="B6384" s="422"/>
    </row>
    <row r="6385" spans="2:2">
      <c r="B6385" s="422"/>
    </row>
    <row r="6386" spans="2:2">
      <c r="B6386" s="422"/>
    </row>
    <row r="6387" spans="2:2">
      <c r="B6387" s="422"/>
    </row>
    <row r="6388" spans="2:2">
      <c r="B6388" s="422"/>
    </row>
    <row r="6389" spans="2:2">
      <c r="B6389" s="422"/>
    </row>
    <row r="6390" spans="2:2">
      <c r="B6390" s="422"/>
    </row>
    <row r="6391" spans="2:2">
      <c r="B6391" s="422"/>
    </row>
    <row r="6392" spans="2:2">
      <c r="B6392" s="422"/>
    </row>
    <row r="6393" spans="2:2">
      <c r="B6393" s="422"/>
    </row>
    <row r="6394" spans="2:2">
      <c r="B6394" s="422"/>
    </row>
    <row r="6395" spans="2:2">
      <c r="B6395" s="422"/>
    </row>
    <row r="6396" spans="2:2">
      <c r="B6396" s="422"/>
    </row>
    <row r="6397" spans="2:2">
      <c r="B6397" s="422"/>
    </row>
    <row r="6398" spans="2:2">
      <c r="B6398" s="422"/>
    </row>
    <row r="6399" spans="2:2">
      <c r="B6399" s="422"/>
    </row>
    <row r="6400" spans="2:2">
      <c r="B6400" s="422"/>
    </row>
    <row r="6401" spans="2:2">
      <c r="B6401" s="422"/>
    </row>
    <row r="6402" spans="2:2">
      <c r="B6402" s="422"/>
    </row>
    <row r="6403" spans="2:2">
      <c r="B6403" s="422"/>
    </row>
    <row r="6404" spans="2:2">
      <c r="B6404" s="422"/>
    </row>
    <row r="6405" spans="2:2">
      <c r="B6405" s="422"/>
    </row>
    <row r="6406" spans="2:2">
      <c r="B6406" s="422"/>
    </row>
    <row r="6407" spans="2:2">
      <c r="B6407" s="422"/>
    </row>
    <row r="6408" spans="2:2">
      <c r="B6408" s="422"/>
    </row>
    <row r="6409" spans="2:2">
      <c r="B6409" s="422"/>
    </row>
    <row r="6410" spans="2:2">
      <c r="B6410" s="422"/>
    </row>
    <row r="6411" spans="2:2">
      <c r="B6411" s="422"/>
    </row>
    <row r="6412" spans="2:2">
      <c r="B6412" s="422"/>
    </row>
    <row r="6413" spans="2:2">
      <c r="B6413" s="422"/>
    </row>
    <row r="6414" spans="2:2">
      <c r="B6414" s="422"/>
    </row>
    <row r="6415" spans="2:2">
      <c r="B6415" s="422"/>
    </row>
    <row r="6416" spans="2:2">
      <c r="B6416" s="422"/>
    </row>
    <row r="6417" spans="2:2">
      <c r="B6417" s="422"/>
    </row>
    <row r="6418" spans="2:2">
      <c r="B6418" s="422"/>
    </row>
    <row r="6419" spans="2:2">
      <c r="B6419" s="422"/>
    </row>
    <row r="6420" spans="2:2">
      <c r="B6420" s="422"/>
    </row>
    <row r="6421" spans="2:2">
      <c r="B6421" s="422"/>
    </row>
    <row r="6422" spans="2:2">
      <c r="B6422" s="422"/>
    </row>
    <row r="6423" spans="2:2">
      <c r="B6423" s="422"/>
    </row>
    <row r="6424" spans="2:2">
      <c r="B6424" s="422"/>
    </row>
    <row r="6425" spans="2:2">
      <c r="B6425" s="422"/>
    </row>
    <row r="6426" spans="2:2">
      <c r="B6426" s="422"/>
    </row>
    <row r="6427" spans="2:2">
      <c r="B6427" s="422"/>
    </row>
    <row r="6428" spans="2:2">
      <c r="B6428" s="422"/>
    </row>
    <row r="6429" spans="2:2">
      <c r="B6429" s="422"/>
    </row>
    <row r="6430" spans="2:2">
      <c r="B6430" s="422"/>
    </row>
    <row r="6431" spans="2:2">
      <c r="B6431" s="422"/>
    </row>
    <row r="6432" spans="2:2">
      <c r="B6432" s="422"/>
    </row>
    <row r="6433" spans="2:2">
      <c r="B6433" s="422"/>
    </row>
    <row r="6434" spans="2:2">
      <c r="B6434" s="422"/>
    </row>
    <row r="6435" spans="2:2">
      <c r="B6435" s="422"/>
    </row>
    <row r="6436" spans="2:2">
      <c r="B6436" s="422"/>
    </row>
    <row r="6437" spans="2:2">
      <c r="B6437" s="422"/>
    </row>
    <row r="6438" spans="2:2">
      <c r="B6438" s="422"/>
    </row>
    <row r="6439" spans="2:2">
      <c r="B6439" s="422"/>
    </row>
    <row r="6440" spans="2:2">
      <c r="B6440" s="422"/>
    </row>
    <row r="6441" spans="2:2">
      <c r="B6441" s="422"/>
    </row>
    <row r="6442" spans="2:2">
      <c r="B6442" s="422"/>
    </row>
    <row r="6443" spans="2:2">
      <c r="B6443" s="422"/>
    </row>
    <row r="6444" spans="2:2">
      <c r="B6444" s="422"/>
    </row>
    <row r="6445" spans="2:2">
      <c r="B6445" s="422"/>
    </row>
    <row r="6446" spans="2:2">
      <c r="B6446" s="422"/>
    </row>
    <row r="6447" spans="2:2">
      <c r="B6447" s="422"/>
    </row>
    <row r="6448" spans="2:2">
      <c r="B6448" s="422"/>
    </row>
    <row r="6449" spans="2:2">
      <c r="B6449" s="422"/>
    </row>
    <row r="6450" spans="2:2">
      <c r="B6450" s="422"/>
    </row>
    <row r="6451" spans="2:2">
      <c r="B6451" s="422"/>
    </row>
    <row r="6452" spans="2:2">
      <c r="B6452" s="422"/>
    </row>
    <row r="6453" spans="2:2">
      <c r="B6453" s="422"/>
    </row>
    <row r="6454" spans="2:2">
      <c r="B6454" s="422"/>
    </row>
    <row r="6455" spans="2:2">
      <c r="B6455" s="422"/>
    </row>
    <row r="6456" spans="2:2">
      <c r="B6456" s="422"/>
    </row>
    <row r="6457" spans="2:2">
      <c r="B6457" s="422"/>
    </row>
    <row r="6458" spans="2:2">
      <c r="B6458" s="422"/>
    </row>
    <row r="6459" spans="2:2">
      <c r="B6459" s="422"/>
    </row>
    <row r="6460" spans="2:2">
      <c r="B6460" s="422"/>
    </row>
    <row r="6461" spans="2:2">
      <c r="B6461" s="422"/>
    </row>
    <row r="6462" spans="2:2">
      <c r="B6462" s="422"/>
    </row>
    <row r="6463" spans="2:2">
      <c r="B6463" s="422"/>
    </row>
    <row r="6464" spans="2:2">
      <c r="B6464" s="422"/>
    </row>
    <row r="6465" spans="2:2">
      <c r="B6465" s="422"/>
    </row>
    <row r="6466" spans="2:2">
      <c r="B6466" s="422"/>
    </row>
    <row r="6467" spans="2:2">
      <c r="B6467" s="422"/>
    </row>
    <row r="6468" spans="2:2">
      <c r="B6468" s="422"/>
    </row>
    <row r="6469" spans="2:2">
      <c r="B6469" s="422"/>
    </row>
    <row r="6470" spans="2:2">
      <c r="B6470" s="422"/>
    </row>
    <row r="6471" spans="2:2">
      <c r="B6471" s="422"/>
    </row>
    <row r="6472" spans="2:2">
      <c r="B6472" s="422"/>
    </row>
    <row r="6473" spans="2:2">
      <c r="B6473" s="422"/>
    </row>
    <row r="6474" spans="2:2">
      <c r="B6474" s="422"/>
    </row>
    <row r="6475" spans="2:2">
      <c r="B6475" s="422"/>
    </row>
    <row r="6476" spans="2:2">
      <c r="B6476" s="422"/>
    </row>
    <row r="6477" spans="2:2">
      <c r="B6477" s="422"/>
    </row>
    <row r="6478" spans="2:2">
      <c r="B6478" s="422"/>
    </row>
    <row r="6479" spans="2:2">
      <c r="B6479" s="422"/>
    </row>
    <row r="6480" spans="2:2">
      <c r="B6480" s="422"/>
    </row>
    <row r="6481" spans="2:2">
      <c r="B6481" s="422"/>
    </row>
    <row r="6482" spans="2:2">
      <c r="B6482" s="422"/>
    </row>
    <row r="6483" spans="2:2">
      <c r="B6483" s="422"/>
    </row>
    <row r="6484" spans="2:2">
      <c r="B6484" s="422"/>
    </row>
    <row r="6485" spans="2:2">
      <c r="B6485" s="422"/>
    </row>
    <row r="6486" spans="2:2">
      <c r="B6486" s="422"/>
    </row>
    <row r="6487" spans="2:2">
      <c r="B6487" s="422"/>
    </row>
    <row r="6488" spans="2:2">
      <c r="B6488" s="422"/>
    </row>
    <row r="6489" spans="2:2">
      <c r="B6489" s="422"/>
    </row>
    <row r="6490" spans="2:2">
      <c r="B6490" s="422"/>
    </row>
    <row r="6491" spans="2:2">
      <c r="B6491" s="422"/>
    </row>
    <row r="6492" spans="2:2">
      <c r="B6492" s="422"/>
    </row>
    <row r="6493" spans="2:2">
      <c r="B6493" s="422"/>
    </row>
    <row r="6494" spans="2:2">
      <c r="B6494" s="422"/>
    </row>
    <row r="6495" spans="2:2">
      <c r="B6495" s="422"/>
    </row>
    <row r="6496" spans="2:2">
      <c r="B6496" s="422"/>
    </row>
    <row r="6497" spans="2:2">
      <c r="B6497" s="422"/>
    </row>
    <row r="6498" spans="2:2">
      <c r="B6498" s="422"/>
    </row>
    <row r="6499" spans="2:2">
      <c r="B6499" s="422"/>
    </row>
    <row r="6500" spans="2:2">
      <c r="B6500" s="422"/>
    </row>
    <row r="6501" spans="2:2">
      <c r="B6501" s="422"/>
    </row>
    <row r="6502" spans="2:2">
      <c r="B6502" s="422"/>
    </row>
    <row r="6503" spans="2:2">
      <c r="B6503" s="422"/>
    </row>
    <row r="6504" spans="2:2">
      <c r="B6504" s="422"/>
    </row>
    <row r="6505" spans="2:2">
      <c r="B6505" s="422"/>
    </row>
    <row r="6506" spans="2:2">
      <c r="B6506" s="422"/>
    </row>
    <row r="6507" spans="2:2">
      <c r="B6507" s="422"/>
    </row>
    <row r="6508" spans="2:2">
      <c r="B6508" s="422"/>
    </row>
    <row r="6509" spans="2:2">
      <c r="B6509" s="422"/>
    </row>
    <row r="6510" spans="2:2">
      <c r="B6510" s="422"/>
    </row>
    <row r="6511" spans="2:2">
      <c r="B6511" s="422"/>
    </row>
    <row r="6512" spans="2:2">
      <c r="B6512" s="422"/>
    </row>
    <row r="6513" spans="2:2">
      <c r="B6513" s="422"/>
    </row>
    <row r="6514" spans="2:2">
      <c r="B6514" s="422"/>
    </row>
    <row r="6515" spans="2:2">
      <c r="B6515" s="422"/>
    </row>
    <row r="6516" spans="2:2">
      <c r="B6516" s="422"/>
    </row>
    <row r="6517" spans="2:2">
      <c r="B6517" s="422"/>
    </row>
    <row r="6518" spans="2:2">
      <c r="B6518" s="422"/>
    </row>
    <row r="6519" spans="2:2">
      <c r="B6519" s="422"/>
    </row>
    <row r="6520" spans="2:2">
      <c r="B6520" s="422"/>
    </row>
    <row r="6521" spans="2:2">
      <c r="B6521" s="422"/>
    </row>
    <row r="6522" spans="2:2">
      <c r="B6522" s="422"/>
    </row>
    <row r="6523" spans="2:2">
      <c r="B6523" s="422"/>
    </row>
    <row r="6524" spans="2:2">
      <c r="B6524" s="422"/>
    </row>
    <row r="6525" spans="2:2">
      <c r="B6525" s="422"/>
    </row>
    <row r="6526" spans="2:2">
      <c r="B6526" s="422"/>
    </row>
    <row r="6527" spans="2:2">
      <c r="B6527" s="422"/>
    </row>
    <row r="6528" spans="2:2">
      <c r="B6528" s="422"/>
    </row>
    <row r="6529" spans="2:2">
      <c r="B6529" s="422"/>
    </row>
    <row r="6530" spans="2:2">
      <c r="B6530" s="422"/>
    </row>
    <row r="6531" spans="2:2">
      <c r="B6531" s="422"/>
    </row>
    <row r="6532" spans="2:2">
      <c r="B6532" s="422"/>
    </row>
    <row r="6533" spans="2:2">
      <c r="B6533" s="422"/>
    </row>
    <row r="6534" spans="2:2">
      <c r="B6534" s="422"/>
    </row>
    <row r="6535" spans="2:2">
      <c r="B6535" s="422"/>
    </row>
    <row r="6536" spans="2:2">
      <c r="B6536" s="422"/>
    </row>
    <row r="6537" spans="2:2">
      <c r="B6537" s="422"/>
    </row>
    <row r="6538" spans="2:2">
      <c r="B6538" s="422"/>
    </row>
    <row r="6539" spans="2:2">
      <c r="B6539" s="422"/>
    </row>
    <row r="6540" spans="2:2">
      <c r="B6540" s="422"/>
    </row>
    <row r="6541" spans="2:2">
      <c r="B6541" s="422"/>
    </row>
    <row r="6542" spans="2:2">
      <c r="B6542" s="422"/>
    </row>
    <row r="6543" spans="2:2">
      <c r="B6543" s="422"/>
    </row>
    <row r="6544" spans="2:2">
      <c r="B6544" s="422"/>
    </row>
    <row r="6545" spans="2:2">
      <c r="B6545" s="422"/>
    </row>
    <row r="6546" spans="2:2">
      <c r="B6546" s="422"/>
    </row>
    <row r="6547" spans="2:2">
      <c r="B6547" s="422"/>
    </row>
    <row r="6548" spans="2:2">
      <c r="B6548" s="422"/>
    </row>
    <row r="6549" spans="2:2">
      <c r="B6549" s="422"/>
    </row>
    <row r="6550" spans="2:2">
      <c r="B6550" s="422"/>
    </row>
    <row r="6551" spans="2:2">
      <c r="B6551" s="422"/>
    </row>
    <row r="6552" spans="2:2">
      <c r="B6552" s="422"/>
    </row>
    <row r="6553" spans="2:2">
      <c r="B6553" s="422"/>
    </row>
    <row r="6554" spans="2:2">
      <c r="B6554" s="422"/>
    </row>
    <row r="6555" spans="2:2">
      <c r="B6555" s="422"/>
    </row>
    <row r="6556" spans="2:2">
      <c r="B6556" s="422"/>
    </row>
    <row r="6557" spans="2:2">
      <c r="B6557" s="422"/>
    </row>
    <row r="6558" spans="2:2">
      <c r="B6558" s="422"/>
    </row>
    <row r="6559" spans="2:2">
      <c r="B6559" s="422"/>
    </row>
    <row r="6560" spans="2:2">
      <c r="B6560" s="422"/>
    </row>
    <row r="6561" spans="2:2">
      <c r="B6561" s="422"/>
    </row>
    <row r="6562" spans="2:2">
      <c r="B6562" s="422"/>
    </row>
    <row r="6563" spans="2:2">
      <c r="B6563" s="422"/>
    </row>
    <row r="6564" spans="2:2">
      <c r="B6564" s="422"/>
    </row>
    <row r="6565" spans="2:2">
      <c r="B6565" s="422"/>
    </row>
    <row r="6566" spans="2:2">
      <c r="B6566" s="422"/>
    </row>
    <row r="6567" spans="2:2">
      <c r="B6567" s="422"/>
    </row>
    <row r="6568" spans="2:2">
      <c r="B6568" s="422"/>
    </row>
    <row r="6569" spans="2:2">
      <c r="B6569" s="422"/>
    </row>
    <row r="6570" spans="2:2">
      <c r="B6570" s="422"/>
    </row>
    <row r="6571" spans="2:2">
      <c r="B6571" s="422"/>
    </row>
    <row r="6572" spans="2:2">
      <c r="B6572" s="422"/>
    </row>
    <row r="6573" spans="2:2">
      <c r="B6573" s="422"/>
    </row>
    <row r="6574" spans="2:2">
      <c r="B6574" s="422"/>
    </row>
    <row r="6575" spans="2:2">
      <c r="B6575" s="422"/>
    </row>
    <row r="6576" spans="2:2">
      <c r="B6576" s="422"/>
    </row>
    <row r="6577" spans="2:2">
      <c r="B6577" s="422"/>
    </row>
    <row r="6578" spans="2:2">
      <c r="B6578" s="422"/>
    </row>
    <row r="6579" spans="2:2">
      <c r="B6579" s="422"/>
    </row>
    <row r="6580" spans="2:2">
      <c r="B6580" s="422"/>
    </row>
    <row r="6581" spans="2:2">
      <c r="B6581" s="422"/>
    </row>
    <row r="6582" spans="2:2">
      <c r="B6582" s="422"/>
    </row>
    <row r="6583" spans="2:2">
      <c r="B6583" s="422"/>
    </row>
    <row r="6584" spans="2:2">
      <c r="B6584" s="422"/>
    </row>
    <row r="6585" spans="2:2">
      <c r="B6585" s="422"/>
    </row>
    <row r="6586" spans="2:2">
      <c r="B6586" s="422"/>
    </row>
    <row r="6587" spans="2:2">
      <c r="B6587" s="422"/>
    </row>
    <row r="6588" spans="2:2">
      <c r="B6588" s="422"/>
    </row>
    <row r="6589" spans="2:2">
      <c r="B6589" s="422"/>
    </row>
    <row r="6590" spans="2:2">
      <c r="B6590" s="422"/>
    </row>
    <row r="6591" spans="2:2">
      <c r="B6591" s="422"/>
    </row>
    <row r="6592" spans="2:2">
      <c r="B6592" s="422"/>
    </row>
    <row r="6593" spans="2:2">
      <c r="B6593" s="422"/>
    </row>
    <row r="6594" spans="2:2">
      <c r="B6594" s="422"/>
    </row>
    <row r="6595" spans="2:2">
      <c r="B6595" s="422"/>
    </row>
    <row r="6596" spans="2:2">
      <c r="B6596" s="422"/>
    </row>
    <row r="6597" spans="2:2">
      <c r="B6597" s="422"/>
    </row>
    <row r="6598" spans="2:2">
      <c r="B6598" s="422"/>
    </row>
    <row r="6599" spans="2:2">
      <c r="B6599" s="422"/>
    </row>
    <row r="6600" spans="2:2">
      <c r="B6600" s="422"/>
    </row>
    <row r="6601" spans="2:2">
      <c r="B6601" s="422"/>
    </row>
    <row r="6602" spans="2:2">
      <c r="B6602" s="422"/>
    </row>
    <row r="6603" spans="2:2">
      <c r="B6603" s="422"/>
    </row>
    <row r="6604" spans="2:2">
      <c r="B6604" s="422"/>
    </row>
    <row r="6605" spans="2:2">
      <c r="B6605" s="422"/>
    </row>
    <row r="6606" spans="2:2">
      <c r="B6606" s="422"/>
    </row>
    <row r="6607" spans="2:2">
      <c r="B6607" s="422"/>
    </row>
    <row r="6608" spans="2:2">
      <c r="B6608" s="422"/>
    </row>
    <row r="6609" spans="2:2">
      <c r="B6609" s="422"/>
    </row>
    <row r="6610" spans="2:2">
      <c r="B6610" s="422"/>
    </row>
    <row r="6611" spans="2:2">
      <c r="B6611" s="422"/>
    </row>
    <row r="6612" spans="2:2">
      <c r="B6612" s="422"/>
    </row>
    <row r="6613" spans="2:2">
      <c r="B6613" s="422"/>
    </row>
    <row r="6614" spans="2:2">
      <c r="B6614" s="422"/>
    </row>
    <row r="6615" spans="2:2">
      <c r="B6615" s="422"/>
    </row>
    <row r="6616" spans="2:2">
      <c r="B6616" s="422"/>
    </row>
    <row r="6617" spans="2:2">
      <c r="B6617" s="422"/>
    </row>
    <row r="6618" spans="2:2">
      <c r="B6618" s="422"/>
    </row>
    <row r="6619" spans="2:2">
      <c r="B6619" s="422"/>
    </row>
    <row r="6620" spans="2:2">
      <c r="B6620" s="422"/>
    </row>
    <row r="6621" spans="2:2">
      <c r="B6621" s="422"/>
    </row>
    <row r="6622" spans="2:2">
      <c r="B6622" s="422"/>
    </row>
    <row r="6623" spans="2:2">
      <c r="B6623" s="422"/>
    </row>
    <row r="6624" spans="2:2">
      <c r="B6624" s="422"/>
    </row>
    <row r="6625" spans="2:2">
      <c r="B6625" s="422"/>
    </row>
    <row r="6626" spans="2:2">
      <c r="B6626" s="422"/>
    </row>
    <row r="6627" spans="2:2">
      <c r="B6627" s="422"/>
    </row>
    <row r="6628" spans="2:2">
      <c r="B6628" s="422"/>
    </row>
    <row r="6629" spans="2:2">
      <c r="B6629" s="422"/>
    </row>
    <row r="6630" spans="2:2">
      <c r="B6630" s="422"/>
    </row>
    <row r="6631" spans="2:2">
      <c r="B6631" s="422"/>
    </row>
    <row r="6632" spans="2:2">
      <c r="B6632" s="422"/>
    </row>
    <row r="6633" spans="2:2">
      <c r="B6633" s="422"/>
    </row>
    <row r="6634" spans="2:2">
      <c r="B6634" s="422"/>
    </row>
    <row r="6635" spans="2:2">
      <c r="B6635" s="422"/>
    </row>
    <row r="6636" spans="2:2">
      <c r="B6636" s="422"/>
    </row>
    <row r="6637" spans="2:2">
      <c r="B6637" s="422"/>
    </row>
    <row r="6638" spans="2:2">
      <c r="B6638" s="422"/>
    </row>
    <row r="6639" spans="2:2">
      <c r="B6639" s="422"/>
    </row>
    <row r="6640" spans="2:2">
      <c r="B6640" s="422"/>
    </row>
    <row r="6641" spans="2:2">
      <c r="B6641" s="422"/>
    </row>
    <row r="6642" spans="2:2">
      <c r="B6642" s="422"/>
    </row>
    <row r="6643" spans="2:2">
      <c r="B6643" s="422"/>
    </row>
    <row r="6644" spans="2:2">
      <c r="B6644" s="422"/>
    </row>
    <row r="6645" spans="2:2">
      <c r="B6645" s="422"/>
    </row>
    <row r="6646" spans="2:2">
      <c r="B6646" s="422"/>
    </row>
    <row r="6647" spans="2:2">
      <c r="B6647" s="422"/>
    </row>
    <row r="6648" spans="2:2">
      <c r="B6648" s="422"/>
    </row>
    <row r="6649" spans="2:2">
      <c r="B6649" s="422"/>
    </row>
    <row r="6650" spans="2:2">
      <c r="B6650" s="422"/>
    </row>
    <row r="6651" spans="2:2">
      <c r="B6651" s="422"/>
    </row>
    <row r="6652" spans="2:2">
      <c r="B6652" s="422"/>
    </row>
    <row r="6653" spans="2:2">
      <c r="B6653" s="422"/>
    </row>
    <row r="6654" spans="2:2">
      <c r="B6654" s="422"/>
    </row>
    <row r="6655" spans="2:2">
      <c r="B6655" s="422"/>
    </row>
    <row r="6656" spans="2:2">
      <c r="B6656" s="422"/>
    </row>
    <row r="6657" spans="2:2">
      <c r="B6657" s="422"/>
    </row>
    <row r="6658" spans="2:2">
      <c r="B6658" s="422"/>
    </row>
    <row r="6659" spans="2:2">
      <c r="B6659" s="422"/>
    </row>
    <row r="6660" spans="2:2">
      <c r="B6660" s="422"/>
    </row>
    <row r="6661" spans="2:2">
      <c r="B6661" s="422"/>
    </row>
    <row r="6662" spans="2:2">
      <c r="B6662" s="422"/>
    </row>
    <row r="6663" spans="2:2">
      <c r="B6663" s="422"/>
    </row>
    <row r="6664" spans="2:2">
      <c r="B6664" s="422"/>
    </row>
    <row r="6665" spans="2:2">
      <c r="B6665" s="422"/>
    </row>
    <row r="6666" spans="2:2">
      <c r="B6666" s="422"/>
    </row>
    <row r="6667" spans="2:2">
      <c r="B6667" s="422"/>
    </row>
    <row r="6668" spans="2:2">
      <c r="B6668" s="422"/>
    </row>
    <row r="6669" spans="2:2">
      <c r="B6669" s="422"/>
    </row>
    <row r="6670" spans="2:2">
      <c r="B6670" s="422"/>
    </row>
    <row r="6671" spans="2:2">
      <c r="B6671" s="422"/>
    </row>
    <row r="6672" spans="2:2">
      <c r="B6672" s="422"/>
    </row>
    <row r="6673" spans="2:2">
      <c r="B6673" s="422"/>
    </row>
    <row r="6674" spans="2:2">
      <c r="B6674" s="422"/>
    </row>
    <row r="6675" spans="2:2">
      <c r="B6675" s="422"/>
    </row>
    <row r="6676" spans="2:2">
      <c r="B6676" s="422"/>
    </row>
    <row r="6677" spans="2:2">
      <c r="B6677" s="422"/>
    </row>
    <row r="6678" spans="2:2">
      <c r="B6678" s="422"/>
    </row>
    <row r="6679" spans="2:2">
      <c r="B6679" s="422"/>
    </row>
    <row r="6680" spans="2:2">
      <c r="B6680" s="422"/>
    </row>
    <row r="6681" spans="2:2">
      <c r="B6681" s="422"/>
    </row>
    <row r="6682" spans="2:2">
      <c r="B6682" s="422"/>
    </row>
    <row r="6683" spans="2:2">
      <c r="B6683" s="422"/>
    </row>
    <row r="6684" spans="2:2">
      <c r="B6684" s="422"/>
    </row>
    <row r="6685" spans="2:2">
      <c r="B6685" s="422"/>
    </row>
    <row r="6686" spans="2:2">
      <c r="B6686" s="422"/>
    </row>
    <row r="6687" spans="2:2">
      <c r="B6687" s="422"/>
    </row>
    <row r="6688" spans="2:2">
      <c r="B6688" s="422"/>
    </row>
    <row r="6689" spans="2:2">
      <c r="B6689" s="422"/>
    </row>
    <row r="6690" spans="2:2">
      <c r="B6690" s="422"/>
    </row>
    <row r="6691" spans="2:2">
      <c r="B6691" s="422"/>
    </row>
    <row r="6692" spans="2:2">
      <c r="B6692" s="422"/>
    </row>
    <row r="6693" spans="2:2">
      <c r="B6693" s="422"/>
    </row>
    <row r="6694" spans="2:2">
      <c r="B6694" s="422"/>
    </row>
    <row r="6695" spans="2:2">
      <c r="B6695" s="422"/>
    </row>
    <row r="6696" spans="2:2">
      <c r="B6696" s="422"/>
    </row>
    <row r="6697" spans="2:2">
      <c r="B6697" s="422"/>
    </row>
    <row r="6698" spans="2:2">
      <c r="B6698" s="422"/>
    </row>
    <row r="6699" spans="2:2">
      <c r="B6699" s="422"/>
    </row>
    <row r="6700" spans="2:2">
      <c r="B6700" s="422"/>
    </row>
    <row r="6701" spans="2:2">
      <c r="B6701" s="422"/>
    </row>
    <row r="6702" spans="2:2">
      <c r="B6702" s="422"/>
    </row>
    <row r="6703" spans="2:2">
      <c r="B6703" s="422"/>
    </row>
    <row r="6704" spans="2:2">
      <c r="B6704" s="422"/>
    </row>
    <row r="6705" spans="2:2">
      <c r="B6705" s="422"/>
    </row>
    <row r="6706" spans="2:2">
      <c r="B6706" s="422"/>
    </row>
    <row r="6707" spans="2:2">
      <c r="B6707" s="422"/>
    </row>
    <row r="6708" spans="2:2">
      <c r="B6708" s="422"/>
    </row>
    <row r="6709" spans="2:2">
      <c r="B6709" s="422"/>
    </row>
    <row r="6710" spans="2:2">
      <c r="B6710" s="422"/>
    </row>
    <row r="6711" spans="2:2">
      <c r="B6711" s="422"/>
    </row>
    <row r="6712" spans="2:2">
      <c r="B6712" s="422"/>
    </row>
    <row r="6713" spans="2:2">
      <c r="B6713" s="422"/>
    </row>
    <row r="6714" spans="2:2">
      <c r="B6714" s="422"/>
    </row>
    <row r="6715" spans="2:2">
      <c r="B6715" s="422"/>
    </row>
    <row r="6716" spans="2:2">
      <c r="B6716" s="422"/>
    </row>
    <row r="6717" spans="2:2">
      <c r="B6717" s="422"/>
    </row>
    <row r="6718" spans="2:2">
      <c r="B6718" s="422"/>
    </row>
    <row r="6719" spans="2:2">
      <c r="B6719" s="422"/>
    </row>
    <row r="6720" spans="2:2">
      <c r="B6720" s="422"/>
    </row>
    <row r="6721" spans="2:2">
      <c r="B6721" s="422"/>
    </row>
    <row r="6722" spans="2:2">
      <c r="B6722" s="422"/>
    </row>
    <row r="6723" spans="2:2">
      <c r="B6723" s="422"/>
    </row>
    <row r="6724" spans="2:2">
      <c r="B6724" s="422"/>
    </row>
    <row r="6725" spans="2:2">
      <c r="B6725" s="422"/>
    </row>
    <row r="6726" spans="2:2">
      <c r="B6726" s="422"/>
    </row>
    <row r="6727" spans="2:2">
      <c r="B6727" s="422"/>
    </row>
    <row r="6728" spans="2:2">
      <c r="B6728" s="422"/>
    </row>
    <row r="6729" spans="2:2">
      <c r="B6729" s="422"/>
    </row>
    <row r="6730" spans="2:2">
      <c r="B6730" s="422"/>
    </row>
    <row r="6731" spans="2:2">
      <c r="B6731" s="422"/>
    </row>
    <row r="6732" spans="2:2">
      <c r="B6732" s="422"/>
    </row>
    <row r="6733" spans="2:2">
      <c r="B6733" s="422"/>
    </row>
    <row r="6734" spans="2:2">
      <c r="B6734" s="422"/>
    </row>
    <row r="6735" spans="2:2">
      <c r="B6735" s="422"/>
    </row>
    <row r="6736" spans="2:2">
      <c r="B6736" s="422"/>
    </row>
    <row r="6737" spans="2:2">
      <c r="B6737" s="422"/>
    </row>
    <row r="6738" spans="2:2">
      <c r="B6738" s="422"/>
    </row>
    <row r="6739" spans="2:2">
      <c r="B6739" s="422"/>
    </row>
    <row r="6740" spans="2:2">
      <c r="B6740" s="422"/>
    </row>
    <row r="6741" spans="2:2">
      <c r="B6741" s="422"/>
    </row>
    <row r="6742" spans="2:2">
      <c r="B6742" s="422"/>
    </row>
    <row r="6743" spans="2:2">
      <c r="B6743" s="422"/>
    </row>
    <row r="6744" spans="2:2">
      <c r="B6744" s="422"/>
    </row>
    <row r="6745" spans="2:2">
      <c r="B6745" s="422"/>
    </row>
    <row r="6746" spans="2:2">
      <c r="B6746" s="422"/>
    </row>
    <row r="6747" spans="2:2">
      <c r="B6747" s="422"/>
    </row>
    <row r="6748" spans="2:2">
      <c r="B6748" s="422"/>
    </row>
    <row r="6749" spans="2:2">
      <c r="B6749" s="422"/>
    </row>
    <row r="6750" spans="2:2">
      <c r="B6750" s="422"/>
    </row>
    <row r="6751" spans="2:2">
      <c r="B6751" s="422"/>
    </row>
    <row r="6752" spans="2:2">
      <c r="B6752" s="422"/>
    </row>
    <row r="6753" spans="2:2">
      <c r="B6753" s="422"/>
    </row>
    <row r="6754" spans="2:2">
      <c r="B6754" s="422"/>
    </row>
    <row r="6755" spans="2:2">
      <c r="B6755" s="422"/>
    </row>
    <row r="6756" spans="2:2">
      <c r="B6756" s="422"/>
    </row>
    <row r="6757" spans="2:2">
      <c r="B6757" s="422"/>
    </row>
    <row r="6758" spans="2:2">
      <c r="B6758" s="422"/>
    </row>
    <row r="6759" spans="2:2">
      <c r="B6759" s="422"/>
    </row>
    <row r="6760" spans="2:2">
      <c r="B6760" s="422"/>
    </row>
    <row r="6761" spans="2:2">
      <c r="B6761" s="422"/>
    </row>
    <row r="6762" spans="2:2">
      <c r="B6762" s="422"/>
    </row>
    <row r="6763" spans="2:2">
      <c r="B6763" s="422"/>
    </row>
    <row r="6764" spans="2:2">
      <c r="B6764" s="422"/>
    </row>
    <row r="6765" spans="2:2">
      <c r="B6765" s="422"/>
    </row>
    <row r="6766" spans="2:2">
      <c r="B6766" s="422"/>
    </row>
    <row r="6767" spans="2:2">
      <c r="B6767" s="422"/>
    </row>
    <row r="6768" spans="2:2">
      <c r="B6768" s="422"/>
    </row>
    <row r="6769" spans="2:2">
      <c r="B6769" s="422"/>
    </row>
    <row r="6770" spans="2:2">
      <c r="B6770" s="422"/>
    </row>
    <row r="6771" spans="2:2">
      <c r="B6771" s="422"/>
    </row>
    <row r="6772" spans="2:2">
      <c r="B6772" s="422"/>
    </row>
    <row r="6773" spans="2:2">
      <c r="B6773" s="422"/>
    </row>
    <row r="6774" spans="2:2">
      <c r="B6774" s="422"/>
    </row>
    <row r="6775" spans="2:2">
      <c r="B6775" s="422"/>
    </row>
    <row r="6776" spans="2:2">
      <c r="B6776" s="422"/>
    </row>
    <row r="6777" spans="2:2">
      <c r="B6777" s="422"/>
    </row>
    <row r="6778" spans="2:2">
      <c r="B6778" s="422"/>
    </row>
    <row r="6779" spans="2:2">
      <c r="B6779" s="422"/>
    </row>
    <row r="6780" spans="2:2">
      <c r="B6780" s="422"/>
    </row>
    <row r="6781" spans="2:2">
      <c r="B6781" s="422"/>
    </row>
    <row r="6782" spans="2:2">
      <c r="B6782" s="422"/>
    </row>
    <row r="6783" spans="2:2">
      <c r="B6783" s="422"/>
    </row>
    <row r="6784" spans="2:2">
      <c r="B6784" s="422"/>
    </row>
    <row r="6785" spans="2:2">
      <c r="B6785" s="422"/>
    </row>
    <row r="6786" spans="2:2">
      <c r="B6786" s="422"/>
    </row>
    <row r="6787" spans="2:2">
      <c r="B6787" s="422"/>
    </row>
    <row r="6788" spans="2:2">
      <c r="B6788" s="422"/>
    </row>
    <row r="6789" spans="2:2">
      <c r="B6789" s="422"/>
    </row>
    <row r="6790" spans="2:2">
      <c r="B6790" s="422"/>
    </row>
    <row r="6791" spans="2:2">
      <c r="B6791" s="422"/>
    </row>
    <row r="6792" spans="2:2">
      <c r="B6792" s="422"/>
    </row>
    <row r="6793" spans="2:2">
      <c r="B6793" s="422"/>
    </row>
    <row r="6794" spans="2:2">
      <c r="B6794" s="422"/>
    </row>
    <row r="6795" spans="2:2">
      <c r="B6795" s="422"/>
    </row>
    <row r="6796" spans="2:2">
      <c r="B6796" s="422"/>
    </row>
    <row r="6797" spans="2:2">
      <c r="B6797" s="422"/>
    </row>
    <row r="6798" spans="2:2">
      <c r="B6798" s="422"/>
    </row>
    <row r="6799" spans="2:2">
      <c r="B6799" s="422"/>
    </row>
    <row r="6800" spans="2:2">
      <c r="B6800" s="422"/>
    </row>
    <row r="6801" spans="2:2">
      <c r="B6801" s="422"/>
    </row>
    <row r="6802" spans="2:2">
      <c r="B6802" s="422"/>
    </row>
    <row r="6803" spans="2:2">
      <c r="B6803" s="422"/>
    </row>
    <row r="6804" spans="2:2">
      <c r="B6804" s="422"/>
    </row>
    <row r="6805" spans="2:2">
      <c r="B6805" s="422"/>
    </row>
    <row r="6806" spans="2:2">
      <c r="B6806" s="422"/>
    </row>
    <row r="6807" spans="2:2">
      <c r="B6807" s="422"/>
    </row>
    <row r="6808" spans="2:2">
      <c r="B6808" s="422"/>
    </row>
    <row r="6809" spans="2:2">
      <c r="B6809" s="422"/>
    </row>
    <row r="6810" spans="2:2">
      <c r="B6810" s="422"/>
    </row>
    <row r="6811" spans="2:2">
      <c r="B6811" s="422"/>
    </row>
    <row r="6812" spans="2:2">
      <c r="B6812" s="422"/>
    </row>
    <row r="6813" spans="2:2">
      <c r="B6813" s="422"/>
    </row>
    <row r="6814" spans="2:2">
      <c r="B6814" s="422"/>
    </row>
    <row r="6815" spans="2:2">
      <c r="B6815" s="422"/>
    </row>
    <row r="6816" spans="2:2">
      <c r="B6816" s="422"/>
    </row>
    <row r="6817" spans="2:2">
      <c r="B6817" s="422"/>
    </row>
    <row r="6818" spans="2:2">
      <c r="B6818" s="422"/>
    </row>
    <row r="6819" spans="2:2">
      <c r="B6819" s="422"/>
    </row>
    <row r="6820" spans="2:2">
      <c r="B6820" s="422"/>
    </row>
    <row r="6821" spans="2:2">
      <c r="B6821" s="422"/>
    </row>
    <row r="6822" spans="2:2">
      <c r="B6822" s="422"/>
    </row>
    <row r="6823" spans="2:2">
      <c r="B6823" s="422"/>
    </row>
    <row r="6824" spans="2:2">
      <c r="B6824" s="422"/>
    </row>
    <row r="6825" spans="2:2">
      <c r="B6825" s="422"/>
    </row>
    <row r="6826" spans="2:2">
      <c r="B6826" s="422"/>
    </row>
    <row r="6827" spans="2:2">
      <c r="B6827" s="422"/>
    </row>
    <row r="6828" spans="2:2">
      <c r="B6828" s="422"/>
    </row>
    <row r="6829" spans="2:2">
      <c r="B6829" s="422"/>
    </row>
    <row r="6830" spans="2:2">
      <c r="B6830" s="422"/>
    </row>
    <row r="6831" spans="2:2">
      <c r="B6831" s="422"/>
    </row>
    <row r="6832" spans="2:2">
      <c r="B6832" s="422"/>
    </row>
    <row r="6833" spans="2:2">
      <c r="B6833" s="422"/>
    </row>
    <row r="6834" spans="2:2">
      <c r="B6834" s="422"/>
    </row>
    <row r="6835" spans="2:2">
      <c r="B6835" s="422"/>
    </row>
    <row r="6836" spans="2:2">
      <c r="B6836" s="422"/>
    </row>
    <row r="6837" spans="2:2">
      <c r="B6837" s="422"/>
    </row>
    <row r="6838" spans="2:2">
      <c r="B6838" s="422"/>
    </row>
    <row r="6839" spans="2:2">
      <c r="B6839" s="422"/>
    </row>
    <row r="6840" spans="2:2">
      <c r="B6840" s="422"/>
    </row>
    <row r="6841" spans="2:2">
      <c r="B6841" s="422"/>
    </row>
    <row r="6842" spans="2:2">
      <c r="B6842" s="422"/>
    </row>
    <row r="6843" spans="2:2">
      <c r="B6843" s="422"/>
    </row>
    <row r="6844" spans="2:2">
      <c r="B6844" s="422"/>
    </row>
    <row r="6845" spans="2:2">
      <c r="B6845" s="422"/>
    </row>
    <row r="6846" spans="2:2">
      <c r="B6846" s="422"/>
    </row>
    <row r="6847" spans="2:2">
      <c r="B6847" s="422"/>
    </row>
    <row r="6848" spans="2:2">
      <c r="B6848" s="422"/>
    </row>
    <row r="6849" spans="2:2">
      <c r="B6849" s="422"/>
    </row>
    <row r="6850" spans="2:2">
      <c r="B6850" s="422"/>
    </row>
    <row r="6851" spans="2:2">
      <c r="B6851" s="422"/>
    </row>
    <row r="6852" spans="2:2">
      <c r="B6852" s="422"/>
    </row>
    <row r="6853" spans="2:2">
      <c r="B6853" s="422"/>
    </row>
    <row r="6854" spans="2:2">
      <c r="B6854" s="422"/>
    </row>
    <row r="6855" spans="2:2">
      <c r="B6855" s="422"/>
    </row>
    <row r="6856" spans="2:2">
      <c r="B6856" s="422"/>
    </row>
    <row r="6857" spans="2:2">
      <c r="B6857" s="422"/>
    </row>
    <row r="6858" spans="2:2">
      <c r="B6858" s="422"/>
    </row>
    <row r="6859" spans="2:2">
      <c r="B6859" s="422"/>
    </row>
    <row r="6860" spans="2:2">
      <c r="B6860" s="422"/>
    </row>
    <row r="6861" spans="2:2">
      <c r="B6861" s="422"/>
    </row>
    <row r="6862" spans="2:2">
      <c r="B6862" s="422"/>
    </row>
    <row r="6863" spans="2:2">
      <c r="B6863" s="422"/>
    </row>
    <row r="6864" spans="2:2">
      <c r="B6864" s="422"/>
    </row>
    <row r="6865" spans="2:2">
      <c r="B6865" s="422"/>
    </row>
    <row r="6866" spans="2:2">
      <c r="B6866" s="422"/>
    </row>
    <row r="6867" spans="2:2">
      <c r="B6867" s="422"/>
    </row>
    <row r="6868" spans="2:2">
      <c r="B6868" s="422"/>
    </row>
    <row r="6869" spans="2:2">
      <c r="B6869" s="422"/>
    </row>
    <row r="6870" spans="2:2">
      <c r="B6870" s="422"/>
    </row>
    <row r="6871" spans="2:2">
      <c r="B6871" s="422"/>
    </row>
    <row r="6872" spans="2:2">
      <c r="B6872" s="422"/>
    </row>
    <row r="6873" spans="2:2">
      <c r="B6873" s="422"/>
    </row>
    <row r="6874" spans="2:2">
      <c r="B6874" s="422"/>
    </row>
    <row r="6875" spans="2:2">
      <c r="B6875" s="422"/>
    </row>
    <row r="6876" spans="2:2">
      <c r="B6876" s="422"/>
    </row>
    <row r="6877" spans="2:2">
      <c r="B6877" s="422"/>
    </row>
    <row r="6878" spans="2:2">
      <c r="B6878" s="422"/>
    </row>
    <row r="6879" spans="2:2">
      <c r="B6879" s="422"/>
    </row>
    <row r="6880" spans="2:2">
      <c r="B6880" s="422"/>
    </row>
    <row r="6881" spans="2:2">
      <c r="B6881" s="422"/>
    </row>
    <row r="6882" spans="2:2">
      <c r="B6882" s="422"/>
    </row>
    <row r="6883" spans="2:2">
      <c r="B6883" s="422"/>
    </row>
    <row r="6884" spans="2:2">
      <c r="B6884" s="422"/>
    </row>
    <row r="6885" spans="2:2">
      <c r="B6885" s="422"/>
    </row>
    <row r="6886" spans="2:2">
      <c r="B6886" s="422"/>
    </row>
    <row r="6887" spans="2:2">
      <c r="B6887" s="422"/>
    </row>
    <row r="6888" spans="2:2">
      <c r="B6888" s="422"/>
    </row>
    <row r="6889" spans="2:2">
      <c r="B6889" s="422"/>
    </row>
    <row r="6890" spans="2:2">
      <c r="B6890" s="422"/>
    </row>
    <row r="6891" spans="2:2">
      <c r="B6891" s="422"/>
    </row>
    <row r="6892" spans="2:2">
      <c r="B6892" s="422"/>
    </row>
    <row r="6893" spans="2:2">
      <c r="B6893" s="422"/>
    </row>
    <row r="6894" spans="2:2">
      <c r="B6894" s="422"/>
    </row>
    <row r="6895" spans="2:2">
      <c r="B6895" s="422"/>
    </row>
    <row r="6896" spans="2:2">
      <c r="B6896" s="422"/>
    </row>
    <row r="6897" spans="2:2">
      <c r="B6897" s="422"/>
    </row>
    <row r="6898" spans="2:2">
      <c r="B6898" s="422"/>
    </row>
    <row r="6899" spans="2:2">
      <c r="B6899" s="422"/>
    </row>
    <row r="6900" spans="2:2">
      <c r="B6900" s="422"/>
    </row>
    <row r="6901" spans="2:2">
      <c r="B6901" s="422"/>
    </row>
    <row r="6902" spans="2:2">
      <c r="B6902" s="422"/>
    </row>
    <row r="6903" spans="2:2">
      <c r="B6903" s="422"/>
    </row>
    <row r="6904" spans="2:2">
      <c r="B6904" s="422"/>
    </row>
    <row r="6905" spans="2:2">
      <c r="B6905" s="422"/>
    </row>
    <row r="6906" spans="2:2">
      <c r="B6906" s="422"/>
    </row>
    <row r="6907" spans="2:2">
      <c r="B6907" s="422"/>
    </row>
    <row r="6908" spans="2:2">
      <c r="B6908" s="422"/>
    </row>
    <row r="6909" spans="2:2">
      <c r="B6909" s="422"/>
    </row>
    <row r="6910" spans="2:2">
      <c r="B6910" s="422"/>
    </row>
    <row r="6911" spans="2:2">
      <c r="B6911" s="422"/>
    </row>
    <row r="6912" spans="2:2">
      <c r="B6912" s="422"/>
    </row>
    <row r="6913" spans="2:2">
      <c r="B6913" s="422"/>
    </row>
    <row r="6914" spans="2:2">
      <c r="B6914" s="422"/>
    </row>
    <row r="6915" spans="2:2">
      <c r="B6915" s="422"/>
    </row>
    <row r="6916" spans="2:2">
      <c r="B6916" s="422"/>
    </row>
    <row r="6917" spans="2:2">
      <c r="B6917" s="422"/>
    </row>
    <row r="6918" spans="2:2">
      <c r="B6918" s="422"/>
    </row>
    <row r="6919" spans="2:2">
      <c r="B6919" s="422"/>
    </row>
    <row r="6920" spans="2:2">
      <c r="B6920" s="422"/>
    </row>
    <row r="6921" spans="2:2">
      <c r="B6921" s="422"/>
    </row>
    <row r="6922" spans="2:2">
      <c r="B6922" s="422"/>
    </row>
    <row r="6923" spans="2:2">
      <c r="B6923" s="422"/>
    </row>
    <row r="6924" spans="2:2">
      <c r="B6924" s="422"/>
    </row>
    <row r="6925" spans="2:2">
      <c r="B6925" s="422"/>
    </row>
    <row r="6926" spans="2:2">
      <c r="B6926" s="422"/>
    </row>
    <row r="6927" spans="2:2">
      <c r="B6927" s="422"/>
    </row>
    <row r="6928" spans="2:2">
      <c r="B6928" s="422"/>
    </row>
    <row r="6929" spans="2:2">
      <c r="B6929" s="422"/>
    </row>
    <row r="6930" spans="2:2">
      <c r="B6930" s="422"/>
    </row>
    <row r="6931" spans="2:2">
      <c r="B6931" s="422"/>
    </row>
    <row r="6932" spans="2:2">
      <c r="B6932" s="422"/>
    </row>
    <row r="6933" spans="2:2">
      <c r="B6933" s="422"/>
    </row>
    <row r="6934" spans="2:2">
      <c r="B6934" s="422"/>
    </row>
    <row r="6935" spans="2:2">
      <c r="B6935" s="422"/>
    </row>
    <row r="6936" spans="2:2">
      <c r="B6936" s="422"/>
    </row>
    <row r="6937" spans="2:2">
      <c r="B6937" s="422"/>
    </row>
    <row r="6938" spans="2:2">
      <c r="B6938" s="422"/>
    </row>
    <row r="6939" spans="2:2">
      <c r="B6939" s="422"/>
    </row>
    <row r="6940" spans="2:2">
      <c r="B6940" s="422"/>
    </row>
    <row r="6941" spans="2:2">
      <c r="B6941" s="422"/>
    </row>
    <row r="6942" spans="2:2">
      <c r="B6942" s="422"/>
    </row>
    <row r="6943" spans="2:2">
      <c r="B6943" s="422"/>
    </row>
    <row r="6944" spans="2:2">
      <c r="B6944" s="422"/>
    </row>
    <row r="6945" spans="2:2">
      <c r="B6945" s="422"/>
    </row>
    <row r="6946" spans="2:2">
      <c r="B6946" s="422"/>
    </row>
    <row r="6947" spans="2:2">
      <c r="B6947" s="422"/>
    </row>
    <row r="6948" spans="2:2">
      <c r="B6948" s="422"/>
    </row>
    <row r="6949" spans="2:2">
      <c r="B6949" s="422"/>
    </row>
    <row r="6950" spans="2:2">
      <c r="B6950" s="422"/>
    </row>
    <row r="6951" spans="2:2">
      <c r="B6951" s="422"/>
    </row>
    <row r="6952" spans="2:2">
      <c r="B6952" s="422"/>
    </row>
    <row r="6953" spans="2:2">
      <c r="B6953" s="422"/>
    </row>
    <row r="6954" spans="2:2">
      <c r="B6954" s="422"/>
    </row>
    <row r="6955" spans="2:2">
      <c r="B6955" s="422"/>
    </row>
    <row r="6956" spans="2:2">
      <c r="B6956" s="422"/>
    </row>
    <row r="6957" spans="2:2">
      <c r="B6957" s="422"/>
    </row>
    <row r="6958" spans="2:2">
      <c r="B6958" s="422"/>
    </row>
    <row r="6959" spans="2:2">
      <c r="B6959" s="422"/>
    </row>
    <row r="6960" spans="2:2">
      <c r="B6960" s="422"/>
    </row>
    <row r="6961" spans="2:2">
      <c r="B6961" s="422"/>
    </row>
    <row r="6962" spans="2:2">
      <c r="B6962" s="422"/>
    </row>
    <row r="6963" spans="2:2">
      <c r="B6963" s="422"/>
    </row>
    <row r="6964" spans="2:2">
      <c r="B6964" s="422"/>
    </row>
    <row r="6965" spans="2:2">
      <c r="B6965" s="422"/>
    </row>
    <row r="6966" spans="2:2">
      <c r="B6966" s="422"/>
    </row>
    <row r="6967" spans="2:2">
      <c r="B6967" s="422"/>
    </row>
    <row r="6968" spans="2:2">
      <c r="B6968" s="422"/>
    </row>
    <row r="6969" spans="2:2">
      <c r="B6969" s="422"/>
    </row>
    <row r="6970" spans="2:2">
      <c r="B6970" s="422"/>
    </row>
    <row r="6971" spans="2:2">
      <c r="B6971" s="422"/>
    </row>
    <row r="6972" spans="2:2">
      <c r="B6972" s="422"/>
    </row>
    <row r="6973" spans="2:2">
      <c r="B6973" s="422"/>
    </row>
    <row r="6974" spans="2:2">
      <c r="B6974" s="422"/>
    </row>
    <row r="6975" spans="2:2">
      <c r="B6975" s="422"/>
    </row>
    <row r="6976" spans="2:2">
      <c r="B6976" s="422"/>
    </row>
    <row r="6977" spans="2:2">
      <c r="B6977" s="422"/>
    </row>
    <row r="6978" spans="2:2">
      <c r="B6978" s="422"/>
    </row>
    <row r="6979" spans="2:2">
      <c r="B6979" s="422"/>
    </row>
    <row r="6980" spans="2:2">
      <c r="B6980" s="422"/>
    </row>
    <row r="6981" spans="2:2">
      <c r="B6981" s="422"/>
    </row>
    <row r="6982" spans="2:2">
      <c r="B6982" s="422"/>
    </row>
    <row r="6983" spans="2:2">
      <c r="B6983" s="422"/>
    </row>
    <row r="6984" spans="2:2">
      <c r="B6984" s="422"/>
    </row>
    <row r="6985" spans="2:2">
      <c r="B6985" s="422"/>
    </row>
    <row r="6986" spans="2:2">
      <c r="B6986" s="422"/>
    </row>
    <row r="6987" spans="2:2">
      <c r="B6987" s="422"/>
    </row>
    <row r="6988" spans="2:2">
      <c r="B6988" s="422"/>
    </row>
    <row r="6989" spans="2:2">
      <c r="B6989" s="422"/>
    </row>
    <row r="6990" spans="2:2">
      <c r="B6990" s="422"/>
    </row>
    <row r="6991" spans="2:2">
      <c r="B6991" s="422"/>
    </row>
    <row r="6992" spans="2:2">
      <c r="B6992" s="422"/>
    </row>
    <row r="6993" spans="2:2">
      <c r="B6993" s="422"/>
    </row>
    <row r="6994" spans="2:2">
      <c r="B6994" s="422"/>
    </row>
    <row r="6995" spans="2:2">
      <c r="B6995" s="422"/>
    </row>
    <row r="6996" spans="2:2">
      <c r="B6996" s="422"/>
    </row>
    <row r="6997" spans="2:2">
      <c r="B6997" s="422"/>
    </row>
    <row r="6998" spans="2:2">
      <c r="B6998" s="422"/>
    </row>
    <row r="6999" spans="2:2">
      <c r="B6999" s="422"/>
    </row>
    <row r="7000" spans="2:2">
      <c r="B7000" s="422"/>
    </row>
    <row r="7001" spans="2:2">
      <c r="B7001" s="422"/>
    </row>
    <row r="7002" spans="2:2">
      <c r="B7002" s="422"/>
    </row>
    <row r="7003" spans="2:2">
      <c r="B7003" s="422"/>
    </row>
    <row r="7004" spans="2:2">
      <c r="B7004" s="422"/>
    </row>
    <row r="7005" spans="2:2">
      <c r="B7005" s="422"/>
    </row>
    <row r="7006" spans="2:2">
      <c r="B7006" s="422"/>
    </row>
    <row r="7007" spans="2:2">
      <c r="B7007" s="422"/>
    </row>
    <row r="7008" spans="2:2">
      <c r="B7008" s="422"/>
    </row>
    <row r="7009" spans="2:2">
      <c r="B7009" s="422"/>
    </row>
    <row r="7010" spans="2:2">
      <c r="B7010" s="422"/>
    </row>
    <row r="7011" spans="2:2">
      <c r="B7011" s="422"/>
    </row>
    <row r="7012" spans="2:2">
      <c r="B7012" s="422"/>
    </row>
    <row r="7013" spans="2:2">
      <c r="B7013" s="422"/>
    </row>
    <row r="7014" spans="2:2">
      <c r="B7014" s="422"/>
    </row>
    <row r="7015" spans="2:2">
      <c r="B7015" s="422"/>
    </row>
    <row r="7016" spans="2:2">
      <c r="B7016" s="422"/>
    </row>
    <row r="7017" spans="2:2">
      <c r="B7017" s="422"/>
    </row>
    <row r="7018" spans="2:2">
      <c r="B7018" s="422"/>
    </row>
    <row r="7019" spans="2:2">
      <c r="B7019" s="422"/>
    </row>
    <row r="7020" spans="2:2">
      <c r="B7020" s="422"/>
    </row>
    <row r="7021" spans="2:2">
      <c r="B7021" s="422"/>
    </row>
    <row r="7022" spans="2:2">
      <c r="B7022" s="422"/>
    </row>
    <row r="7023" spans="2:2">
      <c r="B7023" s="422"/>
    </row>
    <row r="7024" spans="2:2">
      <c r="B7024" s="422"/>
    </row>
    <row r="7025" spans="2:2">
      <c r="B7025" s="422"/>
    </row>
    <row r="7026" spans="2:2">
      <c r="B7026" s="422"/>
    </row>
    <row r="7027" spans="2:2">
      <c r="B7027" s="422"/>
    </row>
    <row r="7028" spans="2:2">
      <c r="B7028" s="422"/>
    </row>
    <row r="7029" spans="2:2">
      <c r="B7029" s="422"/>
    </row>
    <row r="7030" spans="2:2">
      <c r="B7030" s="422"/>
    </row>
    <row r="7031" spans="2:2">
      <c r="B7031" s="422"/>
    </row>
    <row r="7032" spans="2:2">
      <c r="B7032" s="422"/>
    </row>
    <row r="7033" spans="2:2">
      <c r="B7033" s="422"/>
    </row>
    <row r="7034" spans="2:2">
      <c r="B7034" s="422"/>
    </row>
    <row r="7035" spans="2:2">
      <c r="B7035" s="422"/>
    </row>
    <row r="7036" spans="2:2">
      <c r="B7036" s="422"/>
    </row>
    <row r="7037" spans="2:2">
      <c r="B7037" s="422"/>
    </row>
    <row r="7038" spans="2:2">
      <c r="B7038" s="422"/>
    </row>
    <row r="7039" spans="2:2">
      <c r="B7039" s="422"/>
    </row>
    <row r="7040" spans="2:2">
      <c r="B7040" s="422"/>
    </row>
    <row r="7041" spans="2:2">
      <c r="B7041" s="422"/>
    </row>
    <row r="7042" spans="2:2">
      <c r="B7042" s="422"/>
    </row>
    <row r="7043" spans="2:2">
      <c r="B7043" s="422"/>
    </row>
    <row r="7044" spans="2:2">
      <c r="B7044" s="422"/>
    </row>
    <row r="7045" spans="2:2">
      <c r="B7045" s="422"/>
    </row>
    <row r="7046" spans="2:2">
      <c r="B7046" s="422"/>
    </row>
    <row r="7047" spans="2:2">
      <c r="B7047" s="422"/>
    </row>
    <row r="7048" spans="2:2">
      <c r="B7048" s="422"/>
    </row>
    <row r="7049" spans="2:2">
      <c r="B7049" s="422"/>
    </row>
    <row r="7050" spans="2:2">
      <c r="B7050" s="422"/>
    </row>
    <row r="7051" spans="2:2">
      <c r="B7051" s="422"/>
    </row>
    <row r="7052" spans="2:2">
      <c r="B7052" s="422"/>
    </row>
    <row r="7053" spans="2:2">
      <c r="B7053" s="422"/>
    </row>
    <row r="7054" spans="2:2">
      <c r="B7054" s="422"/>
    </row>
    <row r="7055" spans="2:2">
      <c r="B7055" s="422"/>
    </row>
    <row r="7056" spans="2:2">
      <c r="B7056" s="422"/>
    </row>
    <row r="7057" spans="2:2">
      <c r="B7057" s="422"/>
    </row>
    <row r="7058" spans="2:2">
      <c r="B7058" s="422"/>
    </row>
    <row r="7059" spans="2:2">
      <c r="B7059" s="422"/>
    </row>
    <row r="7060" spans="2:2">
      <c r="B7060" s="422"/>
    </row>
    <row r="7061" spans="2:2">
      <c r="B7061" s="422"/>
    </row>
    <row r="7062" spans="2:2">
      <c r="B7062" s="422"/>
    </row>
    <row r="7063" spans="2:2">
      <c r="B7063" s="422"/>
    </row>
    <row r="7064" spans="2:2">
      <c r="B7064" s="422"/>
    </row>
    <row r="7065" spans="2:2">
      <c r="B7065" s="422"/>
    </row>
    <row r="7066" spans="2:2">
      <c r="B7066" s="422"/>
    </row>
    <row r="7067" spans="2:2">
      <c r="B7067" s="422"/>
    </row>
    <row r="7068" spans="2:2">
      <c r="B7068" s="422"/>
    </row>
    <row r="7069" spans="2:2">
      <c r="B7069" s="422"/>
    </row>
    <row r="7070" spans="2:2">
      <c r="B7070" s="422"/>
    </row>
    <row r="7071" spans="2:2">
      <c r="B7071" s="422"/>
    </row>
    <row r="7072" spans="2:2">
      <c r="B7072" s="422"/>
    </row>
    <row r="7073" spans="2:2">
      <c r="B7073" s="422"/>
    </row>
    <row r="7074" spans="2:2">
      <c r="B7074" s="422"/>
    </row>
    <row r="7075" spans="2:2">
      <c r="B7075" s="422"/>
    </row>
    <row r="7076" spans="2:2">
      <c r="B7076" s="422"/>
    </row>
    <row r="7077" spans="2:2">
      <c r="B7077" s="422"/>
    </row>
    <row r="7078" spans="2:2">
      <c r="B7078" s="422"/>
    </row>
    <row r="7079" spans="2:2">
      <c r="B7079" s="422"/>
    </row>
    <row r="7080" spans="2:2">
      <c r="B7080" s="422"/>
    </row>
    <row r="7081" spans="2:2">
      <c r="B7081" s="422"/>
    </row>
    <row r="7082" spans="2:2">
      <c r="B7082" s="422"/>
    </row>
    <row r="7083" spans="2:2">
      <c r="B7083" s="422"/>
    </row>
    <row r="7084" spans="2:2">
      <c r="B7084" s="422"/>
    </row>
    <row r="7085" spans="2:2">
      <c r="B7085" s="422"/>
    </row>
    <row r="7086" spans="2:2">
      <c r="B7086" s="422"/>
    </row>
    <row r="7087" spans="2:2">
      <c r="B7087" s="422"/>
    </row>
    <row r="7088" spans="2:2">
      <c r="B7088" s="422"/>
    </row>
    <row r="7089" spans="2:2">
      <c r="B7089" s="422"/>
    </row>
    <row r="7090" spans="2:2">
      <c r="B7090" s="422"/>
    </row>
    <row r="7091" spans="2:2">
      <c r="B7091" s="422"/>
    </row>
    <row r="7092" spans="2:2">
      <c r="B7092" s="422"/>
    </row>
    <row r="7093" spans="2:2">
      <c r="B7093" s="422"/>
    </row>
    <row r="7094" spans="2:2">
      <c r="B7094" s="422"/>
    </row>
    <row r="7095" spans="2:2">
      <c r="B7095" s="422"/>
    </row>
    <row r="7096" spans="2:2">
      <c r="B7096" s="422"/>
    </row>
    <row r="7097" spans="2:2">
      <c r="B7097" s="422"/>
    </row>
    <row r="7098" spans="2:2">
      <c r="B7098" s="422"/>
    </row>
    <row r="7099" spans="2:2">
      <c r="B7099" s="422"/>
    </row>
    <row r="7100" spans="2:2">
      <c r="B7100" s="422"/>
    </row>
    <row r="7101" spans="2:2">
      <c r="B7101" s="422"/>
    </row>
    <row r="7102" spans="2:2">
      <c r="B7102" s="422"/>
    </row>
    <row r="7103" spans="2:2">
      <c r="B7103" s="422"/>
    </row>
    <row r="7104" spans="2:2">
      <c r="B7104" s="422"/>
    </row>
    <row r="7105" spans="2:2">
      <c r="B7105" s="422"/>
    </row>
    <row r="7106" spans="2:2">
      <c r="B7106" s="422"/>
    </row>
    <row r="7107" spans="2:2">
      <c r="B7107" s="422"/>
    </row>
    <row r="7108" spans="2:2">
      <c r="B7108" s="422"/>
    </row>
    <row r="7109" spans="2:2">
      <c r="B7109" s="422"/>
    </row>
    <row r="7110" spans="2:2">
      <c r="B7110" s="422"/>
    </row>
    <row r="7111" spans="2:2">
      <c r="B7111" s="422"/>
    </row>
    <row r="7112" spans="2:2">
      <c r="B7112" s="422"/>
    </row>
    <row r="7113" spans="2:2">
      <c r="B7113" s="422"/>
    </row>
    <row r="7114" spans="2:2">
      <c r="B7114" s="422"/>
    </row>
    <row r="7115" spans="2:2">
      <c r="B7115" s="422"/>
    </row>
    <row r="7116" spans="2:2">
      <c r="B7116" s="422"/>
    </row>
    <row r="7117" spans="2:2">
      <c r="B7117" s="422"/>
    </row>
    <row r="7118" spans="2:2">
      <c r="B7118" s="422"/>
    </row>
    <row r="7119" spans="2:2">
      <c r="B7119" s="422"/>
    </row>
    <row r="7120" spans="2:2">
      <c r="B7120" s="422"/>
    </row>
    <row r="7121" spans="2:2">
      <c r="B7121" s="422"/>
    </row>
    <row r="7122" spans="2:2">
      <c r="B7122" s="422"/>
    </row>
    <row r="7123" spans="2:2">
      <c r="B7123" s="422"/>
    </row>
    <row r="7124" spans="2:2">
      <c r="B7124" s="422"/>
    </row>
    <row r="7125" spans="2:2">
      <c r="B7125" s="422"/>
    </row>
    <row r="7126" spans="2:2">
      <c r="B7126" s="422"/>
    </row>
    <row r="7127" spans="2:2">
      <c r="B7127" s="422"/>
    </row>
    <row r="7128" spans="2:2">
      <c r="B7128" s="422"/>
    </row>
    <row r="7129" spans="2:2">
      <c r="B7129" s="422"/>
    </row>
    <row r="7130" spans="2:2">
      <c r="B7130" s="422"/>
    </row>
    <row r="7131" spans="2:2">
      <c r="B7131" s="422"/>
    </row>
    <row r="7132" spans="2:2">
      <c r="B7132" s="422"/>
    </row>
    <row r="7133" spans="2:2">
      <c r="B7133" s="422"/>
    </row>
    <row r="7134" spans="2:2">
      <c r="B7134" s="422"/>
    </row>
    <row r="7135" spans="2:2">
      <c r="B7135" s="422"/>
    </row>
    <row r="7136" spans="2:2">
      <c r="B7136" s="422"/>
    </row>
    <row r="7137" spans="2:2">
      <c r="B7137" s="422"/>
    </row>
    <row r="7138" spans="2:2">
      <c r="B7138" s="422"/>
    </row>
    <row r="7139" spans="2:2">
      <c r="B7139" s="422"/>
    </row>
    <row r="7140" spans="2:2">
      <c r="B7140" s="422"/>
    </row>
    <row r="7141" spans="2:2">
      <c r="B7141" s="422"/>
    </row>
    <row r="7142" spans="2:2">
      <c r="B7142" s="422"/>
    </row>
    <row r="7143" spans="2:2">
      <c r="B7143" s="422"/>
    </row>
    <row r="7144" spans="2:2">
      <c r="B7144" s="422"/>
    </row>
    <row r="7145" spans="2:2">
      <c r="B7145" s="422"/>
    </row>
    <row r="7146" spans="2:2">
      <c r="B7146" s="422"/>
    </row>
    <row r="7147" spans="2:2">
      <c r="B7147" s="422"/>
    </row>
    <row r="7148" spans="2:2">
      <c r="B7148" s="422"/>
    </row>
    <row r="7149" spans="2:2">
      <c r="B7149" s="422"/>
    </row>
    <row r="7150" spans="2:2">
      <c r="B7150" s="422"/>
    </row>
    <row r="7151" spans="2:2">
      <c r="B7151" s="422"/>
    </row>
    <row r="7152" spans="2:2">
      <c r="B7152" s="422"/>
    </row>
    <row r="7153" spans="2:2">
      <c r="B7153" s="422"/>
    </row>
    <row r="7154" spans="2:2">
      <c r="B7154" s="422"/>
    </row>
    <row r="7155" spans="2:2">
      <c r="B7155" s="422"/>
    </row>
    <row r="7156" spans="2:2">
      <c r="B7156" s="422"/>
    </row>
    <row r="7157" spans="2:2">
      <c r="B7157" s="422"/>
    </row>
    <row r="7158" spans="2:2">
      <c r="B7158" s="422"/>
    </row>
    <row r="7159" spans="2:2">
      <c r="B7159" s="422"/>
    </row>
    <row r="7160" spans="2:2">
      <c r="B7160" s="422"/>
    </row>
    <row r="7161" spans="2:2">
      <c r="B7161" s="422"/>
    </row>
    <row r="7162" spans="2:2">
      <c r="B7162" s="422"/>
    </row>
    <row r="7163" spans="2:2">
      <c r="B7163" s="422"/>
    </row>
    <row r="7164" spans="2:2">
      <c r="B7164" s="422"/>
    </row>
    <row r="7165" spans="2:2">
      <c r="B7165" s="422"/>
    </row>
    <row r="7166" spans="2:2">
      <c r="B7166" s="422"/>
    </row>
    <row r="7167" spans="2:2">
      <c r="B7167" s="422"/>
    </row>
    <row r="7168" spans="2:2">
      <c r="B7168" s="422"/>
    </row>
    <row r="7169" spans="2:2">
      <c r="B7169" s="422"/>
    </row>
    <row r="7170" spans="2:2">
      <c r="B7170" s="422"/>
    </row>
    <row r="7171" spans="2:2">
      <c r="B7171" s="422"/>
    </row>
    <row r="7172" spans="2:2">
      <c r="B7172" s="422"/>
    </row>
    <row r="7173" spans="2:2">
      <c r="B7173" s="422"/>
    </row>
    <row r="7174" spans="2:2">
      <c r="B7174" s="422"/>
    </row>
    <row r="7175" spans="2:2">
      <c r="B7175" s="422"/>
    </row>
    <row r="7176" spans="2:2">
      <c r="B7176" s="422"/>
    </row>
    <row r="7177" spans="2:2">
      <c r="B7177" s="422"/>
    </row>
    <row r="7178" spans="2:2">
      <c r="B7178" s="422"/>
    </row>
    <row r="7179" spans="2:2">
      <c r="B7179" s="422"/>
    </row>
    <row r="7180" spans="2:2">
      <c r="B7180" s="422"/>
    </row>
    <row r="7181" spans="2:2">
      <c r="B7181" s="422"/>
    </row>
    <row r="7182" spans="2:2">
      <c r="B7182" s="422"/>
    </row>
    <row r="7183" spans="2:2">
      <c r="B7183" s="422"/>
    </row>
    <row r="7184" spans="2:2">
      <c r="B7184" s="422"/>
    </row>
    <row r="7185" spans="2:2">
      <c r="B7185" s="422"/>
    </row>
    <row r="7186" spans="2:2">
      <c r="B7186" s="422"/>
    </row>
    <row r="7187" spans="2:2">
      <c r="B7187" s="422"/>
    </row>
    <row r="7188" spans="2:2">
      <c r="B7188" s="422"/>
    </row>
    <row r="7189" spans="2:2">
      <c r="B7189" s="422"/>
    </row>
    <row r="7190" spans="2:2">
      <c r="B7190" s="422"/>
    </row>
    <row r="7191" spans="2:2">
      <c r="B7191" s="422"/>
    </row>
    <row r="7192" spans="2:2">
      <c r="B7192" s="422"/>
    </row>
    <row r="7193" spans="2:2">
      <c r="B7193" s="422"/>
    </row>
    <row r="7194" spans="2:2">
      <c r="B7194" s="422"/>
    </row>
    <row r="7195" spans="2:2">
      <c r="B7195" s="422"/>
    </row>
    <row r="7196" spans="2:2">
      <c r="B7196" s="422"/>
    </row>
    <row r="7197" spans="2:2">
      <c r="B7197" s="422"/>
    </row>
    <row r="7198" spans="2:2">
      <c r="B7198" s="422"/>
    </row>
    <row r="7199" spans="2:2">
      <c r="B7199" s="422"/>
    </row>
    <row r="7200" spans="2:2">
      <c r="B7200" s="422"/>
    </row>
    <row r="7201" spans="2:2">
      <c r="B7201" s="422"/>
    </row>
    <row r="7202" spans="2:2">
      <c r="B7202" s="422"/>
    </row>
    <row r="7203" spans="2:2">
      <c r="B7203" s="422"/>
    </row>
    <row r="7204" spans="2:2">
      <c r="B7204" s="422"/>
    </row>
    <row r="7205" spans="2:2">
      <c r="B7205" s="422"/>
    </row>
    <row r="7206" spans="2:2">
      <c r="B7206" s="422"/>
    </row>
    <row r="7207" spans="2:2">
      <c r="B7207" s="422"/>
    </row>
    <row r="7208" spans="2:2">
      <c r="B7208" s="422"/>
    </row>
    <row r="7209" spans="2:2">
      <c r="B7209" s="422"/>
    </row>
    <row r="7210" spans="2:2">
      <c r="B7210" s="422"/>
    </row>
    <row r="7211" spans="2:2">
      <c r="B7211" s="422"/>
    </row>
    <row r="7212" spans="2:2">
      <c r="B7212" s="422"/>
    </row>
    <row r="7213" spans="2:2">
      <c r="B7213" s="422"/>
    </row>
    <row r="7214" spans="2:2">
      <c r="B7214" s="422"/>
    </row>
    <row r="7215" spans="2:2">
      <c r="B7215" s="422"/>
    </row>
    <row r="7216" spans="2:2">
      <c r="B7216" s="422"/>
    </row>
    <row r="7217" spans="2:2">
      <c r="B7217" s="422"/>
    </row>
    <row r="7218" spans="2:2">
      <c r="B7218" s="422"/>
    </row>
    <row r="7219" spans="2:2">
      <c r="B7219" s="422"/>
    </row>
    <row r="7220" spans="2:2">
      <c r="B7220" s="422"/>
    </row>
    <row r="7221" spans="2:2">
      <c r="B7221" s="422"/>
    </row>
    <row r="7222" spans="2:2">
      <c r="B7222" s="422"/>
    </row>
    <row r="7223" spans="2:2">
      <c r="B7223" s="422"/>
    </row>
    <row r="7224" spans="2:2">
      <c r="B7224" s="422"/>
    </row>
    <row r="7225" spans="2:2">
      <c r="B7225" s="422"/>
    </row>
    <row r="7226" spans="2:2">
      <c r="B7226" s="422"/>
    </row>
    <row r="7227" spans="2:2">
      <c r="B7227" s="422"/>
    </row>
    <row r="7228" spans="2:2">
      <c r="B7228" s="422"/>
    </row>
    <row r="7229" spans="2:2">
      <c r="B7229" s="422"/>
    </row>
    <row r="7230" spans="2:2">
      <c r="B7230" s="422"/>
    </row>
    <row r="7231" spans="2:2">
      <c r="B7231" s="422"/>
    </row>
    <row r="7232" spans="2:2">
      <c r="B7232" s="422"/>
    </row>
    <row r="7233" spans="2:2">
      <c r="B7233" s="422"/>
    </row>
    <row r="7234" spans="2:2">
      <c r="B7234" s="422"/>
    </row>
    <row r="7235" spans="2:2">
      <c r="B7235" s="422"/>
    </row>
    <row r="7236" spans="2:2">
      <c r="B7236" s="422"/>
    </row>
    <row r="7237" spans="2:2">
      <c r="B7237" s="422"/>
    </row>
    <row r="7238" spans="2:2">
      <c r="B7238" s="422"/>
    </row>
    <row r="7239" spans="2:2">
      <c r="B7239" s="422"/>
    </row>
    <row r="7240" spans="2:2">
      <c r="B7240" s="422"/>
    </row>
    <row r="7241" spans="2:2">
      <c r="B7241" s="422"/>
    </row>
    <row r="7242" spans="2:2">
      <c r="B7242" s="422"/>
    </row>
    <row r="7243" spans="2:2">
      <c r="B7243" s="422"/>
    </row>
    <row r="7244" spans="2:2">
      <c r="B7244" s="422"/>
    </row>
    <row r="7245" spans="2:2">
      <c r="B7245" s="422"/>
    </row>
    <row r="7246" spans="2:2">
      <c r="B7246" s="422"/>
    </row>
    <row r="7247" spans="2:2">
      <c r="B7247" s="422"/>
    </row>
    <row r="7248" spans="2:2">
      <c r="B7248" s="422"/>
    </row>
    <row r="7249" spans="2:2">
      <c r="B7249" s="422"/>
    </row>
    <row r="7250" spans="2:2">
      <c r="B7250" s="422"/>
    </row>
    <row r="7251" spans="2:2">
      <c r="B7251" s="422"/>
    </row>
    <row r="7252" spans="2:2">
      <c r="B7252" s="422"/>
    </row>
    <row r="7253" spans="2:2">
      <c r="B7253" s="422"/>
    </row>
    <row r="7254" spans="2:2">
      <c r="B7254" s="422"/>
    </row>
    <row r="7255" spans="2:2">
      <c r="B7255" s="422"/>
    </row>
    <row r="7256" spans="2:2">
      <c r="B7256" s="422"/>
    </row>
    <row r="7257" spans="2:2">
      <c r="B7257" s="422"/>
    </row>
    <row r="7258" spans="2:2">
      <c r="B7258" s="422"/>
    </row>
    <row r="7259" spans="2:2">
      <c r="B7259" s="422"/>
    </row>
    <row r="7260" spans="2:2">
      <c r="B7260" s="422"/>
    </row>
    <row r="7261" spans="2:2">
      <c r="B7261" s="422"/>
    </row>
    <row r="7262" spans="2:2">
      <c r="B7262" s="422"/>
    </row>
    <row r="7263" spans="2:2">
      <c r="B7263" s="422"/>
    </row>
    <row r="7264" spans="2:2">
      <c r="B7264" s="422"/>
    </row>
    <row r="7265" spans="2:2">
      <c r="B7265" s="422"/>
    </row>
    <row r="7266" spans="2:2">
      <c r="B7266" s="422"/>
    </row>
    <row r="7267" spans="2:2">
      <c r="B7267" s="422"/>
    </row>
    <row r="7268" spans="2:2">
      <c r="B7268" s="422"/>
    </row>
    <row r="7269" spans="2:2">
      <c r="B7269" s="422"/>
    </row>
    <row r="7270" spans="2:2">
      <c r="B7270" s="422"/>
    </row>
    <row r="7271" spans="2:2">
      <c r="B7271" s="422"/>
    </row>
    <row r="7272" spans="2:2">
      <c r="B7272" s="422"/>
    </row>
    <row r="7273" spans="2:2">
      <c r="B7273" s="422"/>
    </row>
    <row r="7274" spans="2:2">
      <c r="B7274" s="422"/>
    </row>
    <row r="7275" spans="2:2">
      <c r="B7275" s="422"/>
    </row>
    <row r="7276" spans="2:2">
      <c r="B7276" s="422"/>
    </row>
    <row r="7277" spans="2:2">
      <c r="B7277" s="422"/>
    </row>
    <row r="7278" spans="2:2">
      <c r="B7278" s="422"/>
    </row>
    <row r="7279" spans="2:2">
      <c r="B7279" s="422"/>
    </row>
    <row r="7280" spans="2:2">
      <c r="B7280" s="422"/>
    </row>
    <row r="7281" spans="2:2">
      <c r="B7281" s="422"/>
    </row>
    <row r="7282" spans="2:2">
      <c r="B7282" s="422"/>
    </row>
    <row r="7283" spans="2:2">
      <c r="B7283" s="422"/>
    </row>
    <row r="7284" spans="2:2">
      <c r="B7284" s="422"/>
    </row>
    <row r="7285" spans="2:2">
      <c r="B7285" s="422"/>
    </row>
    <row r="7286" spans="2:2">
      <c r="B7286" s="422"/>
    </row>
    <row r="7287" spans="2:2">
      <c r="B7287" s="422"/>
    </row>
    <row r="7288" spans="2:2">
      <c r="B7288" s="422"/>
    </row>
    <row r="7289" spans="2:2">
      <c r="B7289" s="422"/>
    </row>
    <row r="7290" spans="2:2">
      <c r="B7290" s="422"/>
    </row>
    <row r="7291" spans="2:2">
      <c r="B7291" s="422"/>
    </row>
    <row r="7292" spans="2:2">
      <c r="B7292" s="422"/>
    </row>
    <row r="7293" spans="2:2">
      <c r="B7293" s="422"/>
    </row>
    <row r="7294" spans="2:2">
      <c r="B7294" s="422"/>
    </row>
    <row r="7295" spans="2:2">
      <c r="B7295" s="422"/>
    </row>
    <row r="7296" spans="2:2">
      <c r="B7296" s="422"/>
    </row>
    <row r="7297" spans="2:2">
      <c r="B7297" s="422"/>
    </row>
    <row r="7298" spans="2:2">
      <c r="B7298" s="422"/>
    </row>
    <row r="7299" spans="2:2">
      <c r="B7299" s="422"/>
    </row>
    <row r="7300" spans="2:2">
      <c r="B7300" s="422"/>
    </row>
    <row r="7301" spans="2:2">
      <c r="B7301" s="422"/>
    </row>
    <row r="7302" spans="2:2">
      <c r="B7302" s="422"/>
    </row>
    <row r="7303" spans="2:2">
      <c r="B7303" s="422"/>
    </row>
    <row r="7304" spans="2:2">
      <c r="B7304" s="422"/>
    </row>
    <row r="7305" spans="2:2">
      <c r="B7305" s="422"/>
    </row>
    <row r="7306" spans="2:2">
      <c r="B7306" s="422"/>
    </row>
    <row r="7307" spans="2:2">
      <c r="B7307" s="422"/>
    </row>
    <row r="7308" spans="2:2">
      <c r="B7308" s="422"/>
    </row>
    <row r="7309" spans="2:2">
      <c r="B7309" s="422"/>
    </row>
    <row r="7310" spans="2:2">
      <c r="B7310" s="422"/>
    </row>
    <row r="7311" spans="2:2">
      <c r="B7311" s="422"/>
    </row>
    <row r="7312" spans="2:2">
      <c r="B7312" s="422"/>
    </row>
    <row r="7313" spans="2:2">
      <c r="B7313" s="422"/>
    </row>
    <row r="7314" spans="2:2">
      <c r="B7314" s="422"/>
    </row>
    <row r="7315" spans="2:2">
      <c r="B7315" s="422"/>
    </row>
    <row r="7316" spans="2:2">
      <c r="B7316" s="422"/>
    </row>
    <row r="7317" spans="2:2">
      <c r="B7317" s="422"/>
    </row>
    <row r="7318" spans="2:2">
      <c r="B7318" s="422"/>
    </row>
    <row r="7319" spans="2:2">
      <c r="B7319" s="422"/>
    </row>
    <row r="7320" spans="2:2">
      <c r="B7320" s="422"/>
    </row>
    <row r="7321" spans="2:2">
      <c r="B7321" s="422"/>
    </row>
    <row r="7322" spans="2:2">
      <c r="B7322" s="422"/>
    </row>
    <row r="7323" spans="2:2">
      <c r="B7323" s="422"/>
    </row>
    <row r="7324" spans="2:2">
      <c r="B7324" s="422"/>
    </row>
    <row r="7325" spans="2:2">
      <c r="B7325" s="422"/>
    </row>
    <row r="7326" spans="2:2">
      <c r="B7326" s="422"/>
    </row>
    <row r="7327" spans="2:2">
      <c r="B7327" s="422"/>
    </row>
    <row r="7328" spans="2:2">
      <c r="B7328" s="422"/>
    </row>
    <row r="7329" spans="2:2">
      <c r="B7329" s="422"/>
    </row>
    <row r="7330" spans="2:2">
      <c r="B7330" s="422"/>
    </row>
    <row r="7331" spans="2:2">
      <c r="B7331" s="422"/>
    </row>
    <row r="7332" spans="2:2">
      <c r="B7332" s="422"/>
    </row>
    <row r="7333" spans="2:2">
      <c r="B7333" s="422"/>
    </row>
    <row r="7334" spans="2:2">
      <c r="B7334" s="422"/>
    </row>
    <row r="7335" spans="2:2">
      <c r="B7335" s="422"/>
    </row>
    <row r="7336" spans="2:2">
      <c r="B7336" s="422"/>
    </row>
    <row r="7337" spans="2:2">
      <c r="B7337" s="422"/>
    </row>
    <row r="7338" spans="2:2">
      <c r="B7338" s="422"/>
    </row>
    <row r="7339" spans="2:2">
      <c r="B7339" s="422"/>
    </row>
    <row r="7340" spans="2:2">
      <c r="B7340" s="422"/>
    </row>
    <row r="7341" spans="2:2">
      <c r="B7341" s="422"/>
    </row>
    <row r="7342" spans="2:2">
      <c r="B7342" s="422"/>
    </row>
    <row r="7343" spans="2:2">
      <c r="B7343" s="422"/>
    </row>
    <row r="7344" spans="2:2">
      <c r="B7344" s="422"/>
    </row>
    <row r="7345" spans="2:2">
      <c r="B7345" s="422"/>
    </row>
    <row r="7346" spans="2:2">
      <c r="B7346" s="422"/>
    </row>
    <row r="7347" spans="2:2">
      <c r="B7347" s="422"/>
    </row>
    <row r="7348" spans="2:2">
      <c r="B7348" s="422"/>
    </row>
    <row r="7349" spans="2:2">
      <c r="B7349" s="422"/>
    </row>
    <row r="7350" spans="2:2">
      <c r="B7350" s="422"/>
    </row>
    <row r="7351" spans="2:2">
      <c r="B7351" s="422"/>
    </row>
    <row r="7352" spans="2:2">
      <c r="B7352" s="422"/>
    </row>
    <row r="7353" spans="2:2">
      <c r="B7353" s="422"/>
    </row>
    <row r="7354" spans="2:2">
      <c r="B7354" s="422"/>
    </row>
    <row r="7355" spans="2:2">
      <c r="B7355" s="422"/>
    </row>
    <row r="7356" spans="2:2">
      <c r="B7356" s="422"/>
    </row>
    <row r="7357" spans="2:2">
      <c r="B7357" s="422"/>
    </row>
    <row r="7358" spans="2:2">
      <c r="B7358" s="422"/>
    </row>
    <row r="7359" spans="2:2">
      <c r="B7359" s="422"/>
    </row>
    <row r="7360" spans="2:2">
      <c r="B7360" s="422"/>
    </row>
    <row r="7361" spans="2:2">
      <c r="B7361" s="422"/>
    </row>
    <row r="7362" spans="2:2">
      <c r="B7362" s="422"/>
    </row>
    <row r="7363" spans="2:2">
      <c r="B7363" s="422"/>
    </row>
    <row r="7364" spans="2:2">
      <c r="B7364" s="422"/>
    </row>
    <row r="7365" spans="2:2">
      <c r="B7365" s="422"/>
    </row>
    <row r="7366" spans="2:2">
      <c r="B7366" s="422"/>
    </row>
    <row r="7367" spans="2:2">
      <c r="B7367" s="422"/>
    </row>
    <row r="7368" spans="2:2">
      <c r="B7368" s="422"/>
    </row>
    <row r="7369" spans="2:2">
      <c r="B7369" s="422"/>
    </row>
    <row r="7370" spans="2:2">
      <c r="B7370" s="422"/>
    </row>
    <row r="7371" spans="2:2">
      <c r="B7371" s="422"/>
    </row>
    <row r="7372" spans="2:2">
      <c r="B7372" s="422"/>
    </row>
    <row r="7373" spans="2:2">
      <c r="B7373" s="422"/>
    </row>
    <row r="7374" spans="2:2">
      <c r="B7374" s="422"/>
    </row>
    <row r="7375" spans="2:2">
      <c r="B7375" s="422"/>
    </row>
    <row r="7376" spans="2:2">
      <c r="B7376" s="422"/>
    </row>
    <row r="7377" spans="2:2">
      <c r="B7377" s="422"/>
    </row>
    <row r="7378" spans="2:2">
      <c r="B7378" s="422"/>
    </row>
    <row r="7379" spans="2:2">
      <c r="B7379" s="422"/>
    </row>
    <row r="7380" spans="2:2">
      <c r="B7380" s="422"/>
    </row>
    <row r="7381" spans="2:2">
      <c r="B7381" s="422"/>
    </row>
    <row r="7382" spans="2:2">
      <c r="B7382" s="422"/>
    </row>
    <row r="7383" spans="2:2">
      <c r="B7383" s="422"/>
    </row>
    <row r="7384" spans="2:2">
      <c r="B7384" s="422"/>
    </row>
    <row r="7385" spans="2:2">
      <c r="B7385" s="422"/>
    </row>
    <row r="7386" spans="2:2">
      <c r="B7386" s="422"/>
    </row>
    <row r="7387" spans="2:2">
      <c r="B7387" s="422"/>
    </row>
    <row r="7388" spans="2:2">
      <c r="B7388" s="422"/>
    </row>
    <row r="7389" spans="2:2">
      <c r="B7389" s="422"/>
    </row>
    <row r="7390" spans="2:2">
      <c r="B7390" s="422"/>
    </row>
    <row r="7391" spans="2:2">
      <c r="B7391" s="422"/>
    </row>
    <row r="7392" spans="2:2">
      <c r="B7392" s="422"/>
    </row>
    <row r="7393" spans="2:2">
      <c r="B7393" s="422"/>
    </row>
    <row r="7394" spans="2:2">
      <c r="B7394" s="422"/>
    </row>
    <row r="7395" spans="2:2">
      <c r="B7395" s="422"/>
    </row>
    <row r="7396" spans="2:2">
      <c r="B7396" s="422"/>
    </row>
    <row r="7397" spans="2:2">
      <c r="B7397" s="422"/>
    </row>
    <row r="7398" spans="2:2">
      <c r="B7398" s="422"/>
    </row>
    <row r="7399" spans="2:2">
      <c r="B7399" s="422"/>
    </row>
    <row r="7400" spans="2:2">
      <c r="B7400" s="422"/>
    </row>
    <row r="7401" spans="2:2">
      <c r="B7401" s="422"/>
    </row>
    <row r="7402" spans="2:2">
      <c r="B7402" s="422"/>
    </row>
    <row r="7403" spans="2:2">
      <c r="B7403" s="422"/>
    </row>
    <row r="7404" spans="2:2">
      <c r="B7404" s="422"/>
    </row>
    <row r="7405" spans="2:2">
      <c r="B7405" s="422"/>
    </row>
    <row r="7406" spans="2:2">
      <c r="B7406" s="422"/>
    </row>
    <row r="7407" spans="2:2">
      <c r="B7407" s="422"/>
    </row>
    <row r="7408" spans="2:2">
      <c r="B7408" s="422"/>
    </row>
    <row r="7409" spans="2:2">
      <c r="B7409" s="422"/>
    </row>
    <row r="7410" spans="2:2">
      <c r="B7410" s="422"/>
    </row>
    <row r="7411" spans="2:2">
      <c r="B7411" s="422"/>
    </row>
    <row r="7412" spans="2:2">
      <c r="B7412" s="422"/>
    </row>
    <row r="7413" spans="2:2">
      <c r="B7413" s="422"/>
    </row>
    <row r="7414" spans="2:2">
      <c r="B7414" s="422"/>
    </row>
    <row r="7415" spans="2:2">
      <c r="B7415" s="422"/>
    </row>
    <row r="7416" spans="2:2">
      <c r="B7416" s="422"/>
    </row>
    <row r="7417" spans="2:2">
      <c r="B7417" s="422"/>
    </row>
    <row r="7418" spans="2:2">
      <c r="B7418" s="422"/>
    </row>
    <row r="7419" spans="2:2">
      <c r="B7419" s="422"/>
    </row>
    <row r="7420" spans="2:2">
      <c r="B7420" s="422"/>
    </row>
    <row r="7421" spans="2:2">
      <c r="B7421" s="422"/>
    </row>
    <row r="7422" spans="2:2">
      <c r="B7422" s="422"/>
    </row>
    <row r="7423" spans="2:2">
      <c r="B7423" s="422"/>
    </row>
    <row r="7424" spans="2:2">
      <c r="B7424" s="422"/>
    </row>
    <row r="7425" spans="2:2">
      <c r="B7425" s="422"/>
    </row>
    <row r="7426" spans="2:2">
      <c r="B7426" s="422"/>
    </row>
    <row r="7427" spans="2:2">
      <c r="B7427" s="422"/>
    </row>
    <row r="7428" spans="2:2">
      <c r="B7428" s="422"/>
    </row>
    <row r="7429" spans="2:2">
      <c r="B7429" s="422"/>
    </row>
    <row r="7430" spans="2:2">
      <c r="B7430" s="422"/>
    </row>
    <row r="7431" spans="2:2">
      <c r="B7431" s="422"/>
    </row>
    <row r="7432" spans="2:2">
      <c r="B7432" s="422"/>
    </row>
    <row r="7433" spans="2:2">
      <c r="B7433" s="422"/>
    </row>
    <row r="7434" spans="2:2">
      <c r="B7434" s="422"/>
    </row>
    <row r="7435" spans="2:2">
      <c r="B7435" s="422"/>
    </row>
    <row r="7436" spans="2:2">
      <c r="B7436" s="422"/>
    </row>
    <row r="7437" spans="2:2">
      <c r="B7437" s="422"/>
    </row>
    <row r="7438" spans="2:2">
      <c r="B7438" s="422"/>
    </row>
    <row r="7439" spans="2:2">
      <c r="B7439" s="422"/>
    </row>
    <row r="7440" spans="2:2">
      <c r="B7440" s="422"/>
    </row>
    <row r="7441" spans="2:2">
      <c r="B7441" s="422"/>
    </row>
    <row r="7442" spans="2:2">
      <c r="B7442" s="422"/>
    </row>
    <row r="7443" spans="2:2">
      <c r="B7443" s="422"/>
    </row>
    <row r="7444" spans="2:2">
      <c r="B7444" s="422"/>
    </row>
    <row r="7445" spans="2:2">
      <c r="B7445" s="422"/>
    </row>
    <row r="7446" spans="2:2">
      <c r="B7446" s="422"/>
    </row>
    <row r="7447" spans="2:2">
      <c r="B7447" s="422"/>
    </row>
    <row r="7448" spans="2:2">
      <c r="B7448" s="422"/>
    </row>
    <row r="7449" spans="2:2">
      <c r="B7449" s="422"/>
    </row>
    <row r="7450" spans="2:2">
      <c r="B7450" s="422"/>
    </row>
    <row r="7451" spans="2:2">
      <c r="B7451" s="422"/>
    </row>
    <row r="7452" spans="2:2">
      <c r="B7452" s="422"/>
    </row>
    <row r="7453" spans="2:2">
      <c r="B7453" s="422"/>
    </row>
    <row r="7454" spans="2:2">
      <c r="B7454" s="422"/>
    </row>
    <row r="7455" spans="2:2">
      <c r="B7455" s="422"/>
    </row>
    <row r="7456" spans="2:2">
      <c r="B7456" s="422"/>
    </row>
    <row r="7457" spans="2:2">
      <c r="B7457" s="422"/>
    </row>
    <row r="7458" spans="2:2">
      <c r="B7458" s="422"/>
    </row>
    <row r="7459" spans="2:2">
      <c r="B7459" s="422"/>
    </row>
    <row r="7460" spans="2:2">
      <c r="B7460" s="422"/>
    </row>
    <row r="7461" spans="2:2">
      <c r="B7461" s="422"/>
    </row>
    <row r="7462" spans="2:2">
      <c r="B7462" s="422"/>
    </row>
    <row r="7463" spans="2:2">
      <c r="B7463" s="422"/>
    </row>
    <row r="7464" spans="2:2">
      <c r="B7464" s="422"/>
    </row>
    <row r="7465" spans="2:2">
      <c r="B7465" s="422"/>
    </row>
    <row r="7466" spans="2:2">
      <c r="B7466" s="422"/>
    </row>
    <row r="7467" spans="2:2">
      <c r="B7467" s="422"/>
    </row>
    <row r="7468" spans="2:2">
      <c r="B7468" s="422"/>
    </row>
    <row r="7469" spans="2:2">
      <c r="B7469" s="422"/>
    </row>
    <row r="7470" spans="2:2">
      <c r="B7470" s="422"/>
    </row>
    <row r="7471" spans="2:2">
      <c r="B7471" s="422"/>
    </row>
    <row r="7472" spans="2:2">
      <c r="B7472" s="422"/>
    </row>
    <row r="7473" spans="2:2">
      <c r="B7473" s="422"/>
    </row>
    <row r="7474" spans="2:2">
      <c r="B7474" s="422"/>
    </row>
    <row r="7475" spans="2:2">
      <c r="B7475" s="422"/>
    </row>
    <row r="7476" spans="2:2">
      <c r="B7476" s="422"/>
    </row>
    <row r="7477" spans="2:2">
      <c r="B7477" s="422"/>
    </row>
    <row r="7478" spans="2:2">
      <c r="B7478" s="422"/>
    </row>
    <row r="7479" spans="2:2">
      <c r="B7479" s="422"/>
    </row>
    <row r="7480" spans="2:2">
      <c r="B7480" s="422"/>
    </row>
    <row r="7481" spans="2:2">
      <c r="B7481" s="422"/>
    </row>
    <row r="7482" spans="2:2">
      <c r="B7482" s="422"/>
    </row>
    <row r="7483" spans="2:2">
      <c r="B7483" s="422"/>
    </row>
    <row r="7484" spans="2:2">
      <c r="B7484" s="422"/>
    </row>
    <row r="7485" spans="2:2">
      <c r="B7485" s="422"/>
    </row>
    <row r="7486" spans="2:2">
      <c r="B7486" s="422"/>
    </row>
    <row r="7487" spans="2:2">
      <c r="B7487" s="422"/>
    </row>
    <row r="7488" spans="2:2">
      <c r="B7488" s="422"/>
    </row>
    <row r="7489" spans="2:2">
      <c r="B7489" s="422"/>
    </row>
    <row r="7490" spans="2:2">
      <c r="B7490" s="422"/>
    </row>
    <row r="7491" spans="2:2">
      <c r="B7491" s="422"/>
    </row>
    <row r="7492" spans="2:2">
      <c r="B7492" s="422"/>
    </row>
    <row r="7493" spans="2:2">
      <c r="B7493" s="422"/>
    </row>
    <row r="7494" spans="2:2">
      <c r="B7494" s="422"/>
    </row>
    <row r="7495" spans="2:2">
      <c r="B7495" s="422"/>
    </row>
    <row r="7496" spans="2:2">
      <c r="B7496" s="422"/>
    </row>
    <row r="7497" spans="2:2">
      <c r="B7497" s="422"/>
    </row>
    <row r="7498" spans="2:2">
      <c r="B7498" s="422"/>
    </row>
    <row r="7499" spans="2:2">
      <c r="B7499" s="422"/>
    </row>
    <row r="7500" spans="2:2">
      <c r="B7500" s="422"/>
    </row>
    <row r="7501" spans="2:2">
      <c r="B7501" s="422"/>
    </row>
    <row r="7502" spans="2:2">
      <c r="B7502" s="422"/>
    </row>
    <row r="7503" spans="2:2">
      <c r="B7503" s="422"/>
    </row>
    <row r="7504" spans="2:2">
      <c r="B7504" s="422"/>
    </row>
    <row r="7505" spans="2:2">
      <c r="B7505" s="422"/>
    </row>
    <row r="7506" spans="2:2">
      <c r="B7506" s="422"/>
    </row>
    <row r="7507" spans="2:2">
      <c r="B7507" s="422"/>
    </row>
    <row r="7508" spans="2:2">
      <c r="B7508" s="422"/>
    </row>
    <row r="7509" spans="2:2">
      <c r="B7509" s="422"/>
    </row>
    <row r="7510" spans="2:2">
      <c r="B7510" s="422"/>
    </row>
    <row r="7511" spans="2:2">
      <c r="B7511" s="422"/>
    </row>
    <row r="7512" spans="2:2">
      <c r="B7512" s="422"/>
    </row>
    <row r="7513" spans="2:2">
      <c r="B7513" s="422"/>
    </row>
    <row r="7514" spans="2:2">
      <c r="B7514" s="422"/>
    </row>
    <row r="7515" spans="2:2">
      <c r="B7515" s="422"/>
    </row>
    <row r="7516" spans="2:2">
      <c r="B7516" s="422"/>
    </row>
    <row r="7517" spans="2:2">
      <c r="B7517" s="422"/>
    </row>
    <row r="7518" spans="2:2">
      <c r="B7518" s="422"/>
    </row>
    <row r="7519" spans="2:2">
      <c r="B7519" s="422"/>
    </row>
    <row r="7520" spans="2:2">
      <c r="B7520" s="422"/>
    </row>
    <row r="7521" spans="2:2">
      <c r="B7521" s="422"/>
    </row>
    <row r="7522" spans="2:2">
      <c r="B7522" s="422"/>
    </row>
    <row r="7523" spans="2:2">
      <c r="B7523" s="422"/>
    </row>
    <row r="7524" spans="2:2">
      <c r="B7524" s="422"/>
    </row>
    <row r="7525" spans="2:2">
      <c r="B7525" s="422"/>
    </row>
    <row r="7526" spans="2:2">
      <c r="B7526" s="422"/>
    </row>
    <row r="7527" spans="2:2">
      <c r="B7527" s="422"/>
    </row>
    <row r="7528" spans="2:2">
      <c r="B7528" s="422"/>
    </row>
    <row r="7529" spans="2:2">
      <c r="B7529" s="422"/>
    </row>
    <row r="7530" spans="2:2">
      <c r="B7530" s="422"/>
    </row>
    <row r="7531" spans="2:2">
      <c r="B7531" s="422"/>
    </row>
    <row r="7532" spans="2:2">
      <c r="B7532" s="422"/>
    </row>
    <row r="7533" spans="2:2">
      <c r="B7533" s="422"/>
    </row>
    <row r="7534" spans="2:2">
      <c r="B7534" s="422"/>
    </row>
    <row r="7535" spans="2:2">
      <c r="B7535" s="422"/>
    </row>
    <row r="7536" spans="2:2">
      <c r="B7536" s="422"/>
    </row>
    <row r="7537" spans="2:2">
      <c r="B7537" s="422"/>
    </row>
    <row r="7538" spans="2:2">
      <c r="B7538" s="422"/>
    </row>
    <row r="7539" spans="2:2">
      <c r="B7539" s="422"/>
    </row>
    <row r="7540" spans="2:2">
      <c r="B7540" s="422"/>
    </row>
    <row r="7541" spans="2:2">
      <c r="B7541" s="422"/>
    </row>
    <row r="7542" spans="2:2">
      <c r="B7542" s="422"/>
    </row>
    <row r="7543" spans="2:2">
      <c r="B7543" s="422"/>
    </row>
    <row r="7544" spans="2:2">
      <c r="B7544" s="422"/>
    </row>
    <row r="7545" spans="2:2">
      <c r="B7545" s="422"/>
    </row>
    <row r="7546" spans="2:2">
      <c r="B7546" s="422"/>
    </row>
    <row r="7547" spans="2:2">
      <c r="B7547" s="422"/>
    </row>
    <row r="7548" spans="2:2">
      <c r="B7548" s="422"/>
    </row>
    <row r="7549" spans="2:2">
      <c r="B7549" s="422"/>
    </row>
    <row r="7550" spans="2:2">
      <c r="B7550" s="422"/>
    </row>
    <row r="7551" spans="2:2">
      <c r="B7551" s="422"/>
    </row>
    <row r="7552" spans="2:2">
      <c r="B7552" s="422"/>
    </row>
    <row r="7553" spans="2:2">
      <c r="B7553" s="422"/>
    </row>
    <row r="7554" spans="2:2">
      <c r="B7554" s="422"/>
    </row>
    <row r="7555" spans="2:2">
      <c r="B7555" s="422"/>
    </row>
    <row r="7556" spans="2:2">
      <c r="B7556" s="422"/>
    </row>
    <row r="7557" spans="2:2">
      <c r="B7557" s="422"/>
    </row>
    <row r="7558" spans="2:2">
      <c r="B7558" s="422"/>
    </row>
    <row r="7559" spans="2:2">
      <c r="B7559" s="422"/>
    </row>
    <row r="7560" spans="2:2">
      <c r="B7560" s="422"/>
    </row>
    <row r="7561" spans="2:2">
      <c r="B7561" s="422"/>
    </row>
    <row r="7562" spans="2:2">
      <c r="B7562" s="422"/>
    </row>
    <row r="7563" spans="2:2">
      <c r="B7563" s="422"/>
    </row>
    <row r="7564" spans="2:2">
      <c r="B7564" s="422"/>
    </row>
    <row r="7565" spans="2:2">
      <c r="B7565" s="422"/>
    </row>
    <row r="7566" spans="2:2">
      <c r="B7566" s="422"/>
    </row>
    <row r="7567" spans="2:2">
      <c r="B7567" s="422"/>
    </row>
    <row r="7568" spans="2:2">
      <c r="B7568" s="422"/>
    </row>
    <row r="7569" spans="2:2">
      <c r="B7569" s="422"/>
    </row>
    <row r="7570" spans="2:2">
      <c r="B7570" s="422"/>
    </row>
    <row r="7571" spans="2:2">
      <c r="B7571" s="422"/>
    </row>
    <row r="7572" spans="2:2">
      <c r="B7572" s="422"/>
    </row>
    <row r="7573" spans="2:2">
      <c r="B7573" s="422"/>
    </row>
    <row r="7574" spans="2:2">
      <c r="B7574" s="422"/>
    </row>
    <row r="7575" spans="2:2">
      <c r="B7575" s="422"/>
    </row>
    <row r="7576" spans="2:2">
      <c r="B7576" s="422"/>
    </row>
    <row r="7577" spans="2:2">
      <c r="B7577" s="422"/>
    </row>
    <row r="7578" spans="2:2">
      <c r="B7578" s="422"/>
    </row>
    <row r="7579" spans="2:2">
      <c r="B7579" s="422"/>
    </row>
    <row r="7580" spans="2:2">
      <c r="B7580" s="422"/>
    </row>
    <row r="7581" spans="2:2">
      <c r="B7581" s="422"/>
    </row>
    <row r="7582" spans="2:2">
      <c r="B7582" s="422"/>
    </row>
    <row r="7583" spans="2:2">
      <c r="B7583" s="422"/>
    </row>
    <row r="7584" spans="2:2">
      <c r="B7584" s="422"/>
    </row>
    <row r="7585" spans="2:2">
      <c r="B7585" s="422"/>
    </row>
    <row r="7586" spans="2:2">
      <c r="B7586" s="422"/>
    </row>
    <row r="7587" spans="2:2">
      <c r="B7587" s="422"/>
    </row>
    <row r="7588" spans="2:2">
      <c r="B7588" s="422"/>
    </row>
    <row r="7589" spans="2:2">
      <c r="B7589" s="422"/>
    </row>
    <row r="7590" spans="2:2">
      <c r="B7590" s="422"/>
    </row>
    <row r="7591" spans="2:2">
      <c r="B7591" s="422"/>
    </row>
    <row r="7592" spans="2:2">
      <c r="B7592" s="422"/>
    </row>
    <row r="7593" spans="2:2">
      <c r="B7593" s="422"/>
    </row>
    <row r="7594" spans="2:2">
      <c r="B7594" s="422"/>
    </row>
    <row r="7595" spans="2:2">
      <c r="B7595" s="422"/>
    </row>
    <row r="7596" spans="2:2">
      <c r="B7596" s="422"/>
    </row>
    <row r="7597" spans="2:2">
      <c r="B7597" s="422"/>
    </row>
    <row r="7598" spans="2:2">
      <c r="B7598" s="422"/>
    </row>
    <row r="7599" spans="2:2">
      <c r="B7599" s="422"/>
    </row>
    <row r="7600" spans="2:2">
      <c r="B7600" s="422"/>
    </row>
    <row r="7601" spans="2:2">
      <c r="B7601" s="422"/>
    </row>
    <row r="7602" spans="2:2">
      <c r="B7602" s="422"/>
    </row>
    <row r="7603" spans="2:2">
      <c r="B7603" s="422"/>
    </row>
    <row r="7604" spans="2:2">
      <c r="B7604" s="422"/>
    </row>
    <row r="7605" spans="2:2">
      <c r="B7605" s="422"/>
    </row>
    <row r="7606" spans="2:2">
      <c r="B7606" s="422"/>
    </row>
    <row r="7607" spans="2:2">
      <c r="B7607" s="422"/>
    </row>
    <row r="7608" spans="2:2">
      <c r="B7608" s="422"/>
    </row>
    <row r="7609" spans="2:2">
      <c r="B7609" s="422"/>
    </row>
    <row r="7610" spans="2:2">
      <c r="B7610" s="422"/>
    </row>
    <row r="7611" spans="2:2">
      <c r="B7611" s="422"/>
    </row>
    <row r="7612" spans="2:2">
      <c r="B7612" s="422"/>
    </row>
    <row r="7613" spans="2:2">
      <c r="B7613" s="422"/>
    </row>
    <row r="7614" spans="2:2">
      <c r="B7614" s="422"/>
    </row>
    <row r="7615" spans="2:2">
      <c r="B7615" s="422"/>
    </row>
    <row r="7616" spans="2:2">
      <c r="B7616" s="422"/>
    </row>
    <row r="7617" spans="2:2">
      <c r="B7617" s="422"/>
    </row>
    <row r="7618" spans="2:2">
      <c r="B7618" s="422"/>
    </row>
    <row r="7619" spans="2:2">
      <c r="B7619" s="422"/>
    </row>
    <row r="7620" spans="2:2">
      <c r="B7620" s="422"/>
    </row>
    <row r="7621" spans="2:2">
      <c r="B7621" s="422"/>
    </row>
    <row r="7622" spans="2:2">
      <c r="B7622" s="422"/>
    </row>
    <row r="7623" spans="2:2">
      <c r="B7623" s="422"/>
    </row>
    <row r="7624" spans="2:2">
      <c r="B7624" s="422"/>
    </row>
    <row r="7625" spans="2:2">
      <c r="B7625" s="422"/>
    </row>
    <row r="7626" spans="2:2">
      <c r="B7626" s="422"/>
    </row>
    <row r="7627" spans="2:2">
      <c r="B7627" s="422"/>
    </row>
    <row r="7628" spans="2:2">
      <c r="B7628" s="422"/>
    </row>
    <row r="7629" spans="2:2">
      <c r="B7629" s="422"/>
    </row>
    <row r="7630" spans="2:2">
      <c r="B7630" s="422"/>
    </row>
    <row r="7631" spans="2:2">
      <c r="B7631" s="422"/>
    </row>
    <row r="7632" spans="2:2">
      <c r="B7632" s="422"/>
    </row>
    <row r="7633" spans="2:2">
      <c r="B7633" s="422"/>
    </row>
    <row r="7634" spans="2:2">
      <c r="B7634" s="422"/>
    </row>
    <row r="7635" spans="2:2">
      <c r="B7635" s="422"/>
    </row>
    <row r="7636" spans="2:2">
      <c r="B7636" s="422"/>
    </row>
    <row r="7637" spans="2:2">
      <c r="B7637" s="422"/>
    </row>
    <row r="7638" spans="2:2">
      <c r="B7638" s="422"/>
    </row>
    <row r="7639" spans="2:2">
      <c r="B7639" s="422"/>
    </row>
    <row r="7640" spans="2:2">
      <c r="B7640" s="422"/>
    </row>
    <row r="7641" spans="2:2">
      <c r="B7641" s="422"/>
    </row>
    <row r="7642" spans="2:2">
      <c r="B7642" s="422"/>
    </row>
    <row r="7643" spans="2:2">
      <c r="B7643" s="422"/>
    </row>
    <row r="7644" spans="2:2">
      <c r="B7644" s="422"/>
    </row>
    <row r="7645" spans="2:2">
      <c r="B7645" s="422"/>
    </row>
    <row r="7646" spans="2:2">
      <c r="B7646" s="422"/>
    </row>
    <row r="7647" spans="2:2">
      <c r="B7647" s="422"/>
    </row>
    <row r="7648" spans="2:2">
      <c r="B7648" s="422"/>
    </row>
    <row r="7649" spans="2:2">
      <c r="B7649" s="422"/>
    </row>
    <row r="7650" spans="2:2">
      <c r="B7650" s="422"/>
    </row>
    <row r="7651" spans="2:2">
      <c r="B7651" s="422"/>
    </row>
    <row r="7652" spans="2:2">
      <c r="B7652" s="422"/>
    </row>
    <row r="7653" spans="2:2">
      <c r="B7653" s="422"/>
    </row>
    <row r="7654" spans="2:2">
      <c r="B7654" s="422"/>
    </row>
    <row r="7655" spans="2:2">
      <c r="B7655" s="422"/>
    </row>
    <row r="7656" spans="2:2">
      <c r="B7656" s="422"/>
    </row>
    <row r="7657" spans="2:2">
      <c r="B7657" s="422"/>
    </row>
    <row r="7658" spans="2:2">
      <c r="B7658" s="422"/>
    </row>
    <row r="7659" spans="2:2">
      <c r="B7659" s="422"/>
    </row>
    <row r="7660" spans="2:2">
      <c r="B7660" s="422"/>
    </row>
    <row r="7661" spans="2:2">
      <c r="B7661" s="422"/>
    </row>
    <row r="7662" spans="2:2">
      <c r="B7662" s="422"/>
    </row>
    <row r="7663" spans="2:2">
      <c r="B7663" s="422"/>
    </row>
    <row r="7664" spans="2:2">
      <c r="B7664" s="422"/>
    </row>
    <row r="7665" spans="2:2">
      <c r="B7665" s="422"/>
    </row>
    <row r="7666" spans="2:2">
      <c r="B7666" s="422"/>
    </row>
    <row r="7667" spans="2:2">
      <c r="B7667" s="422"/>
    </row>
    <row r="7668" spans="2:2">
      <c r="B7668" s="422"/>
    </row>
    <row r="7669" spans="2:2">
      <c r="B7669" s="422"/>
    </row>
    <row r="7670" spans="2:2">
      <c r="B7670" s="422"/>
    </row>
    <row r="7671" spans="2:2">
      <c r="B7671" s="422"/>
    </row>
    <row r="7672" spans="2:2">
      <c r="B7672" s="422"/>
    </row>
    <row r="7673" spans="2:2">
      <c r="B7673" s="422"/>
    </row>
    <row r="7674" spans="2:2">
      <c r="B7674" s="422"/>
    </row>
    <row r="7675" spans="2:2">
      <c r="B7675" s="422"/>
    </row>
    <row r="7676" spans="2:2">
      <c r="B7676" s="422"/>
    </row>
    <row r="7677" spans="2:2">
      <c r="B7677" s="422"/>
    </row>
    <row r="7678" spans="2:2">
      <c r="B7678" s="422"/>
    </row>
    <row r="7679" spans="2:2">
      <c r="B7679" s="422"/>
    </row>
    <row r="7680" spans="2:2">
      <c r="B7680" s="422"/>
    </row>
    <row r="7681" spans="2:2">
      <c r="B7681" s="422"/>
    </row>
    <row r="7682" spans="2:2">
      <c r="B7682" s="422"/>
    </row>
    <row r="7683" spans="2:2">
      <c r="B7683" s="422"/>
    </row>
    <row r="7684" spans="2:2">
      <c r="B7684" s="422"/>
    </row>
    <row r="7685" spans="2:2">
      <c r="B7685" s="422"/>
    </row>
    <row r="7686" spans="2:2">
      <c r="B7686" s="422"/>
    </row>
    <row r="7687" spans="2:2">
      <c r="B7687" s="422"/>
    </row>
    <row r="7688" spans="2:2">
      <c r="B7688" s="422"/>
    </row>
    <row r="7689" spans="2:2">
      <c r="B7689" s="422"/>
    </row>
    <row r="7690" spans="2:2">
      <c r="B7690" s="422"/>
    </row>
    <row r="7691" spans="2:2">
      <c r="B7691" s="422"/>
    </row>
    <row r="7692" spans="2:2">
      <c r="B7692" s="422"/>
    </row>
    <row r="7693" spans="2:2">
      <c r="B7693" s="422"/>
    </row>
    <row r="7694" spans="2:2">
      <c r="B7694" s="422"/>
    </row>
    <row r="7695" spans="2:2">
      <c r="B7695" s="422"/>
    </row>
    <row r="7696" spans="2:2">
      <c r="B7696" s="422"/>
    </row>
    <row r="7697" spans="2:2">
      <c r="B7697" s="422"/>
    </row>
    <row r="7698" spans="2:2">
      <c r="B7698" s="422"/>
    </row>
    <row r="7699" spans="2:2">
      <c r="B7699" s="422"/>
    </row>
    <row r="7700" spans="2:2">
      <c r="B7700" s="422"/>
    </row>
    <row r="7701" spans="2:2">
      <c r="B7701" s="422"/>
    </row>
    <row r="7702" spans="2:2">
      <c r="B7702" s="422"/>
    </row>
    <row r="7703" spans="2:2">
      <c r="B7703" s="422"/>
    </row>
    <row r="7704" spans="2:2">
      <c r="B7704" s="422"/>
    </row>
    <row r="7705" spans="2:2">
      <c r="B7705" s="422"/>
    </row>
    <row r="7706" spans="2:2">
      <c r="B7706" s="422"/>
    </row>
    <row r="7707" spans="2:2">
      <c r="B7707" s="422"/>
    </row>
    <row r="7708" spans="2:2">
      <c r="B7708" s="422"/>
    </row>
    <row r="7709" spans="2:2">
      <c r="B7709" s="422"/>
    </row>
    <row r="7710" spans="2:2">
      <c r="B7710" s="422"/>
    </row>
    <row r="7711" spans="2:2">
      <c r="B7711" s="422"/>
    </row>
    <row r="7712" spans="2:2">
      <c r="B7712" s="422"/>
    </row>
    <row r="7713" spans="2:2">
      <c r="B7713" s="422"/>
    </row>
    <row r="7714" spans="2:2">
      <c r="B7714" s="422"/>
    </row>
    <row r="7715" spans="2:2">
      <c r="B7715" s="422"/>
    </row>
    <row r="7716" spans="2:2">
      <c r="B7716" s="422"/>
    </row>
    <row r="7717" spans="2:2">
      <c r="B7717" s="422"/>
    </row>
    <row r="7718" spans="2:2">
      <c r="B7718" s="422"/>
    </row>
    <row r="7719" spans="2:2">
      <c r="B7719" s="422"/>
    </row>
    <row r="7720" spans="2:2">
      <c r="B7720" s="422"/>
    </row>
    <row r="7721" spans="2:2">
      <c r="B7721" s="422"/>
    </row>
    <row r="7722" spans="2:2">
      <c r="B7722" s="422"/>
    </row>
    <row r="7723" spans="2:2">
      <c r="B7723" s="422"/>
    </row>
    <row r="7724" spans="2:2">
      <c r="B7724" s="422"/>
    </row>
    <row r="7725" spans="2:2">
      <c r="B7725" s="422"/>
    </row>
    <row r="7726" spans="2:2">
      <c r="B7726" s="422"/>
    </row>
    <row r="7727" spans="2:2">
      <c r="B7727" s="422"/>
    </row>
    <row r="7728" spans="2:2">
      <c r="B7728" s="422"/>
    </row>
    <row r="7729" spans="2:2">
      <c r="B7729" s="422"/>
    </row>
    <row r="7730" spans="2:2">
      <c r="B7730" s="422"/>
    </row>
    <row r="7731" spans="2:2">
      <c r="B7731" s="422"/>
    </row>
    <row r="7732" spans="2:2">
      <c r="B7732" s="422"/>
    </row>
    <row r="7733" spans="2:2">
      <c r="B7733" s="422"/>
    </row>
    <row r="7734" spans="2:2">
      <c r="B7734" s="422"/>
    </row>
    <row r="7735" spans="2:2">
      <c r="B7735" s="422"/>
    </row>
    <row r="7736" spans="2:2">
      <c r="B7736" s="422"/>
    </row>
    <row r="7737" spans="2:2">
      <c r="B7737" s="422"/>
    </row>
    <row r="7738" spans="2:2">
      <c r="B7738" s="422"/>
    </row>
    <row r="7739" spans="2:2">
      <c r="B7739" s="422"/>
    </row>
    <row r="7740" spans="2:2">
      <c r="B7740" s="422"/>
    </row>
    <row r="7741" spans="2:2">
      <c r="B7741" s="422"/>
    </row>
    <row r="7742" spans="2:2">
      <c r="B7742" s="422"/>
    </row>
    <row r="7743" spans="2:2">
      <c r="B7743" s="422"/>
    </row>
    <row r="7744" spans="2:2">
      <c r="B7744" s="422"/>
    </row>
    <row r="7745" spans="2:2">
      <c r="B7745" s="422"/>
    </row>
    <row r="7746" spans="2:2">
      <c r="B7746" s="422"/>
    </row>
    <row r="7747" spans="2:2">
      <c r="B7747" s="422"/>
    </row>
    <row r="7748" spans="2:2">
      <c r="B7748" s="422"/>
    </row>
    <row r="7749" spans="2:2">
      <c r="B7749" s="422"/>
    </row>
    <row r="7750" spans="2:2">
      <c r="B7750" s="422"/>
    </row>
    <row r="7751" spans="2:2">
      <c r="B7751" s="422"/>
    </row>
    <row r="7752" spans="2:2">
      <c r="B7752" s="422"/>
    </row>
    <row r="7753" spans="2:2">
      <c r="B7753" s="422"/>
    </row>
    <row r="7754" spans="2:2">
      <c r="B7754" s="422"/>
    </row>
    <row r="7755" spans="2:2">
      <c r="B7755" s="422"/>
    </row>
    <row r="7756" spans="2:2">
      <c r="B7756" s="422"/>
    </row>
    <row r="7757" spans="2:2">
      <c r="B7757" s="422"/>
    </row>
    <row r="7758" spans="2:2">
      <c r="B7758" s="422"/>
    </row>
    <row r="7759" spans="2:2">
      <c r="B7759" s="422"/>
    </row>
    <row r="7760" spans="2:2">
      <c r="B7760" s="422"/>
    </row>
    <row r="7761" spans="2:2">
      <c r="B7761" s="422"/>
    </row>
    <row r="7762" spans="2:2">
      <c r="B7762" s="422"/>
    </row>
    <row r="7763" spans="2:2">
      <c r="B7763" s="422"/>
    </row>
    <row r="7764" spans="2:2">
      <c r="B7764" s="422"/>
    </row>
    <row r="7765" spans="2:2">
      <c r="B7765" s="422"/>
    </row>
    <row r="7766" spans="2:2">
      <c r="B7766" s="422"/>
    </row>
    <row r="7767" spans="2:2">
      <c r="B7767" s="422"/>
    </row>
    <row r="7768" spans="2:2">
      <c r="B7768" s="422"/>
    </row>
    <row r="7769" spans="2:2">
      <c r="B7769" s="422"/>
    </row>
    <row r="7770" spans="2:2">
      <c r="B7770" s="422"/>
    </row>
    <row r="7771" spans="2:2">
      <c r="B7771" s="422"/>
    </row>
    <row r="7772" spans="2:2">
      <c r="B7772" s="422"/>
    </row>
    <row r="7773" spans="2:2">
      <c r="B7773" s="422"/>
    </row>
    <row r="7774" spans="2:2">
      <c r="B7774" s="422"/>
    </row>
    <row r="7775" spans="2:2">
      <c r="B7775" s="422"/>
    </row>
    <row r="7776" spans="2:2">
      <c r="B7776" s="422"/>
    </row>
    <row r="7777" spans="2:2">
      <c r="B7777" s="422"/>
    </row>
    <row r="7778" spans="2:2">
      <c r="B7778" s="422"/>
    </row>
    <row r="7779" spans="2:2">
      <c r="B7779" s="422"/>
    </row>
    <row r="7780" spans="2:2">
      <c r="B7780" s="422"/>
    </row>
    <row r="7781" spans="2:2">
      <c r="B7781" s="422"/>
    </row>
    <row r="7782" spans="2:2">
      <c r="B7782" s="422"/>
    </row>
    <row r="7783" spans="2:2">
      <c r="B7783" s="422"/>
    </row>
    <row r="7784" spans="2:2">
      <c r="B7784" s="422"/>
    </row>
    <row r="7785" spans="2:2">
      <c r="B7785" s="422"/>
    </row>
    <row r="7786" spans="2:2">
      <c r="B7786" s="422"/>
    </row>
    <row r="7787" spans="2:2">
      <c r="B7787" s="422"/>
    </row>
    <row r="7788" spans="2:2">
      <c r="B7788" s="422"/>
    </row>
    <row r="7789" spans="2:2">
      <c r="B7789" s="422"/>
    </row>
    <row r="7790" spans="2:2">
      <c r="B7790" s="422"/>
    </row>
    <row r="7791" spans="2:2">
      <c r="B7791" s="422"/>
    </row>
    <row r="7792" spans="2:2">
      <c r="B7792" s="422"/>
    </row>
    <row r="7793" spans="2:2">
      <c r="B7793" s="422"/>
    </row>
    <row r="7794" spans="2:2">
      <c r="B7794" s="422"/>
    </row>
    <row r="7795" spans="2:2">
      <c r="B7795" s="422"/>
    </row>
    <row r="7796" spans="2:2">
      <c r="B7796" s="422"/>
    </row>
    <row r="7797" spans="2:2">
      <c r="B7797" s="422"/>
    </row>
    <row r="7798" spans="2:2">
      <c r="B7798" s="422"/>
    </row>
    <row r="7799" spans="2:2">
      <c r="B7799" s="422"/>
    </row>
    <row r="7800" spans="2:2">
      <c r="B7800" s="422"/>
    </row>
    <row r="7801" spans="2:2">
      <c r="B7801" s="422"/>
    </row>
    <row r="7802" spans="2:2">
      <c r="B7802" s="422"/>
    </row>
    <row r="7803" spans="2:2">
      <c r="B7803" s="422"/>
    </row>
    <row r="7804" spans="2:2">
      <c r="B7804" s="422"/>
    </row>
    <row r="7805" spans="2:2">
      <c r="B7805" s="422"/>
    </row>
    <row r="7806" spans="2:2">
      <c r="B7806" s="422"/>
    </row>
    <row r="7807" spans="2:2">
      <c r="B7807" s="422"/>
    </row>
    <row r="7808" spans="2:2">
      <c r="B7808" s="422"/>
    </row>
    <row r="7809" spans="2:2">
      <c r="B7809" s="422"/>
    </row>
    <row r="7810" spans="2:2">
      <c r="B7810" s="422"/>
    </row>
    <row r="7811" spans="2:2">
      <c r="B7811" s="422"/>
    </row>
    <row r="7812" spans="2:2">
      <c r="B7812" s="422"/>
    </row>
    <row r="7813" spans="2:2">
      <c r="B7813" s="422"/>
    </row>
    <row r="7814" spans="2:2">
      <c r="B7814" s="422"/>
    </row>
    <row r="7815" spans="2:2">
      <c r="B7815" s="422"/>
    </row>
    <row r="7816" spans="2:2">
      <c r="B7816" s="422"/>
    </row>
    <row r="7817" spans="2:2">
      <c r="B7817" s="422"/>
    </row>
    <row r="7818" spans="2:2">
      <c r="B7818" s="422"/>
    </row>
    <row r="7819" spans="2:2">
      <c r="B7819" s="422"/>
    </row>
    <row r="7820" spans="2:2">
      <c r="B7820" s="422"/>
    </row>
    <row r="7821" spans="2:2">
      <c r="B7821" s="422"/>
    </row>
    <row r="7822" spans="2:2">
      <c r="B7822" s="422"/>
    </row>
    <row r="7823" spans="2:2">
      <c r="B7823" s="422"/>
    </row>
    <row r="7824" spans="2:2">
      <c r="B7824" s="422"/>
    </row>
    <row r="7825" spans="2:2">
      <c r="B7825" s="422"/>
    </row>
    <row r="7826" spans="2:2">
      <c r="B7826" s="422"/>
    </row>
    <row r="7827" spans="2:2">
      <c r="B7827" s="422"/>
    </row>
    <row r="7828" spans="2:2">
      <c r="B7828" s="422"/>
    </row>
    <row r="7829" spans="2:2">
      <c r="B7829" s="422"/>
    </row>
    <row r="7830" spans="2:2">
      <c r="B7830" s="422"/>
    </row>
    <row r="7831" spans="2:2">
      <c r="B7831" s="422"/>
    </row>
    <row r="7832" spans="2:2">
      <c r="B7832" s="422"/>
    </row>
    <row r="7833" spans="2:2">
      <c r="B7833" s="422"/>
    </row>
    <row r="7834" spans="2:2">
      <c r="B7834" s="422"/>
    </row>
    <row r="7835" spans="2:2">
      <c r="B7835" s="422"/>
    </row>
    <row r="7836" spans="2:2">
      <c r="B7836" s="422"/>
    </row>
    <row r="7837" spans="2:2">
      <c r="B7837" s="422"/>
    </row>
    <row r="7838" spans="2:2">
      <c r="B7838" s="422"/>
    </row>
    <row r="7839" spans="2:2">
      <c r="B7839" s="422"/>
    </row>
    <row r="7840" spans="2:2">
      <c r="B7840" s="422"/>
    </row>
    <row r="7841" spans="2:2">
      <c r="B7841" s="422"/>
    </row>
    <row r="7842" spans="2:2">
      <c r="B7842" s="422"/>
    </row>
    <row r="7843" spans="2:2">
      <c r="B7843" s="422"/>
    </row>
    <row r="7844" spans="2:2">
      <c r="B7844" s="422"/>
    </row>
    <row r="7845" spans="2:2">
      <c r="B7845" s="422"/>
    </row>
    <row r="7846" spans="2:2">
      <c r="B7846" s="422"/>
    </row>
    <row r="7847" spans="2:2">
      <c r="B7847" s="422"/>
    </row>
    <row r="7848" spans="2:2">
      <c r="B7848" s="422"/>
    </row>
    <row r="7849" spans="2:2">
      <c r="B7849" s="422"/>
    </row>
    <row r="7850" spans="2:2">
      <c r="B7850" s="422"/>
    </row>
    <row r="7851" spans="2:2">
      <c r="B7851" s="422"/>
    </row>
    <row r="7852" spans="2:2">
      <c r="B7852" s="422"/>
    </row>
    <row r="7853" spans="2:2">
      <c r="B7853" s="422"/>
    </row>
    <row r="7854" spans="2:2">
      <c r="B7854" s="422"/>
    </row>
    <row r="7855" spans="2:2">
      <c r="B7855" s="422"/>
    </row>
    <row r="7856" spans="2:2">
      <c r="B7856" s="422"/>
    </row>
    <row r="7857" spans="2:2">
      <c r="B7857" s="422"/>
    </row>
    <row r="7858" spans="2:2">
      <c r="B7858" s="422"/>
    </row>
    <row r="7859" spans="2:2">
      <c r="B7859" s="422"/>
    </row>
    <row r="7860" spans="2:2">
      <c r="B7860" s="422"/>
    </row>
    <row r="7861" spans="2:2">
      <c r="B7861" s="422"/>
    </row>
    <row r="7862" spans="2:2">
      <c r="B7862" s="422"/>
    </row>
    <row r="7863" spans="2:2">
      <c r="B7863" s="422"/>
    </row>
    <row r="7864" spans="2:2">
      <c r="B7864" s="422"/>
    </row>
    <row r="7865" spans="2:2">
      <c r="B7865" s="422"/>
    </row>
    <row r="7866" spans="2:2">
      <c r="B7866" s="422"/>
    </row>
    <row r="7867" spans="2:2">
      <c r="B7867" s="422"/>
    </row>
    <row r="7868" spans="2:2">
      <c r="B7868" s="422"/>
    </row>
    <row r="7869" spans="2:2">
      <c r="B7869" s="422"/>
    </row>
    <row r="7870" spans="2:2">
      <c r="B7870" s="422"/>
    </row>
    <row r="7871" spans="2:2">
      <c r="B7871" s="422"/>
    </row>
    <row r="7872" spans="2:2">
      <c r="B7872" s="422"/>
    </row>
    <row r="7873" spans="2:2">
      <c r="B7873" s="422"/>
    </row>
    <row r="7874" spans="2:2">
      <c r="B7874" s="422"/>
    </row>
    <row r="7875" spans="2:2">
      <c r="B7875" s="422"/>
    </row>
    <row r="7876" spans="2:2">
      <c r="B7876" s="422"/>
    </row>
    <row r="7877" spans="2:2">
      <c r="B7877" s="422"/>
    </row>
    <row r="7878" spans="2:2">
      <c r="B7878" s="422"/>
    </row>
    <row r="7879" spans="2:2">
      <c r="B7879" s="422"/>
    </row>
    <row r="7880" spans="2:2">
      <c r="B7880" s="422"/>
    </row>
    <row r="7881" spans="2:2">
      <c r="B7881" s="422"/>
    </row>
    <row r="7882" spans="2:2">
      <c r="B7882" s="422"/>
    </row>
    <row r="7883" spans="2:2">
      <c r="B7883" s="422"/>
    </row>
    <row r="7884" spans="2:2">
      <c r="B7884" s="422"/>
    </row>
    <row r="7885" spans="2:2">
      <c r="B7885" s="422"/>
    </row>
    <row r="7886" spans="2:2">
      <c r="B7886" s="422"/>
    </row>
    <row r="7887" spans="2:2">
      <c r="B7887" s="422"/>
    </row>
    <row r="7888" spans="2:2">
      <c r="B7888" s="422"/>
    </row>
    <row r="7889" spans="2:2">
      <c r="B7889" s="422"/>
    </row>
    <row r="7890" spans="2:2">
      <c r="B7890" s="422"/>
    </row>
    <row r="7891" spans="2:2">
      <c r="B7891" s="422"/>
    </row>
    <row r="7892" spans="2:2">
      <c r="B7892" s="422"/>
    </row>
    <row r="7893" spans="2:2">
      <c r="B7893" s="422"/>
    </row>
    <row r="7894" spans="2:2">
      <c r="B7894" s="422"/>
    </row>
    <row r="7895" spans="2:2">
      <c r="B7895" s="422"/>
    </row>
    <row r="7896" spans="2:2">
      <c r="B7896" s="422"/>
    </row>
    <row r="7897" spans="2:2">
      <c r="B7897" s="422"/>
    </row>
    <row r="7898" spans="2:2">
      <c r="B7898" s="422"/>
    </row>
    <row r="7899" spans="2:2">
      <c r="B7899" s="422"/>
    </row>
    <row r="7900" spans="2:2">
      <c r="B7900" s="422"/>
    </row>
    <row r="7901" spans="2:2">
      <c r="B7901" s="422"/>
    </row>
    <row r="7902" spans="2:2">
      <c r="B7902" s="422"/>
    </row>
    <row r="7903" spans="2:2">
      <c r="B7903" s="422"/>
    </row>
    <row r="7904" spans="2:2">
      <c r="B7904" s="422"/>
    </row>
    <row r="7905" spans="2:2">
      <c r="B7905" s="422"/>
    </row>
    <row r="7906" spans="2:2">
      <c r="B7906" s="422"/>
    </row>
    <row r="7907" spans="2:2">
      <c r="B7907" s="422"/>
    </row>
    <row r="7908" spans="2:2">
      <c r="B7908" s="422"/>
    </row>
    <row r="7909" spans="2:2">
      <c r="B7909" s="422"/>
    </row>
    <row r="7910" spans="2:2">
      <c r="B7910" s="422"/>
    </row>
    <row r="7911" spans="2:2">
      <c r="B7911" s="422"/>
    </row>
    <row r="7912" spans="2:2">
      <c r="B7912" s="422"/>
    </row>
    <row r="7913" spans="2:2">
      <c r="B7913" s="422"/>
    </row>
    <row r="7914" spans="2:2">
      <c r="B7914" s="422"/>
    </row>
    <row r="7915" spans="2:2">
      <c r="B7915" s="422"/>
    </row>
    <row r="7916" spans="2:2">
      <c r="B7916" s="422"/>
    </row>
    <row r="7917" spans="2:2">
      <c r="B7917" s="422"/>
    </row>
    <row r="7918" spans="2:2">
      <c r="B7918" s="422"/>
    </row>
    <row r="7919" spans="2:2">
      <c r="B7919" s="422"/>
    </row>
    <row r="7920" spans="2:2">
      <c r="B7920" s="422"/>
    </row>
    <row r="7921" spans="2:2">
      <c r="B7921" s="422"/>
    </row>
    <row r="7922" spans="2:2">
      <c r="B7922" s="422"/>
    </row>
    <row r="7923" spans="2:2">
      <c r="B7923" s="422"/>
    </row>
    <row r="7924" spans="2:2">
      <c r="B7924" s="422"/>
    </row>
    <row r="7925" spans="2:2">
      <c r="B7925" s="422"/>
    </row>
    <row r="7926" spans="2:2">
      <c r="B7926" s="422"/>
    </row>
    <row r="7927" spans="2:2">
      <c r="B7927" s="422"/>
    </row>
    <row r="7928" spans="2:2">
      <c r="B7928" s="422"/>
    </row>
    <row r="7929" spans="2:2">
      <c r="B7929" s="422"/>
    </row>
    <row r="7930" spans="2:2">
      <c r="B7930" s="422"/>
    </row>
    <row r="7931" spans="2:2">
      <c r="B7931" s="422"/>
    </row>
    <row r="7932" spans="2:2">
      <c r="B7932" s="422"/>
    </row>
    <row r="7933" spans="2:2">
      <c r="B7933" s="422"/>
    </row>
    <row r="7934" spans="2:2">
      <c r="B7934" s="422"/>
    </row>
    <row r="7935" spans="2:2">
      <c r="B7935" s="422"/>
    </row>
    <row r="7936" spans="2:2">
      <c r="B7936" s="422"/>
    </row>
    <row r="7937" spans="2:2">
      <c r="B7937" s="422"/>
    </row>
    <row r="7938" spans="2:2">
      <c r="B7938" s="422"/>
    </row>
    <row r="7939" spans="2:2">
      <c r="B7939" s="422"/>
    </row>
    <row r="7940" spans="2:2">
      <c r="B7940" s="422"/>
    </row>
    <row r="7941" spans="2:2">
      <c r="B7941" s="422"/>
    </row>
    <row r="7942" spans="2:2">
      <c r="B7942" s="422"/>
    </row>
    <row r="7943" spans="2:2">
      <c r="B7943" s="422"/>
    </row>
    <row r="7944" spans="2:2">
      <c r="B7944" s="422"/>
    </row>
    <row r="7945" spans="2:2">
      <c r="B7945" s="422"/>
    </row>
    <row r="7946" spans="2:2">
      <c r="B7946" s="422"/>
    </row>
    <row r="7947" spans="2:2">
      <c r="B7947" s="422"/>
    </row>
    <row r="7948" spans="2:2">
      <c r="B7948" s="422"/>
    </row>
    <row r="7949" spans="2:2">
      <c r="B7949" s="422"/>
    </row>
    <row r="7950" spans="2:2">
      <c r="B7950" s="422"/>
    </row>
    <row r="7951" spans="2:2">
      <c r="B7951" s="422"/>
    </row>
    <row r="7952" spans="2:2">
      <c r="B7952" s="422"/>
    </row>
    <row r="7953" spans="2:2">
      <c r="B7953" s="422"/>
    </row>
    <row r="7954" spans="2:2">
      <c r="B7954" s="422"/>
    </row>
    <row r="7955" spans="2:2">
      <c r="B7955" s="422"/>
    </row>
    <row r="7956" spans="2:2">
      <c r="B7956" s="422"/>
    </row>
    <row r="7957" spans="2:2">
      <c r="B7957" s="422"/>
    </row>
    <row r="7958" spans="2:2">
      <c r="B7958" s="422"/>
    </row>
    <row r="7959" spans="2:2">
      <c r="B7959" s="422"/>
    </row>
    <row r="7960" spans="2:2">
      <c r="B7960" s="422"/>
    </row>
    <row r="7961" spans="2:2">
      <c r="B7961" s="422"/>
    </row>
    <row r="7962" spans="2:2">
      <c r="B7962" s="422"/>
    </row>
    <row r="7963" spans="2:2">
      <c r="B7963" s="422"/>
    </row>
    <row r="7964" spans="2:2">
      <c r="B7964" s="422"/>
    </row>
    <row r="7965" spans="2:2">
      <c r="B7965" s="422"/>
    </row>
    <row r="7966" spans="2:2">
      <c r="B7966" s="422"/>
    </row>
    <row r="7967" spans="2:2">
      <c r="B7967" s="422"/>
    </row>
    <row r="7968" spans="2:2">
      <c r="B7968" s="422"/>
    </row>
    <row r="7969" spans="2:2">
      <c r="B7969" s="422"/>
    </row>
    <row r="7970" spans="2:2">
      <c r="B7970" s="422"/>
    </row>
    <row r="7971" spans="2:2">
      <c r="B7971" s="422"/>
    </row>
    <row r="7972" spans="2:2">
      <c r="B7972" s="422"/>
    </row>
    <row r="7973" spans="2:2">
      <c r="B7973" s="422"/>
    </row>
    <row r="7974" spans="2:2">
      <c r="B7974" s="422"/>
    </row>
    <row r="7975" spans="2:2">
      <c r="B7975" s="422"/>
    </row>
    <row r="7976" spans="2:2">
      <c r="B7976" s="422"/>
    </row>
    <row r="7977" spans="2:2">
      <c r="B7977" s="422"/>
    </row>
    <row r="7978" spans="2:2">
      <c r="B7978" s="422"/>
    </row>
    <row r="7979" spans="2:2">
      <c r="B7979" s="422"/>
    </row>
    <row r="7980" spans="2:2">
      <c r="B7980" s="422"/>
    </row>
    <row r="7981" spans="2:2">
      <c r="B7981" s="422"/>
    </row>
    <row r="7982" spans="2:2">
      <c r="B7982" s="422"/>
    </row>
    <row r="7983" spans="2:2">
      <c r="B7983" s="422"/>
    </row>
    <row r="7984" spans="2:2">
      <c r="B7984" s="422"/>
    </row>
    <row r="7985" spans="2:2">
      <c r="B7985" s="422"/>
    </row>
    <row r="7986" spans="2:2">
      <c r="B7986" s="422"/>
    </row>
    <row r="7987" spans="2:2">
      <c r="B7987" s="422"/>
    </row>
    <row r="7988" spans="2:2">
      <c r="B7988" s="422"/>
    </row>
    <row r="7989" spans="2:2">
      <c r="B7989" s="422"/>
    </row>
    <row r="7990" spans="2:2">
      <c r="B7990" s="422"/>
    </row>
    <row r="7991" spans="2:2">
      <c r="B7991" s="422"/>
    </row>
    <row r="7992" spans="2:2">
      <c r="B7992" s="422"/>
    </row>
    <row r="7993" spans="2:2">
      <c r="B7993" s="422"/>
    </row>
    <row r="7994" spans="2:2">
      <c r="B7994" s="422"/>
    </row>
    <row r="7995" spans="2:2">
      <c r="B7995" s="422"/>
    </row>
    <row r="7996" spans="2:2">
      <c r="B7996" s="422"/>
    </row>
    <row r="7997" spans="2:2">
      <c r="B7997" s="422"/>
    </row>
    <row r="7998" spans="2:2">
      <c r="B7998" s="422"/>
    </row>
    <row r="7999" spans="2:2">
      <c r="B7999" s="422"/>
    </row>
    <row r="8000" spans="2:2">
      <c r="B8000" s="422"/>
    </row>
    <row r="8001" spans="2:2">
      <c r="B8001" s="422"/>
    </row>
    <row r="8002" spans="2:2">
      <c r="B8002" s="422"/>
    </row>
    <row r="8003" spans="2:2">
      <c r="B8003" s="422"/>
    </row>
    <row r="8004" spans="2:2">
      <c r="B8004" s="422"/>
    </row>
    <row r="8005" spans="2:2">
      <c r="B8005" s="422"/>
    </row>
    <row r="8006" spans="2:2">
      <c r="B8006" s="422"/>
    </row>
    <row r="8007" spans="2:2">
      <c r="B8007" s="422"/>
    </row>
    <row r="8008" spans="2:2">
      <c r="B8008" s="422"/>
    </row>
    <row r="8009" spans="2:2">
      <c r="B8009" s="422"/>
    </row>
    <row r="8010" spans="2:2">
      <c r="B8010" s="422"/>
    </row>
    <row r="8011" spans="2:2">
      <c r="B8011" s="422"/>
    </row>
    <row r="8012" spans="2:2">
      <c r="B8012" s="422"/>
    </row>
    <row r="8013" spans="2:2">
      <c r="B8013" s="422"/>
    </row>
    <row r="8014" spans="2:2">
      <c r="B8014" s="422"/>
    </row>
    <row r="8015" spans="2:2">
      <c r="B8015" s="422"/>
    </row>
    <row r="8016" spans="2:2">
      <c r="B8016" s="422"/>
    </row>
    <row r="8017" spans="2:2">
      <c r="B8017" s="422"/>
    </row>
    <row r="8018" spans="2:2">
      <c r="B8018" s="422"/>
    </row>
    <row r="8019" spans="2:2">
      <c r="B8019" s="422"/>
    </row>
    <row r="8020" spans="2:2">
      <c r="B8020" s="422"/>
    </row>
    <row r="8021" spans="2:2">
      <c r="B8021" s="422"/>
    </row>
    <row r="8022" spans="2:2">
      <c r="B8022" s="422"/>
    </row>
    <row r="8023" spans="2:2">
      <c r="B8023" s="422"/>
    </row>
    <row r="8024" spans="2:2">
      <c r="B8024" s="422"/>
    </row>
    <row r="8025" spans="2:2">
      <c r="B8025" s="422"/>
    </row>
    <row r="8026" spans="2:2">
      <c r="B8026" s="422"/>
    </row>
    <row r="8027" spans="2:2">
      <c r="B8027" s="422"/>
    </row>
    <row r="8028" spans="2:2">
      <c r="B8028" s="422"/>
    </row>
    <row r="8029" spans="2:2">
      <c r="B8029" s="422"/>
    </row>
    <row r="8030" spans="2:2">
      <c r="B8030" s="422"/>
    </row>
    <row r="8031" spans="2:2">
      <c r="B8031" s="422"/>
    </row>
    <row r="8032" spans="2:2">
      <c r="B8032" s="422"/>
    </row>
    <row r="8033" spans="2:2">
      <c r="B8033" s="422"/>
    </row>
    <row r="8034" spans="2:2">
      <c r="B8034" s="422"/>
    </row>
    <row r="8035" spans="2:2">
      <c r="B8035" s="422"/>
    </row>
    <row r="8036" spans="2:2">
      <c r="B8036" s="422"/>
    </row>
    <row r="8037" spans="2:2">
      <c r="B8037" s="422"/>
    </row>
    <row r="8038" spans="2:2">
      <c r="B8038" s="422"/>
    </row>
    <row r="8039" spans="2:2">
      <c r="B8039" s="422"/>
    </row>
    <row r="8040" spans="2:2">
      <c r="B8040" s="422"/>
    </row>
    <row r="8041" spans="2:2">
      <c r="B8041" s="422"/>
    </row>
    <row r="8042" spans="2:2">
      <c r="B8042" s="422"/>
    </row>
    <row r="8043" spans="2:2">
      <c r="B8043" s="422"/>
    </row>
    <row r="8044" spans="2:2">
      <c r="B8044" s="422"/>
    </row>
    <row r="8045" spans="2:2">
      <c r="B8045" s="422"/>
    </row>
    <row r="8046" spans="2:2">
      <c r="B8046" s="422"/>
    </row>
    <row r="8047" spans="2:2">
      <c r="B8047" s="422"/>
    </row>
    <row r="8048" spans="2:2">
      <c r="B8048" s="422"/>
    </row>
    <row r="8049" spans="2:2">
      <c r="B8049" s="422"/>
    </row>
    <row r="8050" spans="2:2">
      <c r="B8050" s="422"/>
    </row>
    <row r="8051" spans="2:2">
      <c r="B8051" s="422"/>
    </row>
    <row r="8052" spans="2:2">
      <c r="B8052" s="422"/>
    </row>
    <row r="8053" spans="2:2">
      <c r="B8053" s="422"/>
    </row>
    <row r="8054" spans="2:2">
      <c r="B8054" s="422"/>
    </row>
    <row r="8055" spans="2:2">
      <c r="B8055" s="422"/>
    </row>
    <row r="8056" spans="2:2">
      <c r="B8056" s="422"/>
    </row>
    <row r="8057" spans="2:2">
      <c r="B8057" s="422"/>
    </row>
    <row r="8058" spans="2:2">
      <c r="B8058" s="422"/>
    </row>
    <row r="8059" spans="2:2">
      <c r="B8059" s="422"/>
    </row>
    <row r="8060" spans="2:2">
      <c r="B8060" s="422"/>
    </row>
    <row r="8061" spans="2:2">
      <c r="B8061" s="422"/>
    </row>
    <row r="8062" spans="2:2">
      <c r="B8062" s="422"/>
    </row>
    <row r="8063" spans="2:2">
      <c r="B8063" s="422"/>
    </row>
    <row r="8064" spans="2:2">
      <c r="B8064" s="422"/>
    </row>
    <row r="8065" spans="2:2">
      <c r="B8065" s="422"/>
    </row>
    <row r="8066" spans="2:2">
      <c r="B8066" s="422"/>
    </row>
    <row r="8067" spans="2:2">
      <c r="B8067" s="422"/>
    </row>
    <row r="8068" spans="2:2">
      <c r="B8068" s="422"/>
    </row>
    <row r="8069" spans="2:2">
      <c r="B8069" s="422"/>
    </row>
    <row r="8070" spans="2:2">
      <c r="B8070" s="422"/>
    </row>
    <row r="8071" spans="2:2">
      <c r="B8071" s="422"/>
    </row>
    <row r="8072" spans="2:2">
      <c r="B8072" s="422"/>
    </row>
    <row r="8073" spans="2:2">
      <c r="B8073" s="422"/>
    </row>
    <row r="8074" spans="2:2">
      <c r="B8074" s="422"/>
    </row>
    <row r="8075" spans="2:2">
      <c r="B8075" s="422"/>
    </row>
    <row r="8076" spans="2:2">
      <c r="B8076" s="422"/>
    </row>
    <row r="8077" spans="2:2">
      <c r="B8077" s="422"/>
    </row>
    <row r="8078" spans="2:2">
      <c r="B8078" s="422"/>
    </row>
    <row r="8079" spans="2:2">
      <c r="B8079" s="422"/>
    </row>
    <row r="8080" spans="2:2">
      <c r="B8080" s="422"/>
    </row>
    <row r="8081" spans="2:2">
      <c r="B8081" s="422"/>
    </row>
    <row r="8082" spans="2:2">
      <c r="B8082" s="422"/>
    </row>
    <row r="8083" spans="2:2">
      <c r="B8083" s="422"/>
    </row>
    <row r="8084" spans="2:2">
      <c r="B8084" s="422"/>
    </row>
    <row r="8085" spans="2:2">
      <c r="B8085" s="422"/>
    </row>
    <row r="8086" spans="2:2">
      <c r="B8086" s="422"/>
    </row>
    <row r="8087" spans="2:2">
      <c r="B8087" s="422"/>
    </row>
    <row r="8088" spans="2:2">
      <c r="B8088" s="422"/>
    </row>
    <row r="8089" spans="2:2">
      <c r="B8089" s="422"/>
    </row>
    <row r="8090" spans="2:2">
      <c r="B8090" s="422"/>
    </row>
    <row r="8091" spans="2:2">
      <c r="B8091" s="422"/>
    </row>
    <row r="8092" spans="2:2">
      <c r="B8092" s="422"/>
    </row>
    <row r="8093" spans="2:2">
      <c r="B8093" s="422"/>
    </row>
    <row r="8094" spans="2:2">
      <c r="B8094" s="422"/>
    </row>
    <row r="8095" spans="2:2">
      <c r="B8095" s="422"/>
    </row>
    <row r="8096" spans="2:2">
      <c r="B8096" s="422"/>
    </row>
    <row r="8097" spans="2:2">
      <c r="B8097" s="422"/>
    </row>
    <row r="8098" spans="2:2">
      <c r="B8098" s="422"/>
    </row>
    <row r="8099" spans="2:2">
      <c r="B8099" s="422"/>
    </row>
    <row r="8100" spans="2:2">
      <c r="B8100" s="422"/>
    </row>
    <row r="8101" spans="2:2">
      <c r="B8101" s="422"/>
    </row>
    <row r="8102" spans="2:2">
      <c r="B8102" s="422"/>
    </row>
    <row r="8103" spans="2:2">
      <c r="B8103" s="422"/>
    </row>
    <row r="8104" spans="2:2">
      <c r="B8104" s="422"/>
    </row>
    <row r="8105" spans="2:2">
      <c r="B8105" s="422"/>
    </row>
    <row r="8106" spans="2:2">
      <c r="B8106" s="422"/>
    </row>
    <row r="8107" spans="2:2">
      <c r="B8107" s="422"/>
    </row>
    <row r="8108" spans="2:2">
      <c r="B8108" s="422"/>
    </row>
    <row r="8109" spans="2:2">
      <c r="B8109" s="422"/>
    </row>
    <row r="8110" spans="2:2">
      <c r="B8110" s="422"/>
    </row>
    <row r="8111" spans="2:2">
      <c r="B8111" s="422"/>
    </row>
    <row r="8112" spans="2:2">
      <c r="B8112" s="422"/>
    </row>
    <row r="8113" spans="2:2">
      <c r="B8113" s="422"/>
    </row>
    <row r="8114" spans="2:2">
      <c r="B8114" s="422"/>
    </row>
    <row r="8115" spans="2:2">
      <c r="B8115" s="422"/>
    </row>
    <row r="8116" spans="2:2">
      <c r="B8116" s="422"/>
    </row>
    <row r="8117" spans="2:2">
      <c r="B8117" s="422"/>
    </row>
    <row r="8118" spans="2:2">
      <c r="B8118" s="422"/>
    </row>
    <row r="8119" spans="2:2">
      <c r="B8119" s="422"/>
    </row>
    <row r="8120" spans="2:2">
      <c r="B8120" s="422"/>
    </row>
    <row r="8121" spans="2:2">
      <c r="B8121" s="422"/>
    </row>
    <row r="8122" spans="2:2">
      <c r="B8122" s="422"/>
    </row>
    <row r="8123" spans="2:2">
      <c r="B8123" s="422"/>
    </row>
    <row r="8124" spans="2:2">
      <c r="B8124" s="422"/>
    </row>
    <row r="8125" spans="2:2">
      <c r="B8125" s="422"/>
    </row>
    <row r="8126" spans="2:2">
      <c r="B8126" s="422"/>
    </row>
    <row r="8127" spans="2:2">
      <c r="B8127" s="422"/>
    </row>
    <row r="8128" spans="2:2">
      <c r="B8128" s="422"/>
    </row>
    <row r="8129" spans="2:2">
      <c r="B8129" s="422"/>
    </row>
    <row r="8130" spans="2:2">
      <c r="B8130" s="422"/>
    </row>
    <row r="8131" spans="2:2">
      <c r="B8131" s="422"/>
    </row>
    <row r="8132" spans="2:2">
      <c r="B8132" s="422"/>
    </row>
    <row r="8133" spans="2:2">
      <c r="B8133" s="422"/>
    </row>
    <row r="8134" spans="2:2">
      <c r="B8134" s="422"/>
    </row>
    <row r="8135" spans="2:2">
      <c r="B8135" s="422"/>
    </row>
    <row r="8136" spans="2:2">
      <c r="B8136" s="422"/>
    </row>
    <row r="8137" spans="2:2">
      <c r="B8137" s="422"/>
    </row>
    <row r="8138" spans="2:2">
      <c r="B8138" s="422"/>
    </row>
    <row r="8139" spans="2:2">
      <c r="B8139" s="422"/>
    </row>
    <row r="8140" spans="2:2">
      <c r="B8140" s="422"/>
    </row>
    <row r="8141" spans="2:2">
      <c r="B8141" s="422"/>
    </row>
    <row r="8142" spans="2:2">
      <c r="B8142" s="422"/>
    </row>
    <row r="8143" spans="2:2">
      <c r="B8143" s="422"/>
    </row>
    <row r="8144" spans="2:2">
      <c r="B8144" s="422"/>
    </row>
    <row r="8145" spans="2:2">
      <c r="B8145" s="422"/>
    </row>
    <row r="8146" spans="2:2">
      <c r="B8146" s="422"/>
    </row>
    <row r="8147" spans="2:2">
      <c r="B8147" s="422"/>
    </row>
    <row r="8148" spans="2:2">
      <c r="B8148" s="422"/>
    </row>
    <row r="8149" spans="2:2">
      <c r="B8149" s="422"/>
    </row>
    <row r="8150" spans="2:2">
      <c r="B8150" s="422"/>
    </row>
    <row r="8151" spans="2:2">
      <c r="B8151" s="422"/>
    </row>
    <row r="8152" spans="2:2">
      <c r="B8152" s="422"/>
    </row>
    <row r="8153" spans="2:2">
      <c r="B8153" s="422"/>
    </row>
    <row r="8154" spans="2:2">
      <c r="B8154" s="422"/>
    </row>
    <row r="8155" spans="2:2">
      <c r="B8155" s="422"/>
    </row>
    <row r="8156" spans="2:2">
      <c r="B8156" s="422"/>
    </row>
    <row r="8157" spans="2:2">
      <c r="B8157" s="422"/>
    </row>
    <row r="8158" spans="2:2">
      <c r="B8158" s="422"/>
    </row>
    <row r="8159" spans="2:2">
      <c r="B8159" s="422"/>
    </row>
    <row r="8160" spans="2:2">
      <c r="B8160" s="422"/>
    </row>
    <row r="8161" spans="2:2">
      <c r="B8161" s="422"/>
    </row>
    <row r="8162" spans="2:2">
      <c r="B8162" s="422"/>
    </row>
    <row r="8163" spans="2:2">
      <c r="B8163" s="422"/>
    </row>
    <row r="8164" spans="2:2">
      <c r="B8164" s="422"/>
    </row>
    <row r="8165" spans="2:2">
      <c r="B8165" s="422"/>
    </row>
    <row r="8166" spans="2:2">
      <c r="B8166" s="422"/>
    </row>
    <row r="8167" spans="2:2">
      <c r="B8167" s="422"/>
    </row>
    <row r="8168" spans="2:2">
      <c r="B8168" s="422"/>
    </row>
    <row r="8169" spans="2:2">
      <c r="B8169" s="422"/>
    </row>
    <row r="8170" spans="2:2">
      <c r="B8170" s="422"/>
    </row>
    <row r="8171" spans="2:2">
      <c r="B8171" s="422"/>
    </row>
    <row r="8172" spans="2:2">
      <c r="B8172" s="422"/>
    </row>
    <row r="8173" spans="2:2">
      <c r="B8173" s="422"/>
    </row>
    <row r="8174" spans="2:2">
      <c r="B8174" s="422"/>
    </row>
    <row r="8175" spans="2:2">
      <c r="B8175" s="422"/>
    </row>
    <row r="8176" spans="2:2">
      <c r="B8176" s="422"/>
    </row>
    <row r="8177" spans="2:2">
      <c r="B8177" s="422"/>
    </row>
    <row r="8178" spans="2:2">
      <c r="B8178" s="422"/>
    </row>
    <row r="8179" spans="2:2">
      <c r="B8179" s="422"/>
    </row>
    <row r="8180" spans="2:2">
      <c r="B8180" s="422"/>
    </row>
    <row r="8181" spans="2:2">
      <c r="B8181" s="422"/>
    </row>
    <row r="8182" spans="2:2">
      <c r="B8182" s="422"/>
    </row>
    <row r="8183" spans="2:2">
      <c r="B8183" s="422"/>
    </row>
    <row r="8184" spans="2:2">
      <c r="B8184" s="422"/>
    </row>
    <row r="8185" spans="2:2">
      <c r="B8185" s="422"/>
    </row>
    <row r="8186" spans="2:2">
      <c r="B8186" s="422"/>
    </row>
    <row r="8187" spans="2:2">
      <c r="B8187" s="422"/>
    </row>
    <row r="8188" spans="2:2">
      <c r="B8188" s="422"/>
    </row>
    <row r="8189" spans="2:2">
      <c r="B8189" s="422"/>
    </row>
    <row r="8190" spans="2:2">
      <c r="B8190" s="422"/>
    </row>
    <row r="8191" spans="2:2">
      <c r="B8191" s="422"/>
    </row>
    <row r="8192" spans="2:2">
      <c r="B8192" s="422"/>
    </row>
    <row r="8193" spans="2:2">
      <c r="B8193" s="422"/>
    </row>
    <row r="8194" spans="2:2">
      <c r="B8194" s="422"/>
    </row>
    <row r="8195" spans="2:2">
      <c r="B8195" s="422"/>
    </row>
    <row r="8196" spans="2:2">
      <c r="B8196" s="422"/>
    </row>
    <row r="8197" spans="2:2">
      <c r="B8197" s="422"/>
    </row>
    <row r="8198" spans="2:2">
      <c r="B8198" s="422"/>
    </row>
    <row r="8199" spans="2:2">
      <c r="B8199" s="422"/>
    </row>
    <row r="8200" spans="2:2">
      <c r="B8200" s="422"/>
    </row>
    <row r="8201" spans="2:2">
      <c r="B8201" s="422"/>
    </row>
    <row r="8202" spans="2:2">
      <c r="B8202" s="422"/>
    </row>
    <row r="8203" spans="2:2">
      <c r="B8203" s="422"/>
    </row>
    <row r="8204" spans="2:2">
      <c r="B8204" s="422"/>
    </row>
    <row r="8205" spans="2:2">
      <c r="B8205" s="422"/>
    </row>
    <row r="8206" spans="2:2">
      <c r="B8206" s="422"/>
    </row>
    <row r="8207" spans="2:2">
      <c r="B8207" s="422"/>
    </row>
    <row r="8208" spans="2:2">
      <c r="B8208" s="422"/>
    </row>
    <row r="8209" spans="2:2">
      <c r="B8209" s="422"/>
    </row>
    <row r="8210" spans="2:2">
      <c r="B8210" s="422"/>
    </row>
    <row r="8211" spans="2:2">
      <c r="B8211" s="422"/>
    </row>
    <row r="8212" spans="2:2">
      <c r="B8212" s="422"/>
    </row>
    <row r="8213" spans="2:2">
      <c r="B8213" s="422"/>
    </row>
    <row r="8214" spans="2:2">
      <c r="B8214" s="422"/>
    </row>
    <row r="8215" spans="2:2">
      <c r="B8215" s="422"/>
    </row>
    <row r="8216" spans="2:2">
      <c r="B8216" s="422"/>
    </row>
    <row r="8217" spans="2:2">
      <c r="B8217" s="422"/>
    </row>
    <row r="8218" spans="2:2">
      <c r="B8218" s="422"/>
    </row>
    <row r="8219" spans="2:2">
      <c r="B8219" s="422"/>
    </row>
    <row r="8220" spans="2:2">
      <c r="B8220" s="422"/>
    </row>
    <row r="8221" spans="2:2">
      <c r="B8221" s="422"/>
    </row>
    <row r="8222" spans="2:2">
      <c r="B8222" s="422"/>
    </row>
    <row r="8223" spans="2:2">
      <c r="B8223" s="422"/>
    </row>
    <row r="8224" spans="2:2">
      <c r="B8224" s="422"/>
    </row>
    <row r="8225" spans="2:2">
      <c r="B8225" s="422"/>
    </row>
    <row r="8226" spans="2:2">
      <c r="B8226" s="422"/>
    </row>
    <row r="8227" spans="2:2">
      <c r="B8227" s="422"/>
    </row>
    <row r="8228" spans="2:2">
      <c r="B8228" s="422"/>
    </row>
    <row r="8229" spans="2:2">
      <c r="B8229" s="422"/>
    </row>
    <row r="8230" spans="2:2">
      <c r="B8230" s="422"/>
    </row>
    <row r="8231" spans="2:2">
      <c r="B8231" s="422"/>
    </row>
    <row r="8232" spans="2:2">
      <c r="B8232" s="422"/>
    </row>
    <row r="8233" spans="2:2">
      <c r="B8233" s="422"/>
    </row>
    <row r="8234" spans="2:2">
      <c r="B8234" s="422"/>
    </row>
    <row r="8235" spans="2:2">
      <c r="B8235" s="422"/>
    </row>
    <row r="8236" spans="2:2">
      <c r="B8236" s="422"/>
    </row>
    <row r="8237" spans="2:2">
      <c r="B8237" s="422"/>
    </row>
    <row r="8238" spans="2:2">
      <c r="B8238" s="422"/>
    </row>
    <row r="8239" spans="2:2">
      <c r="B8239" s="422"/>
    </row>
    <row r="8240" spans="2:2">
      <c r="B8240" s="422"/>
    </row>
    <row r="8241" spans="2:2">
      <c r="B8241" s="422"/>
    </row>
    <row r="8242" spans="2:2">
      <c r="B8242" s="422"/>
    </row>
    <row r="8243" spans="2:2">
      <c r="B8243" s="422"/>
    </row>
    <row r="8244" spans="2:2">
      <c r="B8244" s="422"/>
    </row>
    <row r="8245" spans="2:2">
      <c r="B8245" s="422"/>
    </row>
    <row r="8246" spans="2:2">
      <c r="B8246" s="422"/>
    </row>
    <row r="8247" spans="2:2">
      <c r="B8247" s="422"/>
    </row>
    <row r="8248" spans="2:2">
      <c r="B8248" s="422"/>
    </row>
    <row r="8249" spans="2:2">
      <c r="B8249" s="422"/>
    </row>
    <row r="8250" spans="2:2">
      <c r="B8250" s="422"/>
    </row>
    <row r="8251" spans="2:2">
      <c r="B8251" s="422"/>
    </row>
    <row r="8252" spans="2:2">
      <c r="B8252" s="422"/>
    </row>
    <row r="8253" spans="2:2">
      <c r="B8253" s="422"/>
    </row>
    <row r="8254" spans="2:2">
      <c r="B8254" s="422"/>
    </row>
    <row r="8255" spans="2:2">
      <c r="B8255" s="422"/>
    </row>
    <row r="8256" spans="2:2">
      <c r="B8256" s="422"/>
    </row>
    <row r="8257" spans="2:2">
      <c r="B8257" s="422"/>
    </row>
    <row r="8258" spans="2:2">
      <c r="B8258" s="422"/>
    </row>
    <row r="8259" spans="2:2">
      <c r="B8259" s="422"/>
    </row>
    <row r="8260" spans="2:2">
      <c r="B8260" s="422"/>
    </row>
    <row r="8261" spans="2:2">
      <c r="B8261" s="422"/>
    </row>
    <row r="8262" spans="2:2">
      <c r="B8262" s="422"/>
    </row>
    <row r="8263" spans="2:2">
      <c r="B8263" s="422"/>
    </row>
    <row r="8264" spans="2:2">
      <c r="B8264" s="422"/>
    </row>
    <row r="8265" spans="2:2">
      <c r="B8265" s="422"/>
    </row>
    <row r="8266" spans="2:2">
      <c r="B8266" s="422"/>
    </row>
    <row r="8267" spans="2:2">
      <c r="B8267" s="422"/>
    </row>
    <row r="8268" spans="2:2">
      <c r="B8268" s="422"/>
    </row>
    <row r="8269" spans="2:2">
      <c r="B8269" s="422"/>
    </row>
    <row r="8270" spans="2:2">
      <c r="B8270" s="422"/>
    </row>
    <row r="8271" spans="2:2">
      <c r="B8271" s="422"/>
    </row>
    <row r="8272" spans="2:2">
      <c r="B8272" s="422"/>
    </row>
    <row r="8273" spans="2:2">
      <c r="B8273" s="422"/>
    </row>
    <row r="8274" spans="2:2">
      <c r="B8274" s="422"/>
    </row>
    <row r="8275" spans="2:2">
      <c r="B8275" s="422"/>
    </row>
    <row r="8276" spans="2:2">
      <c r="B8276" s="422"/>
    </row>
    <row r="8277" spans="2:2">
      <c r="B8277" s="422"/>
    </row>
    <row r="8278" spans="2:2">
      <c r="B8278" s="422"/>
    </row>
    <row r="8279" spans="2:2">
      <c r="B8279" s="422"/>
    </row>
    <row r="8280" spans="2:2">
      <c r="B8280" s="422"/>
    </row>
    <row r="8281" spans="2:2">
      <c r="B8281" s="422"/>
    </row>
    <row r="8282" spans="2:2">
      <c r="B8282" s="422"/>
    </row>
    <row r="8283" spans="2:2">
      <c r="B8283" s="422"/>
    </row>
    <row r="8284" spans="2:2">
      <c r="B8284" s="422"/>
    </row>
    <row r="8285" spans="2:2">
      <c r="B8285" s="422"/>
    </row>
    <row r="8286" spans="2:2">
      <c r="B8286" s="422"/>
    </row>
    <row r="8287" spans="2:2">
      <c r="B8287" s="422"/>
    </row>
    <row r="8288" spans="2:2">
      <c r="B8288" s="422"/>
    </row>
    <row r="8289" spans="2:2">
      <c r="B8289" s="422"/>
    </row>
    <row r="8290" spans="2:2">
      <c r="B8290" s="422"/>
    </row>
    <row r="8291" spans="2:2">
      <c r="B8291" s="422"/>
    </row>
    <row r="8292" spans="2:2">
      <c r="B8292" s="422"/>
    </row>
    <row r="8293" spans="2:2">
      <c r="B8293" s="422"/>
    </row>
    <row r="8294" spans="2:2">
      <c r="B8294" s="422"/>
    </row>
    <row r="8295" spans="2:2">
      <c r="B8295" s="422"/>
    </row>
    <row r="8296" spans="2:2">
      <c r="B8296" s="422"/>
    </row>
    <row r="8297" spans="2:2">
      <c r="B8297" s="422"/>
    </row>
    <row r="8298" spans="2:2">
      <c r="B8298" s="422"/>
    </row>
    <row r="8299" spans="2:2">
      <c r="B8299" s="422"/>
    </row>
    <row r="8300" spans="2:2">
      <c r="B8300" s="422"/>
    </row>
    <row r="8301" spans="2:2">
      <c r="B8301" s="422"/>
    </row>
    <row r="8302" spans="2:2">
      <c r="B8302" s="422"/>
    </row>
    <row r="8303" spans="2:2">
      <c r="B8303" s="422"/>
    </row>
    <row r="8304" spans="2:2">
      <c r="B8304" s="422"/>
    </row>
    <row r="8305" spans="2:2">
      <c r="B8305" s="422"/>
    </row>
    <row r="8306" spans="2:2">
      <c r="B8306" s="422"/>
    </row>
    <row r="8307" spans="2:2">
      <c r="B8307" s="422"/>
    </row>
    <row r="8308" spans="2:2">
      <c r="B8308" s="422"/>
    </row>
    <row r="8309" spans="2:2">
      <c r="B8309" s="422"/>
    </row>
    <row r="8310" spans="2:2">
      <c r="B8310" s="422"/>
    </row>
    <row r="8311" spans="2:2">
      <c r="B8311" s="422"/>
    </row>
    <row r="8312" spans="2:2">
      <c r="B8312" s="422"/>
    </row>
    <row r="8313" spans="2:2">
      <c r="B8313" s="422"/>
    </row>
    <row r="8314" spans="2:2">
      <c r="B8314" s="422"/>
    </row>
    <row r="8315" spans="2:2">
      <c r="B8315" s="422"/>
    </row>
    <row r="8316" spans="2:2">
      <c r="B8316" s="422"/>
    </row>
    <row r="8317" spans="2:2">
      <c r="B8317" s="422"/>
    </row>
    <row r="8318" spans="2:2">
      <c r="B8318" s="422"/>
    </row>
    <row r="8319" spans="2:2">
      <c r="B8319" s="422"/>
    </row>
    <row r="8320" spans="2:2">
      <c r="B8320" s="422"/>
    </row>
    <row r="8321" spans="2:2">
      <c r="B8321" s="422"/>
    </row>
    <row r="8322" spans="2:2">
      <c r="B8322" s="422"/>
    </row>
    <row r="8323" spans="2:2">
      <c r="B8323" s="422"/>
    </row>
    <row r="8324" spans="2:2">
      <c r="B8324" s="422"/>
    </row>
    <row r="8325" spans="2:2">
      <c r="B8325" s="422"/>
    </row>
    <row r="8326" spans="2:2">
      <c r="B8326" s="422"/>
    </row>
    <row r="8327" spans="2:2">
      <c r="B8327" s="422"/>
    </row>
    <row r="8328" spans="2:2">
      <c r="B8328" s="422"/>
    </row>
    <row r="8329" spans="2:2">
      <c r="B8329" s="422"/>
    </row>
    <row r="8330" spans="2:2">
      <c r="B8330" s="422"/>
    </row>
    <row r="8331" spans="2:2">
      <c r="B8331" s="422"/>
    </row>
    <row r="8332" spans="2:2">
      <c r="B8332" s="422"/>
    </row>
    <row r="8333" spans="2:2">
      <c r="B8333" s="422"/>
    </row>
    <row r="8334" spans="2:2">
      <c r="B8334" s="422"/>
    </row>
    <row r="8335" spans="2:2">
      <c r="B8335" s="422"/>
    </row>
    <row r="8336" spans="2:2">
      <c r="B8336" s="422"/>
    </row>
    <row r="8337" spans="2:2">
      <c r="B8337" s="422"/>
    </row>
    <row r="8338" spans="2:2">
      <c r="B8338" s="422"/>
    </row>
    <row r="8339" spans="2:2">
      <c r="B8339" s="422"/>
    </row>
    <row r="8340" spans="2:2">
      <c r="B8340" s="422"/>
    </row>
    <row r="8341" spans="2:2">
      <c r="B8341" s="422"/>
    </row>
    <row r="8342" spans="2:2">
      <c r="B8342" s="422"/>
    </row>
    <row r="8343" spans="2:2">
      <c r="B8343" s="422"/>
    </row>
    <row r="8344" spans="2:2">
      <c r="B8344" s="422"/>
    </row>
    <row r="8345" spans="2:2">
      <c r="B8345" s="422"/>
    </row>
    <row r="8346" spans="2:2">
      <c r="B8346" s="422"/>
    </row>
    <row r="8347" spans="2:2">
      <c r="B8347" s="422"/>
    </row>
    <row r="8348" spans="2:2">
      <c r="B8348" s="422"/>
    </row>
    <row r="8349" spans="2:2">
      <c r="B8349" s="422"/>
    </row>
    <row r="8350" spans="2:2">
      <c r="B8350" s="422"/>
    </row>
    <row r="8351" spans="2:2">
      <c r="B8351" s="422"/>
    </row>
    <row r="8352" spans="2:2">
      <c r="B8352" s="422"/>
    </row>
    <row r="8353" spans="2:2">
      <c r="B8353" s="422"/>
    </row>
    <row r="8354" spans="2:2">
      <c r="B8354" s="422"/>
    </row>
    <row r="8355" spans="2:2">
      <c r="B8355" s="422"/>
    </row>
    <row r="8356" spans="2:2">
      <c r="B8356" s="422"/>
    </row>
    <row r="8357" spans="2:2">
      <c r="B8357" s="422"/>
    </row>
    <row r="8358" spans="2:2">
      <c r="B8358" s="422"/>
    </row>
    <row r="8359" spans="2:2">
      <c r="B8359" s="422"/>
    </row>
    <row r="8360" spans="2:2">
      <c r="B8360" s="422"/>
    </row>
    <row r="8361" spans="2:2">
      <c r="B8361" s="422"/>
    </row>
    <row r="8362" spans="2:2">
      <c r="B8362" s="422"/>
    </row>
    <row r="8363" spans="2:2">
      <c r="B8363" s="422"/>
    </row>
    <row r="8364" spans="2:2">
      <c r="B8364" s="422"/>
    </row>
    <row r="8365" spans="2:2">
      <c r="B8365" s="422"/>
    </row>
    <row r="8366" spans="2:2">
      <c r="B8366" s="422"/>
    </row>
    <row r="8367" spans="2:2">
      <c r="B8367" s="422"/>
    </row>
    <row r="8368" spans="2:2">
      <c r="B8368" s="422"/>
    </row>
    <row r="8369" spans="2:2">
      <c r="B8369" s="422"/>
    </row>
    <row r="8370" spans="2:2">
      <c r="B8370" s="422"/>
    </row>
    <row r="8371" spans="2:2">
      <c r="B8371" s="422"/>
    </row>
    <row r="8372" spans="2:2">
      <c r="B8372" s="422"/>
    </row>
    <row r="8373" spans="2:2">
      <c r="B8373" s="422"/>
    </row>
    <row r="8374" spans="2:2">
      <c r="B8374" s="422"/>
    </row>
    <row r="8375" spans="2:2">
      <c r="B8375" s="422"/>
    </row>
    <row r="8376" spans="2:2">
      <c r="B8376" s="422"/>
    </row>
    <row r="8377" spans="2:2">
      <c r="B8377" s="422"/>
    </row>
    <row r="8378" spans="2:2">
      <c r="B8378" s="422"/>
    </row>
    <row r="8379" spans="2:2">
      <c r="B8379" s="422"/>
    </row>
    <row r="8380" spans="2:2">
      <c r="B8380" s="422"/>
    </row>
    <row r="8381" spans="2:2">
      <c r="B8381" s="422"/>
    </row>
    <row r="8382" spans="2:2">
      <c r="B8382" s="422"/>
    </row>
    <row r="8383" spans="2:2">
      <c r="B8383" s="422"/>
    </row>
    <row r="8384" spans="2:2">
      <c r="B8384" s="422"/>
    </row>
    <row r="8385" spans="2:2">
      <c r="B8385" s="422"/>
    </row>
    <row r="8386" spans="2:2">
      <c r="B8386" s="422"/>
    </row>
    <row r="8387" spans="2:2">
      <c r="B8387" s="422"/>
    </row>
    <row r="8388" spans="2:2">
      <c r="B8388" s="422"/>
    </row>
    <row r="8389" spans="2:2">
      <c r="B8389" s="422"/>
    </row>
    <row r="8390" spans="2:2">
      <c r="B8390" s="422"/>
    </row>
    <row r="8391" spans="2:2">
      <c r="B8391" s="422"/>
    </row>
    <row r="8392" spans="2:2">
      <c r="B8392" s="422"/>
    </row>
    <row r="8393" spans="2:2">
      <c r="B8393" s="422"/>
    </row>
    <row r="8394" spans="2:2">
      <c r="B8394" s="422"/>
    </row>
    <row r="8395" spans="2:2">
      <c r="B8395" s="422"/>
    </row>
    <row r="8396" spans="2:2">
      <c r="B8396" s="422"/>
    </row>
    <row r="8397" spans="2:2">
      <c r="B8397" s="422"/>
    </row>
    <row r="8398" spans="2:2">
      <c r="B8398" s="422"/>
    </row>
    <row r="8399" spans="2:2">
      <c r="B8399" s="422"/>
    </row>
    <row r="8400" spans="2:2">
      <c r="B8400" s="422"/>
    </row>
    <row r="8401" spans="2:2">
      <c r="B8401" s="422"/>
    </row>
    <row r="8402" spans="2:2">
      <c r="B8402" s="422"/>
    </row>
    <row r="8403" spans="2:2">
      <c r="B8403" s="422"/>
    </row>
    <row r="8404" spans="2:2">
      <c r="B8404" s="422"/>
    </row>
    <row r="8405" spans="2:2">
      <c r="B8405" s="422"/>
    </row>
    <row r="8406" spans="2:2">
      <c r="B8406" s="422"/>
    </row>
    <row r="8407" spans="2:2">
      <c r="B8407" s="422"/>
    </row>
    <row r="8408" spans="2:2">
      <c r="B8408" s="422"/>
    </row>
    <row r="8409" spans="2:2">
      <c r="B8409" s="422"/>
    </row>
    <row r="8410" spans="2:2">
      <c r="B8410" s="422"/>
    </row>
    <row r="8411" spans="2:2">
      <c r="B8411" s="422"/>
    </row>
    <row r="8412" spans="2:2">
      <c r="B8412" s="422"/>
    </row>
    <row r="8413" spans="2:2">
      <c r="B8413" s="422"/>
    </row>
    <row r="8414" spans="2:2">
      <c r="B8414" s="422"/>
    </row>
    <row r="8415" spans="2:2">
      <c r="B8415" s="422"/>
    </row>
    <row r="8416" spans="2:2">
      <c r="B8416" s="422"/>
    </row>
    <row r="8417" spans="2:2">
      <c r="B8417" s="422"/>
    </row>
    <row r="8418" spans="2:2">
      <c r="B8418" s="422"/>
    </row>
    <row r="8419" spans="2:2">
      <c r="B8419" s="422"/>
    </row>
    <row r="8420" spans="2:2">
      <c r="B8420" s="422"/>
    </row>
    <row r="8421" spans="2:2">
      <c r="B8421" s="422"/>
    </row>
    <row r="8422" spans="2:2">
      <c r="B8422" s="422"/>
    </row>
    <row r="8423" spans="2:2">
      <c r="B8423" s="422"/>
    </row>
    <row r="8424" spans="2:2">
      <c r="B8424" s="422"/>
    </row>
    <row r="8425" spans="2:2">
      <c r="B8425" s="422"/>
    </row>
    <row r="8426" spans="2:2">
      <c r="B8426" s="422"/>
    </row>
    <row r="8427" spans="2:2">
      <c r="B8427" s="422"/>
    </row>
    <row r="8428" spans="2:2">
      <c r="B8428" s="422"/>
    </row>
    <row r="8429" spans="2:2">
      <c r="B8429" s="422"/>
    </row>
    <row r="8430" spans="2:2">
      <c r="B8430" s="422"/>
    </row>
    <row r="8431" spans="2:2">
      <c r="B8431" s="422"/>
    </row>
    <row r="8432" spans="2:2">
      <c r="B8432" s="422"/>
    </row>
    <row r="8433" spans="2:2">
      <c r="B8433" s="422"/>
    </row>
    <row r="8434" spans="2:2">
      <c r="B8434" s="422"/>
    </row>
    <row r="8435" spans="2:2">
      <c r="B8435" s="422"/>
    </row>
    <row r="8436" spans="2:2">
      <c r="B8436" s="422"/>
    </row>
    <row r="8437" spans="2:2">
      <c r="B8437" s="422"/>
    </row>
    <row r="8438" spans="2:2">
      <c r="B8438" s="422"/>
    </row>
    <row r="8439" spans="2:2">
      <c r="B8439" s="422"/>
    </row>
    <row r="8440" spans="2:2">
      <c r="B8440" s="422"/>
    </row>
    <row r="8441" spans="2:2">
      <c r="B8441" s="422"/>
    </row>
    <row r="8442" spans="2:2">
      <c r="B8442" s="422"/>
    </row>
    <row r="8443" spans="2:2">
      <c r="B8443" s="422"/>
    </row>
    <row r="8444" spans="2:2">
      <c r="B8444" s="422"/>
    </row>
    <row r="8445" spans="2:2">
      <c r="B8445" s="422"/>
    </row>
    <row r="8446" spans="2:2">
      <c r="B8446" s="422"/>
    </row>
    <row r="8447" spans="2:2">
      <c r="B8447" s="422"/>
    </row>
    <row r="8448" spans="2:2">
      <c r="B8448" s="422"/>
    </row>
    <row r="8449" spans="2:2">
      <c r="B8449" s="422"/>
    </row>
    <row r="8450" spans="2:2">
      <c r="B8450" s="422"/>
    </row>
    <row r="8451" spans="2:2">
      <c r="B8451" s="422"/>
    </row>
    <row r="8452" spans="2:2">
      <c r="B8452" s="422"/>
    </row>
    <row r="8453" spans="2:2">
      <c r="B8453" s="422"/>
    </row>
    <row r="8454" spans="2:2">
      <c r="B8454" s="422"/>
    </row>
    <row r="8455" spans="2:2">
      <c r="B8455" s="422"/>
    </row>
    <row r="8456" spans="2:2">
      <c r="B8456" s="422"/>
    </row>
    <row r="8457" spans="2:2">
      <c r="B8457" s="422"/>
    </row>
    <row r="8458" spans="2:2">
      <c r="B8458" s="422"/>
    </row>
    <row r="8459" spans="2:2">
      <c r="B8459" s="422"/>
    </row>
    <row r="8460" spans="2:2">
      <c r="B8460" s="422"/>
    </row>
    <row r="8461" spans="2:2">
      <c r="B8461" s="422"/>
    </row>
    <row r="8462" spans="2:2">
      <c r="B8462" s="422"/>
    </row>
    <row r="8463" spans="2:2">
      <c r="B8463" s="422"/>
    </row>
    <row r="8464" spans="2:2">
      <c r="B8464" s="422"/>
    </row>
    <row r="8465" spans="2:2">
      <c r="B8465" s="422"/>
    </row>
    <row r="8466" spans="2:2">
      <c r="B8466" s="422"/>
    </row>
    <row r="8467" spans="2:2">
      <c r="B8467" s="422"/>
    </row>
    <row r="8468" spans="2:2">
      <c r="B8468" s="422"/>
    </row>
    <row r="8469" spans="2:2">
      <c r="B8469" s="422"/>
    </row>
    <row r="8470" spans="2:2">
      <c r="B8470" s="422"/>
    </row>
    <row r="8471" spans="2:2">
      <c r="B8471" s="422"/>
    </row>
    <row r="8472" spans="2:2">
      <c r="B8472" s="422"/>
    </row>
    <row r="8473" spans="2:2">
      <c r="B8473" s="422"/>
    </row>
    <row r="8474" spans="2:2">
      <c r="B8474" s="422"/>
    </row>
    <row r="8475" spans="2:2">
      <c r="B8475" s="422"/>
    </row>
    <row r="8476" spans="2:2">
      <c r="B8476" s="422"/>
    </row>
    <row r="8477" spans="2:2">
      <c r="B8477" s="422"/>
    </row>
    <row r="8478" spans="2:2">
      <c r="B8478" s="422"/>
    </row>
    <row r="8479" spans="2:2">
      <c r="B8479" s="422"/>
    </row>
    <row r="8480" spans="2:2">
      <c r="B8480" s="422"/>
    </row>
    <row r="8481" spans="2:2">
      <c r="B8481" s="422"/>
    </row>
    <row r="8482" spans="2:2">
      <c r="B8482" s="422"/>
    </row>
    <row r="8483" spans="2:2">
      <c r="B8483" s="422"/>
    </row>
    <row r="8484" spans="2:2">
      <c r="B8484" s="422"/>
    </row>
    <row r="8485" spans="2:2">
      <c r="B8485" s="422"/>
    </row>
    <row r="8486" spans="2:2">
      <c r="B8486" s="422"/>
    </row>
    <row r="8487" spans="2:2">
      <c r="B8487" s="422"/>
    </row>
    <row r="8488" spans="2:2">
      <c r="B8488" s="422"/>
    </row>
    <row r="8489" spans="2:2">
      <c r="B8489" s="422"/>
    </row>
    <row r="8490" spans="2:2">
      <c r="B8490" s="422"/>
    </row>
    <row r="8491" spans="2:2">
      <c r="B8491" s="422"/>
    </row>
    <row r="8492" spans="2:2">
      <c r="B8492" s="422"/>
    </row>
    <row r="8493" spans="2:2">
      <c r="B8493" s="422"/>
    </row>
    <row r="8494" spans="2:2">
      <c r="B8494" s="422"/>
    </row>
    <row r="8495" spans="2:2">
      <c r="B8495" s="422"/>
    </row>
    <row r="8496" spans="2:2">
      <c r="B8496" s="422"/>
    </row>
    <row r="8497" spans="2:2">
      <c r="B8497" s="422"/>
    </row>
    <row r="8498" spans="2:2">
      <c r="B8498" s="422"/>
    </row>
    <row r="8499" spans="2:2">
      <c r="B8499" s="422"/>
    </row>
    <row r="8500" spans="2:2">
      <c r="B8500" s="422"/>
    </row>
    <row r="8501" spans="2:2">
      <c r="B8501" s="422"/>
    </row>
    <row r="8502" spans="2:2">
      <c r="B8502" s="422"/>
    </row>
    <row r="8503" spans="2:2">
      <c r="B8503" s="422"/>
    </row>
    <row r="8504" spans="2:2">
      <c r="B8504" s="422"/>
    </row>
    <row r="8505" spans="2:2">
      <c r="B8505" s="422"/>
    </row>
    <row r="8506" spans="2:2">
      <c r="B8506" s="422"/>
    </row>
    <row r="8507" spans="2:2">
      <c r="B8507" s="422"/>
    </row>
    <row r="8508" spans="2:2">
      <c r="B8508" s="422"/>
    </row>
    <row r="8509" spans="2:2">
      <c r="B8509" s="422"/>
    </row>
    <row r="8510" spans="2:2">
      <c r="B8510" s="422"/>
    </row>
    <row r="8511" spans="2:2">
      <c r="B8511" s="422"/>
    </row>
    <row r="8512" spans="2:2">
      <c r="B8512" s="422"/>
    </row>
    <row r="8513" spans="2:2">
      <c r="B8513" s="422"/>
    </row>
    <row r="8514" spans="2:2">
      <c r="B8514" s="422"/>
    </row>
    <row r="8515" spans="2:2">
      <c r="B8515" s="422"/>
    </row>
    <row r="8516" spans="2:2">
      <c r="B8516" s="422"/>
    </row>
    <row r="8517" spans="2:2">
      <c r="B8517" s="422"/>
    </row>
    <row r="8518" spans="2:2">
      <c r="B8518" s="422"/>
    </row>
    <row r="8519" spans="2:2">
      <c r="B8519" s="422"/>
    </row>
    <row r="8520" spans="2:2">
      <c r="B8520" s="422"/>
    </row>
    <row r="8521" spans="2:2">
      <c r="B8521" s="422"/>
    </row>
    <row r="8522" spans="2:2">
      <c r="B8522" s="422"/>
    </row>
    <row r="8523" spans="2:2">
      <c r="B8523" s="422"/>
    </row>
    <row r="8524" spans="2:2">
      <c r="B8524" s="422"/>
    </row>
    <row r="8525" spans="2:2">
      <c r="B8525" s="422"/>
    </row>
    <row r="8526" spans="2:2">
      <c r="B8526" s="422"/>
    </row>
    <row r="8527" spans="2:2">
      <c r="B8527" s="422"/>
    </row>
    <row r="8528" spans="2:2">
      <c r="B8528" s="422"/>
    </row>
    <row r="8529" spans="2:2">
      <c r="B8529" s="422"/>
    </row>
    <row r="8530" spans="2:2">
      <c r="B8530" s="422"/>
    </row>
    <row r="8531" spans="2:2">
      <c r="B8531" s="422"/>
    </row>
    <row r="8532" spans="2:2">
      <c r="B8532" s="422"/>
    </row>
    <row r="8533" spans="2:2">
      <c r="B8533" s="422"/>
    </row>
    <row r="8534" spans="2:2">
      <c r="B8534" s="422"/>
    </row>
    <row r="8535" spans="2:2">
      <c r="B8535" s="422"/>
    </row>
    <row r="8536" spans="2:2">
      <c r="B8536" s="422"/>
    </row>
    <row r="8537" spans="2:2">
      <c r="B8537" s="422"/>
    </row>
    <row r="8538" spans="2:2">
      <c r="B8538" s="422"/>
    </row>
    <row r="8539" spans="2:2">
      <c r="B8539" s="422"/>
    </row>
    <row r="8540" spans="2:2">
      <c r="B8540" s="422"/>
    </row>
    <row r="8541" spans="2:2">
      <c r="B8541" s="422"/>
    </row>
    <row r="8542" spans="2:2">
      <c r="B8542" s="422"/>
    </row>
    <row r="8543" spans="2:2">
      <c r="B8543" s="422"/>
    </row>
    <row r="8544" spans="2:2">
      <c r="B8544" s="422"/>
    </row>
    <row r="8545" spans="2:2">
      <c r="B8545" s="422"/>
    </row>
    <row r="8546" spans="2:2">
      <c r="B8546" s="422"/>
    </row>
    <row r="8547" spans="2:2">
      <c r="B8547" s="422"/>
    </row>
    <row r="8548" spans="2:2">
      <c r="B8548" s="422"/>
    </row>
    <row r="8549" spans="2:2">
      <c r="B8549" s="422"/>
    </row>
    <row r="8550" spans="2:2">
      <c r="B8550" s="422"/>
    </row>
    <row r="8551" spans="2:2">
      <c r="B8551" s="422"/>
    </row>
    <row r="8552" spans="2:2">
      <c r="B8552" s="422"/>
    </row>
    <row r="8553" spans="2:2">
      <c r="B8553" s="422"/>
    </row>
    <row r="8554" spans="2:2">
      <c r="B8554" s="422"/>
    </row>
    <row r="8555" spans="2:2">
      <c r="B8555" s="422"/>
    </row>
    <row r="8556" spans="2:2">
      <c r="B8556" s="422"/>
    </row>
    <row r="8557" spans="2:2">
      <c r="B8557" s="422"/>
    </row>
    <row r="8558" spans="2:2">
      <c r="B8558" s="422"/>
    </row>
    <row r="8559" spans="2:2">
      <c r="B8559" s="422"/>
    </row>
    <row r="8560" spans="2:2">
      <c r="B8560" s="422"/>
    </row>
    <row r="8561" spans="2:2">
      <c r="B8561" s="422"/>
    </row>
    <row r="8562" spans="2:2">
      <c r="B8562" s="422"/>
    </row>
    <row r="8563" spans="2:2">
      <c r="B8563" s="422"/>
    </row>
    <row r="8564" spans="2:2">
      <c r="B8564" s="422"/>
    </row>
    <row r="8565" spans="2:2">
      <c r="B8565" s="422"/>
    </row>
    <row r="8566" spans="2:2">
      <c r="B8566" s="422"/>
    </row>
    <row r="8567" spans="2:2">
      <c r="B8567" s="422"/>
    </row>
    <row r="8568" spans="2:2">
      <c r="B8568" s="422"/>
    </row>
    <row r="8569" spans="2:2">
      <c r="B8569" s="422"/>
    </row>
    <row r="8570" spans="2:2">
      <c r="B8570" s="422"/>
    </row>
    <row r="8571" spans="2:2">
      <c r="B8571" s="422"/>
    </row>
    <row r="8572" spans="2:2">
      <c r="B8572" s="422"/>
    </row>
    <row r="8573" spans="2:2">
      <c r="B8573" s="422"/>
    </row>
    <row r="8574" spans="2:2">
      <c r="B8574" s="422"/>
    </row>
    <row r="8575" spans="2:2">
      <c r="B8575" s="422"/>
    </row>
    <row r="8576" spans="2:2">
      <c r="B8576" s="422"/>
    </row>
    <row r="8577" spans="2:2">
      <c r="B8577" s="422"/>
    </row>
    <row r="8578" spans="2:2">
      <c r="B8578" s="422"/>
    </row>
    <row r="8579" spans="2:2">
      <c r="B8579" s="422"/>
    </row>
    <row r="8580" spans="2:2">
      <c r="B8580" s="422"/>
    </row>
    <row r="8581" spans="2:2">
      <c r="B8581" s="422"/>
    </row>
    <row r="8582" spans="2:2">
      <c r="B8582" s="422"/>
    </row>
    <row r="8583" spans="2:2">
      <c r="B8583" s="422"/>
    </row>
    <row r="8584" spans="2:2">
      <c r="B8584" s="422"/>
    </row>
    <row r="8585" spans="2:2">
      <c r="B8585" s="422"/>
    </row>
    <row r="8586" spans="2:2">
      <c r="B8586" s="422"/>
    </row>
    <row r="8587" spans="2:2">
      <c r="B8587" s="422"/>
    </row>
    <row r="8588" spans="2:2">
      <c r="B8588" s="422"/>
    </row>
    <row r="8589" spans="2:2">
      <c r="B8589" s="422"/>
    </row>
    <row r="8590" spans="2:2">
      <c r="B8590" s="422"/>
    </row>
    <row r="8591" spans="2:2">
      <c r="B8591" s="422"/>
    </row>
    <row r="8592" spans="2:2">
      <c r="B8592" s="422"/>
    </row>
    <row r="8593" spans="2:2">
      <c r="B8593" s="422"/>
    </row>
    <row r="8594" spans="2:2">
      <c r="B8594" s="422"/>
    </row>
    <row r="8595" spans="2:2">
      <c r="B8595" s="422"/>
    </row>
    <row r="8596" spans="2:2">
      <c r="B8596" s="422"/>
    </row>
    <row r="8597" spans="2:2">
      <c r="B8597" s="422"/>
    </row>
    <row r="8598" spans="2:2">
      <c r="B8598" s="422"/>
    </row>
    <row r="8599" spans="2:2">
      <c r="B8599" s="422"/>
    </row>
    <row r="8600" spans="2:2">
      <c r="B8600" s="422"/>
    </row>
    <row r="8601" spans="2:2">
      <c r="B8601" s="422"/>
    </row>
    <row r="8602" spans="2:2">
      <c r="B8602" s="422"/>
    </row>
    <row r="8603" spans="2:2">
      <c r="B8603" s="422"/>
    </row>
    <row r="8604" spans="2:2">
      <c r="B8604" s="422"/>
    </row>
    <row r="8605" spans="2:2">
      <c r="B8605" s="422"/>
    </row>
    <row r="8606" spans="2:2">
      <c r="B8606" s="422"/>
    </row>
    <row r="8607" spans="2:2">
      <c r="B8607" s="422"/>
    </row>
    <row r="8608" spans="2:2">
      <c r="B8608" s="422"/>
    </row>
    <row r="8609" spans="2:2">
      <c r="B8609" s="422"/>
    </row>
    <row r="8610" spans="2:2">
      <c r="B8610" s="422"/>
    </row>
    <row r="8611" spans="2:2">
      <c r="B8611" s="422"/>
    </row>
    <row r="8612" spans="2:2">
      <c r="B8612" s="422"/>
    </row>
    <row r="8613" spans="2:2">
      <c r="B8613" s="422"/>
    </row>
    <row r="8614" spans="2:2">
      <c r="B8614" s="422"/>
    </row>
    <row r="8615" spans="2:2">
      <c r="B8615" s="422"/>
    </row>
    <row r="8616" spans="2:2">
      <c r="B8616" s="422"/>
    </row>
    <row r="8617" spans="2:2">
      <c r="B8617" s="422"/>
    </row>
    <row r="8618" spans="2:2">
      <c r="B8618" s="422"/>
    </row>
    <row r="8619" spans="2:2">
      <c r="B8619" s="422"/>
    </row>
    <row r="8620" spans="2:2">
      <c r="B8620" s="422"/>
    </row>
    <row r="8621" spans="2:2">
      <c r="B8621" s="422"/>
    </row>
    <row r="8622" spans="2:2">
      <c r="B8622" s="422"/>
    </row>
    <row r="8623" spans="2:2">
      <c r="B8623" s="422"/>
    </row>
    <row r="8624" spans="2:2">
      <c r="B8624" s="422"/>
    </row>
    <row r="8625" spans="2:2">
      <c r="B8625" s="422"/>
    </row>
    <row r="8626" spans="2:2">
      <c r="B8626" s="422"/>
    </row>
    <row r="8627" spans="2:2">
      <c r="B8627" s="422"/>
    </row>
    <row r="8628" spans="2:2">
      <c r="B8628" s="422"/>
    </row>
    <row r="8629" spans="2:2">
      <c r="B8629" s="422"/>
    </row>
    <row r="8630" spans="2:2">
      <c r="B8630" s="422"/>
    </row>
    <row r="8631" spans="2:2">
      <c r="B8631" s="422"/>
    </row>
    <row r="8632" spans="2:2">
      <c r="B8632" s="422"/>
    </row>
    <row r="8633" spans="2:2">
      <c r="B8633" s="422"/>
    </row>
    <row r="8634" spans="2:2">
      <c r="B8634" s="422"/>
    </row>
    <row r="8635" spans="2:2">
      <c r="B8635" s="422"/>
    </row>
    <row r="8636" spans="2:2">
      <c r="B8636" s="422"/>
    </row>
    <row r="8637" spans="2:2">
      <c r="B8637" s="422"/>
    </row>
    <row r="8638" spans="2:2">
      <c r="B8638" s="422"/>
    </row>
    <row r="8639" spans="2:2">
      <c r="B8639" s="422"/>
    </row>
    <row r="8640" spans="2:2">
      <c r="B8640" s="422"/>
    </row>
    <row r="8641" spans="2:2">
      <c r="B8641" s="422"/>
    </row>
    <row r="8642" spans="2:2">
      <c r="B8642" s="422"/>
    </row>
    <row r="8643" spans="2:2">
      <c r="B8643" s="422"/>
    </row>
    <row r="8644" spans="2:2">
      <c r="B8644" s="422"/>
    </row>
    <row r="8645" spans="2:2">
      <c r="B8645" s="422"/>
    </row>
    <row r="8646" spans="2:2">
      <c r="B8646" s="422"/>
    </row>
    <row r="8647" spans="2:2">
      <c r="B8647" s="422"/>
    </row>
    <row r="8648" spans="2:2">
      <c r="B8648" s="422"/>
    </row>
    <row r="8649" spans="2:2">
      <c r="B8649" s="422"/>
    </row>
    <row r="8650" spans="2:2">
      <c r="B8650" s="422"/>
    </row>
    <row r="8651" spans="2:2">
      <c r="B8651" s="422"/>
    </row>
    <row r="8652" spans="2:2">
      <c r="B8652" s="422"/>
    </row>
    <row r="8653" spans="2:2">
      <c r="B8653" s="422"/>
    </row>
    <row r="8654" spans="2:2">
      <c r="B8654" s="422"/>
    </row>
    <row r="8655" spans="2:2">
      <c r="B8655" s="422"/>
    </row>
    <row r="8656" spans="2:2">
      <c r="B8656" s="422"/>
    </row>
    <row r="8657" spans="2:2">
      <c r="B8657" s="422"/>
    </row>
    <row r="8658" spans="2:2">
      <c r="B8658" s="422"/>
    </row>
    <row r="8659" spans="2:2">
      <c r="B8659" s="422"/>
    </row>
    <row r="8660" spans="2:2">
      <c r="B8660" s="422"/>
    </row>
    <row r="8661" spans="2:2">
      <c r="B8661" s="422"/>
    </row>
    <row r="8662" spans="2:2">
      <c r="B8662" s="422"/>
    </row>
    <row r="8663" spans="2:2">
      <c r="B8663" s="422"/>
    </row>
    <row r="8664" spans="2:2">
      <c r="B8664" s="422"/>
    </row>
    <row r="8665" spans="2:2">
      <c r="B8665" s="422"/>
    </row>
    <row r="8666" spans="2:2">
      <c r="B8666" s="422"/>
    </row>
    <row r="8667" spans="2:2">
      <c r="B8667" s="422"/>
    </row>
    <row r="8668" spans="2:2">
      <c r="B8668" s="422"/>
    </row>
    <row r="8669" spans="2:2">
      <c r="B8669" s="422"/>
    </row>
    <row r="8670" spans="2:2">
      <c r="B8670" s="422"/>
    </row>
    <row r="8671" spans="2:2">
      <c r="B8671" s="422"/>
    </row>
    <row r="8672" spans="2:2">
      <c r="B8672" s="422"/>
    </row>
    <row r="8673" spans="2:2">
      <c r="B8673" s="422"/>
    </row>
    <row r="8674" spans="2:2">
      <c r="B8674" s="422"/>
    </row>
    <row r="8675" spans="2:2">
      <c r="B8675" s="422"/>
    </row>
    <row r="8676" spans="2:2">
      <c r="B8676" s="422"/>
    </row>
    <row r="8677" spans="2:2">
      <c r="B8677" s="422"/>
    </row>
    <row r="8678" spans="2:2">
      <c r="B8678" s="422"/>
    </row>
    <row r="8679" spans="2:2">
      <c r="B8679" s="422"/>
    </row>
    <row r="8680" spans="2:2">
      <c r="B8680" s="422"/>
    </row>
    <row r="8681" spans="2:2">
      <c r="B8681" s="422"/>
    </row>
    <row r="8682" spans="2:2">
      <c r="B8682" s="422"/>
    </row>
    <row r="8683" spans="2:2">
      <c r="B8683" s="422"/>
    </row>
    <row r="8684" spans="2:2">
      <c r="B8684" s="422"/>
    </row>
    <row r="8685" spans="2:2">
      <c r="B8685" s="422"/>
    </row>
    <row r="8686" spans="2:2">
      <c r="B8686" s="422"/>
    </row>
    <row r="8687" spans="2:2">
      <c r="B8687" s="422"/>
    </row>
    <row r="8688" spans="2:2">
      <c r="B8688" s="422"/>
    </row>
    <row r="8689" spans="2:2">
      <c r="B8689" s="422"/>
    </row>
    <row r="8690" spans="2:2">
      <c r="B8690" s="422"/>
    </row>
    <row r="8691" spans="2:2">
      <c r="B8691" s="422"/>
    </row>
    <row r="8692" spans="2:2">
      <c r="B8692" s="422"/>
    </row>
    <row r="8693" spans="2:2">
      <c r="B8693" s="422"/>
    </row>
    <row r="8694" spans="2:2">
      <c r="B8694" s="422"/>
    </row>
    <row r="8695" spans="2:2">
      <c r="B8695" s="422"/>
    </row>
    <row r="8696" spans="2:2">
      <c r="B8696" s="422"/>
    </row>
    <row r="8697" spans="2:2">
      <c r="B8697" s="422"/>
    </row>
    <row r="8698" spans="2:2">
      <c r="B8698" s="422"/>
    </row>
    <row r="8699" spans="2:2">
      <c r="B8699" s="422"/>
    </row>
    <row r="8700" spans="2:2">
      <c r="B8700" s="422"/>
    </row>
    <row r="8701" spans="2:2">
      <c r="B8701" s="422"/>
    </row>
    <row r="8702" spans="2:2">
      <c r="B8702" s="422"/>
    </row>
    <row r="8703" spans="2:2">
      <c r="B8703" s="422"/>
    </row>
    <row r="8704" spans="2:2">
      <c r="B8704" s="422"/>
    </row>
    <row r="8705" spans="2:2">
      <c r="B8705" s="422"/>
    </row>
    <row r="8706" spans="2:2">
      <c r="B8706" s="422"/>
    </row>
    <row r="8707" spans="2:2">
      <c r="B8707" s="422"/>
    </row>
    <row r="8708" spans="2:2">
      <c r="B8708" s="422"/>
    </row>
    <row r="8709" spans="2:2">
      <c r="B8709" s="422"/>
    </row>
    <row r="8710" spans="2:2">
      <c r="B8710" s="422"/>
    </row>
    <row r="8711" spans="2:2">
      <c r="B8711" s="422"/>
    </row>
    <row r="8712" spans="2:2">
      <c r="B8712" s="422"/>
    </row>
    <row r="8713" spans="2:2">
      <c r="B8713" s="422"/>
    </row>
    <row r="8714" spans="2:2">
      <c r="B8714" s="422"/>
    </row>
    <row r="8715" spans="2:2">
      <c r="B8715" s="422"/>
    </row>
    <row r="8716" spans="2:2">
      <c r="B8716" s="422"/>
    </row>
    <row r="8717" spans="2:2">
      <c r="B8717" s="422"/>
    </row>
    <row r="8718" spans="2:2">
      <c r="B8718" s="422"/>
    </row>
    <row r="8719" spans="2:2">
      <c r="B8719" s="422"/>
    </row>
    <row r="8720" spans="2:2">
      <c r="B8720" s="422"/>
    </row>
    <row r="8721" spans="2:2">
      <c r="B8721" s="422"/>
    </row>
    <row r="8722" spans="2:2">
      <c r="B8722" s="422"/>
    </row>
    <row r="8723" spans="2:2">
      <c r="B8723" s="422"/>
    </row>
    <row r="8724" spans="2:2">
      <c r="B8724" s="422"/>
    </row>
    <row r="8725" spans="2:2">
      <c r="B8725" s="422"/>
    </row>
    <row r="8726" spans="2:2">
      <c r="B8726" s="422"/>
    </row>
    <row r="8727" spans="2:2">
      <c r="B8727" s="422"/>
    </row>
    <row r="8728" spans="2:2">
      <c r="B8728" s="422"/>
    </row>
    <row r="8729" spans="2:2">
      <c r="B8729" s="422"/>
    </row>
    <row r="8730" spans="2:2">
      <c r="B8730" s="422"/>
    </row>
    <row r="8731" spans="2:2">
      <c r="B8731" s="422"/>
    </row>
    <row r="8732" spans="2:2">
      <c r="B8732" s="422"/>
    </row>
    <row r="8733" spans="2:2">
      <c r="B8733" s="422"/>
    </row>
    <row r="8734" spans="2:2">
      <c r="B8734" s="422"/>
    </row>
    <row r="8735" spans="2:2">
      <c r="B8735" s="422"/>
    </row>
    <row r="8736" spans="2:2">
      <c r="B8736" s="422"/>
    </row>
    <row r="8737" spans="2:2">
      <c r="B8737" s="422"/>
    </row>
    <row r="8738" spans="2:2">
      <c r="B8738" s="422"/>
    </row>
    <row r="8739" spans="2:2">
      <c r="B8739" s="422"/>
    </row>
    <row r="8740" spans="2:2">
      <c r="B8740" s="422"/>
    </row>
    <row r="8741" spans="2:2">
      <c r="B8741" s="422"/>
    </row>
    <row r="8742" spans="2:2">
      <c r="B8742" s="422"/>
    </row>
    <row r="8743" spans="2:2">
      <c r="B8743" s="422"/>
    </row>
    <row r="8744" spans="2:2">
      <c r="B8744" s="422"/>
    </row>
    <row r="8745" spans="2:2">
      <c r="B8745" s="422"/>
    </row>
    <row r="8746" spans="2:2">
      <c r="B8746" s="422"/>
    </row>
    <row r="8747" spans="2:2">
      <c r="B8747" s="422"/>
    </row>
    <row r="8748" spans="2:2">
      <c r="B8748" s="422"/>
    </row>
    <row r="8749" spans="2:2">
      <c r="B8749" s="422"/>
    </row>
    <row r="8750" spans="2:2">
      <c r="B8750" s="422"/>
    </row>
    <row r="8751" spans="2:2">
      <c r="B8751" s="422"/>
    </row>
    <row r="8752" spans="2:2">
      <c r="B8752" s="422"/>
    </row>
    <row r="8753" spans="2:2">
      <c r="B8753" s="422"/>
    </row>
    <row r="8754" spans="2:2">
      <c r="B8754" s="422"/>
    </row>
    <row r="8755" spans="2:2">
      <c r="B8755" s="422"/>
    </row>
    <row r="8756" spans="2:2">
      <c r="B8756" s="422"/>
    </row>
    <row r="8757" spans="2:2">
      <c r="B8757" s="422"/>
    </row>
    <row r="8758" spans="2:2">
      <c r="B8758" s="422"/>
    </row>
    <row r="8759" spans="2:2">
      <c r="B8759" s="422"/>
    </row>
    <row r="8760" spans="2:2">
      <c r="B8760" s="422"/>
    </row>
    <row r="8761" spans="2:2">
      <c r="B8761" s="422"/>
    </row>
    <row r="8762" spans="2:2">
      <c r="B8762" s="422"/>
    </row>
    <row r="8763" spans="2:2">
      <c r="B8763" s="422"/>
    </row>
    <row r="8764" spans="2:2">
      <c r="B8764" s="422"/>
    </row>
    <row r="8765" spans="2:2">
      <c r="B8765" s="422"/>
    </row>
    <row r="8766" spans="2:2">
      <c r="B8766" s="422"/>
    </row>
    <row r="8767" spans="2:2">
      <c r="B8767" s="422"/>
    </row>
    <row r="8768" spans="2:2">
      <c r="B8768" s="422"/>
    </row>
  </sheetData>
  <mergeCells count="10">
    <mergeCell ref="R6:T6"/>
    <mergeCell ref="J5:L5"/>
    <mergeCell ref="P5:Q5"/>
    <mergeCell ref="B1:E1"/>
    <mergeCell ref="A5:C5"/>
    <mergeCell ref="M5:O5"/>
    <mergeCell ref="A3:Q3"/>
    <mergeCell ref="A22:Q22"/>
    <mergeCell ref="D5:F5"/>
    <mergeCell ref="G5:I5"/>
  </mergeCells>
  <phoneticPr fontId="126" type="noConversion"/>
  <pageMargins left="0.7" right="0.7" top="0.75" bottom="0.75" header="0.3" footer="0.3"/>
  <pageSetup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3"/>
  <dimension ref="B1:L53"/>
  <sheetViews>
    <sheetView zoomScale="85" zoomScaleNormal="85" workbookViewId="0">
      <selection activeCell="E95" sqref="E95"/>
    </sheetView>
  </sheetViews>
  <sheetFormatPr defaultColWidth="9.140625" defaultRowHeight="13.5"/>
  <cols>
    <col min="1" max="1" width="9.140625" style="6"/>
    <col min="2" max="2" width="16.28515625" style="6" bestFit="1" customWidth="1"/>
    <col min="3" max="3" width="8.28515625" style="6" bestFit="1" customWidth="1"/>
    <col min="4" max="4" width="11.85546875" style="6" bestFit="1" customWidth="1"/>
    <col min="5" max="5" width="18.7109375" style="6" customWidth="1"/>
    <col min="6" max="6" width="16" style="6" customWidth="1"/>
    <col min="7" max="7" width="9.140625" style="6"/>
    <col min="8" max="8" width="6" style="6" customWidth="1"/>
    <col min="9" max="9" width="8" style="6" customWidth="1"/>
    <col min="10" max="10" width="28.140625" style="6" customWidth="1"/>
    <col min="11" max="11" width="9.140625" style="6"/>
    <col min="12" max="12" width="20.42578125" style="6" customWidth="1"/>
    <col min="13" max="16384" width="9.140625" style="6"/>
  </cols>
  <sheetData>
    <row r="1" spans="2:12" ht="14" thickBot="1"/>
    <row r="2" spans="2:12" ht="14" thickBot="1">
      <c r="B2" s="1599" t="s">
        <v>567</v>
      </c>
      <c r="C2" s="1600"/>
      <c r="D2" s="1601"/>
      <c r="J2" s="1585" t="s">
        <v>568</v>
      </c>
      <c r="K2" s="1586"/>
      <c r="L2" s="1587"/>
    </row>
    <row r="3" spans="2:12">
      <c r="B3" s="612" t="s">
        <v>1095</v>
      </c>
      <c r="C3" s="424" t="s">
        <v>1096</v>
      </c>
      <c r="D3" s="613" t="s">
        <v>1097</v>
      </c>
      <c r="J3" s="612" t="s">
        <v>569</v>
      </c>
      <c r="K3" s="424"/>
      <c r="L3" s="614" t="s">
        <v>42</v>
      </c>
    </row>
    <row r="4" spans="2:12" ht="14" thickBot="1">
      <c r="B4" s="615" t="s">
        <v>1098</v>
      </c>
      <c r="C4" s="6" t="s">
        <v>1099</v>
      </c>
      <c r="D4" s="616" t="s">
        <v>1100</v>
      </c>
      <c r="J4" s="617"/>
      <c r="K4" s="510"/>
      <c r="L4" s="618"/>
    </row>
    <row r="5" spans="2:12" ht="14" thickBot="1">
      <c r="B5" s="615" t="s">
        <v>1101</v>
      </c>
      <c r="C5" s="6" t="s">
        <v>1102</v>
      </c>
      <c r="D5" s="616" t="s">
        <v>1103</v>
      </c>
    </row>
    <row r="6" spans="2:12">
      <c r="B6" s="615" t="s">
        <v>1104</v>
      </c>
      <c r="C6" s="6" t="s">
        <v>1105</v>
      </c>
      <c r="D6" s="616" t="s">
        <v>1106</v>
      </c>
      <c r="J6" s="612" t="s">
        <v>570</v>
      </c>
      <c r="K6" s="424"/>
      <c r="L6" s="614" t="s">
        <v>94</v>
      </c>
    </row>
    <row r="7" spans="2:12" ht="14" thickBot="1">
      <c r="B7" s="615" t="s">
        <v>1107</v>
      </c>
      <c r="C7" s="6" t="s">
        <v>1108</v>
      </c>
      <c r="D7" s="616" t="s">
        <v>1109</v>
      </c>
      <c r="J7" s="615"/>
      <c r="L7" s="619" t="s">
        <v>571</v>
      </c>
    </row>
    <row r="8" spans="2:12">
      <c r="B8" s="615" t="s">
        <v>1110</v>
      </c>
      <c r="C8" s="6" t="s">
        <v>1111</v>
      </c>
      <c r="D8" s="616" t="s">
        <v>1112</v>
      </c>
      <c r="J8" s="615"/>
      <c r="L8" s="614" t="s">
        <v>572</v>
      </c>
    </row>
    <row r="9" spans="2:12" ht="14" thickBot="1">
      <c r="B9" s="615" t="s">
        <v>1113</v>
      </c>
      <c r="C9" s="6" t="s">
        <v>1114</v>
      </c>
      <c r="D9" s="616" t="s">
        <v>1115</v>
      </c>
      <c r="J9" s="617"/>
      <c r="K9" s="510"/>
      <c r="L9" s="618" t="s">
        <v>573</v>
      </c>
    </row>
    <row r="10" spans="2:12" ht="14" thickBot="1">
      <c r="B10" s="615" t="s">
        <v>1116</v>
      </c>
      <c r="C10" s="6" t="s">
        <v>1117</v>
      </c>
      <c r="D10" s="616" t="s">
        <v>1118</v>
      </c>
    </row>
    <row r="11" spans="2:12">
      <c r="B11" s="615" t="s">
        <v>1119</v>
      </c>
      <c r="C11" s="6" t="s">
        <v>1120</v>
      </c>
      <c r="D11" s="616" t="s">
        <v>1121</v>
      </c>
      <c r="J11" s="612" t="s">
        <v>574</v>
      </c>
      <c r="K11" s="424"/>
      <c r="L11" s="614">
        <v>50</v>
      </c>
    </row>
    <row r="12" spans="2:12">
      <c r="B12" s="615" t="s">
        <v>1122</v>
      </c>
      <c r="C12" s="6" t="s">
        <v>1123</v>
      </c>
      <c r="D12" s="616" t="s">
        <v>1124</v>
      </c>
      <c r="J12" s="615"/>
      <c r="L12" s="619">
        <v>75</v>
      </c>
    </row>
    <row r="13" spans="2:12" ht="14" thickBot="1">
      <c r="B13" s="617" t="s">
        <v>1125</v>
      </c>
      <c r="C13" s="510" t="s">
        <v>1126</v>
      </c>
      <c r="D13" s="620" t="s">
        <v>1127</v>
      </c>
      <c r="J13" s="617"/>
      <c r="K13" s="510"/>
      <c r="L13" s="618">
        <v>100</v>
      </c>
    </row>
    <row r="14" spans="2:12" ht="14" thickBot="1"/>
    <row r="15" spans="2:12" ht="14" thickBot="1">
      <c r="B15" s="621" t="s">
        <v>575</v>
      </c>
      <c r="C15" s="622"/>
      <c r="D15" s="622"/>
      <c r="E15" s="623"/>
      <c r="J15" s="612" t="s">
        <v>576</v>
      </c>
      <c r="K15" s="424"/>
      <c r="L15" s="614" t="s">
        <v>974</v>
      </c>
    </row>
    <row r="16" spans="2:12">
      <c r="B16" s="612"/>
      <c r="C16" s="624" t="s">
        <v>577</v>
      </c>
      <c r="D16" s="624" t="s">
        <v>578</v>
      </c>
      <c r="E16" s="625" t="s">
        <v>579</v>
      </c>
      <c r="J16" s="615"/>
      <c r="L16" s="619" t="s">
        <v>1016</v>
      </c>
    </row>
    <row r="17" spans="2:12">
      <c r="B17" s="615" t="s">
        <v>580</v>
      </c>
      <c r="C17" s="626">
        <v>850</v>
      </c>
      <c r="D17" s="627">
        <v>650</v>
      </c>
      <c r="E17" s="628">
        <f>500</f>
        <v>500</v>
      </c>
      <c r="J17" s="615"/>
      <c r="L17" s="619"/>
    </row>
    <row r="18" spans="2:12" ht="14" thickBot="1">
      <c r="B18" s="617" t="s">
        <v>581</v>
      </c>
      <c r="C18" s="629">
        <f>C17*8</f>
        <v>6800</v>
      </c>
      <c r="D18" s="630"/>
      <c r="E18" s="631"/>
      <c r="J18" s="617"/>
      <c r="K18" s="510"/>
      <c r="L18" s="618"/>
    </row>
    <row r="19" spans="2:12" ht="14" thickBot="1"/>
    <row r="20" spans="2:12" ht="14" thickBot="1">
      <c r="B20" s="621" t="s">
        <v>582</v>
      </c>
      <c r="C20" s="622"/>
      <c r="D20" s="623"/>
      <c r="J20" s="612" t="s">
        <v>583</v>
      </c>
      <c r="K20" s="424"/>
      <c r="L20" s="614" t="s">
        <v>584</v>
      </c>
    </row>
    <row r="21" spans="2:12" ht="14" thickBot="1">
      <c r="B21" s="612" t="s">
        <v>585</v>
      </c>
      <c r="C21" s="632">
        <v>4.8499999999999996</v>
      </c>
      <c r="D21" s="613" t="s">
        <v>586</v>
      </c>
      <c r="J21" s="617"/>
      <c r="K21" s="510"/>
      <c r="L21" s="618" t="s">
        <v>230</v>
      </c>
    </row>
    <row r="22" spans="2:12" ht="14" thickBot="1">
      <c r="B22" s="615" t="s">
        <v>587</v>
      </c>
      <c r="C22" s="633">
        <v>200</v>
      </c>
      <c r="D22" s="616" t="s">
        <v>588</v>
      </c>
    </row>
    <row r="23" spans="2:12" ht="14" thickBot="1">
      <c r="B23" s="617" t="s">
        <v>589</v>
      </c>
      <c r="C23" s="634">
        <v>500</v>
      </c>
      <c r="D23" s="620" t="s">
        <v>588</v>
      </c>
      <c r="J23" s="612" t="s">
        <v>590</v>
      </c>
      <c r="K23" s="424"/>
      <c r="L23" s="613" t="s">
        <v>17</v>
      </c>
    </row>
    <row r="24" spans="2:12" ht="14" thickBot="1">
      <c r="J24" s="615"/>
      <c r="L24" s="616" t="s">
        <v>487</v>
      </c>
    </row>
    <row r="25" spans="2:12" ht="14" thickBot="1">
      <c r="B25" s="635" t="s">
        <v>591</v>
      </c>
      <c r="C25" s="636"/>
      <c r="D25" s="637"/>
      <c r="J25" s="615"/>
      <c r="L25" s="616" t="s">
        <v>392</v>
      </c>
    </row>
    <row r="26" spans="2:12">
      <c r="B26" s="612" t="s">
        <v>592</v>
      </c>
      <c r="C26" s="424">
        <v>312</v>
      </c>
      <c r="D26" s="613" t="s">
        <v>593</v>
      </c>
      <c r="J26" s="615"/>
      <c r="L26" s="616" t="s">
        <v>393</v>
      </c>
    </row>
    <row r="27" spans="2:12">
      <c r="B27" s="615" t="s">
        <v>594</v>
      </c>
      <c r="C27" s="6">
        <f>22*26</f>
        <v>572</v>
      </c>
      <c r="D27" s="616" t="s">
        <v>593</v>
      </c>
      <c r="J27" s="615"/>
      <c r="L27" s="616"/>
    </row>
    <row r="28" spans="2:12">
      <c r="B28" s="638" t="s">
        <v>595</v>
      </c>
      <c r="C28" s="639">
        <f>Module_Quantity/$C$27</f>
        <v>1.5279720279720279</v>
      </c>
      <c r="D28" s="616" t="s">
        <v>596</v>
      </c>
      <c r="J28" s="615" t="s">
        <v>597</v>
      </c>
      <c r="L28" s="616" t="s">
        <v>19</v>
      </c>
    </row>
    <row r="29" spans="2:12">
      <c r="B29" s="638" t="s">
        <v>598</v>
      </c>
      <c r="C29" s="640">
        <f>IF((C28-ROUNDDOWN(C28,0))&lt;0.5,ROUNDDOWN(C28,0),ROUNDUP(C28,0))</f>
        <v>2</v>
      </c>
      <c r="D29" s="616" t="s">
        <v>596</v>
      </c>
      <c r="J29" s="615"/>
      <c r="L29" s="616" t="s">
        <v>377</v>
      </c>
    </row>
    <row r="30" spans="2:12">
      <c r="B30" s="638" t="s">
        <v>599</v>
      </c>
      <c r="C30" s="640">
        <f>IF((C29-C28)&gt;0,0,1)</f>
        <v>0</v>
      </c>
      <c r="D30" s="616" t="s">
        <v>600</v>
      </c>
      <c r="J30" s="615"/>
      <c r="L30" s="616" t="s">
        <v>378</v>
      </c>
    </row>
    <row r="31" spans="2:12">
      <c r="B31" s="638" t="s">
        <v>601</v>
      </c>
      <c r="C31" s="364">
        <f>C30*$C$26+C29*$C$27</f>
        <v>1144</v>
      </c>
      <c r="D31" s="616" t="s">
        <v>593</v>
      </c>
      <c r="J31" s="615"/>
      <c r="L31" s="616" t="s">
        <v>383</v>
      </c>
    </row>
    <row r="32" spans="2:12" ht="14" thickBot="1">
      <c r="B32" s="641" t="s">
        <v>602</v>
      </c>
      <c r="C32" s="642">
        <f>C31-Module_Quantity</f>
        <v>270</v>
      </c>
      <c r="D32" s="620" t="s">
        <v>593</v>
      </c>
      <c r="J32" s="615"/>
      <c r="L32" s="616" t="s">
        <v>380</v>
      </c>
    </row>
    <row r="33" spans="2:12">
      <c r="J33" s="615"/>
      <c r="L33" s="616" t="s">
        <v>381</v>
      </c>
    </row>
    <row r="34" spans="2:12">
      <c r="J34" s="615"/>
      <c r="L34" s="616" t="s">
        <v>392</v>
      </c>
    </row>
    <row r="35" spans="2:12">
      <c r="J35" s="615"/>
      <c r="L35" s="616" t="s">
        <v>393</v>
      </c>
    </row>
    <row r="36" spans="2:12" ht="14" thickBot="1">
      <c r="J36" s="617"/>
      <c r="K36" s="510"/>
      <c r="L36" s="620" t="s">
        <v>382</v>
      </c>
    </row>
    <row r="37" spans="2:12" ht="14" thickBot="1">
      <c r="B37" s="255" t="s">
        <v>603</v>
      </c>
      <c r="D37" s="403"/>
    </row>
    <row r="38" spans="2:12" ht="14" thickBot="1">
      <c r="D38" s="403"/>
      <c r="J38" s="612" t="s">
        <v>604</v>
      </c>
      <c r="K38" s="424"/>
      <c r="L38" s="613" t="s">
        <v>137</v>
      </c>
    </row>
    <row r="39" spans="2:12" ht="14" thickBot="1">
      <c r="B39" s="612" t="s">
        <v>605</v>
      </c>
      <c r="C39" s="424">
        <f>Module_Capacity*Module_Quantity/1000</f>
        <v>480.7</v>
      </c>
      <c r="D39" s="613" t="s">
        <v>606</v>
      </c>
      <c r="J39" s="617"/>
      <c r="K39" s="510"/>
      <c r="L39" s="620" t="s">
        <v>607</v>
      </c>
    </row>
    <row r="40" spans="2:12">
      <c r="B40" s="615" t="s">
        <v>608</v>
      </c>
      <c r="C40" s="6">
        <f>ROUNDDOWN(IF(Project_Size/'Costing Inputs'!S8*5&lt;5,5,Project_Size/'Costing Inputs'!S8*5),0)</f>
        <v>48</v>
      </c>
      <c r="D40" s="616" t="s">
        <v>609</v>
      </c>
    </row>
    <row r="41" spans="2:12" ht="14" thickBot="1">
      <c r="B41" s="615" t="s">
        <v>610</v>
      </c>
      <c r="C41" s="6">
        <f>IF(Project_Size&lt;50,2,2+Project_Size/100)</f>
        <v>6.8069999999999995</v>
      </c>
      <c r="D41" s="616" t="s">
        <v>609</v>
      </c>
    </row>
    <row r="42" spans="2:12">
      <c r="B42" s="615" t="s">
        <v>611</v>
      </c>
      <c r="C42" s="643">
        <f>C30</f>
        <v>0</v>
      </c>
      <c r="D42" s="616" t="s">
        <v>612</v>
      </c>
      <c r="J42" s="612" t="s">
        <v>613</v>
      </c>
      <c r="K42" s="424"/>
      <c r="L42" s="613" t="s">
        <v>614</v>
      </c>
    </row>
    <row r="43" spans="2:12">
      <c r="B43" s="615" t="s">
        <v>615</v>
      </c>
      <c r="C43" s="643">
        <f>C29</f>
        <v>2</v>
      </c>
      <c r="D43" s="616" t="s">
        <v>612</v>
      </c>
      <c r="J43" s="615"/>
      <c r="L43" s="616" t="s">
        <v>99</v>
      </c>
    </row>
    <row r="44" spans="2:12">
      <c r="B44" s="615" t="s">
        <v>616</v>
      </c>
      <c r="C44" s="6">
        <f>ROUNDUP(2*Customs_Distance/20/8,0)</f>
        <v>1</v>
      </c>
      <c r="D44" s="616" t="s">
        <v>609</v>
      </c>
      <c r="J44" s="615"/>
      <c r="L44" s="616" t="s">
        <v>617</v>
      </c>
    </row>
    <row r="45" spans="2:12">
      <c r="B45" s="615" t="s">
        <v>618</v>
      </c>
      <c r="C45" s="6">
        <v>2</v>
      </c>
      <c r="D45" s="616" t="s">
        <v>609</v>
      </c>
      <c r="J45" s="615"/>
      <c r="L45" s="616" t="s">
        <v>619</v>
      </c>
    </row>
    <row r="46" spans="2:12">
      <c r="B46" s="615" t="s">
        <v>620</v>
      </c>
      <c r="C46" s="6">
        <v>5</v>
      </c>
      <c r="D46" s="616" t="s">
        <v>609</v>
      </c>
      <c r="J46" s="615"/>
      <c r="L46" s="616" t="s">
        <v>621</v>
      </c>
    </row>
    <row r="47" spans="2:12">
      <c r="B47" s="615" t="s">
        <v>622</v>
      </c>
      <c r="C47" s="643">
        <f>IF(Project_Size*0.05&lt;1,1,Project_Size*0.05)</f>
        <v>24.035</v>
      </c>
      <c r="D47" s="616" t="s">
        <v>609</v>
      </c>
      <c r="J47" s="615"/>
      <c r="L47" s="616" t="s">
        <v>623</v>
      </c>
    </row>
    <row r="48" spans="2:12">
      <c r="B48" s="615" t="s">
        <v>624</v>
      </c>
      <c r="C48" s="643">
        <f>IF((Transport_Time_Allowable-(Customs_Time+Transport_Time+Storage_Time))&gt;=0,0,(SUM(C44:C45)+C47-Transport_Time_Allowable))</f>
        <v>22.035</v>
      </c>
      <c r="D48" s="616" t="s">
        <v>609</v>
      </c>
      <c r="J48" s="615"/>
      <c r="L48" s="616" t="s">
        <v>625</v>
      </c>
    </row>
    <row r="49" spans="2:12" ht="14" thickBot="1">
      <c r="B49" s="617"/>
      <c r="C49" s="510">
        <f>'Cost Detail'!F123/(Site_Days/7)</f>
        <v>0</v>
      </c>
      <c r="D49" s="620"/>
      <c r="J49" s="615"/>
      <c r="L49" s="616"/>
    </row>
    <row r="50" spans="2:12">
      <c r="J50" s="615"/>
      <c r="L50" s="616"/>
    </row>
    <row r="51" spans="2:12">
      <c r="J51" s="615"/>
      <c r="L51" s="616"/>
    </row>
    <row r="52" spans="2:12">
      <c r="J52" s="615"/>
      <c r="L52" s="616"/>
    </row>
    <row r="53" spans="2:12" ht="14" thickBot="1">
      <c r="J53" s="617"/>
      <c r="K53" s="510"/>
      <c r="L53" s="620"/>
    </row>
  </sheetData>
  <mergeCells count="2">
    <mergeCell ref="B2:D2"/>
    <mergeCell ref="J2:L2"/>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
  <dimension ref="A1:G128"/>
  <sheetViews>
    <sheetView topLeftCell="B1" zoomScale="90" zoomScaleNormal="90" workbookViewId="0">
      <selection activeCell="C65" sqref="C65"/>
    </sheetView>
  </sheetViews>
  <sheetFormatPr defaultColWidth="12.42578125" defaultRowHeight="13.5"/>
  <cols>
    <col min="1" max="1" width="29.7109375" customWidth="1"/>
    <col min="2" max="2" width="51.42578125" customWidth="1"/>
    <col min="3" max="3" width="28.7109375" customWidth="1"/>
    <col min="4" max="4" width="27.140625" customWidth="1"/>
    <col min="5" max="5" width="23.5703125" customWidth="1"/>
    <col min="6" max="6" width="27" customWidth="1"/>
    <col min="7" max="7" width="27.140625" customWidth="1"/>
    <col min="8" max="8" width="23.140625" customWidth="1"/>
    <col min="9" max="9" width="24.140625" customWidth="1"/>
  </cols>
  <sheetData>
    <row r="1" spans="1:7" ht="51" customHeight="1" thickBot="1">
      <c r="A1" s="1602" t="s">
        <v>798</v>
      </c>
      <c r="B1" s="1193" t="s">
        <v>114</v>
      </c>
      <c r="C1" s="1185" t="str">
        <f>_xlfn.CONCAT(D1,E1,F1)</f>
        <v>481 kWp | 624 kWh | 250 kVA</v>
      </c>
      <c r="D1" s="1198" t="str">
        <f>ROUND('Design Inputs'!K67,0) &amp; " kWp "</f>
        <v xml:space="preserve">481 kWp </v>
      </c>
      <c r="E1" s="1199" t="str">
        <f>IF('Design Inputs'!C40="N"," ",_xlfn.CONCAT("| ",ROUND('Costing Inputs'!V18,0)&amp;" kWh | "))</f>
        <v xml:space="preserve">| 624 kWh | </v>
      </c>
      <c r="F1" s="1199" t="str">
        <f>IF('Design Inputs'!C40="N"," ",ROUND('Costing Inputs'!V17,0) &amp; " kVA")</f>
        <v>250 kVA</v>
      </c>
    </row>
    <row r="2" spans="1:7" ht="34" thickTop="1" thickBot="1">
      <c r="A2" s="1602"/>
      <c r="B2" s="1193" t="s">
        <v>994</v>
      </c>
      <c r="C2" s="1186" t="s">
        <v>1150</v>
      </c>
      <c r="D2" s="21" t="s">
        <v>1006</v>
      </c>
      <c r="E2" s="21" t="s">
        <v>1007</v>
      </c>
      <c r="F2" s="21" t="s">
        <v>1007</v>
      </c>
      <c r="G2" s="1184"/>
    </row>
    <row r="3" spans="1:7" ht="28" customHeight="1" thickTop="1" thickBot="1">
      <c r="A3" s="1602"/>
      <c r="B3" s="1193" t="s">
        <v>722</v>
      </c>
      <c r="C3" s="1186" t="s">
        <v>126</v>
      </c>
    </row>
    <row r="4" spans="1:7" ht="28.5" customHeight="1" thickTop="1">
      <c r="A4" s="1602"/>
      <c r="B4" s="1193" t="s">
        <v>5</v>
      </c>
      <c r="C4" s="1187">
        <f>'Design Inputs'!D71</f>
        <v>2822</v>
      </c>
      <c r="E4" s="1200" t="s">
        <v>799</v>
      </c>
    </row>
    <row r="5" spans="1:7" ht="23" customHeight="1">
      <c r="A5" s="1602"/>
      <c r="B5" s="1193" t="s">
        <v>801</v>
      </c>
      <c r="C5" s="1188">
        <f>Module_Quantity</f>
        <v>874</v>
      </c>
      <c r="E5" s="1194" t="s">
        <v>800</v>
      </c>
      <c r="F5" s="1195">
        <f>'Costing Inputs'!U35</f>
        <v>7888760.8589739213</v>
      </c>
    </row>
    <row r="6" spans="1:7" ht="23" customHeight="1">
      <c r="A6" s="1602"/>
      <c r="B6" s="1193" t="s">
        <v>724</v>
      </c>
      <c r="C6" s="1189">
        <f>'Design Inputs'!K68</f>
        <v>1754.4684931506849</v>
      </c>
      <c r="E6" s="1194" t="s">
        <v>802</v>
      </c>
      <c r="F6" s="1195">
        <f>Cashflows!D18*1000</f>
        <v>2178485.4928369978</v>
      </c>
    </row>
    <row r="7" spans="1:7" ht="16.5">
      <c r="A7" s="1602"/>
      <c r="B7" s="1193" t="s">
        <v>1004</v>
      </c>
      <c r="C7" s="1190">
        <f>C66</f>
        <v>822288.67954109586</v>
      </c>
      <c r="E7" s="1194" t="s">
        <v>693</v>
      </c>
      <c r="F7" s="1196">
        <f>Cashflows!AA23</f>
        <v>0.41732388987365798</v>
      </c>
    </row>
    <row r="8" spans="1:7" ht="16.5">
      <c r="A8" s="1602"/>
      <c r="B8" s="1193" t="s">
        <v>1005</v>
      </c>
      <c r="C8" s="1190">
        <f>C9*Battery_Size</f>
        <v>3744000</v>
      </c>
      <c r="E8" s="1194" t="s">
        <v>803</v>
      </c>
      <c r="F8" s="1197">
        <f>USD_ZAR</f>
        <v>19</v>
      </c>
    </row>
    <row r="9" spans="1:7" ht="28.25" customHeight="1">
      <c r="A9" s="1602"/>
      <c r="B9" s="1193" t="s">
        <v>1003</v>
      </c>
      <c r="C9" s="1191">
        <v>6000</v>
      </c>
    </row>
    <row r="10" spans="1:7" ht="16.5">
      <c r="A10" s="1602"/>
      <c r="B10" s="1193" t="s">
        <v>108</v>
      </c>
      <c r="C10" s="1192">
        <f>'Design Inputs'!K69</f>
        <v>2.6492952500000007</v>
      </c>
    </row>
    <row r="11" spans="1:7" ht="29.5" customHeight="1">
      <c r="A11" s="1602"/>
      <c r="B11" s="1193" t="s">
        <v>804</v>
      </c>
      <c r="C11" s="1188" t="str">
        <f>'Design Inputs'!L18</f>
        <v>Emarantia</v>
      </c>
    </row>
    <row r="12" spans="1:7" ht="28.25" customHeight="1"/>
    <row r="13" spans="1:7" ht="23.5" thickBot="1">
      <c r="A13" s="1602" t="s">
        <v>805</v>
      </c>
      <c r="B13" s="26">
        <f>Cashflows!AA23</f>
        <v>0.41732388987365798</v>
      </c>
    </row>
    <row r="14" spans="1:7" ht="14.5" thickTop="1" thickBot="1">
      <c r="A14" s="1602"/>
      <c r="B14" s="24" t="s">
        <v>693</v>
      </c>
    </row>
    <row r="15" spans="1:7" ht="23" thickTop="1">
      <c r="A15" s="1602"/>
      <c r="B15" s="25"/>
    </row>
    <row r="16" spans="1:7" ht="23.5" thickBot="1">
      <c r="A16" s="1602"/>
      <c r="B16" s="34">
        <f>Cashflows!AA24</f>
        <v>16.410985768616438</v>
      </c>
    </row>
    <row r="17" spans="1:3" ht="14.5" thickTop="1" thickBot="1">
      <c r="A17" s="1602"/>
      <c r="B17" s="24" t="s">
        <v>806</v>
      </c>
    </row>
    <row r="18" spans="1:3" ht="23" thickTop="1">
      <c r="A18" s="1602"/>
      <c r="B18" s="25"/>
    </row>
    <row r="19" spans="1:3" ht="23.5" thickBot="1">
      <c r="A19" s="1602"/>
      <c r="B19" s="27">
        <f>ROUND('Cost Summary'!H37,-2)</f>
        <v>7888800</v>
      </c>
    </row>
    <row r="20" spans="1:3" ht="14.5" thickTop="1" thickBot="1">
      <c r="A20" s="1602"/>
      <c r="B20" s="24" t="s">
        <v>769</v>
      </c>
    </row>
    <row r="21" spans="1:3" ht="23" thickTop="1">
      <c r="A21" s="1602"/>
      <c r="B21" s="25"/>
    </row>
    <row r="22" spans="1:3" ht="23.5" thickBot="1">
      <c r="A22" s="1602"/>
      <c r="B22" s="28" t="str">
        <f>COUNTIF(Cashflows!$D$25:$X$25,"&lt;0") &amp; " Years"</f>
        <v>2 Years</v>
      </c>
    </row>
    <row r="23" spans="1:3" ht="14.5" thickTop="1" thickBot="1">
      <c r="A23" s="1602"/>
      <c r="B23" s="24" t="s">
        <v>807</v>
      </c>
    </row>
    <row r="24" spans="1:3" ht="14" thickTop="1"/>
    <row r="26" spans="1:3" ht="23.5" thickBot="1">
      <c r="A26" s="1602" t="s">
        <v>808</v>
      </c>
      <c r="B26" s="27">
        <f>SUM(Cashflows!D44)*1000</f>
        <v>2178485.4928369978</v>
      </c>
      <c r="C26" t="s">
        <v>1014</v>
      </c>
    </row>
    <row r="27" spans="1:3" ht="14.5" thickTop="1" thickBot="1">
      <c r="A27" s="1602"/>
      <c r="B27" s="24" t="s">
        <v>809</v>
      </c>
    </row>
    <row r="28" spans="1:3" ht="23" thickTop="1">
      <c r="A28" s="1602"/>
      <c r="B28" s="25"/>
    </row>
    <row r="29" spans="1:3" ht="23.5" thickBot="1">
      <c r="A29" s="1602"/>
      <c r="B29" s="27">
        <f ca="1">-SUM(Cashflows!D46)*1000</f>
        <v>2202691.9986892375</v>
      </c>
      <c r="C29" t="s">
        <v>1015</v>
      </c>
    </row>
    <row r="30" spans="1:3" ht="14.5" thickTop="1" thickBot="1">
      <c r="A30" s="1602"/>
      <c r="B30" s="24" t="s">
        <v>810</v>
      </c>
    </row>
    <row r="31" spans="1:3" ht="23" thickTop="1">
      <c r="A31" s="1602"/>
      <c r="B31" s="25"/>
    </row>
    <row r="32" spans="1:3" ht="23.5" thickBot="1">
      <c r="A32" s="1602"/>
      <c r="B32" s="28">
        <f>'Financial Inputs'!D3</f>
        <v>5</v>
      </c>
      <c r="C32" t="s">
        <v>981</v>
      </c>
    </row>
    <row r="33" spans="1:2" ht="14.5" thickTop="1" thickBot="1">
      <c r="A33" s="1602"/>
      <c r="B33" s="24" t="s">
        <v>811</v>
      </c>
    </row>
    <row r="34" spans="1:2" ht="14" thickTop="1"/>
    <row r="35" spans="1:2" ht="23.5" thickBot="1">
      <c r="A35" s="1602" t="s">
        <v>711</v>
      </c>
      <c r="B35" s="27">
        <f>Cashflows!AA78</f>
        <v>115578.15680177073</v>
      </c>
    </row>
    <row r="36" spans="1:2" ht="14.5" thickTop="1" thickBot="1">
      <c r="A36" s="1602"/>
      <c r="B36" s="30" t="s">
        <v>812</v>
      </c>
    </row>
    <row r="37" spans="1:2" ht="23" thickTop="1">
      <c r="A37" s="1602"/>
      <c r="B37" s="31"/>
    </row>
    <row r="38" spans="1:2" ht="23.5" thickBot="1">
      <c r="A38" s="1602"/>
      <c r="B38" s="32">
        <f>Cashflows!D79</f>
        <v>491.47338115565157</v>
      </c>
    </row>
    <row r="39" spans="1:2" ht="14.5" thickTop="1" thickBot="1">
      <c r="A39" s="1602"/>
      <c r="B39" s="30" t="s">
        <v>813</v>
      </c>
    </row>
    <row r="40" spans="1:2" ht="23" thickTop="1">
      <c r="A40" s="1602"/>
      <c r="B40" s="31"/>
    </row>
    <row r="41" spans="1:2" ht="23.5" thickBot="1">
      <c r="A41" s="1602"/>
      <c r="B41" s="33">
        <f>Cashflows!X78*1000</f>
        <v>63470071.022062145</v>
      </c>
    </row>
    <row r="42" spans="1:2" ht="14.5" thickTop="1" thickBot="1">
      <c r="A42" s="1602"/>
      <c r="B42" s="30" t="s">
        <v>814</v>
      </c>
    </row>
    <row r="43" spans="1:2" ht="23" thickTop="1">
      <c r="A43" s="1602"/>
      <c r="B43" s="31"/>
    </row>
    <row r="44" spans="1:2" ht="23.5" thickBot="1">
      <c r="A44" s="1602"/>
      <c r="B44" s="29" t="s">
        <v>815</v>
      </c>
    </row>
    <row r="45" spans="1:2" ht="14.5" thickTop="1" thickBot="1">
      <c r="A45" s="1602"/>
      <c r="B45" s="30" t="s">
        <v>816</v>
      </c>
    </row>
    <row r="46" spans="1:2" ht="14" thickTop="1"/>
    <row r="47" spans="1:2" ht="23.5" thickBot="1">
      <c r="A47" s="1602" t="s">
        <v>778</v>
      </c>
      <c r="B47" s="35">
        <f>Cashflows!AA90</f>
        <v>115578.15680177073</v>
      </c>
    </row>
    <row r="48" spans="1:2" ht="14.5" thickTop="1" thickBot="1">
      <c r="A48" s="1602"/>
      <c r="B48" s="30" t="s">
        <v>817</v>
      </c>
    </row>
    <row r="49" spans="1:4" ht="23" thickTop="1">
      <c r="A49" s="1602"/>
      <c r="B49" s="31"/>
    </row>
    <row r="50" spans="1:4" ht="23.5" thickBot="1">
      <c r="A50" s="1602"/>
      <c r="B50" s="32">
        <f>Cashflows!D91</f>
        <v>0.92819319477283313</v>
      </c>
    </row>
    <row r="51" spans="1:4" ht="14.5" thickTop="1" thickBot="1">
      <c r="A51" s="1602"/>
      <c r="B51" s="30" t="s">
        <v>818</v>
      </c>
    </row>
    <row r="52" spans="1:4" ht="23" thickTop="1">
      <c r="A52" s="1602"/>
      <c r="B52" s="31"/>
    </row>
    <row r="53" spans="1:4" ht="23.5" thickBot="1">
      <c r="A53" s="1602"/>
      <c r="B53" s="33">
        <f>Cashflows!X90*1000</f>
        <v>63470071.022062145</v>
      </c>
    </row>
    <row r="54" spans="1:4" ht="14.5" thickTop="1" thickBot="1">
      <c r="A54" s="1602"/>
      <c r="B54" s="30" t="s">
        <v>819</v>
      </c>
    </row>
    <row r="55" spans="1:4" ht="23" thickTop="1">
      <c r="A55" s="1602"/>
      <c r="B55" s="31"/>
    </row>
    <row r="56" spans="1:4" ht="23.5" thickBot="1">
      <c r="A56" s="1602"/>
      <c r="B56" s="29" t="s">
        <v>815</v>
      </c>
    </row>
    <row r="57" spans="1:4" ht="14.5" thickTop="1" thickBot="1">
      <c r="A57" s="1602"/>
      <c r="B57" s="30" t="s">
        <v>820</v>
      </c>
    </row>
    <row r="58" spans="1:4" ht="14" thickTop="1"/>
    <row r="60" spans="1:4" ht="14" thickBot="1"/>
    <row r="61" spans="1:4" ht="27.5" customHeight="1" thickTop="1" thickBot="1">
      <c r="A61" s="1602"/>
      <c r="B61" s="654" t="s">
        <v>27</v>
      </c>
      <c r="C61" s="656">
        <f>'Design Inputs'!L20</f>
        <v>45251.78666666666</v>
      </c>
      <c r="D61" s="662" t="s">
        <v>821</v>
      </c>
    </row>
    <row r="62" spans="1:4" ht="27.5" customHeight="1" thickTop="1" thickBot="1">
      <c r="A62" s="1602"/>
      <c r="B62" s="654" t="s">
        <v>822</v>
      </c>
      <c r="C62" s="655">
        <f>'Design Inputs'!L22</f>
        <v>8</v>
      </c>
      <c r="D62" s="662" t="s">
        <v>823</v>
      </c>
    </row>
    <row r="63" spans="1:4" ht="27.5" customHeight="1" thickTop="1" thickBot="1">
      <c r="A63" s="1602"/>
      <c r="B63" s="657" t="s">
        <v>824</v>
      </c>
      <c r="C63" s="766">
        <f>'Design Inputs'!I13</f>
        <v>21707.446399999997</v>
      </c>
      <c r="D63" s="663" t="s">
        <v>825</v>
      </c>
    </row>
    <row r="64" spans="1:4" ht="27.5" customHeight="1" thickBot="1">
      <c r="A64" s="1602"/>
      <c r="B64" s="658" t="s">
        <v>826</v>
      </c>
      <c r="C64" s="661">
        <f>'Design Inputs'!K67</f>
        <v>480.7</v>
      </c>
      <c r="D64" s="664"/>
    </row>
    <row r="65" spans="1:4" ht="27.5" customHeight="1" thickBot="1">
      <c r="A65" s="1602"/>
      <c r="B65" s="658" t="s">
        <v>827</v>
      </c>
      <c r="C65" s="661">
        <f>'Design Inputs'!K68</f>
        <v>1754.4684931506849</v>
      </c>
      <c r="D65" s="665" t="s">
        <v>736</v>
      </c>
    </row>
    <row r="66" spans="1:4" ht="27.5" customHeight="1" thickBot="1">
      <c r="A66" s="1602"/>
      <c r="B66" s="658" t="s">
        <v>828</v>
      </c>
      <c r="C66" s="659">
        <f>Cashflows!D3</f>
        <v>822288.67954109586</v>
      </c>
      <c r="D66" s="665" t="s">
        <v>738</v>
      </c>
    </row>
    <row r="67" spans="1:4" ht="27.5" customHeight="1" thickBot="1">
      <c r="A67" s="1602"/>
      <c r="B67" s="658" t="s">
        <v>53</v>
      </c>
      <c r="C67" s="1183">
        <f>'Design Inputs'!L28</f>
        <v>1.3920085729899541</v>
      </c>
      <c r="D67" s="665" t="s">
        <v>998</v>
      </c>
    </row>
    <row r="68" spans="1:4" ht="27.5" customHeight="1" thickBot="1">
      <c r="A68" s="1602"/>
      <c r="B68" s="658" t="s">
        <v>997</v>
      </c>
      <c r="C68" s="1183">
        <f>1-'4.3 Emergent Data'!G29</f>
        <v>0.95890410958904115</v>
      </c>
      <c r="D68" s="665" t="s">
        <v>999</v>
      </c>
    </row>
    <row r="69" spans="1:4" ht="27.5" customHeight="1" thickBot="1">
      <c r="A69" s="1602"/>
      <c r="B69" s="658" t="s">
        <v>829</v>
      </c>
      <c r="C69" s="660">
        <f>'Design Inputs'!K69</f>
        <v>2.6492952500000007</v>
      </c>
      <c r="D69" s="665" t="s">
        <v>740</v>
      </c>
    </row>
    <row r="70" spans="1:4" ht="27.5" customHeight="1" thickBot="1">
      <c r="A70" s="1602"/>
      <c r="B70" s="658" t="s">
        <v>830</v>
      </c>
      <c r="C70" s="659">
        <f>'4.3 Emergent Data'!G20</f>
        <v>2178485.4928369978</v>
      </c>
      <c r="D70" s="665" t="s">
        <v>742</v>
      </c>
    </row>
    <row r="71" spans="1:4" ht="27.5" customHeight="1">
      <c r="A71" s="1602"/>
    </row>
    <row r="74" spans="1:4">
      <c r="A74" s="1603" t="s">
        <v>1000</v>
      </c>
      <c r="B74" s="1603"/>
      <c r="C74" s="1603"/>
      <c r="D74" s="1603"/>
    </row>
    <row r="103" spans="1:4">
      <c r="A103" s="1603" t="s">
        <v>996</v>
      </c>
      <c r="B103" s="1603"/>
      <c r="C103" s="1603"/>
      <c r="D103" s="1603"/>
    </row>
    <row r="128" spans="1:4">
      <c r="A128" s="1603" t="s">
        <v>1093</v>
      </c>
      <c r="B128" s="1604"/>
      <c r="C128" s="1604"/>
      <c r="D128" s="1604"/>
    </row>
  </sheetData>
  <mergeCells count="9">
    <mergeCell ref="A1:A11"/>
    <mergeCell ref="A13:A23"/>
    <mergeCell ref="A26:A33"/>
    <mergeCell ref="A103:D103"/>
    <mergeCell ref="A128:D128"/>
    <mergeCell ref="A74:D74"/>
    <mergeCell ref="A61:A71"/>
    <mergeCell ref="A35:A45"/>
    <mergeCell ref="A47:A57"/>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8B81B-4B16-DF45-B4A2-59732FE770EA}">
  <sheetPr codeName="Sheet9"/>
  <dimension ref="A2:D157"/>
  <sheetViews>
    <sheetView topLeftCell="A143" zoomScale="85" zoomScaleNormal="85" workbookViewId="0">
      <selection activeCell="D156" sqref="A151:D156"/>
    </sheetView>
  </sheetViews>
  <sheetFormatPr defaultColWidth="11.140625" defaultRowHeight="13.5"/>
  <cols>
    <col min="1" max="1" width="39.7109375" customWidth="1"/>
    <col min="2" max="2" width="20.7109375" customWidth="1"/>
    <col min="3" max="3" width="37.7109375" customWidth="1"/>
    <col min="4" max="4" width="20.140625" bestFit="1" customWidth="1"/>
    <col min="6" max="6" width="26.7109375" bestFit="1" customWidth="1"/>
    <col min="8" max="9" width="11.140625" customWidth="1"/>
    <col min="11" max="11" width="26.7109375" bestFit="1" customWidth="1"/>
    <col min="14" max="14" width="11.140625" customWidth="1"/>
  </cols>
  <sheetData>
    <row r="2" spans="1:2" ht="50.5">
      <c r="A2" s="531" t="s">
        <v>720</v>
      </c>
    </row>
    <row r="3" spans="1:2" ht="14" thickBot="1"/>
    <row r="4" spans="1:2" ht="14.5" thickTop="1" thickBot="1">
      <c r="A4" s="532" t="s">
        <v>114</v>
      </c>
      <c r="B4" s="533" t="str">
        <f>ROUND('Design Inputs'!K67,0) &amp; " kWp"</f>
        <v>481 kWp</v>
      </c>
    </row>
    <row r="5" spans="1:2" ht="24" thickTop="1" thickBot="1">
      <c r="A5" s="534" t="s">
        <v>721</v>
      </c>
      <c r="B5" s="535" t="s">
        <v>1150</v>
      </c>
    </row>
    <row r="6" spans="1:2" ht="23" customHeight="1" thickTop="1" thickBot="1">
      <c r="A6" s="534" t="s">
        <v>722</v>
      </c>
      <c r="B6" s="536" t="str">
        <f>FA_Data!C3</f>
        <v>Consumption</v>
      </c>
    </row>
    <row r="7" spans="1:2" ht="14" thickTop="1">
      <c r="A7" s="537"/>
      <c r="B7" s="977"/>
    </row>
    <row r="8" spans="1:2">
      <c r="A8" s="538" t="s">
        <v>5</v>
      </c>
      <c r="B8" s="539" t="str">
        <f>'Design Inputs'!I13 &amp; " sqm"</f>
        <v>21707,4464 sqm</v>
      </c>
    </row>
    <row r="9" spans="1:2">
      <c r="A9" s="538" t="s">
        <v>723</v>
      </c>
      <c r="B9" s="539">
        <f>FA_Data!C5</f>
        <v>874</v>
      </c>
    </row>
    <row r="10" spans="1:2">
      <c r="A10" s="538" t="s">
        <v>724</v>
      </c>
      <c r="B10" s="975">
        <f>FA_Data!C6</f>
        <v>1754.4684931506849</v>
      </c>
    </row>
    <row r="11" spans="1:2">
      <c r="A11" s="538" t="s">
        <v>725</v>
      </c>
      <c r="B11" s="976">
        <f>FA_Data!C7</f>
        <v>822288.67954109586</v>
      </c>
    </row>
    <row r="12" spans="1:2">
      <c r="A12" s="538" t="s">
        <v>726</v>
      </c>
      <c r="B12" s="539" t="str">
        <f>FA_Data!C11</f>
        <v>Emarantia</v>
      </c>
    </row>
    <row r="14" spans="1:2" ht="15.5">
      <c r="A14" s="540" t="s">
        <v>727</v>
      </c>
    </row>
    <row r="16" spans="1:2" ht="14" thickBot="1">
      <c r="A16" s="542" t="s">
        <v>728</v>
      </c>
      <c r="B16" s="545">
        <f>'Cost Summary'!H37</f>
        <v>7888760.8589739222</v>
      </c>
    </row>
    <row r="17" spans="1:3" ht="14" thickBot="1">
      <c r="A17" s="542" t="s">
        <v>729</v>
      </c>
      <c r="B17" s="546">
        <f>'4.3 Emergent Data'!D17/'4.3 Emergent Data'!G19</f>
        <v>2.6492952500000007</v>
      </c>
    </row>
    <row r="18" spans="1:3" ht="14" thickBot="1">
      <c r="A18" s="542" t="s">
        <v>730</v>
      </c>
      <c r="B18" s="543">
        <f>USD_ZAR</f>
        <v>19</v>
      </c>
    </row>
    <row r="19" spans="1:3" ht="14" thickBot="1">
      <c r="A19" s="542" t="s">
        <v>731</v>
      </c>
      <c r="B19" s="544">
        <f>'4.3 Emergent Data'!G20</f>
        <v>2178485.4928369978</v>
      </c>
    </row>
    <row r="26" spans="1:3" ht="38">
      <c r="A26" s="548" t="s">
        <v>732</v>
      </c>
    </row>
    <row r="29" spans="1:3" ht="14" thickBot="1">
      <c r="A29" s="549" t="s">
        <v>733</v>
      </c>
      <c r="B29" s="550">
        <f>'4.3 Emergent Data'!G17</f>
        <v>6.0000000000000001E-3</v>
      </c>
      <c r="C29" s="551" t="s">
        <v>734</v>
      </c>
    </row>
    <row r="30" spans="1:3" ht="14" thickBot="1">
      <c r="A30" s="549" t="s">
        <v>735</v>
      </c>
      <c r="B30" s="552">
        <f>'Design Inputs'!K68</f>
        <v>1754.4684931506849</v>
      </c>
      <c r="C30" s="551" t="s">
        <v>736</v>
      </c>
    </row>
    <row r="31" spans="1:3" ht="14" thickBot="1">
      <c r="A31" s="549" t="s">
        <v>737</v>
      </c>
      <c r="B31" s="554" t="e">
        <f ca="1">SUM(OFFSET(#REF!, 0, 12*(Cashflows!D15-1), 1, 12))*Projectsize*1000</f>
        <v>#REF!</v>
      </c>
      <c r="C31" s="551" t="s">
        <v>738</v>
      </c>
    </row>
    <row r="32" spans="1:3" ht="14" thickBot="1">
      <c r="A32" s="549" t="s">
        <v>739</v>
      </c>
      <c r="B32" s="553">
        <f>B17</f>
        <v>2.6492952500000007</v>
      </c>
      <c r="C32" s="551" t="s">
        <v>740</v>
      </c>
    </row>
    <row r="33" spans="1:3" ht="14" thickBot="1">
      <c r="A33" s="549" t="s">
        <v>741</v>
      </c>
      <c r="B33" s="554">
        <f>'4.3 Emergent Data'!G20</f>
        <v>2178485.4928369978</v>
      </c>
      <c r="C33" s="551" t="s">
        <v>742</v>
      </c>
    </row>
    <row r="37" spans="1:3" ht="15.5">
      <c r="A37" s="555" t="s">
        <v>743</v>
      </c>
    </row>
    <row r="51" spans="1:1" ht="15.5">
      <c r="A51" s="556" t="s">
        <v>744</v>
      </c>
    </row>
    <row r="69" spans="1:1" ht="15.5">
      <c r="A69" s="555" t="s">
        <v>745</v>
      </c>
    </row>
    <row r="87" spans="1:4" ht="37.5">
      <c r="A87" s="547" t="s">
        <v>746</v>
      </c>
    </row>
    <row r="90" spans="1:4" ht="16" thickBot="1">
      <c r="A90" s="1605" t="s">
        <v>747</v>
      </c>
      <c r="B90" s="1605"/>
      <c r="C90" s="558"/>
      <c r="D90" s="541"/>
    </row>
    <row r="91" spans="1:4" ht="14" thickBot="1">
      <c r="A91" s="559" t="s">
        <v>748</v>
      </c>
      <c r="B91" s="1606">
        <f>CP_data!B16</f>
        <v>7888760.8589739222</v>
      </c>
      <c r="C91" s="1607"/>
      <c r="D91" s="1607"/>
    </row>
    <row r="92" spans="1:4" ht="14" thickBot="1">
      <c r="A92" s="559" t="s">
        <v>749</v>
      </c>
      <c r="B92" s="1608">
        <f>FA_Data!B13</f>
        <v>0.41732388987365798</v>
      </c>
      <c r="C92" s="1608"/>
      <c r="D92" s="1608"/>
    </row>
    <row r="93" spans="1:4" ht="14" thickBot="1">
      <c r="A93" s="559" t="s">
        <v>750</v>
      </c>
      <c r="B93" s="1609" t="str">
        <f>FA_Data!B22</f>
        <v>2 Years</v>
      </c>
      <c r="C93" s="1609"/>
      <c r="D93" s="1609"/>
    </row>
    <row r="94" spans="1:4" ht="14" thickBot="1">
      <c r="A94" s="559" t="s">
        <v>751</v>
      </c>
      <c r="B94" s="1610">
        <f>'Design Inputs'!$K$71</f>
        <v>16.410985768616438</v>
      </c>
      <c r="C94" s="1610"/>
      <c r="D94" s="1610"/>
    </row>
    <row r="96" spans="1:4">
      <c r="A96" s="840"/>
      <c r="B96" s="840"/>
      <c r="C96" s="841"/>
      <c r="D96" s="841"/>
    </row>
    <row r="97" spans="1:4" ht="21" customHeight="1" thickBot="1">
      <c r="A97" s="842" t="s">
        <v>753</v>
      </c>
      <c r="B97" s="1614" t="s">
        <v>754</v>
      </c>
      <c r="C97" s="1614"/>
      <c r="D97" s="541"/>
    </row>
    <row r="98" spans="1:4" ht="14" customHeight="1" thickBot="1">
      <c r="A98" s="1611" t="s">
        <v>755</v>
      </c>
      <c r="B98" s="1611"/>
      <c r="C98" s="1619">
        <f>1-'Financial Inputs'!D7</f>
        <v>1</v>
      </c>
      <c r="D98" s="1619"/>
    </row>
    <row r="99" spans="1:4" ht="14" customHeight="1" thickBot="1">
      <c r="A99" s="1615" t="s">
        <v>756</v>
      </c>
      <c r="B99" s="1615"/>
      <c r="C99" s="1616">
        <f ca="1">-SUM(Cashflows!D46)*1000</f>
        <v>2202691.9986892375</v>
      </c>
      <c r="D99" s="1616"/>
    </row>
    <row r="100" spans="1:4" ht="14" customHeight="1" thickBot="1">
      <c r="A100" s="1615" t="s">
        <v>757</v>
      </c>
      <c r="B100" s="1615"/>
      <c r="C100" s="1618">
        <f>Cashflows!D44*1000</f>
        <v>2178485.4928369978</v>
      </c>
      <c r="D100" s="1618"/>
    </row>
    <row r="101" spans="1:4" ht="14" thickBot="1">
      <c r="A101" s="1615" t="s">
        <v>752</v>
      </c>
      <c r="B101" s="1615"/>
      <c r="C101" s="1617">
        <f>'Financial Inputs'!D3</f>
        <v>5</v>
      </c>
      <c r="D101" s="1617"/>
    </row>
    <row r="103" spans="1:4" ht="16" thickBot="1">
      <c r="A103" s="557" t="s">
        <v>758</v>
      </c>
      <c r="B103" s="1613"/>
      <c r="C103" s="1613"/>
      <c r="D103" s="541"/>
    </row>
    <row r="104" spans="1:4" ht="14" thickBot="1">
      <c r="A104" s="1611" t="s">
        <v>759</v>
      </c>
      <c r="B104" s="1611"/>
      <c r="C104" s="1612">
        <f>FA_Data!B47</f>
        <v>115578.15680177073</v>
      </c>
      <c r="D104" s="1612"/>
    </row>
    <row r="105" spans="1:4" ht="14" thickBot="1">
      <c r="A105" s="1615" t="s">
        <v>760</v>
      </c>
      <c r="B105" s="1615"/>
      <c r="C105" s="1623">
        <f>FA_Data!B50</f>
        <v>0.92819319477283313</v>
      </c>
      <c r="D105" s="1623"/>
    </row>
    <row r="106" spans="1:4" ht="14" thickBot="1">
      <c r="A106" s="1615" t="s">
        <v>761</v>
      </c>
      <c r="B106" s="1615"/>
      <c r="C106" s="1624">
        <f>Cashflows!W78*1000</f>
        <v>63470071.022062145</v>
      </c>
      <c r="D106" s="1624"/>
    </row>
    <row r="107" spans="1:4" ht="14" thickBot="1">
      <c r="A107" s="1615" t="s">
        <v>762</v>
      </c>
      <c r="B107" s="1615"/>
      <c r="C107" s="1625" t="s">
        <v>763</v>
      </c>
      <c r="D107" s="1625"/>
    </row>
    <row r="109" spans="1:4" ht="16" thickBot="1">
      <c r="A109" s="557" t="s">
        <v>764</v>
      </c>
      <c r="B109" s="1613"/>
      <c r="C109" s="1613"/>
      <c r="D109" s="541"/>
    </row>
    <row r="110" spans="1:4" ht="14" thickBot="1">
      <c r="A110" s="1626" t="s">
        <v>765</v>
      </c>
      <c r="B110" s="1626"/>
      <c r="C110" s="1627">
        <f>FA_Data!B35</f>
        <v>115578.15680177073</v>
      </c>
      <c r="D110" s="1627"/>
    </row>
    <row r="111" spans="1:4" ht="14" thickBot="1">
      <c r="A111" s="1620" t="s">
        <v>766</v>
      </c>
      <c r="B111" s="1620"/>
      <c r="C111" s="1628">
        <f>FA_Data!B38</f>
        <v>491.47338115565157</v>
      </c>
      <c r="D111" s="1628"/>
    </row>
    <row r="112" spans="1:4" ht="14" thickBot="1">
      <c r="A112" s="1620" t="s">
        <v>767</v>
      </c>
      <c r="B112" s="1620"/>
      <c r="C112" s="1621">
        <f>FA_Data!B41</f>
        <v>63470071.022062145</v>
      </c>
      <c r="D112" s="1622"/>
    </row>
    <row r="113" spans="1:4" ht="14" thickBot="1">
      <c r="A113" s="1620" t="s">
        <v>762</v>
      </c>
      <c r="B113" s="1620"/>
      <c r="C113" s="1622" t="s">
        <v>763</v>
      </c>
      <c r="D113" s="1622"/>
    </row>
    <row r="117" spans="1:4" ht="25.5" thickBot="1">
      <c r="A117" s="1630" t="s">
        <v>768</v>
      </c>
      <c r="B117" s="566">
        <f>B92</f>
        <v>0.41732388987365798</v>
      </c>
      <c r="C117" s="560"/>
      <c r="D117" s="567">
        <f>B91</f>
        <v>7888760.8589739222</v>
      </c>
    </row>
    <row r="118" spans="1:4" ht="14.5" thickTop="1" thickBot="1">
      <c r="A118" s="1630"/>
      <c r="B118" s="562" t="s">
        <v>693</v>
      </c>
      <c r="C118" s="561"/>
      <c r="D118" s="568" t="s">
        <v>769</v>
      </c>
    </row>
    <row r="119" spans="1:4" ht="26" thickTop="1" thickBot="1">
      <c r="A119" s="1630"/>
      <c r="B119" s="564"/>
      <c r="C119" s="563"/>
      <c r="D119" s="569"/>
    </row>
    <row r="120" spans="1:4" ht="26" thickTop="1" thickBot="1">
      <c r="A120" s="1630"/>
      <c r="B120" s="565" t="str">
        <f>B93</f>
        <v>2 Years</v>
      </c>
      <c r="C120" s="561"/>
      <c r="D120" s="570">
        <f>B94</f>
        <v>16.410985768616438</v>
      </c>
    </row>
    <row r="121" spans="1:4" ht="14.5" thickTop="1" thickBot="1">
      <c r="A121" s="1630"/>
      <c r="B121" s="562" t="s">
        <v>770</v>
      </c>
      <c r="C121" s="560"/>
      <c r="D121" s="568" t="s">
        <v>771</v>
      </c>
    </row>
    <row r="122" spans="1:4" ht="14" thickTop="1"/>
    <row r="124" spans="1:4" ht="25.5" thickBot="1">
      <c r="A124" s="1631"/>
      <c r="B124" s="571"/>
      <c r="C124" s="572"/>
      <c r="D124" s="573"/>
    </row>
    <row r="125" spans="1:4" ht="14.5" thickTop="1" thickBot="1">
      <c r="A125" s="1631"/>
      <c r="B125" s="574"/>
      <c r="C125" s="572"/>
      <c r="D125" s="574"/>
    </row>
    <row r="126" spans="1:4" ht="26" thickTop="1" thickBot="1">
      <c r="A126" s="1631"/>
      <c r="B126" s="575"/>
      <c r="C126" s="576"/>
      <c r="D126" s="576"/>
    </row>
    <row r="127" spans="1:4" ht="24" thickTop="1" thickBot="1">
      <c r="A127" s="1631"/>
      <c r="B127" s="577"/>
      <c r="C127" s="572"/>
      <c r="D127" s="578"/>
    </row>
    <row r="128" spans="1:4" ht="14.5" thickTop="1" thickBot="1">
      <c r="A128" s="1631"/>
      <c r="B128" s="574"/>
      <c r="C128" s="572"/>
      <c r="D128" s="574"/>
    </row>
    <row r="129" spans="1:4" ht="14" thickTop="1"/>
    <row r="131" spans="1:4" ht="25.5" thickBot="1">
      <c r="A131" s="1632" t="s">
        <v>772</v>
      </c>
      <c r="B131" s="579">
        <f>Cashflows!AA78</f>
        <v>115578.15680177073</v>
      </c>
      <c r="C131" s="580"/>
      <c r="D131" s="579">
        <f>Cashflows!X78*1000</f>
        <v>63470071.022062145</v>
      </c>
    </row>
    <row r="132" spans="1:4" ht="14.5" thickTop="1" thickBot="1">
      <c r="A132" s="1632"/>
      <c r="B132" s="581" t="s">
        <v>773</v>
      </c>
      <c r="C132" s="582"/>
      <c r="D132" s="581" t="s">
        <v>774</v>
      </c>
    </row>
    <row r="133" spans="1:4" ht="25.5" thickTop="1">
      <c r="A133" s="1632"/>
      <c r="B133" s="583"/>
      <c r="C133" s="580"/>
      <c r="D133" s="580"/>
    </row>
    <row r="134" spans="1:4" ht="25.5" thickBot="1">
      <c r="A134" s="1632"/>
      <c r="B134" s="584">
        <f>Cashflows!D79</f>
        <v>491.47338115565157</v>
      </c>
      <c r="C134" s="580"/>
      <c r="D134" s="585" t="s">
        <v>775</v>
      </c>
    </row>
    <row r="135" spans="1:4" ht="27" customHeight="1" thickTop="1" thickBot="1">
      <c r="A135" s="1632"/>
      <c r="B135" s="586" t="s">
        <v>776</v>
      </c>
      <c r="C135" s="582"/>
      <c r="D135" s="586" t="s">
        <v>777</v>
      </c>
    </row>
    <row r="136" spans="1:4" ht="14" thickTop="1"/>
    <row r="138" spans="1:4" ht="25.5" thickBot="1">
      <c r="A138" s="1632" t="s">
        <v>778</v>
      </c>
      <c r="B138" s="579">
        <f>C104</f>
        <v>115578.15680177073</v>
      </c>
      <c r="C138" s="580"/>
      <c r="D138" s="579">
        <f>C106</f>
        <v>63470071.022062145</v>
      </c>
    </row>
    <row r="139" spans="1:4" ht="14.5" thickTop="1" thickBot="1">
      <c r="A139" s="1632"/>
      <c r="B139" s="586" t="s">
        <v>779</v>
      </c>
      <c r="C139" s="582"/>
      <c r="D139" s="586" t="s">
        <v>780</v>
      </c>
    </row>
    <row r="140" spans="1:4" ht="25.5" thickTop="1">
      <c r="A140" s="1632"/>
      <c r="B140" s="583"/>
      <c r="C140" s="580"/>
      <c r="D140" s="580"/>
    </row>
    <row r="141" spans="1:4" ht="25.5" thickBot="1">
      <c r="A141" s="1632"/>
      <c r="B141" s="584">
        <f>C105</f>
        <v>0.92819319477283313</v>
      </c>
      <c r="C141" s="580"/>
      <c r="D141" s="585" t="s">
        <v>775</v>
      </c>
    </row>
    <row r="142" spans="1:4" ht="14.5" thickTop="1" thickBot="1">
      <c r="A142" s="1632"/>
      <c r="B142" s="586" t="s">
        <v>781</v>
      </c>
      <c r="C142" s="582"/>
      <c r="D142" s="586" t="s">
        <v>782</v>
      </c>
    </row>
    <row r="143" spans="1:4" ht="14" thickTop="1"/>
    <row r="146" spans="1:4" ht="30">
      <c r="A146" s="587" t="s">
        <v>783</v>
      </c>
    </row>
    <row r="148" spans="1:4" ht="14">
      <c r="A148" s="588" t="s">
        <v>784</v>
      </c>
    </row>
    <row r="150" spans="1:4" ht="28.5" thickBot="1">
      <c r="A150" s="589" t="s">
        <v>785</v>
      </c>
      <c r="B150" s="589" t="s">
        <v>786</v>
      </c>
      <c r="C150" s="590" t="s">
        <v>787</v>
      </c>
      <c r="D150" s="590" t="s">
        <v>788</v>
      </c>
    </row>
    <row r="151" spans="1:4" ht="14.5" thickTop="1" thickBot="1">
      <c r="A151" s="591" t="s">
        <v>789</v>
      </c>
      <c r="B151" s="592" t="s">
        <v>790</v>
      </c>
      <c r="C151" s="593">
        <f>'Costing Inputs'!T30</f>
        <v>0.35</v>
      </c>
      <c r="D151" s="594">
        <f>C151*'Cost Summary'!$H$37</f>
        <v>2761066.3006408727</v>
      </c>
    </row>
    <row r="152" spans="1:4" ht="14.5" thickTop="1" thickBot="1">
      <c r="A152" s="591" t="s">
        <v>791</v>
      </c>
      <c r="B152" s="592" t="s">
        <v>792</v>
      </c>
      <c r="C152" s="593">
        <f>'Costing Inputs'!T31</f>
        <v>0.3</v>
      </c>
      <c r="D152" s="594">
        <f>C152*'Cost Summary'!$H$37</f>
        <v>2366628.2576921764</v>
      </c>
    </row>
    <row r="153" spans="1:4" ht="14.5" thickTop="1" thickBot="1">
      <c r="A153" s="591" t="s">
        <v>229</v>
      </c>
      <c r="B153" s="592" t="s">
        <v>793</v>
      </c>
      <c r="C153" s="593">
        <f>'Costing Inputs'!T32</f>
        <v>0.19999999999999996</v>
      </c>
      <c r="D153" s="594">
        <f>C153*'Cost Summary'!$H$37</f>
        <v>1577752.171794784</v>
      </c>
    </row>
    <row r="154" spans="1:4" ht="21" thickTop="1" thickBot="1">
      <c r="A154" s="591" t="s">
        <v>794</v>
      </c>
      <c r="B154" s="592" t="s">
        <v>795</v>
      </c>
      <c r="C154" s="593">
        <f>'Costing Inputs'!T33</f>
        <v>0.1</v>
      </c>
      <c r="D154" s="594">
        <f>C154*'Cost Summary'!$H$37</f>
        <v>788876.08589739224</v>
      </c>
    </row>
    <row r="155" spans="1:4" ht="14.5" thickTop="1" thickBot="1">
      <c r="A155" s="591" t="s">
        <v>796</v>
      </c>
      <c r="B155" s="592" t="s">
        <v>797</v>
      </c>
      <c r="C155" s="593">
        <f>'Costing Inputs'!T34</f>
        <v>0.05</v>
      </c>
      <c r="D155" s="594">
        <f>C155*'Cost Summary'!$H$37</f>
        <v>394438.04294869612</v>
      </c>
    </row>
    <row r="156" spans="1:4" ht="14.5" thickTop="1" thickBot="1">
      <c r="A156" s="1629" t="s">
        <v>34</v>
      </c>
      <c r="B156" s="1629"/>
      <c r="C156" s="593">
        <f>'Costing Inputs'!T35</f>
        <v>0.99999999999999989</v>
      </c>
      <c r="D156" s="594">
        <f>C156*'Cost Summary'!$H$37</f>
        <v>7888760.8589739213</v>
      </c>
    </row>
    <row r="157" spans="1:4" ht="14" thickTop="1"/>
  </sheetData>
  <mergeCells count="37">
    <mergeCell ref="A156:B156"/>
    <mergeCell ref="A113:B113"/>
    <mergeCell ref="C113:D113"/>
    <mergeCell ref="A117:A121"/>
    <mergeCell ref="A124:A128"/>
    <mergeCell ref="A131:A135"/>
    <mergeCell ref="A138:A142"/>
    <mergeCell ref="A112:B112"/>
    <mergeCell ref="C112:D112"/>
    <mergeCell ref="A105:B105"/>
    <mergeCell ref="C105:D105"/>
    <mergeCell ref="A106:B106"/>
    <mergeCell ref="C106:D106"/>
    <mergeCell ref="A107:B107"/>
    <mergeCell ref="C107:D107"/>
    <mergeCell ref="B109:C109"/>
    <mergeCell ref="A110:B110"/>
    <mergeCell ref="C110:D110"/>
    <mergeCell ref="A111:B111"/>
    <mergeCell ref="C111:D111"/>
    <mergeCell ref="A104:B104"/>
    <mergeCell ref="C104:D104"/>
    <mergeCell ref="B103:C103"/>
    <mergeCell ref="B97:C97"/>
    <mergeCell ref="A99:B99"/>
    <mergeCell ref="C99:D99"/>
    <mergeCell ref="A101:B101"/>
    <mergeCell ref="C101:D101"/>
    <mergeCell ref="A100:B100"/>
    <mergeCell ref="C100:D100"/>
    <mergeCell ref="A98:B98"/>
    <mergeCell ref="C98:D98"/>
    <mergeCell ref="A90:B90"/>
    <mergeCell ref="B91:D91"/>
    <mergeCell ref="B92:D92"/>
    <mergeCell ref="B93:D93"/>
    <mergeCell ref="B94:D94"/>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9"/>
  <dimension ref="A1:T14"/>
  <sheetViews>
    <sheetView topLeftCell="B2" workbookViewId="0">
      <selection activeCell="E95" sqref="E95"/>
    </sheetView>
  </sheetViews>
  <sheetFormatPr defaultColWidth="8.7109375" defaultRowHeight="13.5"/>
  <cols>
    <col min="1" max="1" width="6.140625" customWidth="1"/>
    <col min="2" max="2" width="10" customWidth="1"/>
    <col min="3" max="3" width="10.42578125" customWidth="1"/>
    <col min="4" max="4" width="19.42578125" customWidth="1"/>
    <col min="5" max="5" width="12" customWidth="1"/>
    <col min="6" max="6" width="9.7109375" customWidth="1"/>
    <col min="7" max="7" width="9.42578125" customWidth="1"/>
    <col min="9" max="11" width="12.42578125" customWidth="1"/>
    <col min="12" max="12" width="14.7109375" customWidth="1"/>
    <col min="13" max="13" width="9.42578125" customWidth="1"/>
    <col min="14" max="14" width="12.7109375" customWidth="1"/>
    <col min="16" max="16" width="12.140625" customWidth="1"/>
    <col min="20" max="20" width="17.7109375" customWidth="1"/>
  </cols>
  <sheetData>
    <row r="1" spans="1:20">
      <c r="A1" s="1634" t="s">
        <v>831</v>
      </c>
      <c r="B1" s="1635"/>
      <c r="C1" s="1635"/>
      <c r="D1" s="1635"/>
      <c r="E1" s="1635"/>
      <c r="F1" s="1635"/>
      <c r="G1" s="1636"/>
      <c r="H1" s="496"/>
      <c r="I1" s="496"/>
      <c r="J1" s="8"/>
      <c r="K1" s="8"/>
      <c r="P1" s="1633"/>
      <c r="Q1" s="1633"/>
      <c r="R1" s="1633"/>
      <c r="S1" s="1633"/>
      <c r="T1" s="1633"/>
    </row>
    <row r="2" spans="1:20">
      <c r="A2" s="6"/>
      <c r="B2" s="1577" t="s">
        <v>832</v>
      </c>
      <c r="C2" s="1577"/>
      <c r="D2" s="800">
        <f>'Design Inputs'!D69</f>
        <v>2.5832519999999999</v>
      </c>
      <c r="E2" s="6"/>
      <c r="F2" s="6"/>
      <c r="G2" s="6"/>
      <c r="H2" s="6"/>
      <c r="I2" s="6"/>
    </row>
    <row r="3" spans="1:20">
      <c r="A3" s="487" t="s">
        <v>833</v>
      </c>
      <c r="B3" s="487" t="s">
        <v>5</v>
      </c>
      <c r="C3" s="487" t="s">
        <v>9</v>
      </c>
      <c r="D3" s="487" t="s">
        <v>834</v>
      </c>
      <c r="E3" s="487" t="s">
        <v>11</v>
      </c>
      <c r="F3" s="487" t="s">
        <v>835</v>
      </c>
      <c r="G3" s="487" t="s">
        <v>606</v>
      </c>
      <c r="H3" s="6"/>
      <c r="I3" s="6"/>
    </row>
    <row r="4" spans="1:20">
      <c r="A4" s="262">
        <v>1</v>
      </c>
      <c r="B4" s="488">
        <f>IF('Design Inputs'!A5=1,'Design Inputs'!I5,0)</f>
        <v>21707.446399999997</v>
      </c>
      <c r="C4" s="489">
        <f>'Design Inputs'!J5</f>
        <v>5</v>
      </c>
      <c r="D4" s="489">
        <f>'Design Inputs'!K5</f>
        <v>15</v>
      </c>
      <c r="E4" s="490">
        <f>'Design Inputs'!L5</f>
        <v>1</v>
      </c>
      <c r="F4" s="414">
        <f>INDEX(Data_Array,MATCH(D4,orientation,0),MATCH('2 Sizing'!C4,'2.1 Sizing Data'!$B$30:$AG$30,0))</f>
        <v>1569.6000000000001</v>
      </c>
      <c r="G4" s="19">
        <f t="shared" ref="G4:G11" si="0">IF(C4="0",0.8*Module_Capacity*B4/1000/$D$2,Module_Capacity*B4/1000/$D$2)*E4</f>
        <v>4621.7308725590838</v>
      </c>
      <c r="H4" s="6"/>
      <c r="I4" s="6"/>
    </row>
    <row r="5" spans="1:20">
      <c r="A5" s="262">
        <v>2</v>
      </c>
      <c r="B5" s="488">
        <f>IF('Design Inputs'!A6=1,'Design Inputs'!I6,0)</f>
        <v>0</v>
      </c>
      <c r="C5" s="489">
        <f>'Design Inputs'!J6</f>
        <v>5</v>
      </c>
      <c r="D5" s="489">
        <f>'Design Inputs'!K6</f>
        <v>145</v>
      </c>
      <c r="E5" s="490">
        <f>'Design Inputs'!L6</f>
        <v>0.9</v>
      </c>
      <c r="F5" s="414">
        <f>INDEX(Data_Array,MATCH(D5,orientation,0),MATCH('2 Sizing'!C5,'2.1 Sizing Data'!$B$30:$AG$30,0))</f>
        <v>1482.3</v>
      </c>
      <c r="G5" s="486">
        <f t="shared" si="0"/>
        <v>0</v>
      </c>
      <c r="H5" s="6"/>
      <c r="I5" s="6"/>
    </row>
    <row r="6" spans="1:20">
      <c r="A6" s="262">
        <v>3</v>
      </c>
      <c r="B6" s="488">
        <f>IF('Design Inputs'!A7=1,'Design Inputs'!I7,0)</f>
        <v>0</v>
      </c>
      <c r="C6" s="489">
        <f>'Design Inputs'!J7</f>
        <v>5</v>
      </c>
      <c r="D6" s="489">
        <f>'Design Inputs'!K7</f>
        <v>145</v>
      </c>
      <c r="E6" s="490">
        <f>'Design Inputs'!L7</f>
        <v>1</v>
      </c>
      <c r="F6" s="414">
        <f>INDEX(Data_Array,MATCH(D6,orientation,0),MATCH('2 Sizing'!C6,'2.1 Sizing Data'!$B$30:$AG$30,0))</f>
        <v>1482.3</v>
      </c>
      <c r="G6" s="486">
        <f t="shared" si="0"/>
        <v>0</v>
      </c>
      <c r="H6" s="6"/>
      <c r="I6" s="6"/>
    </row>
    <row r="7" spans="1:20">
      <c r="A7" s="262">
        <v>4</v>
      </c>
      <c r="B7" s="488">
        <f>IF('Design Inputs'!A8=1,'Design Inputs'!I8,0)</f>
        <v>0</v>
      </c>
      <c r="C7" s="489">
        <f>'Design Inputs'!J8</f>
        <v>5</v>
      </c>
      <c r="D7" s="489">
        <f>'Design Inputs'!K8</f>
        <v>15</v>
      </c>
      <c r="E7" s="490">
        <f>'Design Inputs'!L8</f>
        <v>0.9</v>
      </c>
      <c r="F7" s="414">
        <f>INDEX(Data_Array,MATCH(D7,orientation,0),MATCH('2 Sizing'!C7,'2.1 Sizing Data'!$B$30:$AG$30,0))</f>
        <v>1569.6000000000001</v>
      </c>
      <c r="G7" s="486">
        <f t="shared" si="0"/>
        <v>0</v>
      </c>
      <c r="H7" s="6"/>
      <c r="I7" s="6"/>
      <c r="P7" s="1633"/>
      <c r="Q7" s="1633"/>
    </row>
    <row r="8" spans="1:20">
      <c r="A8" s="262">
        <v>5</v>
      </c>
      <c r="B8" s="488">
        <f>IF('Design Inputs'!A9=1,'Design Inputs'!I9,0)</f>
        <v>0</v>
      </c>
      <c r="C8" s="489">
        <f>'Design Inputs'!J9</f>
        <v>5</v>
      </c>
      <c r="D8" s="489">
        <f>'Design Inputs'!K9</f>
        <v>15</v>
      </c>
      <c r="E8" s="490">
        <f>'Design Inputs'!L9</f>
        <v>0.9</v>
      </c>
      <c r="F8" s="414">
        <f>INDEX(Data_Array,MATCH(D8,orientation,0),MATCH('2 Sizing'!C8,'2.1 Sizing Data'!$B$30:$AG$30,0))</f>
        <v>1569.6000000000001</v>
      </c>
      <c r="G8" s="486">
        <f t="shared" si="0"/>
        <v>0</v>
      </c>
      <c r="H8" s="6"/>
      <c r="I8" s="6"/>
      <c r="P8" s="1633"/>
      <c r="Q8" s="1633"/>
    </row>
    <row r="9" spans="1:20">
      <c r="A9" s="262">
        <v>6</v>
      </c>
      <c r="B9" s="488">
        <f>IF('Design Inputs'!A10=1,'Design Inputs'!I10,0)</f>
        <v>0</v>
      </c>
      <c r="C9" s="489">
        <f>'Design Inputs'!J10</f>
        <v>10</v>
      </c>
      <c r="D9" s="489">
        <f>'Design Inputs'!K10</f>
        <v>45</v>
      </c>
      <c r="E9" s="490">
        <f>'Design Inputs'!L10</f>
        <v>0.9</v>
      </c>
      <c r="F9" s="414">
        <f>INDEX(Data_Array,MATCH(D9,orientation,0),MATCH('2 Sizing'!C9,'2.1 Sizing Data'!$B$30:$AG$30,0))</f>
        <v>1584</v>
      </c>
      <c r="G9" s="486">
        <f t="shared" si="0"/>
        <v>0</v>
      </c>
      <c r="H9" s="6"/>
      <c r="I9" s="6"/>
      <c r="P9" s="1633"/>
      <c r="Q9" s="1633"/>
    </row>
    <row r="10" spans="1:20">
      <c r="A10" s="262">
        <v>7</v>
      </c>
      <c r="B10" s="488">
        <f>IF('Design Inputs'!A11=1,'Design Inputs'!I11,0)</f>
        <v>0</v>
      </c>
      <c r="C10" s="489">
        <f>'Design Inputs'!J11</f>
        <v>10</v>
      </c>
      <c r="D10" s="489">
        <f>'Design Inputs'!K11</f>
        <v>60</v>
      </c>
      <c r="E10" s="490">
        <f>'Design Inputs'!L11</f>
        <v>1</v>
      </c>
      <c r="F10" s="414">
        <f>INDEX(Data_Array,MATCH(D10,orientation,0),MATCH('2 Sizing'!C10,'2.1 Sizing Data'!$B$30:$AG$30,0))</f>
        <v>1566</v>
      </c>
      <c r="G10" s="486">
        <f t="shared" si="0"/>
        <v>0</v>
      </c>
      <c r="H10" s="6"/>
      <c r="I10" s="6"/>
    </row>
    <row r="11" spans="1:20">
      <c r="A11" s="262">
        <v>8</v>
      </c>
      <c r="B11" s="488">
        <f>IF('Design Inputs'!A12=1,'Design Inputs'!I12,0)</f>
        <v>0</v>
      </c>
      <c r="C11" s="489">
        <f>'Design Inputs'!J12</f>
        <v>10</v>
      </c>
      <c r="D11" s="489">
        <f>'Design Inputs'!K12</f>
        <v>330</v>
      </c>
      <c r="E11" s="490">
        <f>'Design Inputs'!L12</f>
        <v>1</v>
      </c>
      <c r="F11" s="414">
        <f>INDEX(Data_Array,MATCH(D11,orientation,0),MATCH('2 Sizing'!C11,'2.1 Sizing Data'!$B$30:$AG$30,0))</f>
        <v>1585.8</v>
      </c>
      <c r="G11" s="486">
        <f t="shared" si="0"/>
        <v>0</v>
      </c>
      <c r="H11" s="6"/>
      <c r="I11" s="6"/>
    </row>
    <row r="12" spans="1:20">
      <c r="A12" s="487" t="s">
        <v>634</v>
      </c>
      <c r="B12" s="491">
        <f>SUM(B4:B11)</f>
        <v>21707.446399999997</v>
      </c>
      <c r="C12" s="492"/>
      <c r="D12" s="492"/>
      <c r="E12" s="493"/>
      <c r="F12" s="494"/>
      <c r="G12" s="495">
        <f>SUM(G4:G11)</f>
        <v>4621.7308725590838</v>
      </c>
      <c r="H12" s="6"/>
      <c r="I12" s="6"/>
    </row>
    <row r="14" spans="1:20">
      <c r="A14" s="1"/>
      <c r="B14" s="18"/>
    </row>
  </sheetData>
  <mergeCells count="6">
    <mergeCell ref="P7:Q7"/>
    <mergeCell ref="P8:Q8"/>
    <mergeCell ref="P9:Q9"/>
    <mergeCell ref="P1:T1"/>
    <mergeCell ref="B2:C2"/>
    <mergeCell ref="A1:G1"/>
  </mergeCells>
  <pageMargins left="0.7" right="0.7" top="0.75" bottom="0.75" header="0.3" footer="0.3"/>
  <pageSetup orientation="portrait" horizontalDpi="4294967293" verticalDpi="4294967293"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0"/>
  <dimension ref="A1:AO89"/>
  <sheetViews>
    <sheetView zoomScale="85" zoomScaleNormal="85" workbookViewId="0">
      <pane xSplit="1" topLeftCell="B1" activePane="topRight" state="frozen"/>
      <selection activeCell="E95" sqref="E95"/>
      <selection pane="topRight" activeCell="E95" sqref="E95"/>
    </sheetView>
  </sheetViews>
  <sheetFormatPr defaultColWidth="8.7109375" defaultRowHeight="13.5"/>
  <cols>
    <col min="1" max="1" width="15.7109375" style="6" customWidth="1"/>
    <col min="2" max="2" width="16" style="6" customWidth="1"/>
    <col min="3" max="3" width="17.28515625" style="6" customWidth="1"/>
    <col min="4" max="6" width="8.7109375" style="6" customWidth="1"/>
    <col min="7" max="7" width="11.7109375" style="6" customWidth="1"/>
    <col min="8" max="9" width="8.7109375" style="6" customWidth="1"/>
    <col min="10" max="10" width="10.42578125" style="6" customWidth="1"/>
    <col min="11" max="11" width="8.7109375" style="6" customWidth="1"/>
    <col min="12" max="12" width="9.7109375" style="6" customWidth="1"/>
    <col min="13" max="13" width="10" style="6" customWidth="1"/>
    <col min="14" max="26" width="8.7109375" style="6" customWidth="1"/>
    <col min="27" max="16384" width="8.7109375" style="6"/>
  </cols>
  <sheetData>
    <row r="1" spans="1:13">
      <c r="A1" s="601" t="s">
        <v>836</v>
      </c>
      <c r="B1" s="262" t="s">
        <v>837</v>
      </c>
      <c r="C1" s="262" t="s">
        <v>838</v>
      </c>
      <c r="E1" s="421"/>
      <c r="F1" s="421"/>
      <c r="G1" s="421"/>
      <c r="H1" s="421"/>
      <c r="I1" s="421"/>
      <c r="J1" s="421"/>
      <c r="K1" s="421"/>
      <c r="L1" s="421"/>
      <c r="M1" s="421"/>
    </row>
    <row r="2" spans="1:13">
      <c r="A2" s="601">
        <v>5</v>
      </c>
      <c r="B2" s="262">
        <v>0</v>
      </c>
      <c r="C2" s="262" t="s">
        <v>839</v>
      </c>
    </row>
    <row r="3" spans="1:13">
      <c r="A3" s="262">
        <v>10</v>
      </c>
      <c r="B3" s="262">
        <v>15</v>
      </c>
      <c r="C3" s="262" t="s">
        <v>840</v>
      </c>
      <c r="J3" s="602"/>
    </row>
    <row r="4" spans="1:13">
      <c r="A4" s="262">
        <v>15</v>
      </c>
      <c r="B4" s="262">
        <v>30</v>
      </c>
      <c r="C4" s="262" t="s">
        <v>4</v>
      </c>
      <c r="J4" s="602"/>
    </row>
    <row r="5" spans="1:13">
      <c r="A5" s="262">
        <v>25</v>
      </c>
      <c r="B5" s="262">
        <v>45</v>
      </c>
      <c r="C5" s="262" t="s">
        <v>841</v>
      </c>
    </row>
    <row r="6" spans="1:13">
      <c r="B6" s="262">
        <v>60</v>
      </c>
      <c r="C6" s="262" t="s">
        <v>842</v>
      </c>
      <c r="J6" s="602"/>
    </row>
    <row r="7" spans="1:13">
      <c r="B7" s="262">
        <v>75</v>
      </c>
      <c r="C7" s="262" t="s">
        <v>843</v>
      </c>
    </row>
    <row r="8" spans="1:13">
      <c r="A8" s="6" t="s">
        <v>844</v>
      </c>
      <c r="B8" s="262">
        <v>90</v>
      </c>
      <c r="C8" s="262" t="s">
        <v>845</v>
      </c>
    </row>
    <row r="9" spans="1:13">
      <c r="A9" s="403">
        <v>1</v>
      </c>
      <c r="B9" s="262">
        <v>115</v>
      </c>
      <c r="C9" s="262" t="s">
        <v>846</v>
      </c>
    </row>
    <row r="10" spans="1:13">
      <c r="A10" s="403">
        <v>0.9</v>
      </c>
      <c r="B10" s="262">
        <v>130</v>
      </c>
    </row>
    <row r="11" spans="1:13">
      <c r="A11" s="403">
        <v>0.8</v>
      </c>
      <c r="B11" s="262">
        <v>145</v>
      </c>
    </row>
    <row r="12" spans="1:13">
      <c r="A12" s="403">
        <v>0.7</v>
      </c>
      <c r="B12" s="262">
        <v>165</v>
      </c>
      <c r="C12" s="603" t="s">
        <v>847</v>
      </c>
    </row>
    <row r="13" spans="1:13">
      <c r="A13" s="403">
        <v>0.6</v>
      </c>
      <c r="B13" s="262">
        <v>180</v>
      </c>
    </row>
    <row r="14" spans="1:13">
      <c r="A14" s="403">
        <v>0.5</v>
      </c>
      <c r="B14" s="262">
        <v>195</v>
      </c>
    </row>
    <row r="15" spans="1:13">
      <c r="B15" s="262">
        <v>210</v>
      </c>
    </row>
    <row r="16" spans="1:13">
      <c r="B16" s="262">
        <v>225</v>
      </c>
    </row>
    <row r="17" spans="1:41">
      <c r="B17" s="262">
        <v>240</v>
      </c>
    </row>
    <row r="18" spans="1:41">
      <c r="B18" s="262">
        <v>255</v>
      </c>
    </row>
    <row r="19" spans="1:41">
      <c r="B19" s="262">
        <v>270</v>
      </c>
    </row>
    <row r="20" spans="1:41">
      <c r="B20" s="262">
        <v>285</v>
      </c>
    </row>
    <row r="21" spans="1:41">
      <c r="B21" s="262">
        <v>300</v>
      </c>
    </row>
    <row r="22" spans="1:41">
      <c r="B22" s="262">
        <v>315</v>
      </c>
      <c r="E22" s="6">
        <f>MATCH(5,B30:AG30,0)</f>
        <v>9</v>
      </c>
    </row>
    <row r="23" spans="1:41">
      <c r="B23" s="262">
        <v>330</v>
      </c>
    </row>
    <row r="24" spans="1:41">
      <c r="B24" s="262">
        <v>345</v>
      </c>
    </row>
    <row r="26" spans="1:41" ht="23.5" thickBot="1">
      <c r="A26" s="1637" t="s">
        <v>848</v>
      </c>
      <c r="B26" s="1638"/>
      <c r="C26" s="1638"/>
      <c r="D26" s="1638"/>
      <c r="E26" s="1638"/>
      <c r="F26" s="1638"/>
      <c r="G26" s="1638"/>
      <c r="H26" s="1638"/>
      <c r="I26" s="1638"/>
      <c r="J26" s="1638"/>
      <c r="K26" s="1638"/>
      <c r="L26" s="1638"/>
      <c r="M26" s="1638"/>
      <c r="N26" s="1638"/>
      <c r="O26" s="1638"/>
      <c r="P26" s="1638"/>
      <c r="Q26" s="1638"/>
      <c r="R26" s="1638"/>
      <c r="S26" s="1638"/>
      <c r="T26" s="1638"/>
      <c r="U26" s="1638"/>
      <c r="V26" s="1638"/>
      <c r="W26" s="1638"/>
      <c r="X26" s="1638"/>
      <c r="Y26" s="1638"/>
      <c r="Z26" s="1638"/>
      <c r="AA26" s="1638"/>
      <c r="AB26" s="1638"/>
      <c r="AC26" s="1638"/>
      <c r="AD26" s="1638"/>
      <c r="AE26" s="1638"/>
      <c r="AF26" s="1638"/>
      <c r="AG26" s="1638"/>
      <c r="AH26" s="1638"/>
      <c r="AI26" s="1638"/>
      <c r="AJ26" s="1638"/>
      <c r="AK26" s="1638"/>
      <c r="AL26" s="1638"/>
      <c r="AM26" s="1638"/>
      <c r="AN26" s="1638"/>
      <c r="AO26" s="1638"/>
    </row>
    <row r="27" spans="1:41">
      <c r="A27" s="601"/>
      <c r="B27" s="604" t="str">
        <f>$C$2</f>
        <v>Western Cape</v>
      </c>
      <c r="C27" s="604" t="str">
        <f>$C$2</f>
        <v>Western Cape</v>
      </c>
      <c r="D27" s="604" t="str">
        <f>$C$2</f>
        <v>Western Cape</v>
      </c>
      <c r="E27" s="604" t="str">
        <f>$C$2</f>
        <v>Western Cape</v>
      </c>
      <c r="F27" s="604" t="str">
        <f>$C$3</f>
        <v>Northern Cape</v>
      </c>
      <c r="G27" s="604" t="str">
        <f>$C$3</f>
        <v>Northern Cape</v>
      </c>
      <c r="H27" s="604" t="str">
        <f>$C$3</f>
        <v>Northern Cape</v>
      </c>
      <c r="I27" s="604" t="str">
        <f>$C$3</f>
        <v>Northern Cape</v>
      </c>
      <c r="J27" s="604" t="str">
        <f>$C$4</f>
        <v>Gauteng</v>
      </c>
      <c r="K27" s="604" t="str">
        <f>$C$4</f>
        <v>Gauteng</v>
      </c>
      <c r="L27" s="604" t="str">
        <f>$C$4</f>
        <v>Gauteng</v>
      </c>
      <c r="M27" s="604" t="str">
        <f>$C$4</f>
        <v>Gauteng</v>
      </c>
      <c r="N27" s="604" t="str">
        <f>$C$5</f>
        <v>Kwazulu Natal</v>
      </c>
      <c r="O27" s="604" t="str">
        <f>$C$5</f>
        <v>Kwazulu Natal</v>
      </c>
      <c r="P27" s="604" t="str">
        <f>$C$5</f>
        <v>Kwazulu Natal</v>
      </c>
      <c r="Q27" s="604" t="str">
        <f>$C$5</f>
        <v>Kwazulu Natal</v>
      </c>
      <c r="R27" s="604" t="str">
        <f>$C$6</f>
        <v>Limpopo</v>
      </c>
      <c r="S27" s="604" t="str">
        <f>$C$6</f>
        <v>Limpopo</v>
      </c>
      <c r="T27" s="604" t="str">
        <f>$C$6</f>
        <v>Limpopo</v>
      </c>
      <c r="U27" s="604" t="str">
        <f>$C$6</f>
        <v>Limpopo</v>
      </c>
      <c r="V27" s="604" t="str">
        <f>$C$7</f>
        <v>Mpumalanga</v>
      </c>
      <c r="W27" s="604" t="str">
        <f>$C$7</f>
        <v>Mpumalanga</v>
      </c>
      <c r="X27" s="604" t="str">
        <f>$C$7</f>
        <v>Mpumalanga</v>
      </c>
      <c r="Y27" s="604" t="str">
        <f>$C$7</f>
        <v>Mpumalanga</v>
      </c>
      <c r="Z27" s="604" t="str">
        <f>$C$8</f>
        <v>North West</v>
      </c>
      <c r="AA27" s="604" t="str">
        <f>$C$8</f>
        <v>North West</v>
      </c>
      <c r="AB27" s="604" t="str">
        <f>$C$8</f>
        <v>North West</v>
      </c>
      <c r="AC27" s="604" t="str">
        <f>$C$8</f>
        <v>North West</v>
      </c>
      <c r="AD27" s="604" t="str">
        <f>$C$9</f>
        <v>Eastern Cape</v>
      </c>
      <c r="AE27" s="604" t="str">
        <f>$C$9</f>
        <v>Eastern Cape</v>
      </c>
      <c r="AF27" s="604" t="str">
        <f>$C$9</f>
        <v>Eastern Cape</v>
      </c>
      <c r="AG27" s="604" t="str">
        <f>$C$9</f>
        <v>Eastern Cape</v>
      </c>
      <c r="AK27" s="604"/>
    </row>
    <row r="28" spans="1:41">
      <c r="A28" s="601">
        <v>0.9</v>
      </c>
      <c r="B28" s="262">
        <v>5</v>
      </c>
      <c r="C28" s="262">
        <v>10</v>
      </c>
      <c r="D28" s="262">
        <v>15</v>
      </c>
      <c r="E28" s="605">
        <v>25</v>
      </c>
      <c r="F28" s="262">
        <v>5</v>
      </c>
      <c r="G28" s="262">
        <v>10</v>
      </c>
      <c r="H28" s="262">
        <v>15</v>
      </c>
      <c r="I28" s="605">
        <v>25</v>
      </c>
      <c r="J28" s="262">
        <v>5</v>
      </c>
      <c r="K28" s="262">
        <v>10</v>
      </c>
      <c r="L28" s="262">
        <v>15</v>
      </c>
      <c r="M28" s="605">
        <v>25</v>
      </c>
      <c r="N28" s="262">
        <v>5</v>
      </c>
      <c r="O28" s="262">
        <v>10</v>
      </c>
      <c r="P28" s="262">
        <v>15</v>
      </c>
      <c r="Q28" s="605">
        <v>25</v>
      </c>
      <c r="R28" s="262">
        <v>5</v>
      </c>
      <c r="S28" s="262">
        <v>10</v>
      </c>
      <c r="T28" s="262">
        <v>15</v>
      </c>
      <c r="U28" s="605">
        <v>25</v>
      </c>
      <c r="V28" s="262">
        <v>5</v>
      </c>
      <c r="W28" s="262">
        <v>10</v>
      </c>
      <c r="X28" s="262">
        <v>15</v>
      </c>
      <c r="Y28" s="605">
        <v>25</v>
      </c>
      <c r="Z28" s="262">
        <v>5</v>
      </c>
      <c r="AA28" s="262">
        <v>10</v>
      </c>
      <c r="AB28" s="262">
        <v>15</v>
      </c>
      <c r="AC28" s="605">
        <v>25</v>
      </c>
      <c r="AD28" s="262">
        <v>5</v>
      </c>
      <c r="AE28" s="262">
        <v>10</v>
      </c>
      <c r="AF28" s="262">
        <v>15</v>
      </c>
      <c r="AG28" s="605">
        <v>25</v>
      </c>
      <c r="AK28" s="606"/>
    </row>
    <row r="29" spans="1:41">
      <c r="A29" s="601" t="s">
        <v>849</v>
      </c>
      <c r="B29" s="606">
        <f>IF(B27='Design Inputs'!$D$4,1,0)</f>
        <v>0</v>
      </c>
      <c r="C29" s="606">
        <f>IF(C27='Design Inputs'!$D$4,1,0)</f>
        <v>0</v>
      </c>
      <c r="D29" s="606">
        <f>IF(D27='Design Inputs'!$D$4,1,0)</f>
        <v>0</v>
      </c>
      <c r="E29" s="606">
        <f>IF(E27='Design Inputs'!$D$4,1,0)</f>
        <v>0</v>
      </c>
      <c r="F29" s="606">
        <f>IF(F27='Design Inputs'!$D$4,1,0)</f>
        <v>0</v>
      </c>
      <c r="G29" s="606">
        <f>IF(G27='Design Inputs'!$D$4,1,0)</f>
        <v>0</v>
      </c>
      <c r="H29" s="606">
        <f>IF(H27='Design Inputs'!$D$4,1,0)</f>
        <v>0</v>
      </c>
      <c r="I29" s="606">
        <f>IF(I27='Design Inputs'!$D$4,1,0)</f>
        <v>0</v>
      </c>
      <c r="J29" s="606">
        <f>IF(J27='Design Inputs'!$D$4,1,0)</f>
        <v>1</v>
      </c>
      <c r="K29" s="606">
        <f>IF(K27='Design Inputs'!$D$4,1,0)</f>
        <v>1</v>
      </c>
      <c r="L29" s="606">
        <f>IF(L27='Design Inputs'!$D$4,1,0)</f>
        <v>1</v>
      </c>
      <c r="M29" s="606">
        <f>IF(M27='Design Inputs'!$D$4,1,0)</f>
        <v>1</v>
      </c>
      <c r="N29" s="606">
        <f>IF(N27='Design Inputs'!$D$4,1,0)</f>
        <v>0</v>
      </c>
      <c r="O29" s="606">
        <f>IF(O27='Design Inputs'!$D$4,1,0)</f>
        <v>0</v>
      </c>
      <c r="P29" s="606">
        <f>IF(P27='Design Inputs'!$D$4,1,0)</f>
        <v>0</v>
      </c>
      <c r="Q29" s="606">
        <f>IF(Q27='Design Inputs'!$D$4,1,0)</f>
        <v>0</v>
      </c>
      <c r="R29" s="606">
        <f>IF(R27='Design Inputs'!$D$4,1,0)</f>
        <v>0</v>
      </c>
      <c r="S29" s="606">
        <f>IF(S27='Design Inputs'!$D$4,1,0)</f>
        <v>0</v>
      </c>
      <c r="T29" s="606">
        <f>IF(T27='Design Inputs'!$D$4,1,0)</f>
        <v>0</v>
      </c>
      <c r="U29" s="606">
        <f>IF(U27='Design Inputs'!$D$4,1,0)</f>
        <v>0</v>
      </c>
      <c r="V29" s="606">
        <f>IF(V27='Design Inputs'!$D$4,1,0)</f>
        <v>0</v>
      </c>
      <c r="W29" s="606">
        <f>IF(W27='Design Inputs'!$D$4,1,0)</f>
        <v>0</v>
      </c>
      <c r="X29" s="606">
        <f>IF(X27='Design Inputs'!$D$4,1,0)</f>
        <v>0</v>
      </c>
      <c r="Y29" s="606">
        <f>IF(Y27='Design Inputs'!$D$4,1,0)</f>
        <v>0</v>
      </c>
      <c r="Z29" s="606">
        <f>IF(Z27='Design Inputs'!$D$4,1,0)</f>
        <v>0</v>
      </c>
      <c r="AA29" s="606">
        <f>IF(AA27='Design Inputs'!$D$4,1,0)</f>
        <v>0</v>
      </c>
      <c r="AB29" s="606">
        <f>IF(AB27='Design Inputs'!$D$4,1,0)</f>
        <v>0</v>
      </c>
      <c r="AC29" s="606">
        <f>IF(AC27='Design Inputs'!$D$4,1,0)</f>
        <v>0</v>
      </c>
      <c r="AD29" s="606">
        <f>IF(AD27='Design Inputs'!$D$4,1,0)</f>
        <v>0</v>
      </c>
      <c r="AE29" s="606">
        <f>IF(AE27='Design Inputs'!$D$4,1,0)</f>
        <v>0</v>
      </c>
      <c r="AF29" s="606">
        <f>IF(AF27='Design Inputs'!$D$4,1,0)</f>
        <v>0</v>
      </c>
      <c r="AG29" s="606">
        <f>IF(AG27='Design Inputs'!$D$4,1,0)</f>
        <v>0</v>
      </c>
      <c r="AK29" s="606"/>
    </row>
    <row r="30" spans="1:41">
      <c r="A30" s="601" t="s">
        <v>850</v>
      </c>
      <c r="B30" s="606">
        <f t="shared" ref="B30:AG30" si="0">B28*B29</f>
        <v>0</v>
      </c>
      <c r="C30" s="606">
        <f t="shared" si="0"/>
        <v>0</v>
      </c>
      <c r="D30" s="606">
        <f t="shared" si="0"/>
        <v>0</v>
      </c>
      <c r="E30" s="606">
        <f t="shared" si="0"/>
        <v>0</v>
      </c>
      <c r="F30" s="606">
        <f t="shared" si="0"/>
        <v>0</v>
      </c>
      <c r="G30" s="606">
        <f t="shared" si="0"/>
        <v>0</v>
      </c>
      <c r="H30" s="606">
        <f t="shared" si="0"/>
        <v>0</v>
      </c>
      <c r="I30" s="606">
        <f t="shared" si="0"/>
        <v>0</v>
      </c>
      <c r="J30" s="606">
        <f t="shared" si="0"/>
        <v>5</v>
      </c>
      <c r="K30" s="606">
        <f t="shared" si="0"/>
        <v>10</v>
      </c>
      <c r="L30" s="606">
        <f t="shared" si="0"/>
        <v>15</v>
      </c>
      <c r="M30" s="606">
        <f t="shared" si="0"/>
        <v>25</v>
      </c>
      <c r="N30" s="606">
        <f t="shared" si="0"/>
        <v>0</v>
      </c>
      <c r="O30" s="606">
        <f t="shared" si="0"/>
        <v>0</v>
      </c>
      <c r="P30" s="606">
        <f t="shared" si="0"/>
        <v>0</v>
      </c>
      <c r="Q30" s="606">
        <f t="shared" si="0"/>
        <v>0</v>
      </c>
      <c r="R30" s="606">
        <f t="shared" si="0"/>
        <v>0</v>
      </c>
      <c r="S30" s="606">
        <f t="shared" si="0"/>
        <v>0</v>
      </c>
      <c r="T30" s="606">
        <f t="shared" si="0"/>
        <v>0</v>
      </c>
      <c r="U30" s="606">
        <f t="shared" si="0"/>
        <v>0</v>
      </c>
      <c r="V30" s="606">
        <f t="shared" si="0"/>
        <v>0</v>
      </c>
      <c r="W30" s="606">
        <f t="shared" si="0"/>
        <v>0</v>
      </c>
      <c r="X30" s="606">
        <f t="shared" si="0"/>
        <v>0</v>
      </c>
      <c r="Y30" s="606">
        <f t="shared" si="0"/>
        <v>0</v>
      </c>
      <c r="Z30" s="606">
        <f t="shared" si="0"/>
        <v>0</v>
      </c>
      <c r="AA30" s="606">
        <f t="shared" si="0"/>
        <v>0</v>
      </c>
      <c r="AB30" s="606">
        <f t="shared" si="0"/>
        <v>0</v>
      </c>
      <c r="AC30" s="606">
        <f t="shared" si="0"/>
        <v>0</v>
      </c>
      <c r="AD30" s="606">
        <f t="shared" si="0"/>
        <v>0</v>
      </c>
      <c r="AE30" s="606">
        <f t="shared" si="0"/>
        <v>0</v>
      </c>
      <c r="AF30" s="606">
        <f t="shared" si="0"/>
        <v>0</v>
      </c>
      <c r="AG30" s="606">
        <f t="shared" si="0"/>
        <v>0</v>
      </c>
      <c r="AK30" s="606"/>
    </row>
    <row r="31" spans="1:41">
      <c r="A31" s="601">
        <v>0</v>
      </c>
      <c r="B31" s="262">
        <f>B62*$A$28</f>
        <v>1510.2</v>
      </c>
      <c r="C31" s="262">
        <f t="shared" ref="C31:AG39" si="1">C62*$A$28</f>
        <v>1548</v>
      </c>
      <c r="D31" s="262">
        <f t="shared" si="1"/>
        <v>1575.9</v>
      </c>
      <c r="E31" s="262">
        <f t="shared" si="1"/>
        <v>1605.6000000000001</v>
      </c>
      <c r="F31" s="262">
        <f t="shared" si="1"/>
        <v>1678.5</v>
      </c>
      <c r="G31" s="262">
        <f t="shared" si="1"/>
        <v>1723.5</v>
      </c>
      <c r="H31" s="262">
        <f t="shared" si="1"/>
        <v>1757.7</v>
      </c>
      <c r="I31" s="262">
        <f t="shared" si="1"/>
        <v>1794.6000000000001</v>
      </c>
      <c r="J31" s="262">
        <f t="shared" si="1"/>
        <v>1569.6000000000001</v>
      </c>
      <c r="K31" s="262">
        <f t="shared" si="1"/>
        <v>1605.6000000000001</v>
      </c>
      <c r="L31" s="262">
        <f t="shared" si="1"/>
        <v>1632.6000000000001</v>
      </c>
      <c r="M31" s="262">
        <f t="shared" si="1"/>
        <v>1658.7</v>
      </c>
      <c r="N31" s="262">
        <f t="shared" si="1"/>
        <v>1278</v>
      </c>
      <c r="O31" s="262">
        <f t="shared" si="1"/>
        <v>1308.6000000000001</v>
      </c>
      <c r="P31" s="262">
        <f t="shared" si="1"/>
        <v>1331.1000000000001</v>
      </c>
      <c r="Q31" s="262">
        <f t="shared" si="1"/>
        <v>1356.3</v>
      </c>
      <c r="R31" s="262">
        <f t="shared" si="1"/>
        <v>1610.1000000000001</v>
      </c>
      <c r="S31" s="262">
        <f t="shared" si="1"/>
        <v>1643.4</v>
      </c>
      <c r="T31" s="262">
        <f t="shared" si="1"/>
        <v>1667.7</v>
      </c>
      <c r="U31" s="262">
        <f t="shared" si="1"/>
        <v>1686.6000000000001</v>
      </c>
      <c r="V31" s="262">
        <f t="shared" si="1"/>
        <v>1465.2</v>
      </c>
      <c r="W31" s="262">
        <f t="shared" si="1"/>
        <v>1496.7</v>
      </c>
      <c r="X31" s="262">
        <f t="shared" si="1"/>
        <v>1520.1000000000001</v>
      </c>
      <c r="Y31" s="262">
        <f t="shared" si="1"/>
        <v>1541.7</v>
      </c>
      <c r="Z31" s="262">
        <f t="shared" si="1"/>
        <v>1615.5</v>
      </c>
      <c r="AA31" s="262">
        <f t="shared" si="1"/>
        <v>1649.7</v>
      </c>
      <c r="AB31" s="262">
        <f t="shared" si="1"/>
        <v>1674.9</v>
      </c>
      <c r="AC31" s="262">
        <f t="shared" si="1"/>
        <v>1696.5</v>
      </c>
      <c r="AD31" s="262">
        <f t="shared" si="1"/>
        <v>1421.1000000000001</v>
      </c>
      <c r="AE31" s="262">
        <f t="shared" si="1"/>
        <v>1460.7</v>
      </c>
      <c r="AF31" s="262">
        <f t="shared" si="1"/>
        <v>1492.2</v>
      </c>
      <c r="AG31" s="262">
        <f t="shared" si="1"/>
        <v>1528.2</v>
      </c>
      <c r="AK31" s="606"/>
    </row>
    <row r="32" spans="1:41">
      <c r="A32" s="601">
        <v>15</v>
      </c>
      <c r="B32" s="262">
        <f t="shared" ref="B32:Q53" si="2">B63*$A$28</f>
        <v>1509.3</v>
      </c>
      <c r="C32" s="262">
        <f t="shared" si="2"/>
        <v>1546.2</v>
      </c>
      <c r="D32" s="262">
        <f t="shared" si="2"/>
        <v>1574.1000000000001</v>
      </c>
      <c r="E32" s="262">
        <f t="shared" si="2"/>
        <v>1602.9</v>
      </c>
      <c r="F32" s="262">
        <f t="shared" si="2"/>
        <v>1677.6000000000001</v>
      </c>
      <c r="G32" s="262">
        <f t="shared" si="2"/>
        <v>1720.8</v>
      </c>
      <c r="H32" s="262">
        <f t="shared" si="2"/>
        <v>1754.1000000000001</v>
      </c>
      <c r="I32" s="262">
        <f t="shared" si="2"/>
        <v>1791.9</v>
      </c>
      <c r="J32" s="262">
        <f t="shared" si="2"/>
        <v>1569.6000000000001</v>
      </c>
      <c r="K32" s="262">
        <f t="shared" si="2"/>
        <v>1605.6000000000001</v>
      </c>
      <c r="L32" s="262">
        <f t="shared" si="2"/>
        <v>1631.7</v>
      </c>
      <c r="M32" s="262">
        <f t="shared" si="2"/>
        <v>1657.8</v>
      </c>
      <c r="N32" s="262">
        <f t="shared" si="2"/>
        <v>1277.1000000000001</v>
      </c>
      <c r="O32" s="262">
        <f t="shared" si="2"/>
        <v>1306.8</v>
      </c>
      <c r="P32" s="262">
        <f t="shared" si="2"/>
        <v>1328.4</v>
      </c>
      <c r="Q32" s="262">
        <f t="shared" si="2"/>
        <v>1350.9</v>
      </c>
      <c r="R32" s="262">
        <f t="shared" si="1"/>
        <v>1609.2</v>
      </c>
      <c r="S32" s="262">
        <f t="shared" si="1"/>
        <v>1642.5</v>
      </c>
      <c r="T32" s="262">
        <f t="shared" si="1"/>
        <v>1665.9</v>
      </c>
      <c r="U32" s="262">
        <f t="shared" si="1"/>
        <v>1684.8</v>
      </c>
      <c r="V32" s="262">
        <f t="shared" si="1"/>
        <v>1464.3</v>
      </c>
      <c r="W32" s="262">
        <f t="shared" si="1"/>
        <v>1495.8</v>
      </c>
      <c r="X32" s="262">
        <f t="shared" si="1"/>
        <v>1518.3</v>
      </c>
      <c r="Y32" s="262">
        <f t="shared" si="1"/>
        <v>1538.1000000000001</v>
      </c>
      <c r="Z32" s="262">
        <f t="shared" si="1"/>
        <v>1614.6000000000001</v>
      </c>
      <c r="AA32" s="262">
        <f t="shared" si="1"/>
        <v>1648.8</v>
      </c>
      <c r="AB32" s="262">
        <f t="shared" si="1"/>
        <v>1674</v>
      </c>
      <c r="AC32" s="262">
        <f t="shared" si="1"/>
        <v>1694.7</v>
      </c>
      <c r="AD32" s="262">
        <f t="shared" si="1"/>
        <v>1419.3</v>
      </c>
      <c r="AE32" s="262">
        <f t="shared" si="1"/>
        <v>1458</v>
      </c>
      <c r="AF32" s="262">
        <f t="shared" si="1"/>
        <v>1487.7</v>
      </c>
      <c r="AG32" s="262">
        <f t="shared" si="1"/>
        <v>1522.8</v>
      </c>
      <c r="AK32" s="606"/>
    </row>
    <row r="33" spans="1:37">
      <c r="A33" s="601">
        <v>30</v>
      </c>
      <c r="B33" s="262">
        <f t="shared" si="2"/>
        <v>1505.7</v>
      </c>
      <c r="C33" s="262">
        <f t="shared" si="1"/>
        <v>1538.1000000000001</v>
      </c>
      <c r="D33" s="262">
        <f t="shared" si="1"/>
        <v>1562.4</v>
      </c>
      <c r="E33" s="262">
        <f t="shared" si="1"/>
        <v>1585.8</v>
      </c>
      <c r="F33" s="262">
        <f t="shared" si="1"/>
        <v>1667.7</v>
      </c>
      <c r="G33" s="262">
        <f t="shared" si="1"/>
        <v>1710</v>
      </c>
      <c r="H33" s="262">
        <f t="shared" si="1"/>
        <v>1739.7</v>
      </c>
      <c r="I33" s="262">
        <f t="shared" si="1"/>
        <v>1768.5</v>
      </c>
      <c r="J33" s="262">
        <f t="shared" si="1"/>
        <v>1566</v>
      </c>
      <c r="K33" s="262">
        <f t="shared" si="1"/>
        <v>1598.4</v>
      </c>
      <c r="L33" s="262">
        <f t="shared" si="1"/>
        <v>1620.9</v>
      </c>
      <c r="M33" s="262">
        <f t="shared" si="1"/>
        <v>1641.6000000000001</v>
      </c>
      <c r="N33" s="262">
        <f t="shared" si="1"/>
        <v>1273.5</v>
      </c>
      <c r="O33" s="262">
        <f t="shared" si="1"/>
        <v>1298.7</v>
      </c>
      <c r="P33" s="262">
        <f t="shared" si="1"/>
        <v>1317.6000000000001</v>
      </c>
      <c r="Q33" s="262">
        <f t="shared" si="1"/>
        <v>1334.7</v>
      </c>
      <c r="R33" s="262">
        <f t="shared" si="1"/>
        <v>1605.6000000000001</v>
      </c>
      <c r="S33" s="262">
        <f t="shared" si="1"/>
        <v>1634.4</v>
      </c>
      <c r="T33" s="262">
        <f t="shared" si="1"/>
        <v>1654.2</v>
      </c>
      <c r="U33" s="262">
        <f t="shared" si="1"/>
        <v>1667.7</v>
      </c>
      <c r="V33" s="262">
        <f t="shared" si="1"/>
        <v>1460.7</v>
      </c>
      <c r="W33" s="262">
        <f t="shared" si="1"/>
        <v>1487.7</v>
      </c>
      <c r="X33" s="262">
        <f t="shared" si="1"/>
        <v>1506.6000000000001</v>
      </c>
      <c r="Y33" s="262">
        <f t="shared" si="1"/>
        <v>1522.8</v>
      </c>
      <c r="Z33" s="262">
        <f t="shared" si="1"/>
        <v>1610.1000000000001</v>
      </c>
      <c r="AA33" s="262">
        <f t="shared" si="1"/>
        <v>1640.7</v>
      </c>
      <c r="AB33" s="262">
        <f t="shared" si="1"/>
        <v>1661.4</v>
      </c>
      <c r="AC33" s="262">
        <f t="shared" si="1"/>
        <v>1677.6000000000001</v>
      </c>
      <c r="AD33" s="262">
        <f t="shared" si="1"/>
        <v>1414.8</v>
      </c>
      <c r="AE33" s="262">
        <f t="shared" si="1"/>
        <v>1448.1000000000001</v>
      </c>
      <c r="AF33" s="262">
        <f t="shared" si="1"/>
        <v>1473.3</v>
      </c>
      <c r="AG33" s="262">
        <f t="shared" si="1"/>
        <v>1500.3</v>
      </c>
      <c r="AK33" s="606"/>
    </row>
    <row r="34" spans="1:37">
      <c r="A34" s="601">
        <v>45</v>
      </c>
      <c r="B34" s="262">
        <f t="shared" si="2"/>
        <v>1498.5</v>
      </c>
      <c r="C34" s="262">
        <f t="shared" si="1"/>
        <v>1523.7</v>
      </c>
      <c r="D34" s="262">
        <f t="shared" si="1"/>
        <v>1540.8</v>
      </c>
      <c r="E34" s="262">
        <f t="shared" si="1"/>
        <v>1553.4</v>
      </c>
      <c r="F34" s="262">
        <f t="shared" si="1"/>
        <v>1663.2</v>
      </c>
      <c r="G34" s="262">
        <f t="shared" si="1"/>
        <v>1692</v>
      </c>
      <c r="H34" s="262">
        <f t="shared" si="1"/>
        <v>1713.6000000000001</v>
      </c>
      <c r="I34" s="262">
        <f t="shared" si="1"/>
        <v>1729.8</v>
      </c>
      <c r="J34" s="262">
        <f t="shared" si="1"/>
        <v>1558.8</v>
      </c>
      <c r="K34" s="262">
        <f t="shared" si="1"/>
        <v>1584</v>
      </c>
      <c r="L34" s="262">
        <f t="shared" si="1"/>
        <v>1601.1000000000001</v>
      </c>
      <c r="M34" s="262">
        <f t="shared" si="1"/>
        <v>1611.9</v>
      </c>
      <c r="N34" s="262">
        <f t="shared" si="1"/>
        <v>1267.2</v>
      </c>
      <c r="O34" s="262">
        <f t="shared" si="1"/>
        <v>1287</v>
      </c>
      <c r="P34" s="262">
        <f t="shared" si="1"/>
        <v>1299.6000000000001</v>
      </c>
      <c r="Q34" s="262">
        <f t="shared" si="1"/>
        <v>1306.8</v>
      </c>
      <c r="R34" s="262">
        <f t="shared" si="1"/>
        <v>1598.4</v>
      </c>
      <c r="S34" s="262">
        <f t="shared" si="1"/>
        <v>1620</v>
      </c>
      <c r="T34" s="262">
        <f t="shared" si="1"/>
        <v>1633.5</v>
      </c>
      <c r="U34" s="262">
        <f t="shared" si="1"/>
        <v>1636.2</v>
      </c>
      <c r="V34" s="262">
        <f t="shared" si="1"/>
        <v>1454.4</v>
      </c>
      <c r="W34" s="262">
        <f t="shared" si="1"/>
        <v>1475.1000000000001</v>
      </c>
      <c r="X34" s="262">
        <f t="shared" si="1"/>
        <v>1487.7</v>
      </c>
      <c r="Y34" s="262">
        <f t="shared" si="1"/>
        <v>1492.2</v>
      </c>
      <c r="Z34" s="262">
        <f t="shared" si="1"/>
        <v>1602.9</v>
      </c>
      <c r="AA34" s="262">
        <f t="shared" si="1"/>
        <v>1626.3</v>
      </c>
      <c r="AB34" s="262">
        <f t="shared" si="1"/>
        <v>1641.6000000000001</v>
      </c>
      <c r="AC34" s="262">
        <f t="shared" si="1"/>
        <v>1647.9</v>
      </c>
      <c r="AD34" s="262">
        <f t="shared" si="1"/>
        <v>1406.7</v>
      </c>
      <c r="AE34" s="262">
        <f t="shared" si="1"/>
        <v>1431.9</v>
      </c>
      <c r="AF34" s="262">
        <f t="shared" si="1"/>
        <v>1449.9</v>
      </c>
      <c r="AG34" s="262">
        <f t="shared" si="1"/>
        <v>1464.3</v>
      </c>
      <c r="AK34" s="606"/>
    </row>
    <row r="35" spans="1:37">
      <c r="A35" s="601">
        <v>60</v>
      </c>
      <c r="B35" s="262">
        <f t="shared" si="2"/>
        <v>1487.7</v>
      </c>
      <c r="C35" s="262">
        <f t="shared" si="1"/>
        <v>1503.9</v>
      </c>
      <c r="D35" s="262">
        <f t="shared" si="1"/>
        <v>1512</v>
      </c>
      <c r="E35" s="262">
        <f t="shared" si="1"/>
        <v>1509.3</v>
      </c>
      <c r="F35" s="262">
        <f t="shared" si="1"/>
        <v>1650.6000000000001</v>
      </c>
      <c r="G35" s="262">
        <f t="shared" si="1"/>
        <v>1667.7</v>
      </c>
      <c r="H35" s="262">
        <f t="shared" si="1"/>
        <v>1679.4</v>
      </c>
      <c r="I35" s="262">
        <f t="shared" si="1"/>
        <v>1676.7</v>
      </c>
      <c r="J35" s="262">
        <f t="shared" si="1"/>
        <v>1549.8</v>
      </c>
      <c r="K35" s="262">
        <f t="shared" si="1"/>
        <v>1566</v>
      </c>
      <c r="L35" s="262">
        <f t="shared" si="1"/>
        <v>1573.2</v>
      </c>
      <c r="M35" s="262">
        <f t="shared" si="1"/>
        <v>1569.6000000000001</v>
      </c>
      <c r="N35" s="262">
        <f t="shared" si="1"/>
        <v>1259.1000000000001</v>
      </c>
      <c r="O35" s="262">
        <f t="shared" si="1"/>
        <v>1269.9000000000001</v>
      </c>
      <c r="P35" s="262">
        <f t="shared" si="1"/>
        <v>1276.2</v>
      </c>
      <c r="Q35" s="262">
        <f t="shared" si="1"/>
        <v>1271.7</v>
      </c>
      <c r="R35" s="262">
        <f t="shared" si="1"/>
        <v>1588.5</v>
      </c>
      <c r="S35" s="262">
        <f t="shared" si="1"/>
        <v>1602</v>
      </c>
      <c r="T35" s="262">
        <f t="shared" si="1"/>
        <v>1606.5</v>
      </c>
      <c r="U35" s="262">
        <f t="shared" si="1"/>
        <v>1594.8</v>
      </c>
      <c r="V35" s="262">
        <f t="shared" si="1"/>
        <v>1445.4</v>
      </c>
      <c r="W35" s="262">
        <f t="shared" si="1"/>
        <v>1457.1000000000001</v>
      </c>
      <c r="X35" s="262">
        <f t="shared" si="1"/>
        <v>1462.5</v>
      </c>
      <c r="Y35" s="262">
        <f t="shared" si="1"/>
        <v>1456.2</v>
      </c>
      <c r="Z35" s="262">
        <f t="shared" si="1"/>
        <v>1593.9</v>
      </c>
      <c r="AA35" s="262">
        <f t="shared" si="1"/>
        <v>1607.4</v>
      </c>
      <c r="AB35" s="262">
        <f t="shared" si="1"/>
        <v>1614.6000000000001</v>
      </c>
      <c r="AC35" s="262">
        <f t="shared" si="1"/>
        <v>1604.7</v>
      </c>
      <c r="AD35" s="262">
        <f t="shared" si="1"/>
        <v>1395.9</v>
      </c>
      <c r="AE35" s="262">
        <f t="shared" si="1"/>
        <v>1410.3</v>
      </c>
      <c r="AF35" s="262">
        <f t="shared" si="1"/>
        <v>1419.3</v>
      </c>
      <c r="AG35" s="262">
        <f t="shared" si="1"/>
        <v>1417.5</v>
      </c>
      <c r="AK35" s="606"/>
    </row>
    <row r="36" spans="1:37">
      <c r="A36" s="601">
        <v>75</v>
      </c>
      <c r="B36" s="262">
        <f t="shared" si="2"/>
        <v>1476</v>
      </c>
      <c r="C36" s="262">
        <f t="shared" si="1"/>
        <v>1480.5</v>
      </c>
      <c r="D36" s="262">
        <f t="shared" si="1"/>
        <v>1476.9</v>
      </c>
      <c r="E36" s="262">
        <f t="shared" si="1"/>
        <v>1456.2</v>
      </c>
      <c r="F36" s="262">
        <f t="shared" si="1"/>
        <v>1636.2</v>
      </c>
      <c r="G36" s="262">
        <f t="shared" si="1"/>
        <v>1639.8</v>
      </c>
      <c r="H36" s="262">
        <f t="shared" si="1"/>
        <v>1637.1000000000001</v>
      </c>
      <c r="I36" s="262">
        <f t="shared" si="1"/>
        <v>1615.5</v>
      </c>
      <c r="J36" s="262">
        <f t="shared" si="1"/>
        <v>1538.1000000000001</v>
      </c>
      <c r="K36" s="262">
        <f t="shared" si="1"/>
        <v>1542.6000000000001</v>
      </c>
      <c r="L36" s="262">
        <f t="shared" si="1"/>
        <v>1539.9</v>
      </c>
      <c r="M36" s="262">
        <f t="shared" si="1"/>
        <v>1521</v>
      </c>
      <c r="N36" s="262">
        <f t="shared" si="1"/>
        <v>1249.2</v>
      </c>
      <c r="O36" s="262">
        <f t="shared" si="1"/>
        <v>1251</v>
      </c>
      <c r="P36" s="262">
        <f t="shared" si="1"/>
        <v>1248.3</v>
      </c>
      <c r="Q36" s="262">
        <f t="shared" si="1"/>
        <v>1228.5</v>
      </c>
      <c r="R36" s="262">
        <f t="shared" si="1"/>
        <v>1577.7</v>
      </c>
      <c r="S36" s="262">
        <f t="shared" si="1"/>
        <v>1579.5</v>
      </c>
      <c r="T36" s="262">
        <f t="shared" si="1"/>
        <v>1573.2</v>
      </c>
      <c r="U36" s="262">
        <f t="shared" si="1"/>
        <v>1548</v>
      </c>
      <c r="V36" s="262">
        <f t="shared" si="1"/>
        <v>1434.6000000000001</v>
      </c>
      <c r="W36" s="262">
        <f t="shared" si="1"/>
        <v>1436.4</v>
      </c>
      <c r="X36" s="262">
        <f t="shared" si="1"/>
        <v>1432.8</v>
      </c>
      <c r="Y36" s="262">
        <f t="shared" si="1"/>
        <v>1411.2</v>
      </c>
      <c r="Z36" s="262">
        <f t="shared" si="1"/>
        <v>1582.2</v>
      </c>
      <c r="AA36" s="262">
        <f t="shared" si="1"/>
        <v>1584.9</v>
      </c>
      <c r="AB36" s="262">
        <f t="shared" si="1"/>
        <v>1580.4</v>
      </c>
      <c r="AC36" s="262">
        <f t="shared" si="1"/>
        <v>1556.1000000000001</v>
      </c>
      <c r="AD36" s="262">
        <f t="shared" si="1"/>
        <v>1383.3</v>
      </c>
      <c r="AE36" s="262">
        <f t="shared" si="1"/>
        <v>1383.3</v>
      </c>
      <c r="AF36" s="262">
        <f t="shared" si="1"/>
        <v>1383.3</v>
      </c>
      <c r="AG36" s="262">
        <f t="shared" si="1"/>
        <v>1362.6000000000001</v>
      </c>
      <c r="AK36" s="606"/>
    </row>
    <row r="37" spans="1:37">
      <c r="A37" s="601">
        <v>90</v>
      </c>
      <c r="B37" s="262">
        <f t="shared" si="2"/>
        <v>1462.5</v>
      </c>
      <c r="C37" s="262">
        <f t="shared" si="1"/>
        <v>1454.4</v>
      </c>
      <c r="D37" s="262">
        <f t="shared" si="1"/>
        <v>1439.1000000000001</v>
      </c>
      <c r="E37" s="262">
        <f t="shared" si="1"/>
        <v>1395.9</v>
      </c>
      <c r="F37" s="262">
        <f t="shared" si="1"/>
        <v>1620.9</v>
      </c>
      <c r="G37" s="262">
        <f t="shared" si="1"/>
        <v>1608.3</v>
      </c>
      <c r="H37" s="262">
        <f t="shared" si="1"/>
        <v>1592.1000000000001</v>
      </c>
      <c r="I37" s="262">
        <f t="shared" si="1"/>
        <v>1545.3</v>
      </c>
      <c r="J37" s="262">
        <f t="shared" si="1"/>
        <v>1525.5</v>
      </c>
      <c r="K37" s="262">
        <f t="shared" si="1"/>
        <v>1517.4</v>
      </c>
      <c r="L37" s="262">
        <f t="shared" si="1"/>
        <v>1503.9</v>
      </c>
      <c r="M37" s="262">
        <f t="shared" si="1"/>
        <v>1464.3</v>
      </c>
      <c r="N37" s="262">
        <f t="shared" si="1"/>
        <v>1238.4000000000001</v>
      </c>
      <c r="O37" s="262">
        <f t="shared" si="1"/>
        <v>1230.3</v>
      </c>
      <c r="P37" s="262">
        <f t="shared" si="1"/>
        <v>1218.6000000000001</v>
      </c>
      <c r="Q37" s="262">
        <f t="shared" si="1"/>
        <v>1181.7</v>
      </c>
      <c r="R37" s="262">
        <f t="shared" si="1"/>
        <v>1565.1000000000001</v>
      </c>
      <c r="S37" s="262">
        <f t="shared" si="1"/>
        <v>1554.3</v>
      </c>
      <c r="T37" s="262">
        <f t="shared" si="1"/>
        <v>1538.1000000000001</v>
      </c>
      <c r="U37" s="262">
        <f t="shared" si="1"/>
        <v>1492.2</v>
      </c>
      <c r="V37" s="262">
        <f t="shared" si="1"/>
        <v>1422.9</v>
      </c>
      <c r="W37" s="262">
        <f t="shared" si="1"/>
        <v>1413.9</v>
      </c>
      <c r="X37" s="262">
        <f t="shared" si="1"/>
        <v>1394.1000000000001</v>
      </c>
      <c r="Y37" s="262">
        <f t="shared" si="1"/>
        <v>1359</v>
      </c>
      <c r="Z37" s="262">
        <f t="shared" si="1"/>
        <v>1569.6000000000001</v>
      </c>
      <c r="AA37" s="262">
        <f t="shared" si="1"/>
        <v>1559.7</v>
      </c>
      <c r="AB37" s="262">
        <f t="shared" si="1"/>
        <v>1543.5</v>
      </c>
      <c r="AC37" s="262">
        <f t="shared" si="1"/>
        <v>1499.4</v>
      </c>
      <c r="AD37" s="262">
        <f t="shared" si="1"/>
        <v>1368.9</v>
      </c>
      <c r="AE37" s="262">
        <f t="shared" si="1"/>
        <v>1359</v>
      </c>
      <c r="AF37" s="262">
        <f t="shared" si="1"/>
        <v>1343.7</v>
      </c>
      <c r="AG37" s="262">
        <f t="shared" si="1"/>
        <v>1301.4000000000001</v>
      </c>
      <c r="AK37" s="606"/>
    </row>
    <row r="38" spans="1:37">
      <c r="A38" s="601">
        <v>115</v>
      </c>
      <c r="B38" s="262">
        <f t="shared" si="2"/>
        <v>1440.9</v>
      </c>
      <c r="C38" s="262">
        <f t="shared" si="1"/>
        <v>1410.3</v>
      </c>
      <c r="D38" s="262">
        <f t="shared" si="1"/>
        <v>1373.4</v>
      </c>
      <c r="E38" s="262">
        <f t="shared" si="1"/>
        <v>1287.9000000000001</v>
      </c>
      <c r="F38" s="262">
        <f t="shared" si="1"/>
        <v>1594.8</v>
      </c>
      <c r="G38" s="262">
        <f t="shared" si="1"/>
        <v>1557</v>
      </c>
      <c r="H38" s="262">
        <f t="shared" si="1"/>
        <v>1514.7</v>
      </c>
      <c r="I38" s="262">
        <f t="shared" si="1"/>
        <v>1419.3</v>
      </c>
      <c r="J38" s="262">
        <f t="shared" si="1"/>
        <v>1503.9</v>
      </c>
      <c r="K38" s="262">
        <f t="shared" si="1"/>
        <v>1475.1000000000001</v>
      </c>
      <c r="L38" s="262">
        <f t="shared" si="1"/>
        <v>1440.9</v>
      </c>
      <c r="M38" s="262">
        <f t="shared" si="1"/>
        <v>1360.8</v>
      </c>
      <c r="N38" s="262">
        <f t="shared" si="1"/>
        <v>1221.3</v>
      </c>
      <c r="O38" s="262">
        <f t="shared" si="1"/>
        <v>1196.1000000000001</v>
      </c>
      <c r="P38" s="262">
        <f t="shared" si="1"/>
        <v>1166.4000000000001</v>
      </c>
      <c r="Q38" s="262">
        <f t="shared" si="1"/>
        <v>1098.9000000000001</v>
      </c>
      <c r="R38" s="262">
        <f t="shared" si="1"/>
        <v>1545.3</v>
      </c>
      <c r="S38" s="262">
        <f t="shared" si="1"/>
        <v>1513.8</v>
      </c>
      <c r="T38" s="262">
        <f t="shared" si="1"/>
        <v>1478.7</v>
      </c>
      <c r="U38" s="262">
        <f t="shared" si="1"/>
        <v>1394.1000000000001</v>
      </c>
      <c r="V38" s="262">
        <f t="shared" si="1"/>
        <v>1404</v>
      </c>
      <c r="W38" s="262">
        <f t="shared" si="1"/>
        <v>1376.1000000000001</v>
      </c>
      <c r="X38" s="262">
        <f t="shared" si="1"/>
        <v>1344.6000000000001</v>
      </c>
      <c r="Y38" s="262">
        <f t="shared" si="1"/>
        <v>1269</v>
      </c>
      <c r="Z38" s="262">
        <f t="shared" si="1"/>
        <v>1548</v>
      </c>
      <c r="AA38" s="262">
        <f t="shared" si="1"/>
        <v>1516.5</v>
      </c>
      <c r="AB38" s="262">
        <f t="shared" si="1"/>
        <v>1480.5</v>
      </c>
      <c r="AC38" s="262">
        <f t="shared" si="1"/>
        <v>1395</v>
      </c>
      <c r="AD38" s="262">
        <f t="shared" si="1"/>
        <v>1347.3</v>
      </c>
      <c r="AE38" s="262">
        <f t="shared" si="1"/>
        <v>1314</v>
      </c>
      <c r="AF38" s="262">
        <f t="shared" si="1"/>
        <v>1277.1000000000001</v>
      </c>
      <c r="AG38" s="262">
        <f t="shared" si="1"/>
        <v>1193.4000000000001</v>
      </c>
      <c r="AK38" s="606"/>
    </row>
    <row r="39" spans="1:37">
      <c r="A39" s="601">
        <v>130</v>
      </c>
      <c r="B39" s="262">
        <f t="shared" si="2"/>
        <v>1429.2</v>
      </c>
      <c r="C39" s="262">
        <f t="shared" si="1"/>
        <v>1386</v>
      </c>
      <c r="D39" s="262">
        <f t="shared" si="1"/>
        <v>1336.5</v>
      </c>
      <c r="E39" s="262">
        <f t="shared" si="1"/>
        <v>1225.8</v>
      </c>
      <c r="F39" s="262">
        <f t="shared" si="1"/>
        <v>1581.3</v>
      </c>
      <c r="G39" s="262">
        <f t="shared" si="1"/>
        <v>1529.1000000000001</v>
      </c>
      <c r="H39" s="262">
        <f t="shared" si="1"/>
        <v>1471.5</v>
      </c>
      <c r="I39" s="262">
        <f t="shared" si="1"/>
        <v>1345.5</v>
      </c>
      <c r="J39" s="262">
        <f t="shared" si="1"/>
        <v>1492.2</v>
      </c>
      <c r="K39" s="262">
        <f t="shared" si="1"/>
        <v>1450.8</v>
      </c>
      <c r="L39" s="262">
        <f t="shared" si="1"/>
        <v>1404.9</v>
      </c>
      <c r="M39" s="262">
        <f t="shared" si="1"/>
        <v>1299.6000000000001</v>
      </c>
      <c r="N39" s="262">
        <f t="shared" si="1"/>
        <v>1212.3</v>
      </c>
      <c r="O39" s="262">
        <f t="shared" si="1"/>
        <v>1177.2</v>
      </c>
      <c r="P39" s="262">
        <f t="shared" si="1"/>
        <v>1138.5</v>
      </c>
      <c r="Q39" s="262">
        <f t="shared" si="1"/>
        <v>1050.3</v>
      </c>
      <c r="R39" s="262">
        <f t="shared" si="1"/>
        <v>1533.6000000000001</v>
      </c>
      <c r="S39" s="262">
        <f t="shared" si="1"/>
        <v>1492.2</v>
      </c>
      <c r="T39" s="262">
        <f t="shared" si="1"/>
        <v>1444.5</v>
      </c>
      <c r="U39" s="262">
        <f t="shared" si="1"/>
        <v>1335.6000000000001</v>
      </c>
      <c r="V39" s="262">
        <f t="shared" si="1"/>
        <v>1394.1000000000001</v>
      </c>
      <c r="W39" s="262">
        <f t="shared" si="1"/>
        <v>1356.3</v>
      </c>
      <c r="X39" s="262">
        <f t="shared" si="1"/>
        <v>1313.1000000000001</v>
      </c>
      <c r="Y39" s="262">
        <f t="shared" ref="C39:AG47" si="3">Y70*$A$28</f>
        <v>1214.1000000000001</v>
      </c>
      <c r="Z39" s="262">
        <f t="shared" si="3"/>
        <v>1537.2</v>
      </c>
      <c r="AA39" s="262">
        <f t="shared" si="3"/>
        <v>1494</v>
      </c>
      <c r="AB39" s="262">
        <f t="shared" si="3"/>
        <v>1445.4</v>
      </c>
      <c r="AC39" s="262">
        <f t="shared" si="3"/>
        <v>1334.7</v>
      </c>
      <c r="AD39" s="262">
        <f t="shared" si="3"/>
        <v>1335.6000000000001</v>
      </c>
      <c r="AE39" s="262">
        <f t="shared" si="3"/>
        <v>1287</v>
      </c>
      <c r="AF39" s="262">
        <f t="shared" si="3"/>
        <v>1241.1000000000001</v>
      </c>
      <c r="AG39" s="262">
        <f t="shared" si="3"/>
        <v>1132.2</v>
      </c>
      <c r="AK39" s="606"/>
    </row>
    <row r="40" spans="1:37">
      <c r="A40" s="601">
        <v>145</v>
      </c>
      <c r="B40" s="262">
        <f t="shared" si="2"/>
        <v>1419.3</v>
      </c>
      <c r="C40" s="262">
        <f t="shared" si="3"/>
        <v>1366.2</v>
      </c>
      <c r="D40" s="262">
        <f t="shared" si="3"/>
        <v>1306.8</v>
      </c>
      <c r="E40" s="262">
        <f t="shared" si="3"/>
        <v>1171.8</v>
      </c>
      <c r="F40" s="262">
        <f t="shared" si="3"/>
        <v>1569.6000000000001</v>
      </c>
      <c r="G40" s="262">
        <f t="shared" si="3"/>
        <v>1505.7</v>
      </c>
      <c r="H40" s="262">
        <f t="shared" si="3"/>
        <v>1436.4</v>
      </c>
      <c r="I40" s="262">
        <f t="shared" si="3"/>
        <v>1279.8</v>
      </c>
      <c r="J40" s="262">
        <f t="shared" si="3"/>
        <v>1482.3</v>
      </c>
      <c r="K40" s="262">
        <f t="shared" si="3"/>
        <v>1431</v>
      </c>
      <c r="L40" s="262">
        <f t="shared" si="3"/>
        <v>1374.3</v>
      </c>
      <c r="M40" s="262">
        <f t="shared" si="3"/>
        <v>1243.8</v>
      </c>
      <c r="N40" s="262">
        <f t="shared" si="3"/>
        <v>1204.2</v>
      </c>
      <c r="O40" s="262">
        <f t="shared" si="3"/>
        <v>1161.9000000000001</v>
      </c>
      <c r="P40" s="262">
        <f t="shared" si="3"/>
        <v>1115.1000000000001</v>
      </c>
      <c r="Q40" s="262">
        <f t="shared" si="3"/>
        <v>1008.9</v>
      </c>
      <c r="R40" s="262">
        <f t="shared" si="3"/>
        <v>1524.6000000000001</v>
      </c>
      <c r="S40" s="262">
        <f t="shared" si="3"/>
        <v>1473.3</v>
      </c>
      <c r="T40" s="262">
        <f t="shared" si="3"/>
        <v>1415.7</v>
      </c>
      <c r="U40" s="262">
        <f t="shared" si="3"/>
        <v>1283.4000000000001</v>
      </c>
      <c r="V40" s="262">
        <f t="shared" si="3"/>
        <v>1386</v>
      </c>
      <c r="W40" s="262">
        <f t="shared" si="3"/>
        <v>1339.2</v>
      </c>
      <c r="X40" s="262">
        <f t="shared" si="3"/>
        <v>1286.1000000000001</v>
      </c>
      <c r="Y40" s="262">
        <f t="shared" si="3"/>
        <v>1166.4000000000001</v>
      </c>
      <c r="Z40" s="262">
        <f t="shared" si="3"/>
        <v>1528.2</v>
      </c>
      <c r="AA40" s="262">
        <f t="shared" si="3"/>
        <v>1475.1000000000001</v>
      </c>
      <c r="AB40" s="262">
        <f t="shared" si="3"/>
        <v>1415.7</v>
      </c>
      <c r="AC40" s="262">
        <f t="shared" si="3"/>
        <v>1279.8</v>
      </c>
      <c r="AD40" s="262">
        <f t="shared" si="3"/>
        <v>1325.7</v>
      </c>
      <c r="AE40" s="262">
        <f t="shared" si="3"/>
        <v>1266.3</v>
      </c>
      <c r="AF40" s="262">
        <f t="shared" si="3"/>
        <v>1211.4000000000001</v>
      </c>
      <c r="AG40" s="262">
        <f t="shared" si="3"/>
        <v>1079.1000000000001</v>
      </c>
      <c r="AK40" s="606"/>
    </row>
    <row r="41" spans="1:37">
      <c r="A41" s="601">
        <v>165</v>
      </c>
      <c r="B41" s="262">
        <f t="shared" si="2"/>
        <v>1410.3</v>
      </c>
      <c r="C41" s="262">
        <f t="shared" si="3"/>
        <v>1348.2</v>
      </c>
      <c r="D41" s="262">
        <f t="shared" si="3"/>
        <v>1278</v>
      </c>
      <c r="E41" s="262">
        <f t="shared" si="3"/>
        <v>1120.5</v>
      </c>
      <c r="F41" s="262">
        <f t="shared" si="3"/>
        <v>1559.7</v>
      </c>
      <c r="G41" s="262">
        <f t="shared" si="3"/>
        <v>1485.9</v>
      </c>
      <c r="H41" s="262">
        <f t="shared" si="3"/>
        <v>1404</v>
      </c>
      <c r="I41" s="262">
        <f t="shared" si="3"/>
        <v>1218.6000000000001</v>
      </c>
      <c r="J41" s="262">
        <f t="shared" si="3"/>
        <v>1473.3</v>
      </c>
      <c r="K41" s="262">
        <f t="shared" si="3"/>
        <v>1413</v>
      </c>
      <c r="L41" s="262">
        <f t="shared" si="3"/>
        <v>1344.6000000000001</v>
      </c>
      <c r="M41" s="262">
        <f t="shared" si="3"/>
        <v>1188.9000000000001</v>
      </c>
      <c r="N41" s="262">
        <f t="shared" si="3"/>
        <v>1197.9000000000001</v>
      </c>
      <c r="O41" s="262">
        <f t="shared" si="3"/>
        <v>1148.4000000000001</v>
      </c>
      <c r="P41" s="262">
        <f t="shared" si="3"/>
        <v>1098</v>
      </c>
      <c r="Q41" s="262">
        <f t="shared" si="3"/>
        <v>969.30000000000007</v>
      </c>
      <c r="R41" s="262">
        <f t="shared" si="3"/>
        <v>1516.5</v>
      </c>
      <c r="S41" s="262">
        <f t="shared" si="3"/>
        <v>1458</v>
      </c>
      <c r="T41" s="262">
        <f t="shared" si="3"/>
        <v>1395</v>
      </c>
      <c r="U41" s="262">
        <f t="shared" si="3"/>
        <v>1233</v>
      </c>
      <c r="V41" s="262">
        <f t="shared" si="3"/>
        <v>1377.9</v>
      </c>
      <c r="W41" s="262">
        <f t="shared" si="3"/>
        <v>1323</v>
      </c>
      <c r="X41" s="262">
        <f t="shared" si="3"/>
        <v>1261.8</v>
      </c>
      <c r="Y41" s="262">
        <f t="shared" si="3"/>
        <v>1120.5</v>
      </c>
      <c r="Z41" s="262">
        <f t="shared" si="3"/>
        <v>1519.2</v>
      </c>
      <c r="AA41" s="262">
        <f t="shared" si="3"/>
        <v>1458.9</v>
      </c>
      <c r="AB41" s="262">
        <f t="shared" si="3"/>
        <v>1387.8</v>
      </c>
      <c r="AC41" s="262">
        <f t="shared" si="3"/>
        <v>1227.6000000000001</v>
      </c>
      <c r="AD41" s="262">
        <f t="shared" si="3"/>
        <v>1319.4</v>
      </c>
      <c r="AE41" s="262">
        <f t="shared" si="3"/>
        <v>1254.6000000000001</v>
      </c>
      <c r="AF41" s="262">
        <f t="shared" si="3"/>
        <v>1185.3</v>
      </c>
      <c r="AG41" s="262">
        <f t="shared" si="3"/>
        <v>1040.4000000000001</v>
      </c>
      <c r="AK41" s="606"/>
    </row>
    <row r="42" spans="1:37">
      <c r="A42" s="601">
        <v>180</v>
      </c>
      <c r="B42" s="262">
        <f t="shared" si="2"/>
        <v>1407.6000000000001</v>
      </c>
      <c r="C42" s="262">
        <f t="shared" si="3"/>
        <v>1341.9</v>
      </c>
      <c r="D42" s="262">
        <f t="shared" si="3"/>
        <v>1269.9000000000001</v>
      </c>
      <c r="E42" s="262">
        <f t="shared" si="3"/>
        <v>1104.3</v>
      </c>
      <c r="F42" s="262">
        <f t="shared" si="3"/>
        <v>1557</v>
      </c>
      <c r="G42" s="262">
        <f t="shared" si="3"/>
        <v>1480.5</v>
      </c>
      <c r="H42" s="262">
        <f t="shared" si="3"/>
        <v>1394.1000000000001</v>
      </c>
      <c r="I42" s="262">
        <f t="shared" si="3"/>
        <v>1198.8</v>
      </c>
      <c r="J42" s="262">
        <f t="shared" si="3"/>
        <v>1470.6000000000001</v>
      </c>
      <c r="K42" s="262">
        <f t="shared" si="3"/>
        <v>1406.7</v>
      </c>
      <c r="L42" s="262">
        <f t="shared" si="3"/>
        <v>1334.7</v>
      </c>
      <c r="M42" s="262">
        <f t="shared" si="3"/>
        <v>1170.9000000000001</v>
      </c>
      <c r="N42" s="262">
        <f t="shared" si="3"/>
        <v>1196.1000000000001</v>
      </c>
      <c r="O42" s="262">
        <f t="shared" si="3"/>
        <v>1144.8</v>
      </c>
      <c r="P42" s="262">
        <f t="shared" si="3"/>
        <v>1087.2</v>
      </c>
      <c r="Q42" s="262">
        <f t="shared" si="3"/>
        <v>957.6</v>
      </c>
      <c r="R42" s="262">
        <f t="shared" si="3"/>
        <v>1514.7</v>
      </c>
      <c r="S42" s="262">
        <f t="shared" si="3"/>
        <v>1452.6000000000001</v>
      </c>
      <c r="T42" s="262">
        <f t="shared" si="3"/>
        <v>1381.5</v>
      </c>
      <c r="U42" s="262">
        <f t="shared" si="3"/>
        <v>1217.7</v>
      </c>
      <c r="V42" s="262">
        <f t="shared" si="3"/>
        <v>1376.1000000000001</v>
      </c>
      <c r="W42" s="262">
        <f t="shared" si="3"/>
        <v>1318.5</v>
      </c>
      <c r="X42" s="262">
        <f t="shared" si="3"/>
        <v>1253.7</v>
      </c>
      <c r="Y42" s="262">
        <f t="shared" si="3"/>
        <v>1106.1000000000001</v>
      </c>
      <c r="Z42" s="262">
        <f t="shared" si="3"/>
        <v>1516.5</v>
      </c>
      <c r="AA42" s="262">
        <f t="shared" si="3"/>
        <v>1453.5</v>
      </c>
      <c r="AB42" s="262">
        <f t="shared" si="3"/>
        <v>1380.6000000000001</v>
      </c>
      <c r="AC42" s="262">
        <f t="shared" si="3"/>
        <v>1210.5</v>
      </c>
      <c r="AD42" s="262">
        <f t="shared" si="3"/>
        <v>1315.8</v>
      </c>
      <c r="AE42" s="262">
        <f t="shared" si="3"/>
        <v>1251</v>
      </c>
      <c r="AF42" s="262">
        <f t="shared" si="3"/>
        <v>1178.1000000000001</v>
      </c>
      <c r="AG42" s="262">
        <f t="shared" si="3"/>
        <v>1017</v>
      </c>
      <c r="AK42" s="606"/>
    </row>
    <row r="43" spans="1:37">
      <c r="A43" s="601">
        <v>195</v>
      </c>
      <c r="B43" s="262">
        <f t="shared" si="2"/>
        <v>1407.6000000000001</v>
      </c>
      <c r="C43" s="262">
        <f t="shared" si="3"/>
        <v>1343.7</v>
      </c>
      <c r="D43" s="262">
        <f t="shared" si="3"/>
        <v>1271.7</v>
      </c>
      <c r="E43" s="262">
        <f t="shared" si="3"/>
        <v>1109.7</v>
      </c>
      <c r="F43" s="262">
        <f t="shared" si="3"/>
        <v>1557.9</v>
      </c>
      <c r="G43" s="262">
        <f t="shared" si="3"/>
        <v>1483.2</v>
      </c>
      <c r="H43" s="262">
        <f t="shared" si="3"/>
        <v>1397.7</v>
      </c>
      <c r="I43" s="262">
        <f t="shared" si="3"/>
        <v>1208.7</v>
      </c>
      <c r="J43" s="262">
        <f t="shared" si="3"/>
        <v>1470.6000000000001</v>
      </c>
      <c r="K43" s="262">
        <f t="shared" si="3"/>
        <v>1407.6000000000001</v>
      </c>
      <c r="L43" s="262">
        <f t="shared" si="3"/>
        <v>1337.4</v>
      </c>
      <c r="M43" s="262">
        <f t="shared" si="3"/>
        <v>1176.3</v>
      </c>
      <c r="N43" s="262">
        <f t="shared" si="3"/>
        <v>1197</v>
      </c>
      <c r="O43" s="262">
        <f t="shared" si="3"/>
        <v>1146.6000000000001</v>
      </c>
      <c r="P43" s="262">
        <f t="shared" si="3"/>
        <v>1090.8</v>
      </c>
      <c r="Q43" s="262">
        <f t="shared" si="3"/>
        <v>964.80000000000007</v>
      </c>
      <c r="R43" s="262">
        <f t="shared" si="3"/>
        <v>1514.7</v>
      </c>
      <c r="S43" s="262">
        <f t="shared" si="3"/>
        <v>1453.5</v>
      </c>
      <c r="T43" s="262">
        <f t="shared" si="3"/>
        <v>1384.2</v>
      </c>
      <c r="U43" s="262">
        <f t="shared" si="3"/>
        <v>1224</v>
      </c>
      <c r="V43" s="262">
        <f t="shared" si="3"/>
        <v>1376.1000000000001</v>
      </c>
      <c r="W43" s="262">
        <f t="shared" si="3"/>
        <v>1320.3</v>
      </c>
      <c r="X43" s="262">
        <f t="shared" si="3"/>
        <v>1256.4000000000001</v>
      </c>
      <c r="Y43" s="262">
        <f t="shared" si="3"/>
        <v>1111.5</v>
      </c>
      <c r="Z43" s="262">
        <f t="shared" si="3"/>
        <v>1517.4</v>
      </c>
      <c r="AA43" s="262">
        <f t="shared" si="3"/>
        <v>1454.4</v>
      </c>
      <c r="AB43" s="262">
        <f t="shared" si="3"/>
        <v>1382.4</v>
      </c>
      <c r="AC43" s="262">
        <f t="shared" si="3"/>
        <v>1217.7</v>
      </c>
      <c r="AD43" s="262">
        <f t="shared" si="3"/>
        <v>1317.6000000000001</v>
      </c>
      <c r="AE43" s="262">
        <f t="shared" si="3"/>
        <v>1253.7</v>
      </c>
      <c r="AF43" s="262">
        <f t="shared" si="3"/>
        <v>1183.5</v>
      </c>
      <c r="AG43" s="262">
        <f t="shared" si="3"/>
        <v>1026.9000000000001</v>
      </c>
      <c r="AK43" s="606"/>
    </row>
    <row r="44" spans="1:37">
      <c r="A44" s="601">
        <v>210</v>
      </c>
      <c r="B44" s="262">
        <f t="shared" si="2"/>
        <v>1411.2</v>
      </c>
      <c r="C44" s="262">
        <f t="shared" si="3"/>
        <v>1351.8</v>
      </c>
      <c r="D44" s="262">
        <f t="shared" si="3"/>
        <v>1285.2</v>
      </c>
      <c r="E44" s="262">
        <f t="shared" si="3"/>
        <v>1135.8</v>
      </c>
      <c r="F44" s="262">
        <f t="shared" si="3"/>
        <v>1563.3</v>
      </c>
      <c r="G44" s="262">
        <f t="shared" si="3"/>
        <v>1493.1000000000001</v>
      </c>
      <c r="H44" s="262">
        <f t="shared" si="3"/>
        <v>1414.8</v>
      </c>
      <c r="I44" s="262">
        <f t="shared" si="3"/>
        <v>1243.8</v>
      </c>
      <c r="J44" s="262">
        <f t="shared" si="3"/>
        <v>1473.3</v>
      </c>
      <c r="K44" s="262">
        <f t="shared" si="3"/>
        <v>1414.8</v>
      </c>
      <c r="L44" s="262">
        <f t="shared" si="3"/>
        <v>1350</v>
      </c>
      <c r="M44" s="262">
        <f t="shared" si="3"/>
        <v>1202.4000000000001</v>
      </c>
      <c r="N44" s="262">
        <f t="shared" si="3"/>
        <v>1200.6000000000001</v>
      </c>
      <c r="O44" s="262">
        <f t="shared" si="3"/>
        <v>1154.7</v>
      </c>
      <c r="P44" s="262">
        <f t="shared" si="3"/>
        <v>1103.4000000000001</v>
      </c>
      <c r="Q44" s="262">
        <f t="shared" si="3"/>
        <v>989.1</v>
      </c>
      <c r="R44" s="262">
        <f t="shared" si="3"/>
        <v>1518.3</v>
      </c>
      <c r="S44" s="262">
        <f t="shared" si="3"/>
        <v>1460.7</v>
      </c>
      <c r="T44" s="262">
        <f t="shared" si="3"/>
        <v>1396.8</v>
      </c>
      <c r="U44" s="262">
        <f t="shared" si="3"/>
        <v>1251</v>
      </c>
      <c r="V44" s="262">
        <f t="shared" si="3"/>
        <v>1379.7</v>
      </c>
      <c r="W44" s="262">
        <f t="shared" si="3"/>
        <v>1327.5</v>
      </c>
      <c r="X44" s="262">
        <f t="shared" si="3"/>
        <v>1269</v>
      </c>
      <c r="Y44" s="262">
        <f t="shared" si="3"/>
        <v>1136.7</v>
      </c>
      <c r="Z44" s="262">
        <f t="shared" si="3"/>
        <v>1521</v>
      </c>
      <c r="AA44" s="262">
        <f t="shared" si="3"/>
        <v>1462.5</v>
      </c>
      <c r="AB44" s="262">
        <f t="shared" si="3"/>
        <v>1395</v>
      </c>
      <c r="AC44" s="262">
        <f t="shared" si="3"/>
        <v>1244.7</v>
      </c>
      <c r="AD44" s="262">
        <f t="shared" si="3"/>
        <v>1322.1000000000001</v>
      </c>
      <c r="AE44" s="262">
        <f t="shared" si="3"/>
        <v>1263.6000000000001</v>
      </c>
      <c r="AF44" s="262">
        <f t="shared" si="3"/>
        <v>1199.7</v>
      </c>
      <c r="AG44" s="262">
        <f t="shared" si="3"/>
        <v>1058.4000000000001</v>
      </c>
      <c r="AK44" s="606"/>
    </row>
    <row r="45" spans="1:37">
      <c r="A45" s="601">
        <v>225</v>
      </c>
      <c r="B45" s="262">
        <f t="shared" si="2"/>
        <v>1418.4</v>
      </c>
      <c r="C45" s="262">
        <f t="shared" si="3"/>
        <v>1366.2</v>
      </c>
      <c r="D45" s="262">
        <f t="shared" si="3"/>
        <v>1307.7</v>
      </c>
      <c r="E45" s="262">
        <f t="shared" si="3"/>
        <v>1179</v>
      </c>
      <c r="F45" s="262">
        <f t="shared" si="3"/>
        <v>1572.3</v>
      </c>
      <c r="G45" s="262">
        <f t="shared" si="3"/>
        <v>1511.1000000000001</v>
      </c>
      <c r="H45" s="262">
        <f t="shared" si="3"/>
        <v>1443.6000000000001</v>
      </c>
      <c r="I45" s="262">
        <f t="shared" si="3"/>
        <v>1296.9000000000001</v>
      </c>
      <c r="J45" s="262">
        <f t="shared" si="3"/>
        <v>1479.6000000000001</v>
      </c>
      <c r="K45" s="262">
        <f t="shared" si="3"/>
        <v>1429.2</v>
      </c>
      <c r="L45" s="262">
        <f t="shared" si="3"/>
        <v>1370.7</v>
      </c>
      <c r="M45" s="262">
        <f t="shared" si="3"/>
        <v>1243.8</v>
      </c>
      <c r="N45" s="262">
        <f t="shared" si="3"/>
        <v>1206.9000000000001</v>
      </c>
      <c r="O45" s="262">
        <f t="shared" si="3"/>
        <v>1167.3</v>
      </c>
      <c r="P45" s="262">
        <f t="shared" si="3"/>
        <v>1123.2</v>
      </c>
      <c r="Q45" s="262">
        <f t="shared" si="3"/>
        <v>1024.2</v>
      </c>
      <c r="R45" s="262">
        <f t="shared" si="3"/>
        <v>1525.5</v>
      </c>
      <c r="S45" s="262">
        <f t="shared" si="3"/>
        <v>1475.1000000000001</v>
      </c>
      <c r="T45" s="262">
        <f t="shared" si="3"/>
        <v>1418.4</v>
      </c>
      <c r="U45" s="262">
        <f t="shared" si="3"/>
        <v>1291.5</v>
      </c>
      <c r="V45" s="262">
        <f t="shared" si="3"/>
        <v>1386</v>
      </c>
      <c r="W45" s="262">
        <f t="shared" si="3"/>
        <v>1340.1000000000001</v>
      </c>
      <c r="X45" s="262">
        <f t="shared" si="3"/>
        <v>1289.7</v>
      </c>
      <c r="Y45" s="262">
        <f t="shared" si="3"/>
        <v>1174.5</v>
      </c>
      <c r="Z45" s="262">
        <f t="shared" si="3"/>
        <v>1528.2</v>
      </c>
      <c r="AA45" s="262">
        <f t="shared" si="3"/>
        <v>1476</v>
      </c>
      <c r="AB45" s="262">
        <f t="shared" si="3"/>
        <v>1416.6000000000001</v>
      </c>
      <c r="AC45" s="262">
        <f t="shared" si="3"/>
        <v>1286.1000000000001</v>
      </c>
      <c r="AD45" s="262">
        <f t="shared" si="3"/>
        <v>1330.2</v>
      </c>
      <c r="AE45" s="262">
        <f t="shared" si="3"/>
        <v>1279.8</v>
      </c>
      <c r="AF45" s="262">
        <f t="shared" si="3"/>
        <v>1224.9000000000001</v>
      </c>
      <c r="AG45" s="262">
        <f t="shared" si="3"/>
        <v>1103.4000000000001</v>
      </c>
      <c r="AK45" s="606"/>
    </row>
    <row r="46" spans="1:37">
      <c r="A46" s="601">
        <v>240</v>
      </c>
      <c r="B46" s="262">
        <f t="shared" si="2"/>
        <v>1428.3</v>
      </c>
      <c r="C46" s="262">
        <f t="shared" si="3"/>
        <v>1386.9</v>
      </c>
      <c r="D46" s="262">
        <f t="shared" si="3"/>
        <v>1339.2</v>
      </c>
      <c r="E46" s="262">
        <f t="shared" si="3"/>
        <v>1233</v>
      </c>
      <c r="F46" s="262">
        <f t="shared" si="3"/>
        <v>1584</v>
      </c>
      <c r="G46" s="262">
        <f t="shared" si="3"/>
        <v>1534.5</v>
      </c>
      <c r="H46" s="262">
        <f t="shared" si="3"/>
        <v>1480.5</v>
      </c>
      <c r="I46" s="262">
        <f t="shared" si="3"/>
        <v>1364.4</v>
      </c>
      <c r="J46" s="262">
        <f t="shared" si="3"/>
        <v>1489.5</v>
      </c>
      <c r="K46" s="262">
        <f t="shared" si="3"/>
        <v>1447.2</v>
      </c>
      <c r="L46" s="262">
        <f t="shared" si="3"/>
        <v>1400.4</v>
      </c>
      <c r="M46" s="262">
        <f t="shared" si="3"/>
        <v>1296.9000000000001</v>
      </c>
      <c r="N46" s="262">
        <f t="shared" si="3"/>
        <v>1215</v>
      </c>
      <c r="O46" s="262">
        <f t="shared" si="3"/>
        <v>1184.4000000000001</v>
      </c>
      <c r="P46" s="262">
        <f t="shared" si="3"/>
        <v>1149.3</v>
      </c>
      <c r="Q46" s="262">
        <f t="shared" si="3"/>
        <v>1068.3</v>
      </c>
      <c r="R46" s="262">
        <f t="shared" si="3"/>
        <v>1534.5</v>
      </c>
      <c r="S46" s="262">
        <f t="shared" si="3"/>
        <v>1493.1000000000001</v>
      </c>
      <c r="T46" s="262">
        <f t="shared" si="3"/>
        <v>1447.2</v>
      </c>
      <c r="U46" s="262">
        <f t="shared" si="3"/>
        <v>1343.7</v>
      </c>
      <c r="V46" s="262">
        <f t="shared" si="3"/>
        <v>1395</v>
      </c>
      <c r="W46" s="262">
        <f t="shared" si="3"/>
        <v>1358.1000000000001</v>
      </c>
      <c r="X46" s="262">
        <f t="shared" si="3"/>
        <v>1316.7</v>
      </c>
      <c r="Y46" s="262">
        <f t="shared" si="3"/>
        <v>1222.2</v>
      </c>
      <c r="Z46" s="262">
        <f t="shared" si="3"/>
        <v>1537.2</v>
      </c>
      <c r="AA46" s="262">
        <f t="shared" si="3"/>
        <v>1494.9</v>
      </c>
      <c r="AB46" s="262">
        <f t="shared" si="3"/>
        <v>1446.3</v>
      </c>
      <c r="AC46" s="262">
        <f t="shared" si="3"/>
        <v>1341</v>
      </c>
      <c r="AD46" s="262">
        <f t="shared" si="3"/>
        <v>1341</v>
      </c>
      <c r="AE46" s="262">
        <f t="shared" si="3"/>
        <v>1301.4000000000001</v>
      </c>
      <c r="AF46" s="262">
        <f t="shared" si="3"/>
        <v>1257.3</v>
      </c>
      <c r="AG46" s="262">
        <f t="shared" si="3"/>
        <v>1161</v>
      </c>
      <c r="AK46" s="606"/>
    </row>
    <row r="47" spans="1:37">
      <c r="A47" s="601">
        <v>255</v>
      </c>
      <c r="B47" s="262">
        <f t="shared" si="2"/>
        <v>1440</v>
      </c>
      <c r="C47" s="262">
        <f t="shared" si="3"/>
        <v>1410.3</v>
      </c>
      <c r="D47" s="262">
        <f t="shared" si="3"/>
        <v>1376.1000000000001</v>
      </c>
      <c r="E47" s="262">
        <f t="shared" si="3"/>
        <v>1295.1000000000001</v>
      </c>
      <c r="F47" s="262">
        <f t="shared" si="3"/>
        <v>1598.4</v>
      </c>
      <c r="G47" s="262">
        <f t="shared" si="3"/>
        <v>1563.3</v>
      </c>
      <c r="H47" s="262">
        <f t="shared" si="3"/>
        <v>1524.6000000000001</v>
      </c>
      <c r="I47" s="262">
        <f t="shared" si="3"/>
        <v>1437.3</v>
      </c>
      <c r="J47" s="262">
        <f t="shared" si="3"/>
        <v>1500.3</v>
      </c>
      <c r="K47" s="262">
        <f t="shared" si="3"/>
        <v>1470.6000000000001</v>
      </c>
      <c r="L47" s="262">
        <f t="shared" si="3"/>
        <v>1434.6000000000001</v>
      </c>
      <c r="M47" s="262">
        <f t="shared" si="3"/>
        <v>1355.4</v>
      </c>
      <c r="N47" s="262">
        <f t="shared" si="3"/>
        <v>1224.9000000000001</v>
      </c>
      <c r="O47" s="262">
        <f t="shared" si="3"/>
        <v>1203.3</v>
      </c>
      <c r="P47" s="262">
        <f t="shared" si="3"/>
        <v>1178.1000000000001</v>
      </c>
      <c r="Q47" s="262">
        <f t="shared" si="3"/>
        <v>1117.8</v>
      </c>
      <c r="R47" s="262">
        <f t="shared" si="3"/>
        <v>1545.3</v>
      </c>
      <c r="S47" s="262">
        <f t="shared" si="3"/>
        <v>1514.7</v>
      </c>
      <c r="T47" s="262">
        <f t="shared" si="3"/>
        <v>1480.5</v>
      </c>
      <c r="U47" s="262">
        <f t="shared" si="3"/>
        <v>1400.4</v>
      </c>
      <c r="V47" s="262">
        <f t="shared" si="3"/>
        <v>1405.8</v>
      </c>
      <c r="W47" s="262">
        <f t="shared" si="3"/>
        <v>1378.8</v>
      </c>
      <c r="X47" s="262">
        <f t="shared" si="3"/>
        <v>1347.3</v>
      </c>
      <c r="Y47" s="262">
        <f t="shared" si="3"/>
        <v>1275.3</v>
      </c>
      <c r="Z47" s="262">
        <f t="shared" si="3"/>
        <v>1548.9</v>
      </c>
      <c r="AA47" s="262">
        <f t="shared" si="3"/>
        <v>1518.3</v>
      </c>
      <c r="AB47" s="262">
        <f t="shared" si="3"/>
        <v>1481.4</v>
      </c>
      <c r="AC47" s="262">
        <f t="shared" si="3"/>
        <v>1400.4</v>
      </c>
      <c r="AD47" s="262">
        <f t="shared" si="3"/>
        <v>1353.6000000000001</v>
      </c>
      <c r="AE47" s="262">
        <f t="shared" si="3"/>
        <v>1326.6000000000001</v>
      </c>
      <c r="AF47" s="262">
        <f t="shared" ref="C47:AG53" si="4">AF78*$A$28</f>
        <v>1295.1000000000001</v>
      </c>
      <c r="AG47" s="262">
        <f t="shared" si="4"/>
        <v>1223.1000000000001</v>
      </c>
      <c r="AK47" s="606"/>
    </row>
    <row r="48" spans="1:37">
      <c r="A48" s="601">
        <v>270</v>
      </c>
      <c r="B48" s="262">
        <f t="shared" si="2"/>
        <v>1453.5</v>
      </c>
      <c r="C48" s="262">
        <f t="shared" si="4"/>
        <v>1436.4</v>
      </c>
      <c r="D48" s="262">
        <f t="shared" si="4"/>
        <v>1414.8</v>
      </c>
      <c r="E48" s="262">
        <f t="shared" si="4"/>
        <v>1359</v>
      </c>
      <c r="F48" s="262">
        <f t="shared" si="4"/>
        <v>1613.7</v>
      </c>
      <c r="G48" s="262">
        <f t="shared" si="4"/>
        <v>1594.8</v>
      </c>
      <c r="H48" s="262">
        <f t="shared" si="4"/>
        <v>1571.4</v>
      </c>
      <c r="I48" s="262">
        <f t="shared" si="4"/>
        <v>1512</v>
      </c>
      <c r="J48" s="262">
        <f t="shared" si="4"/>
        <v>1512.9</v>
      </c>
      <c r="K48" s="262">
        <f t="shared" si="4"/>
        <v>1494.9</v>
      </c>
      <c r="L48" s="262">
        <f t="shared" si="4"/>
        <v>1471.5</v>
      </c>
      <c r="M48" s="262">
        <f t="shared" si="4"/>
        <v>1413.9</v>
      </c>
      <c r="N48" s="262">
        <f t="shared" si="4"/>
        <v>1239.3</v>
      </c>
      <c r="O48" s="262">
        <f t="shared" si="4"/>
        <v>1224.9000000000001</v>
      </c>
      <c r="P48" s="262">
        <f t="shared" si="4"/>
        <v>1209.6000000000001</v>
      </c>
      <c r="Q48" s="262">
        <f t="shared" si="4"/>
        <v>1167.3</v>
      </c>
      <c r="R48" s="262">
        <f t="shared" si="4"/>
        <v>1557.9</v>
      </c>
      <c r="S48" s="262">
        <f t="shared" si="4"/>
        <v>1539</v>
      </c>
      <c r="T48" s="262">
        <f t="shared" si="4"/>
        <v>1516.5</v>
      </c>
      <c r="U48" s="262">
        <f t="shared" si="4"/>
        <v>1457.1000000000001</v>
      </c>
      <c r="V48" s="262">
        <f t="shared" si="4"/>
        <v>1416.6000000000001</v>
      </c>
      <c r="W48" s="262">
        <f t="shared" si="4"/>
        <v>1401.3</v>
      </c>
      <c r="X48" s="262">
        <f t="shared" si="4"/>
        <v>1380.6000000000001</v>
      </c>
      <c r="Y48" s="262">
        <f t="shared" si="4"/>
        <v>1328.4</v>
      </c>
      <c r="Z48" s="262">
        <f t="shared" si="4"/>
        <v>1561.5</v>
      </c>
      <c r="AA48" s="262">
        <f t="shared" si="4"/>
        <v>1542.6000000000001</v>
      </c>
      <c r="AB48" s="262">
        <f t="shared" si="4"/>
        <v>1520.1000000000001</v>
      </c>
      <c r="AC48" s="262">
        <f t="shared" si="4"/>
        <v>1460.7</v>
      </c>
      <c r="AD48" s="262">
        <f t="shared" si="4"/>
        <v>1367.1000000000001</v>
      </c>
      <c r="AE48" s="262">
        <f t="shared" si="4"/>
        <v>1362.6000000000001</v>
      </c>
      <c r="AF48" s="262">
        <f t="shared" si="4"/>
        <v>1334.7</v>
      </c>
      <c r="AG48" s="262">
        <f t="shared" si="4"/>
        <v>1308.6000000000001</v>
      </c>
      <c r="AK48" s="606"/>
    </row>
    <row r="49" spans="1:37">
      <c r="A49" s="601">
        <v>285</v>
      </c>
      <c r="B49" s="262">
        <f t="shared" si="2"/>
        <v>1467</v>
      </c>
      <c r="C49" s="262">
        <f t="shared" si="4"/>
        <v>1463.4</v>
      </c>
      <c r="D49" s="262">
        <f t="shared" si="4"/>
        <v>1454.4</v>
      </c>
      <c r="E49" s="262">
        <f t="shared" si="4"/>
        <v>1420.2</v>
      </c>
      <c r="F49" s="262">
        <f t="shared" si="4"/>
        <v>1629.9</v>
      </c>
      <c r="G49" s="262">
        <f t="shared" si="4"/>
        <v>1626.3</v>
      </c>
      <c r="H49" s="262">
        <f t="shared" si="4"/>
        <v>1617.3</v>
      </c>
      <c r="I49" s="262">
        <f t="shared" si="4"/>
        <v>1584</v>
      </c>
      <c r="J49" s="262">
        <f t="shared" si="4"/>
        <v>1526.4</v>
      </c>
      <c r="K49" s="262">
        <f t="shared" si="4"/>
        <v>1520.1000000000001</v>
      </c>
      <c r="L49" s="262">
        <f t="shared" si="4"/>
        <v>1508.4</v>
      </c>
      <c r="M49" s="262">
        <f t="shared" si="4"/>
        <v>1471.5</v>
      </c>
      <c r="N49" s="262">
        <f t="shared" si="4"/>
        <v>1246.5</v>
      </c>
      <c r="O49" s="262">
        <f t="shared" si="4"/>
        <v>1245.6000000000001</v>
      </c>
      <c r="P49" s="262">
        <f t="shared" si="4"/>
        <v>1240.2</v>
      </c>
      <c r="Q49" s="262">
        <f t="shared" si="4"/>
        <v>1215</v>
      </c>
      <c r="R49" s="262">
        <f t="shared" si="4"/>
        <v>1570.5</v>
      </c>
      <c r="S49" s="262">
        <f t="shared" si="4"/>
        <v>1563.3</v>
      </c>
      <c r="T49" s="262">
        <f t="shared" si="4"/>
        <v>1551.6000000000001</v>
      </c>
      <c r="U49" s="262">
        <f t="shared" si="4"/>
        <v>1513.8</v>
      </c>
      <c r="V49" s="262">
        <f t="shared" si="4"/>
        <v>1428.3</v>
      </c>
      <c r="W49" s="262">
        <f t="shared" si="4"/>
        <v>1423.8</v>
      </c>
      <c r="X49" s="262">
        <f t="shared" si="4"/>
        <v>1413.9</v>
      </c>
      <c r="Y49" s="262">
        <f t="shared" si="4"/>
        <v>1381.5</v>
      </c>
      <c r="Z49" s="262">
        <f t="shared" si="4"/>
        <v>1574.1000000000001</v>
      </c>
      <c r="AA49" s="262">
        <f t="shared" si="4"/>
        <v>1568.7</v>
      </c>
      <c r="AB49" s="262">
        <f t="shared" si="4"/>
        <v>1557.9</v>
      </c>
      <c r="AC49" s="262">
        <f t="shared" si="4"/>
        <v>1518.3</v>
      </c>
      <c r="AD49" s="262">
        <f t="shared" si="4"/>
        <v>1380.6000000000001</v>
      </c>
      <c r="AE49" s="262">
        <f t="shared" si="4"/>
        <v>1380.6000000000001</v>
      </c>
      <c r="AF49" s="262">
        <f t="shared" si="4"/>
        <v>1374.3</v>
      </c>
      <c r="AG49" s="262">
        <f t="shared" si="4"/>
        <v>1349.1000000000001</v>
      </c>
      <c r="AK49" s="606"/>
    </row>
    <row r="50" spans="1:37">
      <c r="A50" s="601">
        <v>300</v>
      </c>
      <c r="B50" s="262">
        <f t="shared" si="2"/>
        <v>1480.5</v>
      </c>
      <c r="C50" s="262">
        <f t="shared" si="4"/>
        <v>1488.6000000000001</v>
      </c>
      <c r="D50" s="262">
        <f t="shared" si="4"/>
        <v>1491.3</v>
      </c>
      <c r="E50" s="262">
        <f t="shared" si="4"/>
        <v>1476.9</v>
      </c>
      <c r="F50" s="262">
        <f t="shared" si="4"/>
        <v>1645.2</v>
      </c>
      <c r="G50" s="262">
        <f t="shared" si="4"/>
        <v>1656</v>
      </c>
      <c r="H50" s="262">
        <f t="shared" si="4"/>
        <v>1661.4</v>
      </c>
      <c r="I50" s="262">
        <f t="shared" si="4"/>
        <v>1648.8</v>
      </c>
      <c r="J50" s="262">
        <f t="shared" si="4"/>
        <v>1539</v>
      </c>
      <c r="K50" s="262">
        <f t="shared" si="4"/>
        <v>1544.4</v>
      </c>
      <c r="L50" s="262">
        <f t="shared" si="4"/>
        <v>1543.5</v>
      </c>
      <c r="M50" s="262">
        <f t="shared" si="4"/>
        <v>1525.5</v>
      </c>
      <c r="N50" s="262">
        <f t="shared" si="4"/>
        <v>1256.4000000000001</v>
      </c>
      <c r="O50" s="262">
        <f t="shared" si="4"/>
        <v>1265.4000000000001</v>
      </c>
      <c r="P50" s="262">
        <f t="shared" si="4"/>
        <v>1268.1000000000001</v>
      </c>
      <c r="Q50" s="262">
        <f t="shared" si="4"/>
        <v>1259.1000000000001</v>
      </c>
      <c r="R50" s="262">
        <f t="shared" si="4"/>
        <v>1582.2</v>
      </c>
      <c r="S50" s="262">
        <f t="shared" si="4"/>
        <v>1587.6000000000001</v>
      </c>
      <c r="T50" s="262">
        <f t="shared" si="4"/>
        <v>1584.9</v>
      </c>
      <c r="U50" s="262">
        <f t="shared" si="4"/>
        <v>1564.2</v>
      </c>
      <c r="V50" s="262">
        <f t="shared" si="4"/>
        <v>1440</v>
      </c>
      <c r="W50" s="262">
        <f t="shared" si="4"/>
        <v>1446.3</v>
      </c>
      <c r="X50" s="262">
        <f t="shared" si="4"/>
        <v>1445.4</v>
      </c>
      <c r="Y50" s="262">
        <f t="shared" si="4"/>
        <v>1428.3</v>
      </c>
      <c r="Z50" s="262">
        <f t="shared" si="4"/>
        <v>1586.7</v>
      </c>
      <c r="AA50" s="262">
        <f t="shared" si="4"/>
        <v>1593</v>
      </c>
      <c r="AB50" s="262">
        <f t="shared" si="4"/>
        <v>1592.1000000000001</v>
      </c>
      <c r="AC50" s="262">
        <f t="shared" si="4"/>
        <v>1573.2</v>
      </c>
      <c r="AD50" s="262">
        <f t="shared" si="4"/>
        <v>1393.2</v>
      </c>
      <c r="AE50" s="262">
        <f t="shared" si="4"/>
        <v>1405.8</v>
      </c>
      <c r="AF50" s="262">
        <f t="shared" si="4"/>
        <v>1412.1000000000001</v>
      </c>
      <c r="AG50" s="262">
        <f t="shared" si="4"/>
        <v>1405.8</v>
      </c>
      <c r="AK50" s="606"/>
    </row>
    <row r="51" spans="1:37">
      <c r="A51" s="601">
        <v>315</v>
      </c>
      <c r="B51" s="262">
        <f t="shared" si="2"/>
        <v>1491.3</v>
      </c>
      <c r="C51" s="262">
        <f t="shared" si="4"/>
        <v>1511.1000000000001</v>
      </c>
      <c r="D51" s="262">
        <f t="shared" si="4"/>
        <v>1523.7</v>
      </c>
      <c r="E51" s="262">
        <f t="shared" si="4"/>
        <v>1525.5</v>
      </c>
      <c r="F51" s="262">
        <f t="shared" si="4"/>
        <v>1657.8</v>
      </c>
      <c r="G51" s="262">
        <f t="shared" si="4"/>
        <v>1683</v>
      </c>
      <c r="H51" s="262">
        <f t="shared" si="4"/>
        <v>1698.3</v>
      </c>
      <c r="I51" s="262">
        <f t="shared" si="4"/>
        <v>1706.4</v>
      </c>
      <c r="J51" s="262">
        <f t="shared" si="4"/>
        <v>1550.7</v>
      </c>
      <c r="K51" s="262">
        <f t="shared" si="4"/>
        <v>1567.8</v>
      </c>
      <c r="L51" s="262">
        <f t="shared" si="4"/>
        <v>1575.9</v>
      </c>
      <c r="M51" s="262">
        <f t="shared" si="4"/>
        <v>1571.4</v>
      </c>
      <c r="N51" s="262">
        <f t="shared" si="4"/>
        <v>1265.4000000000001</v>
      </c>
      <c r="O51" s="262">
        <f t="shared" si="4"/>
        <v>1282.5</v>
      </c>
      <c r="P51" s="262">
        <f t="shared" si="4"/>
        <v>1293.3</v>
      </c>
      <c r="Q51" s="262">
        <f t="shared" si="4"/>
        <v>1296.9000000000001</v>
      </c>
      <c r="R51" s="262">
        <f t="shared" si="4"/>
        <v>1593</v>
      </c>
      <c r="S51" s="262">
        <f t="shared" si="4"/>
        <v>1609.2</v>
      </c>
      <c r="T51" s="262">
        <f t="shared" si="4"/>
        <v>1617.3</v>
      </c>
      <c r="U51" s="262">
        <f t="shared" si="4"/>
        <v>1608.3</v>
      </c>
      <c r="V51" s="262">
        <f t="shared" si="4"/>
        <v>1449.9</v>
      </c>
      <c r="W51" s="262">
        <f t="shared" si="4"/>
        <v>1466.1000000000001</v>
      </c>
      <c r="X51" s="262">
        <f t="shared" si="4"/>
        <v>1474.2</v>
      </c>
      <c r="Y51" s="262">
        <f t="shared" si="4"/>
        <v>1470.6000000000001</v>
      </c>
      <c r="Z51" s="262">
        <f t="shared" si="4"/>
        <v>1597.5</v>
      </c>
      <c r="AA51" s="262">
        <f t="shared" si="4"/>
        <v>1614.6000000000001</v>
      </c>
      <c r="AB51" s="262">
        <f t="shared" si="4"/>
        <v>1623.6000000000001</v>
      </c>
      <c r="AC51" s="262">
        <f t="shared" si="4"/>
        <v>1619.1000000000001</v>
      </c>
      <c r="AD51" s="262">
        <f t="shared" si="4"/>
        <v>1404.9</v>
      </c>
      <c r="AE51" s="262">
        <f t="shared" si="4"/>
        <v>1428.3</v>
      </c>
      <c r="AF51" s="262">
        <f t="shared" si="4"/>
        <v>1443.6000000000001</v>
      </c>
      <c r="AG51" s="262">
        <f t="shared" si="4"/>
        <v>1455.3</v>
      </c>
      <c r="AK51" s="606"/>
    </row>
    <row r="52" spans="1:37">
      <c r="A52" s="601">
        <v>330</v>
      </c>
      <c r="B52" s="262">
        <f t="shared" si="2"/>
        <v>1501.2</v>
      </c>
      <c r="C52" s="262">
        <f t="shared" si="4"/>
        <v>1529.1000000000001</v>
      </c>
      <c r="D52" s="262">
        <f t="shared" si="4"/>
        <v>1549.8</v>
      </c>
      <c r="E52" s="262">
        <f t="shared" si="4"/>
        <v>1566</v>
      </c>
      <c r="F52" s="262">
        <f t="shared" si="4"/>
        <v>1668.6000000000001</v>
      </c>
      <c r="G52" s="262">
        <f t="shared" si="4"/>
        <v>1703.7</v>
      </c>
      <c r="H52" s="262">
        <f t="shared" si="4"/>
        <v>1728.9</v>
      </c>
      <c r="I52" s="262">
        <f t="shared" si="4"/>
        <v>1751.4</v>
      </c>
      <c r="J52" s="262">
        <f t="shared" si="4"/>
        <v>1559.7</v>
      </c>
      <c r="K52" s="262">
        <f t="shared" si="4"/>
        <v>1585.8</v>
      </c>
      <c r="L52" s="262">
        <f t="shared" si="4"/>
        <v>1603.8</v>
      </c>
      <c r="M52" s="262">
        <f t="shared" si="4"/>
        <v>1613.7</v>
      </c>
      <c r="N52" s="262">
        <f t="shared" si="4"/>
        <v>1271.7</v>
      </c>
      <c r="O52" s="262">
        <f t="shared" si="4"/>
        <v>1296</v>
      </c>
      <c r="P52" s="262">
        <f t="shared" si="4"/>
        <v>1313.1000000000001</v>
      </c>
      <c r="Q52" s="262">
        <f t="shared" si="4"/>
        <v>1327.5</v>
      </c>
      <c r="R52" s="262">
        <f t="shared" si="4"/>
        <v>1601.1000000000001</v>
      </c>
      <c r="S52" s="262">
        <f t="shared" si="4"/>
        <v>1626.3</v>
      </c>
      <c r="T52" s="262">
        <f t="shared" si="4"/>
        <v>1641.6000000000001</v>
      </c>
      <c r="U52" s="262">
        <f t="shared" si="4"/>
        <v>1647.9</v>
      </c>
      <c r="V52" s="262">
        <f t="shared" si="4"/>
        <v>1457.1000000000001</v>
      </c>
      <c r="W52" s="262">
        <f t="shared" si="4"/>
        <v>1481.4</v>
      </c>
      <c r="X52" s="262">
        <f t="shared" si="4"/>
        <v>1497.6000000000001</v>
      </c>
      <c r="Y52" s="262">
        <f t="shared" si="4"/>
        <v>1506.6000000000001</v>
      </c>
      <c r="Z52" s="262">
        <f t="shared" si="4"/>
        <v>1606.5</v>
      </c>
      <c r="AA52" s="262">
        <f t="shared" si="4"/>
        <v>1632.6000000000001</v>
      </c>
      <c r="AB52" s="262">
        <f t="shared" si="4"/>
        <v>1648.8</v>
      </c>
      <c r="AC52" s="262">
        <f t="shared" si="4"/>
        <v>1657.8</v>
      </c>
      <c r="AD52" s="262">
        <f t="shared" si="4"/>
        <v>1413</v>
      </c>
      <c r="AE52" s="262">
        <f t="shared" si="4"/>
        <v>1445.4</v>
      </c>
      <c r="AF52" s="262">
        <f t="shared" si="4"/>
        <v>1468.8</v>
      </c>
      <c r="AG52" s="262">
        <f t="shared" si="4"/>
        <v>1493.1000000000001</v>
      </c>
      <c r="AK52" s="606"/>
    </row>
    <row r="53" spans="1:37" ht="14" thickBot="1">
      <c r="A53" s="601">
        <v>345</v>
      </c>
      <c r="B53" s="262">
        <f t="shared" si="2"/>
        <v>1507.5</v>
      </c>
      <c r="C53" s="262">
        <f t="shared" si="4"/>
        <v>1541.7</v>
      </c>
      <c r="D53" s="262">
        <f t="shared" si="4"/>
        <v>1567.8</v>
      </c>
      <c r="E53" s="262">
        <f t="shared" si="4"/>
        <v>1593.9</v>
      </c>
      <c r="F53" s="262">
        <f t="shared" si="4"/>
        <v>1675.8</v>
      </c>
      <c r="G53" s="262">
        <f t="shared" si="4"/>
        <v>1711.8</v>
      </c>
      <c r="H53" s="262">
        <f t="shared" si="4"/>
        <v>1748.7</v>
      </c>
      <c r="I53" s="262">
        <f t="shared" si="4"/>
        <v>1782</v>
      </c>
      <c r="J53" s="262">
        <f t="shared" si="4"/>
        <v>1566</v>
      </c>
      <c r="K53" s="262">
        <f t="shared" si="4"/>
        <v>1599.3</v>
      </c>
      <c r="L53" s="262">
        <f t="shared" si="4"/>
        <v>1622.7</v>
      </c>
      <c r="M53" s="262">
        <f t="shared" si="4"/>
        <v>1643.4</v>
      </c>
      <c r="N53" s="262">
        <f t="shared" si="4"/>
        <v>1276.2</v>
      </c>
      <c r="O53" s="262">
        <f t="shared" si="4"/>
        <v>1305</v>
      </c>
      <c r="P53" s="262">
        <f t="shared" si="4"/>
        <v>1326.6000000000001</v>
      </c>
      <c r="Q53" s="262">
        <f t="shared" si="4"/>
        <v>1347.3</v>
      </c>
      <c r="R53" s="262">
        <f t="shared" si="4"/>
        <v>1607.4</v>
      </c>
      <c r="S53" s="262">
        <f t="shared" si="4"/>
        <v>1638</v>
      </c>
      <c r="T53" s="262">
        <f t="shared" si="4"/>
        <v>1659.6000000000001</v>
      </c>
      <c r="U53" s="262">
        <f t="shared" si="4"/>
        <v>1674</v>
      </c>
      <c r="V53" s="262">
        <f t="shared" si="4"/>
        <v>1462.5</v>
      </c>
      <c r="W53" s="262">
        <f t="shared" si="4"/>
        <v>1492.2</v>
      </c>
      <c r="X53" s="262">
        <f t="shared" si="4"/>
        <v>1512.9</v>
      </c>
      <c r="Y53" s="262">
        <f t="shared" si="4"/>
        <v>1530</v>
      </c>
      <c r="Z53" s="262">
        <f t="shared" si="4"/>
        <v>1612.8</v>
      </c>
      <c r="AA53" s="262">
        <f t="shared" si="4"/>
        <v>1644.3</v>
      </c>
      <c r="AB53" s="262">
        <f t="shared" si="4"/>
        <v>1666.8</v>
      </c>
      <c r="AC53" s="262">
        <f t="shared" si="4"/>
        <v>1683.9</v>
      </c>
      <c r="AD53" s="262">
        <f t="shared" si="4"/>
        <v>1419.3</v>
      </c>
      <c r="AE53" s="262">
        <f t="shared" si="4"/>
        <v>1456.2</v>
      </c>
      <c r="AF53" s="262">
        <f t="shared" si="4"/>
        <v>1485.9</v>
      </c>
      <c r="AG53" s="262">
        <f t="shared" si="4"/>
        <v>1518.3</v>
      </c>
      <c r="AK53" s="609"/>
    </row>
    <row r="56" spans="1:37" hidden="1"/>
    <row r="57" spans="1:37" ht="14" hidden="1" thickBot="1"/>
    <row r="58" spans="1:37" hidden="1">
      <c r="B58" s="604" t="str">
        <f>$C$2</f>
        <v>Western Cape</v>
      </c>
      <c r="C58" s="604" t="str">
        <f>$C$2</f>
        <v>Western Cape</v>
      </c>
      <c r="D58" s="604" t="str">
        <f>$C$2</f>
        <v>Western Cape</v>
      </c>
      <c r="E58" s="604" t="str">
        <f>$C$2</f>
        <v>Western Cape</v>
      </c>
      <c r="F58" s="604" t="str">
        <f>$C$3</f>
        <v>Northern Cape</v>
      </c>
      <c r="G58" s="604" t="str">
        <f>$C$3</f>
        <v>Northern Cape</v>
      </c>
      <c r="H58" s="604" t="str">
        <f>$C$3</f>
        <v>Northern Cape</v>
      </c>
      <c r="I58" s="604" t="str">
        <f>$C$3</f>
        <v>Northern Cape</v>
      </c>
      <c r="J58" s="604" t="str">
        <f>$C$4</f>
        <v>Gauteng</v>
      </c>
      <c r="K58" s="604" t="str">
        <f>$C$4</f>
        <v>Gauteng</v>
      </c>
      <c r="L58" s="604" t="str">
        <f>$C$4</f>
        <v>Gauteng</v>
      </c>
      <c r="M58" s="604" t="str">
        <f>$C$4</f>
        <v>Gauteng</v>
      </c>
      <c r="N58" s="604" t="str">
        <f>$C$5</f>
        <v>Kwazulu Natal</v>
      </c>
      <c r="O58" s="604" t="str">
        <f>$C$5</f>
        <v>Kwazulu Natal</v>
      </c>
      <c r="P58" s="604" t="str">
        <f>$C$5</f>
        <v>Kwazulu Natal</v>
      </c>
      <c r="Q58" s="604" t="str">
        <f>$C$5</f>
        <v>Kwazulu Natal</v>
      </c>
      <c r="R58" s="604" t="str">
        <f>$C$6</f>
        <v>Limpopo</v>
      </c>
      <c r="S58" s="604" t="str">
        <f>$C$6</f>
        <v>Limpopo</v>
      </c>
      <c r="T58" s="604" t="str">
        <f>$C$6</f>
        <v>Limpopo</v>
      </c>
      <c r="U58" s="604" t="str">
        <f>$C$6</f>
        <v>Limpopo</v>
      </c>
      <c r="V58" s="604" t="str">
        <f>$C$7</f>
        <v>Mpumalanga</v>
      </c>
      <c r="W58" s="604" t="str">
        <f>$C$7</f>
        <v>Mpumalanga</v>
      </c>
      <c r="X58" s="604" t="str">
        <f>$C$7</f>
        <v>Mpumalanga</v>
      </c>
      <c r="Y58" s="604" t="str">
        <f>$C$7</f>
        <v>Mpumalanga</v>
      </c>
      <c r="Z58" s="604" t="str">
        <f>$C$8</f>
        <v>North West</v>
      </c>
      <c r="AA58" s="604" t="str">
        <f>$C$8</f>
        <v>North West</v>
      </c>
      <c r="AB58" s="604" t="str">
        <f>$C$8</f>
        <v>North West</v>
      </c>
      <c r="AC58" s="604" t="str">
        <f>$C$8</f>
        <v>North West</v>
      </c>
      <c r="AD58" s="604" t="str">
        <f>$C$9</f>
        <v>Eastern Cape</v>
      </c>
      <c r="AE58" s="604" t="str">
        <f>$C$9</f>
        <v>Eastern Cape</v>
      </c>
      <c r="AF58" s="604" t="str">
        <f>$C$9</f>
        <v>Eastern Cape</v>
      </c>
      <c r="AG58" s="604" t="str">
        <f>$C$9</f>
        <v>Eastern Cape</v>
      </c>
    </row>
    <row r="59" spans="1:37" hidden="1">
      <c r="B59" s="262">
        <v>5</v>
      </c>
      <c r="C59" s="262">
        <v>10</v>
      </c>
      <c r="D59" s="262">
        <v>15</v>
      </c>
      <c r="E59" s="605">
        <v>25</v>
      </c>
      <c r="F59" s="262">
        <v>5</v>
      </c>
      <c r="G59" s="262">
        <v>10</v>
      </c>
      <c r="H59" s="262">
        <v>15</v>
      </c>
      <c r="I59" s="605">
        <v>25</v>
      </c>
      <c r="J59" s="262">
        <v>5</v>
      </c>
      <c r="K59" s="262">
        <v>10</v>
      </c>
      <c r="L59" s="262">
        <v>15</v>
      </c>
      <c r="M59" s="605">
        <v>25</v>
      </c>
      <c r="N59" s="262">
        <v>5</v>
      </c>
      <c r="O59" s="262">
        <v>10</v>
      </c>
      <c r="P59" s="262">
        <v>15</v>
      </c>
      <c r="Q59" s="605">
        <v>25</v>
      </c>
      <c r="R59" s="262">
        <v>5</v>
      </c>
      <c r="S59" s="262">
        <v>10</v>
      </c>
      <c r="T59" s="262">
        <v>15</v>
      </c>
      <c r="U59" s="605">
        <v>25</v>
      </c>
      <c r="V59" s="262">
        <v>5</v>
      </c>
      <c r="W59" s="262">
        <v>10</v>
      </c>
      <c r="X59" s="262">
        <v>15</v>
      </c>
      <c r="Y59" s="605">
        <v>25</v>
      </c>
      <c r="Z59" s="262">
        <v>5</v>
      </c>
      <c r="AA59" s="262">
        <v>10</v>
      </c>
      <c r="AB59" s="262">
        <v>15</v>
      </c>
      <c r="AC59" s="605">
        <v>25</v>
      </c>
      <c r="AD59" s="262">
        <v>5</v>
      </c>
      <c r="AE59" s="262">
        <v>10</v>
      </c>
      <c r="AF59" s="262">
        <v>15</v>
      </c>
      <c r="AG59" s="605">
        <v>25</v>
      </c>
    </row>
    <row r="60" spans="1:37" hidden="1">
      <c r="B60" s="606">
        <f>IF(B58='Design Inputs'!$D$4,1,0)</f>
        <v>0</v>
      </c>
      <c r="C60" s="606">
        <f>IF(C58='Design Inputs'!$D$4,1,0)</f>
        <v>0</v>
      </c>
      <c r="D60" s="606">
        <f>IF(D58='Design Inputs'!$D$4,1,0)</f>
        <v>0</v>
      </c>
      <c r="E60" s="606">
        <f>IF(E58='Design Inputs'!$D$4,1,0)</f>
        <v>0</v>
      </c>
      <c r="F60" s="606">
        <f>IF(F58='Design Inputs'!$D$4,1,0)</f>
        <v>0</v>
      </c>
      <c r="G60" s="606">
        <f>IF(G58='Design Inputs'!$D$4,1,0)</f>
        <v>0</v>
      </c>
      <c r="H60" s="606">
        <f>IF(H58='Design Inputs'!$D$4,1,0)</f>
        <v>0</v>
      </c>
      <c r="I60" s="606">
        <f>IF(I58='Design Inputs'!$D$4,1,0)</f>
        <v>0</v>
      </c>
      <c r="J60" s="606">
        <f>IF(J58='Design Inputs'!$D$4,1,0)</f>
        <v>1</v>
      </c>
      <c r="K60" s="606">
        <f>IF(K58='Design Inputs'!$D$4,1,0)</f>
        <v>1</v>
      </c>
      <c r="L60" s="606">
        <f>IF(L58='Design Inputs'!$D$4,1,0)</f>
        <v>1</v>
      </c>
      <c r="M60" s="606">
        <f>IF(M58='Design Inputs'!$D$4,1,0)</f>
        <v>1</v>
      </c>
      <c r="N60" s="606">
        <f>IF(N58='Design Inputs'!$D$4,1,0)</f>
        <v>0</v>
      </c>
      <c r="O60" s="606">
        <f>IF(O58='Design Inputs'!$D$4,1,0)</f>
        <v>0</v>
      </c>
      <c r="P60" s="606">
        <f>IF(P58='Design Inputs'!$D$4,1,0)</f>
        <v>0</v>
      </c>
      <c r="Q60" s="606">
        <f>IF(Q58='Design Inputs'!$D$4,1,0)</f>
        <v>0</v>
      </c>
      <c r="R60" s="606">
        <f>IF(R58='Design Inputs'!$D$4,1,0)</f>
        <v>0</v>
      </c>
      <c r="S60" s="606">
        <f>IF(S58='Design Inputs'!$D$4,1,0)</f>
        <v>0</v>
      </c>
      <c r="T60" s="606">
        <f>IF(T58='Design Inputs'!$D$4,1,0)</f>
        <v>0</v>
      </c>
      <c r="U60" s="606">
        <f>IF(U58='Design Inputs'!$D$4,1,0)</f>
        <v>0</v>
      </c>
      <c r="V60" s="606">
        <f>IF(V58='Design Inputs'!$D$4,1,0)</f>
        <v>0</v>
      </c>
      <c r="W60" s="606">
        <f>IF(W58='Design Inputs'!$D$4,1,0)</f>
        <v>0</v>
      </c>
      <c r="X60" s="606">
        <f>IF(X58='Design Inputs'!$D$4,1,0)</f>
        <v>0</v>
      </c>
      <c r="Y60" s="606">
        <f>IF(Y58='Design Inputs'!$D$4,1,0)</f>
        <v>0</v>
      </c>
      <c r="Z60" s="606">
        <f>IF(Z58='Design Inputs'!$D$4,1,0)</f>
        <v>0</v>
      </c>
      <c r="AA60" s="606">
        <f>IF(AA58='Design Inputs'!$D$4,1,0)</f>
        <v>0</v>
      </c>
      <c r="AB60" s="606">
        <f>IF(AB58='Design Inputs'!$D$4,1,0)</f>
        <v>0</v>
      </c>
      <c r="AC60" s="606">
        <f>IF(AC58='Design Inputs'!$D$4,1,0)</f>
        <v>0</v>
      </c>
      <c r="AD60" s="606">
        <f>IF(AD58='Design Inputs'!$D$4,1,0)</f>
        <v>0</v>
      </c>
      <c r="AE60" s="606">
        <f>IF(AE58='Design Inputs'!$D$4,1,0)</f>
        <v>0</v>
      </c>
      <c r="AF60" s="606">
        <f>IF(AF58='Design Inputs'!$D$4,1,0)</f>
        <v>0</v>
      </c>
      <c r="AG60" s="606">
        <f>IF(AG58='Design Inputs'!$D$4,1,0)</f>
        <v>0</v>
      </c>
    </row>
    <row r="61" spans="1:37" hidden="1">
      <c r="B61" s="606">
        <f t="shared" ref="B61:AG61" si="5">B59*B60</f>
        <v>0</v>
      </c>
      <c r="C61" s="606">
        <f t="shared" si="5"/>
        <v>0</v>
      </c>
      <c r="D61" s="606">
        <f t="shared" si="5"/>
        <v>0</v>
      </c>
      <c r="E61" s="606">
        <f t="shared" si="5"/>
        <v>0</v>
      </c>
      <c r="F61" s="606">
        <f t="shared" si="5"/>
        <v>0</v>
      </c>
      <c r="G61" s="606">
        <f t="shared" si="5"/>
        <v>0</v>
      </c>
      <c r="H61" s="606">
        <f t="shared" si="5"/>
        <v>0</v>
      </c>
      <c r="I61" s="606">
        <f t="shared" si="5"/>
        <v>0</v>
      </c>
      <c r="J61" s="606">
        <f t="shared" si="5"/>
        <v>5</v>
      </c>
      <c r="K61" s="606">
        <f t="shared" si="5"/>
        <v>10</v>
      </c>
      <c r="L61" s="606">
        <f t="shared" si="5"/>
        <v>15</v>
      </c>
      <c r="M61" s="606">
        <f t="shared" si="5"/>
        <v>25</v>
      </c>
      <c r="N61" s="606">
        <f t="shared" si="5"/>
        <v>0</v>
      </c>
      <c r="O61" s="606">
        <f t="shared" si="5"/>
        <v>0</v>
      </c>
      <c r="P61" s="606">
        <f t="shared" si="5"/>
        <v>0</v>
      </c>
      <c r="Q61" s="606">
        <f t="shared" si="5"/>
        <v>0</v>
      </c>
      <c r="R61" s="606">
        <f t="shared" si="5"/>
        <v>0</v>
      </c>
      <c r="S61" s="606">
        <f t="shared" si="5"/>
        <v>0</v>
      </c>
      <c r="T61" s="606">
        <f t="shared" si="5"/>
        <v>0</v>
      </c>
      <c r="U61" s="606">
        <f t="shared" si="5"/>
        <v>0</v>
      </c>
      <c r="V61" s="606">
        <f t="shared" si="5"/>
        <v>0</v>
      </c>
      <c r="W61" s="606">
        <f t="shared" si="5"/>
        <v>0</v>
      </c>
      <c r="X61" s="606">
        <f t="shared" si="5"/>
        <v>0</v>
      </c>
      <c r="Y61" s="606">
        <f t="shared" si="5"/>
        <v>0</v>
      </c>
      <c r="Z61" s="606">
        <f t="shared" si="5"/>
        <v>0</v>
      </c>
      <c r="AA61" s="606">
        <f t="shared" si="5"/>
        <v>0</v>
      </c>
      <c r="AB61" s="606">
        <f t="shared" si="5"/>
        <v>0</v>
      </c>
      <c r="AC61" s="606">
        <f t="shared" si="5"/>
        <v>0</v>
      </c>
      <c r="AD61" s="606">
        <f t="shared" si="5"/>
        <v>0</v>
      </c>
      <c r="AE61" s="606">
        <f t="shared" si="5"/>
        <v>0</v>
      </c>
      <c r="AF61" s="606">
        <f t="shared" si="5"/>
        <v>0</v>
      </c>
      <c r="AG61" s="606">
        <f t="shared" si="5"/>
        <v>0</v>
      </c>
    </row>
    <row r="62" spans="1:37" hidden="1">
      <c r="B62" s="262">
        <v>1678</v>
      </c>
      <c r="C62" s="262">
        <v>1720</v>
      </c>
      <c r="D62" s="262">
        <v>1751</v>
      </c>
      <c r="E62" s="605">
        <v>1784</v>
      </c>
      <c r="F62" s="262">
        <v>1865</v>
      </c>
      <c r="G62" s="262">
        <v>1915</v>
      </c>
      <c r="H62" s="262">
        <v>1953</v>
      </c>
      <c r="I62" s="605">
        <v>1994</v>
      </c>
      <c r="J62" s="262">
        <v>1744</v>
      </c>
      <c r="K62" s="262">
        <v>1784</v>
      </c>
      <c r="L62" s="262">
        <v>1814</v>
      </c>
      <c r="M62" s="605">
        <v>1843</v>
      </c>
      <c r="N62" s="262">
        <v>1420</v>
      </c>
      <c r="O62" s="262">
        <v>1454</v>
      </c>
      <c r="P62" s="262">
        <v>1479</v>
      </c>
      <c r="Q62" s="605">
        <v>1507</v>
      </c>
      <c r="R62" s="262">
        <v>1789</v>
      </c>
      <c r="S62" s="262">
        <v>1826</v>
      </c>
      <c r="T62" s="262">
        <v>1853</v>
      </c>
      <c r="U62" s="605">
        <v>1874</v>
      </c>
      <c r="V62" s="262">
        <v>1628</v>
      </c>
      <c r="W62" s="262">
        <v>1663</v>
      </c>
      <c r="X62" s="262">
        <v>1689</v>
      </c>
      <c r="Y62" s="605">
        <v>1713</v>
      </c>
      <c r="Z62" s="262">
        <v>1795</v>
      </c>
      <c r="AA62" s="262">
        <v>1833</v>
      </c>
      <c r="AB62" s="262">
        <v>1861</v>
      </c>
      <c r="AC62" s="605">
        <v>1885</v>
      </c>
      <c r="AD62" s="262">
        <v>1579</v>
      </c>
      <c r="AE62" s="262">
        <v>1623</v>
      </c>
      <c r="AF62" s="262">
        <v>1658</v>
      </c>
      <c r="AG62" s="605">
        <v>1698</v>
      </c>
    </row>
    <row r="63" spans="1:37" hidden="1">
      <c r="B63" s="262">
        <v>1677</v>
      </c>
      <c r="C63" s="262">
        <v>1718</v>
      </c>
      <c r="D63" s="262">
        <v>1749</v>
      </c>
      <c r="E63" s="605">
        <v>1781</v>
      </c>
      <c r="F63" s="262">
        <v>1864</v>
      </c>
      <c r="G63" s="262">
        <v>1912</v>
      </c>
      <c r="H63" s="262">
        <v>1949</v>
      </c>
      <c r="I63" s="605">
        <v>1991</v>
      </c>
      <c r="J63" s="262">
        <v>1744</v>
      </c>
      <c r="K63" s="262">
        <v>1784</v>
      </c>
      <c r="L63" s="262">
        <v>1813</v>
      </c>
      <c r="M63" s="605">
        <v>1842</v>
      </c>
      <c r="N63" s="262">
        <v>1419</v>
      </c>
      <c r="O63" s="262">
        <v>1452</v>
      </c>
      <c r="P63" s="262">
        <v>1476</v>
      </c>
      <c r="Q63" s="605">
        <v>1501</v>
      </c>
      <c r="R63" s="262">
        <v>1788</v>
      </c>
      <c r="S63" s="262">
        <v>1825</v>
      </c>
      <c r="T63" s="262">
        <v>1851</v>
      </c>
      <c r="U63" s="605">
        <v>1872</v>
      </c>
      <c r="V63" s="262">
        <v>1627</v>
      </c>
      <c r="W63" s="262">
        <v>1662</v>
      </c>
      <c r="X63" s="262">
        <v>1687</v>
      </c>
      <c r="Y63" s="605">
        <v>1709</v>
      </c>
      <c r="Z63" s="262">
        <v>1794</v>
      </c>
      <c r="AA63" s="262">
        <v>1832</v>
      </c>
      <c r="AB63" s="262">
        <v>1860</v>
      </c>
      <c r="AC63" s="605">
        <v>1883</v>
      </c>
      <c r="AD63" s="262">
        <v>1577</v>
      </c>
      <c r="AE63" s="262">
        <v>1620</v>
      </c>
      <c r="AF63" s="262">
        <v>1653</v>
      </c>
      <c r="AG63" s="605">
        <v>1692</v>
      </c>
    </row>
    <row r="64" spans="1:37" hidden="1">
      <c r="B64" s="262">
        <v>1673</v>
      </c>
      <c r="C64" s="262">
        <v>1709</v>
      </c>
      <c r="D64" s="262">
        <v>1736</v>
      </c>
      <c r="E64" s="605">
        <v>1762</v>
      </c>
      <c r="F64" s="262">
        <v>1853</v>
      </c>
      <c r="G64" s="262">
        <v>1900</v>
      </c>
      <c r="H64" s="262">
        <v>1933</v>
      </c>
      <c r="I64" s="605">
        <v>1965</v>
      </c>
      <c r="J64" s="262">
        <v>1740</v>
      </c>
      <c r="K64" s="262">
        <v>1776</v>
      </c>
      <c r="L64" s="262">
        <v>1801</v>
      </c>
      <c r="M64" s="605">
        <v>1824</v>
      </c>
      <c r="N64" s="262">
        <v>1415</v>
      </c>
      <c r="O64" s="262">
        <v>1443</v>
      </c>
      <c r="P64" s="262">
        <v>1464</v>
      </c>
      <c r="Q64" s="605">
        <v>1483</v>
      </c>
      <c r="R64" s="262">
        <v>1784</v>
      </c>
      <c r="S64" s="262">
        <v>1816</v>
      </c>
      <c r="T64" s="262">
        <v>1838</v>
      </c>
      <c r="U64" s="605">
        <v>1853</v>
      </c>
      <c r="V64" s="262">
        <v>1623</v>
      </c>
      <c r="W64" s="262">
        <v>1653</v>
      </c>
      <c r="X64" s="262">
        <v>1674</v>
      </c>
      <c r="Y64" s="605">
        <v>1692</v>
      </c>
      <c r="Z64" s="262">
        <v>1789</v>
      </c>
      <c r="AA64" s="262">
        <v>1823</v>
      </c>
      <c r="AB64" s="262">
        <v>1846</v>
      </c>
      <c r="AC64" s="605">
        <v>1864</v>
      </c>
      <c r="AD64" s="262">
        <v>1572</v>
      </c>
      <c r="AE64" s="262">
        <v>1609</v>
      </c>
      <c r="AF64" s="262">
        <v>1637</v>
      </c>
      <c r="AG64" s="605">
        <v>1667</v>
      </c>
    </row>
    <row r="65" spans="2:33" hidden="1">
      <c r="B65" s="262">
        <v>1665</v>
      </c>
      <c r="C65" s="262">
        <v>1693</v>
      </c>
      <c r="D65" s="262">
        <v>1712</v>
      </c>
      <c r="E65" s="605">
        <v>1726</v>
      </c>
      <c r="F65" s="262">
        <v>1848</v>
      </c>
      <c r="G65" s="262">
        <v>1880</v>
      </c>
      <c r="H65" s="262">
        <v>1904</v>
      </c>
      <c r="I65" s="605">
        <v>1922</v>
      </c>
      <c r="J65" s="262">
        <v>1732</v>
      </c>
      <c r="K65" s="262">
        <v>1760</v>
      </c>
      <c r="L65" s="262">
        <v>1779</v>
      </c>
      <c r="M65" s="605">
        <v>1791</v>
      </c>
      <c r="N65" s="262">
        <v>1408</v>
      </c>
      <c r="O65" s="262">
        <v>1430</v>
      </c>
      <c r="P65" s="262">
        <v>1444</v>
      </c>
      <c r="Q65" s="605">
        <v>1452</v>
      </c>
      <c r="R65" s="262">
        <v>1776</v>
      </c>
      <c r="S65" s="262">
        <v>1800</v>
      </c>
      <c r="T65" s="262">
        <v>1815</v>
      </c>
      <c r="U65" s="605">
        <v>1818</v>
      </c>
      <c r="V65" s="262">
        <v>1616</v>
      </c>
      <c r="W65" s="262">
        <v>1639</v>
      </c>
      <c r="X65" s="262">
        <v>1653</v>
      </c>
      <c r="Y65" s="605">
        <v>1658</v>
      </c>
      <c r="Z65" s="262">
        <v>1781</v>
      </c>
      <c r="AA65" s="262">
        <v>1807</v>
      </c>
      <c r="AB65" s="262">
        <v>1824</v>
      </c>
      <c r="AC65" s="605">
        <v>1831</v>
      </c>
      <c r="AD65" s="262">
        <v>1563</v>
      </c>
      <c r="AE65" s="262">
        <v>1591</v>
      </c>
      <c r="AF65" s="262">
        <v>1611</v>
      </c>
      <c r="AG65" s="605">
        <v>1627</v>
      </c>
    </row>
    <row r="66" spans="2:33" hidden="1">
      <c r="B66" s="262">
        <v>1653</v>
      </c>
      <c r="C66" s="262">
        <v>1671</v>
      </c>
      <c r="D66" s="262">
        <v>1680</v>
      </c>
      <c r="E66" s="605">
        <v>1677</v>
      </c>
      <c r="F66" s="262">
        <v>1834</v>
      </c>
      <c r="G66" s="262">
        <v>1853</v>
      </c>
      <c r="H66" s="262">
        <v>1866</v>
      </c>
      <c r="I66" s="605">
        <v>1863</v>
      </c>
      <c r="J66" s="262">
        <v>1722</v>
      </c>
      <c r="K66" s="262">
        <v>1740</v>
      </c>
      <c r="L66" s="262">
        <v>1748</v>
      </c>
      <c r="M66" s="605">
        <v>1744</v>
      </c>
      <c r="N66" s="262">
        <v>1399</v>
      </c>
      <c r="O66" s="262">
        <v>1411</v>
      </c>
      <c r="P66" s="262">
        <v>1418</v>
      </c>
      <c r="Q66" s="605">
        <v>1413</v>
      </c>
      <c r="R66" s="262">
        <v>1765</v>
      </c>
      <c r="S66" s="262">
        <v>1780</v>
      </c>
      <c r="T66" s="262">
        <v>1785</v>
      </c>
      <c r="U66" s="605">
        <v>1772</v>
      </c>
      <c r="V66" s="262">
        <v>1606</v>
      </c>
      <c r="W66" s="262">
        <v>1619</v>
      </c>
      <c r="X66" s="262">
        <v>1625</v>
      </c>
      <c r="Y66" s="605">
        <v>1618</v>
      </c>
      <c r="Z66" s="262">
        <v>1771</v>
      </c>
      <c r="AA66" s="262">
        <v>1786</v>
      </c>
      <c r="AB66" s="262">
        <v>1794</v>
      </c>
      <c r="AC66" s="605">
        <v>1783</v>
      </c>
      <c r="AD66" s="262">
        <v>1551</v>
      </c>
      <c r="AE66" s="262">
        <v>1567</v>
      </c>
      <c r="AF66" s="262">
        <v>1577</v>
      </c>
      <c r="AG66" s="605">
        <v>1575</v>
      </c>
    </row>
    <row r="67" spans="2:33" hidden="1">
      <c r="B67" s="262">
        <v>1640</v>
      </c>
      <c r="C67" s="262">
        <v>1645</v>
      </c>
      <c r="D67" s="262">
        <v>1641</v>
      </c>
      <c r="E67" s="605">
        <v>1618</v>
      </c>
      <c r="F67" s="262">
        <v>1818</v>
      </c>
      <c r="G67" s="262">
        <v>1822</v>
      </c>
      <c r="H67" s="262">
        <v>1819</v>
      </c>
      <c r="I67" s="605">
        <v>1795</v>
      </c>
      <c r="J67" s="262">
        <v>1709</v>
      </c>
      <c r="K67" s="262">
        <v>1714</v>
      </c>
      <c r="L67" s="262">
        <v>1711</v>
      </c>
      <c r="M67" s="605">
        <v>1690</v>
      </c>
      <c r="N67" s="262">
        <v>1388</v>
      </c>
      <c r="O67" s="262">
        <v>1390</v>
      </c>
      <c r="P67" s="262">
        <v>1387</v>
      </c>
      <c r="Q67" s="605">
        <v>1365</v>
      </c>
      <c r="R67" s="262">
        <v>1753</v>
      </c>
      <c r="S67" s="262">
        <v>1755</v>
      </c>
      <c r="T67" s="262">
        <v>1748</v>
      </c>
      <c r="U67" s="605">
        <v>1720</v>
      </c>
      <c r="V67" s="262">
        <v>1594</v>
      </c>
      <c r="W67" s="262">
        <v>1596</v>
      </c>
      <c r="X67" s="262">
        <v>1592</v>
      </c>
      <c r="Y67" s="605">
        <v>1568</v>
      </c>
      <c r="Z67" s="262">
        <v>1758</v>
      </c>
      <c r="AA67" s="262">
        <v>1761</v>
      </c>
      <c r="AB67" s="262">
        <v>1756</v>
      </c>
      <c r="AC67" s="605">
        <v>1729</v>
      </c>
      <c r="AD67" s="262">
        <v>1537</v>
      </c>
      <c r="AE67" s="262">
        <v>1537</v>
      </c>
      <c r="AF67" s="262">
        <v>1537</v>
      </c>
      <c r="AG67" s="605">
        <v>1514</v>
      </c>
    </row>
    <row r="68" spans="2:33" hidden="1">
      <c r="B68" s="262">
        <v>1625</v>
      </c>
      <c r="C68" s="262">
        <v>1616</v>
      </c>
      <c r="D68" s="262">
        <v>1599</v>
      </c>
      <c r="E68" s="605">
        <v>1551</v>
      </c>
      <c r="F68" s="262">
        <v>1801</v>
      </c>
      <c r="G68" s="262">
        <v>1787</v>
      </c>
      <c r="H68" s="262">
        <v>1769</v>
      </c>
      <c r="I68" s="605">
        <v>1717</v>
      </c>
      <c r="J68" s="262">
        <v>1695</v>
      </c>
      <c r="K68" s="262">
        <v>1686</v>
      </c>
      <c r="L68" s="262">
        <v>1671</v>
      </c>
      <c r="M68" s="605">
        <v>1627</v>
      </c>
      <c r="N68" s="262">
        <v>1376</v>
      </c>
      <c r="O68" s="262">
        <v>1367</v>
      </c>
      <c r="P68" s="262">
        <v>1354</v>
      </c>
      <c r="Q68" s="605">
        <v>1313</v>
      </c>
      <c r="R68" s="262">
        <v>1739</v>
      </c>
      <c r="S68" s="262">
        <v>1727</v>
      </c>
      <c r="T68" s="262">
        <v>1709</v>
      </c>
      <c r="U68" s="605">
        <v>1658</v>
      </c>
      <c r="V68" s="262">
        <v>1581</v>
      </c>
      <c r="W68" s="262">
        <v>1571</v>
      </c>
      <c r="X68" s="262">
        <v>1549</v>
      </c>
      <c r="Y68" s="605">
        <v>1510</v>
      </c>
      <c r="Z68" s="262">
        <v>1744</v>
      </c>
      <c r="AA68" s="262">
        <v>1733</v>
      </c>
      <c r="AB68" s="262">
        <v>1715</v>
      </c>
      <c r="AC68" s="605">
        <v>1666</v>
      </c>
      <c r="AD68" s="262">
        <v>1521</v>
      </c>
      <c r="AE68" s="262">
        <v>1510</v>
      </c>
      <c r="AF68" s="262">
        <v>1493</v>
      </c>
      <c r="AG68" s="605">
        <v>1446</v>
      </c>
    </row>
    <row r="69" spans="2:33" hidden="1">
      <c r="B69" s="262">
        <v>1601</v>
      </c>
      <c r="C69" s="262">
        <v>1567</v>
      </c>
      <c r="D69" s="262">
        <v>1526</v>
      </c>
      <c r="E69" s="605">
        <v>1431</v>
      </c>
      <c r="F69" s="262">
        <v>1772</v>
      </c>
      <c r="G69" s="262">
        <v>1730</v>
      </c>
      <c r="H69" s="262">
        <v>1683</v>
      </c>
      <c r="I69" s="605">
        <v>1577</v>
      </c>
      <c r="J69" s="262">
        <v>1671</v>
      </c>
      <c r="K69" s="262">
        <v>1639</v>
      </c>
      <c r="L69" s="262">
        <v>1601</v>
      </c>
      <c r="M69" s="605">
        <v>1512</v>
      </c>
      <c r="N69" s="262">
        <v>1357</v>
      </c>
      <c r="O69" s="262">
        <v>1329</v>
      </c>
      <c r="P69" s="262">
        <v>1296</v>
      </c>
      <c r="Q69" s="605">
        <v>1221</v>
      </c>
      <c r="R69" s="262">
        <v>1717</v>
      </c>
      <c r="S69" s="262">
        <v>1682</v>
      </c>
      <c r="T69" s="262">
        <v>1643</v>
      </c>
      <c r="U69" s="605">
        <v>1549</v>
      </c>
      <c r="V69" s="262">
        <v>1560</v>
      </c>
      <c r="W69" s="262">
        <v>1529</v>
      </c>
      <c r="X69" s="262">
        <v>1494</v>
      </c>
      <c r="Y69" s="605">
        <v>1410</v>
      </c>
      <c r="Z69" s="262">
        <v>1720</v>
      </c>
      <c r="AA69" s="262">
        <v>1685</v>
      </c>
      <c r="AB69" s="262">
        <v>1645</v>
      </c>
      <c r="AC69" s="605">
        <v>1550</v>
      </c>
      <c r="AD69" s="262">
        <v>1497</v>
      </c>
      <c r="AE69" s="262">
        <v>1460</v>
      </c>
      <c r="AF69" s="262">
        <v>1419</v>
      </c>
      <c r="AG69" s="605">
        <v>1326</v>
      </c>
    </row>
    <row r="70" spans="2:33" hidden="1">
      <c r="B70" s="262">
        <v>1588</v>
      </c>
      <c r="C70" s="262">
        <v>1540</v>
      </c>
      <c r="D70" s="262">
        <v>1485</v>
      </c>
      <c r="E70" s="605">
        <v>1362</v>
      </c>
      <c r="F70" s="262">
        <v>1757</v>
      </c>
      <c r="G70" s="262">
        <v>1699</v>
      </c>
      <c r="H70" s="262">
        <v>1635</v>
      </c>
      <c r="I70" s="605">
        <v>1495</v>
      </c>
      <c r="J70" s="262">
        <v>1658</v>
      </c>
      <c r="K70" s="262">
        <v>1612</v>
      </c>
      <c r="L70" s="262">
        <v>1561</v>
      </c>
      <c r="M70" s="605">
        <v>1444</v>
      </c>
      <c r="N70" s="262">
        <v>1347</v>
      </c>
      <c r="O70" s="262">
        <v>1308</v>
      </c>
      <c r="P70" s="262">
        <v>1265</v>
      </c>
      <c r="Q70" s="605">
        <v>1167</v>
      </c>
      <c r="R70" s="262">
        <v>1704</v>
      </c>
      <c r="S70" s="262">
        <v>1658</v>
      </c>
      <c r="T70" s="262">
        <v>1605</v>
      </c>
      <c r="U70" s="605">
        <v>1484</v>
      </c>
      <c r="V70" s="262">
        <v>1549</v>
      </c>
      <c r="W70" s="262">
        <v>1507</v>
      </c>
      <c r="X70" s="262">
        <v>1459</v>
      </c>
      <c r="Y70" s="605">
        <v>1349</v>
      </c>
      <c r="Z70" s="262">
        <v>1708</v>
      </c>
      <c r="AA70" s="262">
        <v>1660</v>
      </c>
      <c r="AB70" s="262">
        <v>1606</v>
      </c>
      <c r="AC70" s="605">
        <v>1483</v>
      </c>
      <c r="AD70" s="262">
        <v>1484</v>
      </c>
      <c r="AE70" s="262">
        <v>1430</v>
      </c>
      <c r="AF70" s="262">
        <v>1379</v>
      </c>
      <c r="AG70" s="605">
        <v>1258</v>
      </c>
    </row>
    <row r="71" spans="2:33" hidden="1">
      <c r="B71" s="262">
        <v>1577</v>
      </c>
      <c r="C71" s="262">
        <v>1518</v>
      </c>
      <c r="D71" s="262">
        <v>1452</v>
      </c>
      <c r="E71" s="605">
        <v>1302</v>
      </c>
      <c r="F71" s="262">
        <v>1744</v>
      </c>
      <c r="G71" s="262">
        <v>1673</v>
      </c>
      <c r="H71" s="262">
        <v>1596</v>
      </c>
      <c r="I71" s="605">
        <v>1422</v>
      </c>
      <c r="J71" s="262">
        <v>1647</v>
      </c>
      <c r="K71" s="262">
        <v>1590</v>
      </c>
      <c r="L71" s="262">
        <v>1527</v>
      </c>
      <c r="M71" s="605">
        <v>1382</v>
      </c>
      <c r="N71" s="262">
        <v>1338</v>
      </c>
      <c r="O71" s="262">
        <v>1291</v>
      </c>
      <c r="P71" s="262">
        <v>1239</v>
      </c>
      <c r="Q71" s="605">
        <v>1121</v>
      </c>
      <c r="R71" s="262">
        <v>1694</v>
      </c>
      <c r="S71" s="262">
        <v>1637</v>
      </c>
      <c r="T71" s="262">
        <v>1573</v>
      </c>
      <c r="U71" s="605">
        <v>1426</v>
      </c>
      <c r="V71" s="262">
        <v>1540</v>
      </c>
      <c r="W71" s="262">
        <v>1488</v>
      </c>
      <c r="X71" s="262">
        <v>1429</v>
      </c>
      <c r="Y71" s="605">
        <v>1296</v>
      </c>
      <c r="Z71" s="262">
        <v>1698</v>
      </c>
      <c r="AA71" s="262">
        <v>1639</v>
      </c>
      <c r="AB71" s="262">
        <v>1573</v>
      </c>
      <c r="AC71" s="605">
        <v>1422</v>
      </c>
      <c r="AD71" s="262">
        <v>1473</v>
      </c>
      <c r="AE71" s="262">
        <v>1407</v>
      </c>
      <c r="AF71" s="262">
        <v>1346</v>
      </c>
      <c r="AG71" s="605">
        <v>1199</v>
      </c>
    </row>
    <row r="72" spans="2:33" hidden="1">
      <c r="B72" s="262">
        <v>1567</v>
      </c>
      <c r="C72" s="262">
        <v>1498</v>
      </c>
      <c r="D72" s="262">
        <v>1420</v>
      </c>
      <c r="E72" s="605">
        <v>1245</v>
      </c>
      <c r="F72" s="262">
        <v>1733</v>
      </c>
      <c r="G72" s="262">
        <v>1651</v>
      </c>
      <c r="H72" s="262">
        <v>1560</v>
      </c>
      <c r="I72" s="605">
        <v>1354</v>
      </c>
      <c r="J72" s="262">
        <v>1637</v>
      </c>
      <c r="K72" s="262">
        <v>1570</v>
      </c>
      <c r="L72" s="262">
        <v>1494</v>
      </c>
      <c r="M72" s="605">
        <v>1321</v>
      </c>
      <c r="N72" s="262">
        <v>1331</v>
      </c>
      <c r="O72" s="262">
        <v>1276</v>
      </c>
      <c r="P72" s="262">
        <v>1220</v>
      </c>
      <c r="Q72" s="605">
        <v>1077</v>
      </c>
      <c r="R72" s="262">
        <v>1685</v>
      </c>
      <c r="S72" s="262">
        <v>1620</v>
      </c>
      <c r="T72" s="262">
        <v>1550</v>
      </c>
      <c r="U72" s="605">
        <v>1370</v>
      </c>
      <c r="V72" s="262">
        <v>1531</v>
      </c>
      <c r="W72" s="262">
        <v>1470</v>
      </c>
      <c r="X72" s="262">
        <v>1402</v>
      </c>
      <c r="Y72" s="605">
        <v>1245</v>
      </c>
      <c r="Z72" s="262">
        <v>1688</v>
      </c>
      <c r="AA72" s="262">
        <v>1621</v>
      </c>
      <c r="AB72" s="262">
        <v>1542</v>
      </c>
      <c r="AC72" s="605">
        <v>1364</v>
      </c>
      <c r="AD72" s="262">
        <v>1466</v>
      </c>
      <c r="AE72" s="262">
        <v>1394</v>
      </c>
      <c r="AF72" s="262">
        <v>1317</v>
      </c>
      <c r="AG72" s="605">
        <v>1156</v>
      </c>
    </row>
    <row r="73" spans="2:33" hidden="1">
      <c r="B73" s="262">
        <v>1564</v>
      </c>
      <c r="C73" s="262">
        <v>1491</v>
      </c>
      <c r="D73" s="262">
        <v>1411</v>
      </c>
      <c r="E73" s="605">
        <v>1227</v>
      </c>
      <c r="F73" s="262">
        <v>1730</v>
      </c>
      <c r="G73" s="262">
        <v>1645</v>
      </c>
      <c r="H73" s="262">
        <v>1549</v>
      </c>
      <c r="I73" s="605">
        <v>1332</v>
      </c>
      <c r="J73" s="262">
        <v>1634</v>
      </c>
      <c r="K73" s="262">
        <v>1563</v>
      </c>
      <c r="L73" s="262">
        <v>1483</v>
      </c>
      <c r="M73" s="605">
        <v>1301</v>
      </c>
      <c r="N73" s="262">
        <v>1329</v>
      </c>
      <c r="O73" s="262">
        <v>1272</v>
      </c>
      <c r="P73" s="262">
        <v>1208</v>
      </c>
      <c r="Q73" s="605">
        <v>1064</v>
      </c>
      <c r="R73" s="262">
        <v>1683</v>
      </c>
      <c r="S73" s="262">
        <v>1614</v>
      </c>
      <c r="T73" s="262">
        <v>1535</v>
      </c>
      <c r="U73" s="605">
        <v>1353</v>
      </c>
      <c r="V73" s="262">
        <v>1529</v>
      </c>
      <c r="W73" s="262">
        <v>1465</v>
      </c>
      <c r="X73" s="262">
        <v>1393</v>
      </c>
      <c r="Y73" s="605">
        <v>1229</v>
      </c>
      <c r="Z73" s="262">
        <v>1685</v>
      </c>
      <c r="AA73" s="262">
        <v>1615</v>
      </c>
      <c r="AB73" s="262">
        <v>1534</v>
      </c>
      <c r="AC73" s="605">
        <v>1345</v>
      </c>
      <c r="AD73" s="262">
        <v>1462</v>
      </c>
      <c r="AE73" s="262">
        <v>1390</v>
      </c>
      <c r="AF73" s="262">
        <v>1309</v>
      </c>
      <c r="AG73" s="605">
        <v>1130</v>
      </c>
    </row>
    <row r="74" spans="2:33" hidden="1">
      <c r="B74" s="262">
        <v>1564</v>
      </c>
      <c r="C74" s="262">
        <v>1493</v>
      </c>
      <c r="D74" s="262">
        <v>1413</v>
      </c>
      <c r="E74" s="605">
        <v>1233</v>
      </c>
      <c r="F74" s="262">
        <v>1731</v>
      </c>
      <c r="G74" s="262">
        <v>1648</v>
      </c>
      <c r="H74" s="262">
        <v>1553</v>
      </c>
      <c r="I74" s="605">
        <v>1343</v>
      </c>
      <c r="J74" s="262">
        <v>1634</v>
      </c>
      <c r="K74" s="262">
        <v>1564</v>
      </c>
      <c r="L74" s="262">
        <v>1486</v>
      </c>
      <c r="M74" s="605">
        <v>1307</v>
      </c>
      <c r="N74" s="262">
        <v>1330</v>
      </c>
      <c r="O74" s="262">
        <v>1274</v>
      </c>
      <c r="P74" s="262">
        <v>1212</v>
      </c>
      <c r="Q74" s="605">
        <v>1072</v>
      </c>
      <c r="R74" s="262">
        <v>1683</v>
      </c>
      <c r="S74" s="262">
        <v>1615</v>
      </c>
      <c r="T74" s="262">
        <v>1538</v>
      </c>
      <c r="U74" s="605">
        <v>1360</v>
      </c>
      <c r="V74" s="262">
        <v>1529</v>
      </c>
      <c r="W74" s="262">
        <v>1467</v>
      </c>
      <c r="X74" s="262">
        <v>1396</v>
      </c>
      <c r="Y74" s="605">
        <v>1235</v>
      </c>
      <c r="Z74" s="262">
        <v>1686</v>
      </c>
      <c r="AA74" s="262">
        <v>1616</v>
      </c>
      <c r="AB74" s="262">
        <v>1536</v>
      </c>
      <c r="AC74" s="605">
        <v>1353</v>
      </c>
      <c r="AD74" s="262">
        <v>1464</v>
      </c>
      <c r="AE74" s="262">
        <v>1393</v>
      </c>
      <c r="AF74" s="262">
        <v>1315</v>
      </c>
      <c r="AG74" s="605">
        <v>1141</v>
      </c>
    </row>
    <row r="75" spans="2:33" hidden="1">
      <c r="B75" s="262">
        <v>1568</v>
      </c>
      <c r="C75" s="262">
        <v>1502</v>
      </c>
      <c r="D75" s="262">
        <v>1428</v>
      </c>
      <c r="E75" s="605">
        <v>1262</v>
      </c>
      <c r="F75" s="262">
        <v>1737</v>
      </c>
      <c r="G75" s="262">
        <v>1659</v>
      </c>
      <c r="H75" s="262">
        <v>1572</v>
      </c>
      <c r="I75" s="605">
        <v>1382</v>
      </c>
      <c r="J75" s="262">
        <v>1637</v>
      </c>
      <c r="K75" s="262">
        <v>1572</v>
      </c>
      <c r="L75" s="262">
        <v>1500</v>
      </c>
      <c r="M75" s="605">
        <v>1336</v>
      </c>
      <c r="N75" s="262">
        <v>1334</v>
      </c>
      <c r="O75" s="262">
        <v>1283</v>
      </c>
      <c r="P75" s="262">
        <v>1226</v>
      </c>
      <c r="Q75" s="605">
        <v>1099</v>
      </c>
      <c r="R75" s="262">
        <v>1687</v>
      </c>
      <c r="S75" s="262">
        <v>1623</v>
      </c>
      <c r="T75" s="262">
        <v>1552</v>
      </c>
      <c r="U75" s="605">
        <v>1390</v>
      </c>
      <c r="V75" s="262">
        <v>1533</v>
      </c>
      <c r="W75" s="262">
        <v>1475</v>
      </c>
      <c r="X75" s="262">
        <v>1410</v>
      </c>
      <c r="Y75" s="605">
        <v>1263</v>
      </c>
      <c r="Z75" s="262">
        <v>1690</v>
      </c>
      <c r="AA75" s="262">
        <v>1625</v>
      </c>
      <c r="AB75" s="262">
        <v>1550</v>
      </c>
      <c r="AC75" s="605">
        <v>1383</v>
      </c>
      <c r="AD75" s="262">
        <v>1469</v>
      </c>
      <c r="AE75" s="262">
        <v>1404</v>
      </c>
      <c r="AF75" s="262">
        <v>1333</v>
      </c>
      <c r="AG75" s="605">
        <v>1176</v>
      </c>
    </row>
    <row r="76" spans="2:33" hidden="1">
      <c r="B76" s="262">
        <v>1576</v>
      </c>
      <c r="C76" s="262">
        <v>1518</v>
      </c>
      <c r="D76" s="262">
        <v>1453</v>
      </c>
      <c r="E76" s="605">
        <v>1310</v>
      </c>
      <c r="F76" s="262">
        <v>1747</v>
      </c>
      <c r="G76" s="262">
        <v>1679</v>
      </c>
      <c r="H76" s="262">
        <v>1604</v>
      </c>
      <c r="I76" s="605">
        <v>1441</v>
      </c>
      <c r="J76" s="262">
        <v>1644</v>
      </c>
      <c r="K76" s="262">
        <v>1588</v>
      </c>
      <c r="L76" s="262">
        <v>1523</v>
      </c>
      <c r="M76" s="605">
        <v>1382</v>
      </c>
      <c r="N76" s="262">
        <v>1341</v>
      </c>
      <c r="O76" s="262">
        <v>1297</v>
      </c>
      <c r="P76" s="262">
        <v>1248</v>
      </c>
      <c r="Q76" s="605">
        <v>1138</v>
      </c>
      <c r="R76" s="262">
        <v>1695</v>
      </c>
      <c r="S76" s="262">
        <v>1639</v>
      </c>
      <c r="T76" s="262">
        <v>1576</v>
      </c>
      <c r="U76" s="605">
        <v>1435</v>
      </c>
      <c r="V76" s="262">
        <v>1540</v>
      </c>
      <c r="W76" s="262">
        <v>1489</v>
      </c>
      <c r="X76" s="262">
        <v>1433</v>
      </c>
      <c r="Y76" s="605">
        <v>1305</v>
      </c>
      <c r="Z76" s="262">
        <v>1698</v>
      </c>
      <c r="AA76" s="262">
        <v>1640</v>
      </c>
      <c r="AB76" s="262">
        <v>1574</v>
      </c>
      <c r="AC76" s="605">
        <v>1429</v>
      </c>
      <c r="AD76" s="262">
        <v>1478</v>
      </c>
      <c r="AE76" s="262">
        <v>1422</v>
      </c>
      <c r="AF76" s="262">
        <v>1361</v>
      </c>
      <c r="AG76" s="605">
        <v>1226</v>
      </c>
    </row>
    <row r="77" spans="2:33" hidden="1">
      <c r="B77" s="262">
        <v>1587</v>
      </c>
      <c r="C77" s="262">
        <v>1541</v>
      </c>
      <c r="D77" s="262">
        <v>1488</v>
      </c>
      <c r="E77" s="605">
        <v>1370</v>
      </c>
      <c r="F77" s="262">
        <v>1760</v>
      </c>
      <c r="G77" s="262">
        <v>1705</v>
      </c>
      <c r="H77" s="262">
        <v>1645</v>
      </c>
      <c r="I77" s="605">
        <v>1516</v>
      </c>
      <c r="J77" s="262">
        <v>1655</v>
      </c>
      <c r="K77" s="262">
        <v>1608</v>
      </c>
      <c r="L77" s="262">
        <v>1556</v>
      </c>
      <c r="M77" s="605">
        <v>1441</v>
      </c>
      <c r="N77" s="262">
        <v>1350</v>
      </c>
      <c r="O77" s="262">
        <v>1316</v>
      </c>
      <c r="P77" s="262">
        <v>1277</v>
      </c>
      <c r="Q77" s="605">
        <v>1187</v>
      </c>
      <c r="R77" s="262">
        <v>1705</v>
      </c>
      <c r="S77" s="262">
        <v>1659</v>
      </c>
      <c r="T77" s="262">
        <v>1608</v>
      </c>
      <c r="U77" s="605">
        <v>1493</v>
      </c>
      <c r="V77" s="262">
        <v>1550</v>
      </c>
      <c r="W77" s="262">
        <v>1509</v>
      </c>
      <c r="X77" s="262">
        <v>1463</v>
      </c>
      <c r="Y77" s="605">
        <v>1358</v>
      </c>
      <c r="Z77" s="262">
        <v>1708</v>
      </c>
      <c r="AA77" s="262">
        <v>1661</v>
      </c>
      <c r="AB77" s="262">
        <v>1607</v>
      </c>
      <c r="AC77" s="605">
        <v>1490</v>
      </c>
      <c r="AD77" s="262">
        <v>1490</v>
      </c>
      <c r="AE77" s="262">
        <v>1446</v>
      </c>
      <c r="AF77" s="262">
        <v>1397</v>
      </c>
      <c r="AG77" s="605">
        <v>1290</v>
      </c>
    </row>
    <row r="78" spans="2:33" hidden="1">
      <c r="B78" s="262">
        <v>1600</v>
      </c>
      <c r="C78" s="262">
        <v>1567</v>
      </c>
      <c r="D78" s="262">
        <v>1529</v>
      </c>
      <c r="E78" s="605">
        <v>1439</v>
      </c>
      <c r="F78" s="262">
        <v>1776</v>
      </c>
      <c r="G78" s="262">
        <v>1737</v>
      </c>
      <c r="H78" s="262">
        <v>1694</v>
      </c>
      <c r="I78" s="605">
        <v>1597</v>
      </c>
      <c r="J78" s="262">
        <v>1667</v>
      </c>
      <c r="K78" s="262">
        <v>1634</v>
      </c>
      <c r="L78" s="262">
        <v>1594</v>
      </c>
      <c r="M78" s="605">
        <v>1506</v>
      </c>
      <c r="N78" s="262">
        <v>1361</v>
      </c>
      <c r="O78" s="262">
        <v>1337</v>
      </c>
      <c r="P78" s="262">
        <v>1309</v>
      </c>
      <c r="Q78" s="605">
        <v>1242</v>
      </c>
      <c r="R78" s="262">
        <v>1717</v>
      </c>
      <c r="S78" s="262">
        <v>1683</v>
      </c>
      <c r="T78" s="262">
        <v>1645</v>
      </c>
      <c r="U78" s="605">
        <v>1556</v>
      </c>
      <c r="V78" s="262">
        <v>1562</v>
      </c>
      <c r="W78" s="262">
        <v>1532</v>
      </c>
      <c r="X78" s="262">
        <v>1497</v>
      </c>
      <c r="Y78" s="605">
        <v>1417</v>
      </c>
      <c r="Z78" s="262">
        <v>1721</v>
      </c>
      <c r="AA78" s="262">
        <v>1687</v>
      </c>
      <c r="AB78" s="262">
        <v>1646</v>
      </c>
      <c r="AC78" s="605">
        <v>1556</v>
      </c>
      <c r="AD78" s="262">
        <v>1504</v>
      </c>
      <c r="AE78" s="262">
        <v>1474</v>
      </c>
      <c r="AF78" s="262">
        <v>1439</v>
      </c>
      <c r="AG78" s="605">
        <v>1359</v>
      </c>
    </row>
    <row r="79" spans="2:33" hidden="1">
      <c r="B79" s="262">
        <v>1615</v>
      </c>
      <c r="C79" s="262">
        <v>1596</v>
      </c>
      <c r="D79" s="262">
        <v>1572</v>
      </c>
      <c r="E79" s="605">
        <v>1510</v>
      </c>
      <c r="F79" s="262">
        <v>1793</v>
      </c>
      <c r="G79" s="262">
        <v>1772</v>
      </c>
      <c r="H79" s="262">
        <v>1746</v>
      </c>
      <c r="I79" s="605">
        <v>1680</v>
      </c>
      <c r="J79" s="262">
        <v>1681</v>
      </c>
      <c r="K79" s="262">
        <v>1661</v>
      </c>
      <c r="L79" s="262">
        <v>1635</v>
      </c>
      <c r="M79" s="605">
        <v>1571</v>
      </c>
      <c r="N79" s="262">
        <v>1377</v>
      </c>
      <c r="O79" s="262">
        <v>1361</v>
      </c>
      <c r="P79" s="262">
        <v>1344</v>
      </c>
      <c r="Q79" s="605">
        <v>1297</v>
      </c>
      <c r="R79" s="262">
        <v>1731</v>
      </c>
      <c r="S79" s="262">
        <v>1710</v>
      </c>
      <c r="T79" s="262">
        <v>1685</v>
      </c>
      <c r="U79" s="605">
        <v>1619</v>
      </c>
      <c r="V79" s="262">
        <v>1574</v>
      </c>
      <c r="W79" s="262">
        <v>1557</v>
      </c>
      <c r="X79" s="262">
        <v>1534</v>
      </c>
      <c r="Y79" s="605">
        <v>1476</v>
      </c>
      <c r="Z79" s="262">
        <v>1735</v>
      </c>
      <c r="AA79" s="262">
        <v>1714</v>
      </c>
      <c r="AB79" s="262">
        <v>1689</v>
      </c>
      <c r="AC79" s="605">
        <v>1623</v>
      </c>
      <c r="AD79" s="262">
        <v>1519</v>
      </c>
      <c r="AE79" s="262">
        <v>1514</v>
      </c>
      <c r="AF79" s="262">
        <v>1483</v>
      </c>
      <c r="AG79" s="605">
        <v>1454</v>
      </c>
    </row>
    <row r="80" spans="2:33" hidden="1">
      <c r="B80" s="262">
        <v>1630</v>
      </c>
      <c r="C80" s="262">
        <v>1626</v>
      </c>
      <c r="D80" s="262">
        <v>1616</v>
      </c>
      <c r="E80" s="605">
        <v>1578</v>
      </c>
      <c r="F80" s="262">
        <v>1811</v>
      </c>
      <c r="G80" s="262">
        <v>1807</v>
      </c>
      <c r="H80" s="262">
        <v>1797</v>
      </c>
      <c r="I80" s="605">
        <v>1760</v>
      </c>
      <c r="J80" s="262">
        <v>1696</v>
      </c>
      <c r="K80" s="262">
        <v>1689</v>
      </c>
      <c r="L80" s="262">
        <v>1676</v>
      </c>
      <c r="M80" s="605">
        <v>1635</v>
      </c>
      <c r="N80" s="262">
        <v>1385</v>
      </c>
      <c r="O80" s="262">
        <v>1384</v>
      </c>
      <c r="P80" s="262">
        <v>1378</v>
      </c>
      <c r="Q80" s="605">
        <v>1350</v>
      </c>
      <c r="R80" s="262">
        <v>1745</v>
      </c>
      <c r="S80" s="262">
        <v>1737</v>
      </c>
      <c r="T80" s="262">
        <v>1724</v>
      </c>
      <c r="U80" s="605">
        <v>1682</v>
      </c>
      <c r="V80" s="262">
        <v>1587</v>
      </c>
      <c r="W80" s="262">
        <v>1582</v>
      </c>
      <c r="X80" s="262">
        <v>1571</v>
      </c>
      <c r="Y80" s="605">
        <v>1535</v>
      </c>
      <c r="Z80" s="262">
        <v>1749</v>
      </c>
      <c r="AA80" s="262">
        <v>1743</v>
      </c>
      <c r="AB80" s="262">
        <v>1731</v>
      </c>
      <c r="AC80" s="605">
        <v>1687</v>
      </c>
      <c r="AD80" s="262">
        <v>1534</v>
      </c>
      <c r="AE80" s="262">
        <v>1534</v>
      </c>
      <c r="AF80" s="262">
        <v>1527</v>
      </c>
      <c r="AG80" s="605">
        <v>1499</v>
      </c>
    </row>
    <row r="81" spans="2:33" hidden="1">
      <c r="B81" s="262">
        <v>1645</v>
      </c>
      <c r="C81" s="262">
        <v>1654</v>
      </c>
      <c r="D81" s="262">
        <v>1657</v>
      </c>
      <c r="E81" s="605">
        <v>1641</v>
      </c>
      <c r="F81" s="262">
        <v>1828</v>
      </c>
      <c r="G81" s="262">
        <v>1840</v>
      </c>
      <c r="H81" s="262">
        <v>1846</v>
      </c>
      <c r="I81" s="605">
        <v>1832</v>
      </c>
      <c r="J81" s="262">
        <v>1710</v>
      </c>
      <c r="K81" s="262">
        <v>1716</v>
      </c>
      <c r="L81" s="262">
        <v>1715</v>
      </c>
      <c r="M81" s="605">
        <v>1695</v>
      </c>
      <c r="N81" s="262">
        <v>1396</v>
      </c>
      <c r="O81" s="262">
        <v>1406</v>
      </c>
      <c r="P81" s="262">
        <v>1409</v>
      </c>
      <c r="Q81" s="605">
        <v>1399</v>
      </c>
      <c r="R81" s="262">
        <v>1758</v>
      </c>
      <c r="S81" s="262">
        <v>1764</v>
      </c>
      <c r="T81" s="262">
        <v>1761</v>
      </c>
      <c r="U81" s="605">
        <v>1738</v>
      </c>
      <c r="V81" s="262">
        <v>1600</v>
      </c>
      <c r="W81" s="262">
        <v>1607</v>
      </c>
      <c r="X81" s="262">
        <v>1606</v>
      </c>
      <c r="Y81" s="605">
        <v>1587</v>
      </c>
      <c r="Z81" s="262">
        <v>1763</v>
      </c>
      <c r="AA81" s="262">
        <v>1770</v>
      </c>
      <c r="AB81" s="262">
        <v>1769</v>
      </c>
      <c r="AC81" s="605">
        <v>1748</v>
      </c>
      <c r="AD81" s="262">
        <v>1548</v>
      </c>
      <c r="AE81" s="262">
        <v>1562</v>
      </c>
      <c r="AF81" s="262">
        <v>1569</v>
      </c>
      <c r="AG81" s="605">
        <v>1562</v>
      </c>
    </row>
    <row r="82" spans="2:33" hidden="1">
      <c r="B82" s="262">
        <v>1657</v>
      </c>
      <c r="C82" s="262">
        <v>1679</v>
      </c>
      <c r="D82" s="262">
        <v>1693</v>
      </c>
      <c r="E82" s="605">
        <v>1695</v>
      </c>
      <c r="F82" s="262">
        <v>1842</v>
      </c>
      <c r="G82" s="262">
        <v>1870</v>
      </c>
      <c r="H82" s="262">
        <v>1887</v>
      </c>
      <c r="I82" s="605">
        <v>1896</v>
      </c>
      <c r="J82" s="262">
        <v>1723</v>
      </c>
      <c r="K82" s="262">
        <v>1742</v>
      </c>
      <c r="L82" s="262">
        <v>1751</v>
      </c>
      <c r="M82" s="605">
        <v>1746</v>
      </c>
      <c r="N82" s="262">
        <v>1406</v>
      </c>
      <c r="O82" s="262">
        <v>1425</v>
      </c>
      <c r="P82" s="262">
        <v>1437</v>
      </c>
      <c r="Q82" s="605">
        <v>1441</v>
      </c>
      <c r="R82" s="262">
        <v>1770</v>
      </c>
      <c r="S82" s="262">
        <v>1788</v>
      </c>
      <c r="T82" s="262">
        <v>1797</v>
      </c>
      <c r="U82" s="605">
        <v>1787</v>
      </c>
      <c r="V82" s="262">
        <v>1611</v>
      </c>
      <c r="W82" s="262">
        <v>1629</v>
      </c>
      <c r="X82" s="262">
        <v>1638</v>
      </c>
      <c r="Y82" s="605">
        <v>1634</v>
      </c>
      <c r="Z82" s="262">
        <v>1775</v>
      </c>
      <c r="AA82" s="262">
        <v>1794</v>
      </c>
      <c r="AB82" s="262">
        <v>1804</v>
      </c>
      <c r="AC82" s="605">
        <v>1799</v>
      </c>
      <c r="AD82" s="262">
        <v>1561</v>
      </c>
      <c r="AE82" s="262">
        <v>1587</v>
      </c>
      <c r="AF82" s="262">
        <v>1604</v>
      </c>
      <c r="AG82" s="605">
        <v>1617</v>
      </c>
    </row>
    <row r="83" spans="2:33" hidden="1">
      <c r="B83" s="262">
        <v>1668</v>
      </c>
      <c r="C83" s="262">
        <v>1699</v>
      </c>
      <c r="D83" s="262">
        <v>1722</v>
      </c>
      <c r="E83" s="605">
        <v>1740</v>
      </c>
      <c r="F83" s="262">
        <v>1854</v>
      </c>
      <c r="G83" s="262">
        <v>1893</v>
      </c>
      <c r="H83" s="262">
        <v>1921</v>
      </c>
      <c r="I83" s="605">
        <v>1946</v>
      </c>
      <c r="J83" s="262">
        <v>1733</v>
      </c>
      <c r="K83" s="262">
        <v>1762</v>
      </c>
      <c r="L83" s="262">
        <v>1782</v>
      </c>
      <c r="M83" s="605">
        <v>1793</v>
      </c>
      <c r="N83" s="262">
        <v>1413</v>
      </c>
      <c r="O83" s="262">
        <v>1440</v>
      </c>
      <c r="P83" s="262">
        <v>1459</v>
      </c>
      <c r="Q83" s="605">
        <v>1475</v>
      </c>
      <c r="R83" s="262">
        <v>1779</v>
      </c>
      <c r="S83" s="262">
        <v>1807</v>
      </c>
      <c r="T83" s="262">
        <v>1824</v>
      </c>
      <c r="U83" s="605">
        <v>1831</v>
      </c>
      <c r="V83" s="262">
        <v>1619</v>
      </c>
      <c r="W83" s="262">
        <v>1646</v>
      </c>
      <c r="X83" s="262">
        <v>1664</v>
      </c>
      <c r="Y83" s="605">
        <v>1674</v>
      </c>
      <c r="Z83" s="262">
        <v>1785</v>
      </c>
      <c r="AA83" s="262">
        <v>1814</v>
      </c>
      <c r="AB83" s="262">
        <v>1832</v>
      </c>
      <c r="AC83" s="605">
        <v>1842</v>
      </c>
      <c r="AD83" s="262">
        <v>1570</v>
      </c>
      <c r="AE83" s="262">
        <v>1606</v>
      </c>
      <c r="AF83" s="262">
        <v>1632</v>
      </c>
      <c r="AG83" s="605">
        <v>1659</v>
      </c>
    </row>
    <row r="84" spans="2:33" ht="14" hidden="1" thickBot="1">
      <c r="B84" s="607">
        <v>1675</v>
      </c>
      <c r="C84" s="607">
        <v>1713</v>
      </c>
      <c r="D84" s="607">
        <v>1742</v>
      </c>
      <c r="E84" s="608">
        <v>1771</v>
      </c>
      <c r="F84" s="607">
        <v>1862</v>
      </c>
      <c r="G84" s="607">
        <v>1902</v>
      </c>
      <c r="H84" s="607">
        <v>1943</v>
      </c>
      <c r="I84" s="608">
        <v>1980</v>
      </c>
      <c r="J84" s="607">
        <v>1740</v>
      </c>
      <c r="K84" s="607">
        <v>1777</v>
      </c>
      <c r="L84" s="607">
        <v>1803</v>
      </c>
      <c r="M84" s="608">
        <v>1826</v>
      </c>
      <c r="N84" s="607">
        <v>1418</v>
      </c>
      <c r="O84" s="607">
        <v>1450</v>
      </c>
      <c r="P84" s="607">
        <v>1474</v>
      </c>
      <c r="Q84" s="608">
        <v>1497</v>
      </c>
      <c r="R84" s="607">
        <v>1786</v>
      </c>
      <c r="S84" s="607">
        <v>1820</v>
      </c>
      <c r="T84" s="607">
        <v>1844</v>
      </c>
      <c r="U84" s="608">
        <v>1860</v>
      </c>
      <c r="V84" s="607">
        <v>1625</v>
      </c>
      <c r="W84" s="607">
        <v>1658</v>
      </c>
      <c r="X84" s="607">
        <v>1681</v>
      </c>
      <c r="Y84" s="608">
        <v>1700</v>
      </c>
      <c r="Z84" s="607">
        <v>1792</v>
      </c>
      <c r="AA84" s="607">
        <v>1827</v>
      </c>
      <c r="AB84" s="607">
        <v>1852</v>
      </c>
      <c r="AC84" s="608">
        <v>1871</v>
      </c>
      <c r="AD84" s="607">
        <v>1577</v>
      </c>
      <c r="AE84" s="607">
        <v>1618</v>
      </c>
      <c r="AF84" s="607">
        <v>1651</v>
      </c>
      <c r="AG84" s="608">
        <v>1687</v>
      </c>
    </row>
    <row r="85" spans="2:33" hidden="1"/>
    <row r="86" spans="2:33" hidden="1"/>
    <row r="87" spans="2:33" hidden="1"/>
    <row r="88" spans="2:33" hidden="1"/>
    <row r="89" spans="2:33" hidden="1"/>
  </sheetData>
  <mergeCells count="1">
    <mergeCell ref="A26:AO26"/>
  </mergeCells>
  <pageMargins left="0.7" right="0.7" top="0.75" bottom="0.75" header="0.3" footer="0.3"/>
  <pageSetup orientation="portrait" horizontalDpi="4294967293" verticalDpi="4294967293"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0E308-6C5E-4988-B353-0A2A27F20EFF}">
  <sheetPr codeName="Sheet20">
    <tabColor theme="0"/>
  </sheetPr>
  <dimension ref="A1:C131"/>
  <sheetViews>
    <sheetView topLeftCell="A77" zoomScale="115" zoomScaleNormal="115" workbookViewId="0">
      <selection activeCell="F82" sqref="F82"/>
    </sheetView>
  </sheetViews>
  <sheetFormatPr defaultColWidth="8.7109375" defaultRowHeight="13.5"/>
  <cols>
    <col min="1" max="1" width="34.7109375" customWidth="1"/>
    <col min="2" max="2" width="45.7109375" customWidth="1"/>
    <col min="7" max="7" width="16.5703125" customWidth="1"/>
  </cols>
  <sheetData>
    <row r="1" spans="1:3" ht="14" thickBot="1">
      <c r="A1" s="1643" t="s">
        <v>851</v>
      </c>
      <c r="B1" s="1644"/>
    </row>
    <row r="2" spans="1:3" ht="14" thickBot="1">
      <c r="A2" s="854" t="s">
        <v>852</v>
      </c>
      <c r="B2" s="855">
        <f>Projectsize</f>
        <v>480.7</v>
      </c>
    </row>
    <row r="3" spans="1:3" ht="14" thickBot="1">
      <c r="A3" s="854" t="s">
        <v>853</v>
      </c>
      <c r="B3" s="854" t="s">
        <v>808</v>
      </c>
      <c r="C3" t="s">
        <v>854</v>
      </c>
    </row>
    <row r="4" spans="1:3" ht="14" thickBot="1">
      <c r="A4" s="854" t="s">
        <v>855</v>
      </c>
      <c r="B4" s="855" t="s">
        <v>856</v>
      </c>
      <c r="C4" t="s">
        <v>857</v>
      </c>
    </row>
    <row r="5" spans="1:3" ht="14" thickBot="1">
      <c r="A5" s="854" t="s">
        <v>858</v>
      </c>
      <c r="B5" s="854" t="s">
        <v>859</v>
      </c>
    </row>
    <row r="6" spans="1:3" ht="14" thickBot="1">
      <c r="A6" s="854" t="s">
        <v>860</v>
      </c>
      <c r="B6" s="854" t="s">
        <v>861</v>
      </c>
      <c r="C6" t="s">
        <v>854</v>
      </c>
    </row>
    <row r="7" spans="1:3" ht="14" thickBot="1">
      <c r="A7" s="854" t="s">
        <v>862</v>
      </c>
      <c r="B7" s="921">
        <f>'Costing Inputs'!S25</f>
        <v>7888760.8589739222</v>
      </c>
    </row>
    <row r="8" spans="1:3" ht="14" thickBot="1">
      <c r="A8" s="854" t="s">
        <v>863</v>
      </c>
      <c r="B8" s="921">
        <f>B7*1.15</f>
        <v>9072074.9878200106</v>
      </c>
    </row>
    <row r="9" spans="1:3" ht="14" thickBot="1">
      <c r="A9" s="854" t="s">
        <v>864</v>
      </c>
      <c r="B9" s="921">
        <f>USD_ZAR</f>
        <v>19</v>
      </c>
    </row>
    <row r="10" spans="1:3" ht="14" thickBot="1">
      <c r="A10" s="854" t="s">
        <v>865</v>
      </c>
      <c r="B10" s="923">
        <f>Module_Quantity</f>
        <v>874</v>
      </c>
    </row>
    <row r="11" spans="1:3" ht="14" thickBot="1">
      <c r="A11" s="854" t="s">
        <v>866</v>
      </c>
      <c r="B11" s="922">
        <f>B8/B10</f>
        <v>10379.948498649897</v>
      </c>
    </row>
    <row r="12" spans="1:3" ht="14" thickBot="1"/>
    <row r="13" spans="1:3" ht="14" thickBot="1">
      <c r="A13" s="1641" t="s">
        <v>867</v>
      </c>
      <c r="B13" s="1642"/>
    </row>
    <row r="14" spans="1:3" ht="14" thickBot="1">
      <c r="A14" s="855" t="s">
        <v>868</v>
      </c>
      <c r="B14" s="855" t="s">
        <v>869</v>
      </c>
    </row>
    <row r="15" spans="1:3" ht="14" thickBot="1">
      <c r="A15" s="855" t="s">
        <v>870</v>
      </c>
      <c r="B15" s="855"/>
    </row>
    <row r="16" spans="1:3" ht="14" thickBot="1">
      <c r="A16" s="855" t="s">
        <v>871</v>
      </c>
      <c r="B16" s="855" t="s">
        <v>872</v>
      </c>
    </row>
    <row r="17" spans="1:2" ht="14" thickBot="1">
      <c r="A17" s="855" t="s">
        <v>873</v>
      </c>
      <c r="B17" s="855" t="s">
        <v>874</v>
      </c>
    </row>
    <row r="18" spans="1:2" ht="14" thickBot="1">
      <c r="A18" s="855" t="s">
        <v>875</v>
      </c>
      <c r="B18" s="855" t="s">
        <v>876</v>
      </c>
    </row>
    <row r="19" spans="1:2" ht="14" thickBot="1">
      <c r="A19" s="855" t="s">
        <v>877</v>
      </c>
      <c r="B19" s="855" t="s">
        <v>869</v>
      </c>
    </row>
    <row r="20" spans="1:2" ht="14" thickBot="1">
      <c r="A20" s="855" t="s">
        <v>878</v>
      </c>
      <c r="B20" s="855" t="s">
        <v>869</v>
      </c>
    </row>
    <row r="21" spans="1:2" ht="14" thickBot="1"/>
    <row r="22" spans="1:2" ht="14" thickBot="1">
      <c r="A22" s="854" t="s">
        <v>852</v>
      </c>
      <c r="B22" s="855" t="s">
        <v>879</v>
      </c>
    </row>
    <row r="23" spans="1:2" ht="14" thickBot="1">
      <c r="A23" s="854" t="s">
        <v>853</v>
      </c>
      <c r="B23" s="854" t="s">
        <v>716</v>
      </c>
    </row>
    <row r="24" spans="1:2" ht="14" thickBot="1">
      <c r="A24" s="854" t="s">
        <v>855</v>
      </c>
      <c r="B24" s="855" t="s">
        <v>856</v>
      </c>
    </row>
    <row r="25" spans="1:2" ht="14" thickBot="1">
      <c r="A25" s="854" t="s">
        <v>860</v>
      </c>
      <c r="B25" s="854" t="s">
        <v>880</v>
      </c>
    </row>
    <row r="26" spans="1:2" ht="14" thickBot="1">
      <c r="A26" s="854" t="s">
        <v>881</v>
      </c>
      <c r="B26" s="854" t="s">
        <v>859</v>
      </c>
    </row>
    <row r="27" spans="1:2" ht="14" thickBot="1">
      <c r="A27" s="854" t="s">
        <v>882</v>
      </c>
      <c r="B27" s="854" t="s">
        <v>859</v>
      </c>
    </row>
    <row r="28" spans="1:2" ht="14" thickBot="1">
      <c r="A28" s="854" t="s">
        <v>883</v>
      </c>
      <c r="B28" s="854" t="s">
        <v>884</v>
      </c>
    </row>
    <row r="29" spans="1:2" ht="25.5" thickBot="1">
      <c r="A29" s="854" t="s">
        <v>885</v>
      </c>
      <c r="B29" s="854"/>
    </row>
    <row r="30" spans="1:2" ht="50.5" thickBot="1">
      <c r="A30" s="854" t="s">
        <v>886</v>
      </c>
      <c r="B30" s="854"/>
    </row>
    <row r="31" spans="1:2" ht="25.5" thickBot="1">
      <c r="A31" s="854" t="s">
        <v>887</v>
      </c>
      <c r="B31" s="854"/>
    </row>
    <row r="32" spans="1:2" ht="14" thickBot="1">
      <c r="A32" s="854"/>
      <c r="B32" s="854"/>
    </row>
    <row r="33" spans="1:2" ht="14" thickBot="1">
      <c r="A33" s="854"/>
      <c r="B33" s="854"/>
    </row>
    <row r="34" spans="1:2" ht="14" thickBot="1">
      <c r="A34" s="854" t="s">
        <v>888</v>
      </c>
      <c r="B34" s="854" t="e" cm="1">
        <f t="array" ref="B34" xml:space="preserve"> X kWh/12 * RX /kWh = RX</f>
        <v>#NAME?</v>
      </c>
    </row>
    <row r="35" spans="1:2" ht="14" thickBot="1">
      <c r="A35" s="854"/>
      <c r="B35" s="854"/>
    </row>
    <row r="36" spans="1:2" ht="14" thickBot="1">
      <c r="A36" s="854"/>
      <c r="B36" s="854"/>
    </row>
    <row r="37" spans="1:2" ht="14" thickBot="1">
      <c r="A37" s="854"/>
      <c r="B37" s="854"/>
    </row>
    <row r="38" spans="1:2" ht="14" thickBot="1">
      <c r="A38" s="854"/>
      <c r="B38" s="854"/>
    </row>
    <row r="39" spans="1:2" ht="14" thickBot="1">
      <c r="A39" s="854"/>
      <c r="B39" s="854"/>
    </row>
    <row r="40" spans="1:2" ht="14" thickBot="1">
      <c r="A40" s="854"/>
      <c r="B40" s="854"/>
    </row>
    <row r="41" spans="1:2" ht="14" thickBot="1">
      <c r="A41" s="854" t="s">
        <v>889</v>
      </c>
      <c r="B41" s="854" t="s">
        <v>890</v>
      </c>
    </row>
    <row r="42" spans="1:2" ht="14" thickBot="1">
      <c r="A42" s="854" t="s">
        <v>891</v>
      </c>
      <c r="B42" s="854" t="s">
        <v>892</v>
      </c>
    </row>
    <row r="43" spans="1:2" ht="14" thickBot="1">
      <c r="A43" s="854" t="s">
        <v>865</v>
      </c>
      <c r="B43" s="855" t="s">
        <v>893</v>
      </c>
    </row>
    <row r="44" spans="1:2" ht="14" thickBot="1">
      <c r="A44" s="854" t="s">
        <v>894</v>
      </c>
      <c r="B44" s="854" t="s">
        <v>890</v>
      </c>
    </row>
    <row r="45" spans="1:2" ht="14" thickBot="1">
      <c r="A45" s="854"/>
      <c r="B45" s="854"/>
    </row>
    <row r="46" spans="1:2" ht="14" thickBot="1">
      <c r="A46" s="854"/>
      <c r="B46" s="854"/>
    </row>
    <row r="47" spans="1:2" ht="14" thickBot="1">
      <c r="A47" s="854"/>
      <c r="B47" s="854"/>
    </row>
    <row r="48" spans="1:2" ht="14" thickBot="1">
      <c r="A48" s="854"/>
      <c r="B48" s="854"/>
    </row>
    <row r="49" spans="1:2" ht="14" thickBot="1">
      <c r="A49" s="854"/>
      <c r="B49" s="854"/>
    </row>
    <row r="50" spans="1:2" ht="14" thickBot="1">
      <c r="A50" s="854"/>
      <c r="B50" s="854"/>
    </row>
    <row r="51" spans="1:2" ht="14" thickBot="1">
      <c r="A51" s="854"/>
      <c r="B51" s="854"/>
    </row>
    <row r="52" spans="1:2" ht="14" thickBot="1">
      <c r="A52" s="854"/>
      <c r="B52" s="854"/>
    </row>
    <row r="53" spans="1:2" ht="14" thickBot="1">
      <c r="A53" s="854"/>
      <c r="B53" s="854"/>
    </row>
    <row r="54" spans="1:2" ht="14" thickBot="1">
      <c r="A54" s="854"/>
      <c r="B54" s="854"/>
    </row>
    <row r="55" spans="1:2" ht="14" thickBot="1">
      <c r="A55" s="854"/>
      <c r="B55" s="854"/>
    </row>
    <row r="56" spans="1:2" ht="14" thickBot="1">
      <c r="A56" s="854"/>
      <c r="B56" s="854"/>
    </row>
    <row r="57" spans="1:2" ht="14" thickBot="1">
      <c r="A57" s="854"/>
      <c r="B57" s="854"/>
    </row>
    <row r="58" spans="1:2" ht="14" thickBot="1">
      <c r="A58" s="854"/>
      <c r="B58" s="854"/>
    </row>
    <row r="59" spans="1:2">
      <c r="A59" s="968"/>
      <c r="B59" s="968"/>
    </row>
    <row r="62" spans="1:2" ht="14" thickBot="1"/>
    <row r="63" spans="1:2" ht="14" thickBot="1">
      <c r="A63" s="1641" t="s">
        <v>895</v>
      </c>
      <c r="B63" s="1642"/>
    </row>
    <row r="64" spans="1:2" ht="14" thickBot="1">
      <c r="A64" s="855" t="s">
        <v>896</v>
      </c>
      <c r="B64" s="855" t="s">
        <v>869</v>
      </c>
    </row>
    <row r="65" spans="1:2" ht="14" thickBot="1">
      <c r="A65" s="856" t="s">
        <v>897</v>
      </c>
      <c r="B65" s="855" t="s">
        <v>869</v>
      </c>
    </row>
    <row r="66" spans="1:2" ht="14" thickBot="1">
      <c r="A66" s="855" t="s">
        <v>693</v>
      </c>
      <c r="B66" s="855" t="s">
        <v>898</v>
      </c>
    </row>
    <row r="67" spans="1:2" ht="14" thickBot="1">
      <c r="A67" s="969" t="s">
        <v>899</v>
      </c>
      <c r="B67" s="969"/>
    </row>
    <row r="68" spans="1:2" ht="14" thickBot="1">
      <c r="A68" s="970" t="s">
        <v>900</v>
      </c>
      <c r="B68" s="970"/>
    </row>
    <row r="69" spans="1:2" ht="14" thickBot="1">
      <c r="A69" s="970" t="s">
        <v>901</v>
      </c>
      <c r="B69" s="970"/>
    </row>
    <row r="70" spans="1:2" ht="14" thickBot="1">
      <c r="A70" s="970" t="s">
        <v>902</v>
      </c>
      <c r="B70" s="972" t="s">
        <v>903</v>
      </c>
    </row>
    <row r="71" spans="1:2" ht="14" thickBot="1">
      <c r="A71" s="1639" t="s">
        <v>904</v>
      </c>
      <c r="B71" s="970" t="s">
        <v>905</v>
      </c>
    </row>
    <row r="72" spans="1:2" ht="14" thickBot="1">
      <c r="A72" s="1640"/>
      <c r="B72" s="970" t="s">
        <v>906</v>
      </c>
    </row>
    <row r="73" spans="1:2" ht="14" thickBot="1">
      <c r="A73" s="970" t="s">
        <v>907</v>
      </c>
      <c r="B73" s="970"/>
    </row>
    <row r="74" spans="1:2" ht="14" thickBot="1">
      <c r="A74" s="970" t="s">
        <v>908</v>
      </c>
      <c r="B74" s="970"/>
    </row>
    <row r="75" spans="1:2" ht="14" thickBot="1">
      <c r="A75" s="970" t="s">
        <v>909</v>
      </c>
      <c r="B75" s="970"/>
    </row>
    <row r="76" spans="1:2" ht="14" thickBot="1">
      <c r="A76" s="970" t="s">
        <v>910</v>
      </c>
      <c r="B76" s="970"/>
    </row>
    <row r="77" spans="1:2" ht="104" thickBot="1">
      <c r="A77" s="970" t="s">
        <v>911</v>
      </c>
      <c r="B77" s="970"/>
    </row>
    <row r="78" spans="1:2" ht="14" thickBot="1">
      <c r="A78" s="970"/>
      <c r="B78" s="970"/>
    </row>
    <row r="79" spans="1:2" ht="14" thickBot="1">
      <c r="A79" s="970"/>
      <c r="B79" s="970"/>
    </row>
    <row r="80" spans="1:2" ht="14" thickBot="1">
      <c r="A80" s="970"/>
      <c r="B80" s="970"/>
    </row>
    <row r="81" spans="1:2" ht="14" thickBot="1">
      <c r="A81" s="970"/>
      <c r="B81" s="970"/>
    </row>
    <row r="82" spans="1:2" ht="14" thickBot="1">
      <c r="A82" s="970"/>
      <c r="B82" s="970"/>
    </row>
    <row r="83" spans="1:2" ht="14" thickBot="1">
      <c r="A83" s="970"/>
      <c r="B83" s="970"/>
    </row>
    <row r="84" spans="1:2" ht="14" thickBot="1">
      <c r="A84" s="855"/>
      <c r="B84" s="971"/>
    </row>
    <row r="86" spans="1:2" ht="14.5">
      <c r="A86" s="857" t="s">
        <v>912</v>
      </c>
    </row>
    <row r="87" spans="1:2" ht="14.5">
      <c r="A87" s="858"/>
    </row>
    <row r="88" spans="1:2" ht="14.5">
      <c r="A88" s="859" t="s">
        <v>913</v>
      </c>
    </row>
    <row r="89" spans="1:2" ht="14.5">
      <c r="A89" s="860" t="s">
        <v>914</v>
      </c>
    </row>
    <row r="90" spans="1:2" ht="14.5">
      <c r="A90" s="860" t="s">
        <v>915</v>
      </c>
    </row>
    <row r="91" spans="1:2" ht="14.5">
      <c r="A91" s="860" t="s">
        <v>916</v>
      </c>
    </row>
    <row r="92" spans="1:2" ht="14.5">
      <c r="A92" s="858"/>
    </row>
    <row r="93" spans="1:2" ht="14.5">
      <c r="A93" s="861" t="s">
        <v>917</v>
      </c>
    </row>
    <row r="95" spans="1:2">
      <c r="A95" s="15" t="s">
        <v>918</v>
      </c>
    </row>
    <row r="98" spans="1:2" ht="14" thickBot="1"/>
    <row r="99" spans="1:2" ht="14" thickBot="1">
      <c r="A99" s="1641" t="s">
        <v>919</v>
      </c>
      <c r="B99" s="1642"/>
    </row>
    <row r="100" spans="1:2" ht="14" thickBot="1">
      <c r="A100" s="855" t="s">
        <v>896</v>
      </c>
      <c r="B100" s="855" t="s">
        <v>869</v>
      </c>
    </row>
    <row r="101" spans="1:2" ht="14" thickBot="1">
      <c r="A101" s="856" t="s">
        <v>897</v>
      </c>
      <c r="B101" s="855" t="s">
        <v>869</v>
      </c>
    </row>
    <row r="102" spans="1:2" ht="14" thickBot="1">
      <c r="A102" s="855" t="s">
        <v>693</v>
      </c>
      <c r="B102" s="855" t="s">
        <v>898</v>
      </c>
    </row>
    <row r="103" spans="1:2" ht="14" thickBot="1">
      <c r="A103" s="973" t="s">
        <v>899</v>
      </c>
      <c r="B103" s="973"/>
    </row>
    <row r="104" spans="1:2" ht="69.5" thickBot="1">
      <c r="A104" s="974" t="s">
        <v>920</v>
      </c>
      <c r="B104" s="974" t="s">
        <v>921</v>
      </c>
    </row>
    <row r="105" spans="1:2" ht="46.5" thickBot="1">
      <c r="A105" s="974" t="s">
        <v>901</v>
      </c>
      <c r="B105" s="974" t="s">
        <v>922</v>
      </c>
    </row>
    <row r="106" spans="1:2" ht="14" thickBot="1">
      <c r="A106" s="974" t="s">
        <v>902</v>
      </c>
      <c r="B106" s="974" t="s">
        <v>923</v>
      </c>
    </row>
    <row r="107" spans="1:2" ht="14" thickBot="1">
      <c r="A107" s="974" t="s">
        <v>924</v>
      </c>
      <c r="B107" s="974" t="s">
        <v>925</v>
      </c>
    </row>
    <row r="108" spans="1:2" ht="14" thickBot="1">
      <c r="A108" s="974" t="s">
        <v>907</v>
      </c>
      <c r="B108" s="974" t="s">
        <v>926</v>
      </c>
    </row>
    <row r="109" spans="1:2" ht="14" thickBot="1">
      <c r="A109" s="974" t="s">
        <v>908</v>
      </c>
      <c r="B109" s="974"/>
    </row>
    <row r="110" spans="1:2" ht="14" thickBot="1">
      <c r="A110" s="974" t="s">
        <v>909</v>
      </c>
      <c r="B110" s="974" t="s">
        <v>927</v>
      </c>
    </row>
    <row r="111" spans="1:2" ht="14" thickBot="1">
      <c r="A111" s="974" t="s">
        <v>910</v>
      </c>
      <c r="B111" s="974" t="s">
        <v>927</v>
      </c>
    </row>
    <row r="112" spans="1:2" ht="14" thickBot="1">
      <c r="A112" s="970"/>
      <c r="B112" s="970"/>
    </row>
    <row r="113" spans="1:2" ht="115.5" thickBot="1">
      <c r="A113" s="970" t="s">
        <v>928</v>
      </c>
      <c r="B113" s="970"/>
    </row>
    <row r="114" spans="1:2" ht="14" thickBot="1">
      <c r="A114" s="970"/>
      <c r="B114" s="970"/>
    </row>
    <row r="115" spans="1:2" ht="14" thickBot="1">
      <c r="A115" s="970"/>
      <c r="B115" s="970"/>
    </row>
    <row r="116" spans="1:2" ht="14" thickBot="1">
      <c r="A116" s="970"/>
      <c r="B116" s="970"/>
    </row>
    <row r="117" spans="1:2" ht="14" thickBot="1">
      <c r="A117" s="970"/>
      <c r="B117" s="970"/>
    </row>
    <row r="118" spans="1:2" ht="14" thickBot="1">
      <c r="A118" s="970"/>
      <c r="B118" s="970"/>
    </row>
    <row r="119" spans="1:2" ht="14" thickBot="1">
      <c r="A119" s="970"/>
      <c r="B119" s="970"/>
    </row>
    <row r="120" spans="1:2" ht="14" thickBot="1">
      <c r="A120" s="855"/>
      <c r="B120" s="971"/>
    </row>
    <row r="122" spans="1:2" ht="14.5">
      <c r="A122" s="857" t="s">
        <v>912</v>
      </c>
    </row>
    <row r="123" spans="1:2" ht="14.5">
      <c r="A123" s="858"/>
    </row>
    <row r="124" spans="1:2" ht="14.5">
      <c r="A124" s="859" t="s">
        <v>913</v>
      </c>
    </row>
    <row r="125" spans="1:2" ht="14.5">
      <c r="A125" s="860" t="s">
        <v>914</v>
      </c>
    </row>
    <row r="126" spans="1:2" ht="14.5">
      <c r="A126" s="860" t="s">
        <v>915</v>
      </c>
    </row>
    <row r="127" spans="1:2" ht="14.5">
      <c r="A127" s="860" t="s">
        <v>916</v>
      </c>
    </row>
    <row r="128" spans="1:2" ht="14.5">
      <c r="A128" s="858"/>
    </row>
    <row r="129" spans="1:1" ht="14.5">
      <c r="A129" s="861" t="s">
        <v>917</v>
      </c>
    </row>
    <row r="131" spans="1:1">
      <c r="A131" s="15" t="s">
        <v>918</v>
      </c>
    </row>
  </sheetData>
  <mergeCells count="5">
    <mergeCell ref="A71:A72"/>
    <mergeCell ref="A99:B99"/>
    <mergeCell ref="A1:B1"/>
    <mergeCell ref="A13:B13"/>
    <mergeCell ref="A63:B63"/>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6"/>
  <dimension ref="A1:N8"/>
  <sheetViews>
    <sheetView zoomScale="85" zoomScaleNormal="85" workbookViewId="0">
      <pane xSplit="1" ySplit="3" topLeftCell="B4" activePane="bottomRight" state="frozen"/>
      <selection activeCell="F82" sqref="F82"/>
      <selection pane="topRight" activeCell="F82" sqref="F82"/>
      <selection pane="bottomLeft" activeCell="F82" sqref="F82"/>
      <selection pane="bottomRight" activeCell="F82" sqref="F82"/>
    </sheetView>
  </sheetViews>
  <sheetFormatPr defaultColWidth="8.7109375" defaultRowHeight="13.5"/>
  <cols>
    <col min="1" max="1" width="41" customWidth="1"/>
    <col min="2" max="2" width="16.7109375" customWidth="1"/>
    <col min="3" max="13" width="12.42578125" customWidth="1"/>
    <col min="16" max="16" width="7" bestFit="1" customWidth="1"/>
  </cols>
  <sheetData>
    <row r="1" spans="1:14">
      <c r="A1" s="1" t="s">
        <v>935</v>
      </c>
      <c r="B1">
        <v>1</v>
      </c>
      <c r="C1">
        <f>B1+1</f>
        <v>2</v>
      </c>
      <c r="D1">
        <f t="shared" ref="D1:M1" si="0">C1+1</f>
        <v>3</v>
      </c>
      <c r="E1">
        <f t="shared" si="0"/>
        <v>4</v>
      </c>
      <c r="F1">
        <f t="shared" si="0"/>
        <v>5</v>
      </c>
      <c r="G1">
        <f t="shared" si="0"/>
        <v>6</v>
      </c>
      <c r="H1">
        <f t="shared" si="0"/>
        <v>7</v>
      </c>
      <c r="I1">
        <f t="shared" si="0"/>
        <v>8</v>
      </c>
      <c r="J1">
        <f t="shared" si="0"/>
        <v>9</v>
      </c>
      <c r="K1">
        <f t="shared" si="0"/>
        <v>10</v>
      </c>
      <c r="L1">
        <f t="shared" si="0"/>
        <v>11</v>
      </c>
      <c r="M1">
        <f t="shared" si="0"/>
        <v>12</v>
      </c>
    </row>
    <row r="3" spans="1:14">
      <c r="B3" s="2" t="s">
        <v>38</v>
      </c>
      <c r="C3" s="2" t="s">
        <v>40</v>
      </c>
      <c r="D3" s="2" t="s">
        <v>44</v>
      </c>
      <c r="E3" s="2" t="s">
        <v>46</v>
      </c>
      <c r="F3" s="2" t="s">
        <v>49</v>
      </c>
      <c r="G3" s="2" t="s">
        <v>50</v>
      </c>
      <c r="H3" s="2" t="s">
        <v>52</v>
      </c>
      <c r="I3" s="2" t="s">
        <v>54</v>
      </c>
      <c r="J3" s="2" t="s">
        <v>56</v>
      </c>
      <c r="K3" s="2" t="s">
        <v>57</v>
      </c>
      <c r="L3" s="2" t="s">
        <v>60</v>
      </c>
      <c r="M3" s="2" t="s">
        <v>63</v>
      </c>
      <c r="N3" s="2"/>
    </row>
    <row r="4" spans="1:14">
      <c r="B4" s="2"/>
      <c r="C4" s="2"/>
      <c r="D4" s="2"/>
      <c r="E4" s="2"/>
      <c r="F4" s="2"/>
      <c r="G4" s="2"/>
      <c r="H4" s="2"/>
      <c r="I4" s="2"/>
      <c r="J4" s="2"/>
      <c r="K4" s="2"/>
      <c r="L4" s="2"/>
      <c r="M4" s="2"/>
    </row>
    <row r="5" spans="1:14" ht="14" thickBot="1"/>
    <row r="6" spans="1:14" ht="14" thickBot="1">
      <c r="A6" s="3" t="s">
        <v>936</v>
      </c>
      <c r="B6" s="4">
        <f ca="1">OFFSET('Design Inputs'!$D$78,'Production Model'!B$1-1,0)/'Design Inputs'!$D$91*'Design Inputs'!$K$68/1000</f>
        <v>0.1759861514678962</v>
      </c>
      <c r="C6" s="4">
        <f ca="1">OFFSET('Design Inputs'!$D$78,'Production Model'!C$1-1,0)/'Design Inputs'!$D$91*'Design Inputs'!$K$68/1000</f>
        <v>0.14913398668574235</v>
      </c>
      <c r="D6" s="4">
        <f ca="1">OFFSET('Design Inputs'!$D$78,'Production Model'!D$1-1,0)/'Design Inputs'!$D$91*'Design Inputs'!$K$68/1000</f>
        <v>0.1508210706455044</v>
      </c>
      <c r="E6" s="4">
        <f ca="1">OFFSET('Design Inputs'!$D$78,'Production Model'!E$1-1,0)/'Design Inputs'!$D$91*'Design Inputs'!$K$68/1000</f>
        <v>0.12467479873354387</v>
      </c>
      <c r="F6" s="4">
        <f ca="1">OFFSET('Design Inputs'!$D$78,'Production Model'!F$1-1,0)/'Design Inputs'!$D$91*'Design Inputs'!$K$68/1000</f>
        <v>0.11778528432045708</v>
      </c>
      <c r="G6" s="22">
        <f ca="1">OFFSET('Design Inputs'!$D$78,'Production Model'!G$1-1,0)/'Design Inputs'!$D$91*'Design Inputs'!$K$68/1000</f>
        <v>0.10512862515789091</v>
      </c>
      <c r="H6" s="4">
        <f ca="1">OFFSET('Design Inputs'!$D$78,'Production Model'!H$1-1,0)/'Design Inputs'!$D$91*'Design Inputs'!$K$68/1000</f>
        <v>0.11686056466050385</v>
      </c>
      <c r="I6" s="4">
        <f ca="1">OFFSET('Design Inputs'!$D$78,'Production Model'!I$1-1,0)/'Design Inputs'!$D$91*'Design Inputs'!$K$68/1000</f>
        <v>0.1371549846785618</v>
      </c>
      <c r="J6" s="4">
        <f ca="1">OFFSET('Design Inputs'!$D$78,'Production Model'!J$1-1,0)/'Design Inputs'!$D$91*'Design Inputs'!$K$68/1000</f>
        <v>0.15351758140964289</v>
      </c>
      <c r="K6" s="4">
        <f ca="1">OFFSET('Design Inputs'!$D$78,'Production Model'!K$1-1,0)/'Design Inputs'!$D$91*'Design Inputs'!$K$68/1000</f>
        <v>0.16786838346067301</v>
      </c>
      <c r="L6" s="4">
        <f ca="1">OFFSET('Design Inputs'!$D$78,'Production Model'!L$1-1,0)/'Design Inputs'!$D$91*'Design Inputs'!$K$68/1000</f>
        <v>0.17180726567635174</v>
      </c>
      <c r="M6" s="4">
        <f ca="1">OFFSET('Design Inputs'!$D$78,'Production Model'!M$1-1,0)/'Design Inputs'!$D$91*'Design Inputs'!$K$68/1000</f>
        <v>0.18372979625391686</v>
      </c>
    </row>
    <row r="8" spans="1:14">
      <c r="B8">
        <f ca="1">SUM(B6:$M$6)*1000</f>
        <v>1754.4684931506852</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B2:I18"/>
  <sheetViews>
    <sheetView workbookViewId="0">
      <selection activeCell="F82" sqref="F82"/>
    </sheetView>
  </sheetViews>
  <sheetFormatPr defaultColWidth="8.7109375" defaultRowHeight="13.5"/>
  <cols>
    <col min="1" max="1" width="8.7109375" style="6"/>
    <col min="2" max="2" width="15" style="6" customWidth="1"/>
    <col min="3" max="3" width="13.7109375" style="6" customWidth="1"/>
    <col min="4" max="4" width="8.42578125" style="6" customWidth="1"/>
    <col min="5" max="5" width="13.7109375" style="6" customWidth="1"/>
    <col min="6" max="6" width="12.42578125" style="6" customWidth="1"/>
    <col min="7" max="7" width="9.7109375" style="6" customWidth="1"/>
    <col min="8" max="16384" width="8.7109375" style="6"/>
  </cols>
  <sheetData>
    <row r="2" spans="2:9">
      <c r="B2" s="6" t="s">
        <v>937</v>
      </c>
      <c r="C2" s="6">
        <v>145.19999999999999</v>
      </c>
    </row>
    <row r="4" spans="2:9">
      <c r="B4" s="610" t="s">
        <v>30</v>
      </c>
      <c r="C4" s="610" t="s">
        <v>839</v>
      </c>
      <c r="D4" s="610" t="s">
        <v>4</v>
      </c>
      <c r="E4" s="610" t="s">
        <v>841</v>
      </c>
      <c r="F4" s="610" t="s">
        <v>846</v>
      </c>
      <c r="G4" s="610" t="s">
        <v>938</v>
      </c>
    </row>
    <row r="5" spans="2:9">
      <c r="B5" s="611" t="s">
        <v>642</v>
      </c>
      <c r="C5" s="611">
        <v>29474</v>
      </c>
      <c r="D5" s="611">
        <v>24931</v>
      </c>
      <c r="E5" s="611">
        <v>21441</v>
      </c>
      <c r="F5" s="611">
        <v>26147</v>
      </c>
      <c r="G5" s="364">
        <v>27535</v>
      </c>
      <c r="I5" s="6">
        <f>IF('Design Inputs'!$D$4='PV Sim'!$C$4,'PV Sim'!C5,IF('Design Inputs'!$D$4='PV Sim'!$D$4,'PV Sim'!D5,IF('Design Inputs'!$D$4='PV Sim'!$E$4,'PV Sim'!E5,IF('Design Inputs'!$D$4='PV Sim'!$F$4,'PV Sim'!F5,'PV Sim'!G5))))/$I$18*'Design Inputs'!$K$68*Projectsize</f>
        <v>84596.543010617708</v>
      </c>
    </row>
    <row r="6" spans="2:9">
      <c r="B6" s="611" t="s">
        <v>643</v>
      </c>
      <c r="C6" s="611">
        <v>24285</v>
      </c>
      <c r="D6" s="611">
        <v>21127</v>
      </c>
      <c r="E6" s="611">
        <v>18729</v>
      </c>
      <c r="F6" s="611">
        <v>21456</v>
      </c>
      <c r="G6" s="364">
        <v>22735</v>
      </c>
      <c r="I6" s="6">
        <f>IF('Design Inputs'!$D$4='PV Sim'!$C$4,'PV Sim'!C6,IF('Design Inputs'!$D$4='PV Sim'!$D$4,'PV Sim'!D6,IF('Design Inputs'!$D$4='PV Sim'!$E$4,'PV Sim'!E6,IF('Design Inputs'!$D$4='PV Sim'!$F$4,'PV Sim'!F6,'PV Sim'!G6))))/$I$18*'Design Inputs'!$K$68*Projectsize</f>
        <v>71688.707399836348</v>
      </c>
    </row>
    <row r="7" spans="2:9">
      <c r="B7" s="611" t="s">
        <v>644</v>
      </c>
      <c r="C7" s="611">
        <v>22548</v>
      </c>
      <c r="D7" s="611">
        <v>21366</v>
      </c>
      <c r="E7" s="611">
        <v>18773</v>
      </c>
      <c r="F7" s="611">
        <v>19493</v>
      </c>
      <c r="G7" s="364">
        <v>22127</v>
      </c>
      <c r="I7" s="6">
        <f>IF('Design Inputs'!$D$4='PV Sim'!$C$4,'PV Sim'!C7,IF('Design Inputs'!$D$4='PV Sim'!$D$4,'PV Sim'!D7,IF('Design Inputs'!$D$4='PV Sim'!$E$4,'PV Sim'!E7,IF('Design Inputs'!$D$4='PV Sim'!$F$4,'PV Sim'!F7,'PV Sim'!G7))))/$I$18*'Design Inputs'!$K$68*Projectsize</f>
        <v>72499.688659293955</v>
      </c>
    </row>
    <row r="8" spans="2:9">
      <c r="B8" s="611" t="s">
        <v>645</v>
      </c>
      <c r="C8" s="611">
        <v>15939</v>
      </c>
      <c r="D8" s="611">
        <v>17662</v>
      </c>
      <c r="E8" s="611">
        <v>15201</v>
      </c>
      <c r="F8" s="611">
        <v>15057</v>
      </c>
      <c r="G8" s="364">
        <v>18562</v>
      </c>
      <c r="I8" s="6">
        <f>IF('Design Inputs'!$D$4='PV Sim'!$C$4,'PV Sim'!C8,IF('Design Inputs'!$D$4='PV Sim'!$D$4,'PV Sim'!D8,IF('Design Inputs'!$D$4='PV Sim'!$E$4,'PV Sim'!E8,IF('Design Inputs'!$D$4='PV Sim'!$F$4,'PV Sim'!F8,'PV Sim'!G8))))/$I$18*'Design Inputs'!$K$68*Projectsize</f>
        <v>59931.175751214534</v>
      </c>
    </row>
    <row r="9" spans="2:9">
      <c r="B9" s="611" t="s">
        <v>49</v>
      </c>
      <c r="C9" s="611">
        <v>11963</v>
      </c>
      <c r="D9" s="611">
        <v>16686</v>
      </c>
      <c r="E9" s="611">
        <v>13079</v>
      </c>
      <c r="F9" s="611">
        <v>12134</v>
      </c>
      <c r="G9" s="364">
        <v>16424</v>
      </c>
      <c r="I9" s="6">
        <f>IF('Design Inputs'!$D$4='PV Sim'!$C$4,'PV Sim'!C9,IF('Design Inputs'!$D$4='PV Sim'!$D$4,'PV Sim'!D9,IF('Design Inputs'!$D$4='PV Sim'!$E$4,'PV Sim'!E9,IF('Design Inputs'!$D$4='PV Sim'!$F$4,'PV Sim'!F9,'PV Sim'!G9))))/$I$18*'Design Inputs'!$K$68*Projectsize</f>
        <v>56619.386172843719</v>
      </c>
    </row>
    <row r="10" spans="2:9">
      <c r="B10" s="611" t="s">
        <v>646</v>
      </c>
      <c r="C10" s="611">
        <v>9522.7999999999993</v>
      </c>
      <c r="D10" s="611">
        <v>14893</v>
      </c>
      <c r="E10" s="611">
        <v>11710</v>
      </c>
      <c r="F10" s="611">
        <v>10290</v>
      </c>
      <c r="G10" s="364">
        <v>14419</v>
      </c>
      <c r="I10" s="6">
        <f>IF('Design Inputs'!$D$4='PV Sim'!$C$4,'PV Sim'!C10,IF('Design Inputs'!$D$4='PV Sim'!$D$4,'PV Sim'!D10,IF('Design Inputs'!$D$4='PV Sim'!$E$4,'PV Sim'!E10,IF('Design Inputs'!$D$4='PV Sim'!$F$4,'PV Sim'!F10,'PV Sim'!G10))))/$I$18*'Design Inputs'!$K$68*Projectsize</f>
        <v>50535.330113398151</v>
      </c>
    </row>
    <row r="11" spans="2:9">
      <c r="B11" s="611" t="s">
        <v>647</v>
      </c>
      <c r="C11" s="611">
        <v>10782</v>
      </c>
      <c r="D11" s="611">
        <v>16555</v>
      </c>
      <c r="E11" s="611">
        <v>12652</v>
      </c>
      <c r="F11" s="611">
        <v>11513</v>
      </c>
      <c r="G11" s="364">
        <v>16156</v>
      </c>
      <c r="I11" s="6">
        <f>IF('Design Inputs'!$D$4='PV Sim'!$C$4,'PV Sim'!C11,IF('Design Inputs'!$D$4='PV Sim'!$D$4,'PV Sim'!D11,IF('Design Inputs'!$D$4='PV Sim'!$E$4,'PV Sim'!E11,IF('Design Inputs'!$D$4='PV Sim'!$F$4,'PV Sim'!F11,'PV Sim'!G11))))/$I$18*'Design Inputs'!$K$68*Projectsize</f>
        <v>56174.873432304194</v>
      </c>
    </row>
    <row r="12" spans="2:9">
      <c r="B12" s="611" t="s">
        <v>648</v>
      </c>
      <c r="C12" s="611">
        <v>13778</v>
      </c>
      <c r="D12" s="611">
        <v>19430</v>
      </c>
      <c r="E12" s="611">
        <v>14839</v>
      </c>
      <c r="F12" s="611">
        <v>14533</v>
      </c>
      <c r="G12" s="364">
        <v>19551</v>
      </c>
      <c r="I12" s="6">
        <f>IF('Design Inputs'!$D$4='PV Sim'!$C$4,'PV Sim'!C12,IF('Design Inputs'!$D$4='PV Sim'!$D$4,'PV Sim'!D12,IF('Design Inputs'!$D$4='PV Sim'!$E$4,'PV Sim'!E12,IF('Design Inputs'!$D$4='PV Sim'!$F$4,'PV Sim'!F12,'PV Sim'!G12))))/$I$18*'Design Inputs'!$K$68*Projectsize</f>
        <v>65930.401134984641</v>
      </c>
    </row>
    <row r="13" spans="2:9">
      <c r="B13" s="611" t="s">
        <v>649</v>
      </c>
      <c r="C13" s="611">
        <v>18228</v>
      </c>
      <c r="D13" s="611">
        <v>21748</v>
      </c>
      <c r="E13" s="611">
        <v>15863</v>
      </c>
      <c r="F13" s="611">
        <v>17480</v>
      </c>
      <c r="G13" s="364">
        <v>22432</v>
      </c>
      <c r="I13" s="6">
        <f>IF('Design Inputs'!$D$4='PV Sim'!$C$4,'PV Sim'!C13,IF('Design Inputs'!$D$4='PV Sim'!$D$4,'PV Sim'!D13,IF('Design Inputs'!$D$4='PV Sim'!$E$4,'PV Sim'!E13,IF('Design Inputs'!$D$4='PV Sim'!$F$4,'PV Sim'!F13,'PV Sim'!G13))))/$I$18*'Design Inputs'!$K$68*Projectsize</f>
        <v>73795.901383615332</v>
      </c>
    </row>
    <row r="14" spans="2:9">
      <c r="B14" s="611" t="s">
        <v>650</v>
      </c>
      <c r="C14" s="611">
        <v>23350</v>
      </c>
      <c r="D14" s="611">
        <v>23781</v>
      </c>
      <c r="E14" s="611">
        <v>18392</v>
      </c>
      <c r="F14" s="611">
        <v>22496</v>
      </c>
      <c r="G14" s="364">
        <v>25891</v>
      </c>
      <c r="I14" s="6">
        <f>IF('Design Inputs'!$D$4='PV Sim'!$C$4,'PV Sim'!C14,IF('Design Inputs'!$D$4='PV Sim'!$D$4,'PV Sim'!D14,IF('Design Inputs'!$D$4='PV Sim'!$E$4,'PV Sim'!E14,IF('Design Inputs'!$D$4='PV Sim'!$F$4,'PV Sim'!F14,'PV Sim'!G14))))/$I$18*'Design Inputs'!$K$68*Projectsize</f>
        <v>80694.331929545515</v>
      </c>
    </row>
    <row r="15" spans="2:9">
      <c r="B15" s="611" t="s">
        <v>651</v>
      </c>
      <c r="C15" s="611">
        <v>27780</v>
      </c>
      <c r="D15" s="611">
        <v>24339</v>
      </c>
      <c r="E15" s="611">
        <v>19317</v>
      </c>
      <c r="F15" s="611">
        <v>25078</v>
      </c>
      <c r="G15" s="364">
        <v>26868</v>
      </c>
      <c r="I15" s="6">
        <f>IF('Design Inputs'!$D$4='PV Sim'!$C$4,'PV Sim'!C15,IF('Design Inputs'!$D$4='PV Sim'!$D$4,'PV Sim'!D15,IF('Design Inputs'!$D$4='PV Sim'!$E$4,'PV Sim'!E15,IF('Design Inputs'!$D$4='PV Sim'!$F$4,'PV Sim'!F15,'PV Sim'!G15))))/$I$18*'Design Inputs'!$K$68*Projectsize</f>
        <v>82587.752610622279</v>
      </c>
    </row>
    <row r="16" spans="2:9">
      <c r="B16" s="611" t="s">
        <v>652</v>
      </c>
      <c r="C16" s="611">
        <v>30504</v>
      </c>
      <c r="D16" s="611">
        <v>26028</v>
      </c>
      <c r="E16" s="611">
        <v>21872</v>
      </c>
      <c r="F16" s="611">
        <v>27734</v>
      </c>
      <c r="G16" s="364">
        <v>29214</v>
      </c>
      <c r="I16" s="6">
        <f>IF('Design Inputs'!$D$4='PV Sim'!$C$4,'PV Sim'!C16,IF('Design Inputs'!$D$4='PV Sim'!$D$4,'PV Sim'!D16,IF('Design Inputs'!$D$4='PV Sim'!$E$4,'PV Sim'!E16,IF('Design Inputs'!$D$4='PV Sim'!$F$4,'PV Sim'!F16,'PV Sim'!G16))))/$I$18*'Design Inputs'!$K$68*Projectsize</f>
        <v>88318.913059257844</v>
      </c>
    </row>
    <row r="17" spans="2:9">
      <c r="B17" s="611"/>
      <c r="C17" s="611"/>
      <c r="D17" s="611"/>
      <c r="E17" s="611"/>
      <c r="F17" s="611"/>
    </row>
    <row r="18" spans="2:9">
      <c r="B18" s="611"/>
      <c r="C18" s="611">
        <f>SUM(C5:C16)</f>
        <v>238153.8</v>
      </c>
      <c r="D18" s="611">
        <f t="shared" ref="D18:G18" si="0">SUM(D5:D16)</f>
        <v>248546</v>
      </c>
      <c r="E18" s="611">
        <f t="shared" si="0"/>
        <v>201868</v>
      </c>
      <c r="F18" s="611">
        <f t="shared" si="0"/>
        <v>223411</v>
      </c>
      <c r="G18" s="611">
        <f t="shared" si="0"/>
        <v>261914</v>
      </c>
      <c r="I18" s="611">
        <f>IF('Design Inputs'!$D$4='PV Sim'!$C$4,'PV Sim'!$C$18,IF('Design Inputs'!$D$4='PV Sim'!$D$4,'PV Sim'!$D$18,IF('Design Inputs'!$D$4='PV Sim'!$E$4,'PV Sim'!$E$18,IF('Design Inputs'!$D$4='PV Sim'!$F$4,'PV Sim'!$F$18,'PV Sim'!$G$18))))</f>
        <v>248546</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tabColor theme="9" tint="-0.249977111117893"/>
  </sheetPr>
  <dimension ref="B5:B23"/>
  <sheetViews>
    <sheetView workbookViewId="0">
      <selection activeCell="H28" sqref="H28"/>
    </sheetView>
  </sheetViews>
  <sheetFormatPr defaultColWidth="8.7109375" defaultRowHeight="13.5"/>
  <cols>
    <col min="2" max="2" width="39.42578125" customWidth="1"/>
  </cols>
  <sheetData>
    <row r="5" spans="2:2">
      <c r="B5" t="s">
        <v>940</v>
      </c>
    </row>
    <row r="6" spans="2:2">
      <c r="B6" t="s">
        <v>941</v>
      </c>
    </row>
    <row r="8" spans="2:2">
      <c r="B8" t="s">
        <v>942</v>
      </c>
    </row>
    <row r="9" spans="2:2">
      <c r="B9" t="s">
        <v>943</v>
      </c>
    </row>
    <row r="10" spans="2:2">
      <c r="B10" t="s">
        <v>944</v>
      </c>
    </row>
    <row r="11" spans="2:2">
      <c r="B11" t="s">
        <v>945</v>
      </c>
    </row>
    <row r="12" spans="2:2">
      <c r="B12" t="s">
        <v>946</v>
      </c>
    </row>
    <row r="14" spans="2:2">
      <c r="B14" t="s">
        <v>947</v>
      </c>
    </row>
    <row r="15" spans="2:2">
      <c r="B15" t="s">
        <v>948</v>
      </c>
    </row>
    <row r="18" spans="2:2">
      <c r="B18" t="s">
        <v>949</v>
      </c>
    </row>
    <row r="19" spans="2:2">
      <c r="B19" t="s">
        <v>939</v>
      </c>
    </row>
    <row r="20" spans="2:2">
      <c r="B20" t="s">
        <v>950</v>
      </c>
    </row>
    <row r="21" spans="2:2">
      <c r="B21" t="s">
        <v>951</v>
      </c>
    </row>
    <row r="23" spans="2:2">
      <c r="B23" t="s">
        <v>952</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57D39D-E147-4517-B078-68A8FCB2BEBA}">
  <sheetPr codeName="Sheet17"/>
  <dimension ref="A1:T172"/>
  <sheetViews>
    <sheetView topLeftCell="A3" zoomScale="70" zoomScaleNormal="70" workbookViewId="0">
      <selection activeCell="H4" sqref="H4"/>
    </sheetView>
  </sheetViews>
  <sheetFormatPr defaultColWidth="8.7109375" defaultRowHeight="13.5"/>
  <cols>
    <col min="1" max="1" width="8.7109375" style="924"/>
    <col min="2" max="2" width="7" customWidth="1"/>
    <col min="7" max="7" width="24" customWidth="1"/>
    <col min="8" max="8" width="14.28515625" customWidth="1"/>
    <col min="9" max="17" width="17.28515625" customWidth="1"/>
    <col min="19" max="20" width="8.7109375" customWidth="1"/>
  </cols>
  <sheetData>
    <row r="1" spans="1:20" ht="14.25" customHeight="1">
      <c r="B1" s="1645" t="s">
        <v>953</v>
      </c>
      <c r="C1" s="1647" t="s">
        <v>954</v>
      </c>
      <c r="D1" s="1649" t="s">
        <v>955</v>
      </c>
      <c r="E1" s="1651" t="s">
        <v>956</v>
      </c>
    </row>
    <row r="2" spans="1:20" ht="15" customHeight="1" thickBot="1">
      <c r="B2" s="1646"/>
      <c r="C2" s="1648"/>
      <c r="D2" s="1650"/>
      <c r="E2" s="1652"/>
      <c r="G2" s="647" t="s">
        <v>957</v>
      </c>
      <c r="H2" s="648">
        <f>'Design Inputs'!L20</f>
        <v>45251.78666666666</v>
      </c>
      <c r="I2" s="1653" t="s">
        <v>958</v>
      </c>
    </row>
    <row r="3" spans="1:20" ht="14">
      <c r="B3" s="615">
        <v>0</v>
      </c>
      <c r="C3" s="599">
        <f t="shared" ref="C3:C26" si="0">IF(OR(B3&lt;$H$3*24,(B3&gt;($H$3*24)+$H$4)),$H$7,$H$6)</f>
        <v>4.561672043010752</v>
      </c>
      <c r="D3" s="649">
        <f t="shared" ref="D3:D50" si="1">$H$9/$S$4*S5*1.1</f>
        <v>0</v>
      </c>
      <c r="E3" s="596">
        <f t="shared" ref="E3:E26" si="2">IF(C3&gt;D3,C3-D3,0)</f>
        <v>4.561672043010752</v>
      </c>
      <c r="G3" s="647" t="s">
        <v>959</v>
      </c>
      <c r="H3" s="650">
        <f>IF($H$4&lt;12,8/24,IF(OR($H$4=12,$H$4=13,$H$4=14,$H$4=15,$H$4=16),6/24,((24-$H$4)/24)))</f>
        <v>0.33333333333333331</v>
      </c>
      <c r="I3" s="1653"/>
      <c r="J3" s="651"/>
      <c r="K3" s="651"/>
      <c r="L3" s="651"/>
      <c r="M3" s="651"/>
      <c r="N3" s="651"/>
      <c r="O3" s="651"/>
      <c r="P3" s="651"/>
      <c r="Q3" s="651"/>
      <c r="S3" t="s">
        <v>960</v>
      </c>
    </row>
    <row r="4" spans="1:20" ht="14">
      <c r="B4" s="615">
        <f>B3+1</f>
        <v>1</v>
      </c>
      <c r="C4" s="595">
        <f t="shared" si="0"/>
        <v>4.561672043010752</v>
      </c>
      <c r="D4" s="596">
        <f>$H$9/$S$4*S6*1.1</f>
        <v>0</v>
      </c>
      <c r="E4" s="596">
        <f t="shared" si="2"/>
        <v>4.561672043010752</v>
      </c>
      <c r="G4" s="647" t="s">
        <v>961</v>
      </c>
      <c r="H4" s="9">
        <f>'Design Inputs'!L22</f>
        <v>8</v>
      </c>
      <c r="I4" s="1653"/>
      <c r="S4" s="600">
        <v>136</v>
      </c>
      <c r="T4" s="600"/>
    </row>
    <row r="5" spans="1:20" ht="14">
      <c r="B5" s="615">
        <f t="shared" ref="B5:B26" si="3">B4+1</f>
        <v>2</v>
      </c>
      <c r="C5" s="595">
        <f t="shared" si="0"/>
        <v>4.561672043010752</v>
      </c>
      <c r="D5" s="596">
        <f t="shared" si="1"/>
        <v>0</v>
      </c>
      <c r="E5" s="596">
        <f t="shared" si="2"/>
        <v>4.561672043010752</v>
      </c>
      <c r="G5" s="647" t="s">
        <v>962</v>
      </c>
      <c r="H5" s="9">
        <v>31</v>
      </c>
      <c r="I5" s="1653"/>
      <c r="S5">
        <v>0</v>
      </c>
      <c r="T5">
        <v>0</v>
      </c>
    </row>
    <row r="6" spans="1:20" ht="14">
      <c r="B6" s="615">
        <f t="shared" si="3"/>
        <v>3</v>
      </c>
      <c r="C6" s="595">
        <f t="shared" si="0"/>
        <v>4.561672043010752</v>
      </c>
      <c r="D6" s="596">
        <f t="shared" si="1"/>
        <v>0</v>
      </c>
      <c r="E6" s="596">
        <f t="shared" si="2"/>
        <v>4.561672043010752</v>
      </c>
      <c r="G6" s="647" t="s">
        <v>963</v>
      </c>
      <c r="H6" s="652">
        <f>(($H$2*0.95)/($H$5-4*IF(AND('Design Inputs'!L23="Y",'Design Inputs'!L24="Y"),0,IF(OR('Design Inputs'!L23="Y",'Design Inputs'!L24="Y"),1,2)))/'Design Inputs'!L22)</f>
        <v>173.34353763440856</v>
      </c>
      <c r="I6" s="1653"/>
      <c r="S6">
        <v>0</v>
      </c>
      <c r="T6">
        <v>1</v>
      </c>
    </row>
    <row r="7" spans="1:20">
      <c r="B7" s="615">
        <f t="shared" si="3"/>
        <v>4</v>
      </c>
      <c r="C7" s="595">
        <f t="shared" si="0"/>
        <v>4.561672043010752</v>
      </c>
      <c r="D7" s="596">
        <f t="shared" si="1"/>
        <v>0</v>
      </c>
      <c r="E7" s="596">
        <f t="shared" si="2"/>
        <v>4.561672043010752</v>
      </c>
      <c r="G7" s="1654" t="s">
        <v>964</v>
      </c>
      <c r="H7" s="1655">
        <f>(($H$2*0.05)/(IF(AND('Design Inputs'!L23="Y",'Design Inputs'!L24="Y"),$H$5*(24-$H$4),IF(OR('Design Inputs'!L23="Y",'Design Inputs'!L24="Y"),((($H$5-4)*(24-$H$4))+(4*24)),((($H$5-8)*(24-$H$4))+(8*24))))))</f>
        <v>4.561672043010752</v>
      </c>
      <c r="I7" s="1653"/>
      <c r="S7">
        <v>0</v>
      </c>
      <c r="T7">
        <v>2</v>
      </c>
    </row>
    <row r="8" spans="1:20">
      <c r="B8" s="615">
        <f t="shared" si="3"/>
        <v>5</v>
      </c>
      <c r="C8" s="595">
        <f t="shared" si="0"/>
        <v>4.561672043010752</v>
      </c>
      <c r="D8" s="596">
        <f t="shared" si="1"/>
        <v>0</v>
      </c>
      <c r="E8" s="596">
        <f t="shared" si="2"/>
        <v>4.561672043010752</v>
      </c>
      <c r="G8" s="1654"/>
      <c r="H8" s="1655"/>
      <c r="I8" s="1653"/>
      <c r="J8" s="653"/>
      <c r="K8" s="653"/>
      <c r="L8" s="653"/>
      <c r="M8" s="653"/>
      <c r="N8" s="653"/>
      <c r="O8" s="653"/>
      <c r="P8" s="653"/>
      <c r="Q8" s="653"/>
      <c r="S8">
        <v>0</v>
      </c>
      <c r="T8">
        <v>3</v>
      </c>
    </row>
    <row r="9" spans="1:20" ht="14">
      <c r="B9" s="615">
        <f t="shared" si="3"/>
        <v>6</v>
      </c>
      <c r="C9" s="595">
        <f t="shared" si="0"/>
        <v>4.561672043010752</v>
      </c>
      <c r="D9" s="596">
        <f t="shared" si="1"/>
        <v>4.7616516102941188E-4</v>
      </c>
      <c r="E9" s="596">
        <f t="shared" si="2"/>
        <v>4.5611958778497224</v>
      </c>
      <c r="G9" s="647" t="s">
        <v>965</v>
      </c>
      <c r="H9" s="600">
        <f>'Design Inputs'!K67</f>
        <v>480.7</v>
      </c>
      <c r="I9" s="1653"/>
      <c r="S9">
        <v>0</v>
      </c>
      <c r="T9">
        <v>4</v>
      </c>
    </row>
    <row r="10" spans="1:20">
      <c r="B10" s="615">
        <f t="shared" si="3"/>
        <v>7</v>
      </c>
      <c r="C10" s="595">
        <f>IF(OR(B10&lt;$H$3*24,(B10&gt;($H$3*24)+$H$4)),$H$7,$H$6)</f>
        <v>4.561672043010752</v>
      </c>
      <c r="D10" s="596">
        <f>$H$9/$S$4*S12*1.1</f>
        <v>58.907310808823532</v>
      </c>
      <c r="E10" s="596">
        <f t="shared" si="2"/>
        <v>0</v>
      </c>
      <c r="J10" s="651"/>
      <c r="K10" s="651"/>
      <c r="L10" s="651"/>
      <c r="M10" s="651"/>
      <c r="N10" s="651"/>
      <c r="O10" s="651"/>
      <c r="P10" s="651"/>
      <c r="Q10" s="651"/>
      <c r="S10">
        <v>0</v>
      </c>
      <c r="T10">
        <v>5</v>
      </c>
    </row>
    <row r="11" spans="1:20">
      <c r="B11" s="615">
        <f t="shared" si="3"/>
        <v>8</v>
      </c>
      <c r="C11" s="595">
        <f t="shared" si="0"/>
        <v>173.34353763440856</v>
      </c>
      <c r="D11" s="596">
        <f>$H$9/$S$4*S13*1.1</f>
        <v>153.80986176470589</v>
      </c>
      <c r="E11" s="596">
        <f t="shared" si="2"/>
        <v>19.533675869702677</v>
      </c>
      <c r="H11" s="651"/>
      <c r="I11" s="651"/>
      <c r="S11">
        <v>1.2247000000000001E-4</v>
      </c>
      <c r="T11">
        <v>6</v>
      </c>
    </row>
    <row r="12" spans="1:20">
      <c r="B12" s="615">
        <f t="shared" si="3"/>
        <v>9</v>
      </c>
      <c r="C12" s="595">
        <f t="shared" si="0"/>
        <v>173.34353763440856</v>
      </c>
      <c r="D12" s="596">
        <f t="shared" si="1"/>
        <v>243.09423147058828</v>
      </c>
      <c r="E12" s="596">
        <f t="shared" si="2"/>
        <v>0</v>
      </c>
      <c r="J12" s="651"/>
      <c r="K12" s="651"/>
      <c r="L12" s="651"/>
      <c r="M12" s="651"/>
      <c r="N12" s="651"/>
      <c r="O12" s="651"/>
      <c r="P12" s="651"/>
      <c r="Q12" s="651"/>
      <c r="S12">
        <v>15.151</v>
      </c>
      <c r="T12">
        <v>7</v>
      </c>
    </row>
    <row r="13" spans="1:20">
      <c r="B13" s="615">
        <f t="shared" si="3"/>
        <v>10</v>
      </c>
      <c r="C13" s="595">
        <f t="shared" si="0"/>
        <v>173.34353763440856</v>
      </c>
      <c r="D13" s="596">
        <f t="shared" si="1"/>
        <v>318.76666169117647</v>
      </c>
      <c r="E13" s="596">
        <f t="shared" si="2"/>
        <v>0</v>
      </c>
      <c r="H13" s="651"/>
      <c r="I13" s="651"/>
      <c r="J13" s="651"/>
      <c r="K13" s="651"/>
      <c r="L13" s="651"/>
      <c r="M13" s="651"/>
      <c r="N13" s="651"/>
      <c r="O13" s="651"/>
      <c r="P13" s="651"/>
      <c r="Q13" s="651"/>
      <c r="S13">
        <v>39.56</v>
      </c>
      <c r="T13">
        <v>8</v>
      </c>
    </row>
    <row r="14" spans="1:20">
      <c r="B14" s="615">
        <f t="shared" si="3"/>
        <v>11</v>
      </c>
      <c r="C14" s="595">
        <f t="shared" si="0"/>
        <v>173.34353763440856</v>
      </c>
      <c r="D14" s="596">
        <f t="shared" si="1"/>
        <v>369.19032441176478</v>
      </c>
      <c r="E14" s="596">
        <f t="shared" si="2"/>
        <v>0</v>
      </c>
      <c r="H14" s="651"/>
      <c r="I14" s="651"/>
      <c r="J14" s="651"/>
      <c r="K14" s="651"/>
      <c r="L14" s="651"/>
      <c r="M14" s="651"/>
      <c r="N14" s="651"/>
      <c r="O14" s="651"/>
      <c r="P14" s="651"/>
      <c r="Q14" s="651"/>
      <c r="S14">
        <v>62.524000000000001</v>
      </c>
      <c r="T14">
        <v>9</v>
      </c>
    </row>
    <row r="15" spans="1:20">
      <c r="A15" s="924" t="s">
        <v>987</v>
      </c>
      <c r="B15" s="615">
        <f t="shared" si="3"/>
        <v>12</v>
      </c>
      <c r="C15" s="595">
        <f t="shared" si="0"/>
        <v>173.34353763440856</v>
      </c>
      <c r="D15" s="596">
        <f t="shared" si="1"/>
        <v>391.71748161764714</v>
      </c>
      <c r="E15" s="596">
        <f t="shared" si="2"/>
        <v>0</v>
      </c>
      <c r="H15" s="651"/>
      <c r="I15" s="651"/>
      <c r="J15" s="651"/>
      <c r="K15" s="651"/>
      <c r="L15" s="651"/>
      <c r="M15" s="651"/>
      <c r="N15" s="651"/>
      <c r="O15" s="651"/>
      <c r="P15" s="651"/>
      <c r="Q15" s="651"/>
      <c r="S15">
        <v>81.986999999999995</v>
      </c>
      <c r="T15">
        <v>10</v>
      </c>
    </row>
    <row r="16" spans="1:20">
      <c r="B16" s="615">
        <f t="shared" si="3"/>
        <v>13</v>
      </c>
      <c r="C16" s="595">
        <f t="shared" si="0"/>
        <v>173.34353763440856</v>
      </c>
      <c r="D16" s="596">
        <f t="shared" si="1"/>
        <v>387.53397779411767</v>
      </c>
      <c r="E16" s="596">
        <f t="shared" si="2"/>
        <v>0</v>
      </c>
      <c r="H16" s="651"/>
      <c r="I16" s="651"/>
      <c r="S16">
        <v>94.956000000000003</v>
      </c>
      <c r="T16">
        <v>11</v>
      </c>
    </row>
    <row r="17" spans="2:20">
      <c r="B17" s="615">
        <f t="shared" si="3"/>
        <v>14</v>
      </c>
      <c r="C17" s="595">
        <f t="shared" si="0"/>
        <v>173.34353763440856</v>
      </c>
      <c r="D17" s="596">
        <f t="shared" si="1"/>
        <v>355.7455695588236</v>
      </c>
      <c r="E17" s="596">
        <f t="shared" si="2"/>
        <v>0</v>
      </c>
      <c r="S17">
        <v>100.75</v>
      </c>
      <c r="T17">
        <v>12</v>
      </c>
    </row>
    <row r="18" spans="2:20">
      <c r="B18" s="615">
        <f t="shared" si="3"/>
        <v>15</v>
      </c>
      <c r="C18" s="595">
        <f t="shared" si="0"/>
        <v>173.34353763440856</v>
      </c>
      <c r="D18" s="596">
        <f>$H$9/$S$4*S20*1.1</f>
        <v>300.09641507352944</v>
      </c>
      <c r="E18" s="596">
        <f t="shared" si="2"/>
        <v>0</v>
      </c>
      <c r="S18">
        <v>99.674000000000007</v>
      </c>
      <c r="T18">
        <v>13</v>
      </c>
    </row>
    <row r="19" spans="2:20">
      <c r="B19" s="615">
        <f t="shared" si="3"/>
        <v>16</v>
      </c>
      <c r="C19" s="595">
        <f t="shared" si="0"/>
        <v>173.34353763440856</v>
      </c>
      <c r="D19" s="596">
        <f t="shared" si="1"/>
        <v>224.87110654411768</v>
      </c>
      <c r="E19" s="596">
        <f t="shared" si="2"/>
        <v>0</v>
      </c>
      <c r="S19">
        <v>91.498000000000005</v>
      </c>
      <c r="T19">
        <v>14</v>
      </c>
    </row>
    <row r="20" spans="2:20">
      <c r="B20" s="615">
        <f t="shared" si="3"/>
        <v>17</v>
      </c>
      <c r="C20" s="595">
        <f t="shared" si="0"/>
        <v>4.561672043010752</v>
      </c>
      <c r="D20" s="596">
        <f t="shared" si="1"/>
        <v>134.27258786764705</v>
      </c>
      <c r="E20" s="596">
        <f t="shared" si="2"/>
        <v>0</v>
      </c>
      <c r="S20">
        <v>77.185000000000002</v>
      </c>
      <c r="T20">
        <v>15</v>
      </c>
    </row>
    <row r="21" spans="2:20">
      <c r="B21" s="615">
        <f t="shared" si="3"/>
        <v>18</v>
      </c>
      <c r="C21" s="595">
        <f t="shared" si="0"/>
        <v>4.561672043010752</v>
      </c>
      <c r="D21" s="596">
        <f t="shared" si="1"/>
        <v>50.380894558823535</v>
      </c>
      <c r="E21" s="596">
        <f t="shared" si="2"/>
        <v>0</v>
      </c>
      <c r="S21">
        <v>57.837000000000003</v>
      </c>
      <c r="T21">
        <v>16</v>
      </c>
    </row>
    <row r="22" spans="2:20">
      <c r="B22" s="615">
        <f t="shared" si="3"/>
        <v>19</v>
      </c>
      <c r="C22" s="595">
        <f t="shared" si="0"/>
        <v>4.561672043010752</v>
      </c>
      <c r="D22" s="596">
        <f t="shared" si="1"/>
        <v>0</v>
      </c>
      <c r="E22" s="596">
        <f t="shared" si="2"/>
        <v>4.561672043010752</v>
      </c>
      <c r="S22">
        <v>34.534999999999997</v>
      </c>
      <c r="T22">
        <v>17</v>
      </c>
    </row>
    <row r="23" spans="2:20">
      <c r="B23" s="615">
        <f t="shared" si="3"/>
        <v>20</v>
      </c>
      <c r="C23" s="595">
        <f t="shared" si="0"/>
        <v>4.561672043010752</v>
      </c>
      <c r="D23" s="596">
        <f t="shared" si="1"/>
        <v>0</v>
      </c>
      <c r="E23" s="596">
        <f t="shared" si="2"/>
        <v>4.561672043010752</v>
      </c>
      <c r="S23">
        <v>12.958</v>
      </c>
      <c r="T23">
        <v>18</v>
      </c>
    </row>
    <row r="24" spans="2:20">
      <c r="B24" s="615">
        <f t="shared" si="3"/>
        <v>21</v>
      </c>
      <c r="C24" s="595">
        <f t="shared" si="0"/>
        <v>4.561672043010752</v>
      </c>
      <c r="D24" s="596">
        <f t="shared" si="1"/>
        <v>0</v>
      </c>
      <c r="E24" s="596">
        <f t="shared" si="2"/>
        <v>4.561672043010752</v>
      </c>
      <c r="S24">
        <v>0</v>
      </c>
      <c r="T24">
        <v>19</v>
      </c>
    </row>
    <row r="25" spans="2:20">
      <c r="B25" s="615">
        <f t="shared" si="3"/>
        <v>22</v>
      </c>
      <c r="C25" s="595">
        <f t="shared" si="0"/>
        <v>4.561672043010752</v>
      </c>
      <c r="D25" s="596">
        <f t="shared" si="1"/>
        <v>0</v>
      </c>
      <c r="E25" s="596">
        <f t="shared" si="2"/>
        <v>4.561672043010752</v>
      </c>
      <c r="S25">
        <v>0</v>
      </c>
      <c r="T25">
        <v>20</v>
      </c>
    </row>
    <row r="26" spans="2:20" ht="14" thickBot="1">
      <c r="B26" s="617">
        <f t="shared" si="3"/>
        <v>23</v>
      </c>
      <c r="C26" s="597">
        <f t="shared" si="0"/>
        <v>4.561672043010752</v>
      </c>
      <c r="D26" s="598">
        <f t="shared" si="1"/>
        <v>0</v>
      </c>
      <c r="E26" s="598">
        <f t="shared" si="2"/>
        <v>4.561672043010752</v>
      </c>
      <c r="S26">
        <v>0</v>
      </c>
      <c r="T26">
        <v>21</v>
      </c>
    </row>
    <row r="27" spans="2:20">
      <c r="B27" s="615">
        <v>0</v>
      </c>
      <c r="C27" s="599">
        <f t="shared" ref="C27:C90" si="4">IF(OR(B27&lt;$H$3*24,(B27&gt;($H$3*24)+$H$4)),$H$7,$H$6)</f>
        <v>4.561672043010752</v>
      </c>
      <c r="D27" s="649">
        <f t="shared" si="1"/>
        <v>0</v>
      </c>
      <c r="E27" s="596">
        <f t="shared" ref="E27:E90" si="5">IF(C27&gt;D27,C27-D27,0)</f>
        <v>4.561672043010752</v>
      </c>
      <c r="S27">
        <v>0</v>
      </c>
      <c r="T27">
        <v>22</v>
      </c>
    </row>
    <row r="28" spans="2:20">
      <c r="B28" s="615">
        <f>B27+1</f>
        <v>1</v>
      </c>
      <c r="C28" s="595">
        <f t="shared" si="4"/>
        <v>4.561672043010752</v>
      </c>
      <c r="D28" s="596">
        <f>$H$9/$S$4*S30*1.1</f>
        <v>0</v>
      </c>
      <c r="E28" s="596">
        <f t="shared" si="5"/>
        <v>4.561672043010752</v>
      </c>
      <c r="S28">
        <v>0</v>
      </c>
      <c r="T28">
        <v>23</v>
      </c>
    </row>
    <row r="29" spans="2:20">
      <c r="B29" s="615">
        <f t="shared" ref="B29:B50" si="6">B28+1</f>
        <v>2</v>
      </c>
      <c r="C29" s="595">
        <f t="shared" si="4"/>
        <v>4.561672043010752</v>
      </c>
      <c r="D29" s="596">
        <f t="shared" si="1"/>
        <v>0</v>
      </c>
      <c r="E29" s="596">
        <f t="shared" si="5"/>
        <v>4.561672043010752</v>
      </c>
      <c r="S29">
        <v>0</v>
      </c>
    </row>
    <row r="30" spans="2:20">
      <c r="B30" s="615">
        <f t="shared" si="6"/>
        <v>3</v>
      </c>
      <c r="C30" s="595">
        <f t="shared" si="4"/>
        <v>4.561672043010752</v>
      </c>
      <c r="D30" s="596">
        <f t="shared" si="1"/>
        <v>0</v>
      </c>
      <c r="E30" s="596">
        <f t="shared" si="5"/>
        <v>4.561672043010752</v>
      </c>
      <c r="S30">
        <v>0</v>
      </c>
    </row>
    <row r="31" spans="2:20">
      <c r="B31" s="615">
        <f t="shared" si="6"/>
        <v>4</v>
      </c>
      <c r="C31" s="595">
        <f t="shared" si="4"/>
        <v>4.561672043010752</v>
      </c>
      <c r="D31" s="596">
        <f t="shared" si="1"/>
        <v>0</v>
      </c>
      <c r="E31" s="596">
        <f t="shared" si="5"/>
        <v>4.561672043010752</v>
      </c>
      <c r="S31">
        <v>0</v>
      </c>
    </row>
    <row r="32" spans="2:20">
      <c r="B32" s="615">
        <f t="shared" si="6"/>
        <v>5</v>
      </c>
      <c r="C32" s="595">
        <f t="shared" si="4"/>
        <v>4.561672043010752</v>
      </c>
      <c r="D32" s="596">
        <f t="shared" si="1"/>
        <v>0</v>
      </c>
      <c r="E32" s="596">
        <f t="shared" si="5"/>
        <v>4.561672043010752</v>
      </c>
      <c r="S32">
        <v>0</v>
      </c>
    </row>
    <row r="33" spans="1:19">
      <c r="B33" s="615">
        <f t="shared" si="6"/>
        <v>6</v>
      </c>
      <c r="C33" s="595">
        <f t="shared" si="4"/>
        <v>4.561672043010752</v>
      </c>
      <c r="D33" s="596">
        <f t="shared" si="1"/>
        <v>4.7616516102941188E-4</v>
      </c>
      <c r="E33" s="596">
        <f t="shared" si="5"/>
        <v>4.5611958778497224</v>
      </c>
      <c r="S33">
        <v>0</v>
      </c>
    </row>
    <row r="34" spans="1:19">
      <c r="B34" s="615">
        <f t="shared" si="6"/>
        <v>7</v>
      </c>
      <c r="C34" s="595">
        <f t="shared" si="4"/>
        <v>4.561672043010752</v>
      </c>
      <c r="D34" s="596">
        <f t="shared" si="1"/>
        <v>58.907310808823532</v>
      </c>
      <c r="E34" s="596">
        <f t="shared" si="5"/>
        <v>0</v>
      </c>
      <c r="S34">
        <v>0</v>
      </c>
    </row>
    <row r="35" spans="1:19">
      <c r="B35" s="615">
        <f t="shared" si="6"/>
        <v>8</v>
      </c>
      <c r="C35" s="595">
        <f t="shared" si="4"/>
        <v>173.34353763440856</v>
      </c>
      <c r="D35" s="596">
        <f>$H$9/$S$4*S37*1.1</f>
        <v>153.80986176470589</v>
      </c>
      <c r="E35" s="596">
        <f t="shared" si="5"/>
        <v>19.533675869702677</v>
      </c>
      <c r="S35">
        <v>1.2247000000000001E-4</v>
      </c>
    </row>
    <row r="36" spans="1:19">
      <c r="B36" s="615">
        <f t="shared" si="6"/>
        <v>9</v>
      </c>
      <c r="C36" s="595">
        <f t="shared" si="4"/>
        <v>173.34353763440856</v>
      </c>
      <c r="D36" s="596">
        <f t="shared" si="1"/>
        <v>243.09423147058828</v>
      </c>
      <c r="E36" s="596">
        <f t="shared" si="5"/>
        <v>0</v>
      </c>
      <c r="S36">
        <v>15.151</v>
      </c>
    </row>
    <row r="37" spans="1:19">
      <c r="B37" s="615">
        <f t="shared" si="6"/>
        <v>10</v>
      </c>
      <c r="C37" s="595">
        <f t="shared" si="4"/>
        <v>173.34353763440856</v>
      </c>
      <c r="D37" s="596">
        <f t="shared" si="1"/>
        <v>318.76666169117647</v>
      </c>
      <c r="E37" s="596">
        <f t="shared" si="5"/>
        <v>0</v>
      </c>
      <c r="S37">
        <v>39.56</v>
      </c>
    </row>
    <row r="38" spans="1:19">
      <c r="B38" s="615">
        <f t="shared" si="6"/>
        <v>11</v>
      </c>
      <c r="C38" s="595">
        <f t="shared" si="4"/>
        <v>173.34353763440856</v>
      </c>
      <c r="D38" s="596">
        <f t="shared" si="1"/>
        <v>369.19032441176478</v>
      </c>
      <c r="E38" s="596">
        <f t="shared" si="5"/>
        <v>0</v>
      </c>
      <c r="S38">
        <v>62.524000000000001</v>
      </c>
    </row>
    <row r="39" spans="1:19">
      <c r="A39" s="924" t="s">
        <v>986</v>
      </c>
      <c r="B39" s="615">
        <f t="shared" si="6"/>
        <v>12</v>
      </c>
      <c r="C39" s="595">
        <f t="shared" si="4"/>
        <v>173.34353763440856</v>
      </c>
      <c r="D39" s="596">
        <f t="shared" si="1"/>
        <v>391.71748161764714</v>
      </c>
      <c r="E39" s="596">
        <f t="shared" si="5"/>
        <v>0</v>
      </c>
      <c r="S39">
        <v>81.986999999999995</v>
      </c>
    </row>
    <row r="40" spans="1:19">
      <c r="B40" s="615">
        <f t="shared" si="6"/>
        <v>13</v>
      </c>
      <c r="C40" s="595">
        <f t="shared" si="4"/>
        <v>173.34353763440856</v>
      </c>
      <c r="D40" s="596">
        <f t="shared" si="1"/>
        <v>387.53397779411767</v>
      </c>
      <c r="E40" s="596">
        <f t="shared" si="5"/>
        <v>0</v>
      </c>
      <c r="S40">
        <v>94.956000000000003</v>
      </c>
    </row>
    <row r="41" spans="1:19">
      <c r="B41" s="615">
        <f t="shared" si="6"/>
        <v>14</v>
      </c>
      <c r="C41" s="595">
        <f t="shared" si="4"/>
        <v>173.34353763440856</v>
      </c>
      <c r="D41" s="596">
        <f t="shared" si="1"/>
        <v>355.7455695588236</v>
      </c>
      <c r="E41" s="596">
        <f t="shared" si="5"/>
        <v>0</v>
      </c>
      <c r="S41">
        <v>100.75</v>
      </c>
    </row>
    <row r="42" spans="1:19">
      <c r="B42" s="615">
        <f t="shared" si="6"/>
        <v>15</v>
      </c>
      <c r="C42" s="595">
        <f t="shared" si="4"/>
        <v>173.34353763440856</v>
      </c>
      <c r="D42" s="596">
        <f>$H$9/$S$4*S44*1.1</f>
        <v>300.09641507352944</v>
      </c>
      <c r="E42" s="596">
        <f t="shared" si="5"/>
        <v>0</v>
      </c>
      <c r="S42">
        <v>99.674000000000007</v>
      </c>
    </row>
    <row r="43" spans="1:19">
      <c r="B43" s="615">
        <f t="shared" si="6"/>
        <v>16</v>
      </c>
      <c r="C43" s="595">
        <f t="shared" si="4"/>
        <v>173.34353763440856</v>
      </c>
      <c r="D43" s="596">
        <f t="shared" si="1"/>
        <v>224.87110654411768</v>
      </c>
      <c r="E43" s="596">
        <f t="shared" si="5"/>
        <v>0</v>
      </c>
      <c r="S43">
        <v>91.498000000000005</v>
      </c>
    </row>
    <row r="44" spans="1:19">
      <c r="B44" s="615">
        <f t="shared" si="6"/>
        <v>17</v>
      </c>
      <c r="C44" s="595">
        <f t="shared" si="4"/>
        <v>4.561672043010752</v>
      </c>
      <c r="D44" s="596">
        <f t="shared" si="1"/>
        <v>134.27258786764705</v>
      </c>
      <c r="E44" s="596">
        <f t="shared" si="5"/>
        <v>0</v>
      </c>
      <c r="S44">
        <v>77.185000000000002</v>
      </c>
    </row>
    <row r="45" spans="1:19">
      <c r="B45" s="615">
        <f t="shared" si="6"/>
        <v>18</v>
      </c>
      <c r="C45" s="595">
        <f t="shared" si="4"/>
        <v>4.561672043010752</v>
      </c>
      <c r="D45" s="596">
        <f t="shared" si="1"/>
        <v>50.380894558823535</v>
      </c>
      <c r="E45" s="596">
        <f t="shared" si="5"/>
        <v>0</v>
      </c>
      <c r="S45">
        <v>57.837000000000003</v>
      </c>
    </row>
    <row r="46" spans="1:19">
      <c r="B46" s="615">
        <f t="shared" si="6"/>
        <v>19</v>
      </c>
      <c r="C46" s="595">
        <f t="shared" si="4"/>
        <v>4.561672043010752</v>
      </c>
      <c r="D46" s="596">
        <f t="shared" si="1"/>
        <v>0</v>
      </c>
      <c r="E46" s="596">
        <f t="shared" si="5"/>
        <v>4.561672043010752</v>
      </c>
      <c r="S46">
        <v>34.534999999999997</v>
      </c>
    </row>
    <row r="47" spans="1:19">
      <c r="B47" s="615">
        <f t="shared" si="6"/>
        <v>20</v>
      </c>
      <c r="C47" s="595">
        <f t="shared" si="4"/>
        <v>4.561672043010752</v>
      </c>
      <c r="D47" s="596">
        <f t="shared" si="1"/>
        <v>0</v>
      </c>
      <c r="E47" s="596">
        <f t="shared" si="5"/>
        <v>4.561672043010752</v>
      </c>
      <c r="S47">
        <v>12.958</v>
      </c>
    </row>
    <row r="48" spans="1:19">
      <c r="B48" s="615">
        <f t="shared" si="6"/>
        <v>21</v>
      </c>
      <c r="C48" s="595">
        <f t="shared" si="4"/>
        <v>4.561672043010752</v>
      </c>
      <c r="D48" s="596">
        <f t="shared" si="1"/>
        <v>0</v>
      </c>
      <c r="E48" s="596">
        <f t="shared" si="5"/>
        <v>4.561672043010752</v>
      </c>
      <c r="S48">
        <v>0</v>
      </c>
    </row>
    <row r="49" spans="1:19">
      <c r="B49" s="615">
        <f t="shared" si="6"/>
        <v>22</v>
      </c>
      <c r="C49" s="595">
        <f t="shared" si="4"/>
        <v>4.561672043010752</v>
      </c>
      <c r="D49" s="596">
        <f t="shared" si="1"/>
        <v>0</v>
      </c>
      <c r="E49" s="596">
        <f t="shared" si="5"/>
        <v>4.561672043010752</v>
      </c>
      <c r="S49">
        <v>0</v>
      </c>
    </row>
    <row r="50" spans="1:19" ht="14" thickBot="1">
      <c r="B50" s="617">
        <f t="shared" si="6"/>
        <v>23</v>
      </c>
      <c r="C50" s="597">
        <f t="shared" si="4"/>
        <v>4.561672043010752</v>
      </c>
      <c r="D50" s="598">
        <f t="shared" si="1"/>
        <v>0</v>
      </c>
      <c r="E50" s="598">
        <f t="shared" si="5"/>
        <v>4.561672043010752</v>
      </c>
      <c r="S50">
        <v>0</v>
      </c>
    </row>
    <row r="51" spans="1:19">
      <c r="B51" s="615">
        <v>0</v>
      </c>
      <c r="C51" s="599">
        <f t="shared" si="4"/>
        <v>4.561672043010752</v>
      </c>
      <c r="D51" s="649">
        <f t="shared" ref="D51:D90" si="7">$H$9/$S$4*S53*1.1</f>
        <v>0</v>
      </c>
      <c r="E51" s="596">
        <f t="shared" si="5"/>
        <v>4.561672043010752</v>
      </c>
      <c r="S51">
        <v>0</v>
      </c>
    </row>
    <row r="52" spans="1:19">
      <c r="B52" s="615">
        <f>B51+1</f>
        <v>1</v>
      </c>
      <c r="C52" s="595">
        <f t="shared" si="4"/>
        <v>4.561672043010752</v>
      </c>
      <c r="D52" s="596">
        <f t="shared" si="7"/>
        <v>0</v>
      </c>
      <c r="E52" s="596">
        <f t="shared" si="5"/>
        <v>4.561672043010752</v>
      </c>
      <c r="S52">
        <v>0</v>
      </c>
    </row>
    <row r="53" spans="1:19">
      <c r="B53" s="615">
        <f t="shared" ref="B53:B74" si="8">B52+1</f>
        <v>2</v>
      </c>
      <c r="C53" s="595">
        <f t="shared" si="4"/>
        <v>4.561672043010752</v>
      </c>
      <c r="D53" s="596">
        <f t="shared" si="7"/>
        <v>0</v>
      </c>
      <c r="E53" s="596">
        <f t="shared" si="5"/>
        <v>4.561672043010752</v>
      </c>
      <c r="S53">
        <v>0</v>
      </c>
    </row>
    <row r="54" spans="1:19">
      <c r="B54" s="615">
        <f t="shared" si="8"/>
        <v>3</v>
      </c>
      <c r="C54" s="595">
        <f t="shared" si="4"/>
        <v>4.561672043010752</v>
      </c>
      <c r="D54" s="596">
        <f t="shared" si="7"/>
        <v>0</v>
      </c>
      <c r="E54" s="596">
        <f t="shared" si="5"/>
        <v>4.561672043010752</v>
      </c>
      <c r="S54">
        <v>0</v>
      </c>
    </row>
    <row r="55" spans="1:19">
      <c r="B55" s="615">
        <f t="shared" si="8"/>
        <v>4</v>
      </c>
      <c r="C55" s="595">
        <f t="shared" si="4"/>
        <v>4.561672043010752</v>
      </c>
      <c r="D55" s="596">
        <f t="shared" si="7"/>
        <v>0</v>
      </c>
      <c r="E55" s="596">
        <f t="shared" si="5"/>
        <v>4.561672043010752</v>
      </c>
      <c r="S55">
        <v>0</v>
      </c>
    </row>
    <row r="56" spans="1:19">
      <c r="B56" s="615">
        <f t="shared" si="8"/>
        <v>5</v>
      </c>
      <c r="C56" s="595">
        <f t="shared" si="4"/>
        <v>4.561672043010752</v>
      </c>
      <c r="D56" s="596">
        <f t="shared" si="7"/>
        <v>0</v>
      </c>
      <c r="E56" s="596">
        <f t="shared" si="5"/>
        <v>4.561672043010752</v>
      </c>
      <c r="S56">
        <v>0</v>
      </c>
    </row>
    <row r="57" spans="1:19">
      <c r="B57" s="615">
        <f t="shared" si="8"/>
        <v>6</v>
      </c>
      <c r="C57" s="595">
        <f t="shared" si="4"/>
        <v>4.561672043010752</v>
      </c>
      <c r="D57" s="596">
        <f t="shared" si="7"/>
        <v>4.7616516102941188E-4</v>
      </c>
      <c r="E57" s="596">
        <f t="shared" si="5"/>
        <v>4.5611958778497224</v>
      </c>
      <c r="S57">
        <v>0</v>
      </c>
    </row>
    <row r="58" spans="1:19">
      <c r="B58" s="615">
        <f t="shared" si="8"/>
        <v>7</v>
      </c>
      <c r="C58" s="595">
        <f t="shared" si="4"/>
        <v>4.561672043010752</v>
      </c>
      <c r="D58" s="596">
        <f t="shared" si="7"/>
        <v>58.907310808823532</v>
      </c>
      <c r="E58" s="596">
        <f t="shared" si="5"/>
        <v>0</v>
      </c>
      <c r="S58">
        <v>0</v>
      </c>
    </row>
    <row r="59" spans="1:19">
      <c r="B59" s="615">
        <f t="shared" si="8"/>
        <v>8</v>
      </c>
      <c r="C59" s="595">
        <f t="shared" si="4"/>
        <v>173.34353763440856</v>
      </c>
      <c r="D59" s="596">
        <f t="shared" si="7"/>
        <v>153.80986176470589</v>
      </c>
      <c r="E59" s="596">
        <f t="shared" si="5"/>
        <v>19.533675869702677</v>
      </c>
      <c r="S59">
        <v>1.2247000000000001E-4</v>
      </c>
    </row>
    <row r="60" spans="1:19">
      <c r="B60" s="615">
        <f t="shared" si="8"/>
        <v>9</v>
      </c>
      <c r="C60" s="595">
        <f t="shared" si="4"/>
        <v>173.34353763440856</v>
      </c>
      <c r="D60" s="596">
        <f t="shared" si="7"/>
        <v>243.09423147058828</v>
      </c>
      <c r="E60" s="596">
        <f t="shared" si="5"/>
        <v>0</v>
      </c>
      <c r="S60">
        <v>15.151</v>
      </c>
    </row>
    <row r="61" spans="1:19">
      <c r="B61" s="615">
        <f t="shared" si="8"/>
        <v>10</v>
      </c>
      <c r="C61" s="595">
        <f t="shared" si="4"/>
        <v>173.34353763440856</v>
      </c>
      <c r="D61" s="596">
        <f t="shared" si="7"/>
        <v>318.76666169117647</v>
      </c>
      <c r="E61" s="596">
        <f t="shared" si="5"/>
        <v>0</v>
      </c>
      <c r="S61">
        <v>39.56</v>
      </c>
    </row>
    <row r="62" spans="1:19">
      <c r="B62" s="615">
        <f t="shared" si="8"/>
        <v>11</v>
      </c>
      <c r="C62" s="595">
        <f t="shared" si="4"/>
        <v>173.34353763440856</v>
      </c>
      <c r="D62" s="596">
        <f t="shared" si="7"/>
        <v>369.19032441176478</v>
      </c>
      <c r="E62" s="596">
        <f t="shared" si="5"/>
        <v>0</v>
      </c>
      <c r="S62">
        <v>62.524000000000001</v>
      </c>
    </row>
    <row r="63" spans="1:19">
      <c r="A63" s="924" t="s">
        <v>988</v>
      </c>
      <c r="B63" s="615">
        <f t="shared" si="8"/>
        <v>12</v>
      </c>
      <c r="C63" s="595">
        <f t="shared" si="4"/>
        <v>173.34353763440856</v>
      </c>
      <c r="D63" s="596">
        <f t="shared" si="7"/>
        <v>391.71748161764714</v>
      </c>
      <c r="E63" s="596">
        <f t="shared" si="5"/>
        <v>0</v>
      </c>
      <c r="S63">
        <v>81.986999999999995</v>
      </c>
    </row>
    <row r="64" spans="1:19">
      <c r="B64" s="615">
        <f t="shared" si="8"/>
        <v>13</v>
      </c>
      <c r="C64" s="595">
        <f t="shared" si="4"/>
        <v>173.34353763440856</v>
      </c>
      <c r="D64" s="596">
        <f t="shared" si="7"/>
        <v>387.53397779411767</v>
      </c>
      <c r="E64" s="596">
        <f t="shared" si="5"/>
        <v>0</v>
      </c>
      <c r="S64">
        <v>94.956000000000003</v>
      </c>
    </row>
    <row r="65" spans="2:19">
      <c r="B65" s="615">
        <f t="shared" si="8"/>
        <v>14</v>
      </c>
      <c r="C65" s="595">
        <f t="shared" si="4"/>
        <v>173.34353763440856</v>
      </c>
      <c r="D65" s="596">
        <f t="shared" si="7"/>
        <v>355.7455695588236</v>
      </c>
      <c r="E65" s="596">
        <f t="shared" si="5"/>
        <v>0</v>
      </c>
      <c r="S65">
        <v>100.75</v>
      </c>
    </row>
    <row r="66" spans="2:19">
      <c r="B66" s="615">
        <f t="shared" si="8"/>
        <v>15</v>
      </c>
      <c r="C66" s="595">
        <f t="shared" si="4"/>
        <v>173.34353763440856</v>
      </c>
      <c r="D66" s="596">
        <f t="shared" si="7"/>
        <v>300.09641507352944</v>
      </c>
      <c r="E66" s="596">
        <f t="shared" si="5"/>
        <v>0</v>
      </c>
      <c r="S66">
        <v>99.674000000000007</v>
      </c>
    </row>
    <row r="67" spans="2:19">
      <c r="B67" s="615">
        <f t="shared" si="8"/>
        <v>16</v>
      </c>
      <c r="C67" s="595">
        <f t="shared" si="4"/>
        <v>173.34353763440856</v>
      </c>
      <c r="D67" s="596">
        <f t="shared" si="7"/>
        <v>224.87110654411768</v>
      </c>
      <c r="E67" s="596">
        <f t="shared" si="5"/>
        <v>0</v>
      </c>
      <c r="S67">
        <v>91.498000000000005</v>
      </c>
    </row>
    <row r="68" spans="2:19">
      <c r="B68" s="615">
        <f t="shared" si="8"/>
        <v>17</v>
      </c>
      <c r="C68" s="595">
        <f t="shared" si="4"/>
        <v>4.561672043010752</v>
      </c>
      <c r="D68" s="596">
        <f t="shared" si="7"/>
        <v>134.27258786764705</v>
      </c>
      <c r="E68" s="596">
        <f t="shared" si="5"/>
        <v>0</v>
      </c>
      <c r="S68">
        <v>77.185000000000002</v>
      </c>
    </row>
    <row r="69" spans="2:19">
      <c r="B69" s="615">
        <f t="shared" si="8"/>
        <v>18</v>
      </c>
      <c r="C69" s="595">
        <f t="shared" si="4"/>
        <v>4.561672043010752</v>
      </c>
      <c r="D69" s="596">
        <f t="shared" si="7"/>
        <v>50.380894558823535</v>
      </c>
      <c r="E69" s="596">
        <f t="shared" si="5"/>
        <v>0</v>
      </c>
      <c r="S69">
        <v>57.837000000000003</v>
      </c>
    </row>
    <row r="70" spans="2:19">
      <c r="B70" s="615">
        <f t="shared" si="8"/>
        <v>19</v>
      </c>
      <c r="C70" s="595">
        <f t="shared" si="4"/>
        <v>4.561672043010752</v>
      </c>
      <c r="D70" s="596">
        <f t="shared" si="7"/>
        <v>0</v>
      </c>
      <c r="E70" s="596">
        <f t="shared" si="5"/>
        <v>4.561672043010752</v>
      </c>
      <c r="S70">
        <v>34.534999999999997</v>
      </c>
    </row>
    <row r="71" spans="2:19">
      <c r="B71" s="615">
        <f t="shared" si="8"/>
        <v>20</v>
      </c>
      <c r="C71" s="595">
        <f t="shared" si="4"/>
        <v>4.561672043010752</v>
      </c>
      <c r="D71" s="596">
        <f t="shared" si="7"/>
        <v>0</v>
      </c>
      <c r="E71" s="596">
        <f t="shared" si="5"/>
        <v>4.561672043010752</v>
      </c>
      <c r="S71">
        <v>12.958</v>
      </c>
    </row>
    <row r="72" spans="2:19">
      <c r="B72" s="615">
        <f t="shared" si="8"/>
        <v>21</v>
      </c>
      <c r="C72" s="595">
        <f t="shared" si="4"/>
        <v>4.561672043010752</v>
      </c>
      <c r="D72" s="596">
        <f t="shared" si="7"/>
        <v>0</v>
      </c>
      <c r="E72" s="596">
        <f t="shared" si="5"/>
        <v>4.561672043010752</v>
      </c>
      <c r="S72">
        <v>0</v>
      </c>
    </row>
    <row r="73" spans="2:19">
      <c r="B73" s="615">
        <f t="shared" si="8"/>
        <v>22</v>
      </c>
      <c r="C73" s="595">
        <f t="shared" si="4"/>
        <v>4.561672043010752</v>
      </c>
      <c r="D73" s="596">
        <f t="shared" si="7"/>
        <v>0</v>
      </c>
      <c r="E73" s="596">
        <f t="shared" si="5"/>
        <v>4.561672043010752</v>
      </c>
      <c r="S73">
        <v>0</v>
      </c>
    </row>
    <row r="74" spans="2:19" ht="14" thickBot="1">
      <c r="B74" s="617">
        <f t="shared" si="8"/>
        <v>23</v>
      </c>
      <c r="C74" s="597">
        <f t="shared" si="4"/>
        <v>4.561672043010752</v>
      </c>
      <c r="D74" s="598">
        <f t="shared" si="7"/>
        <v>0</v>
      </c>
      <c r="E74" s="598">
        <f t="shared" si="5"/>
        <v>4.561672043010752</v>
      </c>
      <c r="S74">
        <v>0</v>
      </c>
    </row>
    <row r="75" spans="2:19">
      <c r="B75" s="615">
        <v>0</v>
      </c>
      <c r="C75" s="599">
        <f t="shared" si="4"/>
        <v>4.561672043010752</v>
      </c>
      <c r="D75" s="649">
        <f t="shared" si="7"/>
        <v>0</v>
      </c>
      <c r="E75" s="596">
        <f t="shared" si="5"/>
        <v>4.561672043010752</v>
      </c>
      <c r="S75">
        <v>0</v>
      </c>
    </row>
    <row r="76" spans="2:19">
      <c r="B76" s="615">
        <f>B75+1</f>
        <v>1</v>
      </c>
      <c r="C76" s="595">
        <f t="shared" si="4"/>
        <v>4.561672043010752</v>
      </c>
      <c r="D76" s="596">
        <f t="shared" si="7"/>
        <v>0</v>
      </c>
      <c r="E76" s="596">
        <f t="shared" si="5"/>
        <v>4.561672043010752</v>
      </c>
      <c r="S76">
        <v>0</v>
      </c>
    </row>
    <row r="77" spans="2:19">
      <c r="B77" s="615">
        <f t="shared" ref="B77:B98" si="9">B76+1</f>
        <v>2</v>
      </c>
      <c r="C77" s="595">
        <f t="shared" si="4"/>
        <v>4.561672043010752</v>
      </c>
      <c r="D77" s="596">
        <f t="shared" si="7"/>
        <v>0</v>
      </c>
      <c r="E77" s="596">
        <f t="shared" si="5"/>
        <v>4.561672043010752</v>
      </c>
      <c r="S77">
        <v>0</v>
      </c>
    </row>
    <row r="78" spans="2:19">
      <c r="B78" s="615">
        <f t="shared" si="9"/>
        <v>3</v>
      </c>
      <c r="C78" s="595">
        <f t="shared" si="4"/>
        <v>4.561672043010752</v>
      </c>
      <c r="D78" s="596">
        <f t="shared" si="7"/>
        <v>0</v>
      </c>
      <c r="E78" s="596">
        <f t="shared" si="5"/>
        <v>4.561672043010752</v>
      </c>
      <c r="S78">
        <v>0</v>
      </c>
    </row>
    <row r="79" spans="2:19">
      <c r="B79" s="615">
        <f t="shared" si="9"/>
        <v>4</v>
      </c>
      <c r="C79" s="595">
        <f t="shared" si="4"/>
        <v>4.561672043010752</v>
      </c>
      <c r="D79" s="596">
        <f t="shared" si="7"/>
        <v>0</v>
      </c>
      <c r="E79" s="596">
        <f t="shared" si="5"/>
        <v>4.561672043010752</v>
      </c>
      <c r="S79">
        <v>0</v>
      </c>
    </row>
    <row r="80" spans="2:19">
      <c r="B80" s="615">
        <f t="shared" si="9"/>
        <v>5</v>
      </c>
      <c r="C80" s="595">
        <f t="shared" si="4"/>
        <v>4.561672043010752</v>
      </c>
      <c r="D80" s="596">
        <f t="shared" si="7"/>
        <v>0</v>
      </c>
      <c r="E80" s="596">
        <f t="shared" si="5"/>
        <v>4.561672043010752</v>
      </c>
      <c r="S80">
        <v>0</v>
      </c>
    </row>
    <row r="81" spans="1:19">
      <c r="B81" s="615">
        <f t="shared" si="9"/>
        <v>6</v>
      </c>
      <c r="C81" s="595">
        <f t="shared" si="4"/>
        <v>4.561672043010752</v>
      </c>
      <c r="D81" s="596">
        <f t="shared" si="7"/>
        <v>4.7616516102941188E-4</v>
      </c>
      <c r="E81" s="596">
        <f t="shared" si="5"/>
        <v>4.5611958778497224</v>
      </c>
      <c r="S81">
        <v>0</v>
      </c>
    </row>
    <row r="82" spans="1:19">
      <c r="B82" s="615">
        <f t="shared" si="9"/>
        <v>7</v>
      </c>
      <c r="C82" s="595">
        <f t="shared" si="4"/>
        <v>4.561672043010752</v>
      </c>
      <c r="D82" s="596">
        <f t="shared" si="7"/>
        <v>58.907310808823532</v>
      </c>
      <c r="E82" s="596">
        <f t="shared" si="5"/>
        <v>0</v>
      </c>
      <c r="S82">
        <v>0</v>
      </c>
    </row>
    <row r="83" spans="1:19">
      <c r="B83" s="615">
        <f t="shared" si="9"/>
        <v>8</v>
      </c>
      <c r="C83" s="595">
        <f t="shared" si="4"/>
        <v>173.34353763440856</v>
      </c>
      <c r="D83" s="596">
        <f t="shared" si="7"/>
        <v>153.80986176470589</v>
      </c>
      <c r="E83" s="596">
        <f t="shared" si="5"/>
        <v>19.533675869702677</v>
      </c>
      <c r="S83">
        <v>1.2247000000000001E-4</v>
      </c>
    </row>
    <row r="84" spans="1:19">
      <c r="B84" s="615">
        <f t="shared" si="9"/>
        <v>9</v>
      </c>
      <c r="C84" s="595">
        <f t="shared" si="4"/>
        <v>173.34353763440856</v>
      </c>
      <c r="D84" s="596">
        <f t="shared" si="7"/>
        <v>243.09423147058828</v>
      </c>
      <c r="E84" s="596">
        <f t="shared" si="5"/>
        <v>0</v>
      </c>
      <c r="S84">
        <v>15.151</v>
      </c>
    </row>
    <row r="85" spans="1:19">
      <c r="B85" s="615">
        <f t="shared" si="9"/>
        <v>10</v>
      </c>
      <c r="C85" s="595">
        <f t="shared" si="4"/>
        <v>173.34353763440856</v>
      </c>
      <c r="D85" s="596">
        <f t="shared" si="7"/>
        <v>318.76666169117647</v>
      </c>
      <c r="E85" s="596">
        <f t="shared" si="5"/>
        <v>0</v>
      </c>
      <c r="S85">
        <v>39.56</v>
      </c>
    </row>
    <row r="86" spans="1:19">
      <c r="B86" s="615">
        <f t="shared" si="9"/>
        <v>11</v>
      </c>
      <c r="C86" s="595">
        <f t="shared" si="4"/>
        <v>173.34353763440856</v>
      </c>
      <c r="D86" s="596">
        <f t="shared" si="7"/>
        <v>369.19032441176478</v>
      </c>
      <c r="E86" s="596">
        <f t="shared" si="5"/>
        <v>0</v>
      </c>
      <c r="S86">
        <v>62.524000000000001</v>
      </c>
    </row>
    <row r="87" spans="1:19">
      <c r="A87" s="924" t="s">
        <v>989</v>
      </c>
      <c r="B87" s="615">
        <f t="shared" si="9"/>
        <v>12</v>
      </c>
      <c r="C87" s="595">
        <f t="shared" si="4"/>
        <v>173.34353763440856</v>
      </c>
      <c r="D87" s="596">
        <f t="shared" si="7"/>
        <v>391.71748161764714</v>
      </c>
      <c r="E87" s="596">
        <f t="shared" si="5"/>
        <v>0</v>
      </c>
      <c r="S87">
        <v>81.986999999999995</v>
      </c>
    </row>
    <row r="88" spans="1:19">
      <c r="B88" s="615">
        <f t="shared" si="9"/>
        <v>13</v>
      </c>
      <c r="C88" s="595">
        <f t="shared" si="4"/>
        <v>173.34353763440856</v>
      </c>
      <c r="D88" s="596">
        <f t="shared" si="7"/>
        <v>387.53397779411767</v>
      </c>
      <c r="E88" s="596">
        <f t="shared" si="5"/>
        <v>0</v>
      </c>
      <c r="S88">
        <v>94.956000000000003</v>
      </c>
    </row>
    <row r="89" spans="1:19">
      <c r="B89" s="615">
        <f t="shared" si="9"/>
        <v>14</v>
      </c>
      <c r="C89" s="595">
        <f t="shared" si="4"/>
        <v>173.34353763440856</v>
      </c>
      <c r="D89" s="596">
        <f t="shared" si="7"/>
        <v>355.7455695588236</v>
      </c>
      <c r="E89" s="596">
        <f t="shared" si="5"/>
        <v>0</v>
      </c>
      <c r="S89">
        <v>100.75</v>
      </c>
    </row>
    <row r="90" spans="1:19">
      <c r="B90" s="615">
        <f t="shared" si="9"/>
        <v>15</v>
      </c>
      <c r="C90" s="595">
        <f t="shared" si="4"/>
        <v>173.34353763440856</v>
      </c>
      <c r="D90" s="596">
        <f t="shared" si="7"/>
        <v>300.09641507352944</v>
      </c>
      <c r="E90" s="596">
        <f t="shared" si="5"/>
        <v>0</v>
      </c>
      <c r="S90">
        <v>99.674000000000007</v>
      </c>
    </row>
    <row r="91" spans="1:19">
      <c r="B91" s="615">
        <f t="shared" si="9"/>
        <v>16</v>
      </c>
      <c r="C91" s="595">
        <f t="shared" ref="C91:C122" si="10">IF(OR(B91&lt;$H$3*24,(B91&gt;($H$3*24)+$H$4)),$H$7,$H$6)</f>
        <v>173.34353763440856</v>
      </c>
      <c r="D91" s="596">
        <f t="shared" ref="D91:D122" si="11">$H$9/$S$4*S93*1.1</f>
        <v>224.87110654411768</v>
      </c>
      <c r="E91" s="596">
        <f t="shared" ref="E91:E154" si="12">IF(C91&gt;D91,C91-D91,0)</f>
        <v>0</v>
      </c>
      <c r="S91">
        <v>91.498000000000005</v>
      </c>
    </row>
    <row r="92" spans="1:19">
      <c r="B92" s="615">
        <f t="shared" si="9"/>
        <v>17</v>
      </c>
      <c r="C92" s="595">
        <f t="shared" si="10"/>
        <v>4.561672043010752</v>
      </c>
      <c r="D92" s="596">
        <f t="shared" si="11"/>
        <v>134.27258786764705</v>
      </c>
      <c r="E92" s="596">
        <f t="shared" si="12"/>
        <v>0</v>
      </c>
      <c r="S92">
        <v>77.185000000000002</v>
      </c>
    </row>
    <row r="93" spans="1:19">
      <c r="B93" s="615">
        <f t="shared" si="9"/>
        <v>18</v>
      </c>
      <c r="C93" s="595">
        <f t="shared" si="10"/>
        <v>4.561672043010752</v>
      </c>
      <c r="D93" s="596">
        <f t="shared" si="11"/>
        <v>50.380894558823535</v>
      </c>
      <c r="E93" s="596">
        <f t="shared" si="12"/>
        <v>0</v>
      </c>
      <c r="S93">
        <v>57.837000000000003</v>
      </c>
    </row>
    <row r="94" spans="1:19">
      <c r="B94" s="615">
        <f t="shared" si="9"/>
        <v>19</v>
      </c>
      <c r="C94" s="595">
        <f t="shared" si="10"/>
        <v>4.561672043010752</v>
      </c>
      <c r="D94" s="596">
        <f t="shared" si="11"/>
        <v>0</v>
      </c>
      <c r="E94" s="596">
        <f t="shared" si="12"/>
        <v>4.561672043010752</v>
      </c>
      <c r="S94">
        <v>34.534999999999997</v>
      </c>
    </row>
    <row r="95" spans="1:19">
      <c r="B95" s="615">
        <f t="shared" si="9"/>
        <v>20</v>
      </c>
      <c r="C95" s="595">
        <f t="shared" si="10"/>
        <v>4.561672043010752</v>
      </c>
      <c r="D95" s="596">
        <f t="shared" si="11"/>
        <v>0</v>
      </c>
      <c r="E95" s="596">
        <f t="shared" si="12"/>
        <v>4.561672043010752</v>
      </c>
      <c r="S95">
        <v>12.958</v>
      </c>
    </row>
    <row r="96" spans="1:19">
      <c r="B96" s="615">
        <f t="shared" si="9"/>
        <v>21</v>
      </c>
      <c r="C96" s="595">
        <f t="shared" si="10"/>
        <v>4.561672043010752</v>
      </c>
      <c r="D96" s="596">
        <f t="shared" si="11"/>
        <v>0</v>
      </c>
      <c r="E96" s="596">
        <f t="shared" si="12"/>
        <v>4.561672043010752</v>
      </c>
      <c r="S96">
        <v>0</v>
      </c>
    </row>
    <row r="97" spans="1:19">
      <c r="B97" s="615">
        <f t="shared" si="9"/>
        <v>22</v>
      </c>
      <c r="C97" s="595">
        <f t="shared" si="10"/>
        <v>4.561672043010752</v>
      </c>
      <c r="D97" s="596">
        <f t="shared" si="11"/>
        <v>0</v>
      </c>
      <c r="E97" s="596">
        <f t="shared" si="12"/>
        <v>4.561672043010752</v>
      </c>
      <c r="S97">
        <v>0</v>
      </c>
    </row>
    <row r="98" spans="1:19" ht="14" thickBot="1">
      <c r="B98" s="617">
        <f t="shared" si="9"/>
        <v>23</v>
      </c>
      <c r="C98" s="597">
        <f t="shared" si="10"/>
        <v>4.561672043010752</v>
      </c>
      <c r="D98" s="598">
        <f t="shared" si="11"/>
        <v>0</v>
      </c>
      <c r="E98" s="598">
        <f t="shared" si="12"/>
        <v>4.561672043010752</v>
      </c>
      <c r="S98">
        <v>0</v>
      </c>
    </row>
    <row r="99" spans="1:19">
      <c r="B99" s="615">
        <v>0</v>
      </c>
      <c r="C99" s="599">
        <f t="shared" si="10"/>
        <v>4.561672043010752</v>
      </c>
      <c r="D99" s="649">
        <f t="shared" si="11"/>
        <v>0</v>
      </c>
      <c r="E99" s="596">
        <f t="shared" si="12"/>
        <v>4.561672043010752</v>
      </c>
      <c r="S99">
        <v>0</v>
      </c>
    </row>
    <row r="100" spans="1:19">
      <c r="B100" s="615">
        <f>B99+1</f>
        <v>1</v>
      </c>
      <c r="C100" s="595">
        <f t="shared" si="10"/>
        <v>4.561672043010752</v>
      </c>
      <c r="D100" s="596">
        <f t="shared" si="11"/>
        <v>0</v>
      </c>
      <c r="E100" s="596">
        <f t="shared" si="12"/>
        <v>4.561672043010752</v>
      </c>
      <c r="S100">
        <v>0</v>
      </c>
    </row>
    <row r="101" spans="1:19">
      <c r="B101" s="615">
        <f t="shared" ref="B101:B122" si="13">B100+1</f>
        <v>2</v>
      </c>
      <c r="C101" s="595">
        <f t="shared" si="10"/>
        <v>4.561672043010752</v>
      </c>
      <c r="D101" s="596">
        <f t="shared" si="11"/>
        <v>0</v>
      </c>
      <c r="E101" s="596">
        <f t="shared" si="12"/>
        <v>4.561672043010752</v>
      </c>
      <c r="S101">
        <v>0</v>
      </c>
    </row>
    <row r="102" spans="1:19">
      <c r="B102" s="615">
        <f t="shared" si="13"/>
        <v>3</v>
      </c>
      <c r="C102" s="595">
        <f t="shared" si="10"/>
        <v>4.561672043010752</v>
      </c>
      <c r="D102" s="596">
        <f t="shared" si="11"/>
        <v>0</v>
      </c>
      <c r="E102" s="596">
        <f t="shared" si="12"/>
        <v>4.561672043010752</v>
      </c>
      <c r="S102">
        <v>0</v>
      </c>
    </row>
    <row r="103" spans="1:19">
      <c r="B103" s="615">
        <f t="shared" si="13"/>
        <v>4</v>
      </c>
      <c r="C103" s="595">
        <f t="shared" si="10"/>
        <v>4.561672043010752</v>
      </c>
      <c r="D103" s="596">
        <f t="shared" si="11"/>
        <v>0</v>
      </c>
      <c r="E103" s="596">
        <f t="shared" si="12"/>
        <v>4.561672043010752</v>
      </c>
      <c r="S103">
        <v>0</v>
      </c>
    </row>
    <row r="104" spans="1:19">
      <c r="B104" s="615">
        <f t="shared" si="13"/>
        <v>5</v>
      </c>
      <c r="C104" s="595">
        <f t="shared" si="10"/>
        <v>4.561672043010752</v>
      </c>
      <c r="D104" s="596">
        <f t="shared" si="11"/>
        <v>0</v>
      </c>
      <c r="E104" s="596">
        <f t="shared" si="12"/>
        <v>4.561672043010752</v>
      </c>
      <c r="S104">
        <v>0</v>
      </c>
    </row>
    <row r="105" spans="1:19">
      <c r="B105" s="615">
        <f t="shared" si="13"/>
        <v>6</v>
      </c>
      <c r="C105" s="595">
        <f t="shared" si="10"/>
        <v>4.561672043010752</v>
      </c>
      <c r="D105" s="596">
        <f t="shared" si="11"/>
        <v>4.7616516102941188E-4</v>
      </c>
      <c r="E105" s="596">
        <f t="shared" si="12"/>
        <v>4.5611958778497224</v>
      </c>
      <c r="S105">
        <v>0</v>
      </c>
    </row>
    <row r="106" spans="1:19">
      <c r="B106" s="615">
        <f t="shared" si="13"/>
        <v>7</v>
      </c>
      <c r="C106" s="595">
        <f t="shared" si="10"/>
        <v>4.561672043010752</v>
      </c>
      <c r="D106" s="596">
        <f t="shared" si="11"/>
        <v>58.907310808823532</v>
      </c>
      <c r="E106" s="596">
        <f t="shared" si="12"/>
        <v>0</v>
      </c>
      <c r="S106">
        <v>0</v>
      </c>
    </row>
    <row r="107" spans="1:19">
      <c r="B107" s="615">
        <f t="shared" si="13"/>
        <v>8</v>
      </c>
      <c r="C107" s="595">
        <f t="shared" si="10"/>
        <v>173.34353763440856</v>
      </c>
      <c r="D107" s="596">
        <f t="shared" si="11"/>
        <v>153.80986176470589</v>
      </c>
      <c r="E107" s="596">
        <f t="shared" si="12"/>
        <v>19.533675869702677</v>
      </c>
      <c r="S107">
        <v>1.2247000000000001E-4</v>
      </c>
    </row>
    <row r="108" spans="1:19">
      <c r="B108" s="615">
        <f t="shared" si="13"/>
        <v>9</v>
      </c>
      <c r="C108" s="595">
        <f t="shared" si="10"/>
        <v>173.34353763440856</v>
      </c>
      <c r="D108" s="596">
        <f t="shared" si="11"/>
        <v>243.09423147058828</v>
      </c>
      <c r="E108" s="596">
        <f t="shared" si="12"/>
        <v>0</v>
      </c>
      <c r="S108">
        <v>15.151</v>
      </c>
    </row>
    <row r="109" spans="1:19">
      <c r="B109" s="615">
        <f t="shared" si="13"/>
        <v>10</v>
      </c>
      <c r="C109" s="595">
        <f t="shared" si="10"/>
        <v>173.34353763440856</v>
      </c>
      <c r="D109" s="596">
        <f t="shared" si="11"/>
        <v>318.76666169117647</v>
      </c>
      <c r="E109" s="596">
        <f t="shared" si="12"/>
        <v>0</v>
      </c>
      <c r="S109">
        <v>39.56</v>
      </c>
    </row>
    <row r="110" spans="1:19">
      <c r="B110" s="615">
        <f t="shared" si="13"/>
        <v>11</v>
      </c>
      <c r="C110" s="595">
        <f t="shared" si="10"/>
        <v>173.34353763440856</v>
      </c>
      <c r="D110" s="596">
        <f t="shared" si="11"/>
        <v>369.19032441176478</v>
      </c>
      <c r="E110" s="596">
        <f t="shared" si="12"/>
        <v>0</v>
      </c>
      <c r="S110">
        <v>62.524000000000001</v>
      </c>
    </row>
    <row r="111" spans="1:19">
      <c r="A111" s="924" t="s">
        <v>990</v>
      </c>
      <c r="B111" s="615">
        <f t="shared" si="13"/>
        <v>12</v>
      </c>
      <c r="C111" s="595">
        <f t="shared" si="10"/>
        <v>173.34353763440856</v>
      </c>
      <c r="D111" s="596">
        <f t="shared" si="11"/>
        <v>391.71748161764714</v>
      </c>
      <c r="E111" s="596">
        <f t="shared" si="12"/>
        <v>0</v>
      </c>
      <c r="S111">
        <v>81.986999999999995</v>
      </c>
    </row>
    <row r="112" spans="1:19">
      <c r="B112" s="615">
        <f t="shared" si="13"/>
        <v>13</v>
      </c>
      <c r="C112" s="595">
        <f t="shared" si="10"/>
        <v>173.34353763440856</v>
      </c>
      <c r="D112" s="596">
        <f t="shared" si="11"/>
        <v>387.53397779411767</v>
      </c>
      <c r="E112" s="596">
        <f t="shared" si="12"/>
        <v>0</v>
      </c>
      <c r="S112">
        <v>94.956000000000003</v>
      </c>
    </row>
    <row r="113" spans="1:19">
      <c r="B113" s="615">
        <f t="shared" si="13"/>
        <v>14</v>
      </c>
      <c r="C113" s="595">
        <f t="shared" si="10"/>
        <v>173.34353763440856</v>
      </c>
      <c r="D113" s="596">
        <f t="shared" si="11"/>
        <v>355.7455695588236</v>
      </c>
      <c r="E113" s="596">
        <f t="shared" si="12"/>
        <v>0</v>
      </c>
      <c r="S113">
        <v>100.75</v>
      </c>
    </row>
    <row r="114" spans="1:19">
      <c r="B114" s="615">
        <f t="shared" si="13"/>
        <v>15</v>
      </c>
      <c r="C114" s="595">
        <f t="shared" si="10"/>
        <v>173.34353763440856</v>
      </c>
      <c r="D114" s="596">
        <f t="shared" si="11"/>
        <v>300.09641507352944</v>
      </c>
      <c r="E114" s="596">
        <f t="shared" si="12"/>
        <v>0</v>
      </c>
      <c r="S114">
        <v>99.674000000000007</v>
      </c>
    </row>
    <row r="115" spans="1:19">
      <c r="B115" s="615">
        <f t="shared" si="13"/>
        <v>16</v>
      </c>
      <c r="C115" s="595">
        <f t="shared" si="10"/>
        <v>173.34353763440856</v>
      </c>
      <c r="D115" s="596">
        <f t="shared" si="11"/>
        <v>224.87110654411768</v>
      </c>
      <c r="E115" s="596">
        <f t="shared" si="12"/>
        <v>0</v>
      </c>
      <c r="S115">
        <v>91.498000000000005</v>
      </c>
    </row>
    <row r="116" spans="1:19">
      <c r="B116" s="615">
        <f t="shared" si="13"/>
        <v>17</v>
      </c>
      <c r="C116" s="595">
        <f t="shared" si="10"/>
        <v>4.561672043010752</v>
      </c>
      <c r="D116" s="596">
        <f t="shared" si="11"/>
        <v>134.27258786764705</v>
      </c>
      <c r="E116" s="596">
        <f t="shared" si="12"/>
        <v>0</v>
      </c>
      <c r="S116">
        <v>77.185000000000002</v>
      </c>
    </row>
    <row r="117" spans="1:19">
      <c r="B117" s="615">
        <f t="shared" si="13"/>
        <v>18</v>
      </c>
      <c r="C117" s="595">
        <f t="shared" si="10"/>
        <v>4.561672043010752</v>
      </c>
      <c r="D117" s="596">
        <f t="shared" si="11"/>
        <v>50.380894558823535</v>
      </c>
      <c r="E117" s="596">
        <f t="shared" si="12"/>
        <v>0</v>
      </c>
      <c r="S117">
        <v>57.837000000000003</v>
      </c>
    </row>
    <row r="118" spans="1:19">
      <c r="B118" s="615">
        <f t="shared" si="13"/>
        <v>19</v>
      </c>
      <c r="C118" s="595">
        <f t="shared" si="10"/>
        <v>4.561672043010752</v>
      </c>
      <c r="D118" s="596">
        <f t="shared" si="11"/>
        <v>0</v>
      </c>
      <c r="E118" s="596">
        <f t="shared" si="12"/>
        <v>4.561672043010752</v>
      </c>
      <c r="S118">
        <v>34.534999999999997</v>
      </c>
    </row>
    <row r="119" spans="1:19">
      <c r="B119" s="615">
        <f t="shared" si="13"/>
        <v>20</v>
      </c>
      <c r="C119" s="595">
        <f t="shared" si="10"/>
        <v>4.561672043010752</v>
      </c>
      <c r="D119" s="596">
        <f t="shared" si="11"/>
        <v>0</v>
      </c>
      <c r="E119" s="596">
        <f t="shared" si="12"/>
        <v>4.561672043010752</v>
      </c>
      <c r="S119">
        <v>12.958</v>
      </c>
    </row>
    <row r="120" spans="1:19">
      <c r="B120" s="615">
        <f t="shared" si="13"/>
        <v>21</v>
      </c>
      <c r="C120" s="595">
        <f t="shared" si="10"/>
        <v>4.561672043010752</v>
      </c>
      <c r="D120" s="596">
        <f t="shared" si="11"/>
        <v>0</v>
      </c>
      <c r="E120" s="596">
        <f t="shared" si="12"/>
        <v>4.561672043010752</v>
      </c>
      <c r="S120">
        <v>0</v>
      </c>
    </row>
    <row r="121" spans="1:19">
      <c r="B121" s="615">
        <f t="shared" si="13"/>
        <v>22</v>
      </c>
      <c r="C121" s="595">
        <f t="shared" si="10"/>
        <v>4.561672043010752</v>
      </c>
      <c r="D121" s="596">
        <f t="shared" si="11"/>
        <v>0</v>
      </c>
      <c r="E121" s="596">
        <f t="shared" si="12"/>
        <v>4.561672043010752</v>
      </c>
      <c r="S121">
        <v>0</v>
      </c>
    </row>
    <row r="122" spans="1:19">
      <c r="B122" s="615">
        <f t="shared" si="13"/>
        <v>23</v>
      </c>
      <c r="C122" s="595">
        <f t="shared" si="10"/>
        <v>4.561672043010752</v>
      </c>
      <c r="D122" s="596">
        <f t="shared" si="11"/>
        <v>0</v>
      </c>
      <c r="E122" s="596">
        <f t="shared" si="12"/>
        <v>4.561672043010752</v>
      </c>
      <c r="S122">
        <v>0</v>
      </c>
    </row>
    <row r="123" spans="1:19">
      <c r="A123" s="1175"/>
      <c r="B123" s="14">
        <v>0</v>
      </c>
      <c r="C123" s="1176">
        <f>IF('Design Inputs'!$L$23="Y",'Consumption curve '!F123,0)</f>
        <v>4.561672043010752</v>
      </c>
      <c r="D123" s="1176">
        <f>IF('Design Inputs'!$L$23="Y",'Consumption curve '!G123,0)</f>
        <v>0</v>
      </c>
      <c r="E123" s="1176">
        <f>IF(C123&gt;D123,C123-D123,0)</f>
        <v>4.561672043010752</v>
      </c>
      <c r="F123" s="1176">
        <f>IF(OR(B123&lt;$H$3*24,(B123&gt;($H$3*24)+$H$4)),$H$7,$H$6)</f>
        <v>4.561672043010752</v>
      </c>
      <c r="G123" s="1177">
        <f>$H$9/$S$4*S125*1.1</f>
        <v>0</v>
      </c>
      <c r="S123">
        <v>0</v>
      </c>
    </row>
    <row r="124" spans="1:19">
      <c r="A124" s="1178"/>
      <c r="B124" s="6">
        <f>B123+1</f>
        <v>1</v>
      </c>
      <c r="C124" s="1174">
        <f>IF('Design Inputs'!$L$23="Y",'Consumption curve '!F124,0)</f>
        <v>4.561672043010752</v>
      </c>
      <c r="D124" s="1174">
        <f>IF('Design Inputs'!$L$23="Y",'Consumption curve '!G124,0)</f>
        <v>0</v>
      </c>
      <c r="E124" s="1174">
        <f t="shared" si="12"/>
        <v>4.561672043010752</v>
      </c>
      <c r="F124" s="1174">
        <f t="shared" ref="F124:F146" si="14">IF(OR(B124&lt;$H$3*24,(B124&gt;($H$3*24)+$H$4)),$H$7,$H$6)</f>
        <v>4.561672043010752</v>
      </c>
      <c r="G124" s="1179">
        <f t="shared" ref="G124:G146" si="15">$H$9/$S$4*S126*1.1</f>
        <v>0</v>
      </c>
      <c r="S124">
        <v>0</v>
      </c>
    </row>
    <row r="125" spans="1:19">
      <c r="A125" s="1178"/>
      <c r="B125" s="6">
        <f t="shared" ref="B125:B146" si="16">B124+1</f>
        <v>2</v>
      </c>
      <c r="C125" s="1174">
        <f>IF('Design Inputs'!$L$23="Y",'Consumption curve '!F125,0)</f>
        <v>4.561672043010752</v>
      </c>
      <c r="D125" s="1174">
        <f>IF('Design Inputs'!$L$23="Y",'Consumption curve '!G125,0)</f>
        <v>0</v>
      </c>
      <c r="E125" s="1174">
        <f t="shared" si="12"/>
        <v>4.561672043010752</v>
      </c>
      <c r="F125" s="1174">
        <f t="shared" si="14"/>
        <v>4.561672043010752</v>
      </c>
      <c r="G125" s="1179">
        <f t="shared" si="15"/>
        <v>0</v>
      </c>
      <c r="S125">
        <v>0</v>
      </c>
    </row>
    <row r="126" spans="1:19">
      <c r="A126" s="1178"/>
      <c r="B126" s="6">
        <f t="shared" si="16"/>
        <v>3</v>
      </c>
      <c r="C126" s="1174">
        <f>IF('Design Inputs'!$L$23="Y",'Consumption curve '!F126,0)</f>
        <v>4.561672043010752</v>
      </c>
      <c r="D126" s="1174">
        <f>IF('Design Inputs'!$L$23="Y",'Consumption curve '!G126,0)</f>
        <v>0</v>
      </c>
      <c r="E126" s="1174">
        <f t="shared" si="12"/>
        <v>4.561672043010752</v>
      </c>
      <c r="F126" s="1174">
        <f t="shared" si="14"/>
        <v>4.561672043010752</v>
      </c>
      <c r="G126" s="1179">
        <f t="shared" si="15"/>
        <v>0</v>
      </c>
      <c r="S126">
        <v>0</v>
      </c>
    </row>
    <row r="127" spans="1:19">
      <c r="A127" s="1178"/>
      <c r="B127" s="6">
        <f t="shared" si="16"/>
        <v>4</v>
      </c>
      <c r="C127" s="1174">
        <f>IF('Design Inputs'!$L$23="Y",'Consumption curve '!F127,0)</f>
        <v>4.561672043010752</v>
      </c>
      <c r="D127" s="1174">
        <f>IF('Design Inputs'!$L$23="Y",'Consumption curve '!G127,0)</f>
        <v>0</v>
      </c>
      <c r="E127" s="1174">
        <f t="shared" si="12"/>
        <v>4.561672043010752</v>
      </c>
      <c r="F127" s="1174">
        <f t="shared" si="14"/>
        <v>4.561672043010752</v>
      </c>
      <c r="G127" s="1179">
        <f t="shared" si="15"/>
        <v>0</v>
      </c>
      <c r="S127">
        <v>0</v>
      </c>
    </row>
    <row r="128" spans="1:19">
      <c r="A128" s="1178"/>
      <c r="B128" s="6">
        <f t="shared" si="16"/>
        <v>5</v>
      </c>
      <c r="C128" s="1174">
        <f>IF('Design Inputs'!$L$23="Y",'Consumption curve '!F128,0)</f>
        <v>4.561672043010752</v>
      </c>
      <c r="D128" s="1174">
        <f>IF('Design Inputs'!$L$23="Y",'Consumption curve '!G128,0)</f>
        <v>0</v>
      </c>
      <c r="E128" s="1174">
        <f t="shared" si="12"/>
        <v>4.561672043010752</v>
      </c>
      <c r="F128" s="1174">
        <f t="shared" si="14"/>
        <v>4.561672043010752</v>
      </c>
      <c r="G128" s="1179">
        <f t="shared" si="15"/>
        <v>0</v>
      </c>
      <c r="S128">
        <v>0</v>
      </c>
    </row>
    <row r="129" spans="1:19">
      <c r="A129" s="1178"/>
      <c r="B129" s="6">
        <f t="shared" si="16"/>
        <v>6</v>
      </c>
      <c r="C129" s="1174">
        <f>IF('Design Inputs'!$L$23="Y",'Consumption curve '!F129,0)</f>
        <v>4.561672043010752</v>
      </c>
      <c r="D129" s="1174">
        <f>IF('Design Inputs'!$L$23="Y",'Consumption curve '!G129,0)</f>
        <v>4.7616516102941188E-4</v>
      </c>
      <c r="E129" s="1174">
        <f t="shared" si="12"/>
        <v>4.5611958778497224</v>
      </c>
      <c r="F129" s="1174">
        <f t="shared" si="14"/>
        <v>4.561672043010752</v>
      </c>
      <c r="G129" s="1179">
        <f t="shared" si="15"/>
        <v>4.7616516102941188E-4</v>
      </c>
      <c r="S129">
        <v>0</v>
      </c>
    </row>
    <row r="130" spans="1:19">
      <c r="A130" s="1178"/>
      <c r="B130" s="6">
        <f t="shared" si="16"/>
        <v>7</v>
      </c>
      <c r="C130" s="1174">
        <f>IF('Design Inputs'!$L$23="Y",'Consumption curve '!F130,0)</f>
        <v>4.561672043010752</v>
      </c>
      <c r="D130" s="1174">
        <f>IF('Design Inputs'!$L$23="Y",'Consumption curve '!G130,0)</f>
        <v>58.907310808823532</v>
      </c>
      <c r="E130" s="1174">
        <f t="shared" si="12"/>
        <v>0</v>
      </c>
      <c r="F130" s="1174">
        <f t="shared" si="14"/>
        <v>4.561672043010752</v>
      </c>
      <c r="G130" s="1179">
        <f t="shared" si="15"/>
        <v>58.907310808823532</v>
      </c>
      <c r="S130">
        <v>0</v>
      </c>
    </row>
    <row r="131" spans="1:19">
      <c r="A131" s="1178"/>
      <c r="B131" s="6">
        <f t="shared" si="16"/>
        <v>8</v>
      </c>
      <c r="C131" s="1174">
        <f>IF('Design Inputs'!$L$23="Y",'Consumption curve '!F131,0)</f>
        <v>173.34353763440856</v>
      </c>
      <c r="D131" s="1174">
        <f>IF('Design Inputs'!$L$23="Y",'Consumption curve '!G131,0)</f>
        <v>153.80986176470589</v>
      </c>
      <c r="E131" s="1174">
        <f t="shared" si="12"/>
        <v>19.533675869702677</v>
      </c>
      <c r="F131" s="1174">
        <f t="shared" si="14"/>
        <v>173.34353763440856</v>
      </c>
      <c r="G131" s="1179">
        <f t="shared" si="15"/>
        <v>153.80986176470589</v>
      </c>
      <c r="S131">
        <v>1.2247000000000001E-4</v>
      </c>
    </row>
    <row r="132" spans="1:19">
      <c r="A132" s="1178"/>
      <c r="B132" s="6">
        <f t="shared" si="16"/>
        <v>9</v>
      </c>
      <c r="C132" s="1174">
        <f>IF('Design Inputs'!$L$23="Y",'Consumption curve '!F132,0)</f>
        <v>173.34353763440856</v>
      </c>
      <c r="D132" s="1174">
        <f>IF('Design Inputs'!$L$23="Y",'Consumption curve '!G132,0)</f>
        <v>243.09423147058828</v>
      </c>
      <c r="E132" s="1174">
        <f t="shared" si="12"/>
        <v>0</v>
      </c>
      <c r="F132" s="1174">
        <f t="shared" si="14"/>
        <v>173.34353763440856</v>
      </c>
      <c r="G132" s="1179">
        <f t="shared" si="15"/>
        <v>243.09423147058828</v>
      </c>
      <c r="S132">
        <v>15.151</v>
      </c>
    </row>
    <row r="133" spans="1:19">
      <c r="A133" s="1178"/>
      <c r="B133" s="6">
        <f t="shared" si="16"/>
        <v>10</v>
      </c>
      <c r="C133" s="1174">
        <f>IF('Design Inputs'!$L$23="Y",'Consumption curve '!F133,0)</f>
        <v>173.34353763440856</v>
      </c>
      <c r="D133" s="1174">
        <f>IF('Design Inputs'!$L$23="Y",'Consumption curve '!G133,0)</f>
        <v>318.76666169117647</v>
      </c>
      <c r="E133" s="1174">
        <f t="shared" si="12"/>
        <v>0</v>
      </c>
      <c r="F133" s="1174">
        <f t="shared" si="14"/>
        <v>173.34353763440856</v>
      </c>
      <c r="G133" s="1179">
        <f t="shared" si="15"/>
        <v>318.76666169117647</v>
      </c>
      <c r="S133">
        <v>39.56</v>
      </c>
    </row>
    <row r="134" spans="1:19">
      <c r="A134" s="1178"/>
      <c r="B134" s="6">
        <f t="shared" si="16"/>
        <v>11</v>
      </c>
      <c r="C134" s="1174">
        <f>IF('Design Inputs'!$L$23="Y",'Consumption curve '!F134,0)</f>
        <v>173.34353763440856</v>
      </c>
      <c r="D134" s="1174">
        <f>IF('Design Inputs'!$L$23="Y",'Consumption curve '!G134,0)</f>
        <v>369.19032441176478</v>
      </c>
      <c r="E134" s="1174">
        <f t="shared" si="12"/>
        <v>0</v>
      </c>
      <c r="F134" s="1174">
        <f t="shared" si="14"/>
        <v>173.34353763440856</v>
      </c>
      <c r="G134" s="1179">
        <f t="shared" si="15"/>
        <v>369.19032441176478</v>
      </c>
      <c r="S134">
        <v>62.524000000000001</v>
      </c>
    </row>
    <row r="135" spans="1:19">
      <c r="A135" s="1178" t="s">
        <v>991</v>
      </c>
      <c r="B135" s="6">
        <f t="shared" si="16"/>
        <v>12</v>
      </c>
      <c r="C135" s="1174">
        <f>IF('Design Inputs'!$L$23="Y",'Consumption curve '!F135,0)</f>
        <v>173.34353763440856</v>
      </c>
      <c r="D135" s="1174">
        <f>IF('Design Inputs'!$L$23="Y",'Consumption curve '!G135,0)</f>
        <v>391.71748161764714</v>
      </c>
      <c r="E135" s="1174">
        <f t="shared" si="12"/>
        <v>0</v>
      </c>
      <c r="F135" s="1174">
        <f t="shared" si="14"/>
        <v>173.34353763440856</v>
      </c>
      <c r="G135" s="1179">
        <f t="shared" si="15"/>
        <v>391.71748161764714</v>
      </c>
      <c r="S135">
        <v>81.986999999999995</v>
      </c>
    </row>
    <row r="136" spans="1:19">
      <c r="A136" s="1178"/>
      <c r="B136" s="6">
        <f t="shared" si="16"/>
        <v>13</v>
      </c>
      <c r="C136" s="1174">
        <f>IF('Design Inputs'!$L$23="Y",'Consumption curve '!F136,0)</f>
        <v>173.34353763440856</v>
      </c>
      <c r="D136" s="1174">
        <f>IF('Design Inputs'!$L$23="Y",'Consumption curve '!G136,0)</f>
        <v>387.53397779411767</v>
      </c>
      <c r="E136" s="1174">
        <f t="shared" si="12"/>
        <v>0</v>
      </c>
      <c r="F136" s="1174">
        <f t="shared" si="14"/>
        <v>173.34353763440856</v>
      </c>
      <c r="G136" s="1179">
        <f t="shared" si="15"/>
        <v>387.53397779411767</v>
      </c>
      <c r="S136">
        <v>94.956000000000003</v>
      </c>
    </row>
    <row r="137" spans="1:19">
      <c r="A137" s="1178"/>
      <c r="B137" s="6">
        <f t="shared" si="16"/>
        <v>14</v>
      </c>
      <c r="C137" s="1174">
        <f>IF('Design Inputs'!$L$23="Y",'Consumption curve '!F137,0)</f>
        <v>173.34353763440856</v>
      </c>
      <c r="D137" s="1174">
        <f>IF('Design Inputs'!$L$23="Y",'Consumption curve '!G137,0)</f>
        <v>355.7455695588236</v>
      </c>
      <c r="E137" s="1174">
        <f t="shared" si="12"/>
        <v>0</v>
      </c>
      <c r="F137" s="1174">
        <f t="shared" si="14"/>
        <v>173.34353763440856</v>
      </c>
      <c r="G137" s="1179">
        <f t="shared" si="15"/>
        <v>355.7455695588236</v>
      </c>
      <c r="S137">
        <v>100.75</v>
      </c>
    </row>
    <row r="138" spans="1:19">
      <c r="A138" s="1178"/>
      <c r="B138" s="6">
        <f t="shared" si="16"/>
        <v>15</v>
      </c>
      <c r="C138" s="1174">
        <f>IF('Design Inputs'!$L$23="Y",'Consumption curve '!F138,0)</f>
        <v>173.34353763440856</v>
      </c>
      <c r="D138" s="1174">
        <f>IF('Design Inputs'!$L$23="Y",'Consumption curve '!G138,0)</f>
        <v>300.09641507352944</v>
      </c>
      <c r="E138" s="1174">
        <f t="shared" si="12"/>
        <v>0</v>
      </c>
      <c r="F138" s="1174">
        <f t="shared" si="14"/>
        <v>173.34353763440856</v>
      </c>
      <c r="G138" s="1179">
        <f t="shared" si="15"/>
        <v>300.09641507352944</v>
      </c>
      <c r="S138">
        <v>99.674000000000007</v>
      </c>
    </row>
    <row r="139" spans="1:19">
      <c r="A139" s="1178"/>
      <c r="B139" s="6">
        <f t="shared" si="16"/>
        <v>16</v>
      </c>
      <c r="C139" s="1174">
        <f>IF('Design Inputs'!$L$23="Y",'Consumption curve '!F139,0)</f>
        <v>173.34353763440856</v>
      </c>
      <c r="D139" s="1174">
        <f>IF('Design Inputs'!$L$23="Y",'Consumption curve '!G139,0)</f>
        <v>224.87110654411768</v>
      </c>
      <c r="E139" s="1174">
        <f t="shared" si="12"/>
        <v>0</v>
      </c>
      <c r="F139" s="1174">
        <f t="shared" si="14"/>
        <v>173.34353763440856</v>
      </c>
      <c r="G139" s="1179">
        <f t="shared" si="15"/>
        <v>224.87110654411768</v>
      </c>
      <c r="S139">
        <v>91.498000000000005</v>
      </c>
    </row>
    <row r="140" spans="1:19">
      <c r="A140" s="1178"/>
      <c r="B140" s="6">
        <f t="shared" si="16"/>
        <v>17</v>
      </c>
      <c r="C140" s="1174">
        <f>IF('Design Inputs'!$L$23="Y",'Consumption curve '!F140,0)</f>
        <v>4.561672043010752</v>
      </c>
      <c r="D140" s="1174">
        <f>IF('Design Inputs'!$L$23="Y",'Consumption curve '!G140,0)</f>
        <v>134.27258786764705</v>
      </c>
      <c r="E140" s="1174">
        <f t="shared" si="12"/>
        <v>0</v>
      </c>
      <c r="F140" s="1174">
        <f t="shared" si="14"/>
        <v>4.561672043010752</v>
      </c>
      <c r="G140" s="1179">
        <f t="shared" si="15"/>
        <v>134.27258786764705</v>
      </c>
      <c r="S140">
        <v>77.185000000000002</v>
      </c>
    </row>
    <row r="141" spans="1:19">
      <c r="A141" s="1178"/>
      <c r="B141" s="6">
        <f t="shared" si="16"/>
        <v>18</v>
      </c>
      <c r="C141" s="1174">
        <f>IF('Design Inputs'!$L$23="Y",'Consumption curve '!F141,0)</f>
        <v>4.561672043010752</v>
      </c>
      <c r="D141" s="1174">
        <f>IF('Design Inputs'!$L$23="Y",'Consumption curve '!G141,0)</f>
        <v>50.380894558823535</v>
      </c>
      <c r="E141" s="1174">
        <f t="shared" si="12"/>
        <v>0</v>
      </c>
      <c r="F141" s="1174">
        <f t="shared" si="14"/>
        <v>4.561672043010752</v>
      </c>
      <c r="G141" s="1179">
        <f t="shared" si="15"/>
        <v>50.380894558823535</v>
      </c>
      <c r="S141">
        <v>57.837000000000003</v>
      </c>
    </row>
    <row r="142" spans="1:19">
      <c r="A142" s="1178"/>
      <c r="B142" s="6">
        <f t="shared" si="16"/>
        <v>19</v>
      </c>
      <c r="C142" s="1174">
        <f>IF('Design Inputs'!$L$23="Y",'Consumption curve '!F142,0)</f>
        <v>4.561672043010752</v>
      </c>
      <c r="D142" s="1174">
        <f>IF('Design Inputs'!$L$23="Y",'Consumption curve '!G142,0)</f>
        <v>0</v>
      </c>
      <c r="E142" s="1174">
        <f t="shared" si="12"/>
        <v>4.561672043010752</v>
      </c>
      <c r="F142" s="1174">
        <f t="shared" si="14"/>
        <v>4.561672043010752</v>
      </c>
      <c r="G142" s="1179">
        <f t="shared" si="15"/>
        <v>0</v>
      </c>
      <c r="S142">
        <v>34.534999999999997</v>
      </c>
    </row>
    <row r="143" spans="1:19">
      <c r="A143" s="1178"/>
      <c r="B143" s="6">
        <f t="shared" si="16"/>
        <v>20</v>
      </c>
      <c r="C143" s="1174">
        <f>IF('Design Inputs'!$L$23="Y",'Consumption curve '!F143,0)</f>
        <v>4.561672043010752</v>
      </c>
      <c r="D143" s="1174">
        <f>IF('Design Inputs'!$L$23="Y",'Consumption curve '!G143,0)</f>
        <v>0</v>
      </c>
      <c r="E143" s="1174">
        <f t="shared" si="12"/>
        <v>4.561672043010752</v>
      </c>
      <c r="F143" s="1174">
        <f t="shared" si="14"/>
        <v>4.561672043010752</v>
      </c>
      <c r="G143" s="1179">
        <f t="shared" si="15"/>
        <v>0</v>
      </c>
      <c r="S143">
        <v>12.958</v>
      </c>
    </row>
    <row r="144" spans="1:19">
      <c r="A144" s="1178"/>
      <c r="B144" s="6">
        <f t="shared" si="16"/>
        <v>21</v>
      </c>
      <c r="C144" s="1174">
        <f>IF('Design Inputs'!$L$23="Y",'Consumption curve '!F144,0)</f>
        <v>4.561672043010752</v>
      </c>
      <c r="D144" s="1174">
        <f>IF('Design Inputs'!$L$23="Y",'Consumption curve '!G144,0)</f>
        <v>0</v>
      </c>
      <c r="E144" s="1174">
        <f t="shared" si="12"/>
        <v>4.561672043010752</v>
      </c>
      <c r="F144" s="1174">
        <f t="shared" si="14"/>
        <v>4.561672043010752</v>
      </c>
      <c r="G144" s="1179">
        <f t="shared" si="15"/>
        <v>0</v>
      </c>
      <c r="S144">
        <v>0</v>
      </c>
    </row>
    <row r="145" spans="1:19">
      <c r="A145" s="1178"/>
      <c r="B145" s="6">
        <f t="shared" si="16"/>
        <v>22</v>
      </c>
      <c r="C145" s="1174">
        <f>IF('Design Inputs'!$L$23="Y",'Consumption curve '!F145,0)</f>
        <v>4.561672043010752</v>
      </c>
      <c r="D145" s="1174">
        <f>IF('Design Inputs'!$L$23="Y",'Consumption curve '!G145,0)</f>
        <v>0</v>
      </c>
      <c r="E145" s="1174">
        <f t="shared" si="12"/>
        <v>4.561672043010752</v>
      </c>
      <c r="F145" s="1174">
        <f t="shared" si="14"/>
        <v>4.561672043010752</v>
      </c>
      <c r="G145" s="1179">
        <f t="shared" si="15"/>
        <v>0</v>
      </c>
      <c r="S145">
        <v>0</v>
      </c>
    </row>
    <row r="146" spans="1:19">
      <c r="A146" s="1180"/>
      <c r="B146" s="12">
        <f t="shared" si="16"/>
        <v>23</v>
      </c>
      <c r="C146" s="1181">
        <f>IF('Design Inputs'!$L$23="Y",'Consumption curve '!F146,0)</f>
        <v>4.561672043010752</v>
      </c>
      <c r="D146" s="1181">
        <f>IF('Design Inputs'!$L$23="Y",'Consumption curve '!G146,0)</f>
        <v>0</v>
      </c>
      <c r="E146" s="1181">
        <f t="shared" si="12"/>
        <v>4.561672043010752</v>
      </c>
      <c r="F146" s="1181">
        <f t="shared" si="14"/>
        <v>4.561672043010752</v>
      </c>
      <c r="G146" s="1182">
        <f t="shared" si="15"/>
        <v>0</v>
      </c>
      <c r="S146">
        <v>0</v>
      </c>
    </row>
    <row r="147" spans="1:19">
      <c r="A147" s="1175"/>
      <c r="B147" s="14">
        <v>0</v>
      </c>
      <c r="C147" s="1176">
        <f>IF('Design Inputs'!$L$24="Y",'Consumption curve '!F147,0)</f>
        <v>4.561672043010752</v>
      </c>
      <c r="D147" s="1176">
        <f>IF('Design Inputs'!$L$24="Y",'Consumption curve '!G147,0)</f>
        <v>0</v>
      </c>
      <c r="E147" s="1176">
        <f t="shared" si="12"/>
        <v>4.561672043010752</v>
      </c>
      <c r="F147" s="1176">
        <f>IF(OR(B147&lt;$H$3*24,(B147&gt;($H$3*24)+$H$4)),$H$7,$H$6)</f>
        <v>4.561672043010752</v>
      </c>
      <c r="G147" s="1177">
        <f>$H$9/$S$4*S149*1.1</f>
        <v>0</v>
      </c>
      <c r="S147">
        <v>0</v>
      </c>
    </row>
    <row r="148" spans="1:19">
      <c r="A148" s="1178"/>
      <c r="B148" s="6">
        <f>B147+1</f>
        <v>1</v>
      </c>
      <c r="C148" s="1174">
        <f>IF('Design Inputs'!$L$24="Y",'Consumption curve '!F148,0)</f>
        <v>4.561672043010752</v>
      </c>
      <c r="D148" s="1174">
        <f>IF('Design Inputs'!$L$24="Y",'Consumption curve '!G148,0)</f>
        <v>0</v>
      </c>
      <c r="E148" s="1174">
        <f t="shared" si="12"/>
        <v>4.561672043010752</v>
      </c>
      <c r="F148" s="1174">
        <f t="shared" ref="F148:F170" si="17">IF(OR(B148&lt;$H$3*24,(B148&gt;($H$3*24)+$H$4)),$H$7,$H$6)</f>
        <v>4.561672043010752</v>
      </c>
      <c r="G148" s="1179">
        <f t="shared" ref="G148:G170" si="18">$H$9/$S$4*S150*1.1</f>
        <v>0</v>
      </c>
      <c r="S148">
        <v>0</v>
      </c>
    </row>
    <row r="149" spans="1:19">
      <c r="A149" s="1178"/>
      <c r="B149" s="6">
        <f t="shared" ref="B149:B170" si="19">B148+1</f>
        <v>2</v>
      </c>
      <c r="C149" s="1174">
        <f>IF('Design Inputs'!$L$24="Y",'Consumption curve '!F149,0)</f>
        <v>4.561672043010752</v>
      </c>
      <c r="D149" s="1174">
        <f>IF('Design Inputs'!$L$24="Y",'Consumption curve '!G149,0)</f>
        <v>0</v>
      </c>
      <c r="E149" s="1174">
        <f t="shared" si="12"/>
        <v>4.561672043010752</v>
      </c>
      <c r="F149" s="1174">
        <f t="shared" si="17"/>
        <v>4.561672043010752</v>
      </c>
      <c r="G149" s="1179">
        <f t="shared" si="18"/>
        <v>0</v>
      </c>
      <c r="S149">
        <v>0</v>
      </c>
    </row>
    <row r="150" spans="1:19">
      <c r="A150" s="1178"/>
      <c r="B150" s="6">
        <f t="shared" si="19"/>
        <v>3</v>
      </c>
      <c r="C150" s="1174">
        <f>IF('Design Inputs'!$L$24="Y",'Consumption curve '!F150,0)</f>
        <v>4.561672043010752</v>
      </c>
      <c r="D150" s="1174">
        <f>IF('Design Inputs'!$L$24="Y",'Consumption curve '!G150,0)</f>
        <v>0</v>
      </c>
      <c r="E150" s="1174">
        <f t="shared" si="12"/>
        <v>4.561672043010752</v>
      </c>
      <c r="F150" s="1174">
        <f t="shared" si="17"/>
        <v>4.561672043010752</v>
      </c>
      <c r="G150" s="1179">
        <f t="shared" si="18"/>
        <v>0</v>
      </c>
      <c r="S150">
        <v>0</v>
      </c>
    </row>
    <row r="151" spans="1:19">
      <c r="A151" s="1178"/>
      <c r="B151" s="6">
        <f t="shared" si="19"/>
        <v>4</v>
      </c>
      <c r="C151" s="1174">
        <f>IF('Design Inputs'!$L$24="Y",'Consumption curve '!F151,0)</f>
        <v>4.561672043010752</v>
      </c>
      <c r="D151" s="1174">
        <f>IF('Design Inputs'!$L$24="Y",'Consumption curve '!G151,0)</f>
        <v>0</v>
      </c>
      <c r="E151" s="1174">
        <f t="shared" si="12"/>
        <v>4.561672043010752</v>
      </c>
      <c r="F151" s="1174">
        <f t="shared" si="17"/>
        <v>4.561672043010752</v>
      </c>
      <c r="G151" s="1179">
        <f t="shared" si="18"/>
        <v>0</v>
      </c>
      <c r="S151">
        <v>0</v>
      </c>
    </row>
    <row r="152" spans="1:19">
      <c r="A152" s="1178"/>
      <c r="B152" s="6">
        <f t="shared" si="19"/>
        <v>5</v>
      </c>
      <c r="C152" s="1174">
        <f>IF('Design Inputs'!$L$24="Y",'Consumption curve '!F152,0)</f>
        <v>4.561672043010752</v>
      </c>
      <c r="D152" s="1174">
        <f>IF('Design Inputs'!$L$24="Y",'Consumption curve '!G152,0)</f>
        <v>0</v>
      </c>
      <c r="E152" s="1174">
        <f t="shared" si="12"/>
        <v>4.561672043010752</v>
      </c>
      <c r="F152" s="1174">
        <f t="shared" si="17"/>
        <v>4.561672043010752</v>
      </c>
      <c r="G152" s="1179">
        <f t="shared" si="18"/>
        <v>0</v>
      </c>
      <c r="S152">
        <v>0</v>
      </c>
    </row>
    <row r="153" spans="1:19">
      <c r="A153" s="1178"/>
      <c r="B153" s="6">
        <f t="shared" si="19"/>
        <v>6</v>
      </c>
      <c r="C153" s="1174">
        <f>IF('Design Inputs'!$L$24="Y",'Consumption curve '!F153,0)</f>
        <v>4.561672043010752</v>
      </c>
      <c r="D153" s="1174">
        <f>IF('Design Inputs'!$L$24="Y",'Consumption curve '!G153,0)</f>
        <v>4.7616516102941188E-4</v>
      </c>
      <c r="E153" s="1174">
        <f t="shared" si="12"/>
        <v>4.5611958778497224</v>
      </c>
      <c r="F153" s="1174">
        <f t="shared" si="17"/>
        <v>4.561672043010752</v>
      </c>
      <c r="G153" s="1179">
        <f t="shared" si="18"/>
        <v>4.7616516102941188E-4</v>
      </c>
      <c r="S153">
        <v>0</v>
      </c>
    </row>
    <row r="154" spans="1:19">
      <c r="A154" s="1178"/>
      <c r="B154" s="6">
        <f t="shared" si="19"/>
        <v>7</v>
      </c>
      <c r="C154" s="1174">
        <f>IF('Design Inputs'!$L$24="Y",'Consumption curve '!F154,0)</f>
        <v>4.561672043010752</v>
      </c>
      <c r="D154" s="1174">
        <f>IF('Design Inputs'!$L$24="Y",'Consumption curve '!G154,0)</f>
        <v>58.907310808823532</v>
      </c>
      <c r="E154" s="1174">
        <f t="shared" si="12"/>
        <v>0</v>
      </c>
      <c r="F154" s="1174">
        <f t="shared" si="17"/>
        <v>4.561672043010752</v>
      </c>
      <c r="G154" s="1179">
        <f t="shared" si="18"/>
        <v>58.907310808823532</v>
      </c>
      <c r="S154">
        <v>0</v>
      </c>
    </row>
    <row r="155" spans="1:19">
      <c r="A155" s="1178"/>
      <c r="B155" s="6">
        <f t="shared" si="19"/>
        <v>8</v>
      </c>
      <c r="C155" s="1174">
        <f>IF('Design Inputs'!$L$24="Y",'Consumption curve '!F155,0)</f>
        <v>173.34353763440856</v>
      </c>
      <c r="D155" s="1174">
        <f>IF('Design Inputs'!$L$24="Y",'Consumption curve '!G155,0)</f>
        <v>153.80986176470589</v>
      </c>
      <c r="E155" s="1174">
        <f t="shared" ref="E155:E170" si="20">IF(C155&gt;D155,C155-D155,0)</f>
        <v>19.533675869702677</v>
      </c>
      <c r="F155" s="1174">
        <f t="shared" si="17"/>
        <v>173.34353763440856</v>
      </c>
      <c r="G155" s="1179">
        <f t="shared" si="18"/>
        <v>153.80986176470589</v>
      </c>
      <c r="S155">
        <v>1.2247000000000001E-4</v>
      </c>
    </row>
    <row r="156" spans="1:19">
      <c r="A156" s="1178"/>
      <c r="B156" s="6">
        <f t="shared" si="19"/>
        <v>9</v>
      </c>
      <c r="C156" s="1174">
        <f>IF('Design Inputs'!$L$24="Y",'Consumption curve '!F156,0)</f>
        <v>173.34353763440856</v>
      </c>
      <c r="D156" s="1174">
        <f>IF('Design Inputs'!$L$24="Y",'Consumption curve '!G156,0)</f>
        <v>243.09423147058828</v>
      </c>
      <c r="E156" s="1174">
        <f t="shared" si="20"/>
        <v>0</v>
      </c>
      <c r="F156" s="1174">
        <f t="shared" si="17"/>
        <v>173.34353763440856</v>
      </c>
      <c r="G156" s="1179">
        <f t="shared" si="18"/>
        <v>243.09423147058828</v>
      </c>
      <c r="S156">
        <v>15.151</v>
      </c>
    </row>
    <row r="157" spans="1:19">
      <c r="A157" s="1178"/>
      <c r="B157" s="6">
        <f t="shared" si="19"/>
        <v>10</v>
      </c>
      <c r="C157" s="1174">
        <f>IF('Design Inputs'!$L$24="Y",'Consumption curve '!F157,0)</f>
        <v>173.34353763440856</v>
      </c>
      <c r="D157" s="1174">
        <f>IF('Design Inputs'!$L$24="Y",'Consumption curve '!G157,0)</f>
        <v>318.76666169117647</v>
      </c>
      <c r="E157" s="1174">
        <f t="shared" si="20"/>
        <v>0</v>
      </c>
      <c r="F157" s="1174">
        <f t="shared" si="17"/>
        <v>173.34353763440856</v>
      </c>
      <c r="G157" s="1179">
        <f t="shared" si="18"/>
        <v>318.76666169117647</v>
      </c>
      <c r="S157">
        <v>39.56</v>
      </c>
    </row>
    <row r="158" spans="1:19">
      <c r="A158" s="1178"/>
      <c r="B158" s="6">
        <f t="shared" si="19"/>
        <v>11</v>
      </c>
      <c r="C158" s="1174">
        <f>IF('Design Inputs'!$L$24="Y",'Consumption curve '!F158,0)</f>
        <v>173.34353763440856</v>
      </c>
      <c r="D158" s="1174">
        <f>IF('Design Inputs'!$L$24="Y",'Consumption curve '!G158,0)</f>
        <v>369.19032441176478</v>
      </c>
      <c r="E158" s="1174">
        <f t="shared" si="20"/>
        <v>0</v>
      </c>
      <c r="F158" s="1174">
        <f t="shared" si="17"/>
        <v>173.34353763440856</v>
      </c>
      <c r="G158" s="1179">
        <f t="shared" si="18"/>
        <v>369.19032441176478</v>
      </c>
      <c r="S158">
        <v>62.524000000000001</v>
      </c>
    </row>
    <row r="159" spans="1:19">
      <c r="A159" s="1178" t="s">
        <v>992</v>
      </c>
      <c r="B159" s="6">
        <f t="shared" si="19"/>
        <v>12</v>
      </c>
      <c r="C159" s="1174">
        <f>IF('Design Inputs'!$L$24="Y",'Consumption curve '!F159,0)</f>
        <v>173.34353763440856</v>
      </c>
      <c r="D159" s="1174">
        <f>IF('Design Inputs'!$L$24="Y",'Consumption curve '!G159,0)</f>
        <v>391.71748161764714</v>
      </c>
      <c r="E159" s="1174">
        <f t="shared" si="20"/>
        <v>0</v>
      </c>
      <c r="F159" s="1174">
        <f t="shared" si="17"/>
        <v>173.34353763440856</v>
      </c>
      <c r="G159" s="1179">
        <f t="shared" si="18"/>
        <v>391.71748161764714</v>
      </c>
      <c r="S159">
        <v>81.986999999999995</v>
      </c>
    </row>
    <row r="160" spans="1:19">
      <c r="A160" s="1178"/>
      <c r="B160" s="6">
        <f t="shared" si="19"/>
        <v>13</v>
      </c>
      <c r="C160" s="1174">
        <f>IF('Design Inputs'!$L$24="Y",'Consumption curve '!F160,0)</f>
        <v>173.34353763440856</v>
      </c>
      <c r="D160" s="1174">
        <f>IF('Design Inputs'!$L$24="Y",'Consumption curve '!G160,0)</f>
        <v>387.53397779411767</v>
      </c>
      <c r="E160" s="1174">
        <f t="shared" si="20"/>
        <v>0</v>
      </c>
      <c r="F160" s="1174">
        <f t="shared" si="17"/>
        <v>173.34353763440856</v>
      </c>
      <c r="G160" s="1179">
        <f t="shared" si="18"/>
        <v>387.53397779411767</v>
      </c>
      <c r="S160">
        <v>94.956000000000003</v>
      </c>
    </row>
    <row r="161" spans="1:19">
      <c r="A161" s="1178"/>
      <c r="B161" s="6">
        <f t="shared" si="19"/>
        <v>14</v>
      </c>
      <c r="C161" s="1174">
        <f>IF('Design Inputs'!$L$24="Y",'Consumption curve '!F161,0)</f>
        <v>173.34353763440856</v>
      </c>
      <c r="D161" s="1174">
        <f>IF('Design Inputs'!$L$24="Y",'Consumption curve '!G161,0)</f>
        <v>355.7455695588236</v>
      </c>
      <c r="E161" s="1174">
        <f t="shared" si="20"/>
        <v>0</v>
      </c>
      <c r="F161" s="1174">
        <f t="shared" si="17"/>
        <v>173.34353763440856</v>
      </c>
      <c r="G161" s="1179">
        <f t="shared" si="18"/>
        <v>355.7455695588236</v>
      </c>
      <c r="S161">
        <v>100.75</v>
      </c>
    </row>
    <row r="162" spans="1:19">
      <c r="A162" s="1178"/>
      <c r="B162" s="6">
        <f t="shared" si="19"/>
        <v>15</v>
      </c>
      <c r="C162" s="1174">
        <f>IF('Design Inputs'!$L$24="Y",'Consumption curve '!F162,0)</f>
        <v>173.34353763440856</v>
      </c>
      <c r="D162" s="1174">
        <f>IF('Design Inputs'!$L$24="Y",'Consumption curve '!G162,0)</f>
        <v>300.09641507352944</v>
      </c>
      <c r="E162" s="1174">
        <f t="shared" si="20"/>
        <v>0</v>
      </c>
      <c r="F162" s="1174">
        <f t="shared" si="17"/>
        <v>173.34353763440856</v>
      </c>
      <c r="G162" s="1179">
        <f t="shared" si="18"/>
        <v>300.09641507352944</v>
      </c>
      <c r="S162">
        <v>99.674000000000007</v>
      </c>
    </row>
    <row r="163" spans="1:19">
      <c r="A163" s="1178"/>
      <c r="B163" s="6">
        <f t="shared" si="19"/>
        <v>16</v>
      </c>
      <c r="C163" s="1174">
        <f>IF('Design Inputs'!$L$24="Y",'Consumption curve '!F163,0)</f>
        <v>173.34353763440856</v>
      </c>
      <c r="D163" s="1174">
        <f>IF('Design Inputs'!$L$24="Y",'Consumption curve '!G163,0)</f>
        <v>224.87110654411768</v>
      </c>
      <c r="E163" s="1174">
        <f t="shared" si="20"/>
        <v>0</v>
      </c>
      <c r="F163" s="1174">
        <f t="shared" si="17"/>
        <v>173.34353763440856</v>
      </c>
      <c r="G163" s="1179">
        <f t="shared" si="18"/>
        <v>224.87110654411768</v>
      </c>
      <c r="S163">
        <v>91.498000000000005</v>
      </c>
    </row>
    <row r="164" spans="1:19">
      <c r="A164" s="1178"/>
      <c r="B164" s="6">
        <f t="shared" si="19"/>
        <v>17</v>
      </c>
      <c r="C164" s="1174">
        <f>IF('Design Inputs'!$L$24="Y",'Consumption curve '!F164,0)</f>
        <v>4.561672043010752</v>
      </c>
      <c r="D164" s="1174">
        <f>IF('Design Inputs'!$L$24="Y",'Consumption curve '!G164,0)</f>
        <v>134.27258786764705</v>
      </c>
      <c r="E164" s="1174">
        <f t="shared" si="20"/>
        <v>0</v>
      </c>
      <c r="F164" s="1174">
        <f t="shared" si="17"/>
        <v>4.561672043010752</v>
      </c>
      <c r="G164" s="1179">
        <f t="shared" si="18"/>
        <v>134.27258786764705</v>
      </c>
      <c r="S164">
        <v>77.185000000000002</v>
      </c>
    </row>
    <row r="165" spans="1:19">
      <c r="A165" s="1178"/>
      <c r="B165" s="6">
        <f t="shared" si="19"/>
        <v>18</v>
      </c>
      <c r="C165" s="1174">
        <f>IF('Design Inputs'!$L$24="Y",'Consumption curve '!F165,0)</f>
        <v>4.561672043010752</v>
      </c>
      <c r="D165" s="1174">
        <f>IF('Design Inputs'!$L$24="Y",'Consumption curve '!G165,0)</f>
        <v>50.380894558823535</v>
      </c>
      <c r="E165" s="1174">
        <f t="shared" si="20"/>
        <v>0</v>
      </c>
      <c r="F165" s="1174">
        <f t="shared" si="17"/>
        <v>4.561672043010752</v>
      </c>
      <c r="G165" s="1179">
        <f t="shared" si="18"/>
        <v>50.380894558823535</v>
      </c>
      <c r="S165">
        <v>57.837000000000003</v>
      </c>
    </row>
    <row r="166" spans="1:19">
      <c r="A166" s="1178"/>
      <c r="B166" s="6">
        <f t="shared" si="19"/>
        <v>19</v>
      </c>
      <c r="C166" s="1174">
        <f>IF('Design Inputs'!$L$24="Y",'Consumption curve '!F166,0)</f>
        <v>4.561672043010752</v>
      </c>
      <c r="D166" s="1174">
        <f>IF('Design Inputs'!$L$24="Y",'Consumption curve '!G166,0)</f>
        <v>0</v>
      </c>
      <c r="E166" s="1174">
        <f t="shared" si="20"/>
        <v>4.561672043010752</v>
      </c>
      <c r="F166" s="1174">
        <f t="shared" si="17"/>
        <v>4.561672043010752</v>
      </c>
      <c r="G166" s="1179">
        <f t="shared" si="18"/>
        <v>0</v>
      </c>
      <c r="S166">
        <v>34.534999999999997</v>
      </c>
    </row>
    <row r="167" spans="1:19">
      <c r="A167" s="1178"/>
      <c r="B167" s="6">
        <f t="shared" si="19"/>
        <v>20</v>
      </c>
      <c r="C167" s="1174">
        <f>IF('Design Inputs'!$L$24="Y",'Consumption curve '!F167,0)</f>
        <v>4.561672043010752</v>
      </c>
      <c r="D167" s="1174">
        <f>IF('Design Inputs'!$L$24="Y",'Consumption curve '!G167,0)</f>
        <v>0</v>
      </c>
      <c r="E167" s="1174">
        <f t="shared" si="20"/>
        <v>4.561672043010752</v>
      </c>
      <c r="F167" s="1174">
        <f t="shared" si="17"/>
        <v>4.561672043010752</v>
      </c>
      <c r="G167" s="1179">
        <f t="shared" si="18"/>
        <v>0</v>
      </c>
      <c r="S167">
        <v>12.958</v>
      </c>
    </row>
    <row r="168" spans="1:19">
      <c r="A168" s="1178"/>
      <c r="B168" s="6">
        <f t="shared" si="19"/>
        <v>21</v>
      </c>
      <c r="C168" s="1174">
        <f>IF('Design Inputs'!$L$24="Y",'Consumption curve '!F168,0)</f>
        <v>4.561672043010752</v>
      </c>
      <c r="D168" s="1174">
        <f>IF('Design Inputs'!$L$24="Y",'Consumption curve '!G168,0)</f>
        <v>0</v>
      </c>
      <c r="E168" s="1174">
        <f t="shared" si="20"/>
        <v>4.561672043010752</v>
      </c>
      <c r="F168" s="1174">
        <f t="shared" si="17"/>
        <v>4.561672043010752</v>
      </c>
      <c r="G168" s="1179">
        <f t="shared" si="18"/>
        <v>0</v>
      </c>
      <c r="S168">
        <v>0</v>
      </c>
    </row>
    <row r="169" spans="1:19">
      <c r="A169" s="1178"/>
      <c r="B169" s="6">
        <f t="shared" si="19"/>
        <v>22</v>
      </c>
      <c r="C169" s="1174">
        <f>IF('Design Inputs'!$L$24="Y",'Consumption curve '!F169,0)</f>
        <v>4.561672043010752</v>
      </c>
      <c r="D169" s="1174">
        <f>IF('Design Inputs'!$L$24="Y",'Consumption curve '!G169,0)</f>
        <v>0</v>
      </c>
      <c r="E169" s="1174">
        <f t="shared" si="20"/>
        <v>4.561672043010752</v>
      </c>
      <c r="F169" s="1174">
        <f t="shared" si="17"/>
        <v>4.561672043010752</v>
      </c>
      <c r="G169" s="1179">
        <f t="shared" si="18"/>
        <v>0</v>
      </c>
      <c r="S169">
        <v>0</v>
      </c>
    </row>
    <row r="170" spans="1:19">
      <c r="A170" s="1180"/>
      <c r="B170" s="12">
        <f t="shared" si="19"/>
        <v>23</v>
      </c>
      <c r="C170" s="1181">
        <f>IF('Design Inputs'!$L$24="Y",'Consumption curve '!F170,0)</f>
        <v>4.561672043010752</v>
      </c>
      <c r="D170" s="1181">
        <f>IF('Design Inputs'!$L$24="Y",'Consumption curve '!G170,0)</f>
        <v>0</v>
      </c>
      <c r="E170" s="1181">
        <f t="shared" si="20"/>
        <v>4.561672043010752</v>
      </c>
      <c r="F170" s="1181">
        <f t="shared" si="17"/>
        <v>4.561672043010752</v>
      </c>
      <c r="G170" s="1182">
        <f t="shared" si="18"/>
        <v>0</v>
      </c>
      <c r="S170">
        <v>0</v>
      </c>
    </row>
    <row r="171" spans="1:19">
      <c r="S171">
        <v>0</v>
      </c>
    </row>
    <row r="172" spans="1:19">
      <c r="S172">
        <v>0</v>
      </c>
    </row>
  </sheetData>
  <mergeCells count="7">
    <mergeCell ref="B1:B2"/>
    <mergeCell ref="C1:C2"/>
    <mergeCell ref="D1:D2"/>
    <mergeCell ref="E1:E2"/>
    <mergeCell ref="I2:I9"/>
    <mergeCell ref="G7:G8"/>
    <mergeCell ref="H7:H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00906cc2a3efb2f9ddef8bd232cdef57">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546af0b76d1733290165f234976623f9"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DCBC58A-C66B-419B-886C-5EF258D6F2B5}">
  <ds:schemaRefs>
    <ds:schemaRef ds:uri="http://schemas.microsoft.com/sharepoint/v3/contenttype/forms"/>
  </ds:schemaRefs>
</ds:datastoreItem>
</file>

<file path=customXml/itemProps2.xml><?xml version="1.0" encoding="utf-8"?>
<ds:datastoreItem xmlns:ds="http://schemas.openxmlformats.org/officeDocument/2006/customXml" ds:itemID="{03679E08-A620-4688-A486-CA83CA158292}">
  <ds:schemaRefs>
    <ds:schemaRef ds:uri="9acfecf2-4047-4d7b-9ec8-592b51a52bf7"/>
    <ds:schemaRef ds:uri="http://www.w3.org/XML/1998/namespace"/>
    <ds:schemaRef ds:uri="http://schemas.microsoft.com/office/2006/documentManagement/types"/>
    <ds:schemaRef ds:uri="http://purl.org/dc/terms/"/>
    <ds:schemaRef ds:uri="http://schemas.openxmlformats.org/package/2006/metadata/core-properties"/>
    <ds:schemaRef ds:uri="http://schemas.microsoft.com/office/2006/metadata/properties"/>
    <ds:schemaRef ds:uri="http://schemas.microsoft.com/office/infopath/2007/PartnerControls"/>
    <ds:schemaRef ds:uri="ab964f2b-203c-4425-a556-91316bb05fea"/>
    <ds:schemaRef ds:uri="http://purl.org/dc/dcmitype/"/>
    <ds:schemaRef ds:uri="http://purl.org/dc/elements/1.1/"/>
  </ds:schemaRefs>
</ds:datastoreItem>
</file>

<file path=customXml/itemProps3.xml><?xml version="1.0" encoding="utf-8"?>
<ds:datastoreItem xmlns:ds="http://schemas.openxmlformats.org/officeDocument/2006/customXml" ds:itemID="{A238A826-D2F1-4AE7-B6ED-DAC6AFF9E75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21</vt:i4>
      </vt:variant>
      <vt:variant>
        <vt:lpstr>Named Ranges</vt:lpstr>
      </vt:variant>
      <vt:variant>
        <vt:i4>152</vt:i4>
      </vt:variant>
    </vt:vector>
  </HeadingPairs>
  <TitlesOfParts>
    <vt:vector size="173" baseType="lpstr">
      <vt:lpstr>Design Inputs</vt:lpstr>
      <vt:lpstr>Costing Inputs</vt:lpstr>
      <vt:lpstr>Cost Detail</vt:lpstr>
      <vt:lpstr>Cost Summary</vt:lpstr>
      <vt:lpstr>Fedgroup Model</vt:lpstr>
      <vt:lpstr>Fedgroup Amort</vt:lpstr>
      <vt:lpstr>Supplier database</vt:lpstr>
      <vt:lpstr>Financial Inputs</vt:lpstr>
      <vt:lpstr>Cashflows</vt:lpstr>
      <vt:lpstr>4.3 Emergent Data</vt:lpstr>
      <vt:lpstr>4.4 BESS Data</vt:lpstr>
      <vt:lpstr>Ref 1</vt:lpstr>
      <vt:lpstr>FA_Data</vt:lpstr>
      <vt:lpstr>CP_data</vt:lpstr>
      <vt:lpstr>2 Sizing</vt:lpstr>
      <vt:lpstr>2.1 Sizing Data</vt:lpstr>
      <vt:lpstr>CIC Pack Outputs</vt:lpstr>
      <vt:lpstr>Production Model</vt:lpstr>
      <vt:lpstr>PV Sim</vt:lpstr>
      <vt:lpstr>Updates</vt:lpstr>
      <vt:lpstr>Consumption curve </vt:lpstr>
      <vt:lpstr>'Ref 1'!_?from_ZAR_amount_1</vt:lpstr>
      <vt:lpstr>'CIC Pack Outputs'!_Hlk521435842</vt:lpstr>
      <vt:lpstr>'CIC Pack Outputs'!_Hlk521516401</vt:lpstr>
      <vt:lpstr>'CIC Pack Outputs'!_Hlk536200132</vt:lpstr>
      <vt:lpstr>AC_CT</vt:lpstr>
      <vt:lpstr>AC_Equipment_Budget</vt:lpstr>
      <vt:lpstr>AC_Equipment_Product</vt:lpstr>
      <vt:lpstr>AC_Installation_Services</vt:lpstr>
      <vt:lpstr>AC_Installer</vt:lpstr>
      <vt:lpstr>AC_PLC</vt:lpstr>
      <vt:lpstr>AC_Product</vt:lpstr>
      <vt:lpstr>AC_run</vt:lpstr>
      <vt:lpstr>AC_SA</vt:lpstr>
      <vt:lpstr>Battery_Size</vt:lpstr>
      <vt:lpstr>BatterySize</vt:lpstr>
      <vt:lpstr>BESS_Breaker</vt:lpstr>
      <vt:lpstr>BESS_Breaker_Rating</vt:lpstr>
      <vt:lpstr>BESS_BreakerRating</vt:lpstr>
      <vt:lpstr>Cable_cost</vt:lpstr>
      <vt:lpstr>Cable_size</vt:lpstr>
      <vt:lpstr>Cheapest_Module</vt:lpstr>
      <vt:lpstr>Civil___Electrical_Due_Dilligence_Services</vt:lpstr>
      <vt:lpstr>Combiner_Budget</vt:lpstr>
      <vt:lpstr>Combiner_Product</vt:lpstr>
      <vt:lpstr>Cons_Meter</vt:lpstr>
      <vt:lpstr>Customs_Distance</vt:lpstr>
      <vt:lpstr>Customs_Time</vt:lpstr>
      <vt:lpstr>Data_Array</vt:lpstr>
      <vt:lpstr>DC_Cable_Budget</vt:lpstr>
      <vt:lpstr>DC_Equipment_Product</vt:lpstr>
      <vt:lpstr>DC_Product</vt:lpstr>
      <vt:lpstr>DD_SERV</vt:lpstr>
      <vt:lpstr>De_snag_days</vt:lpstr>
      <vt:lpstr>'CIC Pack Outputs'!DocXTextRef41</vt:lpstr>
      <vt:lpstr>'CIC Pack Outputs'!DocXTextRef42</vt:lpstr>
      <vt:lpstr>Due_Dilligence_Structural_Supplier</vt:lpstr>
      <vt:lpstr>Due_Dilligence_Supplier_Elec</vt:lpstr>
      <vt:lpstr>easterncape_angle</vt:lpstr>
      <vt:lpstr>easterncape_yield</vt:lpstr>
      <vt:lpstr>EE_accomodation</vt:lpstr>
      <vt:lpstr>EE_Daily</vt:lpstr>
      <vt:lpstr>EE_HOURLY_OM</vt:lpstr>
      <vt:lpstr>EE_Hourly_PM</vt:lpstr>
      <vt:lpstr>EE_Hourly_PP</vt:lpstr>
      <vt:lpstr>ENGE_SERV</vt:lpstr>
      <vt:lpstr>Engineering___Project_Management_Services</vt:lpstr>
      <vt:lpstr>EPC_Cost</vt:lpstr>
      <vt:lpstr>gauteng_yield</vt:lpstr>
      <vt:lpstr>Gautneg_angle</vt:lpstr>
      <vt:lpstr>Gen_Breaker</vt:lpstr>
      <vt:lpstr>Generator_Size</vt:lpstr>
      <vt:lpstr>'4.4 BESS Data'!HIGH_OffPeak</vt:lpstr>
      <vt:lpstr>HIGH_OffPeak</vt:lpstr>
      <vt:lpstr>'4.4 BESS Data'!HIGH_Peak</vt:lpstr>
      <vt:lpstr>HIGH_Peak</vt:lpstr>
      <vt:lpstr>'4.4 BESS Data'!HIGH_Std</vt:lpstr>
      <vt:lpstr>HIGH_Std</vt:lpstr>
      <vt:lpstr>Hurdle</vt:lpstr>
      <vt:lpstr>Installation_AC</vt:lpstr>
      <vt:lpstr>Installation_Services</vt:lpstr>
      <vt:lpstr>Installation_Structural_DC</vt:lpstr>
      <vt:lpstr>Installer_Accomodation</vt:lpstr>
      <vt:lpstr>Inv_Cable_cost</vt:lpstr>
      <vt:lpstr>Inv_cable_size</vt:lpstr>
      <vt:lpstr>Inv_run</vt:lpstr>
      <vt:lpstr>Inverter_Budget</vt:lpstr>
      <vt:lpstr>Inverter_Capacity</vt:lpstr>
      <vt:lpstr>Inverter_Product</vt:lpstr>
      <vt:lpstr>Inverter_Quantity</vt:lpstr>
      <vt:lpstr>Inverter_Supplier</vt:lpstr>
      <vt:lpstr>IRR_PreTax</vt:lpstr>
      <vt:lpstr>Kwazulu_angle</vt:lpstr>
      <vt:lpstr>kwazulu_yield</vt:lpstr>
      <vt:lpstr>Large_Containers_PV</vt:lpstr>
      <vt:lpstr>limpopo_angle</vt:lpstr>
      <vt:lpstr>limpopo_yield</vt:lpstr>
      <vt:lpstr>location</vt:lpstr>
      <vt:lpstr>'4.4 BESS Data'!LOW_OffPeak</vt:lpstr>
      <vt:lpstr>LOW_OffPeak</vt:lpstr>
      <vt:lpstr>'4.4 BESS Data'!LOW_Peak</vt:lpstr>
      <vt:lpstr>LOW_Peak</vt:lpstr>
      <vt:lpstr>'4.4 BESS Data'!LOW_Std</vt:lpstr>
      <vt:lpstr>LOW_Std</vt:lpstr>
      <vt:lpstr>Margin_Exp</vt:lpstr>
      <vt:lpstr>Margin_Prod</vt:lpstr>
      <vt:lpstr>Margin_Serv</vt:lpstr>
      <vt:lpstr>Margin_SubCon</vt:lpstr>
      <vt:lpstr>Material_Roof_access</vt:lpstr>
      <vt:lpstr>Meter</vt:lpstr>
      <vt:lpstr>Module_Capacity</vt:lpstr>
      <vt:lpstr>Module_Product</vt:lpstr>
      <vt:lpstr>Module_Quantity</vt:lpstr>
      <vt:lpstr>Monitoring_Product</vt:lpstr>
      <vt:lpstr>Mounting_Product</vt:lpstr>
      <vt:lpstr>Mounting_Structure_Budget</vt:lpstr>
      <vt:lpstr>Mounting_Structures_Product</vt:lpstr>
      <vt:lpstr>Mounting_Supplier</vt:lpstr>
      <vt:lpstr>Mounting_Type</vt:lpstr>
      <vt:lpstr>MV_connec</vt:lpstr>
      <vt:lpstr>MV_connection</vt:lpstr>
      <vt:lpstr>Nearest_City</vt:lpstr>
      <vt:lpstr>north_west_angle</vt:lpstr>
      <vt:lpstr>North_west_Yield</vt:lpstr>
      <vt:lpstr>Northern_Cape_yield</vt:lpstr>
      <vt:lpstr>Nothern_cape_angle</vt:lpstr>
      <vt:lpstr>OFFLOAD</vt:lpstr>
      <vt:lpstr>Offloading_Required</vt:lpstr>
      <vt:lpstr>Offloading_service</vt:lpstr>
      <vt:lpstr>orientation</vt:lpstr>
      <vt:lpstr>parapet</vt:lpstr>
      <vt:lpstr>ppa_Tariff</vt:lpstr>
      <vt:lpstr>Prof_eng</vt:lpstr>
      <vt:lpstr>Project_location</vt:lpstr>
      <vt:lpstr>Projectsize</vt:lpstr>
      <vt:lpstr>PV_Module_Budget</vt:lpstr>
      <vt:lpstr>PV_Modules_Budget</vt:lpstr>
      <vt:lpstr>PV_Modules_Product</vt:lpstr>
      <vt:lpstr>RMACC</vt:lpstr>
      <vt:lpstr>roof_inclination</vt:lpstr>
      <vt:lpstr>roof_orientation</vt:lpstr>
      <vt:lpstr>Roof_Struc</vt:lpstr>
      <vt:lpstr>Scaffolding</vt:lpstr>
      <vt:lpstr>'4.4 BESS Data'!Scale_Factor</vt:lpstr>
      <vt:lpstr>Scale_Factor</vt:lpstr>
      <vt:lpstr>Security_Serv</vt:lpstr>
      <vt:lpstr>Site_Days</vt:lpstr>
      <vt:lpstr>Site_Distance</vt:lpstr>
      <vt:lpstr>Site_Security</vt:lpstr>
      <vt:lpstr>Site_Storage</vt:lpstr>
      <vt:lpstr>Site_Storage_services</vt:lpstr>
      <vt:lpstr>Small_Containers_PV</vt:lpstr>
      <vt:lpstr>SSS</vt:lpstr>
      <vt:lpstr>Storage_Time</vt:lpstr>
      <vt:lpstr>Structural_Installer</vt:lpstr>
      <vt:lpstr>'4.4 BESS Data'!Tariff_Additional</vt:lpstr>
      <vt:lpstr>Tariff_Additional</vt:lpstr>
      <vt:lpstr>Tax_12B</vt:lpstr>
      <vt:lpstr>Tax_Rate</vt:lpstr>
      <vt:lpstr>telehandler</vt:lpstr>
      <vt:lpstr>Timeline</vt:lpstr>
      <vt:lpstr>Total_cost</vt:lpstr>
      <vt:lpstr>TOTAL_Project_Cost</vt:lpstr>
      <vt:lpstr>Transport_Time</vt:lpstr>
      <vt:lpstr>Transport_Time_Additional</vt:lpstr>
      <vt:lpstr>Transport_Time_Allowable</vt:lpstr>
      <vt:lpstr>Travel</vt:lpstr>
      <vt:lpstr>TRAVEL_EXP</vt:lpstr>
      <vt:lpstr>Travel_Rate</vt:lpstr>
      <vt:lpstr>USD_ZAR</vt:lpstr>
      <vt:lpstr>Vat_Rate</vt:lpstr>
      <vt:lpstr>western_Cape_Angle</vt:lpstr>
      <vt:lpstr>Western_Cape_Yield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Emarantia Ngomane</dc:creator>
  <cp:keywords/>
  <dc:description/>
  <cp:lastModifiedBy>Roedolph Venter</cp:lastModifiedBy>
  <cp:revision/>
  <dcterms:created xsi:type="dcterms:W3CDTF">2016-10-27T06:53:38Z</dcterms:created>
  <dcterms:modified xsi:type="dcterms:W3CDTF">2025-07-15T18:49:11Z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Order">
    <vt:r8>15000</vt:r8>
  </property>
  <property fmtid="{D5CDD505-2E9C-101B-9397-08002B2CF9AE}" pid="4" name="MediaServiceImageTags">
    <vt:lpwstr/>
  </property>
</Properties>
</file>