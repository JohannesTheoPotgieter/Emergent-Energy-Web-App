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" documentId="13_ncr:1_{ABF72913-BCA9-4C02-AE33-4E5C0D6CCE88}" xr6:coauthVersionLast="47" xr6:coauthVersionMax="47" xr10:uidLastSave="{52FC1F08-B3D4-4CE8-A3DF-39E50321BED9}"/>
  <bookViews>
    <workbookView xWindow="6735" yWindow="-16320" windowWidth="29040" windowHeight="15720" tabRatio="779" firstSheet="6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023" r:id="rId17"/>
    <pivotCache cacheId="5024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R14" i="14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H9" i="6" s="1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4" i="4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O12" i="7" l="1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21" i="6" l="1"/>
  <c r="W36" i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W9" i="6"/>
  <c r="X1" i="6"/>
  <c r="W3" i="6" s="1"/>
  <c r="W17" i="6"/>
  <c r="W11" i="6"/>
  <c r="W20" i="6"/>
  <c r="W5" i="6"/>
  <c r="V9" i="6"/>
  <c r="V10" i="6" s="1"/>
  <c r="V18" i="6"/>
  <c r="I14" i="6"/>
  <c r="J12" i="6"/>
  <c r="O4" i="6"/>
  <c r="J6" i="6"/>
  <c r="I7" i="6"/>
  <c r="W10" i="6" l="1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D21" i="6" l="1"/>
  <c r="AC17" i="6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D18" i="6" s="1"/>
  <c r="AE1" i="6"/>
  <c r="AD9" i="6"/>
  <c r="AD3" i="6"/>
  <c r="AD17" i="6"/>
  <c r="AD5" i="6"/>
  <c r="AD11" i="6"/>
  <c r="AD20" i="6"/>
  <c r="AC9" i="6"/>
  <c r="AC10" i="6" s="1"/>
  <c r="AD10" i="6" s="1"/>
  <c r="P14" i="6"/>
  <c r="Q12" i="6"/>
  <c r="Q6" i="6"/>
  <c r="P7" i="6"/>
  <c r="V4" i="6"/>
  <c r="AF1" i="6" l="1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21" i="6" l="1"/>
  <c r="AG38" i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1" i="6"/>
  <c r="AJ20" i="6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K18" i="6" s="1"/>
  <c r="AJ3" i="6"/>
  <c r="AL1" i="6"/>
  <c r="AK9" i="6"/>
  <c r="AK3" i="6"/>
  <c r="AK17" i="6"/>
  <c r="AK5" i="6"/>
  <c r="AK11" i="6"/>
  <c r="X12" i="6"/>
  <c r="W14" i="6"/>
  <c r="X6" i="6"/>
  <c r="W7" i="6"/>
  <c r="AC4" i="6"/>
  <c r="AM1" i="6" l="1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21" i="6" l="1"/>
  <c r="AP43" i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R18" i="6" l="1"/>
  <c r="AS1" i="6"/>
  <c r="AR9" i="6"/>
  <c r="AR3" i="6"/>
  <c r="AR17" i="6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T18" i="6" l="1"/>
  <c r="AS11" i="6"/>
  <c r="AS3" i="6"/>
  <c r="AS9" i="6"/>
  <c r="AS10" i="6" s="1"/>
  <c r="AS20" i="6"/>
  <c r="AS21" i="6" s="1"/>
  <c r="AS5" i="6"/>
  <c r="AU1" i="6"/>
  <c r="AT9" i="6"/>
  <c r="AT3" i="6"/>
  <c r="AT17" i="6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X18" i="6" l="1"/>
  <c r="AW21" i="6"/>
  <c r="AY1" i="6"/>
  <c r="AX17" i="6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A18" i="6" l="1"/>
  <c r="BB1" i="6"/>
  <c r="BA3" i="6"/>
  <c r="BA17" i="6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F21" i="6" l="1"/>
  <c r="BG1" i="6"/>
  <c r="BF9" i="6"/>
  <c r="BF3" i="6"/>
  <c r="BF17" i="6"/>
  <c r="BF18" i="6" s="1"/>
  <c r="BF20" i="6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J21" i="6" l="1"/>
  <c r="BK1" i="6"/>
  <c r="BJ3" i="6"/>
  <c r="BJ17" i="6"/>
  <c r="BJ18" i="6" s="1"/>
  <c r="BJ5" i="6"/>
  <c r="BJ11" i="6"/>
  <c r="BJ20" i="6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M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O1" i="6" l="1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O21" i="6" l="1"/>
  <c r="BP1" i="6"/>
  <c r="BO9" i="6"/>
  <c r="BO10" i="6" s="1"/>
  <c r="BO3" i="6"/>
  <c r="BO17" i="6"/>
  <c r="BO18" i="6" s="1"/>
  <c r="BO20" i="6"/>
  <c r="BO5" i="6"/>
  <c r="BO11" i="6"/>
  <c r="BB12" i="6"/>
  <c r="BA14" i="6"/>
  <c r="BB6" i="6"/>
  <c r="BA7" i="6"/>
  <c r="BG4" i="6"/>
  <c r="BP18" i="6" l="1"/>
  <c r="BQ1" i="6"/>
  <c r="BP3" i="6"/>
  <c r="BP17" i="6"/>
  <c r="BP11" i="6"/>
  <c r="BP20" i="6"/>
  <c r="BP21" i="6" s="1"/>
  <c r="BP5" i="6"/>
  <c r="BC12" i="6"/>
  <c r="BB14" i="6"/>
  <c r="BH4" i="6"/>
  <c r="BC6" i="6"/>
  <c r="BB7" i="6"/>
  <c r="BQ21" i="6" l="1"/>
  <c r="BQ18" i="6"/>
  <c r="BQ9" i="6"/>
  <c r="BR1" i="6"/>
  <c r="BQ3" i="6"/>
  <c r="BQ17" i="6"/>
  <c r="BQ11" i="6"/>
  <c r="BQ5" i="6"/>
  <c r="BQ20" i="6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S21" i="6" l="1"/>
  <c r="BT1" i="6"/>
  <c r="BS9" i="6"/>
  <c r="BS3" i="6"/>
  <c r="BS17" i="6"/>
  <c r="BS18" i="6" s="1"/>
  <c r="BS20" i="6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V21" i="6" l="1"/>
  <c r="BV18" i="6"/>
  <c r="BW1" i="6"/>
  <c r="BV3" i="6"/>
  <c r="BV17" i="6"/>
  <c r="BV20" i="6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B21" i="6" l="1"/>
  <c r="CC1" i="6"/>
  <c r="CB3" i="6"/>
  <c r="CB17" i="6"/>
  <c r="CB20" i="6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E21" i="6" l="1"/>
  <c r="CF1" i="6"/>
  <c r="CE3" i="6"/>
  <c r="CE17" i="6"/>
  <c r="CE18" i="6" s="1"/>
  <c r="CE11" i="6"/>
  <c r="CE5" i="6"/>
  <c r="CE20" i="6"/>
  <c r="BR12" i="6"/>
  <c r="BQ14" i="6"/>
  <c r="BW4" i="6"/>
  <c r="BR6" i="6"/>
  <c r="BQ7" i="6"/>
  <c r="CF18" i="6" l="1"/>
  <c r="CG1" i="6"/>
  <c r="CF9" i="6"/>
  <c r="CF3" i="6"/>
  <c r="CF17" i="6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G21" i="6" l="1"/>
  <c r="CH1" i="6"/>
  <c r="CG9" i="6"/>
  <c r="CG3" i="6"/>
  <c r="CG17" i="6"/>
  <c r="CG20" i="6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I21" i="6" l="1"/>
  <c r="CJ1" i="6"/>
  <c r="CI3" i="6"/>
  <c r="CI17" i="6"/>
  <c r="CI18" i="6" s="1"/>
  <c r="CI5" i="6"/>
  <c r="CI20" i="6"/>
  <c r="CI11" i="6"/>
  <c r="BV12" i="6"/>
  <c r="BU14" i="6"/>
  <c r="CA4" i="6"/>
  <c r="BV6" i="6"/>
  <c r="BU7" i="6"/>
  <c r="CJ18" i="6" l="1"/>
  <c r="CK1" i="6"/>
  <c r="CJ9" i="6"/>
  <c r="CJ3" i="6"/>
  <c r="CJ17" i="6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M1" i="6" l="1"/>
  <c r="CL9" i="6" s="1"/>
  <c r="CL3" i="6"/>
  <c r="CL17" i="6"/>
  <c r="CL18" i="6" s="1"/>
  <c r="CL5" i="6"/>
  <c r="CL11" i="6"/>
  <c r="CL20" i="6"/>
  <c r="CL21" i="6" s="1"/>
  <c r="CK9" i="6"/>
  <c r="CK10" i="6" s="1"/>
  <c r="BY12" i="6"/>
  <c r="BX14" i="6"/>
  <c r="BY6" i="6"/>
  <c r="BX7" i="6"/>
  <c r="CD4" i="6"/>
  <c r="CL10" i="6" l="1"/>
  <c r="CM9" i="6"/>
  <c r="D9" i="6" s="1"/>
  <c r="CM3" i="6"/>
  <c r="D3" i="6" s="1"/>
  <c r="CM17" i="6"/>
  <c r="CM18" i="6" s="1"/>
  <c r="CM11" i="6"/>
  <c r="D11" i="6" s="1"/>
  <c r="CM20" i="6"/>
  <c r="CM21" i="6" s="1"/>
  <c r="CM5" i="6"/>
  <c r="BZ12" i="6"/>
  <c r="BY14" i="6"/>
  <c r="CE4" i="6"/>
  <c r="BZ6" i="6"/>
  <c r="BY7" i="6"/>
  <c r="CM10" i="6" l="1"/>
  <c r="BZ14" i="6"/>
  <c r="CA12" i="6"/>
  <c r="CA6" i="6"/>
  <c r="BZ7" i="6"/>
  <c r="CF4" i="6"/>
  <c r="CB12" i="6" l="1"/>
  <c r="CA14" i="6"/>
  <c r="CG4" i="6"/>
  <c r="CB6" i="6"/>
  <c r="CA7" i="6"/>
  <c r="CC12" i="6" l="1"/>
  <c r="CB14" i="6"/>
  <c r="CC6" i="6"/>
  <c r="CB7" i="6"/>
  <c r="CH4" i="6"/>
  <c r="CD12" i="6" l="1"/>
  <c r="CC14" i="6"/>
  <c r="CI4" i="6"/>
  <c r="CD6" i="6"/>
  <c r="CC7" i="6"/>
  <c r="CD14" i="6" l="1"/>
  <c r="CE12" i="6"/>
  <c r="CJ4" i="6"/>
  <c r="CE6" i="6"/>
  <c r="CD7" i="6"/>
  <c r="CF12" i="6" l="1"/>
  <c r="CE14" i="6"/>
  <c r="CF6" i="6"/>
  <c r="CE7" i="6"/>
  <c r="CK4" i="6"/>
  <c r="CF14" i="6" l="1"/>
  <c r="CG12" i="6"/>
  <c r="CL4" i="6"/>
  <c r="CG6" i="6"/>
  <c r="CF7" i="6"/>
  <c r="CH12" i="6" l="1"/>
  <c r="CG14" i="6"/>
  <c r="CH6" i="6"/>
  <c r="CG7" i="6"/>
  <c r="CM4" i="6"/>
  <c r="CI12" i="6" l="1"/>
  <c r="CH14" i="6"/>
  <c r="CI6" i="6"/>
  <c r="CH7" i="6"/>
  <c r="CJ12" i="6" l="1"/>
  <c r="CI14" i="6"/>
  <c r="CJ6" i="6"/>
  <c r="CI7" i="6"/>
  <c r="CK12" i="6" l="1"/>
  <c r="CJ14" i="6"/>
  <c r="CK6" i="6"/>
  <c r="CJ7" i="6"/>
  <c r="CL12" i="6" l="1"/>
  <c r="CK14" i="6"/>
  <c r="CL6" i="6"/>
  <c r="CK7" i="6"/>
  <c r="CM12" i="6" l="1"/>
  <c r="CM14" i="6" s="1"/>
  <c r="CL14" i="6"/>
  <c r="CM6" i="6"/>
  <c r="CM7" i="6" s="1"/>
  <c r="C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<sst xmlns="http://schemas.openxmlformats.org/spreadsheetml/2006/main" count="871" uniqueCount="513">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</sst>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7" borderId="0" xfId="3" applyFont="1" applyFill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6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66" fontId="53" fillId="10" borderId="14" xfId="3" applyFont="1" applyFill="1" applyBorder="1" applyAlignment="1" applyProtection="1">
      <alignment horizontal="center"/>
      <protection locked="0"/>
    </xf>
    <xf numFmtId="166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6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29" fillId="0" borderId="2" xfId="0" applyNumberFormat="1" applyFont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7690A97-2753-4F0E-8D1A-A825A2DC65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17C3D9-F02A-4E90-B759-6D2563A2E97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A9498F-346A-4809-8417-B04B8B8A482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642FC1-5D61-4709-920F-AA5561F07A7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EC6D02-0987-4825-90BB-E79BA7EAF76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2C241A-FA2D-431A-8143-73D2B3DC364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930AB7-D01E-4204-A1BC-9D2C5568764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D5DCF4-8749-426B-80DD-38476649A4D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689699073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3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690162034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41872.699999999997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m/>
    <m/>
    <x v="4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50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5">
        <item x="4"/>
        <item m="1" x="33"/>
        <item m="1" x="32"/>
        <item m="1" x="31"/>
        <item m="1" x="30"/>
        <item x="0"/>
        <item x="1"/>
        <item x="8"/>
        <item x="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15"/>
        <item m="1" x="26"/>
        <item m="1" x="27"/>
        <item m="1" x="28"/>
        <item m="1" x="29"/>
        <item x="2"/>
        <item x="3"/>
        <item x="10"/>
        <item x="7"/>
        <item x="13"/>
        <item x="6"/>
        <item x="11"/>
        <item x="9"/>
        <item x="14"/>
        <item x="12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50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4">
        <item m="1" x="35"/>
        <item m="1" x="41"/>
        <item m="1" x="36"/>
        <item m="1" x="39"/>
        <item m="1" x="37"/>
        <item x="0"/>
        <item m="1" x="42"/>
        <item m="1" x="38"/>
        <item m="1" x="40"/>
        <item x="6"/>
        <item m="1" x="34"/>
        <item m="1" x="33"/>
        <item m="1" x="32"/>
        <item m="1" x="31"/>
        <item m="1" x="30"/>
        <item m="1" x="16"/>
        <item x="4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15"/>
        <item m="1" x="26"/>
        <item m="1" x="27"/>
        <item m="1" x="28"/>
        <item m="1" x="29"/>
        <item x="2"/>
        <item x="3"/>
        <item x="10"/>
        <item x="7"/>
        <item x="13"/>
        <item x="11"/>
        <item x="9"/>
        <item x="14"/>
        <item x="1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7" t="s">
        <v>57</v>
      </c>
      <c r="E47" s="887"/>
      <c r="F47" s="888"/>
      <c r="G47" s="67"/>
      <c r="I47" s="68"/>
      <c r="J47" s="68"/>
    </row>
    <row r="48" spans="1:49" ht="13.9" thickBot="1">
      <c r="C48" s="69">
        <v>44014</v>
      </c>
      <c r="D48" s="889"/>
      <c r="E48" s="889"/>
      <c r="F48" s="89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891" t="s">
        <v>58</v>
      </c>
      <c r="C2" s="892"/>
      <c r="D2" s="892"/>
      <c r="E2" s="892"/>
      <c r="F2" s="89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91" t="s">
        <v>69</v>
      </c>
      <c r="C16" s="892"/>
      <c r="D16" s="892"/>
      <c r="E16" s="892"/>
      <c r="F16" s="89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115" zoomScaleNormal="115" workbookViewId="0">
      <selection activeCell="C19" sqref="C19:D19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3.15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1443822.8599999996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996990.59999999963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285257.69379099016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158420.62554859323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0.16497652070955621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3.15">
      <c r="B13" s="487">
        <v>1</v>
      </c>
      <c r="C13" s="894" t="s">
        <v>100</v>
      </c>
      <c r="D13" s="895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75">
      <c r="B14" s="157">
        <v>2</v>
      </c>
      <c r="C14" s="896" t="s">
        <v>102</v>
      </c>
      <c r="D14" s="897"/>
      <c r="E14" s="138">
        <v>0.25</v>
      </c>
      <c r="F14" s="139">
        <f t="shared" ref="F14:F19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75">
      <c r="B15" s="487">
        <v>3</v>
      </c>
      <c r="C15" s="894" t="s">
        <v>104</v>
      </c>
      <c r="D15" s="895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75">
      <c r="B16" s="487">
        <v>4</v>
      </c>
      <c r="C16" s="894" t="s">
        <v>106</v>
      </c>
      <c r="D16" s="895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75">
      <c r="B17" s="487">
        <v>5</v>
      </c>
      <c r="C17" s="896" t="s">
        <v>54</v>
      </c>
      <c r="D17" s="897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75">
      <c r="B18" s="487">
        <v>6</v>
      </c>
      <c r="C18" s="894" t="s">
        <v>109</v>
      </c>
      <c r="D18" s="895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75">
      <c r="B19" s="487">
        <v>7</v>
      </c>
      <c r="C19" s="894" t="s">
        <v>110</v>
      </c>
      <c r="D19" s="895"/>
      <c r="E19" s="138">
        <v>0</v>
      </c>
      <c r="F19" s="139">
        <v>-15277.28</v>
      </c>
      <c r="G19" s="490"/>
      <c r="H19" s="141"/>
      <c r="J19" s="144"/>
      <c r="L19" s="1017" t="s">
        <v>111</v>
      </c>
      <c r="N19" s="142">
        <v>46045</v>
      </c>
      <c r="O19" s="131"/>
      <c r="P19" s="142">
        <v>46053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3.15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75">
      <c r="C24" s="150" t="s">
        <v>114</v>
      </c>
      <c r="D24" s="151"/>
      <c r="F24" s="152"/>
    </row>
    <row r="25" spans="2:21" s="93" customFormat="1" ht="12.75">
      <c r="C25" s="150" t="s">
        <v>115</v>
      </c>
      <c r="D25" s="151"/>
    </row>
    <row r="26" spans="2:21" s="93" customFormat="1" ht="12.75">
      <c r="C26" s="153" t="s">
        <v>116</v>
      </c>
      <c r="D26" s="154"/>
    </row>
    <row r="27" spans="2:21" s="93" customFormat="1" ht="12.75">
      <c r="C27" s="155" t="s">
        <v>117</v>
      </c>
      <c r="D27" s="151"/>
    </row>
    <row r="28" spans="2:21" s="93" customFormat="1" ht="12.75">
      <c r="B28" s="119"/>
      <c r="C28" s="155" t="s">
        <v>118</v>
      </c>
      <c r="D28" s="151"/>
    </row>
    <row r="29" spans="2:21" s="93" customFormat="1" ht="12.7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140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 ht="13.9">
      <c r="B2" s="225"/>
      <c r="C2" s="226" t="s">
        <v>0</v>
      </c>
      <c r="D2" s="227"/>
      <c r="E2" s="898" t="s">
        <v>124</v>
      </c>
      <c r="F2" s="899"/>
      <c r="G2" s="899"/>
      <c r="H2" s="900"/>
      <c r="N2" s="607">
        <v>0</v>
      </c>
      <c r="O2" s="607">
        <v>1</v>
      </c>
    </row>
    <row r="3" spans="2:28" s="114" customFormat="1" ht="13.9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126</v>
      </c>
      <c r="D4" s="227"/>
      <c r="E4" s="901" t="s">
        <v>127</v>
      </c>
      <c r="F4" s="902"/>
      <c r="G4" s="902"/>
      <c r="H4" s="903"/>
      <c r="J4" s="115"/>
      <c r="Q4" s="3"/>
    </row>
    <row r="5" spans="2:28" s="114" customFormat="1" ht="13.9">
      <c r="B5" s="228"/>
      <c r="C5" s="229" t="s">
        <v>128</v>
      </c>
      <c r="D5" s="227"/>
      <c r="E5" s="901" t="s">
        <v>129</v>
      </c>
      <c r="F5" s="902"/>
      <c r="G5" s="902"/>
      <c r="H5" s="903"/>
      <c r="J5" s="115"/>
      <c r="Q5" s="3"/>
    </row>
    <row r="6" spans="2:28" ht="13.9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 ht="13.9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908" t="s">
        <v>91</v>
      </c>
      <c r="C8" s="909" t="s">
        <v>133</v>
      </c>
      <c r="D8" s="264"/>
      <c r="E8" s="906" t="s">
        <v>134</v>
      </c>
      <c r="F8" s="286" t="s">
        <v>135</v>
      </c>
      <c r="G8" s="906" t="s">
        <v>136</v>
      </c>
      <c r="H8" s="287"/>
      <c r="I8" s="906" t="s">
        <v>137</v>
      </c>
      <c r="J8" s="286" t="s">
        <v>135</v>
      </c>
      <c r="K8" s="906" t="s">
        <v>138</v>
      </c>
      <c r="M8" s="647" t="s">
        <v>60</v>
      </c>
      <c r="O8" s="904" t="s">
        <v>139</v>
      </c>
      <c r="Z8" s="114"/>
      <c r="AA8" s="114"/>
      <c r="AB8" s="114"/>
    </row>
    <row r="9" spans="2:28" ht="13.9">
      <c r="B9" s="909"/>
      <c r="C9" s="910"/>
      <c r="D9" s="264"/>
      <c r="E9" s="907"/>
      <c r="F9" s="128">
        <v>65</v>
      </c>
      <c r="G9" s="907"/>
      <c r="H9" s="287"/>
      <c r="I9" s="907"/>
      <c r="J9" s="129">
        <v>65</v>
      </c>
      <c r="K9" s="907"/>
      <c r="M9" s="497">
        <v>1</v>
      </c>
      <c r="N9" s="497">
        <v>1</v>
      </c>
      <c r="O9" s="905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 ht="13.9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 ht="13.9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 ht="13.9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 ht="13.9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 ht="13.9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11"/>
      <c r="C4" s="911"/>
      <c r="D4" s="911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25" thickBot="1">
      <c r="A5" s="264"/>
      <c r="B5" s="912" t="s">
        <v>194</v>
      </c>
      <c r="C5" s="912"/>
      <c r="D5" s="912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1443822.8599999996</v>
      </c>
      <c r="K5" s="264"/>
      <c r="L5" s="272">
        <f>SUM(L9:L23)</f>
        <v>-29172.339999999989</v>
      </c>
      <c r="M5" s="114"/>
      <c r="N5" s="272">
        <f>SUM(N9:N23)</f>
        <v>-68969.134827612637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 ht="13.9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 ht="13.9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 ht="13.9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 ht="13.9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 ht="13.9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 ht="13.9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 ht="13.9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41872.699999999997</v>
      </c>
      <c r="K23" s="89"/>
      <c r="L23" s="281">
        <f t="shared" si="0"/>
        <v>-41872.699999999997</v>
      </c>
      <c r="M23" s="192"/>
      <c r="N23" s="281">
        <f t="shared" si="1"/>
        <v>-41872.699999999997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3.15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A101" activePane="bottomLeft" state="frozen"/>
      <selection pane="bottomLeft" activeCell="S131" sqref="S131"/>
      <selection activeCell="Q24" sqref="Q24"/>
    </sheetView>
  </sheetViews>
  <sheetFormatPr defaultColWidth="9.1406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140625" style="24" hidden="1" customWidth="1"/>
    <col min="5" max="5" width="8.8554687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1" hidden="1" customWidth="1"/>
    <col min="11" max="11" width="17.42578125" style="461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2" customWidth="1"/>
    <col min="19" max="19" width="33" style="467" customWidth="1"/>
    <col min="20" max="20" width="13" style="65" customWidth="1"/>
    <col min="21" max="22" width="16.42578125" style="65" customWidth="1"/>
    <col min="23" max="23" width="13.42578125" style="478" customWidth="1"/>
    <col min="24" max="24" width="21.5703125" style="24" customWidth="1"/>
    <col min="25" max="25" width="42.8554687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9" style="114" customWidth="1"/>
    <col min="30" max="30" width="21.5703125" style="114" bestFit="1" customWidth="1"/>
    <col min="31" max="31" width="14.85546875" style="114" bestFit="1" customWidth="1"/>
    <col min="32" max="32" width="9.140625" style="114"/>
    <col min="33" max="33" width="22.85546875" style="114" bestFit="1" customWidth="1"/>
    <col min="34" max="34" width="13.85546875" style="114" bestFit="1" customWidth="1"/>
    <col min="35" max="42" width="9.140625" style="114"/>
    <col min="43" max="16384" width="9.14062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23" t="s">
        <v>222</v>
      </c>
      <c r="C2" s="924"/>
      <c r="D2" s="924"/>
      <c r="E2" s="924"/>
      <c r="F2" s="924"/>
      <c r="G2" s="924"/>
      <c r="H2" s="925"/>
      <c r="J2" s="308">
        <f>SUM(J6:J125)</f>
        <v>1414650.52</v>
      </c>
      <c r="K2" s="308">
        <f>SUM(K6:K125)</f>
        <v>1744357.8338340002</v>
      </c>
      <c r="M2" s="926" t="s">
        <v>223</v>
      </c>
      <c r="N2" s="927"/>
      <c r="O2" s="927"/>
      <c r="P2" s="927"/>
      <c r="Q2" s="927"/>
      <c r="R2" s="927"/>
      <c r="S2" s="930" t="s">
        <v>224</v>
      </c>
      <c r="T2" s="931"/>
      <c r="U2" s="931"/>
      <c r="V2" s="931"/>
      <c r="W2" s="932"/>
      <c r="X2" s="479">
        <f>SUM(X6:X125)</f>
        <v>1443822.8599999996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16">
        <f>SUM(G6:G11)</f>
        <v>488302.31</v>
      </c>
      <c r="K6" s="916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33">
        <f>K6-SUM(U6:U11)</f>
        <v>4.4234981760382652E-4</v>
      </c>
      <c r="W6" s="731">
        <v>45562</v>
      </c>
      <c r="X6" s="946">
        <f>SUM(R6:R11)</f>
        <v>409353</v>
      </c>
      <c r="Y6" s="993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17"/>
      <c r="K7" s="917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34"/>
      <c r="W7" s="816">
        <v>45596</v>
      </c>
      <c r="X7" s="947"/>
      <c r="Y7" s="994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17"/>
      <c r="K8" s="917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34"/>
      <c r="W8" s="747">
        <v>45625</v>
      </c>
      <c r="X8" s="947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17"/>
      <c r="K9" s="917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34"/>
      <c r="W9" s="747">
        <v>45625</v>
      </c>
      <c r="X9" s="947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17"/>
      <c r="K10" s="917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34"/>
      <c r="W10" s="747">
        <v>45625</v>
      </c>
      <c r="X10" s="947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18"/>
      <c r="K11" s="918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35"/>
      <c r="W11" s="475"/>
      <c r="X11" s="964"/>
      <c r="Y11" s="216"/>
      <c r="Z11" s="202"/>
      <c r="AA11" s="174" t="s">
        <v>257</v>
      </c>
      <c r="AB11" s="175">
        <f>C74</f>
        <v>39330</v>
      </c>
    </row>
    <row r="12" spans="1:42" ht="14.2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13">
        <f>SUM(G13:G16)</f>
        <v>118044</v>
      </c>
      <c r="K13" s="913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36">
        <f>K13-SUM(U13:U16)</f>
        <v>2.8804820321965963E-3</v>
      </c>
      <c r="W13" s="808">
        <f>T13+30</f>
        <v>45595</v>
      </c>
      <c r="X13" s="965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14"/>
      <c r="K14" s="914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37"/>
      <c r="W14" s="796">
        <f>T14+29</f>
        <v>45625</v>
      </c>
      <c r="X14" s="966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14"/>
      <c r="K15" s="914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37"/>
      <c r="W15" s="796">
        <f>W13</f>
        <v>45595</v>
      </c>
      <c r="X15" s="966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15"/>
      <c r="K16" s="915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38"/>
      <c r="W16" s="476"/>
      <c r="X16" s="967"/>
      <c r="Y16" s="218"/>
      <c r="Z16" s="204"/>
      <c r="AA16" s="174" t="s">
        <v>268</v>
      </c>
      <c r="AB16" s="176">
        <v>0</v>
      </c>
    </row>
    <row r="17" spans="1:42" ht="14.2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16">
        <f>SUM(G18:G21)</f>
        <v>70794</v>
      </c>
      <c r="K18" s="916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33">
        <f>K18-SUM(U18:U21)</f>
        <v>-4.396450356580317E-3</v>
      </c>
      <c r="W18" s="765">
        <v>45558</v>
      </c>
      <c r="X18" s="946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17"/>
      <c r="K19" s="917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34"/>
      <c r="W19" s="816">
        <f>T19+30</f>
        <v>45626</v>
      </c>
      <c r="X19" s="947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17"/>
      <c r="K20" s="917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34"/>
      <c r="W20" s="747">
        <v>45558</v>
      </c>
      <c r="X20" s="947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18"/>
      <c r="K21" s="918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35"/>
      <c r="W21" s="475"/>
      <c r="X21" s="964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2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13">
        <f>SUM(G23:G33)</f>
        <v>107427.6</v>
      </c>
      <c r="K23" s="913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39">
        <f>K23-SUM(U23:U33)</f>
        <v>-4.4763570185750723E-3</v>
      </c>
      <c r="W23" s="829">
        <f>T23+30</f>
        <v>45626</v>
      </c>
      <c r="X23" s="965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14"/>
      <c r="K24" s="914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40"/>
      <c r="W24" s="795">
        <v>45744</v>
      </c>
      <c r="X24" s="966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14"/>
      <c r="K25" s="914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40"/>
      <c r="W25" s="470"/>
      <c r="X25" s="966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14"/>
      <c r="K26" s="914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40"/>
      <c r="W26" s="769">
        <v>45560</v>
      </c>
      <c r="X26" s="966"/>
      <c r="Y26" s="987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14"/>
      <c r="K27" s="914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40"/>
      <c r="W27" s="796">
        <f t="shared" ref="W27:W32" si="6">W74</f>
        <v>45575</v>
      </c>
      <c r="X27" s="966"/>
      <c r="Y27" s="988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14"/>
      <c r="K28" s="914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40"/>
      <c r="W28" s="796">
        <f t="shared" si="6"/>
        <v>45625</v>
      </c>
      <c r="X28" s="966"/>
      <c r="Y28" s="988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14"/>
      <c r="K29" s="914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40"/>
      <c r="W29" s="796">
        <f t="shared" si="6"/>
        <v>45687</v>
      </c>
      <c r="X29" s="966"/>
      <c r="Y29" s="988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14"/>
      <c r="K30" s="914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40"/>
      <c r="W30" s="796">
        <f t="shared" si="6"/>
        <v>45625</v>
      </c>
      <c r="X30" s="966"/>
      <c r="Y30" s="988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14"/>
      <c r="K31" s="914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41"/>
      <c r="W31" s="796">
        <f t="shared" si="6"/>
        <v>45631</v>
      </c>
      <c r="X31" s="966"/>
      <c r="Y31" s="988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14"/>
      <c r="K32" s="914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41"/>
      <c r="W32" s="796">
        <f t="shared" si="6"/>
        <v>45701</v>
      </c>
      <c r="X32" s="966"/>
      <c r="Y32" s="988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15"/>
      <c r="K33" s="915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42"/>
      <c r="W33" s="847">
        <f>W80</f>
        <v>45722</v>
      </c>
      <c r="X33" s="967"/>
      <c r="Y33" s="989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2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16">
        <f>SUM(G35:G41)</f>
        <v>49000</v>
      </c>
      <c r="K35" s="916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33">
        <f>K35-SUM(U35:U41)</f>
        <v>1.4868803118588403E-3</v>
      </c>
      <c r="W35" s="765">
        <v>45561</v>
      </c>
      <c r="X35" s="946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17"/>
      <c r="K36" s="917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63"/>
      <c r="W36" s="766">
        <v>45562</v>
      </c>
      <c r="X36" s="947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17"/>
      <c r="K37" s="917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34"/>
      <c r="W37" s="746">
        <v>45626</v>
      </c>
      <c r="X37" s="947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17"/>
      <c r="K38" s="917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34"/>
      <c r="W38" s="816">
        <v>45626</v>
      </c>
      <c r="X38" s="947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17"/>
      <c r="K39" s="917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34"/>
      <c r="W39" s="747">
        <v>45838</v>
      </c>
      <c r="X39" s="947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17"/>
      <c r="K40" s="917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34"/>
      <c r="W40" s="747">
        <v>45575</v>
      </c>
      <c r="X40" s="947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18"/>
      <c r="K41" s="918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35"/>
      <c r="W41" s="825">
        <f>T41+30</f>
        <v>45687</v>
      </c>
      <c r="X41" s="964"/>
      <c r="Y41" s="216" t="s">
        <v>337</v>
      </c>
      <c r="Z41" s="202"/>
    </row>
    <row r="42" spans="1:42" ht="14.2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13">
        <f>SUM(G43:G55)</f>
        <v>276727.82</v>
      </c>
      <c r="K43" s="913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49">
        <f>K43-SUM(U43:U55)</f>
        <v>0</v>
      </c>
      <c r="W43" s="650"/>
      <c r="X43" s="965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14"/>
      <c r="K44" s="914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50"/>
      <c r="W44" s="795">
        <v>45568</v>
      </c>
      <c r="X44" s="966"/>
      <c r="Y44" s="987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14"/>
      <c r="K45" s="914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50"/>
      <c r="W45" s="795">
        <v>45596</v>
      </c>
      <c r="X45" s="966"/>
      <c r="Y45" s="995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14"/>
      <c r="K46" s="914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50"/>
      <c r="W46" s="795">
        <v>45582</v>
      </c>
      <c r="X46" s="966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14"/>
      <c r="K47" s="914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50"/>
      <c r="W47" s="712"/>
      <c r="X47" s="966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14"/>
      <c r="K48" s="914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50"/>
      <c r="W48" s="769">
        <v>45560</v>
      </c>
      <c r="X48" s="966"/>
      <c r="Y48" s="987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14"/>
      <c r="K49" s="914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50"/>
      <c r="W49" s="795">
        <f>W74</f>
        <v>45575</v>
      </c>
      <c r="X49" s="966"/>
      <c r="Y49" s="988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14"/>
      <c r="K50" s="914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50"/>
      <c r="W50" s="795">
        <f t="shared" ref="W50:W54" si="17">W75</f>
        <v>45625</v>
      </c>
      <c r="X50" s="966"/>
      <c r="Y50" s="988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14"/>
      <c r="K51" s="914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50"/>
      <c r="W51" s="795">
        <f t="shared" si="17"/>
        <v>45687</v>
      </c>
      <c r="X51" s="966"/>
      <c r="Y51" s="988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14"/>
      <c r="K52" s="914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50"/>
      <c r="W52" s="795">
        <f t="shared" si="17"/>
        <v>45625</v>
      </c>
      <c r="X52" s="966"/>
      <c r="Y52" s="988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14"/>
      <c r="K53" s="914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50"/>
      <c r="W53" s="795">
        <f t="shared" si="17"/>
        <v>45631</v>
      </c>
      <c r="X53" s="966"/>
      <c r="Y53" s="988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14"/>
      <c r="K54" s="914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50"/>
      <c r="W54" s="795">
        <f t="shared" si="17"/>
        <v>45701</v>
      </c>
      <c r="X54" s="966"/>
      <c r="Y54" s="988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15"/>
      <c r="K55" s="915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51"/>
      <c r="W55" s="847">
        <f>W80</f>
        <v>45722</v>
      </c>
      <c r="X55" s="967"/>
      <c r="Y55" s="989"/>
      <c r="Z55" s="204"/>
    </row>
    <row r="56" spans="1:42" ht="13.9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16">
        <f>SUM(G57:G64)</f>
        <v>0</v>
      </c>
      <c r="K57" s="916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33">
        <f>K57-SUM(U57:U64)</f>
        <v>0</v>
      </c>
      <c r="W57" s="566"/>
      <c r="X57" s="946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17"/>
      <c r="K58" s="917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63"/>
      <c r="W58" s="576"/>
      <c r="X58" s="947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17"/>
      <c r="K59" s="917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63"/>
      <c r="W59" s="576"/>
      <c r="X59" s="947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17"/>
      <c r="K60" s="917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34"/>
      <c r="W60" s="576"/>
      <c r="X60" s="947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17"/>
      <c r="K61" s="917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34"/>
      <c r="W61" s="576"/>
      <c r="X61" s="947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17"/>
      <c r="K62" s="917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34"/>
      <c r="W62" s="576"/>
      <c r="X62" s="947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17"/>
      <c r="K63" s="917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34"/>
      <c r="W63" s="576"/>
      <c r="X63" s="947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18"/>
      <c r="K64" s="918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35"/>
      <c r="W64" s="475"/>
      <c r="X64" s="964"/>
      <c r="Y64" s="216"/>
      <c r="Z64" s="202"/>
    </row>
    <row r="65" spans="1:42" ht="14.2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13">
        <v>0</v>
      </c>
      <c r="K66" s="913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49">
        <f>K66-SUM(U66:U70)</f>
        <v>0</v>
      </c>
      <c r="W66" s="810">
        <v>45575</v>
      </c>
      <c r="X66" s="965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14"/>
      <c r="K67" s="914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41"/>
      <c r="W67" s="811">
        <f>T67+29</f>
        <v>45625</v>
      </c>
      <c r="X67" s="966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14"/>
      <c r="K68" s="914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41"/>
      <c r="W68" s="811">
        <v>45575</v>
      </c>
      <c r="X68" s="966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14"/>
      <c r="K69" s="914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41"/>
      <c r="W69" s="811">
        <v>45597</v>
      </c>
      <c r="X69" s="966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15"/>
      <c r="K70" s="915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52"/>
      <c r="W70" s="879">
        <v>45869</v>
      </c>
      <c r="X70" s="980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28">
        <f>SUM(G73:G80)</f>
        <v>131100</v>
      </c>
      <c r="K73" s="916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53">
        <v>0</v>
      </c>
      <c r="W73" s="763">
        <v>45560</v>
      </c>
      <c r="X73" s="981">
        <f>SUM(R73:R80)</f>
        <v>116305</v>
      </c>
      <c r="Y73" s="990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29"/>
      <c r="K74" s="917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54"/>
      <c r="W74" s="794">
        <v>45575</v>
      </c>
      <c r="X74" s="982"/>
      <c r="Y74" s="991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29"/>
      <c r="K75" s="917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54"/>
      <c r="W75" s="794">
        <v>45625</v>
      </c>
      <c r="X75" s="982"/>
      <c r="Y75" s="991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29"/>
      <c r="K76" s="917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54"/>
      <c r="W76" s="794">
        <v>45687</v>
      </c>
      <c r="X76" s="982"/>
      <c r="Y76" s="991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29"/>
      <c r="K77" s="917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54"/>
      <c r="W77" s="822">
        <v>45625</v>
      </c>
      <c r="X77" s="982"/>
      <c r="Y77" s="991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29"/>
      <c r="K78" s="917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54"/>
      <c r="W78" s="822">
        <f>'Project Plan'!I47</f>
        <v>45631</v>
      </c>
      <c r="X78" s="982"/>
      <c r="Y78" s="991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29"/>
      <c r="K79" s="917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54"/>
      <c r="W79" s="845">
        <v>45701</v>
      </c>
      <c r="X79" s="982"/>
      <c r="Y79" s="991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19"/>
      <c r="K80" s="919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55"/>
      <c r="W80" s="692">
        <v>45722</v>
      </c>
      <c r="X80" s="983"/>
      <c r="Y80" s="992"/>
      <c r="Z80" s="202"/>
    </row>
    <row r="81" spans="1:42" ht="14.2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20">
        <f>SUM(G82:G91)</f>
        <v>32270.5</v>
      </c>
      <c r="K82" s="920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56">
        <f>K82-SUM(U82:U91)</f>
        <v>3.9345281402347609E-3</v>
      </c>
      <c r="W82" s="635"/>
      <c r="X82" s="984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21"/>
      <c r="K83" s="921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57"/>
      <c r="W83" s="477"/>
      <c r="X83" s="985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21"/>
      <c r="K84" s="921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57"/>
      <c r="W84" s="764">
        <v>45560</v>
      </c>
      <c r="X84" s="985"/>
      <c r="Y84" s="987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21"/>
      <c r="K85" s="921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57"/>
      <c r="W85" s="764">
        <f t="shared" ref="W85:W90" si="23">W74</f>
        <v>45575</v>
      </c>
      <c r="X85" s="985"/>
      <c r="Y85" s="988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21"/>
      <c r="K86" s="921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57"/>
      <c r="W86" s="764">
        <f t="shared" si="23"/>
        <v>45625</v>
      </c>
      <c r="X86" s="985"/>
      <c r="Y86" s="988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21"/>
      <c r="K87" s="921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57"/>
      <c r="W87" s="764">
        <v>45631</v>
      </c>
      <c r="X87" s="985"/>
      <c r="Y87" s="988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21"/>
      <c r="K88" s="921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58"/>
      <c r="W88" s="764">
        <f t="shared" si="23"/>
        <v>45625</v>
      </c>
      <c r="X88" s="985"/>
      <c r="Y88" s="988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21"/>
      <c r="K89" s="921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58"/>
      <c r="W89" s="764">
        <f t="shared" si="23"/>
        <v>45631</v>
      </c>
      <c r="X89" s="985"/>
      <c r="Y89" s="988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21"/>
      <c r="K90" s="921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58"/>
      <c r="W90" s="764">
        <f t="shared" si="23"/>
        <v>45701</v>
      </c>
      <c r="X90" s="985"/>
      <c r="Y90" s="988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22"/>
      <c r="K91" s="922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59"/>
      <c r="W91" s="848">
        <f>W80</f>
        <v>45722</v>
      </c>
      <c r="X91" s="986"/>
      <c r="Y91" s="989"/>
      <c r="Z91" s="198"/>
    </row>
    <row r="92" spans="1:42" ht="14.2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4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16">
        <f>SUM(G93:G97)</f>
        <v>29000</v>
      </c>
      <c r="K93" s="916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60">
        <f>K93-SUM(U93:U97)</f>
        <v>2.2235762808122672E-3</v>
      </c>
      <c r="W93" s="765">
        <v>45673</v>
      </c>
      <c r="X93" s="946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17"/>
      <c r="K94" s="917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61"/>
      <c r="W94" s="747">
        <v>45537</v>
      </c>
      <c r="X94" s="947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17"/>
      <c r="K95" s="917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61"/>
      <c r="W95" s="474"/>
      <c r="X95" s="947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17"/>
      <c r="K96" s="917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61"/>
      <c r="W96" s="474"/>
      <c r="X96" s="947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18"/>
      <c r="K97" s="918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62"/>
      <c r="W97" s="825">
        <f>'Project Plan'!I43</f>
        <v>45625</v>
      </c>
      <c r="X97" s="964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68"/>
      <c r="J99" s="920">
        <f>SUM(G99:G101)</f>
        <v>43075.96</v>
      </c>
      <c r="K99" s="920">
        <v>0</v>
      </c>
      <c r="L99" s="971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74">
        <f>SUM(R99:R101)</f>
        <v>43075.96</v>
      </c>
      <c r="Y99" s="209"/>
      <c r="Z99" s="195"/>
    </row>
    <row r="100" spans="1:42" ht="13.9">
      <c r="B100" s="736"/>
      <c r="C100" s="737"/>
      <c r="D100" s="737"/>
      <c r="E100" s="738"/>
      <c r="F100" s="739"/>
      <c r="G100" s="740"/>
      <c r="H100" s="741"/>
      <c r="I100" s="969"/>
      <c r="J100" s="921"/>
      <c r="K100" s="921"/>
      <c r="L100" s="972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75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70"/>
      <c r="J101" s="922"/>
      <c r="K101" s="922"/>
      <c r="L101" s="973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76"/>
      <c r="Y101" s="638"/>
      <c r="Z101" s="198"/>
    </row>
    <row r="102" spans="1:42" ht="13.9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43"/>
      <c r="J103" s="916">
        <f>SUM(G103:G109)</f>
        <v>66283.33</v>
      </c>
      <c r="K103" s="916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33">
        <f>K103-SUM(U103:U109)</f>
        <v>0</v>
      </c>
      <c r="W103" s="352">
        <v>45626</v>
      </c>
      <c r="X103" s="946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44"/>
      <c r="J104" s="917"/>
      <c r="K104" s="917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34"/>
      <c r="W104" s="732">
        <v>45900</v>
      </c>
      <c r="X104" s="947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44"/>
      <c r="J105" s="917"/>
      <c r="K105" s="917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34"/>
      <c r="W105" s="732">
        <v>45900</v>
      </c>
      <c r="X105" s="947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44"/>
      <c r="J106" s="917"/>
      <c r="K106" s="917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34"/>
      <c r="W106" s="513"/>
      <c r="X106" s="947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44"/>
      <c r="J107" s="917"/>
      <c r="K107" s="917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34"/>
      <c r="W107" s="513"/>
      <c r="X107" s="947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44"/>
      <c r="J108" s="917"/>
      <c r="K108" s="917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34"/>
      <c r="W108" s="513"/>
      <c r="X108" s="947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45"/>
      <c r="J109" s="918"/>
      <c r="K109" s="918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35"/>
      <c r="W109" s="475"/>
      <c r="X109" s="948"/>
      <c r="Y109" s="216"/>
      <c r="Z109" s="202"/>
    </row>
    <row r="110" spans="1:42" ht="14.2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20">
        <f>SUM(G111:G119)</f>
        <v>2625</v>
      </c>
      <c r="K111" s="920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77">
        <f>K111-SUM(U111:U119)</f>
        <v>3.8280687490441778E-3</v>
      </c>
      <c r="W111" s="767">
        <v>45540</v>
      </c>
      <c r="X111" s="984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21"/>
      <c r="K112" s="921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78"/>
      <c r="W112" s="798">
        <v>45569</v>
      </c>
      <c r="X112" s="985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21"/>
      <c r="K113" s="921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78"/>
      <c r="W113" s="798">
        <v>45604</v>
      </c>
      <c r="X113" s="985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21"/>
      <c r="K114" s="921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78"/>
      <c r="W114" s="798">
        <v>45632</v>
      </c>
      <c r="X114" s="985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21"/>
      <c r="K115" s="921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78"/>
      <c r="W115" s="798">
        <v>45666</v>
      </c>
      <c r="X115" s="985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21"/>
      <c r="K116" s="921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78"/>
      <c r="W116" s="798">
        <v>45695</v>
      </c>
      <c r="X116" s="985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21"/>
      <c r="K117" s="921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78"/>
      <c r="W117" s="846">
        <v>45722</v>
      </c>
      <c r="X117" s="985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21"/>
      <c r="K118" s="921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78"/>
      <c r="W118" s="846">
        <v>45785</v>
      </c>
      <c r="X118" s="985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22"/>
      <c r="K119" s="922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79"/>
      <c r="W119" s="471"/>
      <c r="X119" s="986"/>
      <c r="Y119" s="213"/>
      <c r="Z119" s="198"/>
    </row>
    <row r="120" spans="1:42" ht="14.2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 ht="13.9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16">
        <f>SUM(G121:G124)</f>
        <v>0</v>
      </c>
      <c r="K121" s="916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33">
        <f>K121-SUM(U121:U124)</f>
        <v>0</v>
      </c>
      <c r="W121" s="473"/>
      <c r="X121" s="946">
        <f>SUM(R121:R124)</f>
        <v>41872.699999999997</v>
      </c>
      <c r="Y121" s="215"/>
      <c r="Z121" s="200"/>
    </row>
    <row r="122" spans="1:42" ht="13.9">
      <c r="B122" s="401">
        <v>15</v>
      </c>
      <c r="C122" s="403"/>
      <c r="D122" s="403"/>
      <c r="E122" s="404"/>
      <c r="F122" s="454"/>
      <c r="G122" s="405"/>
      <c r="H122" s="357"/>
      <c r="I122" s="358"/>
      <c r="J122" s="917"/>
      <c r="K122" s="917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34"/>
      <c r="W122" s="747">
        <v>45792</v>
      </c>
      <c r="X122" s="947"/>
      <c r="Y122" s="210" t="s">
        <v>404</v>
      </c>
      <c r="Z122" s="201" t="s">
        <v>405</v>
      </c>
    </row>
    <row r="123" spans="1:42" ht="13.9">
      <c r="B123" s="401">
        <v>15</v>
      </c>
      <c r="C123" s="403"/>
      <c r="D123" s="403"/>
      <c r="E123" s="404"/>
      <c r="F123" s="454"/>
      <c r="G123" s="405"/>
      <c r="H123" s="357"/>
      <c r="I123" s="358"/>
      <c r="J123" s="917"/>
      <c r="K123" s="917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34"/>
      <c r="W123" s="474">
        <v>46053</v>
      </c>
      <c r="X123" s="947"/>
      <c r="Y123" s="210"/>
      <c r="Z123" s="201" t="s">
        <v>408</v>
      </c>
    </row>
    <row r="124" spans="1:42" ht="14.25" thickBot="1">
      <c r="B124" s="407">
        <v>15</v>
      </c>
      <c r="C124" s="408"/>
      <c r="D124" s="408"/>
      <c r="E124" s="409"/>
      <c r="F124" s="455"/>
      <c r="G124" s="428"/>
      <c r="H124" s="360"/>
      <c r="I124" s="361"/>
      <c r="J124" s="918"/>
      <c r="K124" s="918"/>
      <c r="L124" s="362"/>
      <c r="M124" s="407">
        <v>15</v>
      </c>
      <c r="N124" s="665" t="s">
        <v>401</v>
      </c>
      <c r="O124" s="408"/>
      <c r="P124" s="409"/>
      <c r="Q124" s="455"/>
      <c r="R124" s="428"/>
      <c r="S124" s="549"/>
      <c r="T124" s="514" t="str">
        <f t="shared" si="25"/>
        <v/>
      </c>
      <c r="U124" s="555"/>
      <c r="V124" s="935"/>
      <c r="W124" s="475"/>
      <c r="X124" s="964"/>
      <c r="Y124" s="216"/>
      <c r="Z124" s="202"/>
    </row>
    <row r="125" spans="1:42" s="3" customFormat="1" ht="13.9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Y48:Y55"/>
    <mergeCell ref="Y84:Y91"/>
    <mergeCell ref="Y73:Y80"/>
    <mergeCell ref="Y26:Y33"/>
    <mergeCell ref="Y6:Y7"/>
    <mergeCell ref="Y44:Y45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X6:X11"/>
    <mergeCell ref="X13:X16"/>
    <mergeCell ref="X18:X21"/>
    <mergeCell ref="X23:X33"/>
    <mergeCell ref="X35:X41"/>
    <mergeCell ref="I99:I101"/>
    <mergeCell ref="J99:J101"/>
    <mergeCell ref="K99:K101"/>
    <mergeCell ref="L99:L101"/>
    <mergeCell ref="J57:J64"/>
    <mergeCell ref="K57:K64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S2:W2"/>
    <mergeCell ref="V6:V11"/>
    <mergeCell ref="V13:V16"/>
    <mergeCell ref="V18:V21"/>
    <mergeCell ref="V23:V33"/>
    <mergeCell ref="J23:J33"/>
    <mergeCell ref="J35:J41"/>
    <mergeCell ref="J43:J55"/>
    <mergeCell ref="J66:J70"/>
    <mergeCell ref="J73:J80"/>
    <mergeCell ref="B2:H2"/>
    <mergeCell ref="M2:R2"/>
    <mergeCell ref="J6:J11"/>
    <mergeCell ref="J13:J16"/>
    <mergeCell ref="J18:J21"/>
    <mergeCell ref="K6:K11"/>
    <mergeCell ref="K13:K16"/>
    <mergeCell ref="K18:K21"/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W22"/>
  <sheetViews>
    <sheetView zoomScale="70" zoomScaleNormal="70" workbookViewId="0">
      <pane xSplit="5" ySplit="15" topLeftCell="BT34" activePane="bottomRight" state="frozen"/>
      <selection pane="bottomRight" activeCell="D30" sqref="D30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91" width="15.42578125" bestFit="1" customWidth="1"/>
    <col min="92" max="92" width="9.42578125" style="240"/>
  </cols>
  <sheetData>
    <row r="1" spans="1:569">
      <c r="D1" s="236" t="s">
        <v>409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</row>
    <row r="2" spans="1:569" s="240" customFormat="1">
      <c r="A2" s="996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>
      <c r="A3" s="997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</row>
    <row r="4" spans="1:569">
      <c r="A4" s="997"/>
      <c r="B4" s="244" t="s">
        <v>410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83">H4+I3</f>
        <v>580561.66482684645</v>
      </c>
      <c r="J4" s="247">
        <f t="shared" ref="J4" si="84">I4+J3</f>
        <v>580561.66482684645</v>
      </c>
      <c r="K4" s="247">
        <f t="shared" ref="K4" si="85">J4+K3</f>
        <v>580561.66482684645</v>
      </c>
      <c r="L4" s="247">
        <f t="shared" ref="L4" si="86">K4+L3</f>
        <v>580561.66482684645</v>
      </c>
      <c r="M4" s="247">
        <f t="shared" ref="M4" si="87">L4+M3</f>
        <v>580561.66482684645</v>
      </c>
      <c r="N4" s="247">
        <f t="shared" ref="N4" si="88">M4+N3</f>
        <v>580561.66482684645</v>
      </c>
      <c r="O4" s="247">
        <f t="shared" ref="O4" si="89">N4+O3</f>
        <v>580561.66482684645</v>
      </c>
      <c r="P4" s="247">
        <f t="shared" ref="P4" si="90">O4+P3</f>
        <v>580561.66482684645</v>
      </c>
      <c r="Q4" s="247">
        <f t="shared" ref="Q4" si="91">P4+Q3</f>
        <v>995248.56827459391</v>
      </c>
      <c r="R4" s="247">
        <f t="shared" ref="R4" si="92">Q4+R3</f>
        <v>995248.56827459391</v>
      </c>
      <c r="S4" s="247">
        <f t="shared" ref="S4" si="93">R4+S3</f>
        <v>995248.56827459391</v>
      </c>
      <c r="T4" s="247">
        <f t="shared" ref="T4" si="94">S4+T3</f>
        <v>1409935.4717223414</v>
      </c>
      <c r="U4" s="247">
        <f t="shared" ref="U4" si="95">T4+U3</f>
        <v>1409935.4717223414</v>
      </c>
      <c r="V4" s="247">
        <f t="shared" ref="V4" si="96">U4+V3</f>
        <v>1409935.4717223414</v>
      </c>
      <c r="W4" s="247">
        <f t="shared" ref="W4" si="97">V4+W3</f>
        <v>1409935.4717223414</v>
      </c>
      <c r="X4" s="247">
        <f t="shared" ref="X4" si="98">W4+X3</f>
        <v>1409935.4717223414</v>
      </c>
      <c r="Y4" s="247">
        <f t="shared" ref="Y4" si="99">X4+Y3</f>
        <v>1409935.4717223414</v>
      </c>
      <c r="Z4" s="247">
        <f t="shared" ref="Z4" si="100">Y4+Z3</f>
        <v>1661420.4531014403</v>
      </c>
      <c r="AA4" s="247">
        <f t="shared" ref="AA4" si="101">Z4+AA3</f>
        <v>1661420.4531014403</v>
      </c>
      <c r="AB4" s="247">
        <f t="shared" ref="AB4" si="102">AA4+AB3</f>
        <v>1661420.4531014403</v>
      </c>
      <c r="AC4" s="247">
        <f t="shared" ref="AC4" si="103">AB4+AC3</f>
        <v>1661420.4531014403</v>
      </c>
      <c r="AD4" s="247">
        <f t="shared" ref="AD4" si="104">AC4+AD3</f>
        <v>1661420.4531014403</v>
      </c>
      <c r="AE4" s="247">
        <f t="shared" ref="AE4" si="105">AD4+AE3</f>
        <v>1661420.4531014403</v>
      </c>
      <c r="AF4" s="247">
        <f t="shared" ref="AF4" si="106">AE4+AF3</f>
        <v>1661420.4531014403</v>
      </c>
      <c r="AG4" s="247">
        <f t="shared" ref="AG4" si="107">AF4+AG3</f>
        <v>1661420.4531014403</v>
      </c>
      <c r="AH4" s="247">
        <f t="shared" ref="AH4" si="108">AG4+AH3</f>
        <v>1661420.4531014403</v>
      </c>
      <c r="AI4" s="247">
        <f t="shared" ref="AI4" si="109">AH4+AI3</f>
        <v>1744357.8337909898</v>
      </c>
      <c r="AJ4" s="247">
        <f t="shared" ref="AJ4" si="110">AI4+AJ3</f>
        <v>1744357.8337909898</v>
      </c>
      <c r="AK4" s="247">
        <f t="shared" ref="AK4" si="111">AJ4+AK3</f>
        <v>1744357.8337909898</v>
      </c>
      <c r="AL4" s="247">
        <f t="shared" ref="AL4" si="112">AK4+AL3</f>
        <v>1744357.8337909898</v>
      </c>
      <c r="AM4" s="247">
        <f t="shared" ref="AM4" si="113">AL4+AM3</f>
        <v>1744357.8337909898</v>
      </c>
      <c r="AN4" s="247">
        <f t="shared" ref="AN4" si="114">AM4+AN3</f>
        <v>1744357.8337909898</v>
      </c>
      <c r="AO4" s="247">
        <f t="shared" ref="AO4" si="115">AN4+AO3</f>
        <v>1744357.8337909898</v>
      </c>
      <c r="AP4" s="247">
        <f t="shared" ref="AP4" si="116">AO4+AP3</f>
        <v>1744357.8337909898</v>
      </c>
      <c r="AQ4" s="247">
        <f t="shared" ref="AQ4" si="117">AP4+AQ3</f>
        <v>1744357.8337909898</v>
      </c>
      <c r="AR4" s="247">
        <f t="shared" ref="AR4" si="118">AQ4+AR3</f>
        <v>1744357.8337909898</v>
      </c>
      <c r="AS4" s="247">
        <f t="shared" ref="AS4" si="119">AR4+AS3</f>
        <v>1744357.8337909898</v>
      </c>
      <c r="AT4" s="247">
        <f t="shared" ref="AT4" si="120">AS4+AT3</f>
        <v>1744357.8337909898</v>
      </c>
      <c r="AU4" s="247">
        <f t="shared" ref="AU4" si="121">AT4+AU3</f>
        <v>1744357.8337909898</v>
      </c>
      <c r="AV4" s="247">
        <f t="shared" ref="AV4" si="122">AU4+AV3</f>
        <v>1744357.8337909898</v>
      </c>
      <c r="AW4" s="247">
        <f t="shared" ref="AW4" si="123">AV4+AW3</f>
        <v>1744357.8337909898</v>
      </c>
      <c r="AX4" s="247">
        <f t="shared" ref="AX4" si="124">AW4+AX3</f>
        <v>1744357.8337909898</v>
      </c>
      <c r="AY4" s="247">
        <f t="shared" ref="AY4" si="125">AX4+AY3</f>
        <v>1744357.8337909898</v>
      </c>
      <c r="AZ4" s="247">
        <f t="shared" ref="AZ4" si="126">AY4+AZ3</f>
        <v>1744357.8337909898</v>
      </c>
      <c r="BA4" s="247">
        <f t="shared" ref="BA4" si="127">AZ4+BA3</f>
        <v>1744357.8337909898</v>
      </c>
      <c r="BB4" s="247">
        <f t="shared" ref="BB4" si="128">BA4+BB3</f>
        <v>1744357.8337909898</v>
      </c>
      <c r="BC4" s="247">
        <f t="shared" ref="BC4" si="129">BB4+BC3</f>
        <v>1744357.8337909898</v>
      </c>
      <c r="BD4" s="247">
        <f t="shared" ref="BD4" si="130">BC4+BD3</f>
        <v>1744357.8337909898</v>
      </c>
      <c r="BE4" s="247">
        <f t="shared" ref="BE4" si="131">BD4+BE3</f>
        <v>1744357.8337909898</v>
      </c>
      <c r="BF4" s="247">
        <f t="shared" ref="BF4" si="132">BE4+BF3</f>
        <v>1744357.8337909898</v>
      </c>
      <c r="BG4" s="247">
        <f t="shared" ref="BG4" si="133">BF4+BG3</f>
        <v>1744357.8337909898</v>
      </c>
      <c r="BH4" s="247">
        <f t="shared" ref="BH4" si="134">BG4+BH3</f>
        <v>1744357.8337909898</v>
      </c>
      <c r="BI4" s="247">
        <f t="shared" ref="BI4" si="135">BH4+BI3</f>
        <v>1744357.8337909898</v>
      </c>
      <c r="BJ4" s="247">
        <f t="shared" ref="BJ4" si="136">BI4+BJ3</f>
        <v>1744357.8337909898</v>
      </c>
      <c r="BK4" s="247">
        <f t="shared" ref="BK4" si="137">BJ4+BK3</f>
        <v>1744357.8337909898</v>
      </c>
      <c r="BL4" s="247">
        <f t="shared" ref="BL4" si="138">BK4+BL3</f>
        <v>1744357.8337909898</v>
      </c>
      <c r="BM4" s="247">
        <f t="shared" ref="BM4" si="139">BL4+BM3</f>
        <v>1744357.8337909898</v>
      </c>
      <c r="BN4" s="247">
        <f t="shared" ref="BN4" si="140">BM4+BN3</f>
        <v>1744357.8337909898</v>
      </c>
      <c r="BO4" s="247">
        <f t="shared" ref="BO4" si="141">BN4+BO3</f>
        <v>1744357.8337909898</v>
      </c>
      <c r="BP4" s="247">
        <f t="shared" ref="BP4" si="142">BO4+BP3</f>
        <v>1744357.8337909898</v>
      </c>
      <c r="BQ4" s="247">
        <f t="shared" ref="BQ4" si="143">BP4+BQ3</f>
        <v>1744357.8337909898</v>
      </c>
      <c r="BR4" s="247">
        <f t="shared" ref="BR4" si="144">BQ4+BR3</f>
        <v>1744357.8337909898</v>
      </c>
      <c r="BS4" s="247">
        <f t="shared" ref="BS4" si="145">BR4+BS3</f>
        <v>1744357.8337909898</v>
      </c>
      <c r="BT4" s="247">
        <f t="shared" ref="BT4" si="146">BS4+BT3</f>
        <v>1744357.8337909898</v>
      </c>
      <c r="BU4" s="247">
        <f t="shared" ref="BU4" si="147">BT4+BU3</f>
        <v>1744357.8337909898</v>
      </c>
      <c r="BV4" s="247">
        <f t="shared" ref="BV4" si="148">BU4+BV3</f>
        <v>1744357.8337909898</v>
      </c>
      <c r="BW4" s="247">
        <f t="shared" ref="BW4" si="149">BV4+BW3</f>
        <v>1744357.8337909898</v>
      </c>
      <c r="BX4" s="247">
        <f t="shared" ref="BX4" si="150">BW4+BX3</f>
        <v>1744357.8337909898</v>
      </c>
      <c r="BY4" s="247">
        <f t="shared" ref="BY4" si="151">BX4+BY3</f>
        <v>1744357.8337909898</v>
      </c>
      <c r="BZ4" s="247">
        <f t="shared" ref="BZ4" si="152">BY4+BZ3</f>
        <v>1744357.8337909898</v>
      </c>
      <c r="CA4" s="247">
        <f t="shared" ref="CA4" si="153">BZ4+CA3</f>
        <v>1744357.8337909898</v>
      </c>
      <c r="CB4" s="247">
        <f t="shared" ref="CB4" si="154">CA4+CB3</f>
        <v>1744357.8337909898</v>
      </c>
      <c r="CC4" s="247">
        <f t="shared" ref="CC4" si="155">CB4+CC3</f>
        <v>1744357.8337909898</v>
      </c>
      <c r="CD4" s="247">
        <f t="shared" ref="CD4" si="156">CC4+CD3</f>
        <v>1744357.8337909898</v>
      </c>
      <c r="CE4" s="247">
        <f t="shared" ref="CE4" si="157">CD4+CE3</f>
        <v>1744357.8337909898</v>
      </c>
      <c r="CF4" s="247">
        <f t="shared" ref="CF4" si="158">CE4+CF3</f>
        <v>1744357.8337909898</v>
      </c>
      <c r="CG4" s="247">
        <f t="shared" ref="CG4" si="159">CF4+CG3</f>
        <v>1744357.8337909898</v>
      </c>
      <c r="CH4" s="247">
        <f t="shared" ref="CH4" si="160">CG4+CH3</f>
        <v>1744357.8337909898</v>
      </c>
      <c r="CI4" s="247">
        <f t="shared" ref="CI4" si="161">CH4+CI3</f>
        <v>1744357.8337909898</v>
      </c>
      <c r="CJ4" s="247">
        <f t="shared" ref="CJ4" si="162">CI4+CJ3</f>
        <v>1744357.8337909898</v>
      </c>
      <c r="CK4" s="247">
        <f t="shared" ref="CK4" si="163">CJ4+CK3</f>
        <v>1744357.8337909898</v>
      </c>
      <c r="CL4" s="247">
        <f t="shared" ref="CL4" si="164">CK4+CL3</f>
        <v>1744357.8337909898</v>
      </c>
      <c r="CM4" s="247">
        <f t="shared" ref="CM4" si="165">CL4+CM3</f>
        <v>1744357.8337909898</v>
      </c>
    </row>
    <row r="5" spans="1:569" s="252" customFormat="1">
      <c r="A5" s="997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40"/>
      <c r="CO5" s="251"/>
      <c r="CP5" s="251"/>
    </row>
    <row r="6" spans="1:569" s="252" customFormat="1">
      <c r="A6" s="997"/>
      <c r="B6" s="248" t="s">
        <v>411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166">H6+I5</f>
        <v>0</v>
      </c>
      <c r="J6" s="250">
        <f t="shared" ref="J6" si="167">I6+J5</f>
        <v>0</v>
      </c>
      <c r="K6" s="250">
        <f t="shared" ref="K6" si="168">J6+K5</f>
        <v>0</v>
      </c>
      <c r="L6" s="250">
        <f t="shared" ref="L6" si="169">K6+L5</f>
        <v>0</v>
      </c>
      <c r="M6" s="250">
        <f t="shared" ref="M6" si="170">L6+M5</f>
        <v>0</v>
      </c>
      <c r="N6" s="250">
        <f t="shared" ref="N6" si="171">M6+N5</f>
        <v>0</v>
      </c>
      <c r="O6" s="250">
        <f t="shared" ref="O6" si="172">N6+O5</f>
        <v>13110</v>
      </c>
      <c r="P6" s="250">
        <f t="shared" ref="P6" si="173">O6+P5</f>
        <v>92284.17300000001</v>
      </c>
      <c r="Q6" s="250">
        <f t="shared" ref="Q6" si="174">P6+Q5</f>
        <v>92284.17300000001</v>
      </c>
      <c r="R6" s="250">
        <f t="shared" ref="R6" si="175">Q6+R5</f>
        <v>92284.17300000001</v>
      </c>
      <c r="S6" s="250">
        <f t="shared" ref="S6" si="176">R6+S5</f>
        <v>92725.773000000016</v>
      </c>
      <c r="T6" s="250">
        <f t="shared" ref="T6" si="177">S6+T5</f>
        <v>383649.77300000004</v>
      </c>
      <c r="U6" s="250">
        <f t="shared" ref="U6" si="178">T6+U5</f>
        <v>465215.33700000006</v>
      </c>
      <c r="V6" s="250">
        <f t="shared" ref="V6" si="179">U6+V5</f>
        <v>465215.33700000006</v>
      </c>
      <c r="W6" s="250">
        <f t="shared" ref="W6" si="180">V6+W5</f>
        <v>504115.33700000006</v>
      </c>
      <c r="X6" s="250">
        <f t="shared" ref="X6" si="181">W6+X5</f>
        <v>504115.33700000006</v>
      </c>
      <c r="Y6" s="250">
        <f t="shared" ref="Y6" si="182">X6+Y5</f>
        <v>617072.29200000002</v>
      </c>
      <c r="Z6" s="250">
        <f t="shared" ref="Z6" si="183">Y6+Z5</f>
        <v>705125.57400000002</v>
      </c>
      <c r="AA6" s="250">
        <f t="shared" ref="AA6" si="184">Z6+AA5</f>
        <v>1234210.666</v>
      </c>
      <c r="AB6" s="250">
        <f t="shared" ref="AB6" si="185">AA6+AB5</f>
        <v>1282274.8389999999</v>
      </c>
      <c r="AC6" s="250">
        <f t="shared" ref="AC6" si="186">AB6+AC5</f>
        <v>1282274.8389999999</v>
      </c>
      <c r="AD6" s="250">
        <f t="shared" ref="AD6" si="187">AC6+AD5</f>
        <v>1351183.169</v>
      </c>
      <c r="AE6" s="250">
        <f t="shared" ref="AE6" si="188">AD6+AE5</f>
        <v>1351183.169</v>
      </c>
      <c r="AF6" s="250">
        <f t="shared" ref="AF6" si="189">AE6+AF5</f>
        <v>1371574.56</v>
      </c>
      <c r="AG6" s="250">
        <f t="shared" ref="AG6" si="190">AF6+AG5</f>
        <v>1371574.56</v>
      </c>
      <c r="AH6" s="250">
        <f t="shared" ref="AH6" si="191">AG6+AH5</f>
        <v>1414650.52</v>
      </c>
      <c r="AI6" s="250">
        <f t="shared" ref="AI6" si="192">AH6+AI5</f>
        <v>1414650.52</v>
      </c>
      <c r="AJ6" s="250">
        <f t="shared" ref="AJ6" si="193">AI6+AJ5</f>
        <v>1414650.52</v>
      </c>
      <c r="AK6" s="250">
        <f t="shared" ref="AK6" si="194">AJ6+AK5</f>
        <v>1414650.52</v>
      </c>
      <c r="AL6" s="250">
        <f t="shared" ref="AL6" si="195">AK6+AL5</f>
        <v>1414650.52</v>
      </c>
      <c r="AM6" s="250">
        <f t="shared" ref="AM6" si="196">AL6+AM5</f>
        <v>1414650.52</v>
      </c>
      <c r="AN6" s="250">
        <f t="shared" ref="AN6" si="197">AM6+AN5</f>
        <v>1414650.52</v>
      </c>
      <c r="AO6" s="250">
        <f t="shared" ref="AO6" si="198">AN6+AO5</f>
        <v>1414650.52</v>
      </c>
      <c r="AP6" s="250">
        <f t="shared" ref="AP6" si="199">AO6+AP5</f>
        <v>1414650.52</v>
      </c>
      <c r="AQ6" s="250">
        <f t="shared" ref="AQ6" si="200">AP6+AQ5</f>
        <v>1414650.52</v>
      </c>
      <c r="AR6" s="250">
        <f t="shared" ref="AR6" si="201">AQ6+AR5</f>
        <v>1414650.52</v>
      </c>
      <c r="AS6" s="250">
        <f t="shared" ref="AS6" si="202">AR6+AS5</f>
        <v>1414650.52</v>
      </c>
      <c r="AT6" s="250">
        <f t="shared" ref="AT6" si="203">AS6+AT5</f>
        <v>1414650.52</v>
      </c>
      <c r="AU6" s="250">
        <f t="shared" ref="AU6" si="204">AT6+AU5</f>
        <v>1414650.52</v>
      </c>
      <c r="AV6" s="250">
        <f t="shared" ref="AV6" si="205">AU6+AV5</f>
        <v>1414650.52</v>
      </c>
      <c r="AW6" s="250">
        <f t="shared" ref="AW6" si="206">AV6+AW5</f>
        <v>1414650.52</v>
      </c>
      <c r="AX6" s="250">
        <f t="shared" ref="AX6" si="207">AW6+AX5</f>
        <v>1414650.52</v>
      </c>
      <c r="AY6" s="250">
        <f t="shared" ref="AY6" si="208">AX6+AY5</f>
        <v>1414650.52</v>
      </c>
      <c r="AZ6" s="250">
        <f t="shared" ref="AZ6" si="209">AY6+AZ5</f>
        <v>1414650.52</v>
      </c>
      <c r="BA6" s="250">
        <f t="shared" ref="BA6" si="210">AZ6+BA5</f>
        <v>1414650.52</v>
      </c>
      <c r="BB6" s="250">
        <f t="shared" ref="BB6" si="211">BA6+BB5</f>
        <v>1414650.52</v>
      </c>
      <c r="BC6" s="250">
        <f t="shared" ref="BC6" si="212">BB6+BC5</f>
        <v>1414650.52</v>
      </c>
      <c r="BD6" s="250">
        <f t="shared" ref="BD6" si="213">BC6+BD5</f>
        <v>1414650.52</v>
      </c>
      <c r="BE6" s="250">
        <f t="shared" ref="BE6" si="214">BD6+BE5</f>
        <v>1414650.52</v>
      </c>
      <c r="BF6" s="250">
        <f t="shared" ref="BF6" si="215">BE6+BF5</f>
        <v>1414650.52</v>
      </c>
      <c r="BG6" s="250">
        <f t="shared" ref="BG6" si="216">BF6+BG5</f>
        <v>1414650.52</v>
      </c>
      <c r="BH6" s="250">
        <f t="shared" ref="BH6" si="217">BG6+BH5</f>
        <v>1414650.52</v>
      </c>
      <c r="BI6" s="250">
        <f t="shared" ref="BI6" si="218">BH6+BI5</f>
        <v>1414650.52</v>
      </c>
      <c r="BJ6" s="250">
        <f t="shared" ref="BJ6" si="219">BI6+BJ5</f>
        <v>1414650.52</v>
      </c>
      <c r="BK6" s="250">
        <f t="shared" ref="BK6" si="220">BJ6+BK5</f>
        <v>1414650.52</v>
      </c>
      <c r="BL6" s="250">
        <f t="shared" ref="BL6" si="221">BK6+BL5</f>
        <v>1414650.52</v>
      </c>
      <c r="BM6" s="250">
        <f t="shared" ref="BM6" si="222">BL6+BM5</f>
        <v>1414650.52</v>
      </c>
      <c r="BN6" s="250">
        <f t="shared" ref="BN6" si="223">BM6+BN5</f>
        <v>1414650.52</v>
      </c>
      <c r="BO6" s="250">
        <f t="shared" ref="BO6" si="224">BN6+BO5</f>
        <v>1414650.52</v>
      </c>
      <c r="BP6" s="250">
        <f t="shared" ref="BP6" si="225">BO6+BP5</f>
        <v>1414650.52</v>
      </c>
      <c r="BQ6" s="250">
        <f t="shared" ref="BQ6" si="226">BP6+BQ5</f>
        <v>1414650.52</v>
      </c>
      <c r="BR6" s="250">
        <f t="shared" ref="BR6" si="227">BQ6+BR5</f>
        <v>1414650.52</v>
      </c>
      <c r="BS6" s="250">
        <f t="shared" ref="BS6" si="228">BR6+BS5</f>
        <v>1414650.52</v>
      </c>
      <c r="BT6" s="250">
        <f t="shared" ref="BT6" si="229">BS6+BT5</f>
        <v>1414650.52</v>
      </c>
      <c r="BU6" s="250">
        <f t="shared" ref="BU6" si="230">BT6+BU5</f>
        <v>1414650.52</v>
      </c>
      <c r="BV6" s="250">
        <f t="shared" ref="BV6" si="231">BU6+BV5</f>
        <v>1414650.52</v>
      </c>
      <c r="BW6" s="250">
        <f t="shared" ref="BW6" si="232">BV6+BW5</f>
        <v>1414650.52</v>
      </c>
      <c r="BX6" s="250">
        <f t="shared" ref="BX6" si="233">BW6+BX5</f>
        <v>1414650.52</v>
      </c>
      <c r="BY6" s="250">
        <f t="shared" ref="BY6" si="234">BX6+BY5</f>
        <v>1414650.52</v>
      </c>
      <c r="BZ6" s="250">
        <f t="shared" ref="BZ6" si="235">BY6+BZ5</f>
        <v>1414650.52</v>
      </c>
      <c r="CA6" s="250">
        <f t="shared" ref="CA6" si="236">BZ6+CA5</f>
        <v>1414650.52</v>
      </c>
      <c r="CB6" s="250">
        <f t="shared" ref="CB6" si="237">CA6+CB5</f>
        <v>1414650.52</v>
      </c>
      <c r="CC6" s="250">
        <f t="shared" ref="CC6" si="238">CB6+CC5</f>
        <v>1414650.52</v>
      </c>
      <c r="CD6" s="250">
        <f t="shared" ref="CD6" si="239">CC6+CD5</f>
        <v>1414650.52</v>
      </c>
      <c r="CE6" s="250">
        <f t="shared" ref="CE6" si="240">CD6+CE5</f>
        <v>1414650.52</v>
      </c>
      <c r="CF6" s="250">
        <f t="shared" ref="CF6" si="241">CE6+CF5</f>
        <v>1414650.52</v>
      </c>
      <c r="CG6" s="250">
        <f t="shared" ref="CG6" si="242">CF6+CG5</f>
        <v>1414650.52</v>
      </c>
      <c r="CH6" s="250">
        <f t="shared" ref="CH6" si="243">CG6+CH5</f>
        <v>1414650.52</v>
      </c>
      <c r="CI6" s="250">
        <f t="shared" ref="CI6" si="244">CH6+CI5</f>
        <v>1414650.52</v>
      </c>
      <c r="CJ6" s="250">
        <f t="shared" ref="CJ6" si="245">CI6+CJ5</f>
        <v>1414650.52</v>
      </c>
      <c r="CK6" s="250">
        <f t="shared" ref="CK6" si="246">CJ6+CK5</f>
        <v>1414650.52</v>
      </c>
      <c r="CL6" s="250">
        <f t="shared" ref="CL6" si="247">CK6+CL5</f>
        <v>1414650.52</v>
      </c>
      <c r="CM6" s="250">
        <f t="shared" ref="CM6" si="248">CL6+CM5</f>
        <v>1414650.52</v>
      </c>
      <c r="CN6" s="240"/>
      <c r="CO6" s="251"/>
    </row>
    <row r="7" spans="1:569">
      <c r="A7" s="997"/>
      <c r="B7" s="253" t="s">
        <v>412</v>
      </c>
      <c r="C7" s="254"/>
      <c r="D7" s="254"/>
      <c r="E7" s="255"/>
      <c r="F7" s="256">
        <f t="shared" ref="F7:H7" si="249">F4-F6</f>
        <v>580561.66482684645</v>
      </c>
      <c r="G7" s="256">
        <f t="shared" si="249"/>
        <v>580561.66482684645</v>
      </c>
      <c r="H7" s="256">
        <f t="shared" si="249"/>
        <v>580561.66482684645</v>
      </c>
      <c r="I7" s="256">
        <f t="shared" ref="I7" si="250">I4-I6</f>
        <v>580561.66482684645</v>
      </c>
      <c r="J7" s="256">
        <f t="shared" ref="J7:R7" si="251">J4-J6</f>
        <v>580561.66482684645</v>
      </c>
      <c r="K7" s="256">
        <f t="shared" si="251"/>
        <v>580561.66482684645</v>
      </c>
      <c r="L7" s="256">
        <f t="shared" si="251"/>
        <v>580561.66482684645</v>
      </c>
      <c r="M7" s="256">
        <f t="shared" si="251"/>
        <v>580561.66482684645</v>
      </c>
      <c r="N7" s="256">
        <f t="shared" si="251"/>
        <v>580561.66482684645</v>
      </c>
      <c r="O7" s="256">
        <f t="shared" si="251"/>
        <v>567451.66482684645</v>
      </c>
      <c r="P7" s="256">
        <f t="shared" si="251"/>
        <v>488277.49182684644</v>
      </c>
      <c r="Q7" s="256">
        <f t="shared" si="251"/>
        <v>902964.39527459396</v>
      </c>
      <c r="R7" s="256">
        <f t="shared" si="251"/>
        <v>902964.39527459396</v>
      </c>
      <c r="S7" s="256">
        <f t="shared" ref="S7:CD7" si="252">S4-S6</f>
        <v>902522.79527459387</v>
      </c>
      <c r="T7" s="256">
        <f t="shared" si="252"/>
        <v>1026285.6987223413</v>
      </c>
      <c r="U7" s="256">
        <f t="shared" si="252"/>
        <v>944720.13472234132</v>
      </c>
      <c r="V7" s="256">
        <f t="shared" si="252"/>
        <v>944720.13472234132</v>
      </c>
      <c r="W7" s="256">
        <f t="shared" si="252"/>
        <v>905820.13472234132</v>
      </c>
      <c r="X7" s="256">
        <f t="shared" si="252"/>
        <v>905820.13472234132</v>
      </c>
      <c r="Y7" s="256">
        <f t="shared" si="252"/>
        <v>792863.17972234136</v>
      </c>
      <c r="Z7" s="256">
        <f t="shared" si="252"/>
        <v>956294.87910144031</v>
      </c>
      <c r="AA7" s="256">
        <f t="shared" si="252"/>
        <v>427209.78710144036</v>
      </c>
      <c r="AB7" s="256">
        <f t="shared" si="252"/>
        <v>379145.61410144041</v>
      </c>
      <c r="AC7" s="256">
        <f t="shared" si="252"/>
        <v>379145.61410144041</v>
      </c>
      <c r="AD7" s="256">
        <f t="shared" si="252"/>
        <v>310237.28410144034</v>
      </c>
      <c r="AE7" s="256">
        <f t="shared" si="252"/>
        <v>310237.28410144034</v>
      </c>
      <c r="AF7" s="256">
        <f t="shared" si="252"/>
        <v>289845.89310144028</v>
      </c>
      <c r="AG7" s="256">
        <f t="shared" si="252"/>
        <v>289845.89310144028</v>
      </c>
      <c r="AH7" s="256">
        <f t="shared" si="252"/>
        <v>246769.93310144031</v>
      </c>
      <c r="AI7" s="256">
        <f t="shared" si="252"/>
        <v>329707.31379098981</v>
      </c>
      <c r="AJ7" s="256">
        <f t="shared" si="252"/>
        <v>329707.31379098981</v>
      </c>
      <c r="AK7" s="256">
        <f t="shared" si="252"/>
        <v>329707.31379098981</v>
      </c>
      <c r="AL7" s="256">
        <f t="shared" si="252"/>
        <v>329707.31379098981</v>
      </c>
      <c r="AM7" s="256">
        <f t="shared" si="252"/>
        <v>329707.31379098981</v>
      </c>
      <c r="AN7" s="256">
        <f t="shared" si="252"/>
        <v>329707.31379098981</v>
      </c>
      <c r="AO7" s="256">
        <f t="shared" si="252"/>
        <v>329707.31379098981</v>
      </c>
      <c r="AP7" s="256">
        <f t="shared" si="252"/>
        <v>329707.31379098981</v>
      </c>
      <c r="AQ7" s="256">
        <f t="shared" si="252"/>
        <v>329707.31379098981</v>
      </c>
      <c r="AR7" s="256">
        <f t="shared" si="252"/>
        <v>329707.31379098981</v>
      </c>
      <c r="AS7" s="256">
        <f t="shared" si="252"/>
        <v>329707.31379098981</v>
      </c>
      <c r="AT7" s="256">
        <f t="shared" si="252"/>
        <v>329707.31379098981</v>
      </c>
      <c r="AU7" s="256">
        <f t="shared" si="252"/>
        <v>329707.31379098981</v>
      </c>
      <c r="AV7" s="256">
        <f t="shared" si="252"/>
        <v>329707.31379098981</v>
      </c>
      <c r="AW7" s="256">
        <f t="shared" si="252"/>
        <v>329707.31379098981</v>
      </c>
      <c r="AX7" s="256">
        <f t="shared" si="252"/>
        <v>329707.31379098981</v>
      </c>
      <c r="AY7" s="256">
        <f t="shared" si="252"/>
        <v>329707.31379098981</v>
      </c>
      <c r="AZ7" s="256">
        <f t="shared" si="252"/>
        <v>329707.31379098981</v>
      </c>
      <c r="BA7" s="256">
        <f t="shared" si="252"/>
        <v>329707.31379098981</v>
      </c>
      <c r="BB7" s="256">
        <f t="shared" si="252"/>
        <v>329707.31379098981</v>
      </c>
      <c r="BC7" s="256">
        <f t="shared" si="252"/>
        <v>329707.31379098981</v>
      </c>
      <c r="BD7" s="256">
        <f t="shared" si="252"/>
        <v>329707.31379098981</v>
      </c>
      <c r="BE7" s="256">
        <f t="shared" si="252"/>
        <v>329707.31379098981</v>
      </c>
      <c r="BF7" s="256">
        <f t="shared" si="252"/>
        <v>329707.31379098981</v>
      </c>
      <c r="BG7" s="256">
        <f t="shared" si="252"/>
        <v>329707.31379098981</v>
      </c>
      <c r="BH7" s="256">
        <f t="shared" si="252"/>
        <v>329707.31379098981</v>
      </c>
      <c r="BI7" s="256">
        <f t="shared" si="252"/>
        <v>329707.31379098981</v>
      </c>
      <c r="BJ7" s="256">
        <f t="shared" si="252"/>
        <v>329707.31379098981</v>
      </c>
      <c r="BK7" s="256">
        <f t="shared" si="252"/>
        <v>329707.31379098981</v>
      </c>
      <c r="BL7" s="256">
        <f t="shared" si="252"/>
        <v>329707.31379098981</v>
      </c>
      <c r="BM7" s="256">
        <f t="shared" si="252"/>
        <v>329707.31379098981</v>
      </c>
      <c r="BN7" s="256">
        <f t="shared" si="252"/>
        <v>329707.31379098981</v>
      </c>
      <c r="BO7" s="256">
        <f t="shared" si="252"/>
        <v>329707.31379098981</v>
      </c>
      <c r="BP7" s="256">
        <f t="shared" si="252"/>
        <v>329707.31379098981</v>
      </c>
      <c r="BQ7" s="256">
        <f t="shared" si="252"/>
        <v>329707.31379098981</v>
      </c>
      <c r="BR7" s="256">
        <f t="shared" si="252"/>
        <v>329707.31379098981</v>
      </c>
      <c r="BS7" s="256">
        <f t="shared" si="252"/>
        <v>329707.31379098981</v>
      </c>
      <c r="BT7" s="256">
        <f t="shared" si="252"/>
        <v>329707.31379098981</v>
      </c>
      <c r="BU7" s="256">
        <f t="shared" si="252"/>
        <v>329707.31379098981</v>
      </c>
      <c r="BV7" s="256">
        <f t="shared" si="252"/>
        <v>329707.31379098981</v>
      </c>
      <c r="BW7" s="256">
        <f t="shared" si="252"/>
        <v>329707.31379098981</v>
      </c>
      <c r="BX7" s="256">
        <f t="shared" si="252"/>
        <v>329707.31379098981</v>
      </c>
      <c r="BY7" s="256">
        <f t="shared" si="252"/>
        <v>329707.31379098981</v>
      </c>
      <c r="BZ7" s="256">
        <f t="shared" si="252"/>
        <v>329707.31379098981</v>
      </c>
      <c r="CA7" s="256">
        <f t="shared" si="252"/>
        <v>329707.31379098981</v>
      </c>
      <c r="CB7" s="256">
        <f t="shared" si="252"/>
        <v>329707.31379098981</v>
      </c>
      <c r="CC7" s="256">
        <f t="shared" si="252"/>
        <v>329707.31379098981</v>
      </c>
      <c r="CD7" s="256">
        <f t="shared" si="252"/>
        <v>329707.31379098981</v>
      </c>
      <c r="CE7" s="256">
        <f t="shared" ref="CE7:CM7" si="253">CE4-CE6</f>
        <v>329707.31379098981</v>
      </c>
      <c r="CF7" s="256">
        <f t="shared" si="253"/>
        <v>329707.31379098981</v>
      </c>
      <c r="CG7" s="256">
        <f t="shared" si="253"/>
        <v>329707.31379098981</v>
      </c>
      <c r="CH7" s="256">
        <f t="shared" si="253"/>
        <v>329707.31379098981</v>
      </c>
      <c r="CI7" s="256">
        <f t="shared" si="253"/>
        <v>329707.31379098981</v>
      </c>
      <c r="CJ7" s="256">
        <f t="shared" si="253"/>
        <v>329707.31379098981</v>
      </c>
      <c r="CK7" s="256">
        <f t="shared" si="253"/>
        <v>329707.31379098981</v>
      </c>
      <c r="CL7" s="256">
        <f t="shared" si="253"/>
        <v>329707.31379098981</v>
      </c>
      <c r="CM7" s="256">
        <f t="shared" si="253"/>
        <v>329707.31379098981</v>
      </c>
    </row>
    <row r="8" spans="1:569" s="240" customFormat="1">
      <c r="A8" s="996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>
      <c r="A9" s="997"/>
      <c r="B9" s="258" t="s">
        <v>413</v>
      </c>
      <c r="C9" s="259">
        <f>'Revenue Tracking'!F4</f>
        <v>1729080.5537909898</v>
      </c>
      <c r="D9" s="259">
        <f>SUM(F9:CM9)</f>
        <v>1729080.5537909898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-15277.28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</row>
    <row r="10" spans="1:569">
      <c r="A10" s="997"/>
      <c r="B10" s="258" t="s">
        <v>414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254">H10+I9</f>
        <v>580561.66482684645</v>
      </c>
      <c r="J10" s="260">
        <f t="shared" ref="J10" si="255">I10+J9</f>
        <v>580561.66482684645</v>
      </c>
      <c r="K10" s="260">
        <f t="shared" ref="K10" si="256">J10+K9</f>
        <v>580561.66482684645</v>
      </c>
      <c r="L10" s="260">
        <f t="shared" ref="L10" si="257">K10+L9</f>
        <v>580561.66482684645</v>
      </c>
      <c r="M10" s="260">
        <f t="shared" ref="M10" si="258">L10+M9</f>
        <v>580561.66482684645</v>
      </c>
      <c r="N10" s="260">
        <f t="shared" ref="N10" si="259">M10+N9</f>
        <v>580561.66482684645</v>
      </c>
      <c r="O10" s="260">
        <f t="shared" ref="O10" si="260">N10+O9</f>
        <v>580561.66482684645</v>
      </c>
      <c r="P10" s="260">
        <f t="shared" ref="P10" si="261">O10+P9</f>
        <v>580561.66482684645</v>
      </c>
      <c r="Q10" s="260">
        <f t="shared" ref="Q10" si="262">P10+Q9</f>
        <v>580561.66482684645</v>
      </c>
      <c r="R10" s="260">
        <f t="shared" ref="R10" si="263">Q10+R9</f>
        <v>995248.56827459391</v>
      </c>
      <c r="S10" s="260">
        <f t="shared" ref="S10" si="264">R10+S9</f>
        <v>995248.56827459391</v>
      </c>
      <c r="T10" s="260">
        <f t="shared" ref="T10" si="265">S10+T9</f>
        <v>995248.56827459391</v>
      </c>
      <c r="U10" s="260">
        <f t="shared" ref="U10" si="266">T10+U9</f>
        <v>995248.56827459391</v>
      </c>
      <c r="V10" s="260">
        <f t="shared" ref="V10" si="267">U10+V9</f>
        <v>995248.56827459391</v>
      </c>
      <c r="W10" s="260">
        <f t="shared" ref="W10" si="268">V10+W9</f>
        <v>995248.56827459391</v>
      </c>
      <c r="X10" s="260">
        <f t="shared" ref="X10" si="269">W10+X9</f>
        <v>995248.56827459391</v>
      </c>
      <c r="Y10" s="260">
        <f t="shared" ref="Y10" si="270">X10+Y9</f>
        <v>1409935.4717223414</v>
      </c>
      <c r="Z10" s="260">
        <f t="shared" ref="Z10" si="271">Y10+Z9</f>
        <v>1409935.4717223414</v>
      </c>
      <c r="AA10" s="260">
        <f t="shared" ref="AA10" si="272">Z10+AA9</f>
        <v>1409935.4717223414</v>
      </c>
      <c r="AB10" s="260">
        <f t="shared" ref="AB10" si="273">AA10+AB9</f>
        <v>1409935.4717223414</v>
      </c>
      <c r="AC10" s="260">
        <f t="shared" ref="AC10" si="274">AB10+AC9</f>
        <v>1409935.4717223414</v>
      </c>
      <c r="AD10" s="260">
        <f t="shared" ref="AD10" si="275">AC10+AD9</f>
        <v>1409935.4717223414</v>
      </c>
      <c r="AE10" s="260">
        <f t="shared" ref="AE10" si="276">AD10+AE9</f>
        <v>1409935.4717223414</v>
      </c>
      <c r="AF10" s="260">
        <f t="shared" ref="AF10" si="277">AE10+AF9</f>
        <v>1409935.4717223414</v>
      </c>
      <c r="AG10" s="260">
        <f t="shared" ref="AG10" si="278">AF10+AG9</f>
        <v>1409935.4717223414</v>
      </c>
      <c r="AH10" s="260">
        <f t="shared" ref="AH10" si="279">AG10+AH9</f>
        <v>1661420.4531014403</v>
      </c>
      <c r="AI10" s="260">
        <f t="shared" ref="AI10" si="280">AH10+AI9</f>
        <v>1661420.4531014403</v>
      </c>
      <c r="AJ10" s="260">
        <f t="shared" ref="AJ10" si="281">AI10+AJ9</f>
        <v>1661420.4531014403</v>
      </c>
      <c r="AK10" s="260">
        <f t="shared" ref="AK10" si="282">AJ10+AK9</f>
        <v>1661420.4531014403</v>
      </c>
      <c r="AL10" s="260">
        <f t="shared" ref="AL10" si="283">AK10+AL9</f>
        <v>1661420.4531014403</v>
      </c>
      <c r="AM10" s="260">
        <f t="shared" ref="AM10" si="284">AL10+AM9</f>
        <v>1661420.4531014403</v>
      </c>
      <c r="AN10" s="260">
        <f t="shared" ref="AN10" si="285">AM10+AN9</f>
        <v>1661420.4531014403</v>
      </c>
      <c r="AO10" s="260">
        <f t="shared" ref="AO10" si="286">AN10+AO9</f>
        <v>1661420.4531014403</v>
      </c>
      <c r="AP10" s="260">
        <f t="shared" ref="AP10" si="287">AO10+AP9</f>
        <v>1661420.4531014403</v>
      </c>
      <c r="AQ10" s="260">
        <f t="shared" ref="AQ10" si="288">AP10+AQ9</f>
        <v>1661420.4531014403</v>
      </c>
      <c r="AR10" s="260">
        <f t="shared" ref="AR10" si="289">AQ10+AR9</f>
        <v>1661420.4531014403</v>
      </c>
      <c r="AS10" s="260">
        <f t="shared" ref="AS10" si="290">AR10+AS9</f>
        <v>1661420.4531014403</v>
      </c>
      <c r="AT10" s="260">
        <f t="shared" ref="AT10" si="291">AS10+AT9</f>
        <v>1661420.4531014403</v>
      </c>
      <c r="AU10" s="260">
        <f t="shared" ref="AU10" si="292">AT10+AU9</f>
        <v>1661420.4531014403</v>
      </c>
      <c r="AV10" s="260">
        <f t="shared" ref="AV10" si="293">AU10+AV9</f>
        <v>1661420.4531014403</v>
      </c>
      <c r="AW10" s="260">
        <f t="shared" ref="AW10" si="294">AV10+AW9</f>
        <v>1661420.4531014403</v>
      </c>
      <c r="AX10" s="260">
        <f t="shared" ref="AX10" si="295">AW10+AX9</f>
        <v>1661420.4531014403</v>
      </c>
      <c r="AY10" s="260">
        <f t="shared" ref="AY10" si="296">AX10+AY9</f>
        <v>1661420.4531014403</v>
      </c>
      <c r="AZ10" s="260">
        <f t="shared" ref="AZ10" si="297">AY10+AZ9</f>
        <v>1661420.4531014403</v>
      </c>
      <c r="BA10" s="260">
        <f t="shared" ref="BA10" si="298">AZ10+BA9</f>
        <v>1661420.4531014403</v>
      </c>
      <c r="BB10" s="260">
        <f t="shared" ref="BB10" si="299">BA10+BB9</f>
        <v>1661420.4531014403</v>
      </c>
      <c r="BC10" s="260">
        <f t="shared" ref="BC10" si="300">BB10+BC9</f>
        <v>1661420.4531014403</v>
      </c>
      <c r="BD10" s="260">
        <f t="shared" ref="BD10" si="301">BC10+BD9</f>
        <v>1661420.4531014403</v>
      </c>
      <c r="BE10" s="260">
        <f t="shared" ref="BE10" si="302">BD10+BE9</f>
        <v>1661420.4531014403</v>
      </c>
      <c r="BF10" s="260">
        <f t="shared" ref="BF10" si="303">BE10+BF9</f>
        <v>1661420.4531014403</v>
      </c>
      <c r="BG10" s="260">
        <f t="shared" ref="BG10" si="304">BF10+BG9</f>
        <v>1661420.4531014403</v>
      </c>
      <c r="BH10" s="260">
        <f t="shared" ref="BH10" si="305">BG10+BH9</f>
        <v>1661420.4531014403</v>
      </c>
      <c r="BI10" s="260">
        <f t="shared" ref="BI10" si="306">BH10+BI9</f>
        <v>1661420.4531014403</v>
      </c>
      <c r="BJ10" s="260">
        <f t="shared" ref="BJ10" si="307">BI10+BJ9</f>
        <v>1661420.4531014403</v>
      </c>
      <c r="BK10" s="260">
        <f t="shared" ref="BK10" si="308">BJ10+BK9</f>
        <v>1661420.4531014403</v>
      </c>
      <c r="BL10" s="260">
        <f t="shared" ref="BL10" si="309">BK10+BL9</f>
        <v>1661420.4531014403</v>
      </c>
      <c r="BM10" s="260">
        <f t="shared" ref="BM10" si="310">BL10+BM9</f>
        <v>1661420.4531014403</v>
      </c>
      <c r="BN10" s="260">
        <f t="shared" ref="BN10" si="311">BM10+BN9</f>
        <v>1661420.4531014403</v>
      </c>
      <c r="BO10" s="260">
        <f t="shared" ref="BO10" si="312">BN10+BO9</f>
        <v>1661420.4531014403</v>
      </c>
      <c r="BP10" s="260">
        <f t="shared" ref="BP10" si="313">BO10+BP9</f>
        <v>1661420.4531014403</v>
      </c>
      <c r="BQ10" s="260">
        <f t="shared" ref="BQ10" si="314">BP10+BQ9</f>
        <v>1661420.4531014403</v>
      </c>
      <c r="BR10" s="260">
        <f t="shared" ref="BR10" si="315">BQ10+BR9</f>
        <v>1661420.4531014403</v>
      </c>
      <c r="BS10" s="260">
        <f t="shared" ref="BS10" si="316">BR10+BS9</f>
        <v>1744357.8337909898</v>
      </c>
      <c r="BT10" s="260">
        <f t="shared" ref="BT10" si="317">BS10+BT9</f>
        <v>1744357.8337909898</v>
      </c>
      <c r="BU10" s="260">
        <f t="shared" ref="BU10" si="318">BT10+BU9</f>
        <v>1744357.8337909898</v>
      </c>
      <c r="BV10" s="260">
        <f t="shared" ref="BV10" si="319">BU10+BV9</f>
        <v>1744357.8337909898</v>
      </c>
      <c r="BW10" s="260">
        <f t="shared" ref="BW10" si="320">BV10+BW9</f>
        <v>1744357.8337909898</v>
      </c>
      <c r="BX10" s="260">
        <f t="shared" ref="BX10" si="321">BW10+BX9</f>
        <v>1744357.8337909898</v>
      </c>
      <c r="BY10" s="260">
        <f t="shared" ref="BY10" si="322">BX10+BY9</f>
        <v>1744357.8337909898</v>
      </c>
      <c r="BZ10" s="260">
        <f t="shared" ref="BZ10" si="323">BY10+BZ9</f>
        <v>1744357.8337909898</v>
      </c>
      <c r="CA10" s="260">
        <f t="shared" ref="CA10" si="324">BZ10+CA9</f>
        <v>1744357.8337909898</v>
      </c>
      <c r="CB10" s="260">
        <f t="shared" ref="CB10" si="325">CA10+CB9</f>
        <v>1744357.8337909898</v>
      </c>
      <c r="CC10" s="260">
        <f t="shared" ref="CC10" si="326">CB10+CC9</f>
        <v>1744357.8337909898</v>
      </c>
      <c r="CD10" s="260">
        <f t="shared" ref="CD10" si="327">CC10+CD9</f>
        <v>1744357.8337909898</v>
      </c>
      <c r="CE10" s="260">
        <f t="shared" ref="CE10" si="328">CD10+CE9</f>
        <v>1744357.8337909898</v>
      </c>
      <c r="CF10" s="260">
        <f t="shared" ref="CF10" si="329">CE10+CF9</f>
        <v>1744357.8337909898</v>
      </c>
      <c r="CG10" s="260">
        <f t="shared" ref="CG10" si="330">CF10+CG9</f>
        <v>1744357.8337909898</v>
      </c>
      <c r="CH10" s="260">
        <f t="shared" ref="CH10" si="331">CG10+CH9</f>
        <v>1729080.5537909898</v>
      </c>
      <c r="CI10" s="260">
        <f t="shared" ref="CI10" si="332">CH10+CI9</f>
        <v>1729080.5537909898</v>
      </c>
      <c r="CJ10" s="260">
        <f t="shared" ref="CJ10" si="333">CI10+CJ9</f>
        <v>1729080.5537909898</v>
      </c>
      <c r="CK10" s="260">
        <f t="shared" ref="CK10" si="334">CJ10+CK9</f>
        <v>1729080.5537909898</v>
      </c>
      <c r="CL10" s="260">
        <f t="shared" ref="CL10" si="335">CK10+CL9</f>
        <v>1729080.5537909898</v>
      </c>
      <c r="CM10" s="260">
        <f t="shared" ref="CM10" si="336">CL10+CM9</f>
        <v>1729080.5537909898</v>
      </c>
    </row>
    <row r="11" spans="1:569" s="252" customFormat="1">
      <c r="A11" s="997"/>
      <c r="B11" s="261" t="s">
        <v>415</v>
      </c>
      <c r="C11" s="262">
        <f>'Revenue Tracking'!F5</f>
        <v>1443822.8599999996</v>
      </c>
      <c r="D11" s="262">
        <f>SUM(F11:CM11)</f>
        <v>1443822.8599999999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19463.419999999998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40"/>
      <c r="CO11" s="251"/>
      <c r="CP11" s="251"/>
    </row>
    <row r="12" spans="1:569" s="252" customFormat="1">
      <c r="A12" s="997"/>
      <c r="B12" s="261" t="s">
        <v>416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337">H12+I11</f>
        <v>0</v>
      </c>
      <c r="J12" s="263">
        <f t="shared" ref="J12" si="338">I12+J11</f>
        <v>0</v>
      </c>
      <c r="K12" s="263">
        <f t="shared" ref="K12" si="339">J12+K11</f>
        <v>0</v>
      </c>
      <c r="L12" s="263">
        <f t="shared" ref="L12" si="340">K12+L11</f>
        <v>0</v>
      </c>
      <c r="M12" s="263">
        <f t="shared" ref="M12" si="341">L12+M11</f>
        <v>25080.76</v>
      </c>
      <c r="N12" s="263">
        <f t="shared" ref="N12" si="342">M12+N11</f>
        <v>25080.76</v>
      </c>
      <c r="O12" s="263">
        <f t="shared" ref="O12" si="343">N12+O11</f>
        <v>25080.76</v>
      </c>
      <c r="P12" s="263">
        <f t="shared" ref="P12" si="344">O12+P11</f>
        <v>320146.76000000007</v>
      </c>
      <c r="Q12" s="263">
        <f t="shared" ref="Q12" si="345">P12+Q11</f>
        <v>346837.74000000005</v>
      </c>
      <c r="R12" s="263">
        <f t="shared" ref="R12" si="346">Q12+R11</f>
        <v>491342.76</v>
      </c>
      <c r="S12" s="263">
        <f t="shared" ref="S12" si="347">R12+S11</f>
        <v>498592.76</v>
      </c>
      <c r="T12" s="263">
        <f t="shared" ref="T12" si="348">S12+T11</f>
        <v>498592.76</v>
      </c>
      <c r="U12" s="263">
        <f t="shared" ref="U12" si="349">T12+U11</f>
        <v>831514.46</v>
      </c>
      <c r="V12" s="263">
        <f t="shared" ref="V12" si="350">U12+V11</f>
        <v>833185.46</v>
      </c>
      <c r="W12" s="263">
        <f t="shared" ref="W12" si="351">V12+W11</f>
        <v>833185.46</v>
      </c>
      <c r="X12" s="263">
        <f t="shared" ref="X12" si="352">W12+X11</f>
        <v>833185.46</v>
      </c>
      <c r="Y12" s="263">
        <f t="shared" ref="Y12" si="353">X12+Y11</f>
        <v>1096037.9551723874</v>
      </c>
      <c r="Z12" s="263">
        <f t="shared" ref="Z12" si="354">Y12+Z11</f>
        <v>1157811.4151723874</v>
      </c>
      <c r="AA12" s="263">
        <f t="shared" ref="AA12" si="355">Z12+AA11</f>
        <v>1179349.3951723874</v>
      </c>
      <c r="AB12" s="263">
        <f t="shared" ref="AB12" si="356">AA12+AB11</f>
        <v>1179349.3951723874</v>
      </c>
      <c r="AC12" s="263">
        <f t="shared" ref="AC12" si="357">AB12+AC11</f>
        <v>1179349.3951723874</v>
      </c>
      <c r="AD12" s="263">
        <f t="shared" ref="AD12" si="358">AC12+AD11</f>
        <v>1179349.3951723874</v>
      </c>
      <c r="AE12" s="263">
        <f t="shared" ref="AE12" si="359">AD12+AE11</f>
        <v>1179349.3951723874</v>
      </c>
      <c r="AF12" s="263">
        <f t="shared" ref="AF12" si="360">AE12+AF11</f>
        <v>1182900.5851723873</v>
      </c>
      <c r="AG12" s="263">
        <f t="shared" ref="AG12" si="361">AF12+AG11</f>
        <v>1182900.5851723873</v>
      </c>
      <c r="AH12" s="263">
        <f t="shared" ref="AH12" si="362">AG12+AH11</f>
        <v>1262948.3351723873</v>
      </c>
      <c r="AI12" s="263">
        <f t="shared" ref="AI12" si="363">AH12+AI11</f>
        <v>1263964.3551723873</v>
      </c>
      <c r="AJ12" s="263">
        <f t="shared" ref="AJ12" si="364">AI12+AJ11</f>
        <v>1284156.5551723873</v>
      </c>
      <c r="AK12" s="263">
        <f t="shared" ref="AK12" si="365">AJ12+AK11</f>
        <v>1284156.5551723873</v>
      </c>
      <c r="AL12" s="263">
        <f t="shared" ref="AL12" si="366">AK12+AL11</f>
        <v>1284156.5551723873</v>
      </c>
      <c r="AM12" s="263">
        <f t="shared" ref="AM12" si="367">AL12+AM11</f>
        <v>1304946.1151723873</v>
      </c>
      <c r="AN12" s="263">
        <f t="shared" ref="AN12" si="368">AM12+AN11</f>
        <v>1304946.1151723873</v>
      </c>
      <c r="AO12" s="263">
        <f t="shared" ref="AO12" si="369">AN12+AO11</f>
        <v>1304946.1151723873</v>
      </c>
      <c r="AP12" s="263">
        <f t="shared" ref="AP12" si="370">AO12+AP11</f>
        <v>1344846.1151723873</v>
      </c>
      <c r="AQ12" s="263">
        <f t="shared" ref="AQ12" si="371">AP12+AQ11</f>
        <v>1344846.1151723873</v>
      </c>
      <c r="AR12" s="263">
        <f t="shared" ref="AR12" si="372">AQ12+AR11</f>
        <v>1344846.1151723873</v>
      </c>
      <c r="AS12" s="263">
        <f t="shared" ref="AS12" si="373">AR12+AS11</f>
        <v>1344846.1151723873</v>
      </c>
      <c r="AT12" s="263">
        <f t="shared" ref="AT12" si="374">AS12+AT11</f>
        <v>1344846.1151723873</v>
      </c>
      <c r="AU12" s="263">
        <f t="shared" ref="AU12" si="375">AT12+AU11</f>
        <v>1344846.1151723873</v>
      </c>
      <c r="AV12" s="263">
        <f t="shared" ref="AV12" si="376">AU12+AV11</f>
        <v>1345934.0951723873</v>
      </c>
      <c r="AW12" s="263">
        <f t="shared" ref="AW12" si="377">AV12+AW11</f>
        <v>1368343.3751723873</v>
      </c>
      <c r="AX12" s="263">
        <f t="shared" ref="AX12" si="378">AW12+AX11</f>
        <v>1368343.3751723873</v>
      </c>
      <c r="AY12" s="263">
        <f t="shared" ref="AY12" si="379">AX12+AY11</f>
        <v>1375196.1351723874</v>
      </c>
      <c r="AZ12" s="263">
        <f t="shared" ref="AZ12" si="380">AY12+AZ11</f>
        <v>1375196.1351723874</v>
      </c>
      <c r="BA12" s="263">
        <f t="shared" ref="BA12" si="381">AZ12+BA11</f>
        <v>1375196.1351723874</v>
      </c>
      <c r="BB12" s="263">
        <f t="shared" ref="BB12" si="382">BA12+BB11</f>
        <v>1375196.1351723874</v>
      </c>
      <c r="BC12" s="263">
        <f t="shared" ref="BC12" si="383">BB12+BC11</f>
        <v>1375196.1351723874</v>
      </c>
      <c r="BD12" s="263">
        <f t="shared" ref="BD12" si="384">BC12+BD11</f>
        <v>1375306.5851723873</v>
      </c>
      <c r="BE12" s="263">
        <f t="shared" ref="BE12" si="385">BD12+BE11</f>
        <v>1375306.5851723873</v>
      </c>
      <c r="BF12" s="263">
        <f t="shared" ref="BF12" si="386">BE12+BF11</f>
        <v>1375306.5851723873</v>
      </c>
      <c r="BG12" s="263">
        <f t="shared" ref="BG12" si="387">BF12+BG11</f>
        <v>1375306.5851723873</v>
      </c>
      <c r="BH12" s="263">
        <f t="shared" ref="BH12" si="388">BG12+BH11</f>
        <v>1394693.7851723873</v>
      </c>
      <c r="BI12" s="263">
        <f t="shared" ref="BI12" si="389">BH12+BI11</f>
        <v>1394693.7851723873</v>
      </c>
      <c r="BJ12" s="263">
        <f t="shared" ref="BJ12" si="390">BI12+BJ11</f>
        <v>1394693.7851723873</v>
      </c>
      <c r="BK12" s="263">
        <f t="shared" ref="BK12" si="391">BJ12+BK11</f>
        <v>1394693.7851723873</v>
      </c>
      <c r="BL12" s="263">
        <f t="shared" ref="BL12" si="392">BK12+BL11</f>
        <v>1424359.44</v>
      </c>
      <c r="BM12" s="263">
        <f t="shared" ref="BM12" si="393">BL12+BM11</f>
        <v>1424359.44</v>
      </c>
      <c r="BN12" s="263">
        <f t="shared" ref="BN12" si="394">BM12+BN11</f>
        <v>1424359.44</v>
      </c>
      <c r="BO12" s="263">
        <f t="shared" ref="BO12" si="395">BN12+BO11</f>
        <v>1424359.44</v>
      </c>
      <c r="BP12" s="263">
        <f t="shared" ref="BP12" si="396">BO12+BP11</f>
        <v>1424359.44</v>
      </c>
      <c r="BQ12" s="263">
        <f t="shared" ref="BQ12" si="397">BP12+BQ11</f>
        <v>1424359.44</v>
      </c>
      <c r="BR12" s="263">
        <f t="shared" ref="BR12" si="398">BQ12+BR11</f>
        <v>1424359.44</v>
      </c>
      <c r="BS12" s="263">
        <f t="shared" ref="BS12" si="399">BR12+BS11</f>
        <v>1424359.44</v>
      </c>
      <c r="BT12" s="263">
        <f t="shared" ref="BT12" si="400">BS12+BT11</f>
        <v>1424359.44</v>
      </c>
      <c r="BU12" s="263">
        <f t="shared" ref="BU12" si="401">BT12+BU11</f>
        <v>1424359.44</v>
      </c>
      <c r="BV12" s="263">
        <f t="shared" ref="BV12" si="402">BU12+BV11</f>
        <v>1424359.44</v>
      </c>
      <c r="BW12" s="263">
        <f t="shared" ref="BW12" si="403">BV12+BW11</f>
        <v>1424359.44</v>
      </c>
      <c r="BX12" s="263">
        <f t="shared" ref="BX12" si="404">BW12+BX11</f>
        <v>1424359.44</v>
      </c>
      <c r="BY12" s="263">
        <f t="shared" ref="BY12" si="405">BX12+BY11</f>
        <v>1424359.44</v>
      </c>
      <c r="BZ12" s="263">
        <f t="shared" ref="BZ12" si="406">BY12+BZ11</f>
        <v>1424359.44</v>
      </c>
      <c r="CA12" s="263">
        <f t="shared" ref="CA12" si="407">BZ12+CA11</f>
        <v>1424359.44</v>
      </c>
      <c r="CB12" s="263">
        <f t="shared" ref="CB12" si="408">CA12+CB11</f>
        <v>1424359.44</v>
      </c>
      <c r="CC12" s="263">
        <f t="shared" ref="CC12" si="409">CB12+CC11</f>
        <v>1424359.44</v>
      </c>
      <c r="CD12" s="263">
        <f t="shared" ref="CD12" si="410">CC12+CD11</f>
        <v>1424359.44</v>
      </c>
      <c r="CE12" s="263">
        <f t="shared" ref="CE12" si="411">CD12+CE11</f>
        <v>1424359.44</v>
      </c>
      <c r="CF12" s="263">
        <f t="shared" ref="CF12" si="412">CE12+CF11</f>
        <v>1424359.44</v>
      </c>
      <c r="CG12" s="263">
        <f t="shared" ref="CG12" si="413">CF12+CG11</f>
        <v>1424359.44</v>
      </c>
      <c r="CH12" s="263">
        <f t="shared" ref="CH12" si="414">CG12+CH11</f>
        <v>1443822.8599999999</v>
      </c>
      <c r="CI12" s="263">
        <f t="shared" ref="CI12" si="415">CH12+CI11</f>
        <v>1443822.8599999999</v>
      </c>
      <c r="CJ12" s="263">
        <f t="shared" ref="CJ12" si="416">CI12+CJ11</f>
        <v>1443822.8599999999</v>
      </c>
      <c r="CK12" s="263">
        <f t="shared" ref="CK12" si="417">CJ12+CK11</f>
        <v>1443822.8599999999</v>
      </c>
      <c r="CL12" s="263">
        <f t="shared" ref="CL12" si="418">CK12+CL11</f>
        <v>1443822.8599999999</v>
      </c>
      <c r="CM12" s="263">
        <f t="shared" ref="CM12" si="419">CL12+CM11</f>
        <v>1443822.8599999999</v>
      </c>
      <c r="CN12" s="240"/>
      <c r="CO12" s="251"/>
    </row>
    <row r="13" spans="1:569" s="240" customFormat="1">
      <c r="A13" s="99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>
      <c r="A14" s="997"/>
      <c r="B14" s="253" t="s">
        <v>417</v>
      </c>
      <c r="C14" s="254"/>
      <c r="D14" s="254"/>
      <c r="E14" s="255"/>
      <c r="F14" s="256">
        <f t="shared" ref="F14:H14" si="420">F10-F12</f>
        <v>580561.66482684645</v>
      </c>
      <c r="G14" s="256">
        <f t="shared" si="420"/>
        <v>580561.66482684645</v>
      </c>
      <c r="H14" s="256">
        <f t="shared" si="420"/>
        <v>580561.66482684645</v>
      </c>
      <c r="I14" s="256">
        <f t="shared" ref="I14" si="421">I10-I12</f>
        <v>580561.66482684645</v>
      </c>
      <c r="J14" s="256">
        <f t="shared" ref="J14:R14" si="422">J10-J12</f>
        <v>580561.66482684645</v>
      </c>
      <c r="K14" s="256">
        <f t="shared" si="422"/>
        <v>580561.66482684645</v>
      </c>
      <c r="L14" s="256">
        <f t="shared" si="422"/>
        <v>580561.66482684645</v>
      </c>
      <c r="M14" s="256">
        <f t="shared" si="422"/>
        <v>555480.90482684644</v>
      </c>
      <c r="N14" s="256">
        <f t="shared" si="422"/>
        <v>555480.90482684644</v>
      </c>
      <c r="O14" s="256">
        <f t="shared" si="422"/>
        <v>555480.90482684644</v>
      </c>
      <c r="P14" s="256">
        <f t="shared" si="422"/>
        <v>260414.90482684638</v>
      </c>
      <c r="Q14" s="256">
        <f t="shared" si="422"/>
        <v>233723.9248268464</v>
      </c>
      <c r="R14" s="256">
        <f t="shared" si="422"/>
        <v>503905.8082745939</v>
      </c>
      <c r="S14" s="256">
        <f t="shared" ref="S14:CD14" si="423">S10-S12</f>
        <v>496655.8082745939</v>
      </c>
      <c r="T14" s="256">
        <f t="shared" si="423"/>
        <v>496655.8082745939</v>
      </c>
      <c r="U14" s="256">
        <f t="shared" si="423"/>
        <v>163734.10827459395</v>
      </c>
      <c r="V14" s="256">
        <f t="shared" si="423"/>
        <v>162063.10827459395</v>
      </c>
      <c r="W14" s="256">
        <f t="shared" si="423"/>
        <v>162063.10827459395</v>
      </c>
      <c r="X14" s="256">
        <f t="shared" si="423"/>
        <v>162063.10827459395</v>
      </c>
      <c r="Y14" s="256">
        <f t="shared" si="423"/>
        <v>313897.51654995396</v>
      </c>
      <c r="Z14" s="256">
        <f t="shared" si="423"/>
        <v>252124.056549954</v>
      </c>
      <c r="AA14" s="256">
        <f t="shared" si="423"/>
        <v>230586.07654995401</v>
      </c>
      <c r="AB14" s="256">
        <f t="shared" si="423"/>
        <v>230586.07654995401</v>
      </c>
      <c r="AC14" s="256">
        <f t="shared" si="423"/>
        <v>230586.07654995401</v>
      </c>
      <c r="AD14" s="256">
        <f t="shared" si="423"/>
        <v>230586.07654995401</v>
      </c>
      <c r="AE14" s="256">
        <f t="shared" si="423"/>
        <v>230586.07654995401</v>
      </c>
      <c r="AF14" s="256">
        <f t="shared" si="423"/>
        <v>227034.88654995407</v>
      </c>
      <c r="AG14" s="256">
        <f t="shared" si="423"/>
        <v>227034.88654995407</v>
      </c>
      <c r="AH14" s="256">
        <f t="shared" si="423"/>
        <v>398472.11792905303</v>
      </c>
      <c r="AI14" s="256">
        <f t="shared" si="423"/>
        <v>397456.09792905301</v>
      </c>
      <c r="AJ14" s="256">
        <f t="shared" si="423"/>
        <v>377263.89792905306</v>
      </c>
      <c r="AK14" s="256">
        <f t="shared" si="423"/>
        <v>377263.89792905306</v>
      </c>
      <c r="AL14" s="256">
        <f t="shared" si="423"/>
        <v>377263.89792905306</v>
      </c>
      <c r="AM14" s="256">
        <f t="shared" si="423"/>
        <v>356474.337929053</v>
      </c>
      <c r="AN14" s="256">
        <f t="shared" si="423"/>
        <v>356474.337929053</v>
      </c>
      <c r="AO14" s="256">
        <f t="shared" si="423"/>
        <v>356474.337929053</v>
      </c>
      <c r="AP14" s="256">
        <f t="shared" si="423"/>
        <v>316574.337929053</v>
      </c>
      <c r="AQ14" s="256">
        <f t="shared" si="423"/>
        <v>316574.337929053</v>
      </c>
      <c r="AR14" s="256">
        <f t="shared" si="423"/>
        <v>316574.337929053</v>
      </c>
      <c r="AS14" s="256">
        <f t="shared" si="423"/>
        <v>316574.337929053</v>
      </c>
      <c r="AT14" s="256">
        <f t="shared" si="423"/>
        <v>316574.337929053</v>
      </c>
      <c r="AU14" s="256">
        <f t="shared" si="423"/>
        <v>316574.337929053</v>
      </c>
      <c r="AV14" s="256">
        <f t="shared" si="423"/>
        <v>315486.35792905302</v>
      </c>
      <c r="AW14" s="256">
        <f t="shared" si="423"/>
        <v>293077.07792905299</v>
      </c>
      <c r="AX14" s="256">
        <f t="shared" si="423"/>
        <v>293077.07792905299</v>
      </c>
      <c r="AY14" s="256">
        <f t="shared" si="423"/>
        <v>286224.31792905298</v>
      </c>
      <c r="AZ14" s="256">
        <f t="shared" si="423"/>
        <v>286224.31792905298</v>
      </c>
      <c r="BA14" s="256">
        <f t="shared" si="423"/>
        <v>286224.31792905298</v>
      </c>
      <c r="BB14" s="256">
        <f t="shared" si="423"/>
        <v>286224.31792905298</v>
      </c>
      <c r="BC14" s="256">
        <f t="shared" si="423"/>
        <v>286224.31792905298</v>
      </c>
      <c r="BD14" s="256">
        <f t="shared" si="423"/>
        <v>286113.86792905303</v>
      </c>
      <c r="BE14" s="256">
        <f t="shared" si="423"/>
        <v>286113.86792905303</v>
      </c>
      <c r="BF14" s="256">
        <f t="shared" si="423"/>
        <v>286113.86792905303</v>
      </c>
      <c r="BG14" s="256">
        <f t="shared" si="423"/>
        <v>286113.86792905303</v>
      </c>
      <c r="BH14" s="256">
        <f t="shared" si="423"/>
        <v>266726.66792905307</v>
      </c>
      <c r="BI14" s="256">
        <f t="shared" si="423"/>
        <v>266726.66792905307</v>
      </c>
      <c r="BJ14" s="256">
        <f t="shared" si="423"/>
        <v>266726.66792905307</v>
      </c>
      <c r="BK14" s="256">
        <f t="shared" si="423"/>
        <v>266726.66792905307</v>
      </c>
      <c r="BL14" s="256">
        <f t="shared" si="423"/>
        <v>237061.01310144039</v>
      </c>
      <c r="BM14" s="256">
        <f t="shared" si="423"/>
        <v>237061.01310144039</v>
      </c>
      <c r="BN14" s="256">
        <f t="shared" si="423"/>
        <v>237061.01310144039</v>
      </c>
      <c r="BO14" s="256">
        <f t="shared" si="423"/>
        <v>237061.01310144039</v>
      </c>
      <c r="BP14" s="256">
        <f t="shared" si="423"/>
        <v>237061.01310144039</v>
      </c>
      <c r="BQ14" s="256">
        <f t="shared" si="423"/>
        <v>237061.01310144039</v>
      </c>
      <c r="BR14" s="256">
        <f t="shared" si="423"/>
        <v>237061.01310144039</v>
      </c>
      <c r="BS14" s="256">
        <f t="shared" si="423"/>
        <v>319998.39379098988</v>
      </c>
      <c r="BT14" s="256">
        <f t="shared" si="423"/>
        <v>319998.39379098988</v>
      </c>
      <c r="BU14" s="256">
        <f t="shared" si="423"/>
        <v>319998.39379098988</v>
      </c>
      <c r="BV14" s="256">
        <f t="shared" si="423"/>
        <v>319998.39379098988</v>
      </c>
      <c r="BW14" s="256">
        <f t="shared" si="423"/>
        <v>319998.39379098988</v>
      </c>
      <c r="BX14" s="256">
        <f t="shared" si="423"/>
        <v>319998.39379098988</v>
      </c>
      <c r="BY14" s="256">
        <f t="shared" si="423"/>
        <v>319998.39379098988</v>
      </c>
      <c r="BZ14" s="256">
        <f t="shared" si="423"/>
        <v>319998.39379098988</v>
      </c>
      <c r="CA14" s="256">
        <f t="shared" si="423"/>
        <v>319998.39379098988</v>
      </c>
      <c r="CB14" s="256">
        <f t="shared" si="423"/>
        <v>319998.39379098988</v>
      </c>
      <c r="CC14" s="256">
        <f t="shared" si="423"/>
        <v>319998.39379098988</v>
      </c>
      <c r="CD14" s="256">
        <f t="shared" si="423"/>
        <v>319998.39379098988</v>
      </c>
      <c r="CE14" s="256">
        <f t="shared" ref="CE14:CM14" si="424">CE10-CE12</f>
        <v>319998.39379098988</v>
      </c>
      <c r="CF14" s="256">
        <f t="shared" si="424"/>
        <v>319998.39379098988</v>
      </c>
      <c r="CG14" s="256">
        <f t="shared" si="424"/>
        <v>319998.39379098988</v>
      </c>
      <c r="CH14" s="256">
        <f t="shared" si="424"/>
        <v>285257.69379098993</v>
      </c>
      <c r="CI14" s="256">
        <f t="shared" si="424"/>
        <v>285257.69379098993</v>
      </c>
      <c r="CJ14" s="256">
        <f t="shared" si="424"/>
        <v>285257.69379098993</v>
      </c>
      <c r="CK14" s="256">
        <f t="shared" si="424"/>
        <v>285257.69379098993</v>
      </c>
      <c r="CL14" s="256">
        <f t="shared" si="424"/>
        <v>285257.69379098993</v>
      </c>
      <c r="CM14" s="256">
        <f t="shared" si="424"/>
        <v>285257.69379098993</v>
      </c>
    </row>
    <row r="15" spans="1:569" s="240" customFormat="1"/>
    <row r="16" spans="1:569" s="240" customFormat="1">
      <c r="C16" s="242" t="s">
        <v>236</v>
      </c>
      <c r="D16" s="242" t="s">
        <v>236</v>
      </c>
    </row>
    <row r="17" spans="1:91">
      <c r="A17" s="998"/>
      <c r="B17" s="244" t="s">
        <v>418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</row>
    <row r="18" spans="1:91">
      <c r="A18" s="998"/>
      <c r="B18" s="244" t="s">
        <v>419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425">H18+I17</f>
        <v>541591.65388054238</v>
      </c>
      <c r="J18" s="263">
        <f t="shared" ref="J18" si="426">I18+J17</f>
        <v>541591.65388054238</v>
      </c>
      <c r="K18" s="263">
        <f t="shared" ref="K18" si="427">J18+K17</f>
        <v>541591.65388054238</v>
      </c>
      <c r="L18" s="263">
        <f t="shared" ref="L18" si="428">K18+L17</f>
        <v>573669.32824239682</v>
      </c>
      <c r="M18" s="263">
        <f t="shared" ref="M18" si="429">L18+M17</f>
        <v>573669.32824239682</v>
      </c>
      <c r="N18" s="263">
        <f t="shared" ref="N18" si="430">M18+N17</f>
        <v>573669.32824239682</v>
      </c>
      <c r="O18" s="263">
        <f t="shared" ref="O18" si="431">N18+O17</f>
        <v>573669.32824239682</v>
      </c>
      <c r="P18" s="263">
        <f t="shared" ref="P18" si="432">O18+P17</f>
        <v>573669.32824239682</v>
      </c>
      <c r="Q18" s="263">
        <f t="shared" ref="Q18" si="433">P18+Q17</f>
        <v>897560.63238097401</v>
      </c>
      <c r="R18" s="263">
        <f t="shared" ref="R18" si="434">Q18+R17</f>
        <v>897560.63238097401</v>
      </c>
      <c r="S18" s="263">
        <f t="shared" ref="S18" si="435">R18+S17</f>
        <v>897560.63238097401</v>
      </c>
      <c r="T18" s="263">
        <f t="shared" ref="T18" si="436">S18+T17</f>
        <v>897560.63238097401</v>
      </c>
      <c r="U18" s="263">
        <f t="shared" ref="U18" si="437">T18+U17</f>
        <v>1421245.2800140539</v>
      </c>
      <c r="V18" s="263">
        <f t="shared" ref="V18" si="438">U18+V17</f>
        <v>1421245.2800140539</v>
      </c>
      <c r="W18" s="263">
        <f t="shared" ref="W18" si="439">V18+W17</f>
        <v>1421245.2800140539</v>
      </c>
      <c r="X18" s="263">
        <f t="shared" ref="X18" si="440">W18+X17</f>
        <v>1421245.2800140539</v>
      </c>
      <c r="Y18" s="263">
        <f t="shared" ref="Y18" si="441">X18+Y17</f>
        <v>1694916.8786590251</v>
      </c>
      <c r="Z18" s="263">
        <f t="shared" ref="Z18" si="442">Y18+Z17</f>
        <v>1694916.8786590251</v>
      </c>
      <c r="AA18" s="263">
        <f t="shared" ref="AA18" si="443">Z18+AA17</f>
        <v>1694916.8786590251</v>
      </c>
      <c r="AB18" s="263">
        <f t="shared" ref="AB18" si="444">AA18+AB17</f>
        <v>1694916.8786590251</v>
      </c>
      <c r="AC18" s="263">
        <f t="shared" ref="AC18" si="445">AB18+AC17</f>
        <v>1694916.8786590251</v>
      </c>
      <c r="AD18" s="263">
        <f t="shared" ref="AD18" si="446">AC18+AD17</f>
        <v>1695704.7178575518</v>
      </c>
      <c r="AE18" s="263">
        <f t="shared" ref="AE18" si="447">AD18+AE17</f>
        <v>1695704.7178575518</v>
      </c>
      <c r="AF18" s="263">
        <f t="shared" ref="AF18" si="448">AE18+AF17</f>
        <v>1695704.7178575518</v>
      </c>
      <c r="AG18" s="263">
        <f t="shared" ref="AG18" si="449">AF18+AG17</f>
        <v>1695704.7178575518</v>
      </c>
      <c r="AH18" s="263">
        <f t="shared" ref="AH18" si="450">AG18+AH17</f>
        <v>1744357.827910922</v>
      </c>
      <c r="AI18" s="263">
        <f t="shared" ref="AI18" si="451">AH18+AI17</f>
        <v>1744357.827910922</v>
      </c>
      <c r="AJ18" s="263">
        <f t="shared" ref="AJ18" si="452">AI18+AJ17</f>
        <v>1744357.827910922</v>
      </c>
      <c r="AK18" s="263">
        <f t="shared" ref="AK18" si="453">AJ18+AK17</f>
        <v>1744357.827910922</v>
      </c>
      <c r="AL18" s="263">
        <f t="shared" ref="AL18" si="454">AK18+AL17</f>
        <v>1744357.827910922</v>
      </c>
      <c r="AM18" s="263">
        <f t="shared" ref="AM18" si="455">AL18+AM17</f>
        <v>1744357.827910922</v>
      </c>
      <c r="AN18" s="263">
        <f t="shared" ref="AN18" si="456">AM18+AN17</f>
        <v>1744357.827910922</v>
      </c>
      <c r="AO18" s="263">
        <f t="shared" ref="AO18" si="457">AN18+AO17</f>
        <v>1744357.827910922</v>
      </c>
      <c r="AP18" s="263">
        <f t="shared" ref="AP18" si="458">AO18+AP17</f>
        <v>1744357.827910922</v>
      </c>
      <c r="AQ18" s="263">
        <f t="shared" ref="AQ18" si="459">AP18+AQ17</f>
        <v>1744357.827910922</v>
      </c>
      <c r="AR18" s="263">
        <f t="shared" ref="AR18" si="460">AQ18+AR17</f>
        <v>1744357.827910922</v>
      </c>
      <c r="AS18" s="263">
        <f t="shared" ref="AS18" si="461">AR18+AS17</f>
        <v>1744357.827910922</v>
      </c>
      <c r="AT18" s="263">
        <f t="shared" ref="AT18" si="462">AS18+AT17</f>
        <v>1744357.827910922</v>
      </c>
      <c r="AU18" s="263">
        <f t="shared" ref="AU18" si="463">AT18+AU17</f>
        <v>1744357.827910922</v>
      </c>
      <c r="AV18" s="263">
        <f t="shared" ref="AV18" si="464">AU18+AV17</f>
        <v>1744357.827910922</v>
      </c>
      <c r="AW18" s="263">
        <f t="shared" ref="AW18" si="465">AV18+AW17</f>
        <v>1744357.827910922</v>
      </c>
      <c r="AX18" s="263">
        <f t="shared" ref="AX18" si="466">AW18+AX17</f>
        <v>1744357.827910922</v>
      </c>
      <c r="AY18" s="263">
        <f t="shared" ref="AY18" si="467">AX18+AY17</f>
        <v>1744357.827910922</v>
      </c>
      <c r="AZ18" s="263">
        <f t="shared" ref="AZ18" si="468">AY18+AZ17</f>
        <v>1744357.827910922</v>
      </c>
      <c r="BA18" s="263">
        <f t="shared" ref="BA18" si="469">AZ18+BA17</f>
        <v>1744357.827910922</v>
      </c>
      <c r="BB18" s="263">
        <f t="shared" ref="BB18" si="470">BA18+BB17</f>
        <v>1744357.827910922</v>
      </c>
      <c r="BC18" s="263">
        <f t="shared" ref="BC18" si="471">BB18+BC17</f>
        <v>1744357.827910922</v>
      </c>
      <c r="BD18" s="263">
        <f t="shared" ref="BD18" si="472">BC18+BD17</f>
        <v>1744357.827910922</v>
      </c>
      <c r="BE18" s="263">
        <f t="shared" ref="BE18" si="473">BD18+BE17</f>
        <v>1744357.827910922</v>
      </c>
      <c r="BF18" s="263">
        <f t="shared" ref="BF18" si="474">BE18+BF17</f>
        <v>1744357.827910922</v>
      </c>
      <c r="BG18" s="263">
        <f t="shared" ref="BG18" si="475">BF18+BG17</f>
        <v>1744357.827910922</v>
      </c>
      <c r="BH18" s="263">
        <f t="shared" ref="BH18" si="476">BG18+BH17</f>
        <v>1744357.827910922</v>
      </c>
      <c r="BI18" s="263">
        <f t="shared" ref="BI18" si="477">BH18+BI17</f>
        <v>1744357.827910922</v>
      </c>
      <c r="BJ18" s="263">
        <f t="shared" ref="BJ18" si="478">BI18+BJ17</f>
        <v>1744357.827910922</v>
      </c>
      <c r="BK18" s="263">
        <f t="shared" ref="BK18" si="479">BJ18+BK17</f>
        <v>1744357.827910922</v>
      </c>
      <c r="BL18" s="263">
        <f t="shared" ref="BL18" si="480">BK18+BL17</f>
        <v>1744357.827910922</v>
      </c>
      <c r="BM18" s="263">
        <f t="shared" ref="BM18" si="481">BL18+BM17</f>
        <v>1744357.827910922</v>
      </c>
      <c r="BN18" s="263">
        <f t="shared" ref="BN18" si="482">BM18+BN17</f>
        <v>1744357.827910922</v>
      </c>
      <c r="BO18" s="263">
        <f t="shared" ref="BO18" si="483">BN18+BO17</f>
        <v>1744357.827910922</v>
      </c>
      <c r="BP18" s="263">
        <f t="shared" ref="BP18" si="484">BO18+BP17</f>
        <v>1744357.827910922</v>
      </c>
      <c r="BQ18" s="263">
        <f t="shared" ref="BQ18" si="485">BP18+BQ17</f>
        <v>1744357.827910922</v>
      </c>
      <c r="BR18" s="263">
        <f t="shared" ref="BR18" si="486">BQ18+BR17</f>
        <v>1744357.827910922</v>
      </c>
      <c r="BS18" s="263">
        <f t="shared" ref="BS18" si="487">BR18+BS17</f>
        <v>1744357.827910922</v>
      </c>
      <c r="BT18" s="263">
        <f t="shared" ref="BT18" si="488">BS18+BT17</f>
        <v>1744357.827910922</v>
      </c>
      <c r="BU18" s="263">
        <f t="shared" ref="BU18" si="489">BT18+BU17</f>
        <v>1744357.827910922</v>
      </c>
      <c r="BV18" s="263">
        <f t="shared" ref="BV18" si="490">BU18+BV17</f>
        <v>1744357.827910922</v>
      </c>
      <c r="BW18" s="263">
        <f t="shared" ref="BW18" si="491">BV18+BW17</f>
        <v>1744357.827910922</v>
      </c>
      <c r="BX18" s="263">
        <f t="shared" ref="BX18" si="492">BW18+BX17</f>
        <v>1744357.827910922</v>
      </c>
      <c r="BY18" s="263">
        <f t="shared" ref="BY18" si="493">BX18+BY17</f>
        <v>1744357.827910922</v>
      </c>
      <c r="BZ18" s="263">
        <f t="shared" ref="BZ18" si="494">BY18+BZ17</f>
        <v>1744357.827910922</v>
      </c>
      <c r="CA18" s="263">
        <f t="shared" ref="CA18" si="495">BZ18+CA17</f>
        <v>1744357.827910922</v>
      </c>
      <c r="CB18" s="263">
        <f t="shared" ref="CB18" si="496">CA18+CB17</f>
        <v>1744357.827910922</v>
      </c>
      <c r="CC18" s="263">
        <f t="shared" ref="CC18" si="497">CB18+CC17</f>
        <v>1744357.827910922</v>
      </c>
      <c r="CD18" s="263">
        <f t="shared" ref="CD18" si="498">CC18+CD17</f>
        <v>1744357.827910922</v>
      </c>
      <c r="CE18" s="263">
        <f t="shared" ref="CE18" si="499">CD18+CE17</f>
        <v>1744357.827910922</v>
      </c>
      <c r="CF18" s="263">
        <f t="shared" ref="CF18" si="500">CE18+CF17</f>
        <v>1744357.827910922</v>
      </c>
      <c r="CG18" s="263">
        <f t="shared" ref="CG18" si="501">CF18+CG17</f>
        <v>1744357.827910922</v>
      </c>
      <c r="CH18" s="263">
        <f t="shared" ref="CH18" si="502">CG18+CH17</f>
        <v>1744357.827910922</v>
      </c>
      <c r="CI18" s="263">
        <f t="shared" ref="CI18" si="503">CH18+CI17</f>
        <v>1744357.827910922</v>
      </c>
      <c r="CJ18" s="263">
        <f t="shared" ref="CJ18" si="504">CI18+CJ17</f>
        <v>1744357.827910922</v>
      </c>
      <c r="CK18" s="263">
        <f t="shared" ref="CK18" si="505">CJ18+CK17</f>
        <v>1744357.827910922</v>
      </c>
      <c r="CL18" s="263">
        <f t="shared" ref="CL18" si="506">CK18+CL17</f>
        <v>1744357.827910922</v>
      </c>
      <c r="CM18" s="263">
        <f t="shared" ref="CM18" si="507">CL18+CM17</f>
        <v>1744357.827910922</v>
      </c>
    </row>
    <row r="19" spans="1:91" s="240" customFormat="1"/>
    <row r="20" spans="1:91">
      <c r="B20" t="s">
        <v>420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</row>
    <row r="21" spans="1:91">
      <c r="B21" t="s">
        <v>421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508">I20+H21</f>
        <v>0</v>
      </c>
      <c r="J21" s="645">
        <f t="shared" ref="J21" si="509">J20+I21</f>
        <v>0</v>
      </c>
      <c r="K21" s="645">
        <f t="shared" ref="K21" si="510">K20+J21</f>
        <v>0</v>
      </c>
      <c r="L21" s="645">
        <f t="shared" ref="L21" si="511">L20+K21</f>
        <v>0</v>
      </c>
      <c r="M21" s="645">
        <f t="shared" ref="M21" si="512">M20+L21</f>
        <v>0</v>
      </c>
      <c r="N21" s="645">
        <f t="shared" ref="N21" si="513">N20+M21</f>
        <v>0</v>
      </c>
      <c r="O21" s="645">
        <f t="shared" ref="O21" si="514">O20+N21</f>
        <v>0</v>
      </c>
      <c r="P21" s="645">
        <f t="shared" ref="P21" si="515">P20+O21</f>
        <v>31839.100000000002</v>
      </c>
      <c r="Q21" s="645">
        <f t="shared" ref="Q21" si="516">Q20+P21</f>
        <v>31839.100000000002</v>
      </c>
      <c r="R21" s="645">
        <f t="shared" ref="R21" si="517">R20+Q21</f>
        <v>79597.75</v>
      </c>
      <c r="S21" s="645">
        <f t="shared" ref="S21" si="518">S20+R21</f>
        <v>79597.75</v>
      </c>
      <c r="T21" s="645">
        <f t="shared" ref="T21" si="519">T20+S21</f>
        <v>79597.75</v>
      </c>
      <c r="U21" s="645">
        <f t="shared" ref="U21" si="520">U20+T21</f>
        <v>79597.75</v>
      </c>
      <c r="V21" s="645">
        <f t="shared" ref="V21" si="521">V20+U21</f>
        <v>79597.75</v>
      </c>
      <c r="W21" s="645">
        <f t="shared" ref="W21" si="522">W20+V21</f>
        <v>79597.75</v>
      </c>
      <c r="X21" s="645">
        <f t="shared" ref="X21" si="523">X20+W21</f>
        <v>79597.75</v>
      </c>
      <c r="Y21" s="645">
        <f t="shared" ref="Y21" si="524">Y20+X21</f>
        <v>175115.05</v>
      </c>
      <c r="Z21" s="645">
        <f t="shared" ref="Z21" si="525">Z20+Y21</f>
        <v>206954.15</v>
      </c>
      <c r="AA21" s="645">
        <f t="shared" ref="AA21" si="526">AA20+Z21</f>
        <v>206954.15</v>
      </c>
      <c r="AB21" s="645">
        <f t="shared" ref="AB21" si="527">AB20+AA21</f>
        <v>206954.15</v>
      </c>
      <c r="AC21" s="645">
        <f t="shared" ref="AC21" si="528">AC20+AB21</f>
        <v>206954.15</v>
      </c>
      <c r="AD21" s="645">
        <f t="shared" ref="AD21" si="529">AD20+AC21</f>
        <v>206954.15</v>
      </c>
      <c r="AE21" s="645">
        <f t="shared" ref="AE21" si="530">AE20+AD21</f>
        <v>206954.15</v>
      </c>
      <c r="AF21" s="645">
        <f t="shared" ref="AF21" si="531">AF20+AE21</f>
        <v>206954.15</v>
      </c>
      <c r="AG21" s="645">
        <f t="shared" ref="AG21" si="532">AG20+AF21</f>
        <v>206954.15</v>
      </c>
      <c r="AH21" s="645">
        <f t="shared" ref="AH21" si="533">AH20+AG21</f>
        <v>286551.90000000002</v>
      </c>
      <c r="AI21" s="645">
        <f t="shared" ref="AI21" si="534">AI20+AH21</f>
        <v>286551.90000000002</v>
      </c>
      <c r="AJ21" s="645">
        <f t="shared" ref="AJ21" si="535">AJ20+AI21</f>
        <v>302471.45</v>
      </c>
      <c r="AK21" s="645">
        <f t="shared" ref="AK21" si="536">AK20+AJ21</f>
        <v>302471.45</v>
      </c>
      <c r="AL21" s="645">
        <f t="shared" ref="AL21" si="537">AL20+AK21</f>
        <v>302471.45</v>
      </c>
      <c r="AM21" s="645">
        <f t="shared" ref="AM21" si="538">AM20+AL21</f>
        <v>318391</v>
      </c>
      <c r="AN21" s="645">
        <f t="shared" ref="AN21" si="539">AN20+AM21</f>
        <v>318391</v>
      </c>
      <c r="AO21" s="645">
        <f t="shared" ref="AO21" si="540">AO20+AN21</f>
        <v>318391</v>
      </c>
      <c r="AP21" s="645">
        <f t="shared" ref="AP21" si="541">AP20+AO21</f>
        <v>318391</v>
      </c>
      <c r="AQ21" s="645">
        <f t="shared" ref="AQ21" si="542">AQ20+AP21</f>
        <v>318391</v>
      </c>
      <c r="AR21" s="645">
        <f t="shared" ref="AR21" si="543">AR20+AQ21</f>
        <v>318391</v>
      </c>
      <c r="AS21" s="645">
        <f t="shared" ref="AS21" si="544">AS20+AR21</f>
        <v>318391</v>
      </c>
      <c r="AT21" s="645">
        <f t="shared" ref="AT21" si="545">AT20+AS21</f>
        <v>318391</v>
      </c>
      <c r="AU21" s="645">
        <f t="shared" ref="AU21" si="546">AU20+AT21</f>
        <v>318391</v>
      </c>
      <c r="AV21" s="645">
        <f t="shared" ref="AV21" si="547">AV20+AU21</f>
        <v>318391</v>
      </c>
      <c r="AW21" s="645">
        <f t="shared" ref="AW21" si="548">AW20+AV21</f>
        <v>318391</v>
      </c>
      <c r="AX21" s="645">
        <f t="shared" ref="AX21" si="549">AX20+AW21</f>
        <v>318391</v>
      </c>
      <c r="AY21" s="645">
        <f t="shared" ref="AY21" si="550">AY20+AX21</f>
        <v>318391</v>
      </c>
      <c r="AZ21" s="645">
        <f t="shared" ref="AZ21" si="551">AZ20+AY21</f>
        <v>318391</v>
      </c>
      <c r="BA21" s="645">
        <f t="shared" ref="BA21" si="552">BA20+AZ21</f>
        <v>318391</v>
      </c>
      <c r="BB21" s="645">
        <f t="shared" ref="BB21" si="553">BB20+BA21</f>
        <v>318391</v>
      </c>
      <c r="BC21" s="645">
        <f t="shared" ref="BC21" si="554">BC20+BB21</f>
        <v>318391</v>
      </c>
      <c r="BD21" s="645">
        <f t="shared" ref="BD21" si="555">BD20+BC21</f>
        <v>318391</v>
      </c>
      <c r="BE21" s="645">
        <f t="shared" ref="BE21" si="556">BE20+BD21</f>
        <v>318391</v>
      </c>
      <c r="BF21" s="645">
        <f t="shared" ref="BF21" si="557">BF20+BE21</f>
        <v>318391</v>
      </c>
      <c r="BG21" s="645">
        <f t="shared" ref="BG21" si="558">BG20+BF21</f>
        <v>318391</v>
      </c>
      <c r="BH21" s="645">
        <f t="shared" ref="BH21" si="559">BH20+BG21</f>
        <v>318391</v>
      </c>
      <c r="BI21" s="645">
        <f t="shared" ref="BI21" si="560">BI20+BH21</f>
        <v>318391</v>
      </c>
      <c r="BJ21" s="645">
        <f t="shared" ref="BJ21" si="561">BJ20+BI21</f>
        <v>318391</v>
      </c>
      <c r="BK21" s="645">
        <f t="shared" ref="BK21" si="562">BK20+BJ21</f>
        <v>318391</v>
      </c>
      <c r="BL21" s="645">
        <f t="shared" ref="BL21" si="563">BL20+BK21</f>
        <v>318391</v>
      </c>
      <c r="BM21" s="645">
        <f t="shared" ref="BM21" si="564">BM20+BL21</f>
        <v>318391</v>
      </c>
      <c r="BN21" s="645">
        <f t="shared" ref="BN21" si="565">BN20+BM21</f>
        <v>318391</v>
      </c>
      <c r="BO21" s="645">
        <f t="shared" ref="BO21" si="566">BO20+BN21</f>
        <v>318391</v>
      </c>
      <c r="BP21" s="645">
        <f t="shared" ref="BP21" si="567">BP20+BO21</f>
        <v>318391</v>
      </c>
      <c r="BQ21" s="645">
        <f t="shared" ref="BQ21" si="568">BQ20+BP21</f>
        <v>318391</v>
      </c>
      <c r="BR21" s="645">
        <f t="shared" ref="BR21" si="569">BR20+BQ21</f>
        <v>318391</v>
      </c>
      <c r="BS21" s="645">
        <f t="shared" ref="BS21" si="570">BS20+BR21</f>
        <v>318391</v>
      </c>
      <c r="BT21" s="645">
        <f t="shared" ref="BT21" si="571">BT20+BS21</f>
        <v>318391</v>
      </c>
      <c r="BU21" s="645">
        <f t="shared" ref="BU21" si="572">BU20+BT21</f>
        <v>318391</v>
      </c>
      <c r="BV21" s="645">
        <f t="shared" ref="BV21" si="573">BV20+BU21</f>
        <v>318391</v>
      </c>
      <c r="BW21" s="645">
        <f t="shared" ref="BW21" si="574">BW20+BV21</f>
        <v>318391</v>
      </c>
      <c r="BX21" s="645">
        <f t="shared" ref="BX21" si="575">BX20+BW21</f>
        <v>318391</v>
      </c>
      <c r="BY21" s="645">
        <f t="shared" ref="BY21" si="576">BY20+BX21</f>
        <v>318391</v>
      </c>
      <c r="BZ21" s="645">
        <f t="shared" ref="BZ21" si="577">BZ20+BY21</f>
        <v>318391</v>
      </c>
      <c r="CA21" s="645">
        <f t="shared" ref="CA21" si="578">CA20+BZ21</f>
        <v>318391</v>
      </c>
      <c r="CB21" s="645">
        <f t="shared" ref="CB21" si="579">CB20+CA21</f>
        <v>318391</v>
      </c>
      <c r="CC21" s="645">
        <f t="shared" ref="CC21" si="580">CC20+CB21</f>
        <v>318391</v>
      </c>
      <c r="CD21" s="645">
        <f t="shared" ref="CD21" si="581">CD20+CC21</f>
        <v>318391</v>
      </c>
      <c r="CE21" s="645">
        <f t="shared" ref="CE21" si="582">CE20+CD21</f>
        <v>318391</v>
      </c>
      <c r="CF21" s="645">
        <f t="shared" ref="CF21" si="583">CF20+CE21</f>
        <v>318391</v>
      </c>
      <c r="CG21" s="645">
        <f t="shared" ref="CG21" si="584">CG20+CF21</f>
        <v>318391</v>
      </c>
      <c r="CH21" s="645">
        <f t="shared" ref="CH21" si="585">CH20+CG21</f>
        <v>318391</v>
      </c>
      <c r="CI21" s="645">
        <f t="shared" ref="CI21" si="586">CI20+CH21</f>
        <v>318391</v>
      </c>
      <c r="CJ21" s="645">
        <f t="shared" ref="CJ21" si="587">CJ20+CI21</f>
        <v>318391</v>
      </c>
      <c r="CK21" s="645">
        <f t="shared" ref="CK21" si="588">CK20+CJ21</f>
        <v>318391</v>
      </c>
      <c r="CL21" s="645">
        <f t="shared" ref="CL21" si="589">CL20+CK21</f>
        <v>318391</v>
      </c>
      <c r="CM21" s="645">
        <f t="shared" ref="CM21" si="590">CM20+CL21</f>
        <v>318391</v>
      </c>
    </row>
    <row r="22" spans="1:9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703125" defaultRowHeight="14.25"/>
  <cols>
    <col min="1" max="1" width="36.5703125" style="503" bestFit="1" customWidth="1"/>
    <col min="2" max="2" width="15.28515625" style="504" bestFit="1" customWidth="1"/>
    <col min="3" max="3" width="6.7109375" style="503" bestFit="1" customWidth="1"/>
    <col min="4" max="4" width="12.5703125" style="503" bestFit="1" customWidth="1"/>
    <col min="5" max="5" width="11.42578125" style="503" bestFit="1" customWidth="1"/>
    <col min="6" max="8" width="12.5703125" style="503" bestFit="1" customWidth="1"/>
    <col min="9" max="9" width="10.85546875" style="503" bestFit="1" customWidth="1"/>
    <col min="10" max="10" width="11.42578125" style="503" bestFit="1" customWidth="1"/>
    <col min="11" max="16" width="10.85546875" style="503" bestFit="1" customWidth="1"/>
    <col min="17" max="17" width="14.140625" style="503" bestFit="1" customWidth="1"/>
    <col min="18" max="18" width="11.140625" style="503" bestFit="1" customWidth="1"/>
    <col min="19" max="19" width="13.85546875" style="503" bestFit="1" customWidth="1"/>
    <col min="20" max="16384" width="12.5703125" style="503"/>
  </cols>
  <sheetData>
    <row r="1" spans="1:20">
      <c r="A1" s="527" t="s">
        <v>235</v>
      </c>
      <c r="B1" t="s">
        <v>422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423</v>
      </c>
      <c r="B3" s="52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425</v>
      </c>
      <c r="B4"/>
      <c r="C4" t="s">
        <v>426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t="s">
        <v>427</v>
      </c>
      <c r="R4"/>
      <c r="S4"/>
      <c r="T4"/>
    </row>
    <row r="5" spans="1:20">
      <c r="A5" s="528" t="s">
        <v>426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>
        <v>595490.62155765016</v>
      </c>
      <c r="R8"/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>
        <v>143956.09471951798</v>
      </c>
      <c r="R9"/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>
        <v>86334.150736450363</v>
      </c>
      <c r="R10"/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>
        <v>131009.272776357</v>
      </c>
      <c r="R11"/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>
        <v>59756.09607311969</v>
      </c>
      <c r="R12"/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>
        <v>337472.94800000003</v>
      </c>
      <c r="R13"/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>
        <v>85610.22</v>
      </c>
      <c r="R14" s="529"/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>
        <v>154235.2941</v>
      </c>
      <c r="R15"/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>
        <v>37965.290185471866</v>
      </c>
      <c r="R16"/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>
        <v>34117.644836423722</v>
      </c>
      <c r="R17"/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>
        <v>75321.963459999999</v>
      </c>
      <c r="R18"/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>
        <v>3088.231465931251</v>
      </c>
      <c r="R19"/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/>
      <c r="S20"/>
      <c r="T20"/>
    </row>
    <row r="21" spans="1:20">
      <c r="A21" s="528" t="s">
        <v>427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>
        <v>1744357.827910922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R14" sqref="R14"/>
    </sheetView>
  </sheetViews>
  <sheetFormatPr defaultColWidth="8.42578125" defaultRowHeight="14.25"/>
  <cols>
    <col min="1" max="1" width="20.140625" bestFit="1" customWidth="1"/>
    <col min="2" max="2" width="15.85546875" style="618" bestFit="1" customWidth="1"/>
    <col min="3" max="3" width="11.85546875" style="618" bestFit="1" customWidth="1"/>
    <col min="4" max="5" width="13" style="618" bestFit="1" customWidth="1"/>
    <col min="6" max="6" width="11.85546875" style="618" bestFit="1" customWidth="1"/>
    <col min="7" max="9" width="13" style="618" bestFit="1" customWidth="1"/>
    <col min="10" max="10" width="11.140625" bestFit="1" customWidth="1"/>
    <col min="11" max="11" width="11.85546875" bestFit="1" customWidth="1"/>
    <col min="12" max="13" width="11.140625" bestFit="1" customWidth="1"/>
    <col min="14" max="16" width="11.85546875" bestFit="1" customWidth="1"/>
    <col min="17" max="17" width="14.5703125" bestFit="1" customWidth="1"/>
    <col min="18" max="18" width="12.42578125" bestFit="1" customWidth="1"/>
    <col min="19" max="19" width="13.42578125" bestFit="1" customWidth="1"/>
  </cols>
  <sheetData>
    <row r="3" spans="1:18">
      <c r="A3" s="527" t="s">
        <v>428</v>
      </c>
      <c r="B3" s="527" t="s">
        <v>424</v>
      </c>
      <c r="C3"/>
      <c r="D3"/>
      <c r="E3"/>
      <c r="F3"/>
      <c r="G3"/>
      <c r="H3"/>
      <c r="I3"/>
    </row>
    <row r="4" spans="1:18">
      <c r="A4" s="527" t="s">
        <v>425</v>
      </c>
      <c r="B4" t="s">
        <v>426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t="s">
        <v>427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>
        <v>43075.96</v>
      </c>
    </row>
    <row r="7" spans="1:18">
      <c r="A7" s="528" t="s">
        <v>426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>
        <v>136151.13999999998</v>
      </c>
      <c r="R14" s="632">
        <f>SUM(Q8:Q14)</f>
        <v>1087653.0699999998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>
        <v>85453.260000000009</v>
      </c>
    </row>
    <row r="17" spans="1:17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>
        <v>12071.19</v>
      </c>
    </row>
    <row r="18" spans="1:17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>
        <v>50400</v>
      </c>
    </row>
    <row r="19" spans="1:17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>
        <v>6991.68</v>
      </c>
    </row>
    <row r="20" spans="1:17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41872.699999999997</v>
      </c>
    </row>
    <row r="21" spans="1:17">
      <c r="A21" s="528" t="s">
        <v>427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1443822.8599999999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1001" t="s">
        <v>429</v>
      </c>
      <c r="C2" s="1001"/>
      <c r="D2" s="1001"/>
      <c r="E2" s="1001"/>
      <c r="H2" s="1002" t="s">
        <v>430</v>
      </c>
      <c r="I2" s="1003"/>
      <c r="J2" s="1003"/>
      <c r="K2" s="1003"/>
      <c r="L2" s="1003"/>
      <c r="M2" s="1003"/>
      <c r="N2" s="1003"/>
      <c r="O2" s="1004"/>
    </row>
    <row r="3" spans="2:15">
      <c r="B3" s="880"/>
      <c r="H3" s="1005"/>
      <c r="I3" s="1006"/>
      <c r="J3" s="1006"/>
      <c r="K3" s="1006"/>
      <c r="L3" s="1006"/>
      <c r="M3" s="1006"/>
      <c r="N3" s="1006"/>
      <c r="O3" s="1007"/>
    </row>
    <row r="4" spans="2:15">
      <c r="B4" s="881" t="s">
        <v>431</v>
      </c>
      <c r="C4" s="882" t="str">
        <f>'Project Plan'!E2</f>
        <v>SA Metal - 14 Christiaan_B</v>
      </c>
      <c r="H4" s="1005"/>
      <c r="I4" s="1006"/>
      <c r="J4" s="1006"/>
      <c r="K4" s="1006"/>
      <c r="L4" s="1006"/>
      <c r="M4" s="1006"/>
      <c r="N4" s="1006"/>
      <c r="O4" s="1007"/>
    </row>
    <row r="5" spans="2:15">
      <c r="B5" s="881" t="s">
        <v>432</v>
      </c>
      <c r="C5" s="882" t="s">
        <v>433</v>
      </c>
      <c r="H5" s="1005"/>
      <c r="I5" s="1006"/>
      <c r="J5" s="1006"/>
      <c r="K5" s="1006"/>
      <c r="L5" s="1006"/>
      <c r="M5" s="1006"/>
      <c r="N5" s="1006"/>
      <c r="O5" s="1007"/>
    </row>
    <row r="6" spans="2:15">
      <c r="B6" s="881" t="s">
        <v>434</v>
      </c>
      <c r="C6" s="882" t="s">
        <v>435</v>
      </c>
      <c r="H6" s="1005"/>
      <c r="I6" s="1006"/>
      <c r="J6" s="1006"/>
      <c r="K6" s="1006"/>
      <c r="L6" s="1006"/>
      <c r="M6" s="1006"/>
      <c r="N6" s="1006"/>
      <c r="O6" s="1007"/>
    </row>
    <row r="7" spans="2:15">
      <c r="B7" s="881" t="s">
        <v>436</v>
      </c>
      <c r="C7" s="882" t="s">
        <v>437</v>
      </c>
      <c r="H7" s="1005"/>
      <c r="I7" s="1006"/>
      <c r="J7" s="1006"/>
      <c r="K7" s="1006"/>
      <c r="L7" s="1006"/>
      <c r="M7" s="1006"/>
      <c r="N7" s="1006"/>
      <c r="O7" s="1007"/>
    </row>
    <row r="8" spans="2:15">
      <c r="B8" s="880"/>
      <c r="H8" s="1005"/>
      <c r="I8" s="1006"/>
      <c r="J8" s="1006"/>
      <c r="K8" s="1006"/>
      <c r="L8" s="1006"/>
      <c r="M8" s="1006"/>
      <c r="N8" s="1006"/>
      <c r="O8" s="1007"/>
    </row>
    <row r="9" spans="2:15">
      <c r="B9" s="1011" t="s">
        <v>438</v>
      </c>
      <c r="C9" s="1011"/>
      <c r="D9" s="1011"/>
      <c r="E9" s="101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5"/>
      <c r="I9" s="1006"/>
      <c r="J9" s="1006"/>
      <c r="K9" s="1006"/>
      <c r="L9" s="1006"/>
      <c r="M9" s="1006"/>
      <c r="N9" s="1006"/>
      <c r="O9" s="1007"/>
    </row>
    <row r="10" spans="2:15" ht="14.65" thickBot="1">
      <c r="B10" s="1011" t="s">
        <v>439</v>
      </c>
      <c r="C10" s="1011"/>
      <c r="D10" s="1011"/>
      <c r="E10" s="1011"/>
      <c r="H10" s="1008"/>
      <c r="I10" s="1009"/>
      <c r="J10" s="1009"/>
      <c r="K10" s="1009"/>
      <c r="L10" s="1009"/>
      <c r="M10" s="1009"/>
      <c r="N10" s="1009"/>
      <c r="O10" s="1010"/>
    </row>
    <row r="11" spans="2:15">
      <c r="B11" s="883" t="s">
        <v>440</v>
      </c>
      <c r="C11" s="999" t="s">
        <v>441</v>
      </c>
      <c r="D11" s="999"/>
      <c r="E11" s="999"/>
    </row>
    <row r="12" spans="2:15">
      <c r="B12" s="883" t="s">
        <v>442</v>
      </c>
      <c r="C12" s="999" t="s">
        <v>441</v>
      </c>
      <c r="D12" s="999"/>
      <c r="E12" s="999"/>
    </row>
    <row r="13" spans="2:15">
      <c r="B13" s="883" t="s">
        <v>443</v>
      </c>
      <c r="C13" s="999" t="s">
        <v>441</v>
      </c>
      <c r="D13" s="999"/>
      <c r="E13" s="999"/>
    </row>
    <row r="14" spans="2:15">
      <c r="B14" s="883" t="s">
        <v>444</v>
      </c>
      <c r="C14" s="999" t="s">
        <v>445</v>
      </c>
      <c r="D14" s="999"/>
      <c r="E14" s="999"/>
    </row>
    <row r="15" spans="2:15">
      <c r="B15" s="883" t="s">
        <v>446</v>
      </c>
      <c r="C15" s="999" t="s">
        <v>447</v>
      </c>
      <c r="D15" s="999"/>
      <c r="E15" s="999"/>
    </row>
    <row r="16" spans="2:15" ht="15" customHeight="1">
      <c r="B16" s="883" t="s">
        <v>448</v>
      </c>
      <c r="C16" s="999" t="s">
        <v>449</v>
      </c>
      <c r="D16" s="999"/>
      <c r="E16" s="999"/>
    </row>
    <row r="17" spans="2:5">
      <c r="B17" s="880"/>
    </row>
    <row r="18" spans="2:5">
      <c r="B18" s="1000" t="s">
        <v>450</v>
      </c>
      <c r="C18" s="1000"/>
      <c r="D18" s="1000"/>
      <c r="E18" s="1000"/>
    </row>
    <row r="19" spans="2:5">
      <c r="B19" s="883" t="s">
        <v>451</v>
      </c>
      <c r="C19" s="883" t="s">
        <v>452</v>
      </c>
      <c r="D19" s="883" t="s">
        <v>453</v>
      </c>
      <c r="E19" s="883" t="s">
        <v>62</v>
      </c>
    </row>
    <row r="20" spans="2:5" ht="15" customHeight="1">
      <c r="B20" s="883" t="s">
        <v>454</v>
      </c>
      <c r="C20" s="883" t="s">
        <v>455</v>
      </c>
      <c r="D20" s="884" t="s">
        <v>456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457</v>
      </c>
    </row>
    <row r="2" spans="1:4">
      <c r="A2" s="1013"/>
      <c r="B2" s="1013"/>
      <c r="C2" s="1013"/>
      <c r="D2" s="71"/>
    </row>
    <row r="3" spans="1:4">
      <c r="A3" s="1012" t="s">
        <v>458</v>
      </c>
      <c r="B3" s="1012"/>
      <c r="C3" s="1012"/>
      <c r="D3" s="112">
        <v>0.32</v>
      </c>
    </row>
    <row r="4" spans="1:4">
      <c r="A4" s="1012" t="s">
        <v>459</v>
      </c>
      <c r="B4" s="1012"/>
      <c r="C4" s="1012"/>
      <c r="D4" s="112">
        <v>0.5</v>
      </c>
    </row>
    <row r="5" spans="1:4">
      <c r="A5" s="1012" t="s">
        <v>460</v>
      </c>
      <c r="B5" s="1012"/>
      <c r="C5" s="1012"/>
      <c r="D5" s="112">
        <v>0.15</v>
      </c>
    </row>
    <row r="6" spans="1:4">
      <c r="A6" s="1012" t="s">
        <v>461</v>
      </c>
      <c r="B6" s="1012"/>
      <c r="C6" s="101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14" t="s">
        <v>462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  <c r="N2" s="1014"/>
    </row>
    <row r="4" spans="2:14" ht="13.15">
      <c r="B4" s="92" t="s">
        <v>463</v>
      </c>
      <c r="C4" s="86"/>
      <c r="D4" s="90" t="s">
        <v>464</v>
      </c>
      <c r="E4" s="95"/>
      <c r="F4" s="90" t="s">
        <v>465</v>
      </c>
      <c r="H4" s="90" t="s">
        <v>466</v>
      </c>
      <c r="I4" s="95"/>
      <c r="J4" s="90" t="s">
        <v>467</v>
      </c>
      <c r="L4" s="90" t="s">
        <v>466</v>
      </c>
      <c r="M4" s="90"/>
      <c r="N4" s="90" t="s">
        <v>468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469</v>
      </c>
      <c r="H7" s="99"/>
      <c r="I7" s="95"/>
      <c r="J7" s="107" t="s">
        <v>469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470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469</v>
      </c>
      <c r="H15" s="99"/>
      <c r="I15" s="95"/>
      <c r="J15" s="107" t="s">
        <v>469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473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473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469</v>
      </c>
      <c r="H21" s="99"/>
      <c r="I21" s="95"/>
      <c r="J21" s="107" t="s">
        <v>469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474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474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469</v>
      </c>
      <c r="H27" s="99"/>
      <c r="I27" s="95"/>
      <c r="J27" s="107" t="s">
        <v>469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469</v>
      </c>
      <c r="H34" s="99"/>
      <c r="I34" s="95"/>
      <c r="J34" s="107" t="s">
        <v>469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477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1014" t="s">
        <v>484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  <c r="N2" s="1014"/>
      <c r="O2" s="1014"/>
    </row>
    <row r="4" spans="2:15" ht="13.15">
      <c r="B4" s="92" t="s">
        <v>463</v>
      </c>
      <c r="C4" s="86"/>
      <c r="D4" s="90" t="s">
        <v>464</v>
      </c>
      <c r="E4" s="95"/>
      <c r="F4" s="95"/>
      <c r="G4" s="90" t="s">
        <v>485</v>
      </c>
      <c r="H4" s="96"/>
      <c r="J4" s="90" t="s">
        <v>466</v>
      </c>
      <c r="L4" s="90" t="s">
        <v>486</v>
      </c>
      <c r="M4" s="96"/>
      <c r="O4" s="90" t="s">
        <v>466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3.15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3.15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3.15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487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482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463</v>
      </c>
      <c r="C18" s="86"/>
      <c r="D18" s="90" t="s">
        <v>464</v>
      </c>
      <c r="E18" s="95"/>
      <c r="F18" s="95"/>
      <c r="G18" s="90" t="s">
        <v>488</v>
      </c>
      <c r="H18" s="96"/>
      <c r="J18" s="90" t="s">
        <v>466</v>
      </c>
      <c r="L18" s="90" t="s">
        <v>489</v>
      </c>
      <c r="M18" s="96"/>
      <c r="O18" s="90" t="s">
        <v>466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3.15">
      <c r="B21" s="86" t="s">
        <v>491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3.15">
      <c r="B22" s="86" t="s">
        <v>492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3.15">
      <c r="B23" s="86" t="s">
        <v>493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494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495</v>
      </c>
      <c r="C32" s="103"/>
      <c r="D32" s="103"/>
    </row>
    <row r="33" spans="2:4" ht="13.15" thickTop="1"/>
    <row r="34" spans="2:4">
      <c r="B34" s="88" t="s">
        <v>464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3.15">
      <c r="B41" s="105"/>
      <c r="C41" s="105"/>
      <c r="D41" s="106"/>
    </row>
    <row r="42" spans="2:4">
      <c r="B42" s="86" t="s">
        <v>496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16" t="str">
        <f>D15</f>
        <v>SA Metal - 14 Christiaan_B</v>
      </c>
      <c r="C1" s="1016"/>
      <c r="D1" s="1016"/>
      <c r="E1" s="1015" t="s">
        <v>497</v>
      </c>
      <c r="F1" s="1015"/>
      <c r="G1" s="1015"/>
      <c r="H1" s="1015"/>
      <c r="I1" s="1015"/>
      <c r="J1" s="1015"/>
      <c r="K1" s="77"/>
      <c r="L1" s="77"/>
      <c r="M1" s="77"/>
      <c r="N1" s="77"/>
    </row>
    <row r="2" spans="2:14" ht="6.75" customHeight="1"/>
    <row r="3" spans="2:14">
      <c r="B3" s="72" t="s">
        <v>498</v>
      </c>
      <c r="C3" s="72" t="s">
        <v>499</v>
      </c>
      <c r="D3" s="72" t="s">
        <v>500</v>
      </c>
      <c r="E3" s="78" t="s">
        <v>501</v>
      </c>
      <c r="F3" s="78" t="s">
        <v>502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8EE42-1DB5-4CB4-B51E-30B5B7CF60AA}"/>
</file>

<file path=customXml/itemProps2.xml><?xml version="1.0" encoding="utf-8"?>
<ds:datastoreItem xmlns:ds="http://schemas.openxmlformats.org/officeDocument/2006/customXml" ds:itemID="{51022F73-EB5A-4CA5-AEC5-946AF5B5E9B3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2026-01-23T10:53:42Z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