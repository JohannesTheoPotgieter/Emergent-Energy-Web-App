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1" documentId="13_ncr:1_{CDEA10F9-77C5-44A1-9473-92107CACD0EC}" xr6:coauthVersionLast="47" xr6:coauthVersionMax="47" xr10:uidLastSave="{900CF7C1-7BAD-4960-902C-7818C2CA308C}"/>
  <bookViews>
    <workbookView xWindow="11412" yWindow="132" windowWidth="11496" windowHeight="11712" tabRatio="675" firstSheet="1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2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3" i="18" l="1"/>
  <c r="Q152" i="18"/>
  <c r="Q7" i="18" l="1"/>
  <c r="I46" i="2"/>
  <c r="I45" i="2"/>
  <c r="W23" i="18"/>
  <c r="H6" i="5"/>
  <c r="Q29" i="18"/>
  <c r="W151" i="18"/>
  <c r="Q151" i="18"/>
  <c r="W125" i="18"/>
  <c r="W128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30" i="2"/>
  <c r="M9" i="2" s="1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9" i="2"/>
  <c r="I48" i="2" s="1"/>
  <c r="V68" i="2" s="1"/>
  <c r="K45" i="2"/>
  <c r="K49" i="2"/>
  <c r="I53" i="2"/>
  <c r="K48" i="2"/>
  <c r="I52" i="2"/>
  <c r="K46" i="2"/>
  <c r="I54" i="2" s="1"/>
  <c r="I44" i="2"/>
  <c r="V67" i="2" s="1"/>
  <c r="G25" i="14"/>
  <c r="JW17" i="6" l="1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K54" i="2"/>
  <c r="I55" i="2" s="1"/>
  <c r="K44" i="2"/>
  <c r="N46" i="2"/>
  <c r="J9" i="2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U107" i="18"/>
  <c r="U117" i="18"/>
  <c r="U110" i="18"/>
  <c r="U109" i="18"/>
  <c r="U108" i="18"/>
  <c r="U125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X67" i="2"/>
  <c r="W99" i="18"/>
  <c r="J44" i="2"/>
  <c r="W67" i="2" s="1"/>
  <c r="J48" i="2"/>
  <c r="W68" i="2" s="1"/>
  <c r="N49" i="2"/>
  <c r="N48" i="2" s="1"/>
  <c r="K52" i="2"/>
  <c r="K53" i="2"/>
  <c r="X68" i="2"/>
  <c r="N45" i="2"/>
  <c r="N40" i="2"/>
  <c r="N33" i="2"/>
  <c r="N30" i="2" s="1"/>
  <c r="K30" i="2"/>
  <c r="N23" i="2"/>
  <c r="N11" i="2"/>
  <c r="U152" i="18" l="1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44" i="2"/>
  <c r="N54" i="2"/>
  <c r="K55" i="2"/>
  <c r="I56" i="2" s="1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W58" i="18"/>
  <c r="W117" i="18"/>
  <c r="J30" i="2"/>
  <c r="W65" i="2" s="1"/>
  <c r="W98" i="18"/>
  <c r="X65" i="2"/>
  <c r="V52" i="18" l="1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<sst xmlns="http://schemas.openxmlformats.org/spreadsheetml/2006/main" count="912" uniqueCount="498">
  <si>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</si>
  <si>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</si>
  <si>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</si>
  <si>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</si>
  <si>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</si>
  <si>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</si>
  <si>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</si>
  <si>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</si>
  <si>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</si>
  <si>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</si>
  <si>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</si>
  <si>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</si>
  <si>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</si>
  <si>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</si>
  <si>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</si>
  <si>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</si>
  <si>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</si>
  <si>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</si>
  <si>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</si>
  <si>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</si>
  <si>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</si>
  <si>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</si>
  <si>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</si>
  <si>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</si>
  <si>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</si>
  <si>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</si>
  <si>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</si>
  <si>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</si>
  <si>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</si>
  <si>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</si>
  <si>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</si>
  <si>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</si>
  <si>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</si>
  <si>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</si>
  <si>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</si>
  <si>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</si>
  <si>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</si>
  <si>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</si>
  <si>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</si>
  <si>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</si>
  <si>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</si>
  <si>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</si>
  <si>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</si>
  <si>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</si>
  <si>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</si>
  <si>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</si>
  <si>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</si>
  <si>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</si>
  <si>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</si>
  <si>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</si>
  <si>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</si>
  <si>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</si>
  <si>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</si>
  <si>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</si>
  <si>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</si>
  <si>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</si>
  <si>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</si>
  <si>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</si>
  <si>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</si>
  <si>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</si>
  <si>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</si>
  <si>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</si>
  <si>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</si>
  <si>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</si>
  <si>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</si>
  <si>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</si>
  <si>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</si>
  <si>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</si>
  <si>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</si>
  <si>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</si>
  <si>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</si>
  <si>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</si>
  <si>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</si>
  <si>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</si>
  <si>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</si>
  <si>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</si>
  <si>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</si>
  <si>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</si>
  <si>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</si>
  <si>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</si>
  <si>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</si>
  <si>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</si>
  <si>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</si>
  <si>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</si>
  <si>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</si>
  <si>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</si>
  <si>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</si>
  <si>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</si>
  <si>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</si>
  <si>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</si>
  <si>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</si>
  <si>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</si>
  <si>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</si>
  <si>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Roof 1 (20 Nov)</t>
  </si>
  <si>
    <t>2.3</t>
  </si>
  <si>
    <t>Anchor Point Install</t>
  </si>
  <si>
    <t>Subject to Roof Sign-off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</si>
  <si>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</si>
  <si>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</si>
  <si>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</si>
  <si>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</si>
  <si>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</si>
  <si>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</si>
  <si>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</si>
  <si>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</si>
  <si>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</si>
  <si>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</si>
  <si>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</si>
  <si>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</si>
  <si>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</si>
  <si>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</si>
  <si>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</si>
  <si>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DC stringing pushed to 21 Feb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</si>
  <si>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</si>
  <si>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</si>
  <si>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</si>
  <si>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</si>
  <si>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</si>
  <si>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</si>
  <si>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</si>
  <si>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</si>
  <si>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</si>
  <si>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</si>
  <si>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</si>
  <si>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</si>
  <si>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</si>
  <si>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</si>
  <si>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</si>
  <si>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</si>
  <si>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</si>
  <si>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Pushed out because of delayed stringing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</si>
  <si>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</si>
  <si>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</si>
  <si>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</si>
  <si>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</si>
  <si>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</si>
  <si>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</si>
  <si>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</si>
  <si>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</si>
  <si>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</si>
  <si>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</si>
  <si>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</si>
  <si>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</si>
  <si>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</si>
  <si>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</si>
  <si>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</si>
  <si>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</si>
  <si>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</si>
  <si>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</si>
  <si>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</si>
  <si>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</si>
  <si>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</si>
  <si>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</si>
  <si>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</si>
  <si>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</si>
  <si>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</si>
  <si>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</si>
  <si>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</si>
  <si>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</si>
  <si>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</si>
  <si>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</si>
  <si>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</si>
  <si>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</si>
  <si>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</si>
  <si>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</si>
  <si>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</si>
  <si>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</si>
  <si>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</si>
  <si>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</si>
  <si>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</si>
  <si>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</si>
  <si>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</si>
  <si>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</si>
  <si>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</si>
  <si>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</si>
  <si>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</si>
  <si>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</si>
  <si>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</si>
  <si>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</si>
  <si>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</si>
  <si>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</si>
  <si>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</si>
  <si>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</si>
  <si>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</si>
  <si>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</si>
  <si>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</si>
  <si>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</si>
  <si>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</si>
  <si>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</si>
  <si>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</si>
  <si>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</si>
  <si>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</si>
  <si>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</si>
  <si>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</si>
  <si>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</si>
  <si>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</si>
  <si>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</si>
  <si>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</si>
  <si>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</si>
  <si>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</si>
  <si>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</si>
  <si>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</si>
  <si>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</si>
  <si>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</si>
  <si>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</si>
  <si>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</si>
  <si>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</si>
  <si>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</si>
  <si>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</si>
  <si>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</si>
  <si>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</si>
  <si>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</si>
  <si>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</si>
  <si>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</si>
  <si>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</si>
  <si>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</si>
  <si>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</si>
  <si>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</si>
  <si>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</si>
  <si>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</si>
  <si>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</si>
  <si>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</si>
  <si>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</si>
  <si>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</si>
  <si>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</si>
  <si>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</si>
  <si>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</si>
  <si>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</si>
  <si>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</si>
  <si>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</si>
  <si>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</si>
  <si>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</si>
  <si>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</si>
  <si>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</si>
  <si>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</si>
  <si>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</si>
  <si>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</si>
  <si>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</si>
  <si>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</si>
  <si>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</si>
  <si>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</si>
  <si>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</si>
  <si>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</si>
  <si>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</si>
  <si>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</si>
  <si>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</si>
  <si>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</si>
  <si>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</si>
  <si>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</si>
  <si>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</si>
  <si>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</si>
  <si>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</si>
  <si>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</si>
  <si>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</si>
  <si>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</si>
  <si>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</si>
  <si>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</si>
  <si>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</si>
  <si>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</si>
  <si>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</si>
  <si>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</si>
  <si>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</si>
  <si>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</si>
  <si>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</si>
  <si>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</si>
  <si>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</si>
  <si>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</si>
  <si>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</si>
  <si>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</si>
  <si>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</si>
  <si>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</si>
  <si>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</si>
  <si>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</si>
  <si>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</si>
  <si>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</si>
  <si>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</si>
  <si>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</si>
  <si>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</si>
  <si>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</si>
  <si>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</si>
  <si>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</si>
  <si>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</si>
  <si>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</si>
  <si>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</si>
  <si>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</si>
  <si>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</si>
  <si>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</si>
  <si>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</si>
  <si>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</si>
  <si>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</si>
  <si>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</si>
  <si>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</si>
  <si>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</si>
  <si>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</si>
  <si>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</si>
  <si>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</si>
  <si>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</si>
  <si>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</si>
  <si>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</si>
  <si>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</si>
  <si>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</si>
  <si>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</si>
  <si>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</si>
  <si>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</si>
  <si>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</si>
  <si>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</si>
  <si>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</si>
  <si>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</si>
  <si>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</si>
  <si>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</si>
  <si>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</si>
  <si>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</si>
  <si>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</si>
  <si>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</si>
  <si>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</si>
  <si>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</si>
  <si>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</si>
  <si>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</si>
  <si>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</si>
  <si>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</si>
  <si>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</si>
  <si>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</si>
  <si>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</si>
  <si>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</si>
  <si>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</si>
  <si>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</si>
  <si>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</si>
  <si>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</si>
  <si>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</si>
  <si>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</si>
  <si>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</si>
  <si>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</si>
  <si>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</si>
  <si>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</si>
  <si>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</si>
  <si>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</si>
  <si>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</si>
  <si>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</si>
  <si>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</si>
  <si>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</si>
  <si>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</si>
  <si>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</si>
  <si>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</si>
  <si>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</si>
  <si>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</si>
  <si>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</si>
  <si>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</si>
  <si>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</si>
  <si>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</si>
  <si>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</si>
  <si>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</si>
  <si>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</si>
  <si>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</si>
  <si>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</si>
  <si>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</si>
  <si>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</si>
  <si>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</si>
  <si>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</si>
  <si>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</si>
  <si>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</si>
  <si>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</si>
  <si>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</si>
  <si>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</si>
  <si>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</si>
  <si>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</si>
  <si>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</si>
  <si>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</si>
  <si>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</si>
  <si>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</si>
  <si>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</si>
  <si>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</si>
  <si>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</si>
  <si>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</si>
  <si>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</si>
  <si>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</si>
  <si>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</si>
  <si>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</si>
  <si>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</si>
  <si>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</si>
  <si>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</si>
  <si>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</si>
  <si>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</si>
  <si>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</si>
  <si>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</si>
  <si>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</si>
  <si>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</si>
  <si>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</si>
  <si>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</si>
  <si>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</si>
  <si>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</si>
  <si>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</si>
  <si>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</si>
  <si>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</si>
  <si>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</si>
  <si>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</si>
  <si>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</si>
  <si>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</si>
  <si>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</si>
  <si>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</si>
  <si>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</si>
  <si>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</si>
  <si>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</si>
  <si>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</si>
  <si>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</si>
  <si>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</si>
  <si>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</si>
  <si>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</si>
  <si>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</si>
  <si>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</si>
  <si>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</si>
  <si>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</si>
  <si>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</si>
  <si>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</si>
  <si>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</si>
  <si>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</si>
  <si>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</si>
  <si>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</si>
  <si>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</si>
  <si>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</si>
  <si>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</si>
  <si>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</si>
  <si>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</si>
  <si>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</si>
  <si>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</si>
  <si>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</si>
  <si>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</si>
  <si>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</si>
  <si>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</si>
  <si>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</si>
  <si>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</si>
  <si>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</si>
  <si>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</si>
  <si>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</si>
  <si>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</si>
  <si>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</si>
  <si>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</si>
  <si>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</si>
  <si>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</si>
  <si>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</si>
  <si>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</si>
  <si>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</si>
  <si>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</si>
  <si>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</si>
  <si>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</si>
  <si>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</si>
  <si>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</si>
  <si>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</si>
  <si>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</si>
  <si>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</si>
  <si>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</si>
  <si>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</si>
  <si>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</si>
  <si>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</si>
  <si>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</si>
  <si>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</si>
  <si>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</si>
  <si>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</si>
  <si>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</si>
  <si>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</si>
  <si>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</si>
  <si>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</si>
  <si>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</si>
  <si>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</si>
  <si>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</si>
  <si>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</si>
  <si>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</si>
  <si>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</si>
  <si>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</si>
  <si>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</si>
  <si>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</si>
  <si>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</si>
  <si>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</si>
  <si>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</si>
  <si>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</si>
  <si>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</si>
  <si>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</si>
  <si>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</si>
  <si>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</si>
  <si>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</si>
  <si>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</si>
  <si>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</si>
  <si>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</si>
  <si>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</si>
  <si>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</si>
  <si>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</si>
  <si>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</si>
  <si>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</si>
  <si>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</si>
  <si>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</si>
  <si>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</si>
  <si>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</si>
  <si>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</si>
  <si>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</si>
  <si>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</si>
  <si>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</si>
  <si>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Replacement panels</t>
  </si>
  <si>
    <t>Transport</t>
  </si>
  <si>
    <t>MSA Energy INV0003593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</si>
</sst>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0">
    <dxf>
      <numFmt numFmtId="168" formatCode="_-[$R-1C09]* #,##0.00_-;\-[$R-1C09]* #,##0.00_-;_-[$R-1C09]* &quot;-&quot;??_-;_-@_-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46074</c:v>
                </c:pt>
                <c:pt idx="6">
                  <c:v>46074</c:v>
                </c:pt>
                <c:pt idx="7">
                  <c:v>46076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204</c:v>
                </c:pt>
                <c:pt idx="4">
                  <c:v>84</c:v>
                </c:pt>
                <c:pt idx="5">
                  <c:v>4</c:v>
                </c:pt>
                <c:pt idx="6">
                  <c:v>2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7697111.5334999999</c:v>
                </c:pt>
                <c:pt idx="58">
                  <c:v>7810407.4835000001</c:v>
                </c:pt>
                <c:pt idx="59">
                  <c:v>7979181.4084999999</c:v>
                </c:pt>
                <c:pt idx="60">
                  <c:v>7979181.4084999999</c:v>
                </c:pt>
                <c:pt idx="61">
                  <c:v>7979181.4084999999</c:v>
                </c:pt>
                <c:pt idx="62">
                  <c:v>8071763.8234999999</c:v>
                </c:pt>
                <c:pt idx="63">
                  <c:v>8075244.8234999999</c:v>
                </c:pt>
                <c:pt idx="64">
                  <c:v>8075244.8234999999</c:v>
                </c:pt>
                <c:pt idx="65">
                  <c:v>8075244.8234999999</c:v>
                </c:pt>
                <c:pt idx="66">
                  <c:v>8075244.8234999999</c:v>
                </c:pt>
                <c:pt idx="67">
                  <c:v>8076024.8234999999</c:v>
                </c:pt>
                <c:pt idx="68">
                  <c:v>8076024.8234999999</c:v>
                </c:pt>
                <c:pt idx="69">
                  <c:v>8076024.8234999999</c:v>
                </c:pt>
                <c:pt idx="70">
                  <c:v>8076024.8234999999</c:v>
                </c:pt>
                <c:pt idx="71">
                  <c:v>8076024.8234999999</c:v>
                </c:pt>
                <c:pt idx="72">
                  <c:v>8076024.8234999999</c:v>
                </c:pt>
                <c:pt idx="73">
                  <c:v>8076024.8234999999</c:v>
                </c:pt>
                <c:pt idx="74">
                  <c:v>8076024.8234999999</c:v>
                </c:pt>
                <c:pt idx="75">
                  <c:v>8076024.8234999999</c:v>
                </c:pt>
                <c:pt idx="76">
                  <c:v>8076024.8234999999</c:v>
                </c:pt>
                <c:pt idx="77">
                  <c:v>8076024.8234999999</c:v>
                </c:pt>
                <c:pt idx="78">
                  <c:v>8076024.8234999999</c:v>
                </c:pt>
                <c:pt idx="79">
                  <c:v>8076024.8234999999</c:v>
                </c:pt>
                <c:pt idx="80">
                  <c:v>8076024.8234999999</c:v>
                </c:pt>
                <c:pt idx="81">
                  <c:v>8076024.8234999999</c:v>
                </c:pt>
                <c:pt idx="82">
                  <c:v>8076024.8234999999</c:v>
                </c:pt>
                <c:pt idx="83">
                  <c:v>8076024.8234999999</c:v>
                </c:pt>
                <c:pt idx="84">
                  <c:v>8076024.8234999999</c:v>
                </c:pt>
                <c:pt idx="85">
                  <c:v>8076024.8234999999</c:v>
                </c:pt>
                <c:pt idx="86">
                  <c:v>8076024.8234999999</c:v>
                </c:pt>
                <c:pt idx="87">
                  <c:v>8076024.8234999999</c:v>
                </c:pt>
                <c:pt idx="88">
                  <c:v>8076024.8234999999</c:v>
                </c:pt>
                <c:pt idx="89">
                  <c:v>8076024.8234999999</c:v>
                </c:pt>
                <c:pt idx="90">
                  <c:v>8076024.8234999999</c:v>
                </c:pt>
                <c:pt idx="91">
                  <c:v>8076024.8234999999</c:v>
                </c:pt>
                <c:pt idx="92">
                  <c:v>8076024.8234999999</c:v>
                </c:pt>
                <c:pt idx="93">
                  <c:v>8076024.8234999999</c:v>
                </c:pt>
                <c:pt idx="94">
                  <c:v>8076024.8234999999</c:v>
                </c:pt>
                <c:pt idx="95">
                  <c:v>8076024.8234999999</c:v>
                </c:pt>
                <c:pt idx="96">
                  <c:v>8076024.8234999999</c:v>
                </c:pt>
                <c:pt idx="97">
                  <c:v>8076024.8234999999</c:v>
                </c:pt>
                <c:pt idx="98">
                  <c:v>8076024.8234999999</c:v>
                </c:pt>
                <c:pt idx="99">
                  <c:v>8076024.8234999999</c:v>
                </c:pt>
                <c:pt idx="100">
                  <c:v>8076024.8234999999</c:v>
                </c:pt>
                <c:pt idx="101">
                  <c:v>8076024.8234999999</c:v>
                </c:pt>
                <c:pt idx="102">
                  <c:v>8076024.8234999999</c:v>
                </c:pt>
                <c:pt idx="103">
                  <c:v>8076024.8234999999</c:v>
                </c:pt>
                <c:pt idx="104">
                  <c:v>8076024.8234999999</c:v>
                </c:pt>
                <c:pt idx="105">
                  <c:v>8076024.8234999999</c:v>
                </c:pt>
                <c:pt idx="106">
                  <c:v>8076024.8234999999</c:v>
                </c:pt>
                <c:pt idx="107">
                  <c:v>8076024.8234999999</c:v>
                </c:pt>
                <c:pt idx="108">
                  <c:v>8076024.8234999999</c:v>
                </c:pt>
                <c:pt idx="109">
                  <c:v>8076024.8234999999</c:v>
                </c:pt>
                <c:pt idx="110">
                  <c:v>8076024.8234999999</c:v>
                </c:pt>
                <c:pt idx="111">
                  <c:v>8076024.8234999999</c:v>
                </c:pt>
                <c:pt idx="112">
                  <c:v>8076024.8234999999</c:v>
                </c:pt>
                <c:pt idx="113">
                  <c:v>8076024.8234999999</c:v>
                </c:pt>
                <c:pt idx="114">
                  <c:v>8076024.8234999999</c:v>
                </c:pt>
                <c:pt idx="115">
                  <c:v>8076024.8234999999</c:v>
                </c:pt>
                <c:pt idx="116">
                  <c:v>8076024.8234999999</c:v>
                </c:pt>
                <c:pt idx="117">
                  <c:v>8076024.8234999999</c:v>
                </c:pt>
                <c:pt idx="118">
                  <c:v>8076024.8234999999</c:v>
                </c:pt>
                <c:pt idx="119">
                  <c:v>8076024.8234999999</c:v>
                </c:pt>
                <c:pt idx="120">
                  <c:v>8076024.8234999999</c:v>
                </c:pt>
                <c:pt idx="121">
                  <c:v>8076024.8234999999</c:v>
                </c:pt>
                <c:pt idx="122">
                  <c:v>8076024.8234999999</c:v>
                </c:pt>
                <c:pt idx="123">
                  <c:v>8076024.8234999999</c:v>
                </c:pt>
                <c:pt idx="124">
                  <c:v>8076024.8234999999</c:v>
                </c:pt>
                <c:pt idx="125">
                  <c:v>8076024.8234999999</c:v>
                </c:pt>
                <c:pt idx="126">
                  <c:v>8076024.8234999999</c:v>
                </c:pt>
                <c:pt idx="127">
                  <c:v>8076024.8234999999</c:v>
                </c:pt>
                <c:pt idx="128">
                  <c:v>8076024.8234999999</c:v>
                </c:pt>
                <c:pt idx="129">
                  <c:v>8076024.8234999999</c:v>
                </c:pt>
                <c:pt idx="130">
                  <c:v>8076024.8234999999</c:v>
                </c:pt>
                <c:pt idx="131">
                  <c:v>8076024.8234999999</c:v>
                </c:pt>
                <c:pt idx="132">
                  <c:v>8076024.8234999999</c:v>
                </c:pt>
                <c:pt idx="133">
                  <c:v>8076024.8234999999</c:v>
                </c:pt>
                <c:pt idx="134">
                  <c:v>8076024.8234999999</c:v>
                </c:pt>
                <c:pt idx="135">
                  <c:v>8076024.8234999999</c:v>
                </c:pt>
                <c:pt idx="136">
                  <c:v>8076024.8234999999</c:v>
                </c:pt>
                <c:pt idx="137">
                  <c:v>8076024.8234999999</c:v>
                </c:pt>
                <c:pt idx="138">
                  <c:v>8076024.8234999999</c:v>
                </c:pt>
                <c:pt idx="139">
                  <c:v>8076024.8234999999</c:v>
                </c:pt>
                <c:pt idx="140">
                  <c:v>8076024.8234999999</c:v>
                </c:pt>
                <c:pt idx="141">
                  <c:v>8076024.8234999999</c:v>
                </c:pt>
                <c:pt idx="142">
                  <c:v>8076024.8234999999</c:v>
                </c:pt>
                <c:pt idx="143">
                  <c:v>8076024.8234999999</c:v>
                </c:pt>
                <c:pt idx="144">
                  <c:v>8076024.8234999999</c:v>
                </c:pt>
                <c:pt idx="145">
                  <c:v>8076024.8234999999</c:v>
                </c:pt>
                <c:pt idx="146">
                  <c:v>8076024.8234999999</c:v>
                </c:pt>
                <c:pt idx="147">
                  <c:v>8076024.8234999999</c:v>
                </c:pt>
                <c:pt idx="148">
                  <c:v>8076024.8234999999</c:v>
                </c:pt>
                <c:pt idx="149">
                  <c:v>8076024.8234999999</c:v>
                </c:pt>
                <c:pt idx="150">
                  <c:v>8076024.8234999999</c:v>
                </c:pt>
                <c:pt idx="151">
                  <c:v>8076024.8234999999</c:v>
                </c:pt>
                <c:pt idx="152">
                  <c:v>8076024.8234999999</c:v>
                </c:pt>
                <c:pt idx="153">
                  <c:v>8076024.8234999999</c:v>
                </c:pt>
                <c:pt idx="154">
                  <c:v>8076024.8234999999</c:v>
                </c:pt>
                <c:pt idx="155">
                  <c:v>8076024.8234999999</c:v>
                </c:pt>
                <c:pt idx="156">
                  <c:v>8076024.8234999999</c:v>
                </c:pt>
                <c:pt idx="157">
                  <c:v>8076024.8234999999</c:v>
                </c:pt>
                <c:pt idx="158">
                  <c:v>8076024.8234999999</c:v>
                </c:pt>
                <c:pt idx="159">
                  <c:v>8076024.8234999999</c:v>
                </c:pt>
                <c:pt idx="160">
                  <c:v>8076024.8234999999</c:v>
                </c:pt>
                <c:pt idx="161">
                  <c:v>8076024.8234999999</c:v>
                </c:pt>
                <c:pt idx="162">
                  <c:v>8076024.8234999999</c:v>
                </c:pt>
                <c:pt idx="163">
                  <c:v>8076024.8234999999</c:v>
                </c:pt>
                <c:pt idx="164">
                  <c:v>8076024.8234999999</c:v>
                </c:pt>
                <c:pt idx="165">
                  <c:v>8076024.8234999999</c:v>
                </c:pt>
                <c:pt idx="166">
                  <c:v>8076024.8234999999</c:v>
                </c:pt>
                <c:pt idx="167">
                  <c:v>8076024.8234999999</c:v>
                </c:pt>
                <c:pt idx="168">
                  <c:v>8076024.8234999999</c:v>
                </c:pt>
                <c:pt idx="169">
                  <c:v>8076024.8234999999</c:v>
                </c:pt>
                <c:pt idx="170">
                  <c:v>8076024.8234999999</c:v>
                </c:pt>
                <c:pt idx="171">
                  <c:v>8076024.8234999999</c:v>
                </c:pt>
                <c:pt idx="172">
                  <c:v>8076024.8234999999</c:v>
                </c:pt>
                <c:pt idx="173">
                  <c:v>8076024.8234999999</c:v>
                </c:pt>
                <c:pt idx="174">
                  <c:v>8076024.8234999999</c:v>
                </c:pt>
                <c:pt idx="175">
                  <c:v>8076024.8234999999</c:v>
                </c:pt>
                <c:pt idx="176">
                  <c:v>8076024.8234999999</c:v>
                </c:pt>
                <c:pt idx="177">
                  <c:v>8076024.8234999999</c:v>
                </c:pt>
                <c:pt idx="178">
                  <c:v>8076024.8234999999</c:v>
                </c:pt>
                <c:pt idx="179">
                  <c:v>8076024.8234999999</c:v>
                </c:pt>
                <c:pt idx="180">
                  <c:v>8076024.8234999999</c:v>
                </c:pt>
                <c:pt idx="181">
                  <c:v>8076024.8234999999</c:v>
                </c:pt>
                <c:pt idx="182">
                  <c:v>8076024.8234999999</c:v>
                </c:pt>
                <c:pt idx="183">
                  <c:v>8076024.8234999999</c:v>
                </c:pt>
                <c:pt idx="184">
                  <c:v>8076024.8234999999</c:v>
                </c:pt>
                <c:pt idx="185">
                  <c:v>8076024.8234999999</c:v>
                </c:pt>
                <c:pt idx="186">
                  <c:v>8076024.8234999999</c:v>
                </c:pt>
                <c:pt idx="187">
                  <c:v>8076024.8234999999</c:v>
                </c:pt>
                <c:pt idx="188">
                  <c:v>8076024.8234999999</c:v>
                </c:pt>
                <c:pt idx="189">
                  <c:v>8076024.8234999999</c:v>
                </c:pt>
                <c:pt idx="190">
                  <c:v>8076024.8234999999</c:v>
                </c:pt>
                <c:pt idx="191">
                  <c:v>8076024.8234999999</c:v>
                </c:pt>
                <c:pt idx="192">
                  <c:v>8076024.8234999999</c:v>
                </c:pt>
                <c:pt idx="193">
                  <c:v>8076024.8234999999</c:v>
                </c:pt>
                <c:pt idx="194">
                  <c:v>8076024.8234999999</c:v>
                </c:pt>
                <c:pt idx="195">
                  <c:v>8076024.8234999999</c:v>
                </c:pt>
                <c:pt idx="196">
                  <c:v>8076024.8234999999</c:v>
                </c:pt>
                <c:pt idx="197">
                  <c:v>8076024.8234999999</c:v>
                </c:pt>
                <c:pt idx="198">
                  <c:v>8076024.8234999999</c:v>
                </c:pt>
                <c:pt idx="199">
                  <c:v>8076024.8234999999</c:v>
                </c:pt>
                <c:pt idx="200">
                  <c:v>8076024.8234999999</c:v>
                </c:pt>
                <c:pt idx="201">
                  <c:v>8076024.8234999999</c:v>
                </c:pt>
                <c:pt idx="202">
                  <c:v>8076024.8234999999</c:v>
                </c:pt>
                <c:pt idx="203">
                  <c:v>8076024.8234999999</c:v>
                </c:pt>
                <c:pt idx="204">
                  <c:v>8076024.8234999999</c:v>
                </c:pt>
                <c:pt idx="205">
                  <c:v>8076024.8234999999</c:v>
                </c:pt>
                <c:pt idx="206">
                  <c:v>8076024.8234999999</c:v>
                </c:pt>
                <c:pt idx="207">
                  <c:v>8076024.8234999999</c:v>
                </c:pt>
                <c:pt idx="208">
                  <c:v>8076024.8234999999</c:v>
                </c:pt>
                <c:pt idx="209">
                  <c:v>8076024.8234999999</c:v>
                </c:pt>
                <c:pt idx="210">
                  <c:v>8076024.8234999999</c:v>
                </c:pt>
                <c:pt idx="211">
                  <c:v>8076024.8234999999</c:v>
                </c:pt>
                <c:pt idx="212">
                  <c:v>8076024.8234999999</c:v>
                </c:pt>
                <c:pt idx="213">
                  <c:v>8076024.8234999999</c:v>
                </c:pt>
                <c:pt idx="214">
                  <c:v>8076024.8234999999</c:v>
                </c:pt>
                <c:pt idx="215">
                  <c:v>8076024.8234999999</c:v>
                </c:pt>
                <c:pt idx="216">
                  <c:v>8076024.8234999999</c:v>
                </c:pt>
                <c:pt idx="217">
                  <c:v>8076024.8234999999</c:v>
                </c:pt>
                <c:pt idx="218">
                  <c:v>8076024.8234999999</c:v>
                </c:pt>
                <c:pt idx="219">
                  <c:v>8076024.8234999999</c:v>
                </c:pt>
                <c:pt idx="220">
                  <c:v>8076024.8234999999</c:v>
                </c:pt>
                <c:pt idx="221">
                  <c:v>8076024.8234999999</c:v>
                </c:pt>
                <c:pt idx="222">
                  <c:v>8076024.8234999999</c:v>
                </c:pt>
                <c:pt idx="223">
                  <c:v>8076024.8234999999</c:v>
                </c:pt>
                <c:pt idx="224">
                  <c:v>8076024.8234999999</c:v>
                </c:pt>
                <c:pt idx="225">
                  <c:v>8076024.8234999999</c:v>
                </c:pt>
                <c:pt idx="226">
                  <c:v>8076024.8234999999</c:v>
                </c:pt>
                <c:pt idx="227">
                  <c:v>8076024.8234999999</c:v>
                </c:pt>
                <c:pt idx="228">
                  <c:v>8076024.8234999999</c:v>
                </c:pt>
                <c:pt idx="229">
                  <c:v>8076024.8234999999</c:v>
                </c:pt>
                <c:pt idx="230">
                  <c:v>8076024.8234999999</c:v>
                </c:pt>
                <c:pt idx="231">
                  <c:v>8076024.8234999999</c:v>
                </c:pt>
                <c:pt idx="232">
                  <c:v>8076024.8234999999</c:v>
                </c:pt>
                <c:pt idx="233">
                  <c:v>8076024.8234999999</c:v>
                </c:pt>
                <c:pt idx="234">
                  <c:v>8076024.8234999999</c:v>
                </c:pt>
                <c:pt idx="235">
                  <c:v>8076024.8234999999</c:v>
                </c:pt>
                <c:pt idx="236">
                  <c:v>8076024.8234999999</c:v>
                </c:pt>
                <c:pt idx="237">
                  <c:v>8076024.8234999999</c:v>
                </c:pt>
                <c:pt idx="238">
                  <c:v>8076024.8234999999</c:v>
                </c:pt>
                <c:pt idx="239">
                  <c:v>8076024.8234999999</c:v>
                </c:pt>
                <c:pt idx="240">
                  <c:v>8076024.8234999999</c:v>
                </c:pt>
                <c:pt idx="241">
                  <c:v>8076024.8234999999</c:v>
                </c:pt>
                <c:pt idx="242">
                  <c:v>8076024.8234999999</c:v>
                </c:pt>
                <c:pt idx="243">
                  <c:v>8076024.8234999999</c:v>
                </c:pt>
                <c:pt idx="244">
                  <c:v>8076024.8234999999</c:v>
                </c:pt>
                <c:pt idx="245">
                  <c:v>8076024.8234999999</c:v>
                </c:pt>
                <c:pt idx="246">
                  <c:v>8076024.8234999999</c:v>
                </c:pt>
                <c:pt idx="247">
                  <c:v>8076024.8234999999</c:v>
                </c:pt>
                <c:pt idx="248">
                  <c:v>8076024.8234999999</c:v>
                </c:pt>
                <c:pt idx="249">
                  <c:v>8076024.8234999999</c:v>
                </c:pt>
                <c:pt idx="250">
                  <c:v>8076024.8234999999</c:v>
                </c:pt>
                <c:pt idx="251">
                  <c:v>8076024.8234999999</c:v>
                </c:pt>
                <c:pt idx="252">
                  <c:v>8076024.8234999999</c:v>
                </c:pt>
                <c:pt idx="253">
                  <c:v>8076024.8234999999</c:v>
                </c:pt>
                <c:pt idx="254">
                  <c:v>8076024.8234999999</c:v>
                </c:pt>
                <c:pt idx="255">
                  <c:v>8076024.8234999999</c:v>
                </c:pt>
                <c:pt idx="256">
                  <c:v>8076024.8234999999</c:v>
                </c:pt>
                <c:pt idx="257">
                  <c:v>8076024.8234999999</c:v>
                </c:pt>
                <c:pt idx="258">
                  <c:v>8076024.8234999999</c:v>
                </c:pt>
                <c:pt idx="259">
                  <c:v>8076024.8234999999</c:v>
                </c:pt>
                <c:pt idx="260">
                  <c:v>8076024.8234999999</c:v>
                </c:pt>
                <c:pt idx="261">
                  <c:v>8076024.8234999999</c:v>
                </c:pt>
                <c:pt idx="262">
                  <c:v>8076024.8234999999</c:v>
                </c:pt>
                <c:pt idx="263">
                  <c:v>8076024.8234999999</c:v>
                </c:pt>
                <c:pt idx="264">
                  <c:v>8076024.8234999999</c:v>
                </c:pt>
                <c:pt idx="265">
                  <c:v>8076024.8234999999</c:v>
                </c:pt>
                <c:pt idx="266">
                  <c:v>8076024.8234999999</c:v>
                </c:pt>
                <c:pt idx="267">
                  <c:v>8076024.8234999999</c:v>
                </c:pt>
                <c:pt idx="268">
                  <c:v>8076024.8234999999</c:v>
                </c:pt>
                <c:pt idx="269">
                  <c:v>8076024.8234999999</c:v>
                </c:pt>
                <c:pt idx="270">
                  <c:v>8076024.8234999999</c:v>
                </c:pt>
                <c:pt idx="271">
                  <c:v>8076024.8234999999</c:v>
                </c:pt>
                <c:pt idx="272">
                  <c:v>8076024.8234999999</c:v>
                </c:pt>
                <c:pt idx="273">
                  <c:v>8076024.8234999999</c:v>
                </c:pt>
                <c:pt idx="274">
                  <c:v>8076024.8234999999</c:v>
                </c:pt>
                <c:pt idx="275">
                  <c:v>8076024.8234999999</c:v>
                </c:pt>
                <c:pt idx="276">
                  <c:v>8076024.8234999999</c:v>
                </c:pt>
                <c:pt idx="277">
                  <c:v>8076024.8234999999</c:v>
                </c:pt>
                <c:pt idx="278">
                  <c:v>8076024.8234999999</c:v>
                </c:pt>
                <c:pt idx="279">
                  <c:v>8076024.8234999999</c:v>
                </c:pt>
                <c:pt idx="280">
                  <c:v>8076024.8234999999</c:v>
                </c:pt>
                <c:pt idx="281">
                  <c:v>8076024.8234999999</c:v>
                </c:pt>
                <c:pt idx="282">
                  <c:v>8076024.8234999999</c:v>
                </c:pt>
                <c:pt idx="283">
                  <c:v>8076024.8234999999</c:v>
                </c:pt>
                <c:pt idx="284">
                  <c:v>8076024.8234999999</c:v>
                </c:pt>
                <c:pt idx="285">
                  <c:v>8076024.8234999999</c:v>
                </c:pt>
                <c:pt idx="286">
                  <c:v>8076024.8234999999</c:v>
                </c:pt>
                <c:pt idx="287">
                  <c:v>8076024.8234999999</c:v>
                </c:pt>
                <c:pt idx="288">
                  <c:v>8076024.8234999999</c:v>
                </c:pt>
                <c:pt idx="289">
                  <c:v>8076024.8234999999</c:v>
                </c:pt>
                <c:pt idx="290">
                  <c:v>8076024.8234999999</c:v>
                </c:pt>
                <c:pt idx="291">
                  <c:v>8076024.8234999999</c:v>
                </c:pt>
                <c:pt idx="292">
                  <c:v>8076024.8234999999</c:v>
                </c:pt>
                <c:pt idx="293">
                  <c:v>8076024.8234999999</c:v>
                </c:pt>
                <c:pt idx="294">
                  <c:v>8076024.8234999999</c:v>
                </c:pt>
                <c:pt idx="295">
                  <c:v>8076024.8234999999</c:v>
                </c:pt>
                <c:pt idx="296">
                  <c:v>8076024.8234999999</c:v>
                </c:pt>
                <c:pt idx="297">
                  <c:v>8076024.8234999999</c:v>
                </c:pt>
                <c:pt idx="298">
                  <c:v>8076024.8234999999</c:v>
                </c:pt>
                <c:pt idx="299">
                  <c:v>8076024.8234999999</c:v>
                </c:pt>
                <c:pt idx="300">
                  <c:v>8076024.8234999999</c:v>
                </c:pt>
                <c:pt idx="301">
                  <c:v>8076024.8234999999</c:v>
                </c:pt>
                <c:pt idx="302">
                  <c:v>8076024.8234999999</c:v>
                </c:pt>
                <c:pt idx="303">
                  <c:v>8076024.8234999999</c:v>
                </c:pt>
                <c:pt idx="304">
                  <c:v>8076024.8234999999</c:v>
                </c:pt>
                <c:pt idx="305">
                  <c:v>8076024.8234999999</c:v>
                </c:pt>
                <c:pt idx="306">
                  <c:v>8076024.8234999999</c:v>
                </c:pt>
                <c:pt idx="307">
                  <c:v>8076024.8234999999</c:v>
                </c:pt>
                <c:pt idx="308">
                  <c:v>8076024.8234999999</c:v>
                </c:pt>
                <c:pt idx="309">
                  <c:v>8076024.8234999999</c:v>
                </c:pt>
                <c:pt idx="310">
                  <c:v>8076024.8234999999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3924689.088152173</c:v>
                </c:pt>
                <c:pt idx="58">
                  <c:v>3811393.1381521728</c:v>
                </c:pt>
                <c:pt idx="59">
                  <c:v>3642619.213152173</c:v>
                </c:pt>
                <c:pt idx="60">
                  <c:v>3642619.213152173</c:v>
                </c:pt>
                <c:pt idx="61">
                  <c:v>3642619.213152173</c:v>
                </c:pt>
                <c:pt idx="62">
                  <c:v>3550036.7981521729</c:v>
                </c:pt>
                <c:pt idx="63">
                  <c:v>3546555.7981521729</c:v>
                </c:pt>
                <c:pt idx="64">
                  <c:v>3546555.7981521729</c:v>
                </c:pt>
                <c:pt idx="65">
                  <c:v>3546555.7981521729</c:v>
                </c:pt>
                <c:pt idx="66">
                  <c:v>3546555.7981521729</c:v>
                </c:pt>
                <c:pt idx="67">
                  <c:v>3545775.7981521729</c:v>
                </c:pt>
                <c:pt idx="68">
                  <c:v>3545775.7981521729</c:v>
                </c:pt>
                <c:pt idx="69">
                  <c:v>3545775.7981521729</c:v>
                </c:pt>
                <c:pt idx="70">
                  <c:v>3545775.7981521729</c:v>
                </c:pt>
                <c:pt idx="71">
                  <c:v>3545775.7981521729</c:v>
                </c:pt>
                <c:pt idx="72">
                  <c:v>3545775.7981521729</c:v>
                </c:pt>
                <c:pt idx="73">
                  <c:v>3545775.7981521729</c:v>
                </c:pt>
                <c:pt idx="74">
                  <c:v>3545775.7981521729</c:v>
                </c:pt>
                <c:pt idx="75">
                  <c:v>3545775.7981521729</c:v>
                </c:pt>
                <c:pt idx="76">
                  <c:v>3545775.7981521729</c:v>
                </c:pt>
                <c:pt idx="77">
                  <c:v>3545775.7981521729</c:v>
                </c:pt>
                <c:pt idx="78">
                  <c:v>3545775.7981521729</c:v>
                </c:pt>
                <c:pt idx="79">
                  <c:v>3545775.7981521729</c:v>
                </c:pt>
                <c:pt idx="80">
                  <c:v>3545775.7981521729</c:v>
                </c:pt>
                <c:pt idx="81">
                  <c:v>3545775.7981521729</c:v>
                </c:pt>
                <c:pt idx="82">
                  <c:v>3545775.7981521729</c:v>
                </c:pt>
                <c:pt idx="83">
                  <c:v>3545775.7981521729</c:v>
                </c:pt>
                <c:pt idx="84">
                  <c:v>3545775.7981521729</c:v>
                </c:pt>
                <c:pt idx="85">
                  <c:v>3545775.7981521729</c:v>
                </c:pt>
                <c:pt idx="86">
                  <c:v>3545775.7981521729</c:v>
                </c:pt>
                <c:pt idx="87">
                  <c:v>3545775.7981521729</c:v>
                </c:pt>
                <c:pt idx="88">
                  <c:v>3545775.7981521729</c:v>
                </c:pt>
                <c:pt idx="89">
                  <c:v>3545775.7981521729</c:v>
                </c:pt>
                <c:pt idx="90">
                  <c:v>3545775.7981521729</c:v>
                </c:pt>
                <c:pt idx="91">
                  <c:v>3545775.7981521729</c:v>
                </c:pt>
                <c:pt idx="92">
                  <c:v>3545775.7981521729</c:v>
                </c:pt>
                <c:pt idx="93">
                  <c:v>3545775.7981521729</c:v>
                </c:pt>
                <c:pt idx="94">
                  <c:v>3545775.7981521729</c:v>
                </c:pt>
                <c:pt idx="95">
                  <c:v>3545775.7981521729</c:v>
                </c:pt>
                <c:pt idx="96">
                  <c:v>3545775.7981521729</c:v>
                </c:pt>
                <c:pt idx="97">
                  <c:v>3545775.7981521729</c:v>
                </c:pt>
                <c:pt idx="98">
                  <c:v>3545775.7981521729</c:v>
                </c:pt>
                <c:pt idx="99">
                  <c:v>3545775.7981521729</c:v>
                </c:pt>
                <c:pt idx="100">
                  <c:v>3545775.7981521729</c:v>
                </c:pt>
                <c:pt idx="101">
                  <c:v>3545775.7981521729</c:v>
                </c:pt>
                <c:pt idx="102">
                  <c:v>3545775.7981521729</c:v>
                </c:pt>
                <c:pt idx="103">
                  <c:v>3545775.7981521729</c:v>
                </c:pt>
                <c:pt idx="104">
                  <c:v>3545775.7981521729</c:v>
                </c:pt>
                <c:pt idx="105">
                  <c:v>3545775.7981521729</c:v>
                </c:pt>
                <c:pt idx="106">
                  <c:v>3545775.7981521729</c:v>
                </c:pt>
                <c:pt idx="107">
                  <c:v>3545775.7981521729</c:v>
                </c:pt>
                <c:pt idx="108">
                  <c:v>3545775.7981521729</c:v>
                </c:pt>
                <c:pt idx="109">
                  <c:v>3545775.7981521729</c:v>
                </c:pt>
                <c:pt idx="110">
                  <c:v>3545775.7981521729</c:v>
                </c:pt>
                <c:pt idx="111">
                  <c:v>3545775.7981521729</c:v>
                </c:pt>
                <c:pt idx="112">
                  <c:v>3545775.7981521729</c:v>
                </c:pt>
                <c:pt idx="113">
                  <c:v>3545775.7981521729</c:v>
                </c:pt>
                <c:pt idx="114">
                  <c:v>3545775.7981521729</c:v>
                </c:pt>
                <c:pt idx="115">
                  <c:v>3545775.7981521729</c:v>
                </c:pt>
                <c:pt idx="116">
                  <c:v>3545775.7981521729</c:v>
                </c:pt>
                <c:pt idx="117">
                  <c:v>3545775.7981521729</c:v>
                </c:pt>
                <c:pt idx="118">
                  <c:v>3545775.7981521729</c:v>
                </c:pt>
                <c:pt idx="119">
                  <c:v>3545775.7981521729</c:v>
                </c:pt>
                <c:pt idx="120">
                  <c:v>3545775.7981521729</c:v>
                </c:pt>
                <c:pt idx="121">
                  <c:v>3545775.7981521729</c:v>
                </c:pt>
                <c:pt idx="122">
                  <c:v>3545775.7981521729</c:v>
                </c:pt>
                <c:pt idx="123">
                  <c:v>3545775.7981521729</c:v>
                </c:pt>
                <c:pt idx="124">
                  <c:v>3545775.7981521729</c:v>
                </c:pt>
                <c:pt idx="125">
                  <c:v>3545775.7981521729</c:v>
                </c:pt>
                <c:pt idx="126">
                  <c:v>3545775.7981521729</c:v>
                </c:pt>
                <c:pt idx="127">
                  <c:v>3545775.7981521729</c:v>
                </c:pt>
                <c:pt idx="128">
                  <c:v>3545775.7981521729</c:v>
                </c:pt>
                <c:pt idx="129">
                  <c:v>3545775.7981521729</c:v>
                </c:pt>
                <c:pt idx="130">
                  <c:v>3545775.7981521729</c:v>
                </c:pt>
                <c:pt idx="131">
                  <c:v>3545775.7981521729</c:v>
                </c:pt>
                <c:pt idx="132">
                  <c:v>3545775.7981521729</c:v>
                </c:pt>
                <c:pt idx="133">
                  <c:v>3545775.7981521729</c:v>
                </c:pt>
                <c:pt idx="134">
                  <c:v>3545775.7981521729</c:v>
                </c:pt>
                <c:pt idx="135">
                  <c:v>3545775.7981521729</c:v>
                </c:pt>
                <c:pt idx="136">
                  <c:v>3545775.7981521729</c:v>
                </c:pt>
                <c:pt idx="137">
                  <c:v>3545775.7981521729</c:v>
                </c:pt>
                <c:pt idx="138">
                  <c:v>3545775.7981521729</c:v>
                </c:pt>
                <c:pt idx="139">
                  <c:v>3545775.7981521729</c:v>
                </c:pt>
                <c:pt idx="140">
                  <c:v>3545775.7981521729</c:v>
                </c:pt>
                <c:pt idx="141">
                  <c:v>3545775.7981521729</c:v>
                </c:pt>
                <c:pt idx="142">
                  <c:v>3545775.7981521729</c:v>
                </c:pt>
                <c:pt idx="143">
                  <c:v>3545775.7981521729</c:v>
                </c:pt>
                <c:pt idx="144">
                  <c:v>3545775.7981521729</c:v>
                </c:pt>
                <c:pt idx="145">
                  <c:v>3545775.7981521729</c:v>
                </c:pt>
                <c:pt idx="146">
                  <c:v>3545775.7981521729</c:v>
                </c:pt>
                <c:pt idx="147">
                  <c:v>3545775.7981521729</c:v>
                </c:pt>
                <c:pt idx="148">
                  <c:v>3545775.7981521729</c:v>
                </c:pt>
                <c:pt idx="149">
                  <c:v>3545775.7981521729</c:v>
                </c:pt>
                <c:pt idx="150">
                  <c:v>3545775.7981521729</c:v>
                </c:pt>
                <c:pt idx="151">
                  <c:v>3545775.7981521729</c:v>
                </c:pt>
                <c:pt idx="152">
                  <c:v>3545775.7981521729</c:v>
                </c:pt>
                <c:pt idx="153">
                  <c:v>3545775.7981521729</c:v>
                </c:pt>
                <c:pt idx="154">
                  <c:v>3545775.7981521729</c:v>
                </c:pt>
                <c:pt idx="155">
                  <c:v>3545775.7981521729</c:v>
                </c:pt>
                <c:pt idx="156">
                  <c:v>3545775.7981521729</c:v>
                </c:pt>
                <c:pt idx="157">
                  <c:v>3545775.7981521729</c:v>
                </c:pt>
                <c:pt idx="158">
                  <c:v>3545775.7981521729</c:v>
                </c:pt>
                <c:pt idx="159">
                  <c:v>3545775.7981521729</c:v>
                </c:pt>
                <c:pt idx="160">
                  <c:v>3545775.7981521729</c:v>
                </c:pt>
                <c:pt idx="161">
                  <c:v>3545775.7981521729</c:v>
                </c:pt>
                <c:pt idx="162">
                  <c:v>3545775.7981521729</c:v>
                </c:pt>
                <c:pt idx="163">
                  <c:v>3545775.7981521729</c:v>
                </c:pt>
                <c:pt idx="164">
                  <c:v>3545775.7981521729</c:v>
                </c:pt>
                <c:pt idx="165">
                  <c:v>3545775.7981521729</c:v>
                </c:pt>
                <c:pt idx="166">
                  <c:v>3545775.7981521729</c:v>
                </c:pt>
                <c:pt idx="167">
                  <c:v>3545775.7981521729</c:v>
                </c:pt>
                <c:pt idx="168">
                  <c:v>3545775.7981521729</c:v>
                </c:pt>
                <c:pt idx="169">
                  <c:v>3545775.7981521729</c:v>
                </c:pt>
                <c:pt idx="170">
                  <c:v>3545775.7981521729</c:v>
                </c:pt>
                <c:pt idx="171">
                  <c:v>3545775.7981521729</c:v>
                </c:pt>
                <c:pt idx="172">
                  <c:v>3545775.7981521729</c:v>
                </c:pt>
                <c:pt idx="173">
                  <c:v>3545775.7981521729</c:v>
                </c:pt>
                <c:pt idx="174">
                  <c:v>3545775.7981521729</c:v>
                </c:pt>
                <c:pt idx="175">
                  <c:v>3545775.7981521729</c:v>
                </c:pt>
                <c:pt idx="176">
                  <c:v>3545775.7981521729</c:v>
                </c:pt>
                <c:pt idx="177">
                  <c:v>3545775.7981521729</c:v>
                </c:pt>
                <c:pt idx="178">
                  <c:v>3545775.7981521729</c:v>
                </c:pt>
                <c:pt idx="179">
                  <c:v>3545775.7981521729</c:v>
                </c:pt>
                <c:pt idx="180">
                  <c:v>3545775.7981521729</c:v>
                </c:pt>
                <c:pt idx="181">
                  <c:v>3545775.7981521729</c:v>
                </c:pt>
                <c:pt idx="182">
                  <c:v>3545775.7981521729</c:v>
                </c:pt>
                <c:pt idx="183">
                  <c:v>3545775.7981521729</c:v>
                </c:pt>
                <c:pt idx="184">
                  <c:v>3545775.7981521729</c:v>
                </c:pt>
                <c:pt idx="185">
                  <c:v>3545775.7981521729</c:v>
                </c:pt>
                <c:pt idx="186">
                  <c:v>3545775.7981521729</c:v>
                </c:pt>
                <c:pt idx="187">
                  <c:v>3545775.7981521729</c:v>
                </c:pt>
                <c:pt idx="188">
                  <c:v>3545775.7981521729</c:v>
                </c:pt>
                <c:pt idx="189">
                  <c:v>3545775.7981521729</c:v>
                </c:pt>
                <c:pt idx="190">
                  <c:v>3545775.7981521729</c:v>
                </c:pt>
                <c:pt idx="191">
                  <c:v>3545775.7981521729</c:v>
                </c:pt>
                <c:pt idx="192">
                  <c:v>3545775.7981521729</c:v>
                </c:pt>
                <c:pt idx="193">
                  <c:v>3545775.7981521729</c:v>
                </c:pt>
                <c:pt idx="194">
                  <c:v>3545775.7981521729</c:v>
                </c:pt>
                <c:pt idx="195">
                  <c:v>3545775.7981521729</c:v>
                </c:pt>
                <c:pt idx="196">
                  <c:v>3545775.7981521729</c:v>
                </c:pt>
                <c:pt idx="197">
                  <c:v>3545775.7981521729</c:v>
                </c:pt>
                <c:pt idx="198">
                  <c:v>3545775.7981521729</c:v>
                </c:pt>
                <c:pt idx="199">
                  <c:v>3545775.7981521729</c:v>
                </c:pt>
                <c:pt idx="200">
                  <c:v>3545775.7981521729</c:v>
                </c:pt>
                <c:pt idx="201">
                  <c:v>3545775.7981521729</c:v>
                </c:pt>
                <c:pt idx="202">
                  <c:v>3545775.7981521729</c:v>
                </c:pt>
                <c:pt idx="203">
                  <c:v>3545775.7981521729</c:v>
                </c:pt>
                <c:pt idx="204">
                  <c:v>3545775.7981521729</c:v>
                </c:pt>
                <c:pt idx="205">
                  <c:v>3545775.7981521729</c:v>
                </c:pt>
                <c:pt idx="206">
                  <c:v>3545775.7981521729</c:v>
                </c:pt>
                <c:pt idx="207">
                  <c:v>3545775.7981521729</c:v>
                </c:pt>
                <c:pt idx="208">
                  <c:v>3545775.7981521729</c:v>
                </c:pt>
                <c:pt idx="209">
                  <c:v>3545775.7981521729</c:v>
                </c:pt>
                <c:pt idx="210">
                  <c:v>3545775.7981521729</c:v>
                </c:pt>
                <c:pt idx="211">
                  <c:v>3545775.7981521729</c:v>
                </c:pt>
                <c:pt idx="212">
                  <c:v>3545775.7981521729</c:v>
                </c:pt>
                <c:pt idx="213">
                  <c:v>3545775.7981521729</c:v>
                </c:pt>
                <c:pt idx="214">
                  <c:v>3545775.7981521729</c:v>
                </c:pt>
                <c:pt idx="215">
                  <c:v>3545775.7981521729</c:v>
                </c:pt>
                <c:pt idx="216">
                  <c:v>3545775.7981521729</c:v>
                </c:pt>
                <c:pt idx="217">
                  <c:v>3545775.7981521729</c:v>
                </c:pt>
                <c:pt idx="218">
                  <c:v>3545775.7981521729</c:v>
                </c:pt>
                <c:pt idx="219">
                  <c:v>3545775.7981521729</c:v>
                </c:pt>
                <c:pt idx="220">
                  <c:v>3545775.7981521729</c:v>
                </c:pt>
                <c:pt idx="221">
                  <c:v>3545775.7981521729</c:v>
                </c:pt>
                <c:pt idx="222">
                  <c:v>3545775.7981521729</c:v>
                </c:pt>
                <c:pt idx="223">
                  <c:v>3545775.7981521729</c:v>
                </c:pt>
                <c:pt idx="224">
                  <c:v>3545775.7981521729</c:v>
                </c:pt>
                <c:pt idx="225">
                  <c:v>3545775.7981521729</c:v>
                </c:pt>
                <c:pt idx="226">
                  <c:v>3545775.7981521729</c:v>
                </c:pt>
                <c:pt idx="227">
                  <c:v>3545775.7981521729</c:v>
                </c:pt>
                <c:pt idx="228">
                  <c:v>3545775.7981521729</c:v>
                </c:pt>
                <c:pt idx="229">
                  <c:v>3545775.7981521729</c:v>
                </c:pt>
                <c:pt idx="230">
                  <c:v>3545775.7981521729</c:v>
                </c:pt>
                <c:pt idx="231">
                  <c:v>3545775.7981521729</c:v>
                </c:pt>
                <c:pt idx="232">
                  <c:v>3545775.7981521729</c:v>
                </c:pt>
                <c:pt idx="233">
                  <c:v>3545775.7981521729</c:v>
                </c:pt>
                <c:pt idx="234">
                  <c:v>3545775.7981521729</c:v>
                </c:pt>
                <c:pt idx="235">
                  <c:v>3545775.7981521729</c:v>
                </c:pt>
                <c:pt idx="236">
                  <c:v>3545775.7981521729</c:v>
                </c:pt>
                <c:pt idx="237">
                  <c:v>3545775.7981521729</c:v>
                </c:pt>
                <c:pt idx="238">
                  <c:v>3545775.7981521729</c:v>
                </c:pt>
                <c:pt idx="239">
                  <c:v>3545775.7981521729</c:v>
                </c:pt>
                <c:pt idx="240">
                  <c:v>3545775.7981521729</c:v>
                </c:pt>
                <c:pt idx="241">
                  <c:v>3545775.7981521729</c:v>
                </c:pt>
                <c:pt idx="242">
                  <c:v>3545775.7981521729</c:v>
                </c:pt>
                <c:pt idx="243">
                  <c:v>3545775.7981521729</c:v>
                </c:pt>
                <c:pt idx="244">
                  <c:v>3545775.7981521729</c:v>
                </c:pt>
                <c:pt idx="245">
                  <c:v>3545775.7981521729</c:v>
                </c:pt>
                <c:pt idx="246">
                  <c:v>3545775.7981521729</c:v>
                </c:pt>
                <c:pt idx="247">
                  <c:v>3545775.7981521729</c:v>
                </c:pt>
                <c:pt idx="248">
                  <c:v>3545775.7981521729</c:v>
                </c:pt>
                <c:pt idx="249">
                  <c:v>3545775.7981521729</c:v>
                </c:pt>
                <c:pt idx="250">
                  <c:v>3545775.7981521729</c:v>
                </c:pt>
                <c:pt idx="251">
                  <c:v>3545775.7981521729</c:v>
                </c:pt>
                <c:pt idx="252">
                  <c:v>3545775.7981521729</c:v>
                </c:pt>
                <c:pt idx="253">
                  <c:v>3545775.7981521729</c:v>
                </c:pt>
                <c:pt idx="254">
                  <c:v>3545775.7981521729</c:v>
                </c:pt>
                <c:pt idx="255">
                  <c:v>3545775.7981521729</c:v>
                </c:pt>
                <c:pt idx="256">
                  <c:v>3545775.7981521729</c:v>
                </c:pt>
                <c:pt idx="257">
                  <c:v>3545775.7981521729</c:v>
                </c:pt>
                <c:pt idx="258">
                  <c:v>3545775.7981521729</c:v>
                </c:pt>
                <c:pt idx="259">
                  <c:v>3545775.7981521729</c:v>
                </c:pt>
                <c:pt idx="260">
                  <c:v>3545775.7981521729</c:v>
                </c:pt>
                <c:pt idx="261">
                  <c:v>3545775.7981521729</c:v>
                </c:pt>
                <c:pt idx="262">
                  <c:v>3545775.7981521729</c:v>
                </c:pt>
                <c:pt idx="263">
                  <c:v>3545775.7981521729</c:v>
                </c:pt>
                <c:pt idx="264">
                  <c:v>3545775.7981521729</c:v>
                </c:pt>
                <c:pt idx="265">
                  <c:v>3545775.7981521729</c:v>
                </c:pt>
                <c:pt idx="266">
                  <c:v>3545775.7981521729</c:v>
                </c:pt>
                <c:pt idx="267">
                  <c:v>3545775.7981521729</c:v>
                </c:pt>
                <c:pt idx="268">
                  <c:v>3545775.7981521729</c:v>
                </c:pt>
                <c:pt idx="269">
                  <c:v>3545775.7981521729</c:v>
                </c:pt>
                <c:pt idx="270">
                  <c:v>3545775.7981521729</c:v>
                </c:pt>
                <c:pt idx="271">
                  <c:v>3545775.7981521729</c:v>
                </c:pt>
                <c:pt idx="272">
                  <c:v>3545775.7981521729</c:v>
                </c:pt>
                <c:pt idx="273">
                  <c:v>3545775.7981521729</c:v>
                </c:pt>
                <c:pt idx="274">
                  <c:v>3545775.7981521729</c:v>
                </c:pt>
                <c:pt idx="275">
                  <c:v>3545775.7981521729</c:v>
                </c:pt>
                <c:pt idx="276">
                  <c:v>3545775.7981521729</c:v>
                </c:pt>
                <c:pt idx="277">
                  <c:v>3545775.7981521729</c:v>
                </c:pt>
                <c:pt idx="278">
                  <c:v>3545775.7981521729</c:v>
                </c:pt>
                <c:pt idx="279">
                  <c:v>3545775.7981521729</c:v>
                </c:pt>
                <c:pt idx="280">
                  <c:v>3545775.7981521729</c:v>
                </c:pt>
                <c:pt idx="281">
                  <c:v>3545775.7981521729</c:v>
                </c:pt>
                <c:pt idx="282">
                  <c:v>3545775.7981521729</c:v>
                </c:pt>
                <c:pt idx="283">
                  <c:v>3545775.7981521729</c:v>
                </c:pt>
                <c:pt idx="284">
                  <c:v>3545775.7981521729</c:v>
                </c:pt>
                <c:pt idx="285">
                  <c:v>3545775.7981521729</c:v>
                </c:pt>
                <c:pt idx="286">
                  <c:v>3545775.7981521729</c:v>
                </c:pt>
                <c:pt idx="287">
                  <c:v>3545775.7981521729</c:v>
                </c:pt>
                <c:pt idx="288">
                  <c:v>3545775.7981521729</c:v>
                </c:pt>
                <c:pt idx="289">
                  <c:v>3545775.7981521729</c:v>
                </c:pt>
                <c:pt idx="290">
                  <c:v>3545775.7981521729</c:v>
                </c:pt>
                <c:pt idx="291">
                  <c:v>3545775.7981521729</c:v>
                </c:pt>
                <c:pt idx="292">
                  <c:v>3545775.7981521729</c:v>
                </c:pt>
                <c:pt idx="293">
                  <c:v>3545775.7981521729</c:v>
                </c:pt>
                <c:pt idx="294">
                  <c:v>3545775.7981521729</c:v>
                </c:pt>
                <c:pt idx="295">
                  <c:v>3545775.7981521729</c:v>
                </c:pt>
                <c:pt idx="296">
                  <c:v>3545775.7981521729</c:v>
                </c:pt>
                <c:pt idx="297">
                  <c:v>3545775.7981521729</c:v>
                </c:pt>
                <c:pt idx="298">
                  <c:v>3545775.7981521729</c:v>
                </c:pt>
                <c:pt idx="299">
                  <c:v>3545775.7981521729</c:v>
                </c:pt>
                <c:pt idx="300">
                  <c:v>3545775.7981521729</c:v>
                </c:pt>
                <c:pt idx="301">
                  <c:v>3545775.7981521729</c:v>
                </c:pt>
                <c:pt idx="302">
                  <c:v>3545775.7981521729</c:v>
                </c:pt>
                <c:pt idx="303">
                  <c:v>3545775.7981521729</c:v>
                </c:pt>
                <c:pt idx="304">
                  <c:v>3545775.7981521729</c:v>
                </c:pt>
                <c:pt idx="305">
                  <c:v>3545775.7981521729</c:v>
                </c:pt>
                <c:pt idx="306">
                  <c:v>3545775.7981521729</c:v>
                </c:pt>
                <c:pt idx="307">
                  <c:v>3545775.7981521729</c:v>
                </c:pt>
                <c:pt idx="308">
                  <c:v>3545775.7981521729</c:v>
                </c:pt>
                <c:pt idx="309">
                  <c:v>3545775.7981521729</c:v>
                </c:pt>
                <c:pt idx="310">
                  <c:v>3545775.7981521729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8627410.1948097404</c:v>
                </c:pt>
                <c:pt idx="58">
                  <c:v>8627410.1948097404</c:v>
                </c:pt>
                <c:pt idx="59">
                  <c:v>8627410.1948097404</c:v>
                </c:pt>
                <c:pt idx="60">
                  <c:v>8627410.1948097404</c:v>
                </c:pt>
                <c:pt idx="61">
                  <c:v>8627410.1948097404</c:v>
                </c:pt>
                <c:pt idx="62">
                  <c:v>8629747.285243351</c:v>
                </c:pt>
                <c:pt idx="63">
                  <c:v>8629747.285243351</c:v>
                </c:pt>
                <c:pt idx="64">
                  <c:v>8629747.285243351</c:v>
                </c:pt>
                <c:pt idx="65">
                  <c:v>8629747.285243351</c:v>
                </c:pt>
                <c:pt idx="66">
                  <c:v>8632084.3756769616</c:v>
                </c:pt>
                <c:pt idx="67">
                  <c:v>8632084.3756769616</c:v>
                </c:pt>
                <c:pt idx="68">
                  <c:v>8632084.3756769616</c:v>
                </c:pt>
                <c:pt idx="69">
                  <c:v>8632084.3756769616</c:v>
                </c:pt>
                <c:pt idx="70">
                  <c:v>8632084.3756769616</c:v>
                </c:pt>
                <c:pt idx="71">
                  <c:v>8632084.3756769616</c:v>
                </c:pt>
                <c:pt idx="72">
                  <c:v>8632084.3756769616</c:v>
                </c:pt>
                <c:pt idx="73">
                  <c:v>8632084.3756769616</c:v>
                </c:pt>
                <c:pt idx="74">
                  <c:v>8632084.3756769616</c:v>
                </c:pt>
                <c:pt idx="75">
                  <c:v>8632084.3756769616</c:v>
                </c:pt>
                <c:pt idx="76">
                  <c:v>8632084.3756769616</c:v>
                </c:pt>
                <c:pt idx="77">
                  <c:v>8632084.3756769616</c:v>
                </c:pt>
                <c:pt idx="78">
                  <c:v>8632084.3756769616</c:v>
                </c:pt>
                <c:pt idx="79">
                  <c:v>8632084.3756769616</c:v>
                </c:pt>
                <c:pt idx="80">
                  <c:v>8632084.3756769616</c:v>
                </c:pt>
                <c:pt idx="81">
                  <c:v>8632084.3756769616</c:v>
                </c:pt>
                <c:pt idx="82">
                  <c:v>8632084.3756769616</c:v>
                </c:pt>
                <c:pt idx="83">
                  <c:v>8632084.3756769616</c:v>
                </c:pt>
                <c:pt idx="84">
                  <c:v>8632084.3756769616</c:v>
                </c:pt>
                <c:pt idx="85">
                  <c:v>8632084.3756769616</c:v>
                </c:pt>
                <c:pt idx="86">
                  <c:v>8632084.3756769616</c:v>
                </c:pt>
                <c:pt idx="87">
                  <c:v>8632084.3756769616</c:v>
                </c:pt>
                <c:pt idx="88">
                  <c:v>8632084.3756769616</c:v>
                </c:pt>
                <c:pt idx="89">
                  <c:v>8632084.3756769616</c:v>
                </c:pt>
                <c:pt idx="90">
                  <c:v>8632084.3756769616</c:v>
                </c:pt>
                <c:pt idx="91">
                  <c:v>8632084.3756769616</c:v>
                </c:pt>
                <c:pt idx="92">
                  <c:v>8632084.3756769616</c:v>
                </c:pt>
                <c:pt idx="93">
                  <c:v>8632084.3756769616</c:v>
                </c:pt>
                <c:pt idx="94">
                  <c:v>8632084.3756769616</c:v>
                </c:pt>
                <c:pt idx="95">
                  <c:v>8632084.3756769616</c:v>
                </c:pt>
                <c:pt idx="96">
                  <c:v>8632084.3756769616</c:v>
                </c:pt>
                <c:pt idx="97">
                  <c:v>8632084.3756769616</c:v>
                </c:pt>
                <c:pt idx="98">
                  <c:v>8632084.3756769616</c:v>
                </c:pt>
                <c:pt idx="99">
                  <c:v>8632084.3756769616</c:v>
                </c:pt>
                <c:pt idx="100">
                  <c:v>8632084.3756769616</c:v>
                </c:pt>
                <c:pt idx="101">
                  <c:v>8632084.3756769616</c:v>
                </c:pt>
                <c:pt idx="102">
                  <c:v>8632084.3756769616</c:v>
                </c:pt>
                <c:pt idx="103">
                  <c:v>8632084.3756769616</c:v>
                </c:pt>
                <c:pt idx="104">
                  <c:v>8632084.3756769616</c:v>
                </c:pt>
                <c:pt idx="105">
                  <c:v>8632084.3756769616</c:v>
                </c:pt>
                <c:pt idx="106">
                  <c:v>8632084.3756769616</c:v>
                </c:pt>
                <c:pt idx="107">
                  <c:v>8632084.3756769616</c:v>
                </c:pt>
                <c:pt idx="108">
                  <c:v>8632084.3756769616</c:v>
                </c:pt>
                <c:pt idx="109">
                  <c:v>8632084.3756769616</c:v>
                </c:pt>
                <c:pt idx="110">
                  <c:v>8632084.3756769616</c:v>
                </c:pt>
                <c:pt idx="111">
                  <c:v>8632084.3756769616</c:v>
                </c:pt>
                <c:pt idx="112">
                  <c:v>8632084.3756769616</c:v>
                </c:pt>
                <c:pt idx="113">
                  <c:v>8632084.3756769616</c:v>
                </c:pt>
                <c:pt idx="114">
                  <c:v>8632084.3756769616</c:v>
                </c:pt>
                <c:pt idx="115">
                  <c:v>8632084.3756769616</c:v>
                </c:pt>
                <c:pt idx="116">
                  <c:v>8632084.3756769616</c:v>
                </c:pt>
                <c:pt idx="117">
                  <c:v>8632084.3756769616</c:v>
                </c:pt>
                <c:pt idx="118">
                  <c:v>8632084.3756769616</c:v>
                </c:pt>
                <c:pt idx="119">
                  <c:v>8632084.3756769616</c:v>
                </c:pt>
                <c:pt idx="120">
                  <c:v>8632084.3756769616</c:v>
                </c:pt>
                <c:pt idx="121">
                  <c:v>8632084.3756769616</c:v>
                </c:pt>
                <c:pt idx="122">
                  <c:v>8632084.3756769616</c:v>
                </c:pt>
                <c:pt idx="123">
                  <c:v>8632084.3756769616</c:v>
                </c:pt>
                <c:pt idx="124">
                  <c:v>8632084.3756769616</c:v>
                </c:pt>
                <c:pt idx="125">
                  <c:v>8632084.3756769616</c:v>
                </c:pt>
                <c:pt idx="126">
                  <c:v>8632084.3756769616</c:v>
                </c:pt>
                <c:pt idx="127">
                  <c:v>8632084.3756769616</c:v>
                </c:pt>
                <c:pt idx="128">
                  <c:v>8632084.3756769616</c:v>
                </c:pt>
                <c:pt idx="129">
                  <c:v>8632084.3756769616</c:v>
                </c:pt>
                <c:pt idx="130">
                  <c:v>8632084.3756769616</c:v>
                </c:pt>
                <c:pt idx="131">
                  <c:v>8632084.3756769616</c:v>
                </c:pt>
                <c:pt idx="132">
                  <c:v>8632084.3756769616</c:v>
                </c:pt>
                <c:pt idx="133">
                  <c:v>8632084.3756769616</c:v>
                </c:pt>
                <c:pt idx="134">
                  <c:v>8632084.3756769616</c:v>
                </c:pt>
                <c:pt idx="135">
                  <c:v>8632084.3756769616</c:v>
                </c:pt>
                <c:pt idx="136">
                  <c:v>8632084.3756769616</c:v>
                </c:pt>
                <c:pt idx="137">
                  <c:v>8632084.3756769616</c:v>
                </c:pt>
                <c:pt idx="138">
                  <c:v>8632084.3756769616</c:v>
                </c:pt>
                <c:pt idx="139">
                  <c:v>8632084.3756769616</c:v>
                </c:pt>
                <c:pt idx="140">
                  <c:v>8632084.3756769616</c:v>
                </c:pt>
                <c:pt idx="141">
                  <c:v>8632084.3756769616</c:v>
                </c:pt>
                <c:pt idx="142">
                  <c:v>8632084.3756769616</c:v>
                </c:pt>
                <c:pt idx="143">
                  <c:v>8632084.3756769616</c:v>
                </c:pt>
                <c:pt idx="144">
                  <c:v>8632084.3756769616</c:v>
                </c:pt>
                <c:pt idx="145">
                  <c:v>8632084.3756769616</c:v>
                </c:pt>
                <c:pt idx="146">
                  <c:v>8632084.3756769616</c:v>
                </c:pt>
                <c:pt idx="147">
                  <c:v>8632084.3756769616</c:v>
                </c:pt>
                <c:pt idx="148">
                  <c:v>8632084.3756769616</c:v>
                </c:pt>
                <c:pt idx="149">
                  <c:v>8632084.3756769616</c:v>
                </c:pt>
                <c:pt idx="150">
                  <c:v>8632084.3756769616</c:v>
                </c:pt>
                <c:pt idx="151">
                  <c:v>8632084.3756769616</c:v>
                </c:pt>
                <c:pt idx="152">
                  <c:v>8632084.3756769616</c:v>
                </c:pt>
                <c:pt idx="153">
                  <c:v>8632084.3756769616</c:v>
                </c:pt>
                <c:pt idx="154">
                  <c:v>8632084.3756769616</c:v>
                </c:pt>
                <c:pt idx="155">
                  <c:v>8632084.3756769616</c:v>
                </c:pt>
                <c:pt idx="156">
                  <c:v>8632084.3756769616</c:v>
                </c:pt>
                <c:pt idx="157">
                  <c:v>8632084.3756769616</c:v>
                </c:pt>
                <c:pt idx="158">
                  <c:v>8632084.3756769616</c:v>
                </c:pt>
                <c:pt idx="159">
                  <c:v>8632084.3756769616</c:v>
                </c:pt>
                <c:pt idx="160">
                  <c:v>8632084.3756769616</c:v>
                </c:pt>
                <c:pt idx="161">
                  <c:v>8632084.3756769616</c:v>
                </c:pt>
                <c:pt idx="162">
                  <c:v>8632084.3756769616</c:v>
                </c:pt>
                <c:pt idx="163">
                  <c:v>8632084.3756769616</c:v>
                </c:pt>
                <c:pt idx="164">
                  <c:v>8632084.3756769616</c:v>
                </c:pt>
                <c:pt idx="165">
                  <c:v>8632084.3756769616</c:v>
                </c:pt>
                <c:pt idx="166">
                  <c:v>8632084.3756769616</c:v>
                </c:pt>
                <c:pt idx="167">
                  <c:v>8632084.3756769616</c:v>
                </c:pt>
                <c:pt idx="168">
                  <c:v>8632084.3756769616</c:v>
                </c:pt>
                <c:pt idx="169">
                  <c:v>8632084.3756769616</c:v>
                </c:pt>
                <c:pt idx="170">
                  <c:v>8632084.3756769616</c:v>
                </c:pt>
                <c:pt idx="171">
                  <c:v>8632084.3756769616</c:v>
                </c:pt>
                <c:pt idx="172">
                  <c:v>8632084.3756769616</c:v>
                </c:pt>
                <c:pt idx="173">
                  <c:v>8632084.3756769616</c:v>
                </c:pt>
                <c:pt idx="174">
                  <c:v>8632084.3756769616</c:v>
                </c:pt>
                <c:pt idx="175">
                  <c:v>8632084.3756769616</c:v>
                </c:pt>
                <c:pt idx="176">
                  <c:v>8632084.3756769616</c:v>
                </c:pt>
                <c:pt idx="177">
                  <c:v>8632084.3756769616</c:v>
                </c:pt>
                <c:pt idx="178">
                  <c:v>8632084.3756769616</c:v>
                </c:pt>
                <c:pt idx="179">
                  <c:v>8632084.3756769616</c:v>
                </c:pt>
                <c:pt idx="180">
                  <c:v>8632084.3756769616</c:v>
                </c:pt>
                <c:pt idx="181">
                  <c:v>8632084.3756769616</c:v>
                </c:pt>
                <c:pt idx="182">
                  <c:v>8632084.3756769616</c:v>
                </c:pt>
                <c:pt idx="183">
                  <c:v>8632084.3756769616</c:v>
                </c:pt>
                <c:pt idx="184">
                  <c:v>8632084.3756769616</c:v>
                </c:pt>
                <c:pt idx="185">
                  <c:v>8632084.3756769616</c:v>
                </c:pt>
                <c:pt idx="186">
                  <c:v>8632084.3756769616</c:v>
                </c:pt>
                <c:pt idx="187">
                  <c:v>8632084.3756769616</c:v>
                </c:pt>
                <c:pt idx="188">
                  <c:v>8632084.3756769616</c:v>
                </c:pt>
                <c:pt idx="189">
                  <c:v>8632084.3756769616</c:v>
                </c:pt>
                <c:pt idx="190">
                  <c:v>8632084.3756769616</c:v>
                </c:pt>
                <c:pt idx="191">
                  <c:v>8632084.3756769616</c:v>
                </c:pt>
                <c:pt idx="192">
                  <c:v>8632084.3756769616</c:v>
                </c:pt>
                <c:pt idx="193">
                  <c:v>8632084.3756769616</c:v>
                </c:pt>
                <c:pt idx="194">
                  <c:v>8632084.3756769616</c:v>
                </c:pt>
                <c:pt idx="195">
                  <c:v>8632084.3756769616</c:v>
                </c:pt>
                <c:pt idx="196">
                  <c:v>8632084.3756769616</c:v>
                </c:pt>
                <c:pt idx="197">
                  <c:v>8632084.3756769616</c:v>
                </c:pt>
                <c:pt idx="198">
                  <c:v>8632084.3756769616</c:v>
                </c:pt>
                <c:pt idx="199">
                  <c:v>8632084.3756769616</c:v>
                </c:pt>
                <c:pt idx="200">
                  <c:v>8632084.3756769616</c:v>
                </c:pt>
                <c:pt idx="201">
                  <c:v>8632084.3756769616</c:v>
                </c:pt>
                <c:pt idx="202">
                  <c:v>8632084.3756769616</c:v>
                </c:pt>
                <c:pt idx="203">
                  <c:v>8632084.3756769616</c:v>
                </c:pt>
                <c:pt idx="204">
                  <c:v>8632084.3756769616</c:v>
                </c:pt>
                <c:pt idx="205">
                  <c:v>8632084.3756769616</c:v>
                </c:pt>
                <c:pt idx="206">
                  <c:v>8632084.3756769616</c:v>
                </c:pt>
                <c:pt idx="207">
                  <c:v>8632084.3756769616</c:v>
                </c:pt>
                <c:pt idx="208">
                  <c:v>8632084.3756769616</c:v>
                </c:pt>
                <c:pt idx="209">
                  <c:v>8632084.3756769616</c:v>
                </c:pt>
                <c:pt idx="210">
                  <c:v>8632084.3756769616</c:v>
                </c:pt>
                <c:pt idx="211">
                  <c:v>8632084.3756769616</c:v>
                </c:pt>
                <c:pt idx="212">
                  <c:v>8632084.3756769616</c:v>
                </c:pt>
                <c:pt idx="213">
                  <c:v>8632084.3756769616</c:v>
                </c:pt>
                <c:pt idx="214">
                  <c:v>8632084.3756769616</c:v>
                </c:pt>
                <c:pt idx="215">
                  <c:v>8632084.3756769616</c:v>
                </c:pt>
                <c:pt idx="216">
                  <c:v>8632084.3756769616</c:v>
                </c:pt>
                <c:pt idx="217">
                  <c:v>8632084.3756769616</c:v>
                </c:pt>
                <c:pt idx="218">
                  <c:v>8632084.3756769616</c:v>
                </c:pt>
                <c:pt idx="219">
                  <c:v>8632084.3756769616</c:v>
                </c:pt>
                <c:pt idx="220">
                  <c:v>8632084.3756769616</c:v>
                </c:pt>
                <c:pt idx="221">
                  <c:v>8632084.3756769616</c:v>
                </c:pt>
                <c:pt idx="222">
                  <c:v>8632084.3756769616</c:v>
                </c:pt>
                <c:pt idx="223">
                  <c:v>8632084.3756769616</c:v>
                </c:pt>
                <c:pt idx="224">
                  <c:v>8632084.3756769616</c:v>
                </c:pt>
                <c:pt idx="225">
                  <c:v>8632084.3756769616</c:v>
                </c:pt>
                <c:pt idx="226">
                  <c:v>8632084.3756769616</c:v>
                </c:pt>
                <c:pt idx="227">
                  <c:v>8632084.3756769616</c:v>
                </c:pt>
                <c:pt idx="228">
                  <c:v>8632084.3756769616</c:v>
                </c:pt>
                <c:pt idx="229">
                  <c:v>8632084.3756769616</c:v>
                </c:pt>
                <c:pt idx="230">
                  <c:v>8632084.3756769616</c:v>
                </c:pt>
                <c:pt idx="231">
                  <c:v>8632084.3756769616</c:v>
                </c:pt>
                <c:pt idx="232">
                  <c:v>8632084.3756769616</c:v>
                </c:pt>
                <c:pt idx="233">
                  <c:v>8632084.3756769616</c:v>
                </c:pt>
                <c:pt idx="234">
                  <c:v>8632084.3756769616</c:v>
                </c:pt>
                <c:pt idx="235">
                  <c:v>8632084.3756769616</c:v>
                </c:pt>
                <c:pt idx="236">
                  <c:v>8632084.3756769616</c:v>
                </c:pt>
                <c:pt idx="237">
                  <c:v>8632084.3756769616</c:v>
                </c:pt>
                <c:pt idx="238">
                  <c:v>8632084.3756769616</c:v>
                </c:pt>
                <c:pt idx="239">
                  <c:v>8632084.3756769616</c:v>
                </c:pt>
                <c:pt idx="240">
                  <c:v>8632084.3756769616</c:v>
                </c:pt>
                <c:pt idx="241">
                  <c:v>8632084.3756769616</c:v>
                </c:pt>
                <c:pt idx="242">
                  <c:v>8632084.3756769616</c:v>
                </c:pt>
                <c:pt idx="243">
                  <c:v>8632084.3756769616</c:v>
                </c:pt>
                <c:pt idx="244">
                  <c:v>8632084.3756769616</c:v>
                </c:pt>
                <c:pt idx="245">
                  <c:v>8632084.3756769616</c:v>
                </c:pt>
                <c:pt idx="246">
                  <c:v>8632084.3756769616</c:v>
                </c:pt>
                <c:pt idx="247">
                  <c:v>8632084.3756769616</c:v>
                </c:pt>
                <c:pt idx="248">
                  <c:v>8632084.3756769616</c:v>
                </c:pt>
                <c:pt idx="249">
                  <c:v>8632084.3756769616</c:v>
                </c:pt>
                <c:pt idx="250">
                  <c:v>8632084.3756769616</c:v>
                </c:pt>
                <c:pt idx="251">
                  <c:v>8632084.3756769616</c:v>
                </c:pt>
                <c:pt idx="252">
                  <c:v>8632084.3756769616</c:v>
                </c:pt>
                <c:pt idx="253">
                  <c:v>8632084.3756769616</c:v>
                </c:pt>
                <c:pt idx="254">
                  <c:v>8632084.3756769616</c:v>
                </c:pt>
                <c:pt idx="255">
                  <c:v>8632084.3756769616</c:v>
                </c:pt>
                <c:pt idx="256">
                  <c:v>8632084.3756769616</c:v>
                </c:pt>
                <c:pt idx="257">
                  <c:v>8632084.3756769616</c:v>
                </c:pt>
                <c:pt idx="258">
                  <c:v>8632084.3756769616</c:v>
                </c:pt>
                <c:pt idx="259">
                  <c:v>8632084.3756769616</c:v>
                </c:pt>
                <c:pt idx="260">
                  <c:v>8632084.3756769616</c:v>
                </c:pt>
                <c:pt idx="261">
                  <c:v>8632084.3756769616</c:v>
                </c:pt>
                <c:pt idx="262">
                  <c:v>8632084.3756769616</c:v>
                </c:pt>
                <c:pt idx="263">
                  <c:v>8632084.3756769616</c:v>
                </c:pt>
                <c:pt idx="264">
                  <c:v>8632084.3756769616</c:v>
                </c:pt>
                <c:pt idx="265">
                  <c:v>8632084.3756769616</c:v>
                </c:pt>
                <c:pt idx="266">
                  <c:v>8632084.3756769616</c:v>
                </c:pt>
                <c:pt idx="267">
                  <c:v>8632084.3756769616</c:v>
                </c:pt>
                <c:pt idx="268">
                  <c:v>8632084.3756769616</c:v>
                </c:pt>
                <c:pt idx="269">
                  <c:v>8632084.3756769616</c:v>
                </c:pt>
                <c:pt idx="270">
                  <c:v>8632084.3756769616</c:v>
                </c:pt>
                <c:pt idx="271">
                  <c:v>8632084.3756769616</c:v>
                </c:pt>
                <c:pt idx="272">
                  <c:v>8632084.3756769616</c:v>
                </c:pt>
                <c:pt idx="273">
                  <c:v>8632084.3756769616</c:v>
                </c:pt>
                <c:pt idx="274">
                  <c:v>8632084.3756769616</c:v>
                </c:pt>
                <c:pt idx="275">
                  <c:v>8632084.3756769616</c:v>
                </c:pt>
                <c:pt idx="276">
                  <c:v>8632084.3756769616</c:v>
                </c:pt>
                <c:pt idx="277">
                  <c:v>8632084.3756769616</c:v>
                </c:pt>
                <c:pt idx="278">
                  <c:v>8632084.3756769616</c:v>
                </c:pt>
                <c:pt idx="279">
                  <c:v>8632084.3756769616</c:v>
                </c:pt>
                <c:pt idx="280">
                  <c:v>8632084.3756769616</c:v>
                </c:pt>
                <c:pt idx="281">
                  <c:v>8632084.3756769616</c:v>
                </c:pt>
                <c:pt idx="282">
                  <c:v>8632084.3756769616</c:v>
                </c:pt>
                <c:pt idx="283">
                  <c:v>8632084.3756769616</c:v>
                </c:pt>
                <c:pt idx="284">
                  <c:v>8632084.3756769616</c:v>
                </c:pt>
                <c:pt idx="285">
                  <c:v>8632084.3756769616</c:v>
                </c:pt>
                <c:pt idx="286">
                  <c:v>8632084.3756769616</c:v>
                </c:pt>
                <c:pt idx="287">
                  <c:v>8632084.3756769616</c:v>
                </c:pt>
                <c:pt idx="288">
                  <c:v>8632084.3756769616</c:v>
                </c:pt>
                <c:pt idx="289">
                  <c:v>8632084.3756769616</c:v>
                </c:pt>
                <c:pt idx="290">
                  <c:v>8632084.3756769616</c:v>
                </c:pt>
                <c:pt idx="291">
                  <c:v>8632084.3756769616</c:v>
                </c:pt>
                <c:pt idx="292">
                  <c:v>8632084.3756769616</c:v>
                </c:pt>
                <c:pt idx="293">
                  <c:v>8632084.3756769616</c:v>
                </c:pt>
                <c:pt idx="294">
                  <c:v>8632084.3756769616</c:v>
                </c:pt>
                <c:pt idx="295">
                  <c:v>8632084.3756769616</c:v>
                </c:pt>
                <c:pt idx="296">
                  <c:v>8632084.3756769616</c:v>
                </c:pt>
                <c:pt idx="297">
                  <c:v>8632084.3756769616</c:v>
                </c:pt>
                <c:pt idx="298">
                  <c:v>8632084.3756769616</c:v>
                </c:pt>
                <c:pt idx="299">
                  <c:v>8632084.3756769616</c:v>
                </c:pt>
                <c:pt idx="300">
                  <c:v>8632084.3756769616</c:v>
                </c:pt>
                <c:pt idx="301">
                  <c:v>8632084.3756769616</c:v>
                </c:pt>
                <c:pt idx="302">
                  <c:v>8632084.3756769616</c:v>
                </c:pt>
                <c:pt idx="303">
                  <c:v>8632084.3756769616</c:v>
                </c:pt>
                <c:pt idx="304">
                  <c:v>8632084.3756769616</c:v>
                </c:pt>
                <c:pt idx="305">
                  <c:v>8632084.3756769616</c:v>
                </c:pt>
                <c:pt idx="306">
                  <c:v>8632084.3756769616</c:v>
                </c:pt>
                <c:pt idx="307">
                  <c:v>8632084.3756769616</c:v>
                </c:pt>
                <c:pt idx="308">
                  <c:v>8632084.3756769616</c:v>
                </c:pt>
                <c:pt idx="309">
                  <c:v>8632084.3756769616</c:v>
                </c:pt>
                <c:pt idx="310">
                  <c:v>8632084.3756769616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8.88671875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109375" style="24" customWidth="1"/>
    <col min="10" max="10" width="47.44140625" style="24" bestFit="1" customWidth="1"/>
    <col min="11" max="11" width="6.44140625" style="3" customWidth="1"/>
    <col min="12" max="12" width="14.1093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4" t="s">
        <v>57</v>
      </c>
      <c r="E47" s="774"/>
      <c r="F47" s="775"/>
      <c r="G47" s="67"/>
      <c r="I47" s="68"/>
      <c r="J47" s="68"/>
    </row>
    <row r="48" spans="1:49" ht="14.4" thickBot="1">
      <c r="C48" s="69">
        <v>44014</v>
      </c>
      <c r="D48" s="776"/>
      <c r="E48" s="776"/>
      <c r="F48" s="77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9" priority="1" operator="equal">
      <formula>3</formula>
    </cfRule>
    <cfRule type="cellIs" dxfId="38" priority="2" operator="equal">
      <formula>1</formula>
    </cfRule>
    <cfRule type="cellIs" dxfId="37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7" zoomScaleNormal="100" workbookViewId="0">
      <selection activeCell="K30" sqref="K30"/>
    </sheetView>
  </sheetViews>
  <sheetFormatPr defaultColWidth="8.44140625" defaultRowHeight="13.8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.109375" style="111" customWidth="1"/>
    <col min="5" max="5" width="14.5546875" style="24" customWidth="1"/>
    <col min="6" max="6" width="10.109375" style="167" customWidth="1"/>
    <col min="7" max="7" width="13.5546875" style="64" customWidth="1"/>
    <col min="8" max="8" width="5" style="111" customWidth="1"/>
    <col min="9" max="9" width="13.44140625" style="11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0.88671875" style="111" bestFit="1" customWidth="1"/>
    <col min="15" max="15" width="39.44140625" style="111" bestFit="1" customWidth="1"/>
    <col min="16" max="16" width="1.44140625" style="111" customWidth="1"/>
    <col min="17" max="17" width="5.5546875" style="3" customWidth="1"/>
    <col min="18" max="20" width="8.44140625" style="111"/>
    <col min="21" max="22" width="19.109375" style="111" customWidth="1"/>
    <col min="23" max="23" width="19.109375" style="690" customWidth="1"/>
    <col min="24" max="24" width="19.109375" style="111" customWidth="1"/>
    <col min="25" max="25" width="8.44140625" style="111"/>
    <col min="26" max="16384" width="8.44140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46064</v>
      </c>
      <c r="O1" s="404">
        <f ca="1">TODAY()</f>
        <v>46064</v>
      </c>
      <c r="Q1" s="3"/>
      <c r="W1" s="690"/>
    </row>
    <row r="2" spans="2:28">
      <c r="B2" s="175"/>
      <c r="C2" s="176" t="s">
        <v>0</v>
      </c>
      <c r="D2" s="177"/>
      <c r="E2" s="781" t="s">
        <v>58</v>
      </c>
      <c r="F2" s="782"/>
      <c r="G2" s="782"/>
      <c r="H2" s="783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84" t="s">
        <v>61</v>
      </c>
      <c r="F4" s="785"/>
      <c r="G4" s="785"/>
      <c r="H4" s="786"/>
      <c r="J4" s="112"/>
      <c r="Q4" s="3"/>
      <c r="W4" s="690"/>
    </row>
    <row r="5" spans="2:28" s="111" customFormat="1">
      <c r="B5" s="178"/>
      <c r="C5" s="179" t="s">
        <v>62</v>
      </c>
      <c r="D5" s="177"/>
      <c r="E5" s="784" t="s">
        <v>63</v>
      </c>
      <c r="F5" s="785"/>
      <c r="G5" s="785"/>
      <c r="H5" s="786"/>
      <c r="J5" s="112"/>
      <c r="Q5" s="3"/>
      <c r="W5" s="690"/>
    </row>
    <row r="6" spans="2:28">
      <c r="B6" s="183"/>
      <c r="C6" s="184" t="s">
        <v>64</v>
      </c>
      <c r="D6" s="177"/>
      <c r="E6" s="787">
        <v>6640297.8799999999</v>
      </c>
      <c r="F6" s="788"/>
      <c r="G6" s="788"/>
      <c r="H6" s="789"/>
    </row>
    <row r="7" spans="2:28" s="111" customFormat="1">
      <c r="B7" s="166"/>
      <c r="C7" s="711" t="s">
        <v>65</v>
      </c>
      <c r="E7" s="711" t="s">
        <v>66</v>
      </c>
      <c r="F7" s="167"/>
      <c r="G7" s="185"/>
      <c r="I7" s="111" t="s">
        <v>29</v>
      </c>
      <c r="J7" s="112"/>
      <c r="Q7" s="3"/>
      <c r="W7" s="690"/>
    </row>
    <row r="8" spans="2:28" ht="30" customHeight="1">
      <c r="B8" s="778" t="s">
        <v>67</v>
      </c>
      <c r="C8" s="779" t="s">
        <v>68</v>
      </c>
      <c r="D8" s="214"/>
      <c r="E8" s="780" t="s">
        <v>69</v>
      </c>
      <c r="F8" s="236" t="s">
        <v>70</v>
      </c>
      <c r="G8" s="780" t="s">
        <v>71</v>
      </c>
      <c r="H8" s="237"/>
      <c r="I8" s="780" t="s">
        <v>72</v>
      </c>
      <c r="J8" s="236" t="s">
        <v>70</v>
      </c>
      <c r="K8" s="780" t="s">
        <v>73</v>
      </c>
      <c r="M8" s="411" t="s">
        <v>74</v>
      </c>
      <c r="N8" s="675" t="s">
        <v>75</v>
      </c>
      <c r="O8" s="790" t="s">
        <v>76</v>
      </c>
      <c r="Z8" s="111"/>
      <c r="AA8" s="111"/>
      <c r="AB8" s="111"/>
    </row>
    <row r="9" spans="2:28">
      <c r="B9" s="778"/>
      <c r="C9" s="779"/>
      <c r="D9" s="214"/>
      <c r="E9" s="780"/>
      <c r="F9" s="125">
        <f>G46-E19</f>
        <v>101</v>
      </c>
      <c r="G9" s="780"/>
      <c r="H9" s="237"/>
      <c r="I9" s="780"/>
      <c r="J9" s="126">
        <f>K46-I19</f>
        <v>211</v>
      </c>
      <c r="K9" s="780"/>
      <c r="M9" s="361">
        <f>AVERAGE(M11,M18,M23,M30,M40,M44,M51,M48)</f>
        <v>0.52195796460176991</v>
      </c>
      <c r="N9" s="361">
        <f ca="1">AVERAGE(N11,N18,N23,N30,N40,N44,N51,N48)</f>
        <v>0.53683193509685068</v>
      </c>
      <c r="O9" s="791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 t="s">
        <v>93</v>
      </c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94</v>
      </c>
      <c r="C21" s="689" t="s">
        <v>95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 t="s">
        <v>96</v>
      </c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97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98</v>
      </c>
      <c r="C24" s="248" t="s">
        <v>99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100</v>
      </c>
      <c r="C25" s="248" t="s">
        <v>101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102</v>
      </c>
      <c r="C26" s="248" t="s">
        <v>103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104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105</v>
      </c>
      <c r="C28" s="248" t="s">
        <v>106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204</v>
      </c>
      <c r="K30" s="245">
        <f>MAX(K32:K38)</f>
        <v>46073</v>
      </c>
      <c r="L30" s="113"/>
      <c r="M30" s="360">
        <f>(J32*M32+J33*M33+J38*M38)/SUM(J32:J38)</f>
        <v>0.17566371681415929</v>
      </c>
      <c r="N30" s="360">
        <f ca="1">(K32*N32+K33*N33+K38*N38)/SUM(K32:K38)</f>
        <v>0.29465548077480591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107</v>
      </c>
      <c r="C31" s="248" t="s">
        <v>108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107</v>
      </c>
      <c r="C32" s="248" t="s">
        <v>109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110</v>
      </c>
      <c r="C33" s="689" t="s">
        <v>111</v>
      </c>
      <c r="D33" s="714"/>
      <c r="E33" s="715">
        <f>G20-14</f>
        <v>45940</v>
      </c>
      <c r="F33" s="716">
        <v>15</v>
      </c>
      <c r="G33" s="715">
        <f>WORKDAY.INTL(E33,F33,1,Data!$C$3:$C$41)</f>
        <v>45961</v>
      </c>
      <c r="H33" s="717"/>
      <c r="I33" s="715">
        <v>46034</v>
      </c>
      <c r="J33" s="716">
        <v>29</v>
      </c>
      <c r="K33" s="715">
        <f>WORKDAY.INTL(I33,J33,1,Data!$C$3:$C$41)</f>
        <v>46073</v>
      </c>
      <c r="M33" s="253">
        <v>0.65</v>
      </c>
      <c r="N33" s="253">
        <f t="shared" ca="1" si="3"/>
        <v>0.76923076923076927</v>
      </c>
      <c r="O33" s="121" t="s">
        <v>112</v>
      </c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113</v>
      </c>
      <c r="C34" s="248" t="s">
        <v>114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115</v>
      </c>
      <c r="C35" s="248" t="s">
        <v>116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117</v>
      </c>
      <c r="C36" s="248" t="s">
        <v>118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119</v>
      </c>
      <c r="C37" s="248" t="s">
        <v>120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121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122</v>
      </c>
      <c r="C41" s="248" t="s">
        <v>123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124</v>
      </c>
      <c r="C42" s="248" t="s">
        <v>125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126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46074</v>
      </c>
      <c r="J44" s="246">
        <f>K44-I44</f>
        <v>4</v>
      </c>
      <c r="K44" s="245">
        <f>MAX(K45:K46)</f>
        <v>46078</v>
      </c>
      <c r="L44" s="113"/>
      <c r="M44" s="360">
        <f>(J45*M45+J46*M46)/SUM(J45:J46)</f>
        <v>0</v>
      </c>
      <c r="N44" s="360">
        <f ca="1">(K45*N45+K46*N46)/SUM(K45:K46)</f>
        <v>0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127</v>
      </c>
      <c r="C45" s="242" t="s">
        <v>126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f>K33+1</f>
        <v>46074</v>
      </c>
      <c r="J45" s="250">
        <v>1</v>
      </c>
      <c r="K45" s="252">
        <f>WORKDAY.INTL(I45,J45,1,Data!$C$3:$C$41)</f>
        <v>46076</v>
      </c>
      <c r="M45" s="253">
        <v>0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121"/>
      <c r="Y45" s="24"/>
    </row>
    <row r="46" spans="2:28">
      <c r="B46" s="247" t="s">
        <v>128</v>
      </c>
      <c r="C46" s="242" t="s">
        <v>129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f>K45</f>
        <v>46076</v>
      </c>
      <c r="J46" s="250">
        <v>2</v>
      </c>
      <c r="K46" s="252">
        <f>WORKDAY.INTL(I46,J46,1,Data!$C$3:$C$41)</f>
        <v>46078</v>
      </c>
      <c r="M46" s="253">
        <v>0</v>
      </c>
      <c r="N46" s="253">
        <f t="shared" ca="1" si="5"/>
        <v>0</v>
      </c>
      <c r="O46" s="121" t="s">
        <v>130</v>
      </c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131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46074</v>
      </c>
      <c r="J48" s="246">
        <f>K48-I48</f>
        <v>2</v>
      </c>
      <c r="K48" s="245">
        <f>MAX(K49)</f>
        <v>46076</v>
      </c>
      <c r="L48" s="113"/>
      <c r="M48" s="360">
        <f>(J49*M49)/SUM(J49)</f>
        <v>0</v>
      </c>
      <c r="N48" s="360">
        <f ca="1">(K49*N49)/SUM(K49)</f>
        <v>0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132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f>WORKDAY.INTL(I45,0,1,Data!$C$3:$C$41)</f>
        <v>46074</v>
      </c>
      <c r="J49" s="250">
        <v>1</v>
      </c>
      <c r="K49" s="252">
        <f>WORKDAY.INTL(I49,J49,1,Data!$C$3:$C$41)</f>
        <v>46076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0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133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46076</v>
      </c>
      <c r="J51" s="246">
        <f>K51-I51</f>
        <v>17</v>
      </c>
      <c r="K51" s="245">
        <f>MAX(K52:K57)</f>
        <v>46093</v>
      </c>
      <c r="L51" s="113"/>
      <c r="M51" s="360">
        <f>(J52*M52+J53*M53+J54*M54+J55*M55+J56*M56+J57*M57)/SUM(J52:J57)</f>
        <v>0</v>
      </c>
      <c r="N51" s="360">
        <f ca="1">(K52*N52+K53*N53+K54*N54+K55*N55+K56*N56+K57*N57)/SUM(K52:K57)</f>
        <v>0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134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46076</v>
      </c>
      <c r="J52" s="250">
        <v>2</v>
      </c>
      <c r="K52" s="252">
        <f>WORKDAY.INTL(I52,J52,1,Data!$C$3:$C$41)</f>
        <v>46078</v>
      </c>
      <c r="M52" s="253">
        <v>0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>
      <c r="B53" s="247">
        <v>8.1999999999999993</v>
      </c>
      <c r="C53" s="242" t="s">
        <v>135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f>K49</f>
        <v>46076</v>
      </c>
      <c r="J53" s="250">
        <v>5</v>
      </c>
      <c r="K53" s="252">
        <f>WORKDAY.INTL(I53,J53,1,Data!$C$3:$C$41)</f>
        <v>46083</v>
      </c>
      <c r="M53" s="253">
        <v>0</v>
      </c>
      <c r="N53" s="253">
        <f t="shared" ca="1" si="6"/>
        <v>0</v>
      </c>
      <c r="O53" s="121"/>
      <c r="Y53" s="24"/>
    </row>
    <row r="54" spans="2:28">
      <c r="B54" s="247">
        <v>8.3000000000000007</v>
      </c>
      <c r="C54" s="242" t="s">
        <v>136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46078</v>
      </c>
      <c r="J54" s="250">
        <v>5</v>
      </c>
      <c r="K54" s="252">
        <f>WORKDAY.INTL(I54,J54,1,Data!$C$3:$C$41)</f>
        <v>46085</v>
      </c>
      <c r="M54" s="253">
        <v>0</v>
      </c>
      <c r="N54" s="253">
        <f t="shared" ca="1" si="6"/>
        <v>0</v>
      </c>
      <c r="O54" s="121"/>
      <c r="Y54" s="24"/>
    </row>
    <row r="55" spans="2:28">
      <c r="B55" s="247">
        <v>8.4</v>
      </c>
      <c r="C55" s="242" t="s">
        <v>137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f>WORKDAY.INTL(K54,0,1,Data!$C$3:$C$41)</f>
        <v>46085</v>
      </c>
      <c r="J55" s="250">
        <v>5</v>
      </c>
      <c r="K55" s="252">
        <f>WORKDAY.INTL(I55,J55,1,Data!$C$3:$C$41)</f>
        <v>46092</v>
      </c>
      <c r="M55" s="253">
        <v>0</v>
      </c>
      <c r="N55" s="253">
        <f t="shared" ca="1" si="6"/>
        <v>0</v>
      </c>
      <c r="O55" s="121"/>
      <c r="Y55" s="24"/>
    </row>
    <row r="56" spans="2:28">
      <c r="B56" s="247">
        <v>8.5</v>
      </c>
      <c r="C56" s="242" t="s">
        <v>138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f>WORKDAY.INTL(K55,0,1,Data!$C$3:$C$41)</f>
        <v>46092</v>
      </c>
      <c r="J56" s="250">
        <v>1</v>
      </c>
      <c r="K56" s="252">
        <f>WORKDAY.INTL(I56,J56,1,Data!$C$3:$C$41)</f>
        <v>46093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139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46085</v>
      </c>
      <c r="J57" s="250">
        <v>5</v>
      </c>
      <c r="K57" s="252">
        <f>WORKDAY.INTL(I57,J57,1,Data!$C$3:$C$41)</f>
        <v>46092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204</v>
      </c>
      <c r="X65" s="696">
        <f t="shared" si="10"/>
        <v>46073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46074</v>
      </c>
      <c r="W67" s="697">
        <f t="shared" ref="W67:X67" si="12">J44</f>
        <v>4</v>
      </c>
      <c r="X67" s="696">
        <f t="shared" si="12"/>
        <v>46078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46074</v>
      </c>
      <c r="W68" s="697">
        <f t="shared" ref="W68:X68" si="13">J48</f>
        <v>2</v>
      </c>
      <c r="X68" s="696">
        <f t="shared" si="13"/>
        <v>46076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46076</v>
      </c>
      <c r="W69" s="697">
        <f t="shared" ref="W69:X69" si="14">J51</f>
        <v>17</v>
      </c>
      <c r="X69" s="696">
        <f t="shared" si="14"/>
        <v>46093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4140625" defaultRowHeight="14.4"/>
  <cols>
    <col min="1" max="1" width="7.109375" customWidth="1"/>
    <col min="2" max="2" width="37.6640625" customWidth="1"/>
    <col min="3" max="3" width="9.44140625" bestFit="1" customWidth="1"/>
    <col min="4" max="4" width="12.109375" bestFit="1" customWidth="1"/>
    <col min="5" max="5" width="10.109375" customWidth="1"/>
    <col min="6" max="6" width="33.88671875" customWidth="1"/>
  </cols>
  <sheetData>
    <row r="1" spans="2:10" ht="15" thickBot="1"/>
    <row r="2" spans="2:10" ht="15.6" thickTop="1" thickBot="1">
      <c r="B2" s="792" t="s">
        <v>83</v>
      </c>
      <c r="C2" s="793"/>
      <c r="D2" s="793"/>
      <c r="E2" s="793"/>
      <c r="F2" s="794"/>
      <c r="G2" s="77"/>
      <c r="H2" s="77"/>
      <c r="I2" s="77"/>
      <c r="J2" s="77"/>
    </row>
    <row r="3" spans="2:10" ht="6.75" customHeight="1" thickTop="1"/>
    <row r="4" spans="2:10">
      <c r="B4" s="72" t="s">
        <v>140</v>
      </c>
      <c r="C4" s="78" t="s">
        <v>74</v>
      </c>
      <c r="D4" s="78" t="s">
        <v>141</v>
      </c>
      <c r="E4" s="78" t="s">
        <v>142</v>
      </c>
      <c r="F4" s="78" t="s">
        <v>143</v>
      </c>
    </row>
    <row r="5" spans="2:10">
      <c r="B5" s="74" t="s">
        <v>144</v>
      </c>
      <c r="C5" s="76"/>
      <c r="D5" s="76"/>
      <c r="E5" s="76"/>
      <c r="F5" s="71"/>
    </row>
    <row r="6" spans="2:10">
      <c r="B6" s="74" t="s">
        <v>145</v>
      </c>
      <c r="C6" s="76"/>
      <c r="D6" s="76"/>
      <c r="E6" s="76"/>
      <c r="F6" s="71"/>
    </row>
    <row r="7" spans="2:10">
      <c r="B7" s="74" t="s">
        <v>146</v>
      </c>
      <c r="C7" s="76"/>
      <c r="D7" s="76"/>
      <c r="E7" s="76"/>
      <c r="F7" s="71"/>
    </row>
    <row r="8" spans="2:10">
      <c r="B8" s="74" t="s">
        <v>147</v>
      </c>
      <c r="C8" s="76"/>
      <c r="D8" s="76"/>
      <c r="E8" s="76"/>
      <c r="F8" s="71"/>
    </row>
    <row r="9" spans="2:10">
      <c r="B9" s="75" t="s">
        <v>148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92" t="s">
        <v>149</v>
      </c>
      <c r="C16" s="793"/>
      <c r="D16" s="793"/>
      <c r="E16" s="793"/>
      <c r="F16" s="794"/>
    </row>
    <row r="17" spans="2:6" ht="15" thickTop="1"/>
    <row r="18" spans="2:6">
      <c r="B18" s="72" t="s">
        <v>140</v>
      </c>
      <c r="C18" s="78" t="s">
        <v>74</v>
      </c>
      <c r="D18" s="78" t="s">
        <v>141</v>
      </c>
      <c r="E18" s="78" t="s">
        <v>142</v>
      </c>
      <c r="F18" s="78" t="s">
        <v>143</v>
      </c>
    </row>
    <row r="19" spans="2:6">
      <c r="B19" s="74" t="s">
        <v>150</v>
      </c>
      <c r="C19" s="76"/>
      <c r="D19" s="76"/>
      <c r="E19" s="76"/>
      <c r="F19" s="71"/>
    </row>
    <row r="20" spans="2:6">
      <c r="B20" s="74" t="s">
        <v>151</v>
      </c>
      <c r="C20" s="76"/>
      <c r="D20" s="76"/>
      <c r="E20" s="76"/>
      <c r="F20" s="71"/>
    </row>
    <row r="21" spans="2:6">
      <c r="B21" s="74" t="s">
        <v>152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6" priority="6" operator="containsText" text="Pending">
      <formula>NOT(ISERROR(SEARCH("Pending",C5)))</formula>
    </cfRule>
    <cfRule type="containsText" dxfId="35" priority="7" operator="containsText" text="Declined">
      <formula>NOT(ISERROR(SEARCH("Declined",C5)))</formula>
    </cfRule>
    <cfRule type="containsText" dxfId="34" priority="8" operator="containsText" text="Abanded">
      <formula>NOT(ISERROR(SEARCH("Abanded",C5)))</formula>
    </cfRule>
    <cfRule type="containsText" dxfId="33" priority="9" operator="containsText" text="Declined">
      <formula>NOT(ISERROR(SEARCH("Declined",C5)))</formula>
    </cfRule>
    <cfRule type="containsText" dxfId="32" priority="10" operator="containsText" text="Approved">
      <formula>NOT(ISERROR(SEARCH("Approved",C5)))</formula>
    </cfRule>
  </conditionalFormatting>
  <conditionalFormatting sqref="C19:C28">
    <cfRule type="containsText" dxfId="31" priority="1" operator="containsText" text="Pending">
      <formula>NOT(ISERROR(SEARCH("Pending",C19)))</formula>
    </cfRule>
    <cfRule type="containsText" dxfId="30" priority="2" operator="containsText" text="Declined">
      <formula>NOT(ISERROR(SEARCH("Declined",C19)))</formula>
    </cfRule>
    <cfRule type="containsText" dxfId="29" priority="3" operator="containsText" text="Abanded">
      <formula>NOT(ISERROR(SEARCH("Abanded",C19)))</formula>
    </cfRule>
    <cfRule type="containsText" dxfId="28" priority="4" operator="containsText" text="Declined">
      <formula>NOT(ISERROR(SEARCH("Declined",C19)))</formula>
    </cfRule>
    <cfRule type="containsText" dxfId="27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4140625" defaultRowHeight="14.4"/>
  <cols>
    <col min="1" max="1" width="5.5546875" style="92" customWidth="1"/>
    <col min="2" max="2" width="5.5546875" style="129" customWidth="1"/>
    <col min="3" max="4" width="23.109375" style="128" customWidth="1"/>
    <col min="5" max="5" width="6.5546875" style="128" customWidth="1"/>
    <col min="6" max="6" width="16.109375" style="128" customWidth="1"/>
    <col min="7" max="7" width="12.109375" style="128" bestFit="1" customWidth="1"/>
    <col min="8" max="8" width="24.88671875" style="128" bestFit="1" customWidth="1"/>
    <col min="9" max="9" width="1.44140625" style="128" customWidth="1"/>
    <col min="10" max="10" width="3.109375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9.109375" style="128" bestFit="1" customWidth="1"/>
    <col min="17" max="17" width="15.109375" style="128" bestFit="1" customWidth="1"/>
    <col min="18" max="18" width="20.44140625" style="128" customWidth="1"/>
    <col min="19" max="19" width="16.109375" style="92" bestFit="1" customWidth="1"/>
    <col min="20" max="20" width="19.109375" style="128" bestFit="1" customWidth="1"/>
    <col min="21" max="21" width="15.109375" style="92" bestFit="1" customWidth="1"/>
    <col min="22" max="23" width="8.44140625" style="92"/>
    <col min="24" max="24" width="5.5546875" style="92" bestFit="1" customWidth="1"/>
    <col min="25" max="25" width="14.109375" style="92" bestFit="1" customWidth="1"/>
    <col min="26" max="26" width="8.44140625" style="92"/>
    <col min="27" max="27" width="14.109375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153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154</v>
      </c>
      <c r="F3" s="124" t="s">
        <v>155</v>
      </c>
      <c r="J3" s="140"/>
      <c r="L3" s="409" t="s">
        <v>156</v>
      </c>
      <c r="N3" s="409" t="s">
        <v>157</v>
      </c>
      <c r="P3" s="679" t="s">
        <v>158</v>
      </c>
      <c r="Q3" s="679" t="s">
        <v>159</v>
      </c>
      <c r="R3" s="679" t="s">
        <v>160</v>
      </c>
      <c r="S3" s="679" t="s">
        <v>161</v>
      </c>
      <c r="T3" s="679" t="s">
        <v>162</v>
      </c>
      <c r="U3" s="679" t="s">
        <v>163</v>
      </c>
    </row>
    <row r="4" spans="1:21" s="92" customFormat="1" ht="13.2">
      <c r="B4" s="351">
        <v>1</v>
      </c>
      <c r="C4" s="352" t="s">
        <v>164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165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2786482.9696951094</v>
      </c>
      <c r="S4" s="680">
        <f>SUMIFS('Expenditure Breakdown'!$Q:$Q,
        'Expenditure Breakdown'!$T:$T, "&gt;"&amp;DATE(2025,8,31),
        'Expenditure Breakdown'!$T:$T, "&lt;="&amp;DATE(2026,8,31))</f>
        <v>3355190.1984999999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2439871.9284706749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3048673.0350000001</v>
      </c>
    </row>
    <row r="5" spans="1:21" s="92" customFormat="1" ht="15" customHeight="1">
      <c r="B5" s="351">
        <v>2</v>
      </c>
      <c r="C5" s="352" t="s">
        <v>166</v>
      </c>
      <c r="D5" s="353">
        <f>+'Expenditure Tracking'!F5</f>
        <v>5836403.2100000009</v>
      </c>
      <c r="E5" s="354"/>
      <c r="F5" s="353">
        <f>+'Expenditure Tracking'!H5</f>
        <v>8076024.8235000009</v>
      </c>
      <c r="G5" s="712" t="s">
        <v>167</v>
      </c>
      <c r="H5" s="712" t="s">
        <v>168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169</v>
      </c>
      <c r="D6" s="353">
        <f>+D4-D5</f>
        <v>803894.66999999899</v>
      </c>
      <c r="E6" s="354"/>
      <c r="F6" s="353">
        <f>+F4-F5</f>
        <v>557641.75215217378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170</v>
      </c>
    </row>
    <row r="7" spans="1:21" s="92" customFormat="1" ht="15" customHeight="1" thickBot="1">
      <c r="B7" s="351">
        <v>4</v>
      </c>
      <c r="C7" s="352" t="s">
        <v>171</v>
      </c>
      <c r="D7" s="355">
        <f>+D6/D4</f>
        <v>0.12106304333443532</v>
      </c>
      <c r="E7" s="354"/>
      <c r="F7" s="355">
        <f>+F6/F4</f>
        <v>6.4589215632299343E-2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172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67</v>
      </c>
      <c r="C12" s="131" t="s">
        <v>173</v>
      </c>
      <c r="D12" s="132"/>
      <c r="E12" s="130" t="s">
        <v>174</v>
      </c>
      <c r="F12" s="130" t="s">
        <v>175</v>
      </c>
      <c r="H12" s="356" t="s">
        <v>176</v>
      </c>
      <c r="J12" s="140"/>
      <c r="L12" s="165" t="s">
        <v>177</v>
      </c>
      <c r="M12" s="133"/>
      <c r="N12" s="165" t="s">
        <v>178</v>
      </c>
      <c r="O12" s="128"/>
      <c r="P12" s="165" t="s">
        <v>179</v>
      </c>
      <c r="R12" s="378" t="s">
        <v>180</v>
      </c>
    </row>
    <row r="13" spans="1:21" s="92" customFormat="1" ht="13.2">
      <c r="B13" s="351">
        <v>1</v>
      </c>
      <c r="C13" s="795" t="s">
        <v>181</v>
      </c>
      <c r="D13" s="796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182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3.2">
      <c r="B14" s="153">
        <v>2</v>
      </c>
      <c r="C14" s="795" t="s">
        <v>183</v>
      </c>
      <c r="D14" s="796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182</v>
      </c>
      <c r="N14" s="137">
        <v>45771</v>
      </c>
      <c r="O14" s="128"/>
      <c r="P14" s="137">
        <v>45975</v>
      </c>
      <c r="R14" s="379"/>
    </row>
    <row r="15" spans="1:21" s="92" customFormat="1" ht="13.2">
      <c r="B15" s="351">
        <v>3</v>
      </c>
      <c r="C15" s="795" t="s">
        <v>184</v>
      </c>
      <c r="D15" s="796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182</v>
      </c>
      <c r="N15" s="137">
        <v>45771</v>
      </c>
      <c r="O15" s="128"/>
      <c r="P15" s="137">
        <v>45877</v>
      </c>
      <c r="R15" s="379"/>
    </row>
    <row r="16" spans="1:21" s="92" customFormat="1" ht="13.2">
      <c r="B16" s="351">
        <v>4</v>
      </c>
      <c r="C16" s="795" t="s">
        <v>185</v>
      </c>
      <c r="D16" s="796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182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3.2">
      <c r="B17" s="351">
        <v>5</v>
      </c>
      <c r="C17" s="797" t="s">
        <v>186</v>
      </c>
      <c r="D17" s="798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182</v>
      </c>
      <c r="N17" s="137">
        <v>45771</v>
      </c>
      <c r="O17" s="128"/>
      <c r="P17" s="137">
        <v>45975</v>
      </c>
      <c r="R17" s="379"/>
    </row>
    <row r="18" spans="2:18" s="92" customFormat="1" ht="13.2">
      <c r="B18" s="351">
        <v>6</v>
      </c>
      <c r="C18" s="795" t="s">
        <v>187</v>
      </c>
      <c r="D18" s="796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188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3.2">
      <c r="B19" s="351">
        <v>7</v>
      </c>
      <c r="C19" s="795" t="s">
        <v>189</v>
      </c>
      <c r="D19" s="796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2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190</v>
      </c>
      <c r="C23" s="144" t="s">
        <v>191</v>
      </c>
      <c r="D23" s="144"/>
      <c r="F23" s="145"/>
    </row>
    <row r="24" spans="2:18" s="92" customFormat="1" ht="13.2">
      <c r="C24" s="146" t="s">
        <v>192</v>
      </c>
      <c r="D24" s="147"/>
      <c r="F24" s="148"/>
      <c r="L24" s="700"/>
    </row>
    <row r="25" spans="2:18" s="92" customFormat="1" ht="13.2">
      <c r="C25" s="146" t="s">
        <v>193</v>
      </c>
      <c r="D25" s="147"/>
    </row>
    <row r="26" spans="2:18" s="92" customFormat="1" ht="13.2">
      <c r="C26" s="149" t="s">
        <v>194</v>
      </c>
      <c r="D26" s="150"/>
    </row>
    <row r="27" spans="2:18" s="92" customFormat="1" ht="13.2">
      <c r="C27" s="151" t="s">
        <v>195</v>
      </c>
      <c r="D27" s="147"/>
    </row>
    <row r="28" spans="2:18" s="92" customFormat="1" ht="13.2">
      <c r="B28" s="116"/>
      <c r="C28" s="151" t="s">
        <v>196</v>
      </c>
      <c r="D28" s="147"/>
    </row>
    <row r="29" spans="2:18" s="92" customFormat="1" ht="13.2">
      <c r="B29" s="116"/>
      <c r="C29" s="92" t="s">
        <v>197</v>
      </c>
    </row>
    <row r="30" spans="2:18" s="92" customFormat="1" ht="27.75" customHeight="1">
      <c r="B30" s="116"/>
      <c r="C30" s="152" t="s">
        <v>198</v>
      </c>
      <c r="D30" s="152"/>
      <c r="F30" s="148"/>
    </row>
    <row r="31" spans="2:18" s="92" customFormat="1" ht="13.2">
      <c r="B31" s="116"/>
      <c r="F31" s="145"/>
    </row>
    <row r="32" spans="2:18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</row>
    <row r="36" spans="2:6" s="92" customFormat="1" ht="13.2">
      <c r="B36" s="116"/>
    </row>
    <row r="37" spans="2:6" s="92" customFormat="1" ht="13.2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173</v>
      </c>
      <c r="D40" s="132"/>
      <c r="E40" s="130" t="s">
        <v>174</v>
      </c>
      <c r="F40" s="130" t="s">
        <v>175</v>
      </c>
    </row>
    <row r="41" spans="2:6" s="92" customFormat="1" ht="12.75" hidden="1" customHeight="1">
      <c r="B41" s="153">
        <v>1</v>
      </c>
      <c r="C41" s="154" t="s">
        <v>199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183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184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200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201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3.2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6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6" ht="13.8" thickBot="1"/>
    <row r="2" spans="3:6" ht="13.8" thickBot="1">
      <c r="C2" s="83" t="s">
        <v>202</v>
      </c>
      <c r="F2" s="83" t="s">
        <v>203</v>
      </c>
    </row>
    <row r="3" spans="3:6">
      <c r="C3" s="79">
        <v>45658</v>
      </c>
      <c r="D3" s="73" t="s">
        <v>204</v>
      </c>
      <c r="F3" s="81" t="s">
        <v>205</v>
      </c>
    </row>
    <row r="4" spans="3:6">
      <c r="C4" s="79">
        <v>45737</v>
      </c>
      <c r="D4" s="73" t="s">
        <v>206</v>
      </c>
      <c r="F4" s="81" t="s">
        <v>207</v>
      </c>
    </row>
    <row r="5" spans="3:6">
      <c r="C5" s="79">
        <v>45765</v>
      </c>
      <c r="D5" s="73" t="s">
        <v>208</v>
      </c>
      <c r="F5" s="81" t="s">
        <v>209</v>
      </c>
    </row>
    <row r="6" spans="3:6" ht="13.8" thickBot="1">
      <c r="C6" s="79">
        <v>45768</v>
      </c>
      <c r="D6" s="73" t="s">
        <v>210</v>
      </c>
      <c r="F6" s="82" t="s">
        <v>211</v>
      </c>
    </row>
    <row r="7" spans="3:6">
      <c r="C7" s="79">
        <v>45774</v>
      </c>
      <c r="D7" s="73" t="s">
        <v>212</v>
      </c>
    </row>
    <row r="8" spans="3:6">
      <c r="C8" s="79">
        <v>45765</v>
      </c>
      <c r="D8" s="73" t="s">
        <v>213</v>
      </c>
    </row>
    <row r="9" spans="3:6">
      <c r="C9" s="79">
        <v>45778</v>
      </c>
      <c r="D9" s="73" t="s">
        <v>214</v>
      </c>
    </row>
    <row r="10" spans="3:6">
      <c r="C10" s="79">
        <v>45824</v>
      </c>
      <c r="D10" s="73" t="s">
        <v>215</v>
      </c>
    </row>
    <row r="11" spans="3:6">
      <c r="C11" s="79">
        <v>45878</v>
      </c>
      <c r="D11" s="73" t="s">
        <v>216</v>
      </c>
    </row>
    <row r="12" spans="3:6">
      <c r="C12" s="79">
        <v>45924</v>
      </c>
      <c r="D12" s="73" t="s">
        <v>217</v>
      </c>
    </row>
    <row r="13" spans="3:6">
      <c r="C13" s="79">
        <v>46007</v>
      </c>
      <c r="D13" s="73" t="s">
        <v>218</v>
      </c>
    </row>
    <row r="14" spans="3:6">
      <c r="C14" s="79">
        <v>46008</v>
      </c>
      <c r="D14" s="73" t="s">
        <v>219</v>
      </c>
    </row>
    <row r="15" spans="3:6">
      <c r="C15" s="79">
        <v>46009</v>
      </c>
      <c r="D15" s="73" t="s">
        <v>219</v>
      </c>
    </row>
    <row r="16" spans="3:6">
      <c r="C16" s="79">
        <v>46010</v>
      </c>
      <c r="D16" s="73" t="s">
        <v>219</v>
      </c>
    </row>
    <row r="17" spans="3:4">
      <c r="C17" s="79">
        <v>46011</v>
      </c>
      <c r="D17" s="73" t="s">
        <v>219</v>
      </c>
    </row>
    <row r="18" spans="3:4">
      <c r="C18" s="79">
        <v>46012</v>
      </c>
      <c r="D18" s="73" t="s">
        <v>219</v>
      </c>
    </row>
    <row r="19" spans="3:4">
      <c r="C19" s="79">
        <v>46013</v>
      </c>
      <c r="D19" s="73" t="s">
        <v>219</v>
      </c>
    </row>
    <row r="20" spans="3:4">
      <c r="C20" s="79">
        <v>46014</v>
      </c>
      <c r="D20" s="73" t="s">
        <v>219</v>
      </c>
    </row>
    <row r="21" spans="3:4">
      <c r="C21" s="79">
        <v>46015</v>
      </c>
      <c r="D21" s="73" t="s">
        <v>219</v>
      </c>
    </row>
    <row r="22" spans="3:4">
      <c r="C22" s="79">
        <v>46016</v>
      </c>
      <c r="D22" s="73" t="s">
        <v>219</v>
      </c>
    </row>
    <row r="23" spans="3:4">
      <c r="C23" s="79">
        <v>46017</v>
      </c>
      <c r="D23" s="73" t="s">
        <v>219</v>
      </c>
    </row>
    <row r="24" spans="3:4">
      <c r="C24" s="79">
        <v>46018</v>
      </c>
      <c r="D24" s="73" t="s">
        <v>219</v>
      </c>
    </row>
    <row r="25" spans="3:4">
      <c r="C25" s="79">
        <v>46019</v>
      </c>
      <c r="D25" s="73" t="s">
        <v>219</v>
      </c>
    </row>
    <row r="26" spans="3:4">
      <c r="C26" s="79">
        <v>46020</v>
      </c>
      <c r="D26" s="73" t="s">
        <v>219</v>
      </c>
    </row>
    <row r="27" spans="3:4">
      <c r="C27" s="79">
        <v>46021</v>
      </c>
      <c r="D27" s="73" t="s">
        <v>219</v>
      </c>
    </row>
    <row r="28" spans="3:4">
      <c r="C28" s="79">
        <v>46022</v>
      </c>
      <c r="D28" s="73" t="s">
        <v>219</v>
      </c>
    </row>
    <row r="29" spans="3:4">
      <c r="C29" s="79">
        <v>46023</v>
      </c>
      <c r="D29" s="73" t="s">
        <v>219</v>
      </c>
    </row>
    <row r="30" spans="3:4">
      <c r="C30" s="79">
        <v>46024</v>
      </c>
      <c r="D30" s="73" t="s">
        <v>219</v>
      </c>
    </row>
    <row r="31" spans="3:4">
      <c r="C31" s="79">
        <v>46025</v>
      </c>
      <c r="D31" s="73" t="s">
        <v>219</v>
      </c>
    </row>
    <row r="32" spans="3:4">
      <c r="C32" s="79">
        <v>46026</v>
      </c>
      <c r="D32" s="73" t="s">
        <v>219</v>
      </c>
    </row>
    <row r="33" spans="3:4">
      <c r="C33" s="79">
        <v>46027</v>
      </c>
      <c r="D33" s="73" t="s">
        <v>219</v>
      </c>
    </row>
    <row r="34" spans="3:4">
      <c r="C34" s="79">
        <v>46028</v>
      </c>
      <c r="D34" s="73" t="s">
        <v>219</v>
      </c>
    </row>
    <row r="35" spans="3:4">
      <c r="C35" s="79">
        <v>46029</v>
      </c>
      <c r="D35" s="73" t="s">
        <v>219</v>
      </c>
    </row>
    <row r="36" spans="3:4">
      <c r="C36" s="79">
        <v>46030</v>
      </c>
      <c r="D36" s="73" t="s">
        <v>219</v>
      </c>
    </row>
    <row r="37" spans="3:4">
      <c r="C37" s="79">
        <v>46031</v>
      </c>
      <c r="D37" s="73" t="s">
        <v>219</v>
      </c>
    </row>
    <row r="38" spans="3:4">
      <c r="C38" s="79">
        <v>46032</v>
      </c>
      <c r="D38" s="73" t="s">
        <v>219</v>
      </c>
    </row>
    <row r="39" spans="3:4">
      <c r="C39" s="79">
        <v>46033</v>
      </c>
      <c r="D39" s="73" t="s">
        <v>219</v>
      </c>
    </row>
    <row r="40" spans="3:4">
      <c r="C40" s="79">
        <v>46034</v>
      </c>
      <c r="D40" s="73" t="s">
        <v>219</v>
      </c>
    </row>
    <row r="41" spans="3:4">
      <c r="C41" s="79">
        <v>46016</v>
      </c>
      <c r="D41" s="73" t="s">
        <v>220</v>
      </c>
    </row>
    <row r="42" spans="3:4" ht="13.8" thickBot="1">
      <c r="C42" s="80">
        <v>46017</v>
      </c>
      <c r="D42" s="73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109375" style="24" customWidth="1"/>
    <col min="10" max="10" width="21.5546875" style="24" customWidth="1"/>
    <col min="11" max="11" width="2" style="24" customWidth="1"/>
    <col min="12" max="12" width="53.10937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222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799"/>
      <c r="C4" s="799"/>
      <c r="D4" s="799"/>
      <c r="E4" s="413"/>
      <c r="F4" s="219" t="s">
        <v>154</v>
      </c>
      <c r="G4" s="214"/>
      <c r="H4" s="219" t="s">
        <v>155</v>
      </c>
      <c r="I4" s="214"/>
      <c r="J4" s="220" t="s">
        <v>223</v>
      </c>
      <c r="K4" s="111"/>
      <c r="L4" s="111"/>
    </row>
    <row r="5" spans="1:12" ht="14.4" thickBot="1">
      <c r="A5" s="214"/>
      <c r="B5" s="800" t="s">
        <v>224</v>
      </c>
      <c r="C5" s="800"/>
      <c r="D5" s="800"/>
      <c r="E5" s="413"/>
      <c r="F5" s="221">
        <f>SUM(F9:F23)</f>
        <v>5836403.2100000009</v>
      </c>
      <c r="G5" s="216"/>
      <c r="H5" s="221">
        <f>SUM(H9:H23)</f>
        <v>8076024.8235000009</v>
      </c>
      <c r="I5" s="214"/>
      <c r="J5" s="222">
        <f>SUM(J9:J23)</f>
        <v>-2239621.6135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67</v>
      </c>
      <c r="C7" s="225"/>
      <c r="D7" s="224" t="s">
        <v>225</v>
      </c>
      <c r="E7" s="225"/>
      <c r="F7" s="226" t="s">
        <v>226</v>
      </c>
      <c r="G7" s="227"/>
      <c r="H7" s="226" t="s">
        <v>227</v>
      </c>
      <c r="I7" s="227"/>
      <c r="J7" s="226" t="s">
        <v>228</v>
      </c>
      <c r="K7" s="171"/>
      <c r="L7" s="114" t="s">
        <v>229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247203.72349999999</v>
      </c>
      <c r="I21" s="88"/>
      <c r="J21" s="231">
        <f t="shared" si="0"/>
        <v>-13073.743499999982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230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S1" zoomScale="80" zoomScaleNormal="80" workbookViewId="0">
      <pane ySplit="4" topLeftCell="A5" activePane="bottomLeft" state="frozen"/>
      <selection activeCell="X33" sqref="X33"/>
      <selection pane="bottomLeft" activeCell="T7" sqref="T7:T8"/>
    </sheetView>
  </sheetViews>
  <sheetFormatPr defaultColWidth="9.44140625" defaultRowHeight="13.8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4" hidden="1" customWidth="1"/>
    <col min="7" max="7" width="17.44140625" style="24" hidden="1" customWidth="1"/>
    <col min="8" max="8" width="13.109375" style="111" hidden="1" customWidth="1"/>
    <col min="9" max="9" width="22.4414062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48.44140625" style="111" customWidth="1"/>
    <col min="15" max="15" width="16" style="111" bestFit="1" customWidth="1"/>
    <col min="16" max="17" width="17.44140625" style="111" customWidth="1"/>
    <col min="18" max="18" width="42.109375" style="111" bestFit="1" customWidth="1"/>
    <col min="19" max="19" width="32.6640625" style="111" bestFit="1" customWidth="1"/>
    <col min="20" max="22" width="17.44140625" style="111" customWidth="1"/>
    <col min="23" max="23" width="15.5546875" style="111" customWidth="1"/>
    <col min="24" max="24" width="21" style="111" bestFit="1" customWidth="1"/>
    <col min="25" max="25" width="29.44140625" style="111" bestFit="1" customWidth="1"/>
    <col min="26" max="26" width="24.44140625" style="111" bestFit="1" customWidth="1"/>
    <col min="27" max="27" width="17.44140625" style="111" customWidth="1"/>
    <col min="28" max="28" width="7.109375" style="111" customWidth="1"/>
    <col min="29" max="29" width="29.33203125" style="111" customWidth="1"/>
    <col min="30" max="76" width="17.44140625" style="111" customWidth="1"/>
    <col min="77" max="16384" width="9.44140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30" t="s">
        <v>231</v>
      </c>
      <c r="C2" s="731"/>
      <c r="D2" s="731"/>
      <c r="E2" s="731"/>
      <c r="F2" s="731"/>
      <c r="G2" s="731"/>
      <c r="H2" s="674"/>
      <c r="I2" s="257">
        <f>SUM(I6:I168)</f>
        <v>5836403.2100000009</v>
      </c>
      <c r="J2" s="257">
        <f>SUM(J6:J168)</f>
        <v>6640297.8750170004</v>
      </c>
      <c r="L2" s="732" t="s">
        <v>232</v>
      </c>
      <c r="M2" s="733"/>
      <c r="N2" s="733"/>
      <c r="O2" s="733"/>
      <c r="P2" s="733"/>
      <c r="Q2" s="733"/>
      <c r="R2" s="737" t="s">
        <v>233</v>
      </c>
      <c r="S2" s="738"/>
      <c r="T2" s="738"/>
      <c r="U2" s="738"/>
      <c r="V2" s="738"/>
      <c r="W2" s="739"/>
      <c r="X2" s="478">
        <f>SUM(X6:X168)</f>
        <v>8076024.8235000009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234</v>
      </c>
      <c r="C4" s="259" t="s">
        <v>235</v>
      </c>
      <c r="D4" s="259" t="s">
        <v>236</v>
      </c>
      <c r="E4" s="259" t="s">
        <v>237</v>
      </c>
      <c r="F4" s="465" t="s">
        <v>238</v>
      </c>
      <c r="G4" s="260" t="s">
        <v>239</v>
      </c>
      <c r="H4" s="371" t="s">
        <v>240</v>
      </c>
      <c r="I4" s="261" t="s">
        <v>241</v>
      </c>
      <c r="J4" s="261" t="str">
        <f>IF(J2-'Revenue Tracking'!D4&gt;=0, "Total Revenue", "ERROR on REV" )</f>
        <v>ERROR on REV</v>
      </c>
      <c r="K4" s="164"/>
      <c r="L4" s="258" t="s">
        <v>234</v>
      </c>
      <c r="M4" s="259" t="s">
        <v>242</v>
      </c>
      <c r="N4" s="259" t="s">
        <v>236</v>
      </c>
      <c r="O4" s="259" t="s">
        <v>237</v>
      </c>
      <c r="P4" s="465" t="s">
        <v>238</v>
      </c>
      <c r="Q4" s="373" t="s">
        <v>243</v>
      </c>
      <c r="R4" s="620" t="s">
        <v>244</v>
      </c>
      <c r="S4" s="621" t="s">
        <v>177</v>
      </c>
      <c r="T4" s="371" t="s">
        <v>178</v>
      </c>
      <c r="U4" s="372" t="s">
        <v>245</v>
      </c>
      <c r="V4" s="373" t="s">
        <v>246</v>
      </c>
      <c r="W4" s="371" t="s">
        <v>240</v>
      </c>
      <c r="X4" s="480" t="s">
        <v>241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247</v>
      </c>
      <c r="D6" s="281" t="s">
        <v>248</v>
      </c>
      <c r="E6" s="282"/>
      <c r="F6" s="437"/>
      <c r="G6" s="391">
        <v>1222111.8400000001</v>
      </c>
      <c r="H6" s="570">
        <f>H13</f>
        <v>45926</v>
      </c>
      <c r="I6" s="734">
        <f>SUM(G6:G11)</f>
        <v>1222111.8400000001</v>
      </c>
      <c r="J6" s="734">
        <f>D169</f>
        <v>1492013.321</v>
      </c>
      <c r="K6" s="388"/>
      <c r="L6" s="280">
        <v>1</v>
      </c>
      <c r="M6" s="417" t="s">
        <v>249</v>
      </c>
      <c r="N6" s="281" t="s">
        <v>250</v>
      </c>
      <c r="O6" s="547">
        <v>770</v>
      </c>
      <c r="P6" s="437">
        <f>1.95*590</f>
        <v>1150.5</v>
      </c>
      <c r="Q6" s="391">
        <f>O6*P6</f>
        <v>885885</v>
      </c>
      <c r="R6" s="586" t="s">
        <v>251</v>
      </c>
      <c r="S6" s="623" t="s">
        <v>252</v>
      </c>
      <c r="T6" s="669">
        <v>45900</v>
      </c>
      <c r="U6" s="671">
        <v>1492013.321</v>
      </c>
      <c r="V6" s="721">
        <f>J6-SUM(U6:U11)</f>
        <v>0</v>
      </c>
      <c r="W6" s="687">
        <v>45954</v>
      </c>
      <c r="X6" s="718">
        <f>SUM(Q6:Q11)</f>
        <v>888586</v>
      </c>
      <c r="Y6" s="482"/>
    </row>
    <row r="7" spans="1:76" ht="15" customHeight="1">
      <c r="B7" s="310">
        <v>1</v>
      </c>
      <c r="C7" s="418"/>
      <c r="D7" s="389" t="s">
        <v>253</v>
      </c>
      <c r="E7" s="390"/>
      <c r="F7" s="459"/>
      <c r="G7" s="314"/>
      <c r="H7" s="571"/>
      <c r="I7" s="735"/>
      <c r="J7" s="735"/>
      <c r="K7" s="287"/>
      <c r="L7" s="310">
        <v>1</v>
      </c>
      <c r="M7" s="312" t="s">
        <v>249</v>
      </c>
      <c r="N7" s="389" t="s">
        <v>495</v>
      </c>
      <c r="O7" s="548">
        <v>2</v>
      </c>
      <c r="P7" s="444">
        <v>1150.5</v>
      </c>
      <c r="Q7" s="314">
        <f>O7*P7</f>
        <v>2301</v>
      </c>
      <c r="R7" s="587"/>
      <c r="S7" s="624" t="s">
        <v>497</v>
      </c>
      <c r="T7" s="640">
        <v>46081</v>
      </c>
      <c r="U7" s="651">
        <v>0</v>
      </c>
      <c r="V7" s="722"/>
      <c r="W7" s="571">
        <v>46118</v>
      </c>
      <c r="X7" s="719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35"/>
      <c r="J8" s="735"/>
      <c r="K8" s="287"/>
      <c r="L8" s="310">
        <v>1</v>
      </c>
      <c r="M8" s="312" t="s">
        <v>249</v>
      </c>
      <c r="N8" s="485" t="s">
        <v>496</v>
      </c>
      <c r="O8" s="549"/>
      <c r="P8" s="444"/>
      <c r="Q8" s="314">
        <v>400</v>
      </c>
      <c r="R8" s="587"/>
      <c r="S8" s="624" t="s">
        <v>497</v>
      </c>
      <c r="T8" s="640">
        <v>46081</v>
      </c>
      <c r="U8" s="651">
        <v>0</v>
      </c>
      <c r="V8" s="722"/>
      <c r="W8" s="571">
        <v>46118</v>
      </c>
      <c r="X8" s="719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35"/>
      <c r="J9" s="735"/>
      <c r="K9" s="287"/>
      <c r="L9" s="310">
        <v>1</v>
      </c>
      <c r="M9" s="312" t="s">
        <v>249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22"/>
      <c r="W9" s="572"/>
      <c r="X9" s="719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35"/>
      <c r="J10" s="735"/>
      <c r="K10" s="287"/>
      <c r="L10" s="310">
        <v>1</v>
      </c>
      <c r="M10" s="312" t="s">
        <v>249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22"/>
      <c r="W10" s="572"/>
      <c r="X10" s="719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36"/>
      <c r="J11" s="736"/>
      <c r="K11" s="288"/>
      <c r="L11" s="315">
        <v>1</v>
      </c>
      <c r="M11" s="419" t="s">
        <v>249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23"/>
      <c r="W11" s="573"/>
      <c r="X11" s="720"/>
      <c r="Y11" s="604" t="s">
        <v>254</v>
      </c>
      <c r="Z11" s="605" t="s">
        <v>255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256</v>
      </c>
      <c r="Z12" s="607">
        <f>G52</f>
        <v>567347.29</v>
      </c>
    </row>
    <row r="13" spans="1:76" ht="14.25" customHeight="1">
      <c r="B13" s="292">
        <v>2</v>
      </c>
      <c r="C13" s="318" t="s">
        <v>257</v>
      </c>
      <c r="D13" s="318" t="s">
        <v>258</v>
      </c>
      <c r="E13" s="364"/>
      <c r="F13" s="457"/>
      <c r="G13" s="295">
        <v>400000</v>
      </c>
      <c r="H13" s="575">
        <v>45926</v>
      </c>
      <c r="I13" s="740">
        <f>SUM(G13:G19)</f>
        <v>400000</v>
      </c>
      <c r="J13" s="740">
        <f>D170</f>
        <v>488339.37199999997</v>
      </c>
      <c r="K13" s="296"/>
      <c r="L13" s="292">
        <v>2</v>
      </c>
      <c r="M13" s="420" t="s">
        <v>259</v>
      </c>
      <c r="N13" s="318" t="s">
        <v>260</v>
      </c>
      <c r="O13" s="552">
        <v>4</v>
      </c>
      <c r="P13" s="457">
        <v>53700.89</v>
      </c>
      <c r="Q13" s="295">
        <f>O13*P13</f>
        <v>214803.56</v>
      </c>
      <c r="R13" s="743" t="s">
        <v>261</v>
      </c>
      <c r="S13" s="660" t="s">
        <v>262</v>
      </c>
      <c r="T13" s="657">
        <v>45869</v>
      </c>
      <c r="U13" s="664">
        <v>484689.4815102109</v>
      </c>
      <c r="V13" s="724">
        <f>J13-SUM(U13:U19)</f>
        <v>0</v>
      </c>
      <c r="W13" s="701">
        <v>45926</v>
      </c>
      <c r="X13" s="727">
        <f>SUM(Q13:Q19)</f>
        <v>216421.11</v>
      </c>
      <c r="Y13" s="606" t="s">
        <v>263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41"/>
      <c r="J14" s="741"/>
      <c r="K14" s="300"/>
      <c r="L14" s="297">
        <v>2</v>
      </c>
      <c r="M14" s="426" t="s">
        <v>259</v>
      </c>
      <c r="N14" s="408" t="s">
        <v>264</v>
      </c>
      <c r="O14" s="553"/>
      <c r="P14" s="453"/>
      <c r="Q14" s="477">
        <v>396.44</v>
      </c>
      <c r="R14" s="744"/>
      <c r="S14" s="660" t="s">
        <v>262</v>
      </c>
      <c r="T14" s="658">
        <v>45869</v>
      </c>
      <c r="U14" s="665">
        <v>894.53963449166304</v>
      </c>
      <c r="V14" s="725"/>
      <c r="W14" s="702">
        <f>W13</f>
        <v>45926</v>
      </c>
      <c r="X14" s="728"/>
      <c r="Y14" s="606" t="s">
        <v>265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41"/>
      <c r="J15" s="741"/>
      <c r="K15" s="300"/>
      <c r="L15" s="297">
        <v>2</v>
      </c>
      <c r="M15" s="426" t="s">
        <v>259</v>
      </c>
      <c r="N15" s="408" t="s">
        <v>266</v>
      </c>
      <c r="O15" s="553"/>
      <c r="P15" s="453"/>
      <c r="Q15" s="477">
        <v>1221.1099999999999</v>
      </c>
      <c r="R15" s="592"/>
      <c r="S15" s="660" t="s">
        <v>262</v>
      </c>
      <c r="T15" s="658">
        <v>45869</v>
      </c>
      <c r="U15" s="665">
        <v>2755.3508552974336</v>
      </c>
      <c r="V15" s="725"/>
      <c r="W15" s="702">
        <v>45926</v>
      </c>
      <c r="X15" s="728"/>
      <c r="Y15" s="606" t="s">
        <v>267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41"/>
      <c r="J16" s="741"/>
      <c r="K16" s="300"/>
      <c r="L16" s="297">
        <v>2</v>
      </c>
      <c r="M16" s="426" t="s">
        <v>259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25"/>
      <c r="W16" s="576"/>
      <c r="X16" s="728"/>
      <c r="Y16" s="606" t="s">
        <v>268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41"/>
      <c r="J17" s="741"/>
      <c r="K17" s="300"/>
      <c r="L17" s="297">
        <v>2</v>
      </c>
      <c r="M17" s="426" t="s">
        <v>259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25"/>
      <c r="W17" s="576"/>
      <c r="X17" s="728"/>
      <c r="Y17" s="606" t="s">
        <v>269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41"/>
      <c r="J18" s="741"/>
      <c r="K18" s="300"/>
      <c r="L18" s="297">
        <v>2</v>
      </c>
      <c r="M18" s="426" t="s">
        <v>259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25"/>
      <c r="W18" s="576"/>
      <c r="X18" s="728"/>
      <c r="Y18" s="606" t="s">
        <v>270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42"/>
      <c r="J19" s="742"/>
      <c r="K19" s="305"/>
      <c r="L19" s="395">
        <v>2</v>
      </c>
      <c r="M19" s="421" t="s">
        <v>259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26"/>
      <c r="W19" s="577"/>
      <c r="X19" s="729"/>
      <c r="Y19" s="606" t="s">
        <v>271</v>
      </c>
      <c r="Z19" s="607">
        <v>0</v>
      </c>
    </row>
    <row r="20" spans="1:30" ht="14.4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272</v>
      </c>
      <c r="D21" s="326" t="s">
        <v>273</v>
      </c>
      <c r="E21" s="282"/>
      <c r="F21" s="437"/>
      <c r="G21" s="283">
        <v>181584</v>
      </c>
      <c r="H21" s="537">
        <v>45899</v>
      </c>
      <c r="I21" s="734">
        <f>SUM(G21:G26)</f>
        <v>181584</v>
      </c>
      <c r="J21" s="734">
        <f>D171</f>
        <v>221686.54130000001</v>
      </c>
      <c r="K21" s="284"/>
      <c r="L21" s="280">
        <v>3</v>
      </c>
      <c r="M21" s="422" t="s">
        <v>274</v>
      </c>
      <c r="N21" s="326" t="s">
        <v>275</v>
      </c>
      <c r="O21" s="547"/>
      <c r="P21" s="437"/>
      <c r="Q21" s="283">
        <v>122040.5</v>
      </c>
      <c r="R21" s="594" t="s">
        <v>276</v>
      </c>
      <c r="S21" s="631" t="s">
        <v>277</v>
      </c>
      <c r="T21" s="655">
        <v>45869</v>
      </c>
      <c r="U21" s="666">
        <v>221686.54130000001</v>
      </c>
      <c r="V21" s="721">
        <f>J21-SUM(U21:U26)</f>
        <v>0</v>
      </c>
      <c r="W21" s="537">
        <v>45899</v>
      </c>
      <c r="X21" s="718">
        <f>SUM(Q21:Q26)</f>
        <v>123340.5</v>
      </c>
      <c r="Y21" s="606" t="s">
        <v>278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35"/>
      <c r="J22" s="735"/>
      <c r="K22" s="287"/>
      <c r="L22" s="310">
        <v>3</v>
      </c>
      <c r="M22" s="423" t="s">
        <v>274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22"/>
      <c r="W22" s="571"/>
      <c r="X22" s="719"/>
      <c r="Y22" s="606" t="s">
        <v>201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35"/>
      <c r="J23" s="735"/>
      <c r="K23" s="287"/>
      <c r="L23" s="310">
        <v>3</v>
      </c>
      <c r="M23" s="423" t="s">
        <v>274</v>
      </c>
      <c r="N23" s="327" t="s">
        <v>279</v>
      </c>
      <c r="O23" s="548"/>
      <c r="P23" s="459"/>
      <c r="Q23" s="314">
        <v>1300</v>
      </c>
      <c r="R23" s="587" t="s">
        <v>280</v>
      </c>
      <c r="S23" s="624"/>
      <c r="T23" s="518">
        <v>46081</v>
      </c>
      <c r="U23" s="651">
        <v>0</v>
      </c>
      <c r="V23" s="722"/>
      <c r="W23" s="571">
        <f>T23</f>
        <v>46081</v>
      </c>
      <c r="X23" s="719"/>
      <c r="Y23" s="606" t="s">
        <v>281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35"/>
      <c r="J24" s="735"/>
      <c r="K24" s="287"/>
      <c r="L24" s="310">
        <v>3</v>
      </c>
      <c r="M24" s="423" t="s">
        <v>274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22"/>
      <c r="W24" s="572"/>
      <c r="X24" s="719"/>
      <c r="Y24" s="611" t="s">
        <v>282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35"/>
      <c r="J25" s="735"/>
      <c r="K25" s="287"/>
      <c r="L25" s="310">
        <v>3</v>
      </c>
      <c r="M25" s="423" t="s">
        <v>274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22"/>
      <c r="W25" s="572"/>
      <c r="X25" s="719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36"/>
      <c r="J26" s="736"/>
      <c r="K26" s="288"/>
      <c r="L26" s="315">
        <v>3</v>
      </c>
      <c r="M26" s="424" t="s">
        <v>274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23"/>
      <c r="W26" s="573"/>
      <c r="X26" s="720"/>
      <c r="Y26" s="612" t="s">
        <v>283</v>
      </c>
      <c r="Z26" s="613" t="s">
        <v>284</v>
      </c>
      <c r="AC26" s="612" t="s">
        <v>285</v>
      </c>
      <c r="AD26" s="613" t="s">
        <v>284</v>
      </c>
    </row>
    <row r="27" spans="1:30" ht="14.4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256</v>
      </c>
      <c r="AD27" s="615">
        <v>267902.5</v>
      </c>
    </row>
    <row r="28" spans="1:30" ht="14.25" customHeight="1">
      <c r="B28" s="292">
        <v>4</v>
      </c>
      <c r="C28" s="293" t="s">
        <v>263</v>
      </c>
      <c r="D28" s="293" t="s">
        <v>286</v>
      </c>
      <c r="E28" s="364"/>
      <c r="F28" s="457"/>
      <c r="G28" s="295">
        <v>233240</v>
      </c>
      <c r="H28" s="575">
        <v>45900</v>
      </c>
      <c r="I28" s="740">
        <f>SUM(G28:G42)</f>
        <v>525691.6</v>
      </c>
      <c r="J28" s="740">
        <f>D172</f>
        <v>641789.76450000005</v>
      </c>
      <c r="K28" s="296"/>
      <c r="L28" s="292">
        <v>4</v>
      </c>
      <c r="M28" s="425" t="s">
        <v>287</v>
      </c>
      <c r="N28" s="293" t="s">
        <v>288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289</v>
      </c>
      <c r="T28" s="656">
        <v>45869</v>
      </c>
      <c r="U28" s="664">
        <v>308594.28851123527</v>
      </c>
      <c r="V28" s="724">
        <f>J28-SUM(U28:U42)</f>
        <v>0</v>
      </c>
      <c r="W28" s="701">
        <v>45900</v>
      </c>
      <c r="X28" s="727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290</v>
      </c>
      <c r="E29" s="394"/>
      <c r="F29" s="453"/>
      <c r="G29" s="545">
        <v>292451.59999999998</v>
      </c>
      <c r="H29" s="575">
        <v>45900</v>
      </c>
      <c r="I29" s="741"/>
      <c r="J29" s="741"/>
      <c r="K29" s="300"/>
      <c r="L29" s="297">
        <v>4</v>
      </c>
      <c r="M29" s="426" t="s">
        <v>287</v>
      </c>
      <c r="N29" s="408" t="s">
        <v>288</v>
      </c>
      <c r="O29" s="544">
        <v>9000</v>
      </c>
      <c r="P29" s="453">
        <v>14</v>
      </c>
      <c r="Q29" s="299">
        <f>O29*P29</f>
        <v>126000</v>
      </c>
      <c r="R29" s="592" t="s">
        <v>291</v>
      </c>
      <c r="S29" s="629" t="s">
        <v>292</v>
      </c>
      <c r="T29" s="645">
        <v>46053</v>
      </c>
      <c r="U29" s="828">
        <v>0</v>
      </c>
      <c r="V29" s="725"/>
      <c r="W29" s="576">
        <v>46081</v>
      </c>
      <c r="X29" s="728"/>
      <c r="Y29" s="614" t="str">
        <f t="shared" si="1"/>
        <v>AC Labour</v>
      </c>
      <c r="Z29" s="615">
        <v>136200</v>
      </c>
      <c r="AC29" s="614" t="s">
        <v>265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41"/>
      <c r="J30" s="741"/>
      <c r="K30" s="300"/>
      <c r="L30" s="297">
        <v>4</v>
      </c>
      <c r="M30" s="426" t="s">
        <v>287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25"/>
      <c r="W30" s="576"/>
      <c r="X30" s="728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41"/>
      <c r="J31" s="741"/>
      <c r="K31" s="300"/>
      <c r="L31" s="297">
        <v>4</v>
      </c>
      <c r="M31" s="426" t="s">
        <v>287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25"/>
      <c r="W31" s="576"/>
      <c r="X31" s="728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41"/>
      <c r="J32" s="741"/>
      <c r="K32" s="300"/>
      <c r="L32" s="297">
        <v>4</v>
      </c>
      <c r="M32" s="426" t="s">
        <v>287</v>
      </c>
      <c r="N32" s="408" t="s">
        <v>293</v>
      </c>
      <c r="O32" s="564">
        <f>Z28</f>
        <v>262372</v>
      </c>
      <c r="P32" s="565">
        <v>0.1</v>
      </c>
      <c r="Q32" s="299">
        <f>$O$32*P32</f>
        <v>26237.200000000001</v>
      </c>
      <c r="R32" s="745" t="s">
        <v>294</v>
      </c>
      <c r="S32" s="629" t="s">
        <v>295</v>
      </c>
      <c r="T32" s="645">
        <v>45869</v>
      </c>
      <c r="U32" s="665">
        <v>33319.547598876474</v>
      </c>
      <c r="V32" s="725"/>
      <c r="W32" s="536">
        <f>W95</f>
        <v>45883</v>
      </c>
      <c r="X32" s="728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41"/>
      <c r="J33" s="741"/>
      <c r="K33" s="300"/>
      <c r="L33" s="297">
        <v>4</v>
      </c>
      <c r="M33" s="426" t="s">
        <v>287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46"/>
      <c r="S33" s="629" t="s">
        <v>296</v>
      </c>
      <c r="T33" s="645">
        <v>45869</v>
      </c>
      <c r="U33" s="665">
        <v>49979.321398314707</v>
      </c>
      <c r="V33" s="725"/>
      <c r="W33" s="536">
        <v>45869</v>
      </c>
      <c r="X33" s="728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41"/>
      <c r="J34" s="741"/>
      <c r="K34" s="300"/>
      <c r="L34" s="297">
        <v>4</v>
      </c>
      <c r="M34" s="426" t="s">
        <v>287</v>
      </c>
      <c r="N34" s="408" t="s">
        <v>297</v>
      </c>
      <c r="O34" s="709"/>
      <c r="P34" s="565">
        <v>0.2</v>
      </c>
      <c r="Q34" s="299">
        <f t="shared" si="6"/>
        <v>52474.400000000001</v>
      </c>
      <c r="R34" s="746"/>
      <c r="S34" s="629" t="s">
        <v>298</v>
      </c>
      <c r="T34" s="645">
        <v>45900</v>
      </c>
      <c r="U34" s="665">
        <v>66639.095197752948</v>
      </c>
      <c r="V34" s="725"/>
      <c r="W34" s="702">
        <v>46009</v>
      </c>
      <c r="X34" s="728"/>
      <c r="Y34" s="614" t="s">
        <v>299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41"/>
      <c r="J35" s="741"/>
      <c r="K35" s="300"/>
      <c r="L35" s="297">
        <v>4</v>
      </c>
      <c r="M35" s="426" t="s">
        <v>287</v>
      </c>
      <c r="N35" s="408" t="s">
        <v>300</v>
      </c>
      <c r="O35" s="553"/>
      <c r="P35" s="565">
        <v>0.25</v>
      </c>
      <c r="Q35" s="299">
        <f t="shared" si="6"/>
        <v>65593</v>
      </c>
      <c r="R35" s="746"/>
      <c r="S35" s="629" t="s">
        <v>298</v>
      </c>
      <c r="T35" s="645">
        <v>45900</v>
      </c>
      <c r="U35" s="665">
        <v>83298.868997191181</v>
      </c>
      <c r="V35" s="725"/>
      <c r="W35" s="576">
        <f t="shared" ref="W35:W39" si="10">W98</f>
        <v>46080</v>
      </c>
      <c r="X35" s="728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41"/>
      <c r="J36" s="741"/>
      <c r="K36" s="300"/>
      <c r="L36" s="297">
        <v>4</v>
      </c>
      <c r="M36" s="426" t="s">
        <v>287</v>
      </c>
      <c r="N36" s="408" t="s">
        <v>186</v>
      </c>
      <c r="O36" s="553"/>
      <c r="P36" s="565">
        <v>0.1</v>
      </c>
      <c r="Q36" s="299">
        <f t="shared" si="6"/>
        <v>26237.200000000001</v>
      </c>
      <c r="R36" s="746"/>
      <c r="S36" s="629" t="s">
        <v>298</v>
      </c>
      <c r="T36" s="645">
        <v>45900</v>
      </c>
      <c r="U36" s="665">
        <v>33319.547598876474</v>
      </c>
      <c r="V36" s="725"/>
      <c r="W36" s="576">
        <f t="shared" si="10"/>
        <v>46085</v>
      </c>
      <c r="X36" s="728"/>
      <c r="Y36" s="614" t="s">
        <v>278</v>
      </c>
      <c r="Z36" s="615">
        <v>0</v>
      </c>
      <c r="AC36" s="614" t="s">
        <v>278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41"/>
      <c r="J37" s="741"/>
      <c r="K37" s="300"/>
      <c r="L37" s="297">
        <v>4</v>
      </c>
      <c r="M37" s="426" t="s">
        <v>287</v>
      </c>
      <c r="N37" s="408" t="s">
        <v>301</v>
      </c>
      <c r="O37" s="553"/>
      <c r="P37" s="565">
        <v>0.1</v>
      </c>
      <c r="Q37" s="299">
        <f t="shared" si="6"/>
        <v>26237.200000000001</v>
      </c>
      <c r="R37" s="746"/>
      <c r="S37" s="629" t="s">
        <v>298</v>
      </c>
      <c r="T37" s="645">
        <v>45900</v>
      </c>
      <c r="U37" s="665">
        <v>33319.547598876474</v>
      </c>
      <c r="V37" s="725"/>
      <c r="W37" s="576">
        <f t="shared" si="10"/>
        <v>46090</v>
      </c>
      <c r="X37" s="728"/>
      <c r="Y37" s="614" t="s">
        <v>278</v>
      </c>
      <c r="Z37" s="616">
        <v>0</v>
      </c>
      <c r="AC37" s="614" t="s">
        <v>278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41"/>
      <c r="J38" s="741"/>
      <c r="K38" s="300"/>
      <c r="L38" s="297">
        <v>4</v>
      </c>
      <c r="M38" s="426" t="s">
        <v>287</v>
      </c>
      <c r="N38" s="408" t="s">
        <v>302</v>
      </c>
      <c r="O38" s="553"/>
      <c r="P38" s="565">
        <v>0.05</v>
      </c>
      <c r="Q38" s="299">
        <f t="shared" si="6"/>
        <v>13118.6</v>
      </c>
      <c r="R38" s="746"/>
      <c r="S38" s="629" t="s">
        <v>298</v>
      </c>
      <c r="T38" s="645">
        <v>45900</v>
      </c>
      <c r="U38" s="665">
        <v>16659.773799438237</v>
      </c>
      <c r="V38" s="725"/>
      <c r="W38" s="576">
        <f t="shared" si="10"/>
        <v>46090</v>
      </c>
      <c r="X38" s="728"/>
      <c r="Y38" s="614" t="s">
        <v>201</v>
      </c>
      <c r="Z38" s="615">
        <f>SUM(Z27:Z37)</f>
        <v>1125159.5</v>
      </c>
      <c r="AC38" s="614" t="s">
        <v>201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41"/>
      <c r="J39" s="741"/>
      <c r="K39" s="300"/>
      <c r="L39" s="297">
        <v>4</v>
      </c>
      <c r="M39" s="426" t="s">
        <v>287</v>
      </c>
      <c r="N39" s="408" t="s">
        <v>303</v>
      </c>
      <c r="O39" s="553"/>
      <c r="P39" s="565">
        <v>0.05</v>
      </c>
      <c r="Q39" s="299">
        <f t="shared" si="6"/>
        <v>13118.6</v>
      </c>
      <c r="R39" s="747"/>
      <c r="S39" s="629" t="s">
        <v>298</v>
      </c>
      <c r="T39" s="645">
        <v>45900</v>
      </c>
      <c r="U39" s="665">
        <v>16659.773799438237</v>
      </c>
      <c r="V39" s="725"/>
      <c r="W39" s="576">
        <f t="shared" si="10"/>
        <v>46113</v>
      </c>
      <c r="X39" s="728"/>
      <c r="Y39" s="617" t="s">
        <v>282</v>
      </c>
      <c r="Z39" s="616">
        <f>Z38/'Project Plan'!$E$3/1000</f>
        <v>2.4783248898678414</v>
      </c>
      <c r="AC39" s="617" t="s">
        <v>282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41"/>
      <c r="J40" s="741"/>
      <c r="K40" s="300"/>
      <c r="L40" s="297">
        <v>4</v>
      </c>
      <c r="M40" s="426" t="s">
        <v>287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25"/>
      <c r="W40" s="576"/>
      <c r="X40" s="728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41"/>
      <c r="J41" s="741"/>
      <c r="K41" s="300"/>
      <c r="L41" s="297">
        <v>4</v>
      </c>
      <c r="M41" s="426" t="s">
        <v>287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25"/>
      <c r="W41" s="576"/>
      <c r="X41" s="728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42"/>
      <c r="J42" s="742"/>
      <c r="K42" s="305"/>
      <c r="L42" s="301">
        <v>4</v>
      </c>
      <c r="M42" s="427" t="s">
        <v>287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26"/>
      <c r="W42" s="577"/>
      <c r="X42" s="729"/>
      <c r="Y42" s="482"/>
      <c r="Z42" s="652"/>
    </row>
    <row r="43" spans="1:30" ht="14.4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304</v>
      </c>
      <c r="D44" s="326" t="s">
        <v>305</v>
      </c>
      <c r="E44" s="282"/>
      <c r="F44" s="437"/>
      <c r="G44" s="283">
        <f>174000-G45</f>
        <v>159000</v>
      </c>
      <c r="H44" s="661">
        <v>45866</v>
      </c>
      <c r="I44" s="734">
        <f>SUM(G44:G50)</f>
        <v>174000</v>
      </c>
      <c r="J44" s="734">
        <f>D174</f>
        <v>212427.6268</v>
      </c>
      <c r="K44" s="284"/>
      <c r="L44" s="280">
        <v>5</v>
      </c>
      <c r="M44" s="422" t="s">
        <v>306</v>
      </c>
      <c r="N44" s="326" t="s">
        <v>307</v>
      </c>
      <c r="O44" s="547"/>
      <c r="P44" s="437"/>
      <c r="Q44" s="283">
        <v>36324.44</v>
      </c>
      <c r="R44" s="594" t="s">
        <v>308</v>
      </c>
      <c r="S44" s="631"/>
      <c r="T44" s="525">
        <v>46081</v>
      </c>
      <c r="U44" s="510">
        <f>(Q44/$X$44*$J$44)-14643.56</f>
        <v>47453.8580247629</v>
      </c>
      <c r="V44" s="721">
        <f>J44-SUM(U44:U50)</f>
        <v>1021.3366127788613</v>
      </c>
      <c r="W44" s="578">
        <f>T44+30</f>
        <v>46111</v>
      </c>
      <c r="X44" s="718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309</v>
      </c>
      <c r="E45" s="451"/>
      <c r="F45" s="452"/>
      <c r="G45" s="314">
        <v>15000</v>
      </c>
      <c r="H45" s="661">
        <v>45867</v>
      </c>
      <c r="I45" s="735"/>
      <c r="J45" s="735"/>
      <c r="K45" s="287"/>
      <c r="L45" s="285">
        <v>5</v>
      </c>
      <c r="M45" s="428" t="s">
        <v>306</v>
      </c>
      <c r="N45" s="286" t="s">
        <v>310</v>
      </c>
      <c r="O45" s="555"/>
      <c r="P45" s="452"/>
      <c r="Q45" s="314">
        <v>22768</v>
      </c>
      <c r="R45" s="587" t="s">
        <v>311</v>
      </c>
      <c r="S45" s="624" t="s">
        <v>312</v>
      </c>
      <c r="T45" s="640">
        <v>45838</v>
      </c>
      <c r="U45" s="651">
        <v>41886.51580509232</v>
      </c>
      <c r="V45" s="722"/>
      <c r="W45" s="661">
        <v>45867</v>
      </c>
      <c r="X45" s="719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35"/>
      <c r="J46" s="735"/>
      <c r="K46" s="287"/>
      <c r="L46" s="285">
        <v>5</v>
      </c>
      <c r="M46" s="428" t="s">
        <v>306</v>
      </c>
      <c r="N46" s="312" t="s">
        <v>313</v>
      </c>
      <c r="O46" s="548"/>
      <c r="P46" s="459"/>
      <c r="Q46" s="314">
        <v>11169</v>
      </c>
      <c r="R46" s="587"/>
      <c r="S46" s="624" t="s">
        <v>314</v>
      </c>
      <c r="T46" s="640">
        <v>45869</v>
      </c>
      <c r="U46" s="651">
        <v>20823.825129055531</v>
      </c>
      <c r="V46" s="722"/>
      <c r="W46" s="534">
        <v>45869</v>
      </c>
      <c r="X46" s="719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35"/>
      <c r="J47" s="735"/>
      <c r="K47" s="287"/>
      <c r="L47" s="310">
        <v>5</v>
      </c>
      <c r="M47" s="428" t="s">
        <v>306</v>
      </c>
      <c r="N47" s="312" t="s">
        <v>315</v>
      </c>
      <c r="O47" s="548"/>
      <c r="P47" s="459"/>
      <c r="Q47" s="314">
        <v>54000</v>
      </c>
      <c r="R47" s="587" t="s">
        <v>316</v>
      </c>
      <c r="S47" s="624" t="s">
        <v>317</v>
      </c>
      <c r="T47" s="640">
        <v>45869</v>
      </c>
      <c r="U47" s="651">
        <v>101242.09122831037</v>
      </c>
      <c r="V47" s="722"/>
      <c r="W47" s="534">
        <v>45900</v>
      </c>
      <c r="X47" s="719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35"/>
      <c r="J48" s="735"/>
      <c r="K48" s="287"/>
      <c r="L48" s="310">
        <v>5</v>
      </c>
      <c r="M48" s="428" t="s">
        <v>306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22"/>
      <c r="W48" s="704"/>
      <c r="X48" s="719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35"/>
      <c r="J49" s="735"/>
      <c r="K49" s="287"/>
      <c r="L49" s="310">
        <v>5</v>
      </c>
      <c r="M49" s="428" t="s">
        <v>306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22"/>
      <c r="W49" s="572"/>
      <c r="X49" s="719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36"/>
      <c r="J50" s="736"/>
      <c r="K50" s="288"/>
      <c r="L50" s="315">
        <v>5</v>
      </c>
      <c r="M50" s="424" t="s">
        <v>306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23"/>
      <c r="W50" s="573"/>
      <c r="X50" s="720"/>
      <c r="Y50" s="482"/>
    </row>
    <row r="51" spans="1:25" ht="14.4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256</v>
      </c>
      <c r="D52" s="294" t="s">
        <v>318</v>
      </c>
      <c r="E52" s="475"/>
      <c r="F52" s="457"/>
      <c r="G52" s="295">
        <v>567347.29</v>
      </c>
      <c r="H52" s="575">
        <v>45900</v>
      </c>
      <c r="I52" s="740">
        <f>SUM(G52:G64)</f>
        <v>567347.29</v>
      </c>
      <c r="J52" s="740">
        <f>D173</f>
        <v>692645.04460000002</v>
      </c>
      <c r="K52" s="296"/>
      <c r="L52" s="292">
        <v>6</v>
      </c>
      <c r="M52" s="431" t="s">
        <v>319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24">
        <f>J52-SUM(U52:U64)</f>
        <v>0</v>
      </c>
      <c r="W52" s="575"/>
      <c r="X52" s="727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41"/>
      <c r="J53" s="741"/>
      <c r="K53" s="300"/>
      <c r="L53" s="297">
        <v>6</v>
      </c>
      <c r="M53" s="429" t="s">
        <v>319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25"/>
      <c r="W53" s="576"/>
      <c r="X53" s="728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41"/>
      <c r="J54" s="741"/>
      <c r="K54" s="300"/>
      <c r="L54" s="297">
        <v>6</v>
      </c>
      <c r="M54" s="429" t="s">
        <v>319</v>
      </c>
      <c r="N54" s="408" t="s">
        <v>293</v>
      </c>
      <c r="O54" s="564">
        <f>Z27</f>
        <v>235040</v>
      </c>
      <c r="P54" s="565">
        <v>0.1</v>
      </c>
      <c r="Q54" s="299">
        <f>$O$54*P54</f>
        <v>23504</v>
      </c>
      <c r="R54" s="745"/>
      <c r="S54" s="629" t="s">
        <v>295</v>
      </c>
      <c r="T54" s="645">
        <f t="shared" ref="T54:T61" si="11">T32</f>
        <v>45869</v>
      </c>
      <c r="U54" s="665">
        <v>69264.504460000011</v>
      </c>
      <c r="V54" s="725"/>
      <c r="W54" s="536">
        <f>W95</f>
        <v>45883</v>
      </c>
      <c r="X54" s="728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41"/>
      <c r="J55" s="741"/>
      <c r="K55" s="300"/>
      <c r="L55" s="297">
        <v>6</v>
      </c>
      <c r="M55" s="430" t="s">
        <v>319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46"/>
      <c r="S55" s="629" t="s">
        <v>296</v>
      </c>
      <c r="T55" s="645">
        <f>T33</f>
        <v>45869</v>
      </c>
      <c r="U55" s="665">
        <v>103896.75668999999</v>
      </c>
      <c r="V55" s="725"/>
      <c r="W55" s="536">
        <f t="shared" ref="W55:W61" si="14">W96</f>
        <v>45869</v>
      </c>
      <c r="X55" s="728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41"/>
      <c r="J56" s="741"/>
      <c r="K56" s="300"/>
      <c r="L56" s="297">
        <v>6</v>
      </c>
      <c r="M56" s="430" t="s">
        <v>319</v>
      </c>
      <c r="N56" s="408" t="s">
        <v>297</v>
      </c>
      <c r="O56" s="553"/>
      <c r="P56" s="565">
        <v>0.2</v>
      </c>
      <c r="Q56" s="299">
        <f t="shared" si="13"/>
        <v>47008</v>
      </c>
      <c r="R56" s="746"/>
      <c r="S56" s="629" t="s">
        <v>298</v>
      </c>
      <c r="T56" s="645">
        <f t="shared" si="11"/>
        <v>45900</v>
      </c>
      <c r="U56" s="665">
        <v>138529.00892000002</v>
      </c>
      <c r="V56" s="725"/>
      <c r="W56" s="702">
        <v>46009</v>
      </c>
      <c r="X56" s="728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41"/>
      <c r="J57" s="741"/>
      <c r="K57" s="300"/>
      <c r="L57" s="297">
        <v>6</v>
      </c>
      <c r="M57" s="430" t="s">
        <v>319</v>
      </c>
      <c r="N57" s="408" t="s">
        <v>300</v>
      </c>
      <c r="O57" s="553"/>
      <c r="P57" s="565">
        <v>0.25</v>
      </c>
      <c r="Q57" s="299">
        <f t="shared" si="13"/>
        <v>58760</v>
      </c>
      <c r="R57" s="746"/>
      <c r="S57" s="629" t="s">
        <v>298</v>
      </c>
      <c r="T57" s="645">
        <f t="shared" si="11"/>
        <v>45900</v>
      </c>
      <c r="U57" s="665">
        <v>173161.26115000001</v>
      </c>
      <c r="V57" s="725"/>
      <c r="W57" s="576">
        <f t="shared" si="14"/>
        <v>46080</v>
      </c>
      <c r="X57" s="728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41"/>
      <c r="J58" s="741"/>
      <c r="K58" s="300"/>
      <c r="L58" s="297">
        <v>6</v>
      </c>
      <c r="M58" s="430" t="s">
        <v>319</v>
      </c>
      <c r="N58" s="408" t="s">
        <v>186</v>
      </c>
      <c r="O58" s="553"/>
      <c r="P58" s="565">
        <v>0.1</v>
      </c>
      <c r="Q58" s="299">
        <f t="shared" si="13"/>
        <v>23504</v>
      </c>
      <c r="R58" s="746"/>
      <c r="S58" s="629" t="s">
        <v>298</v>
      </c>
      <c r="T58" s="645">
        <f t="shared" si="11"/>
        <v>45900</v>
      </c>
      <c r="U58" s="665">
        <v>69264.504460000011</v>
      </c>
      <c r="V58" s="725"/>
      <c r="W58" s="576">
        <f t="shared" si="14"/>
        <v>46085</v>
      </c>
      <c r="X58" s="728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41"/>
      <c r="J59" s="741"/>
      <c r="K59" s="300"/>
      <c r="L59" s="297">
        <v>6</v>
      </c>
      <c r="M59" s="430" t="s">
        <v>319</v>
      </c>
      <c r="N59" s="408" t="s">
        <v>301</v>
      </c>
      <c r="O59" s="553"/>
      <c r="P59" s="565">
        <v>0.1</v>
      </c>
      <c r="Q59" s="299">
        <f t="shared" si="13"/>
        <v>23504</v>
      </c>
      <c r="R59" s="746"/>
      <c r="S59" s="633" t="s">
        <v>298</v>
      </c>
      <c r="T59" s="645">
        <f t="shared" si="11"/>
        <v>45900</v>
      </c>
      <c r="U59" s="672">
        <v>69264.504460000011</v>
      </c>
      <c r="V59" s="725"/>
      <c r="W59" s="576">
        <f t="shared" si="14"/>
        <v>46090</v>
      </c>
      <c r="X59" s="728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41"/>
      <c r="J60" s="741"/>
      <c r="K60" s="300"/>
      <c r="L60" s="297">
        <v>6</v>
      </c>
      <c r="M60" s="430" t="s">
        <v>319</v>
      </c>
      <c r="N60" s="408" t="s">
        <v>302</v>
      </c>
      <c r="O60" s="553"/>
      <c r="P60" s="565">
        <v>0.05</v>
      </c>
      <c r="Q60" s="299">
        <f t="shared" si="13"/>
        <v>11752</v>
      </c>
      <c r="R60" s="746"/>
      <c r="S60" s="633" t="s">
        <v>298</v>
      </c>
      <c r="T60" s="645">
        <f t="shared" si="11"/>
        <v>45900</v>
      </c>
      <c r="U60" s="672">
        <v>34632.252230000006</v>
      </c>
      <c r="V60" s="725"/>
      <c r="W60" s="576">
        <f t="shared" si="14"/>
        <v>46090</v>
      </c>
      <c r="X60" s="728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41"/>
      <c r="J61" s="741"/>
      <c r="K61" s="300"/>
      <c r="L61" s="297">
        <v>6</v>
      </c>
      <c r="M61" s="430" t="s">
        <v>319</v>
      </c>
      <c r="N61" s="408" t="s">
        <v>303</v>
      </c>
      <c r="O61" s="553"/>
      <c r="P61" s="565">
        <v>0.05</v>
      </c>
      <c r="Q61" s="299">
        <f t="shared" si="13"/>
        <v>11752</v>
      </c>
      <c r="R61" s="747"/>
      <c r="S61" s="633" t="s">
        <v>298</v>
      </c>
      <c r="T61" s="645">
        <f t="shared" si="11"/>
        <v>45900</v>
      </c>
      <c r="U61" s="672">
        <v>34632.252230000006</v>
      </c>
      <c r="V61" s="725"/>
      <c r="W61" s="576">
        <f t="shared" si="14"/>
        <v>46113</v>
      </c>
      <c r="X61" s="728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41"/>
      <c r="J62" s="741"/>
      <c r="K62" s="300"/>
      <c r="L62" s="297">
        <v>6</v>
      </c>
      <c r="M62" s="430" t="s">
        <v>319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25"/>
      <c r="W62" s="579"/>
      <c r="X62" s="728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41"/>
      <c r="J63" s="741"/>
      <c r="K63" s="300"/>
      <c r="L63" s="297">
        <v>6</v>
      </c>
      <c r="M63" s="430" t="s">
        <v>319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25"/>
      <c r="W63" s="579"/>
      <c r="X63" s="728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42"/>
      <c r="J64" s="742"/>
      <c r="K64" s="305"/>
      <c r="L64" s="301">
        <v>6</v>
      </c>
      <c r="M64" s="432" t="s">
        <v>319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26"/>
      <c r="W64" s="577"/>
      <c r="X64" s="729"/>
      <c r="Y64" s="482"/>
    </row>
    <row r="65" spans="1:25" ht="14.4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320</v>
      </c>
      <c r="D66" s="381"/>
      <c r="E66" s="462"/>
      <c r="F66" s="468"/>
      <c r="G66" s="382"/>
      <c r="H66" s="581"/>
      <c r="I66" s="734">
        <f>SUM(G66:G73)</f>
        <v>0</v>
      </c>
      <c r="J66" s="734">
        <v>0</v>
      </c>
      <c r="K66" s="284"/>
      <c r="L66" s="380">
        <v>7</v>
      </c>
      <c r="M66" s="308" t="s">
        <v>321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48">
        <f>J66-SUM(U66:U73)</f>
        <v>0</v>
      </c>
      <c r="W66" s="581"/>
      <c r="X66" s="718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35"/>
      <c r="J67" s="735"/>
      <c r="K67" s="287"/>
      <c r="L67" s="383">
        <v>7</v>
      </c>
      <c r="M67" s="384" t="s">
        <v>321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49"/>
      <c r="W67" s="572"/>
      <c r="X67" s="719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35"/>
      <c r="J68" s="735"/>
      <c r="K68" s="287"/>
      <c r="L68" s="383">
        <v>7</v>
      </c>
      <c r="M68" s="384" t="s">
        <v>321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49"/>
      <c r="W68" s="572"/>
      <c r="X68" s="719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35"/>
      <c r="J69" s="735"/>
      <c r="K69" s="287"/>
      <c r="L69" s="383">
        <v>7</v>
      </c>
      <c r="M69" s="384" t="s">
        <v>321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49"/>
      <c r="W69" s="572"/>
      <c r="X69" s="719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35"/>
      <c r="J70" s="735"/>
      <c r="K70" s="287"/>
      <c r="L70" s="383">
        <v>7</v>
      </c>
      <c r="M70" s="384" t="s">
        <v>321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49"/>
      <c r="W70" s="572"/>
      <c r="X70" s="719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35"/>
      <c r="J71" s="735"/>
      <c r="K71" s="287"/>
      <c r="L71" s="383">
        <v>7</v>
      </c>
      <c r="M71" s="384" t="s">
        <v>321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49"/>
      <c r="W71" s="572"/>
      <c r="X71" s="719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35"/>
      <c r="J72" s="735"/>
      <c r="K72" s="287"/>
      <c r="L72" s="383">
        <v>7</v>
      </c>
      <c r="M72" s="384" t="s">
        <v>321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49"/>
      <c r="W72" s="572"/>
      <c r="X72" s="719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36"/>
      <c r="J73" s="736"/>
      <c r="K73" s="288"/>
      <c r="L73" s="315">
        <v>7</v>
      </c>
      <c r="M73" s="336" t="s">
        <v>321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50"/>
      <c r="W73" s="573"/>
      <c r="X73" s="720"/>
      <c r="Y73" s="482"/>
    </row>
    <row r="74" spans="1:25" ht="14.4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322</v>
      </c>
      <c r="D75" s="332"/>
      <c r="E75" s="463"/>
      <c r="F75" s="416"/>
      <c r="G75" s="333"/>
      <c r="H75" s="575"/>
      <c r="I75" s="740">
        <f>SUM(G75:G92)</f>
        <v>2000000</v>
      </c>
      <c r="J75" s="740">
        <v>2000000</v>
      </c>
      <c r="K75" s="296"/>
      <c r="L75" s="331">
        <v>8</v>
      </c>
      <c r="M75" s="425" t="s">
        <v>323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66">
        <f>J75-SUM(U75:U92)</f>
        <v>-1993368.6954089673</v>
      </c>
      <c r="W75" s="575"/>
      <c r="X75" s="727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41"/>
      <c r="J76" s="741"/>
      <c r="K76" s="300"/>
      <c r="L76" s="321">
        <v>8</v>
      </c>
      <c r="M76" s="433" t="s">
        <v>323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67"/>
      <c r="W76" s="576"/>
      <c r="X76" s="728"/>
      <c r="Y76" s="482"/>
    </row>
    <row r="77" spans="1:25" ht="14.25" customHeight="1">
      <c r="B77" s="321">
        <v>8</v>
      </c>
      <c r="C77" s="322"/>
      <c r="D77" s="334" t="s">
        <v>324</v>
      </c>
      <c r="E77" s="415"/>
      <c r="F77" s="461"/>
      <c r="G77" s="323">
        <v>2000000</v>
      </c>
      <c r="H77" s="536">
        <v>45792</v>
      </c>
      <c r="I77" s="741"/>
      <c r="J77" s="741"/>
      <c r="K77" s="300"/>
      <c r="L77" s="321">
        <v>8</v>
      </c>
      <c r="M77" s="433" t="s">
        <v>323</v>
      </c>
      <c r="N77" s="334" t="s">
        <v>325</v>
      </c>
      <c r="O77" s="556"/>
      <c r="P77" s="461">
        <v>2642000</v>
      </c>
      <c r="Q77" s="323">
        <v>1329750</v>
      </c>
      <c r="R77" s="745" t="s">
        <v>326</v>
      </c>
      <c r="S77" s="629" t="s">
        <v>327</v>
      </c>
      <c r="T77" s="645">
        <v>45808</v>
      </c>
      <c r="U77" s="665">
        <v>1027779.9272249884</v>
      </c>
      <c r="V77" s="767"/>
      <c r="W77" s="536">
        <v>45792</v>
      </c>
      <c r="X77" s="728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41"/>
      <c r="J78" s="741"/>
      <c r="K78" s="300"/>
      <c r="L78" s="321">
        <v>8</v>
      </c>
      <c r="M78" s="433" t="s">
        <v>323</v>
      </c>
      <c r="N78" s="334"/>
      <c r="O78" s="556"/>
      <c r="P78" s="461"/>
      <c r="Q78" s="323"/>
      <c r="R78" s="747"/>
      <c r="S78" s="629"/>
      <c r="T78" s="523"/>
      <c r="U78" s="665">
        <v>0</v>
      </c>
      <c r="V78" s="767"/>
      <c r="W78" s="576"/>
      <c r="X78" s="728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41"/>
      <c r="J79" s="741"/>
      <c r="K79" s="300"/>
      <c r="L79" s="321">
        <v>8</v>
      </c>
      <c r="M79" s="433" t="s">
        <v>323</v>
      </c>
      <c r="N79" s="334" t="s">
        <v>328</v>
      </c>
      <c r="O79" s="556"/>
      <c r="P79" s="461"/>
      <c r="Q79" s="323">
        <v>-1329750</v>
      </c>
      <c r="R79" s="592"/>
      <c r="S79" s="629" t="s">
        <v>329</v>
      </c>
      <c r="T79" s="645">
        <v>45808</v>
      </c>
      <c r="U79" s="665">
        <v>-1027779.9272249884</v>
      </c>
      <c r="V79" s="767"/>
      <c r="W79" s="536">
        <v>45805</v>
      </c>
      <c r="X79" s="728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41"/>
      <c r="J80" s="741"/>
      <c r="K80" s="300"/>
      <c r="L80" s="321">
        <v>8</v>
      </c>
      <c r="M80" s="433" t="s">
        <v>323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67"/>
      <c r="W80" s="576"/>
      <c r="X80" s="728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41"/>
      <c r="J81" s="741"/>
      <c r="K81" s="300"/>
      <c r="L81" s="321">
        <v>8</v>
      </c>
      <c r="M81" s="433" t="s">
        <v>323</v>
      </c>
      <c r="N81" s="334" t="s">
        <v>325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330</v>
      </c>
      <c r="T81" s="645">
        <v>45869</v>
      </c>
      <c r="U81" s="665">
        <v>471698.11320754717</v>
      </c>
      <c r="V81" s="767"/>
      <c r="W81" s="536">
        <v>45869</v>
      </c>
      <c r="X81" s="728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41"/>
      <c r="J82" s="741"/>
      <c r="K82" s="300"/>
      <c r="L82" s="321">
        <v>8</v>
      </c>
      <c r="M82" s="433" t="s">
        <v>323</v>
      </c>
      <c r="N82" s="334" t="s">
        <v>331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330</v>
      </c>
      <c r="T82" s="663">
        <v>45900</v>
      </c>
      <c r="U82" s="672">
        <v>341245.41130984924</v>
      </c>
      <c r="V82" s="767"/>
      <c r="W82" s="538">
        <v>45869</v>
      </c>
      <c r="X82" s="728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41"/>
      <c r="J83" s="741"/>
      <c r="K83" s="300"/>
      <c r="L83" s="321">
        <v>8</v>
      </c>
      <c r="M83" s="433" t="s">
        <v>323</v>
      </c>
      <c r="N83" s="334" t="s">
        <v>331</v>
      </c>
      <c r="O83" s="556"/>
      <c r="P83" s="648">
        <v>0.15</v>
      </c>
      <c r="Q83" s="323">
        <f t="shared" si="16"/>
        <v>375000</v>
      </c>
      <c r="R83" s="596"/>
      <c r="S83" s="633" t="s">
        <v>330</v>
      </c>
      <c r="T83" s="663">
        <v>45900</v>
      </c>
      <c r="U83" s="672">
        <v>341045.40130984923</v>
      </c>
      <c r="V83" s="767"/>
      <c r="W83" s="538">
        <v>45869</v>
      </c>
      <c r="X83" s="728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41"/>
      <c r="J84" s="741"/>
      <c r="K84" s="300"/>
      <c r="L84" s="321">
        <v>8</v>
      </c>
      <c r="M84" s="433" t="s">
        <v>323</v>
      </c>
      <c r="N84" s="334" t="s">
        <v>331</v>
      </c>
      <c r="O84" s="556"/>
      <c r="P84" s="648">
        <v>0.15</v>
      </c>
      <c r="Q84" s="323">
        <f t="shared" si="16"/>
        <v>375000</v>
      </c>
      <c r="R84" s="670"/>
      <c r="S84" s="633" t="s">
        <v>330</v>
      </c>
      <c r="T84" s="663">
        <v>45900</v>
      </c>
      <c r="U84" s="672">
        <v>163720.25130984926</v>
      </c>
      <c r="V84" s="767"/>
      <c r="W84" s="538">
        <v>45869</v>
      </c>
      <c r="X84" s="728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41"/>
      <c r="J85" s="741"/>
      <c r="K85" s="300"/>
      <c r="L85" s="321">
        <v>8</v>
      </c>
      <c r="M85" s="433" t="s">
        <v>323</v>
      </c>
      <c r="N85" s="334" t="s">
        <v>332</v>
      </c>
      <c r="O85" s="556"/>
      <c r="P85" s="648">
        <v>0.3</v>
      </c>
      <c r="Q85" s="323">
        <f t="shared" si="16"/>
        <v>750000</v>
      </c>
      <c r="R85" s="596"/>
      <c r="S85" s="633" t="s">
        <v>330</v>
      </c>
      <c r="T85" s="663">
        <v>45900</v>
      </c>
      <c r="U85" s="672">
        <v>682290.82261969848</v>
      </c>
      <c r="V85" s="767"/>
      <c r="W85" s="538">
        <v>45869</v>
      </c>
      <c r="X85" s="728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41"/>
      <c r="J86" s="741"/>
      <c r="K86" s="300"/>
      <c r="L86" s="321">
        <v>8</v>
      </c>
      <c r="M86" s="433" t="s">
        <v>323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67"/>
      <c r="W86" s="579"/>
      <c r="X86" s="728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41"/>
      <c r="J87" s="741"/>
      <c r="K87" s="300"/>
      <c r="L87" s="321">
        <v>8</v>
      </c>
      <c r="M87" s="433" t="s">
        <v>323</v>
      </c>
      <c r="N87" s="334" t="s">
        <v>333</v>
      </c>
      <c r="O87" s="653">
        <v>120203.36</v>
      </c>
      <c r="P87" s="654">
        <v>0.5</v>
      </c>
      <c r="Q87" s="323">
        <f>O87*P87</f>
        <v>60101.68</v>
      </c>
      <c r="R87" s="745" t="s">
        <v>334</v>
      </c>
      <c r="S87" s="633" t="s">
        <v>335</v>
      </c>
      <c r="T87" s="673">
        <v>45961</v>
      </c>
      <c r="U87" s="512">
        <v>0</v>
      </c>
      <c r="V87" s="767"/>
      <c r="W87" s="538">
        <v>45954</v>
      </c>
      <c r="X87" s="728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41"/>
      <c r="J88" s="741"/>
      <c r="K88" s="300"/>
      <c r="L88" s="321">
        <v>8</v>
      </c>
      <c r="M88" s="433" t="s">
        <v>323</v>
      </c>
      <c r="N88" s="334"/>
      <c r="O88" s="556"/>
      <c r="P88" s="648">
        <v>0.5</v>
      </c>
      <c r="Q88" s="323">
        <f>O87*P88</f>
        <v>60101.68</v>
      </c>
      <c r="R88" s="747"/>
      <c r="S88" s="633" t="s">
        <v>335</v>
      </c>
      <c r="T88" s="673">
        <v>45961</v>
      </c>
      <c r="U88" s="512">
        <v>0</v>
      </c>
      <c r="V88" s="767"/>
      <c r="W88" s="703">
        <f>W87+14</f>
        <v>45968</v>
      </c>
      <c r="X88" s="728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41"/>
      <c r="J89" s="741"/>
      <c r="K89" s="300"/>
      <c r="L89" s="321">
        <v>8</v>
      </c>
      <c r="M89" s="433" t="s">
        <v>323</v>
      </c>
      <c r="N89" s="334" t="s">
        <v>336</v>
      </c>
      <c r="O89" s="556"/>
      <c r="P89" s="461"/>
      <c r="Q89" s="323">
        <v>975</v>
      </c>
      <c r="R89" s="596"/>
      <c r="S89" s="633" t="s">
        <v>337</v>
      </c>
      <c r="T89" s="673">
        <v>45930</v>
      </c>
      <c r="U89" s="512">
        <v>0</v>
      </c>
      <c r="V89" s="767"/>
      <c r="W89" s="703">
        <v>45939</v>
      </c>
      <c r="X89" s="728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41"/>
      <c r="J90" s="741"/>
      <c r="K90" s="300"/>
      <c r="L90" s="321">
        <v>8</v>
      </c>
      <c r="M90" s="433" t="s">
        <v>323</v>
      </c>
      <c r="N90" s="334" t="s">
        <v>338</v>
      </c>
      <c r="O90" s="556"/>
      <c r="P90" s="461"/>
      <c r="Q90" s="323"/>
      <c r="R90" s="596"/>
      <c r="S90" s="633"/>
      <c r="T90" s="663">
        <v>45991</v>
      </c>
      <c r="U90" s="512"/>
      <c r="V90" s="767"/>
      <c r="W90" s="703">
        <v>45991</v>
      </c>
      <c r="X90" s="728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41"/>
      <c r="J91" s="741"/>
      <c r="K91" s="300"/>
      <c r="L91" s="321">
        <v>8</v>
      </c>
      <c r="M91" s="433" t="s">
        <v>323</v>
      </c>
      <c r="N91" s="334"/>
      <c r="O91" s="556"/>
      <c r="P91" s="461"/>
      <c r="Q91" s="323">
        <v>2292374</v>
      </c>
      <c r="R91" s="596"/>
      <c r="S91" s="633" t="s">
        <v>339</v>
      </c>
      <c r="T91" s="663">
        <v>45991</v>
      </c>
      <c r="U91" s="710">
        <v>1993368.6956521741</v>
      </c>
      <c r="V91" s="767"/>
      <c r="W91" s="703">
        <v>46009</v>
      </c>
      <c r="X91" s="728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42"/>
      <c r="J92" s="742"/>
      <c r="K92" s="305"/>
      <c r="L92" s="301">
        <v>8</v>
      </c>
      <c r="M92" s="432" t="s">
        <v>323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68"/>
      <c r="W92" s="577"/>
      <c r="X92" s="729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340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341</v>
      </c>
      <c r="D94" s="326" t="s">
        <v>342</v>
      </c>
      <c r="E94" s="313"/>
      <c r="F94" s="437"/>
      <c r="G94" s="619">
        <v>113490</v>
      </c>
      <c r="H94" s="578">
        <v>45883</v>
      </c>
      <c r="I94" s="757">
        <f>SUM(G94:G105)</f>
        <v>371510</v>
      </c>
      <c r="J94" s="734">
        <f>D182+D183</f>
        <v>437070.5883</v>
      </c>
      <c r="K94" s="287"/>
      <c r="L94" s="310">
        <v>9</v>
      </c>
      <c r="M94" s="423" t="s">
        <v>343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21">
        <f>J94-SUM(U94:U105)</f>
        <v>0</v>
      </c>
      <c r="W94" s="578"/>
      <c r="X94" s="760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344</v>
      </c>
      <c r="E95" s="313"/>
      <c r="F95" s="459"/>
      <c r="G95" s="619">
        <v>258020</v>
      </c>
      <c r="H95" s="534">
        <v>45883</v>
      </c>
      <c r="I95" s="758"/>
      <c r="J95" s="735"/>
      <c r="K95" s="287"/>
      <c r="L95" s="310">
        <v>9</v>
      </c>
      <c r="M95" s="423" t="s">
        <v>343</v>
      </c>
      <c r="N95" s="327" t="s">
        <v>293</v>
      </c>
      <c r="O95" s="567">
        <f>Z30+Z29</f>
        <v>476700</v>
      </c>
      <c r="P95" s="568">
        <v>0.1</v>
      </c>
      <c r="Q95" s="314">
        <f>$O$95*P95</f>
        <v>47670</v>
      </c>
      <c r="R95" s="769"/>
      <c r="S95" s="624" t="s">
        <v>295</v>
      </c>
      <c r="T95" s="640">
        <v>45869</v>
      </c>
      <c r="U95" s="651">
        <v>43707.058830000002</v>
      </c>
      <c r="V95" s="722"/>
      <c r="W95" s="534">
        <v>45883</v>
      </c>
      <c r="X95" s="761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58"/>
      <c r="J96" s="735"/>
      <c r="K96" s="287"/>
      <c r="L96" s="383">
        <v>9</v>
      </c>
      <c r="M96" s="501" t="s">
        <v>343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70"/>
      <c r="S96" s="625" t="s">
        <v>296</v>
      </c>
      <c r="T96" s="662">
        <v>45869</v>
      </c>
      <c r="U96" s="667">
        <v>65560.588244999992</v>
      </c>
      <c r="V96" s="722"/>
      <c r="W96" s="535">
        <v>45869</v>
      </c>
      <c r="X96" s="761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58"/>
      <c r="J97" s="735"/>
      <c r="K97" s="287"/>
      <c r="L97" s="383">
        <v>9</v>
      </c>
      <c r="M97" s="501" t="s">
        <v>343</v>
      </c>
      <c r="N97" s="385" t="s">
        <v>297</v>
      </c>
      <c r="O97" s="549"/>
      <c r="P97" s="566">
        <v>0.2</v>
      </c>
      <c r="Q97" s="314">
        <f t="shared" si="18"/>
        <v>95340</v>
      </c>
      <c r="R97" s="770"/>
      <c r="S97" s="625" t="s">
        <v>298</v>
      </c>
      <c r="T97" s="707">
        <v>45991</v>
      </c>
      <c r="U97" s="708">
        <v>87414.117660000004</v>
      </c>
      <c r="V97" s="722"/>
      <c r="W97" s="704">
        <v>46009</v>
      </c>
      <c r="X97" s="761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58"/>
      <c r="J98" s="735"/>
      <c r="K98" s="287"/>
      <c r="L98" s="383">
        <v>9</v>
      </c>
      <c r="M98" s="501" t="s">
        <v>343</v>
      </c>
      <c r="N98" s="385" t="s">
        <v>300</v>
      </c>
      <c r="O98" s="549"/>
      <c r="P98" s="566">
        <v>0.25</v>
      </c>
      <c r="Q98" s="314">
        <f t="shared" si="18"/>
        <v>119175</v>
      </c>
      <c r="R98" s="770"/>
      <c r="S98" s="625" t="s">
        <v>298</v>
      </c>
      <c r="T98" s="519">
        <v>46081</v>
      </c>
      <c r="U98" s="503">
        <f t="shared" ref="U98:U105" si="19">(Q98/$X$94*$J$94)</f>
        <v>109267.647075</v>
      </c>
      <c r="V98" s="722"/>
      <c r="W98" s="572">
        <f>'Project Plan'!K30+7</f>
        <v>46080</v>
      </c>
      <c r="X98" s="761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58"/>
      <c r="J99" s="735"/>
      <c r="K99" s="287"/>
      <c r="L99" s="383">
        <v>9</v>
      </c>
      <c r="M99" s="501" t="s">
        <v>343</v>
      </c>
      <c r="N99" s="385" t="s">
        <v>186</v>
      </c>
      <c r="O99" s="549"/>
      <c r="P99" s="566">
        <v>0.1</v>
      </c>
      <c r="Q99" s="314">
        <f t="shared" si="18"/>
        <v>47670</v>
      </c>
      <c r="R99" s="770"/>
      <c r="S99" s="625" t="s">
        <v>298</v>
      </c>
      <c r="T99" s="519">
        <v>46081</v>
      </c>
      <c r="U99" s="503">
        <f t="shared" si="19"/>
        <v>43707.058830000002</v>
      </c>
      <c r="V99" s="722"/>
      <c r="W99" s="572">
        <f>'Project Plan'!K44+7</f>
        <v>46085</v>
      </c>
      <c r="X99" s="761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58"/>
      <c r="J100" s="735"/>
      <c r="K100" s="287"/>
      <c r="L100" s="383">
        <v>9</v>
      </c>
      <c r="M100" s="501" t="s">
        <v>343</v>
      </c>
      <c r="N100" s="385" t="s">
        <v>301</v>
      </c>
      <c r="O100" s="549"/>
      <c r="P100" s="566">
        <v>0.1</v>
      </c>
      <c r="Q100" s="314">
        <f t="shared" si="18"/>
        <v>47670</v>
      </c>
      <c r="R100" s="770"/>
      <c r="S100" s="625" t="s">
        <v>298</v>
      </c>
      <c r="T100" s="519">
        <v>46081</v>
      </c>
      <c r="U100" s="503">
        <f t="shared" si="19"/>
        <v>43707.058830000002</v>
      </c>
      <c r="V100" s="722"/>
      <c r="W100" s="572">
        <f>'Project Plan'!K53+7</f>
        <v>46090</v>
      </c>
      <c r="X100" s="761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58"/>
      <c r="J101" s="735"/>
      <c r="K101" s="287"/>
      <c r="L101" s="383">
        <v>9</v>
      </c>
      <c r="M101" s="501" t="s">
        <v>343</v>
      </c>
      <c r="N101" s="385" t="s">
        <v>302</v>
      </c>
      <c r="O101" s="549"/>
      <c r="P101" s="566">
        <v>0.05</v>
      </c>
      <c r="Q101" s="314">
        <f t="shared" si="18"/>
        <v>23835</v>
      </c>
      <c r="R101" s="770"/>
      <c r="S101" s="625" t="s">
        <v>298</v>
      </c>
      <c r="T101" s="519">
        <v>46081</v>
      </c>
      <c r="U101" s="503">
        <f t="shared" si="19"/>
        <v>21853.529415000001</v>
      </c>
      <c r="V101" s="722"/>
      <c r="W101" s="572">
        <f>'Project Plan'!K53+7</f>
        <v>46090</v>
      </c>
      <c r="X101" s="761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58"/>
      <c r="J102" s="735"/>
      <c r="K102" s="287"/>
      <c r="L102" s="383">
        <v>9</v>
      </c>
      <c r="M102" s="501" t="s">
        <v>343</v>
      </c>
      <c r="N102" s="385" t="s">
        <v>303</v>
      </c>
      <c r="O102" s="549"/>
      <c r="P102" s="566">
        <v>0.05</v>
      </c>
      <c r="Q102" s="314">
        <f t="shared" si="18"/>
        <v>23835</v>
      </c>
      <c r="R102" s="771"/>
      <c r="S102" s="625" t="s">
        <v>298</v>
      </c>
      <c r="T102" s="519">
        <v>46081</v>
      </c>
      <c r="U102" s="503">
        <f t="shared" si="19"/>
        <v>21853.529415000001</v>
      </c>
      <c r="V102" s="722"/>
      <c r="W102" s="572">
        <f>'Project Plan'!K53+30</f>
        <v>46113</v>
      </c>
      <c r="X102" s="761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58"/>
      <c r="J103" s="735"/>
      <c r="K103" s="287"/>
      <c r="L103" s="383">
        <v>9</v>
      </c>
      <c r="M103" s="501" t="s">
        <v>343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22"/>
      <c r="W103" s="572"/>
      <c r="X103" s="761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58"/>
      <c r="J104" s="735"/>
      <c r="K104" s="287"/>
      <c r="L104" s="383">
        <v>9</v>
      </c>
      <c r="M104" s="501" t="s">
        <v>343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22"/>
      <c r="W104" s="572"/>
      <c r="X104" s="761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59"/>
      <c r="J105" s="736"/>
      <c r="K105" s="363"/>
      <c r="L105" s="315">
        <v>9</v>
      </c>
      <c r="M105" s="441" t="s">
        <v>343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23"/>
      <c r="W105" s="573"/>
      <c r="X105" s="762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345</v>
      </c>
      <c r="D107" s="269" t="s">
        <v>268</v>
      </c>
      <c r="E107" s="270"/>
      <c r="F107" s="470"/>
      <c r="G107" s="337">
        <v>8500</v>
      </c>
      <c r="H107" s="582">
        <v>45883</v>
      </c>
      <c r="I107" s="751">
        <f>SUM(G107:G123)</f>
        <v>58106.5</v>
      </c>
      <c r="J107" s="751">
        <f>D186+D189+D190+D188</f>
        <v>68360.588235000003</v>
      </c>
      <c r="K107" s="338"/>
      <c r="L107" s="268">
        <v>10</v>
      </c>
      <c r="M107" s="434" t="s">
        <v>346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63">
        <f>J107-SUM(U107:U123)</f>
        <v>3.211347691831179E-3</v>
      </c>
      <c r="W107" s="582"/>
      <c r="X107" s="754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269</v>
      </c>
      <c r="E108" s="341"/>
      <c r="F108" s="471"/>
      <c r="G108" s="342">
        <v>44056.5</v>
      </c>
      <c r="H108" s="583">
        <v>45883</v>
      </c>
      <c r="I108" s="752"/>
      <c r="J108" s="752"/>
      <c r="K108" s="271"/>
      <c r="L108" s="339">
        <v>10</v>
      </c>
      <c r="M108" s="435" t="s">
        <v>346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64"/>
      <c r="W108" s="583"/>
      <c r="X108" s="755"/>
      <c r="Y108" s="482"/>
    </row>
    <row r="109" spans="1:25" ht="14.25" customHeight="1">
      <c r="B109" s="339">
        <v>10</v>
      </c>
      <c r="C109" s="340"/>
      <c r="D109" s="340" t="s">
        <v>347</v>
      </c>
      <c r="E109" s="341"/>
      <c r="F109" s="471"/>
      <c r="G109" s="342">
        <v>0</v>
      </c>
      <c r="H109" s="583">
        <v>45883</v>
      </c>
      <c r="I109" s="752"/>
      <c r="J109" s="752"/>
      <c r="K109" s="271"/>
      <c r="L109" s="339">
        <v>10</v>
      </c>
      <c r="M109" s="435" t="s">
        <v>346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64"/>
      <c r="W109" s="583"/>
      <c r="X109" s="755"/>
      <c r="Y109" s="482"/>
    </row>
    <row r="110" spans="1:25" ht="14.25" customHeight="1">
      <c r="B110" s="339">
        <v>10</v>
      </c>
      <c r="C110" s="340"/>
      <c r="D110" s="340" t="s">
        <v>270</v>
      </c>
      <c r="E110" s="341"/>
      <c r="F110" s="471"/>
      <c r="G110" s="342">
        <v>5550</v>
      </c>
      <c r="H110" s="583">
        <v>45883</v>
      </c>
      <c r="I110" s="752"/>
      <c r="J110" s="752"/>
      <c r="K110" s="271"/>
      <c r="L110" s="339">
        <v>10</v>
      </c>
      <c r="M110" s="435" t="s">
        <v>346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64"/>
      <c r="W110" s="583"/>
      <c r="X110" s="755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52"/>
      <c r="J111" s="752"/>
      <c r="K111" s="271"/>
      <c r="L111" s="339">
        <v>10</v>
      </c>
      <c r="M111" s="435" t="s">
        <v>346</v>
      </c>
      <c r="N111" s="340" t="s">
        <v>293</v>
      </c>
      <c r="O111" s="618">
        <f>SUM(Z31:Z37)</f>
        <v>151047.5</v>
      </c>
      <c r="P111" s="569">
        <v>0.1</v>
      </c>
      <c r="Q111" s="342">
        <f>$O$111*P111</f>
        <v>15104.75</v>
      </c>
      <c r="R111" s="745"/>
      <c r="S111" s="638" t="s">
        <v>295</v>
      </c>
      <c r="T111" s="649">
        <f>T95</f>
        <v>45869</v>
      </c>
      <c r="U111" s="650">
        <v>6836.0588235000005</v>
      </c>
      <c r="V111" s="764"/>
      <c r="W111" s="540">
        <f>W95</f>
        <v>45883</v>
      </c>
      <c r="X111" s="755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52"/>
      <c r="J112" s="752"/>
      <c r="K112" s="271"/>
      <c r="L112" s="339">
        <v>10</v>
      </c>
      <c r="M112" s="435" t="s">
        <v>346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46"/>
      <c r="S112" s="638" t="s">
        <v>296</v>
      </c>
      <c r="T112" s="649">
        <f t="shared" ref="T112" si="21">T96</f>
        <v>45869</v>
      </c>
      <c r="U112" s="650">
        <v>10254.088235249999</v>
      </c>
      <c r="V112" s="764"/>
      <c r="W112" s="540">
        <f t="shared" ref="W112" si="22">W96</f>
        <v>45869</v>
      </c>
      <c r="X112" s="755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52"/>
      <c r="J113" s="752"/>
      <c r="K113" s="271"/>
      <c r="L113" s="339">
        <v>10</v>
      </c>
      <c r="M113" s="435" t="s">
        <v>346</v>
      </c>
      <c r="N113" s="340"/>
      <c r="O113" s="562"/>
      <c r="P113" s="569"/>
      <c r="Q113" s="342">
        <v>-0.01</v>
      </c>
      <c r="R113" s="746"/>
      <c r="S113" s="638" t="s">
        <v>296</v>
      </c>
      <c r="T113" s="649">
        <v>45900</v>
      </c>
      <c r="U113" s="650">
        <v>0</v>
      </c>
      <c r="V113" s="764"/>
      <c r="W113" s="540">
        <v>45900</v>
      </c>
      <c r="X113" s="755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52"/>
      <c r="J114" s="752"/>
      <c r="K114" s="271"/>
      <c r="L114" s="339">
        <v>10</v>
      </c>
      <c r="M114" s="435" t="s">
        <v>346</v>
      </c>
      <c r="N114" s="340" t="s">
        <v>297</v>
      </c>
      <c r="O114" s="562"/>
      <c r="P114" s="569">
        <v>0.2</v>
      </c>
      <c r="Q114" s="342">
        <f t="shared" si="20"/>
        <v>30209.5</v>
      </c>
      <c r="R114" s="746"/>
      <c r="S114" s="638" t="s">
        <v>298</v>
      </c>
      <c r="T114" s="676">
        <f>T97</f>
        <v>45991</v>
      </c>
      <c r="U114" s="677">
        <v>13672.109457307282</v>
      </c>
      <c r="V114" s="764"/>
      <c r="W114" s="678">
        <f>W97</f>
        <v>46009</v>
      </c>
      <c r="X114" s="755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52"/>
      <c r="J115" s="752"/>
      <c r="K115" s="271"/>
      <c r="L115" s="339">
        <v>10</v>
      </c>
      <c r="M115" s="435" t="s">
        <v>346</v>
      </c>
      <c r="N115" s="340"/>
      <c r="O115" s="562"/>
      <c r="P115" s="569"/>
      <c r="Q115" s="342">
        <v>-0.01</v>
      </c>
      <c r="R115" s="746"/>
      <c r="S115" s="638" t="s">
        <v>298</v>
      </c>
      <c r="T115" s="649">
        <v>45900</v>
      </c>
      <c r="U115" s="516">
        <v>0</v>
      </c>
      <c r="V115" s="764"/>
      <c r="W115" s="540">
        <v>45900</v>
      </c>
      <c r="X115" s="755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52"/>
      <c r="J116" s="752"/>
      <c r="K116" s="271"/>
      <c r="L116" s="339">
        <v>10</v>
      </c>
      <c r="M116" s="435" t="s">
        <v>346</v>
      </c>
      <c r="N116" s="340" t="s">
        <v>300</v>
      </c>
      <c r="O116" s="562"/>
      <c r="P116" s="569">
        <v>0.25</v>
      </c>
      <c r="Q116" s="342">
        <f t="shared" si="20"/>
        <v>37761.875</v>
      </c>
      <c r="R116" s="746"/>
      <c r="S116" s="638" t="s">
        <v>298</v>
      </c>
      <c r="T116" s="532">
        <v>46081</v>
      </c>
      <c r="U116" s="516">
        <f t="shared" ref="U116:U123" si="23">(Q116/$X$107*$J$107)</f>
        <v>17090.149321634108</v>
      </c>
      <c r="V116" s="764"/>
      <c r="W116" s="584">
        <f>W98</f>
        <v>46080</v>
      </c>
      <c r="X116" s="755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52"/>
      <c r="J117" s="752"/>
      <c r="K117" s="271"/>
      <c r="L117" s="339">
        <v>10</v>
      </c>
      <c r="M117" s="435" t="s">
        <v>346</v>
      </c>
      <c r="N117" s="340" t="s">
        <v>186</v>
      </c>
      <c r="O117" s="562"/>
      <c r="P117" s="569">
        <v>0.1</v>
      </c>
      <c r="Q117" s="342">
        <f t="shared" si="20"/>
        <v>15104.75</v>
      </c>
      <c r="R117" s="746"/>
      <c r="S117" s="638" t="s">
        <v>298</v>
      </c>
      <c r="T117" s="532">
        <v>46081</v>
      </c>
      <c r="U117" s="516">
        <f t="shared" si="23"/>
        <v>6836.0597286536413</v>
      </c>
      <c r="V117" s="764"/>
      <c r="W117" s="584">
        <f>W99</f>
        <v>46085</v>
      </c>
      <c r="X117" s="755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52"/>
      <c r="J118" s="752"/>
      <c r="K118" s="271"/>
      <c r="L118" s="339">
        <v>10</v>
      </c>
      <c r="M118" s="435" t="s">
        <v>346</v>
      </c>
      <c r="N118" s="340" t="s">
        <v>301</v>
      </c>
      <c r="O118" s="562"/>
      <c r="P118" s="569">
        <v>0.1</v>
      </c>
      <c r="Q118" s="342">
        <f t="shared" si="20"/>
        <v>15104.75</v>
      </c>
      <c r="R118" s="746"/>
      <c r="S118" s="638" t="s">
        <v>298</v>
      </c>
      <c r="T118" s="532">
        <v>46081</v>
      </c>
      <c r="U118" s="516">
        <f t="shared" si="23"/>
        <v>6836.0597286536413</v>
      </c>
      <c r="V118" s="764"/>
      <c r="W118" s="584">
        <f>W100</f>
        <v>46090</v>
      </c>
      <c r="X118" s="755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52"/>
      <c r="J119" s="752"/>
      <c r="K119" s="271"/>
      <c r="L119" s="339">
        <v>10</v>
      </c>
      <c r="M119" s="435" t="s">
        <v>346</v>
      </c>
      <c r="N119" s="340" t="s">
        <v>302</v>
      </c>
      <c r="O119" s="562"/>
      <c r="P119" s="569">
        <v>0.05</v>
      </c>
      <c r="Q119" s="342">
        <f t="shared" si="20"/>
        <v>7552.375</v>
      </c>
      <c r="R119" s="746"/>
      <c r="S119" s="638" t="s">
        <v>298</v>
      </c>
      <c r="T119" s="532">
        <v>46081</v>
      </c>
      <c r="U119" s="516">
        <f t="shared" si="23"/>
        <v>3418.0298643268206</v>
      </c>
      <c r="V119" s="764"/>
      <c r="W119" s="584">
        <f>W101</f>
        <v>46090</v>
      </c>
      <c r="X119" s="755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52"/>
      <c r="J120" s="752"/>
      <c r="K120" s="271"/>
      <c r="L120" s="339">
        <v>10</v>
      </c>
      <c r="M120" s="435" t="s">
        <v>346</v>
      </c>
      <c r="N120" s="340" t="s">
        <v>303</v>
      </c>
      <c r="O120" s="562"/>
      <c r="P120" s="569">
        <v>0.05</v>
      </c>
      <c r="Q120" s="342">
        <f t="shared" si="20"/>
        <v>7552.375</v>
      </c>
      <c r="R120" s="747"/>
      <c r="S120" s="638" t="s">
        <v>298</v>
      </c>
      <c r="T120" s="532">
        <v>46081</v>
      </c>
      <c r="U120" s="516">
        <f t="shared" si="23"/>
        <v>3418.0298643268206</v>
      </c>
      <c r="V120" s="764"/>
      <c r="W120" s="584">
        <f>W102</f>
        <v>46113</v>
      </c>
      <c r="X120" s="755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52"/>
      <c r="J121" s="752"/>
      <c r="K121" s="271"/>
      <c r="L121" s="339">
        <v>10</v>
      </c>
      <c r="M121" s="435" t="s">
        <v>346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64"/>
      <c r="W121" s="584"/>
      <c r="X121" s="755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52"/>
      <c r="J122" s="752"/>
      <c r="K122" s="271"/>
      <c r="L122" s="339">
        <v>10</v>
      </c>
      <c r="M122" s="435" t="s">
        <v>346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64"/>
      <c r="W122" s="584"/>
      <c r="X122" s="755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53"/>
      <c r="J123" s="753"/>
      <c r="K123" s="274"/>
      <c r="L123" s="272">
        <v>10</v>
      </c>
      <c r="M123" s="436" t="s">
        <v>346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65"/>
      <c r="W123" s="585"/>
      <c r="X123" s="756"/>
      <c r="Y123" s="482"/>
    </row>
    <row r="124" spans="1:25" ht="14.4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348</v>
      </c>
      <c r="D125" s="350" t="s">
        <v>349</v>
      </c>
      <c r="E125" s="282"/>
      <c r="F125" s="437"/>
      <c r="G125" s="283">
        <v>11349</v>
      </c>
      <c r="H125" s="578">
        <v>45862</v>
      </c>
      <c r="I125" s="734">
        <f>SUM(G125:G129)</f>
        <v>94047</v>
      </c>
      <c r="J125" s="734">
        <f>D185</f>
        <v>110643.5294</v>
      </c>
      <c r="K125" s="284"/>
      <c r="L125" s="280">
        <v>11</v>
      </c>
      <c r="M125" s="350" t="s">
        <v>350</v>
      </c>
      <c r="N125" s="350" t="s">
        <v>349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21">
        <f>J125-SUM(U125:U129)</f>
        <v>3.3737495396053419E-3</v>
      </c>
      <c r="W125" s="578">
        <f>T125</f>
        <v>46081</v>
      </c>
      <c r="X125" s="718">
        <f>SUM(Q125:Q129)</f>
        <v>65408.13</v>
      </c>
      <c r="Y125" s="482"/>
    </row>
    <row r="126" spans="1:25" ht="15" customHeight="1">
      <c r="B126" s="310">
        <v>11</v>
      </c>
      <c r="C126" s="312"/>
      <c r="D126" s="312" t="s">
        <v>351</v>
      </c>
      <c r="E126" s="313"/>
      <c r="F126" s="459"/>
      <c r="G126" s="314">
        <v>22698</v>
      </c>
      <c r="H126" s="534">
        <v>45862</v>
      </c>
      <c r="I126" s="735"/>
      <c r="J126" s="735"/>
      <c r="K126" s="287"/>
      <c r="L126" s="310">
        <v>11</v>
      </c>
      <c r="M126" s="389" t="s">
        <v>350</v>
      </c>
      <c r="N126" s="312" t="s">
        <v>351</v>
      </c>
      <c r="O126" s="313"/>
      <c r="P126" s="459"/>
      <c r="Q126" s="314">
        <v>10650</v>
      </c>
      <c r="R126" s="587" t="s">
        <v>352</v>
      </c>
      <c r="S126" s="624" t="s">
        <v>353</v>
      </c>
      <c r="T126" s="640">
        <v>45777</v>
      </c>
      <c r="U126" s="644">
        <v>17839.415657202251</v>
      </c>
      <c r="V126" s="722"/>
      <c r="W126" s="534">
        <v>45862</v>
      </c>
      <c r="X126" s="719"/>
      <c r="Y126" s="482"/>
    </row>
    <row r="127" spans="1:25" ht="15" customHeight="1">
      <c r="B127" s="310">
        <v>11</v>
      </c>
      <c r="C127" s="312"/>
      <c r="D127" s="312" t="s">
        <v>354</v>
      </c>
      <c r="E127" s="313"/>
      <c r="F127" s="459"/>
      <c r="G127" s="314">
        <v>60000</v>
      </c>
      <c r="H127" s="571">
        <v>45862</v>
      </c>
      <c r="I127" s="735"/>
      <c r="J127" s="735"/>
      <c r="K127" s="287"/>
      <c r="L127" s="310">
        <v>11</v>
      </c>
      <c r="M127" s="389" t="s">
        <v>350</v>
      </c>
      <c r="N127" s="312" t="s">
        <v>354</v>
      </c>
      <c r="O127" s="313"/>
      <c r="P127" s="459"/>
      <c r="Q127" s="314">
        <v>35409.129999999997</v>
      </c>
      <c r="R127" s="587" t="s">
        <v>355</v>
      </c>
      <c r="S127" s="624" t="s">
        <v>356</v>
      </c>
      <c r="T127" s="640">
        <v>45961</v>
      </c>
      <c r="U127" s="644">
        <v>66714.991470210472</v>
      </c>
      <c r="V127" s="722"/>
      <c r="W127" s="534">
        <v>45954</v>
      </c>
      <c r="X127" s="719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35"/>
      <c r="J128" s="735"/>
      <c r="K128" s="287"/>
      <c r="L128" s="310">
        <v>11</v>
      </c>
      <c r="M128" s="389" t="s">
        <v>350</v>
      </c>
      <c r="N128" s="387" t="s">
        <v>357</v>
      </c>
      <c r="O128" s="549"/>
      <c r="P128" s="444"/>
      <c r="Q128" s="386">
        <v>8000</v>
      </c>
      <c r="R128" s="588"/>
      <c r="S128" s="625"/>
      <c r="T128" s="518">
        <v>46081</v>
      </c>
      <c r="U128" s="503">
        <f>(Q128/$X$107*$J$107)</f>
        <v>3620.6145635796111</v>
      </c>
      <c r="V128" s="722"/>
      <c r="W128" s="572">
        <f>T128</f>
        <v>46081</v>
      </c>
      <c r="X128" s="719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36"/>
      <c r="J129" s="736"/>
      <c r="K129" s="288"/>
      <c r="L129" s="315">
        <v>11</v>
      </c>
      <c r="M129" s="419" t="s">
        <v>350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23"/>
      <c r="W129" s="573"/>
      <c r="X129" s="720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358</v>
      </c>
      <c r="D131" s="269"/>
      <c r="E131" s="270"/>
      <c r="F131" s="470"/>
      <c r="G131" s="337"/>
      <c r="H131" s="582"/>
      <c r="I131" s="751">
        <v>0</v>
      </c>
      <c r="J131" s="751">
        <v>0</v>
      </c>
      <c r="K131" s="772"/>
      <c r="L131" s="268">
        <v>12</v>
      </c>
      <c r="M131" s="269" t="s">
        <v>359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54">
        <f>SUM(Q131:Q132)</f>
        <v>0</v>
      </c>
      <c r="Y131" s="482"/>
    </row>
    <row r="132" spans="1:25" ht="15" customHeight="1" thickBot="1">
      <c r="B132" s="272">
        <v>12</v>
      </c>
      <c r="C132" s="343" t="s">
        <v>358</v>
      </c>
      <c r="D132" s="343"/>
      <c r="E132" s="344"/>
      <c r="F132" s="472"/>
      <c r="G132" s="273"/>
      <c r="H132" s="585"/>
      <c r="I132" s="753"/>
      <c r="J132" s="753"/>
      <c r="K132" s="773"/>
      <c r="L132" s="272">
        <v>12</v>
      </c>
      <c r="M132" s="343" t="s">
        <v>359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56"/>
      <c r="Y132" s="482"/>
    </row>
    <row r="133" spans="1:25" ht="14.4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360</v>
      </c>
      <c r="D134" s="350" t="s">
        <v>361</v>
      </c>
      <c r="E134" s="282"/>
      <c r="F134" s="437"/>
      <c r="G134" s="283">
        <v>44929.98</v>
      </c>
      <c r="H134" s="578">
        <v>45900</v>
      </c>
      <c r="I134" s="734">
        <f>SUM(G134:G138)</f>
        <v>234129.98</v>
      </c>
      <c r="J134" s="734">
        <f>D184</f>
        <v>266056.79300000001</v>
      </c>
      <c r="K134" s="284"/>
      <c r="L134" s="280">
        <v>13</v>
      </c>
      <c r="M134" s="350" t="s">
        <v>362</v>
      </c>
      <c r="N134" s="350" t="s">
        <v>363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46081</v>
      </c>
      <c r="U134" s="510">
        <f t="shared" ref="U134:U139" si="24">(Q134/$X$134*$J$134)</f>
        <v>62427.395663677111</v>
      </c>
      <c r="V134" s="721">
        <f>J134-SUM(U134:U139)</f>
        <v>0</v>
      </c>
      <c r="W134" s="578">
        <v>46081</v>
      </c>
      <c r="X134" s="718">
        <f>SUM(Q134:Q139)</f>
        <v>247203.72349999999</v>
      </c>
      <c r="Y134" s="482"/>
    </row>
    <row r="135" spans="1:25" ht="15.75" customHeight="1">
      <c r="B135" s="310">
        <v>13</v>
      </c>
      <c r="C135" s="312"/>
      <c r="D135" s="312" t="s">
        <v>364</v>
      </c>
      <c r="E135" s="313"/>
      <c r="F135" s="459"/>
      <c r="G135" s="314">
        <v>32000</v>
      </c>
      <c r="H135" s="571">
        <v>45900</v>
      </c>
      <c r="I135" s="735"/>
      <c r="J135" s="735"/>
      <c r="K135" s="287"/>
      <c r="L135" s="310">
        <v>13</v>
      </c>
      <c r="M135" s="389" t="s">
        <v>362</v>
      </c>
      <c r="N135" s="312" t="s">
        <v>364</v>
      </c>
      <c r="O135" s="548"/>
      <c r="P135" s="459"/>
      <c r="Q135" s="314">
        <v>32000</v>
      </c>
      <c r="R135" s="587"/>
      <c r="S135" s="624"/>
      <c r="T135" s="518">
        <f t="shared" si="15"/>
        <v>46081</v>
      </c>
      <c r="U135" s="502">
        <f t="shared" si="24"/>
        <v>34440.490035741714</v>
      </c>
      <c r="V135" s="722"/>
      <c r="W135" s="571">
        <f>W134</f>
        <v>46081</v>
      </c>
      <c r="X135" s="719"/>
      <c r="Y135" s="482"/>
    </row>
    <row r="136" spans="1:25" ht="15.75" customHeight="1">
      <c r="B136" s="310">
        <v>13</v>
      </c>
      <c r="C136" s="312"/>
      <c r="D136" s="312" t="s">
        <v>365</v>
      </c>
      <c r="E136" s="313"/>
      <c r="F136" s="459"/>
      <c r="G136" s="314">
        <v>81600</v>
      </c>
      <c r="H136" s="571">
        <v>45900</v>
      </c>
      <c r="I136" s="735"/>
      <c r="J136" s="735"/>
      <c r="K136" s="287"/>
      <c r="L136" s="310">
        <v>13</v>
      </c>
      <c r="M136" s="389" t="s">
        <v>362</v>
      </c>
      <c r="N136" s="312" t="s">
        <v>365</v>
      </c>
      <c r="O136" s="548"/>
      <c r="P136" s="459"/>
      <c r="Q136" s="314">
        <v>81600</v>
      </c>
      <c r="R136" s="587"/>
      <c r="S136" s="624"/>
      <c r="T136" s="518">
        <f t="shared" si="15"/>
        <v>46081</v>
      </c>
      <c r="U136" s="502">
        <f t="shared" si="24"/>
        <v>87823.249591141372</v>
      </c>
      <c r="V136" s="722"/>
      <c r="W136" s="571">
        <f>W134</f>
        <v>46081</v>
      </c>
      <c r="X136" s="719"/>
      <c r="Y136" s="482"/>
    </row>
    <row r="137" spans="1:25" ht="15.75" customHeight="1">
      <c r="B137" s="310">
        <v>13</v>
      </c>
      <c r="C137" s="312"/>
      <c r="D137" s="312" t="s">
        <v>366</v>
      </c>
      <c r="E137" s="313"/>
      <c r="F137" s="459"/>
      <c r="G137" s="314">
        <v>41600</v>
      </c>
      <c r="H137" s="571">
        <v>45900</v>
      </c>
      <c r="I137" s="735"/>
      <c r="J137" s="735"/>
      <c r="K137" s="287"/>
      <c r="L137" s="310">
        <v>13</v>
      </c>
      <c r="M137" s="389" t="s">
        <v>362</v>
      </c>
      <c r="N137" s="312" t="s">
        <v>366</v>
      </c>
      <c r="O137" s="548"/>
      <c r="P137" s="459"/>
      <c r="Q137" s="314">
        <v>41600</v>
      </c>
      <c r="R137" s="587"/>
      <c r="S137" s="624"/>
      <c r="T137" s="518">
        <f t="shared" si="15"/>
        <v>46081</v>
      </c>
      <c r="U137" s="502">
        <f t="shared" si="24"/>
        <v>44772.637046464231</v>
      </c>
      <c r="V137" s="722"/>
      <c r="W137" s="571">
        <f>W134</f>
        <v>46081</v>
      </c>
      <c r="X137" s="719"/>
      <c r="Y137" s="482"/>
    </row>
    <row r="138" spans="1:25" ht="15.75" customHeight="1">
      <c r="B138" s="310">
        <v>13</v>
      </c>
      <c r="C138" s="312"/>
      <c r="D138" s="312" t="s">
        <v>367</v>
      </c>
      <c r="E138" s="313"/>
      <c r="F138" s="459"/>
      <c r="G138" s="314">
        <v>34000</v>
      </c>
      <c r="H138" s="571">
        <v>45900</v>
      </c>
      <c r="I138" s="735"/>
      <c r="J138" s="735"/>
      <c r="K138" s="287"/>
      <c r="L138" s="310">
        <v>13</v>
      </c>
      <c r="M138" s="389" t="s">
        <v>362</v>
      </c>
      <c r="N138" s="312" t="s">
        <v>367</v>
      </c>
      <c r="O138" s="548"/>
      <c r="P138" s="459"/>
      <c r="Q138" s="314">
        <v>34000</v>
      </c>
      <c r="R138" s="587"/>
      <c r="S138" s="624"/>
      <c r="T138" s="518">
        <f t="shared" si="15"/>
        <v>46081</v>
      </c>
      <c r="U138" s="502">
        <f t="shared" si="24"/>
        <v>36593.02066297557</v>
      </c>
      <c r="V138" s="722"/>
      <c r="W138" s="571">
        <f>W134</f>
        <v>46081</v>
      </c>
      <c r="X138" s="719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36"/>
      <c r="J139" s="736"/>
      <c r="K139" s="363"/>
      <c r="L139" s="315">
        <v>13</v>
      </c>
      <c r="M139" s="419" t="s">
        <v>362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23"/>
      <c r="W139" s="573"/>
      <c r="X139" s="720"/>
      <c r="Y139" s="482"/>
    </row>
    <row r="140" spans="1:25" ht="14.4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368</v>
      </c>
      <c r="D141" s="269" t="s">
        <v>369</v>
      </c>
      <c r="E141" s="270"/>
      <c r="F141" s="470"/>
      <c r="G141" s="337">
        <v>7875</v>
      </c>
      <c r="H141" s="642">
        <v>45785</v>
      </c>
      <c r="I141" s="751">
        <f>SUM(G141:G154)</f>
        <v>7875</v>
      </c>
      <c r="J141" s="751">
        <f>D195</f>
        <v>9264.7058820000002</v>
      </c>
      <c r="K141" s="338"/>
      <c r="L141" s="268">
        <v>14</v>
      </c>
      <c r="M141" s="434" t="s">
        <v>370</v>
      </c>
      <c r="N141" s="269" t="s">
        <v>371</v>
      </c>
      <c r="O141" s="561"/>
      <c r="P141" s="470"/>
      <c r="Q141" s="337">
        <v>119</v>
      </c>
      <c r="R141" s="600"/>
      <c r="S141" s="636" t="s">
        <v>372</v>
      </c>
      <c r="T141" s="641">
        <v>45777</v>
      </c>
      <c r="U141" s="643">
        <v>154.43339402689452</v>
      </c>
      <c r="V141" s="763">
        <f>J141-SUM(U141:U154)</f>
        <v>560.85155112850225</v>
      </c>
      <c r="W141" s="642">
        <v>45785</v>
      </c>
      <c r="X141" s="754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52"/>
      <c r="J142" s="752"/>
      <c r="K142" s="271"/>
      <c r="L142" s="339">
        <v>14</v>
      </c>
      <c r="M142" s="435" t="s">
        <v>370</v>
      </c>
      <c r="N142" s="340" t="s">
        <v>371</v>
      </c>
      <c r="O142" s="562"/>
      <c r="P142" s="471"/>
      <c r="Q142" s="342">
        <v>199.91999999996273</v>
      </c>
      <c r="R142" s="602"/>
      <c r="S142" s="636" t="s">
        <v>372</v>
      </c>
      <c r="T142" s="649">
        <v>45808</v>
      </c>
      <c r="U142" s="650">
        <v>282.39405266859563</v>
      </c>
      <c r="V142" s="764"/>
      <c r="W142" s="540">
        <v>45817</v>
      </c>
      <c r="X142" s="755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52"/>
      <c r="J143" s="752"/>
      <c r="K143" s="271"/>
      <c r="L143" s="339">
        <v>14</v>
      </c>
      <c r="M143" s="435" t="s">
        <v>370</v>
      </c>
      <c r="N143" s="340" t="s">
        <v>371</v>
      </c>
      <c r="O143" s="562"/>
      <c r="P143" s="471"/>
      <c r="Q143" s="342">
        <v>0</v>
      </c>
      <c r="R143" s="602"/>
      <c r="S143" s="636" t="s">
        <v>372</v>
      </c>
      <c r="T143" s="649">
        <f t="shared" ref="T143" si="25">IF(W143&gt;1,EOMONTH(W143,0),"")</f>
        <v>45838</v>
      </c>
      <c r="U143" s="650">
        <v>0</v>
      </c>
      <c r="V143" s="764"/>
      <c r="W143" s="540">
        <v>45838</v>
      </c>
      <c r="X143" s="755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52"/>
      <c r="J144" s="752"/>
      <c r="K144" s="271"/>
      <c r="L144" s="339">
        <v>14</v>
      </c>
      <c r="M144" s="435" t="s">
        <v>370</v>
      </c>
      <c r="N144" s="340" t="s">
        <v>371</v>
      </c>
      <c r="O144" s="562"/>
      <c r="P144" s="471"/>
      <c r="Q144" s="342">
        <v>233.24</v>
      </c>
      <c r="R144" s="602"/>
      <c r="S144" s="636" t="s">
        <v>372</v>
      </c>
      <c r="T144" s="649">
        <v>45869</v>
      </c>
      <c r="U144" s="650">
        <v>540.89342495598294</v>
      </c>
      <c r="V144" s="764"/>
      <c r="W144" s="540">
        <v>45876</v>
      </c>
      <c r="X144" s="755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52"/>
      <c r="J145" s="752"/>
      <c r="K145" s="271"/>
      <c r="L145" s="339">
        <v>14</v>
      </c>
      <c r="M145" s="435" t="s">
        <v>370</v>
      </c>
      <c r="N145" s="340" t="s">
        <v>371</v>
      </c>
      <c r="O145" s="562"/>
      <c r="P145" s="471"/>
      <c r="Q145" s="342">
        <v>0</v>
      </c>
      <c r="R145" s="602"/>
      <c r="S145" s="636" t="s">
        <v>372</v>
      </c>
      <c r="T145" s="649">
        <v>45900</v>
      </c>
      <c r="U145" s="650">
        <v>0</v>
      </c>
      <c r="V145" s="764"/>
      <c r="W145" s="540">
        <v>45900</v>
      </c>
      <c r="X145" s="755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52"/>
      <c r="J146" s="752"/>
      <c r="K146" s="271"/>
      <c r="L146" s="339">
        <v>14</v>
      </c>
      <c r="M146" s="435" t="s">
        <v>370</v>
      </c>
      <c r="N146" s="340" t="s">
        <v>371</v>
      </c>
      <c r="O146" s="562"/>
      <c r="P146" s="471"/>
      <c r="Q146" s="342">
        <v>0</v>
      </c>
      <c r="R146" s="602"/>
      <c r="S146" s="636" t="s">
        <v>372</v>
      </c>
      <c r="T146" s="676">
        <v>45930</v>
      </c>
      <c r="U146" s="677">
        <v>0</v>
      </c>
      <c r="V146" s="764"/>
      <c r="W146" s="678">
        <v>45930</v>
      </c>
      <c r="X146" s="755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52"/>
      <c r="J147" s="752"/>
      <c r="K147" s="271"/>
      <c r="L147" s="339">
        <v>14</v>
      </c>
      <c r="M147" s="435" t="s">
        <v>370</v>
      </c>
      <c r="N147" s="340" t="s">
        <v>371</v>
      </c>
      <c r="O147" s="562"/>
      <c r="P147" s="471"/>
      <c r="Q147" s="342">
        <v>95.2</v>
      </c>
      <c r="R147" s="602"/>
      <c r="S147" s="636" t="s">
        <v>372</v>
      </c>
      <c r="T147" s="676">
        <v>45961</v>
      </c>
      <c r="U147" s="677">
        <v>295.24</v>
      </c>
      <c r="V147" s="764"/>
      <c r="W147" s="678">
        <v>45967</v>
      </c>
      <c r="X147" s="755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52"/>
      <c r="J148" s="752"/>
      <c r="K148" s="271"/>
      <c r="L148" s="339">
        <v>14</v>
      </c>
      <c r="M148" s="435" t="s">
        <v>370</v>
      </c>
      <c r="N148" s="340" t="s">
        <v>371</v>
      </c>
      <c r="O148" s="562"/>
      <c r="P148" s="471"/>
      <c r="Q148" s="342">
        <v>0</v>
      </c>
      <c r="R148" s="699"/>
      <c r="S148" s="636" t="s">
        <v>372</v>
      </c>
      <c r="T148" s="676">
        <v>45991</v>
      </c>
      <c r="U148" s="677">
        <v>0</v>
      </c>
      <c r="V148" s="764"/>
      <c r="W148" s="678">
        <v>45991</v>
      </c>
      <c r="X148" s="755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52"/>
      <c r="J149" s="752"/>
      <c r="K149" s="271"/>
      <c r="L149" s="339">
        <v>14</v>
      </c>
      <c r="M149" s="435" t="s">
        <v>370</v>
      </c>
      <c r="N149" s="340" t="s">
        <v>371</v>
      </c>
      <c r="O149" s="562"/>
      <c r="P149" s="471"/>
      <c r="Q149" s="342">
        <v>104.72</v>
      </c>
      <c r="R149" s="602"/>
      <c r="S149" s="636" t="s">
        <v>372</v>
      </c>
      <c r="T149" s="676">
        <v>46022</v>
      </c>
      <c r="U149" s="677">
        <v>419.6221583868446</v>
      </c>
      <c r="V149" s="764"/>
      <c r="W149" s="678">
        <v>46030</v>
      </c>
      <c r="X149" s="755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52"/>
      <c r="J150" s="752"/>
      <c r="K150" s="271"/>
      <c r="L150" s="339">
        <v>14</v>
      </c>
      <c r="M150" s="435" t="s">
        <v>370</v>
      </c>
      <c r="N150" s="340" t="s">
        <v>371</v>
      </c>
      <c r="O150" s="562"/>
      <c r="P150" s="471"/>
      <c r="Q150" s="342">
        <v>0</v>
      </c>
      <c r="R150" s="602"/>
      <c r="S150" s="636" t="s">
        <v>372</v>
      </c>
      <c r="T150" s="676">
        <v>46053</v>
      </c>
      <c r="U150" s="516">
        <v>0</v>
      </c>
      <c r="V150" s="764"/>
      <c r="W150" s="678">
        <v>46058</v>
      </c>
      <c r="X150" s="755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52"/>
      <c r="J151" s="752"/>
      <c r="K151" s="271"/>
      <c r="L151" s="339">
        <v>14</v>
      </c>
      <c r="M151" s="435" t="s">
        <v>370</v>
      </c>
      <c r="N151" s="340" t="s">
        <v>371</v>
      </c>
      <c r="O151" s="562"/>
      <c r="P151" s="471"/>
      <c r="Q151" s="342">
        <f t="shared" ref="Q150: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64"/>
      <c r="W151" s="584">
        <f>T151+7</f>
        <v>46088</v>
      </c>
      <c r="X151" s="755"/>
      <c r="Y151" s="482"/>
    </row>
    <row r="152" spans="1:25" ht="14.25" customHeight="1">
      <c r="B152" s="822"/>
      <c r="C152" s="823"/>
      <c r="D152" s="823"/>
      <c r="E152" s="824"/>
      <c r="F152" s="825"/>
      <c r="G152" s="826"/>
      <c r="H152" s="584"/>
      <c r="I152" s="752"/>
      <c r="J152" s="752"/>
      <c r="K152" s="271"/>
      <c r="L152" s="339">
        <v>14</v>
      </c>
      <c r="M152" s="435" t="s">
        <v>370</v>
      </c>
      <c r="N152" s="340" t="s">
        <v>371</v>
      </c>
      <c r="O152" s="827"/>
      <c r="P152" s="825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64"/>
      <c r="W152" s="584">
        <v>46121</v>
      </c>
      <c r="X152" s="755"/>
      <c r="Y152" s="482"/>
    </row>
    <row r="153" spans="1:25" ht="14.25" customHeight="1">
      <c r="B153" s="822"/>
      <c r="C153" s="823"/>
      <c r="D153" s="823"/>
      <c r="E153" s="824"/>
      <c r="F153" s="825"/>
      <c r="G153" s="826"/>
      <c r="H153" s="584"/>
      <c r="I153" s="752"/>
      <c r="J153" s="752"/>
      <c r="K153" s="271"/>
      <c r="L153" s="339">
        <v>14</v>
      </c>
      <c r="M153" s="435" t="s">
        <v>370</v>
      </c>
      <c r="N153" s="340" t="s">
        <v>371</v>
      </c>
      <c r="O153" s="827"/>
      <c r="P153" s="825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64"/>
      <c r="W153" s="584">
        <v>46149</v>
      </c>
      <c r="X153" s="755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53"/>
      <c r="J154" s="753"/>
      <c r="K154" s="274"/>
      <c r="L154" s="272">
        <v>14</v>
      </c>
      <c r="M154" s="436" t="s">
        <v>370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65"/>
      <c r="W154" s="585"/>
      <c r="X154" s="756"/>
      <c r="Y154" s="482"/>
    </row>
    <row r="155" spans="1:25" ht="14.4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373</v>
      </c>
      <c r="D156" s="281"/>
      <c r="E156" s="282"/>
      <c r="F156" s="437"/>
      <c r="G156" s="283"/>
      <c r="H156" s="578"/>
      <c r="I156" s="734">
        <f>SUM(G156:G167)</f>
        <v>0</v>
      </c>
      <c r="J156" s="734">
        <v>0</v>
      </c>
      <c r="K156" s="284"/>
      <c r="L156" s="280">
        <v>15</v>
      </c>
      <c r="M156" s="350" t="s">
        <v>374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21">
        <v>0</v>
      </c>
      <c r="W156" s="578"/>
      <c r="X156" s="718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35"/>
      <c r="J157" s="735"/>
      <c r="K157" s="287"/>
      <c r="L157" s="310">
        <v>15</v>
      </c>
      <c r="M157" s="389" t="s">
        <v>374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22"/>
      <c r="W157" s="571"/>
      <c r="X157" s="719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35"/>
      <c r="J158" s="735"/>
      <c r="K158" s="287"/>
      <c r="L158" s="310">
        <v>15</v>
      </c>
      <c r="M158" s="389" t="s">
        <v>374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22"/>
      <c r="W158" s="571"/>
      <c r="X158" s="719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35"/>
      <c r="J159" s="735"/>
      <c r="K159" s="287"/>
      <c r="L159" s="310">
        <v>15</v>
      </c>
      <c r="M159" s="389" t="s">
        <v>374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22"/>
      <c r="W159" s="571"/>
      <c r="X159" s="719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35"/>
      <c r="J160" s="735"/>
      <c r="K160" s="287"/>
      <c r="L160" s="310">
        <v>15</v>
      </c>
      <c r="M160" s="389" t="s">
        <v>374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22"/>
      <c r="W160" s="571"/>
      <c r="X160" s="719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35"/>
      <c r="J161" s="735"/>
      <c r="K161" s="287"/>
      <c r="L161" s="310">
        <v>15</v>
      </c>
      <c r="M161" s="389" t="s">
        <v>374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22"/>
      <c r="W161" s="571"/>
      <c r="X161" s="719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35"/>
      <c r="J162" s="735"/>
      <c r="K162" s="287"/>
      <c r="L162" s="310">
        <v>15</v>
      </c>
      <c r="M162" s="389" t="s">
        <v>374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22"/>
      <c r="W162" s="571"/>
      <c r="X162" s="719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35"/>
      <c r="J163" s="735"/>
      <c r="K163" s="287"/>
      <c r="L163" s="310">
        <v>15</v>
      </c>
      <c r="M163" s="389" t="s">
        <v>374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22"/>
      <c r="W163" s="571"/>
      <c r="X163" s="719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35"/>
      <c r="J164" s="735"/>
      <c r="K164" s="287"/>
      <c r="L164" s="310">
        <v>15</v>
      </c>
      <c r="M164" s="389" t="s">
        <v>374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22"/>
      <c r="W164" s="571"/>
      <c r="X164" s="719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35"/>
      <c r="J165" s="735"/>
      <c r="K165" s="287"/>
      <c r="L165" s="310">
        <v>15</v>
      </c>
      <c r="M165" s="389" t="s">
        <v>374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22"/>
      <c r="W165" s="571"/>
      <c r="X165" s="719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35"/>
      <c r="J166" s="735"/>
      <c r="K166" s="287"/>
      <c r="L166" s="310">
        <v>15</v>
      </c>
      <c r="M166" s="389" t="s">
        <v>374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22"/>
      <c r="W166" s="571"/>
      <c r="X166" s="719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36"/>
      <c r="J167" s="736"/>
      <c r="K167" s="288"/>
      <c r="L167" s="315">
        <v>15</v>
      </c>
      <c r="M167" s="419" t="s">
        <v>374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23"/>
      <c r="W167" s="573"/>
      <c r="X167" s="720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375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376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377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290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318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305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378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379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380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381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382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383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384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385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386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387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388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389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390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391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392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393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380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394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395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I66:I73"/>
    <mergeCell ref="X66:X73"/>
    <mergeCell ref="R54:R61"/>
    <mergeCell ref="J66:J73"/>
    <mergeCell ref="V66:V73"/>
    <mergeCell ref="V52:V64"/>
    <mergeCell ref="R32:R39"/>
    <mergeCell ref="I44:I50"/>
    <mergeCell ref="J44:J50"/>
    <mergeCell ref="I52:I64"/>
    <mergeCell ref="J52:J64"/>
    <mergeCell ref="I28:I42"/>
    <mergeCell ref="J28:J42"/>
    <mergeCell ref="I13:I19"/>
    <mergeCell ref="J13:J19"/>
    <mergeCell ref="X13:X19"/>
    <mergeCell ref="I21:I26"/>
    <mergeCell ref="J21:J26"/>
    <mergeCell ref="R13:R14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28:X42"/>
  </mergeCells>
  <conditionalFormatting sqref="J4">
    <cfRule type="containsText" dxfId="21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10937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396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1" t="s">
        <v>397</v>
      </c>
      <c r="B2" s="191"/>
      <c r="C2" s="192" t="s">
        <v>246</v>
      </c>
      <c r="D2" s="192" t="s">
        <v>246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2"/>
      <c r="B3" s="194" t="s">
        <v>164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2"/>
      <c r="B4" s="194" t="s">
        <v>398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02"/>
      <c r="B5" s="198" t="s">
        <v>166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02"/>
      <c r="B6" s="198" t="s">
        <v>399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02"/>
      <c r="B7" s="203" t="s">
        <v>400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1" t="s">
        <v>155</v>
      </c>
      <c r="B8" s="191"/>
      <c r="C8" s="192" t="s">
        <v>246</v>
      </c>
      <c r="D8" s="192" t="s">
        <v>246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2"/>
      <c r="B9" s="208" t="s">
        <v>401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2"/>
      <c r="B10" s="208" t="s">
        <v>402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02"/>
      <c r="B11" s="211" t="s">
        <v>403</v>
      </c>
      <c r="C11" s="212">
        <f>'Revenue Tracking'!F5</f>
        <v>8076024.8235000009</v>
      </c>
      <c r="D11" s="212">
        <f>SUM(F11:LD11)</f>
        <v>8076024.8234999999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675142.59850000008</v>
      </c>
      <c r="BL11" s="213">
        <f>SUMIFS('Expenditure Breakdown'!$Q$6:$Q$175, 'Expenditure Breakdown'!$W$6:$W$175, "&gt;="&amp;BL1,'Expenditure Breakdown'!$W$6:$W$175, "&lt;"&amp;BM1)</f>
        <v>113295.95</v>
      </c>
      <c r="BM11" s="213">
        <f>SUMIFS('Expenditure Breakdown'!$Q$6:$Q$175, 'Expenditure Breakdown'!$W$6:$W$175, "&gt;="&amp;BM1,'Expenditure Breakdown'!$W$6:$W$175, "&lt;"&amp;BN1)</f>
        <v>168773.92499999999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92582.415000000008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02"/>
      <c r="B12" s="211" t="s">
        <v>404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7697111.5334999999</v>
      </c>
      <c r="BL12" s="213">
        <f t="shared" si="26"/>
        <v>7810407.4835000001</v>
      </c>
      <c r="BM12" s="213">
        <f t="shared" si="26"/>
        <v>7979181.4084999999</v>
      </c>
      <c r="BN12" s="213">
        <f t="shared" si="26"/>
        <v>7979181.4084999999</v>
      </c>
      <c r="BO12" s="213">
        <f t="shared" si="26"/>
        <v>7979181.4084999999</v>
      </c>
      <c r="BP12" s="213">
        <f t="shared" si="26"/>
        <v>8071763.8234999999</v>
      </c>
      <c r="BQ12" s="213">
        <f t="shared" si="26"/>
        <v>8075244.8234999999</v>
      </c>
      <c r="BR12" s="213">
        <f t="shared" si="26"/>
        <v>8075244.8234999999</v>
      </c>
      <c r="BS12" s="213">
        <f t="shared" si="26"/>
        <v>8075244.8234999999</v>
      </c>
      <c r="BT12" s="213">
        <f t="shared" si="26"/>
        <v>8075244.8234999999</v>
      </c>
      <c r="BU12" s="213">
        <f t="shared" ref="BU12:EF12" si="27">BT12+BU11</f>
        <v>8076024.8234999999</v>
      </c>
      <c r="BV12" s="213">
        <f t="shared" si="27"/>
        <v>8076024.8234999999</v>
      </c>
      <c r="BW12" s="213">
        <f t="shared" si="27"/>
        <v>8076024.8234999999</v>
      </c>
      <c r="BX12" s="213">
        <f t="shared" si="27"/>
        <v>8076024.8234999999</v>
      </c>
      <c r="BY12" s="213">
        <f t="shared" si="27"/>
        <v>8076024.8234999999</v>
      </c>
      <c r="BZ12" s="213">
        <f t="shared" si="27"/>
        <v>8076024.8234999999</v>
      </c>
      <c r="CA12" s="213">
        <f t="shared" si="27"/>
        <v>8076024.8234999999</v>
      </c>
      <c r="CB12" s="213">
        <f t="shared" si="27"/>
        <v>8076024.8234999999</v>
      </c>
      <c r="CC12" s="213">
        <f t="shared" si="27"/>
        <v>8076024.8234999999</v>
      </c>
      <c r="CD12" s="213">
        <f t="shared" si="27"/>
        <v>8076024.8234999999</v>
      </c>
      <c r="CE12" s="213">
        <f t="shared" si="27"/>
        <v>8076024.8234999999</v>
      </c>
      <c r="CF12" s="213">
        <f t="shared" si="27"/>
        <v>8076024.8234999999</v>
      </c>
      <c r="CG12" s="213">
        <f t="shared" si="27"/>
        <v>8076024.8234999999</v>
      </c>
      <c r="CH12" s="213">
        <f t="shared" si="27"/>
        <v>8076024.8234999999</v>
      </c>
      <c r="CI12" s="213">
        <f t="shared" si="27"/>
        <v>8076024.8234999999</v>
      </c>
      <c r="CJ12" s="213">
        <f t="shared" si="27"/>
        <v>8076024.8234999999</v>
      </c>
      <c r="CK12" s="213">
        <f t="shared" si="27"/>
        <v>8076024.8234999999</v>
      </c>
      <c r="CL12" s="213">
        <f t="shared" si="27"/>
        <v>8076024.8234999999</v>
      </c>
      <c r="CM12" s="213">
        <f t="shared" si="27"/>
        <v>8076024.8234999999</v>
      </c>
      <c r="CN12" s="213">
        <f t="shared" si="27"/>
        <v>8076024.8234999999</v>
      </c>
      <c r="CO12" s="213">
        <f t="shared" si="27"/>
        <v>8076024.8234999999</v>
      </c>
      <c r="CP12" s="213">
        <f t="shared" si="27"/>
        <v>8076024.8234999999</v>
      </c>
      <c r="CQ12" s="213">
        <f t="shared" si="27"/>
        <v>8076024.8234999999</v>
      </c>
      <c r="CR12" s="213">
        <f t="shared" si="27"/>
        <v>8076024.8234999999</v>
      </c>
      <c r="CS12" s="213">
        <f t="shared" si="27"/>
        <v>8076024.8234999999</v>
      </c>
      <c r="CT12" s="213">
        <f t="shared" si="27"/>
        <v>8076024.8234999999</v>
      </c>
      <c r="CU12" s="213">
        <f t="shared" si="27"/>
        <v>8076024.8234999999</v>
      </c>
      <c r="CV12" s="213">
        <f t="shared" si="27"/>
        <v>8076024.8234999999</v>
      </c>
      <c r="CW12" s="213">
        <f t="shared" si="27"/>
        <v>8076024.8234999999</v>
      </c>
      <c r="CX12" s="213">
        <f t="shared" si="27"/>
        <v>8076024.8234999999</v>
      </c>
      <c r="CY12" s="213">
        <f t="shared" si="27"/>
        <v>8076024.8234999999</v>
      </c>
      <c r="CZ12" s="213">
        <f t="shared" si="27"/>
        <v>8076024.8234999999</v>
      </c>
      <c r="DA12" s="213">
        <f t="shared" si="27"/>
        <v>8076024.8234999999</v>
      </c>
      <c r="DB12" s="213">
        <f t="shared" si="27"/>
        <v>8076024.8234999999</v>
      </c>
      <c r="DC12" s="213">
        <f t="shared" si="27"/>
        <v>8076024.8234999999</v>
      </c>
      <c r="DD12" s="213">
        <f t="shared" si="27"/>
        <v>8076024.8234999999</v>
      </c>
      <c r="DE12" s="213">
        <f t="shared" si="27"/>
        <v>8076024.8234999999</v>
      </c>
      <c r="DF12" s="213">
        <f t="shared" si="27"/>
        <v>8076024.8234999999</v>
      </c>
      <c r="DG12" s="213">
        <f t="shared" si="27"/>
        <v>8076024.8234999999</v>
      </c>
      <c r="DH12" s="213">
        <f t="shared" si="27"/>
        <v>8076024.8234999999</v>
      </c>
      <c r="DI12" s="213">
        <f t="shared" si="27"/>
        <v>8076024.8234999999</v>
      </c>
      <c r="DJ12" s="213">
        <f t="shared" si="27"/>
        <v>8076024.8234999999</v>
      </c>
      <c r="DK12" s="213">
        <f t="shared" si="27"/>
        <v>8076024.8234999999</v>
      </c>
      <c r="DL12" s="213">
        <f t="shared" si="27"/>
        <v>8076024.8234999999</v>
      </c>
      <c r="DM12" s="213">
        <f t="shared" si="27"/>
        <v>8076024.8234999999</v>
      </c>
      <c r="DN12" s="213">
        <f t="shared" si="27"/>
        <v>8076024.8234999999</v>
      </c>
      <c r="DO12" s="213">
        <f t="shared" si="27"/>
        <v>8076024.8234999999</v>
      </c>
      <c r="DP12" s="213">
        <f t="shared" si="27"/>
        <v>8076024.8234999999</v>
      </c>
      <c r="DQ12" s="213">
        <f t="shared" si="27"/>
        <v>8076024.8234999999</v>
      </c>
      <c r="DR12" s="213">
        <f t="shared" si="27"/>
        <v>8076024.8234999999</v>
      </c>
      <c r="DS12" s="213">
        <f t="shared" si="27"/>
        <v>8076024.8234999999</v>
      </c>
      <c r="DT12" s="213">
        <f t="shared" si="27"/>
        <v>8076024.8234999999</v>
      </c>
      <c r="DU12" s="213">
        <f t="shared" si="27"/>
        <v>8076024.8234999999</v>
      </c>
      <c r="DV12" s="213">
        <f t="shared" si="27"/>
        <v>8076024.8234999999</v>
      </c>
      <c r="DW12" s="213">
        <f t="shared" si="27"/>
        <v>8076024.8234999999</v>
      </c>
      <c r="DX12" s="213">
        <f t="shared" si="27"/>
        <v>8076024.8234999999</v>
      </c>
      <c r="DY12" s="213">
        <f t="shared" si="27"/>
        <v>8076024.8234999999</v>
      </c>
      <c r="DZ12" s="213">
        <f t="shared" si="27"/>
        <v>8076024.8234999999</v>
      </c>
      <c r="EA12" s="213">
        <f t="shared" si="27"/>
        <v>8076024.8234999999</v>
      </c>
      <c r="EB12" s="213">
        <f t="shared" si="27"/>
        <v>8076024.8234999999</v>
      </c>
      <c r="EC12" s="213">
        <f t="shared" si="27"/>
        <v>8076024.8234999999</v>
      </c>
      <c r="ED12" s="213">
        <f t="shared" si="27"/>
        <v>8076024.8234999999</v>
      </c>
      <c r="EE12" s="213">
        <f t="shared" si="27"/>
        <v>8076024.8234999999</v>
      </c>
      <c r="EF12" s="213">
        <f t="shared" si="27"/>
        <v>8076024.8234999999</v>
      </c>
      <c r="EG12" s="213">
        <f t="shared" ref="EG12:GR12" si="28">EF12+EG11</f>
        <v>8076024.8234999999</v>
      </c>
      <c r="EH12" s="213">
        <f t="shared" si="28"/>
        <v>8076024.8234999999</v>
      </c>
      <c r="EI12" s="213">
        <f t="shared" si="28"/>
        <v>8076024.8234999999</v>
      </c>
      <c r="EJ12" s="213">
        <f t="shared" si="28"/>
        <v>8076024.8234999999</v>
      </c>
      <c r="EK12" s="213">
        <f t="shared" si="28"/>
        <v>8076024.8234999999</v>
      </c>
      <c r="EL12" s="213">
        <f t="shared" si="28"/>
        <v>8076024.8234999999</v>
      </c>
      <c r="EM12" s="213">
        <f t="shared" si="28"/>
        <v>8076024.8234999999</v>
      </c>
      <c r="EN12" s="213">
        <f t="shared" si="28"/>
        <v>8076024.8234999999</v>
      </c>
      <c r="EO12" s="213">
        <f t="shared" si="28"/>
        <v>8076024.8234999999</v>
      </c>
      <c r="EP12" s="213">
        <f t="shared" si="28"/>
        <v>8076024.8234999999</v>
      </c>
      <c r="EQ12" s="213">
        <f t="shared" si="28"/>
        <v>8076024.8234999999</v>
      </c>
      <c r="ER12" s="213">
        <f t="shared" si="28"/>
        <v>8076024.8234999999</v>
      </c>
      <c r="ES12" s="213">
        <f t="shared" si="28"/>
        <v>8076024.8234999999</v>
      </c>
      <c r="ET12" s="213">
        <f t="shared" si="28"/>
        <v>8076024.8234999999</v>
      </c>
      <c r="EU12" s="213">
        <f t="shared" si="28"/>
        <v>8076024.8234999999</v>
      </c>
      <c r="EV12" s="213">
        <f t="shared" si="28"/>
        <v>8076024.8234999999</v>
      </c>
      <c r="EW12" s="213">
        <f t="shared" si="28"/>
        <v>8076024.8234999999</v>
      </c>
      <c r="EX12" s="213">
        <f t="shared" si="28"/>
        <v>8076024.8234999999</v>
      </c>
      <c r="EY12" s="213">
        <f t="shared" si="28"/>
        <v>8076024.8234999999</v>
      </c>
      <c r="EZ12" s="213">
        <f t="shared" si="28"/>
        <v>8076024.8234999999</v>
      </c>
      <c r="FA12" s="213">
        <f t="shared" si="28"/>
        <v>8076024.8234999999</v>
      </c>
      <c r="FB12" s="213">
        <f t="shared" si="28"/>
        <v>8076024.8234999999</v>
      </c>
      <c r="FC12" s="213">
        <f t="shared" si="28"/>
        <v>8076024.8234999999</v>
      </c>
      <c r="FD12" s="213">
        <f t="shared" si="28"/>
        <v>8076024.8234999999</v>
      </c>
      <c r="FE12" s="213">
        <f t="shared" si="28"/>
        <v>8076024.8234999999</v>
      </c>
      <c r="FF12" s="213">
        <f t="shared" si="28"/>
        <v>8076024.8234999999</v>
      </c>
      <c r="FG12" s="213">
        <f t="shared" si="28"/>
        <v>8076024.8234999999</v>
      </c>
      <c r="FH12" s="213">
        <f t="shared" si="28"/>
        <v>8076024.8234999999</v>
      </c>
      <c r="FI12" s="213">
        <f t="shared" si="28"/>
        <v>8076024.8234999999</v>
      </c>
      <c r="FJ12" s="213">
        <f t="shared" si="28"/>
        <v>8076024.8234999999</v>
      </c>
      <c r="FK12" s="213">
        <f t="shared" si="28"/>
        <v>8076024.8234999999</v>
      </c>
      <c r="FL12" s="213">
        <f t="shared" si="28"/>
        <v>8076024.8234999999</v>
      </c>
      <c r="FM12" s="213">
        <f t="shared" si="28"/>
        <v>8076024.8234999999</v>
      </c>
      <c r="FN12" s="213">
        <f t="shared" si="28"/>
        <v>8076024.8234999999</v>
      </c>
      <c r="FO12" s="213">
        <f t="shared" si="28"/>
        <v>8076024.8234999999</v>
      </c>
      <c r="FP12" s="213">
        <f t="shared" si="28"/>
        <v>8076024.8234999999</v>
      </c>
      <c r="FQ12" s="213">
        <f t="shared" si="28"/>
        <v>8076024.8234999999</v>
      </c>
      <c r="FR12" s="213">
        <f t="shared" si="28"/>
        <v>8076024.8234999999</v>
      </c>
      <c r="FS12" s="213">
        <f t="shared" si="28"/>
        <v>8076024.8234999999</v>
      </c>
      <c r="FT12" s="213">
        <f t="shared" si="28"/>
        <v>8076024.8234999999</v>
      </c>
      <c r="FU12" s="213">
        <f t="shared" si="28"/>
        <v>8076024.8234999999</v>
      </c>
      <c r="FV12" s="213">
        <f t="shared" si="28"/>
        <v>8076024.8234999999</v>
      </c>
      <c r="FW12" s="213">
        <f t="shared" si="28"/>
        <v>8076024.8234999999</v>
      </c>
      <c r="FX12" s="213">
        <f t="shared" si="28"/>
        <v>8076024.8234999999</v>
      </c>
      <c r="FY12" s="213">
        <f t="shared" si="28"/>
        <v>8076024.8234999999</v>
      </c>
      <c r="FZ12" s="213">
        <f t="shared" si="28"/>
        <v>8076024.8234999999</v>
      </c>
      <c r="GA12" s="213">
        <f t="shared" si="28"/>
        <v>8076024.8234999999</v>
      </c>
      <c r="GB12" s="213">
        <f t="shared" si="28"/>
        <v>8076024.8234999999</v>
      </c>
      <c r="GC12" s="213">
        <f t="shared" si="28"/>
        <v>8076024.8234999999</v>
      </c>
      <c r="GD12" s="213">
        <f t="shared" si="28"/>
        <v>8076024.8234999999</v>
      </c>
      <c r="GE12" s="213">
        <f t="shared" si="28"/>
        <v>8076024.8234999999</v>
      </c>
      <c r="GF12" s="213">
        <f t="shared" si="28"/>
        <v>8076024.8234999999</v>
      </c>
      <c r="GG12" s="213">
        <f t="shared" si="28"/>
        <v>8076024.8234999999</v>
      </c>
      <c r="GH12" s="213">
        <f t="shared" si="28"/>
        <v>8076024.8234999999</v>
      </c>
      <c r="GI12" s="213">
        <f t="shared" si="28"/>
        <v>8076024.8234999999</v>
      </c>
      <c r="GJ12" s="213">
        <f t="shared" si="28"/>
        <v>8076024.8234999999</v>
      </c>
      <c r="GK12" s="213">
        <f t="shared" si="28"/>
        <v>8076024.8234999999</v>
      </c>
      <c r="GL12" s="213">
        <f t="shared" si="28"/>
        <v>8076024.8234999999</v>
      </c>
      <c r="GM12" s="213">
        <f t="shared" si="28"/>
        <v>8076024.8234999999</v>
      </c>
      <c r="GN12" s="213">
        <f t="shared" si="28"/>
        <v>8076024.8234999999</v>
      </c>
      <c r="GO12" s="213">
        <f t="shared" si="28"/>
        <v>8076024.8234999999</v>
      </c>
      <c r="GP12" s="213">
        <f t="shared" si="28"/>
        <v>8076024.8234999999</v>
      </c>
      <c r="GQ12" s="213">
        <f t="shared" si="28"/>
        <v>8076024.8234999999</v>
      </c>
      <c r="GR12" s="213">
        <f t="shared" si="28"/>
        <v>8076024.8234999999</v>
      </c>
      <c r="GS12" s="213">
        <f t="shared" ref="GS12:JD12" si="29">GR12+GS11</f>
        <v>8076024.8234999999</v>
      </c>
      <c r="GT12" s="213">
        <f t="shared" si="29"/>
        <v>8076024.8234999999</v>
      </c>
      <c r="GU12" s="213">
        <f t="shared" si="29"/>
        <v>8076024.8234999999</v>
      </c>
      <c r="GV12" s="213">
        <f t="shared" si="29"/>
        <v>8076024.8234999999</v>
      </c>
      <c r="GW12" s="213">
        <f t="shared" si="29"/>
        <v>8076024.8234999999</v>
      </c>
      <c r="GX12" s="213">
        <f t="shared" si="29"/>
        <v>8076024.8234999999</v>
      </c>
      <c r="GY12" s="213">
        <f t="shared" si="29"/>
        <v>8076024.8234999999</v>
      </c>
      <c r="GZ12" s="213">
        <f t="shared" si="29"/>
        <v>8076024.8234999999</v>
      </c>
      <c r="HA12" s="213">
        <f t="shared" si="29"/>
        <v>8076024.8234999999</v>
      </c>
      <c r="HB12" s="213">
        <f t="shared" si="29"/>
        <v>8076024.8234999999</v>
      </c>
      <c r="HC12" s="213">
        <f t="shared" si="29"/>
        <v>8076024.8234999999</v>
      </c>
      <c r="HD12" s="213">
        <f t="shared" si="29"/>
        <v>8076024.8234999999</v>
      </c>
      <c r="HE12" s="213">
        <f t="shared" si="29"/>
        <v>8076024.8234999999</v>
      </c>
      <c r="HF12" s="213">
        <f t="shared" si="29"/>
        <v>8076024.8234999999</v>
      </c>
      <c r="HG12" s="213">
        <f t="shared" si="29"/>
        <v>8076024.8234999999</v>
      </c>
      <c r="HH12" s="213">
        <f t="shared" si="29"/>
        <v>8076024.8234999999</v>
      </c>
      <c r="HI12" s="213">
        <f t="shared" si="29"/>
        <v>8076024.8234999999</v>
      </c>
      <c r="HJ12" s="213">
        <f t="shared" si="29"/>
        <v>8076024.8234999999</v>
      </c>
      <c r="HK12" s="213">
        <f t="shared" si="29"/>
        <v>8076024.8234999999</v>
      </c>
      <c r="HL12" s="213">
        <f t="shared" si="29"/>
        <v>8076024.8234999999</v>
      </c>
      <c r="HM12" s="213">
        <f t="shared" si="29"/>
        <v>8076024.8234999999</v>
      </c>
      <c r="HN12" s="213">
        <f t="shared" si="29"/>
        <v>8076024.8234999999</v>
      </c>
      <c r="HO12" s="213">
        <f t="shared" si="29"/>
        <v>8076024.8234999999</v>
      </c>
      <c r="HP12" s="213">
        <f t="shared" si="29"/>
        <v>8076024.8234999999</v>
      </c>
      <c r="HQ12" s="213">
        <f t="shared" si="29"/>
        <v>8076024.8234999999</v>
      </c>
      <c r="HR12" s="213">
        <f t="shared" si="29"/>
        <v>8076024.8234999999</v>
      </c>
      <c r="HS12" s="213">
        <f t="shared" si="29"/>
        <v>8076024.8234999999</v>
      </c>
      <c r="HT12" s="213">
        <f t="shared" si="29"/>
        <v>8076024.8234999999</v>
      </c>
      <c r="HU12" s="213">
        <f t="shared" si="29"/>
        <v>8076024.8234999999</v>
      </c>
      <c r="HV12" s="213">
        <f t="shared" si="29"/>
        <v>8076024.8234999999</v>
      </c>
      <c r="HW12" s="213">
        <f t="shared" si="29"/>
        <v>8076024.8234999999</v>
      </c>
      <c r="HX12" s="213">
        <f t="shared" si="29"/>
        <v>8076024.8234999999</v>
      </c>
      <c r="HY12" s="213">
        <f t="shared" si="29"/>
        <v>8076024.8234999999</v>
      </c>
      <c r="HZ12" s="213">
        <f t="shared" si="29"/>
        <v>8076024.8234999999</v>
      </c>
      <c r="IA12" s="213">
        <f t="shared" si="29"/>
        <v>8076024.8234999999</v>
      </c>
      <c r="IB12" s="213">
        <f t="shared" si="29"/>
        <v>8076024.8234999999</v>
      </c>
      <c r="IC12" s="213">
        <f t="shared" si="29"/>
        <v>8076024.8234999999</v>
      </c>
      <c r="ID12" s="213">
        <f t="shared" si="29"/>
        <v>8076024.8234999999</v>
      </c>
      <c r="IE12" s="213">
        <f t="shared" si="29"/>
        <v>8076024.8234999999</v>
      </c>
      <c r="IF12" s="213">
        <f t="shared" si="29"/>
        <v>8076024.8234999999</v>
      </c>
      <c r="IG12" s="213">
        <f t="shared" si="29"/>
        <v>8076024.8234999999</v>
      </c>
      <c r="IH12" s="213">
        <f t="shared" si="29"/>
        <v>8076024.8234999999</v>
      </c>
      <c r="II12" s="213">
        <f t="shared" si="29"/>
        <v>8076024.8234999999</v>
      </c>
      <c r="IJ12" s="213">
        <f t="shared" si="29"/>
        <v>8076024.8234999999</v>
      </c>
      <c r="IK12" s="213">
        <f t="shared" si="29"/>
        <v>8076024.8234999999</v>
      </c>
      <c r="IL12" s="213">
        <f t="shared" si="29"/>
        <v>8076024.8234999999</v>
      </c>
      <c r="IM12" s="213">
        <f t="shared" si="29"/>
        <v>8076024.8234999999</v>
      </c>
      <c r="IN12" s="213">
        <f t="shared" si="29"/>
        <v>8076024.8234999999</v>
      </c>
      <c r="IO12" s="213">
        <f t="shared" si="29"/>
        <v>8076024.8234999999</v>
      </c>
      <c r="IP12" s="213">
        <f t="shared" si="29"/>
        <v>8076024.8234999999</v>
      </c>
      <c r="IQ12" s="213">
        <f t="shared" si="29"/>
        <v>8076024.8234999999</v>
      </c>
      <c r="IR12" s="213">
        <f t="shared" si="29"/>
        <v>8076024.8234999999</v>
      </c>
      <c r="IS12" s="213">
        <f t="shared" si="29"/>
        <v>8076024.8234999999</v>
      </c>
      <c r="IT12" s="213">
        <f t="shared" si="29"/>
        <v>8076024.8234999999</v>
      </c>
      <c r="IU12" s="213">
        <f t="shared" si="29"/>
        <v>8076024.8234999999</v>
      </c>
      <c r="IV12" s="213">
        <f t="shared" si="29"/>
        <v>8076024.8234999999</v>
      </c>
      <c r="IW12" s="213">
        <f t="shared" si="29"/>
        <v>8076024.8234999999</v>
      </c>
      <c r="IX12" s="213">
        <f t="shared" si="29"/>
        <v>8076024.8234999999</v>
      </c>
      <c r="IY12" s="213">
        <f t="shared" si="29"/>
        <v>8076024.8234999999</v>
      </c>
      <c r="IZ12" s="213">
        <f t="shared" si="29"/>
        <v>8076024.8234999999</v>
      </c>
      <c r="JA12" s="213">
        <f t="shared" si="29"/>
        <v>8076024.8234999999</v>
      </c>
      <c r="JB12" s="213">
        <f t="shared" si="29"/>
        <v>8076024.8234999999</v>
      </c>
      <c r="JC12" s="213">
        <f t="shared" si="29"/>
        <v>8076024.8234999999</v>
      </c>
      <c r="JD12" s="213">
        <f t="shared" si="29"/>
        <v>8076024.8234999999</v>
      </c>
      <c r="JE12" s="213">
        <f t="shared" ref="JE12:LD12" si="30">JD12+JE11</f>
        <v>8076024.8234999999</v>
      </c>
      <c r="JF12" s="213">
        <f t="shared" si="30"/>
        <v>8076024.8234999999</v>
      </c>
      <c r="JG12" s="213">
        <f t="shared" si="30"/>
        <v>8076024.8234999999</v>
      </c>
      <c r="JH12" s="213">
        <f t="shared" si="30"/>
        <v>8076024.8234999999</v>
      </c>
      <c r="JI12" s="213">
        <f t="shared" si="30"/>
        <v>8076024.8234999999</v>
      </c>
      <c r="JJ12" s="213">
        <f t="shared" si="30"/>
        <v>8076024.8234999999</v>
      </c>
      <c r="JK12" s="213">
        <f t="shared" si="30"/>
        <v>8076024.8234999999</v>
      </c>
      <c r="JL12" s="213">
        <f t="shared" si="30"/>
        <v>8076024.8234999999</v>
      </c>
      <c r="JM12" s="213">
        <f t="shared" si="30"/>
        <v>8076024.8234999999</v>
      </c>
      <c r="JN12" s="213">
        <f t="shared" si="30"/>
        <v>8076024.8234999999</v>
      </c>
      <c r="JO12" s="213">
        <f t="shared" si="30"/>
        <v>8076024.8234999999</v>
      </c>
      <c r="JP12" s="213">
        <f t="shared" si="30"/>
        <v>8076024.8234999999</v>
      </c>
      <c r="JQ12" s="213">
        <f t="shared" si="30"/>
        <v>8076024.8234999999</v>
      </c>
      <c r="JR12" s="213">
        <f t="shared" si="30"/>
        <v>8076024.8234999999</v>
      </c>
      <c r="JS12" s="213">
        <f t="shared" si="30"/>
        <v>8076024.8234999999</v>
      </c>
      <c r="JT12" s="213">
        <f t="shared" si="30"/>
        <v>8076024.8234999999</v>
      </c>
      <c r="JU12" s="213">
        <f t="shared" si="30"/>
        <v>8076024.8234999999</v>
      </c>
      <c r="JV12" s="213">
        <f t="shared" si="30"/>
        <v>8076024.8234999999</v>
      </c>
      <c r="JW12" s="213">
        <f t="shared" si="30"/>
        <v>8076024.8234999999</v>
      </c>
      <c r="JX12" s="213">
        <f t="shared" si="30"/>
        <v>8076024.8234999999</v>
      </c>
      <c r="JY12" s="213">
        <f t="shared" si="30"/>
        <v>8076024.8234999999</v>
      </c>
      <c r="JZ12" s="213">
        <f t="shared" si="30"/>
        <v>8076024.8234999999</v>
      </c>
      <c r="KA12" s="213">
        <f t="shared" si="30"/>
        <v>8076024.8234999999</v>
      </c>
      <c r="KB12" s="213">
        <f t="shared" si="30"/>
        <v>8076024.8234999999</v>
      </c>
      <c r="KC12" s="213">
        <f t="shared" si="30"/>
        <v>8076024.8234999999</v>
      </c>
      <c r="KD12" s="213">
        <f t="shared" si="30"/>
        <v>8076024.8234999999</v>
      </c>
      <c r="KE12" s="213">
        <f t="shared" si="30"/>
        <v>8076024.8234999999</v>
      </c>
      <c r="KF12" s="213">
        <f t="shared" si="30"/>
        <v>8076024.8234999999</v>
      </c>
      <c r="KG12" s="213">
        <f t="shared" si="30"/>
        <v>8076024.8234999999</v>
      </c>
      <c r="KH12" s="213">
        <f t="shared" si="30"/>
        <v>8076024.8234999999</v>
      </c>
      <c r="KI12" s="213">
        <f t="shared" si="30"/>
        <v>8076024.8234999999</v>
      </c>
      <c r="KJ12" s="213">
        <f t="shared" si="30"/>
        <v>8076024.8234999999</v>
      </c>
      <c r="KK12" s="213">
        <f t="shared" si="30"/>
        <v>8076024.8234999999</v>
      </c>
      <c r="KL12" s="213">
        <f t="shared" si="30"/>
        <v>8076024.8234999999</v>
      </c>
      <c r="KM12" s="213">
        <f t="shared" si="30"/>
        <v>8076024.8234999999</v>
      </c>
      <c r="KN12" s="213">
        <f t="shared" si="30"/>
        <v>8076024.8234999999</v>
      </c>
      <c r="KO12" s="213">
        <f t="shared" si="30"/>
        <v>8076024.8234999999</v>
      </c>
      <c r="KP12" s="213">
        <f t="shared" si="30"/>
        <v>8076024.8234999999</v>
      </c>
      <c r="KQ12" s="213">
        <f t="shared" si="30"/>
        <v>8076024.8234999999</v>
      </c>
      <c r="KR12" s="213">
        <f t="shared" si="30"/>
        <v>8076024.8234999999</v>
      </c>
      <c r="KS12" s="213">
        <f t="shared" si="30"/>
        <v>8076024.8234999999</v>
      </c>
      <c r="KT12" s="213">
        <f t="shared" si="30"/>
        <v>8076024.8234999999</v>
      </c>
      <c r="KU12" s="213">
        <f t="shared" si="30"/>
        <v>8076024.8234999999</v>
      </c>
      <c r="KV12" s="213">
        <f t="shared" si="30"/>
        <v>8076024.8234999999</v>
      </c>
      <c r="KW12" s="213">
        <f t="shared" si="30"/>
        <v>8076024.8234999999</v>
      </c>
      <c r="KX12" s="213">
        <f t="shared" si="30"/>
        <v>8076024.8234999999</v>
      </c>
      <c r="KY12" s="213">
        <f t="shared" si="30"/>
        <v>8076024.8234999999</v>
      </c>
      <c r="KZ12" s="213">
        <f t="shared" si="30"/>
        <v>8076024.8234999999</v>
      </c>
      <c r="LA12" s="213">
        <f t="shared" si="30"/>
        <v>8076024.8234999999</v>
      </c>
      <c r="LB12" s="213">
        <f t="shared" si="30"/>
        <v>8076024.8234999999</v>
      </c>
      <c r="LC12" s="213">
        <f t="shared" si="30"/>
        <v>8076024.8234999999</v>
      </c>
      <c r="LD12" s="213">
        <f t="shared" si="30"/>
        <v>8076024.8234999999</v>
      </c>
      <c r="LE12" s="190"/>
      <c r="LF12" s="201"/>
    </row>
    <row r="13" spans="1:794" s="190" customFormat="1">
      <c r="A13" s="80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2"/>
      <c r="B14" s="203" t="s">
        <v>405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3924689.088152173</v>
      </c>
      <c r="BL14" s="206">
        <f t="shared" si="32"/>
        <v>3811393.1381521728</v>
      </c>
      <c r="BM14" s="206">
        <f t="shared" si="32"/>
        <v>3642619.213152173</v>
      </c>
      <c r="BN14" s="206">
        <f t="shared" si="32"/>
        <v>3642619.213152173</v>
      </c>
      <c r="BO14" s="206">
        <f t="shared" si="32"/>
        <v>3642619.213152173</v>
      </c>
      <c r="BP14" s="206">
        <f t="shared" si="32"/>
        <v>3550036.7981521729</v>
      </c>
      <c r="BQ14" s="206">
        <f t="shared" si="32"/>
        <v>3546555.7981521729</v>
      </c>
      <c r="BR14" s="206">
        <f t="shared" si="32"/>
        <v>3546555.7981521729</v>
      </c>
      <c r="BS14" s="206">
        <f t="shared" si="32"/>
        <v>3546555.7981521729</v>
      </c>
      <c r="BT14" s="206">
        <f t="shared" si="32"/>
        <v>3546555.7981521729</v>
      </c>
      <c r="BU14" s="206">
        <f t="shared" ref="BU14:EF14" si="33">BU10-BU12</f>
        <v>3545775.7981521729</v>
      </c>
      <c r="BV14" s="206">
        <f t="shared" si="33"/>
        <v>3545775.7981521729</v>
      </c>
      <c r="BW14" s="206">
        <f t="shared" si="33"/>
        <v>3545775.7981521729</v>
      </c>
      <c r="BX14" s="206">
        <f t="shared" si="33"/>
        <v>3545775.7981521729</v>
      </c>
      <c r="BY14" s="206">
        <f t="shared" si="33"/>
        <v>3545775.7981521729</v>
      </c>
      <c r="BZ14" s="206">
        <f t="shared" si="33"/>
        <v>3545775.7981521729</v>
      </c>
      <c r="CA14" s="206">
        <f t="shared" si="33"/>
        <v>3545775.7981521729</v>
      </c>
      <c r="CB14" s="206">
        <f t="shared" si="33"/>
        <v>3545775.7981521729</v>
      </c>
      <c r="CC14" s="206">
        <f t="shared" si="33"/>
        <v>3545775.7981521729</v>
      </c>
      <c r="CD14" s="206">
        <f t="shared" si="33"/>
        <v>3545775.7981521729</v>
      </c>
      <c r="CE14" s="206">
        <f t="shared" si="33"/>
        <v>3545775.7981521729</v>
      </c>
      <c r="CF14" s="206">
        <f t="shared" si="33"/>
        <v>3545775.7981521729</v>
      </c>
      <c r="CG14" s="206">
        <f t="shared" si="33"/>
        <v>3545775.7981521729</v>
      </c>
      <c r="CH14" s="206">
        <f t="shared" si="33"/>
        <v>3545775.7981521729</v>
      </c>
      <c r="CI14" s="206">
        <f t="shared" si="33"/>
        <v>3545775.7981521729</v>
      </c>
      <c r="CJ14" s="206">
        <f t="shared" si="33"/>
        <v>3545775.7981521729</v>
      </c>
      <c r="CK14" s="206">
        <f t="shared" si="33"/>
        <v>3545775.7981521729</v>
      </c>
      <c r="CL14" s="206">
        <f t="shared" si="33"/>
        <v>3545775.7981521729</v>
      </c>
      <c r="CM14" s="206">
        <f t="shared" si="33"/>
        <v>3545775.7981521729</v>
      </c>
      <c r="CN14" s="206">
        <f t="shared" si="33"/>
        <v>3545775.7981521729</v>
      </c>
      <c r="CO14" s="206">
        <f t="shared" si="33"/>
        <v>3545775.7981521729</v>
      </c>
      <c r="CP14" s="206">
        <f t="shared" si="33"/>
        <v>3545775.7981521729</v>
      </c>
      <c r="CQ14" s="206">
        <f t="shared" si="33"/>
        <v>3545775.7981521729</v>
      </c>
      <c r="CR14" s="206">
        <f t="shared" si="33"/>
        <v>3545775.7981521729</v>
      </c>
      <c r="CS14" s="206">
        <f t="shared" si="33"/>
        <v>3545775.7981521729</v>
      </c>
      <c r="CT14" s="206">
        <f t="shared" si="33"/>
        <v>3545775.7981521729</v>
      </c>
      <c r="CU14" s="206">
        <f t="shared" si="33"/>
        <v>3545775.7981521729</v>
      </c>
      <c r="CV14" s="206">
        <f t="shared" si="33"/>
        <v>3545775.7981521729</v>
      </c>
      <c r="CW14" s="206">
        <f t="shared" si="33"/>
        <v>3545775.7981521729</v>
      </c>
      <c r="CX14" s="206">
        <f t="shared" si="33"/>
        <v>3545775.7981521729</v>
      </c>
      <c r="CY14" s="206">
        <f t="shared" si="33"/>
        <v>3545775.7981521729</v>
      </c>
      <c r="CZ14" s="206">
        <f t="shared" si="33"/>
        <v>3545775.7981521729</v>
      </c>
      <c r="DA14" s="206">
        <f t="shared" si="33"/>
        <v>3545775.7981521729</v>
      </c>
      <c r="DB14" s="206">
        <f t="shared" si="33"/>
        <v>3545775.7981521729</v>
      </c>
      <c r="DC14" s="206">
        <f t="shared" si="33"/>
        <v>3545775.7981521729</v>
      </c>
      <c r="DD14" s="206">
        <f t="shared" si="33"/>
        <v>3545775.7981521729</v>
      </c>
      <c r="DE14" s="206">
        <f t="shared" si="33"/>
        <v>3545775.7981521729</v>
      </c>
      <c r="DF14" s="206">
        <f t="shared" si="33"/>
        <v>3545775.7981521729</v>
      </c>
      <c r="DG14" s="206">
        <f t="shared" si="33"/>
        <v>3545775.7981521729</v>
      </c>
      <c r="DH14" s="206">
        <f t="shared" si="33"/>
        <v>3545775.7981521729</v>
      </c>
      <c r="DI14" s="206">
        <f t="shared" si="33"/>
        <v>3545775.7981521729</v>
      </c>
      <c r="DJ14" s="206">
        <f t="shared" si="33"/>
        <v>3545775.7981521729</v>
      </c>
      <c r="DK14" s="206">
        <f t="shared" si="33"/>
        <v>3545775.7981521729</v>
      </c>
      <c r="DL14" s="206">
        <f t="shared" si="33"/>
        <v>3545775.7981521729</v>
      </c>
      <c r="DM14" s="206">
        <f t="shared" si="33"/>
        <v>3545775.7981521729</v>
      </c>
      <c r="DN14" s="206">
        <f t="shared" si="33"/>
        <v>3545775.7981521729</v>
      </c>
      <c r="DO14" s="206">
        <f t="shared" si="33"/>
        <v>3545775.7981521729</v>
      </c>
      <c r="DP14" s="206">
        <f t="shared" si="33"/>
        <v>3545775.7981521729</v>
      </c>
      <c r="DQ14" s="206">
        <f t="shared" si="33"/>
        <v>3545775.7981521729</v>
      </c>
      <c r="DR14" s="206">
        <f t="shared" si="33"/>
        <v>3545775.7981521729</v>
      </c>
      <c r="DS14" s="206">
        <f t="shared" si="33"/>
        <v>3545775.7981521729</v>
      </c>
      <c r="DT14" s="206">
        <f t="shared" si="33"/>
        <v>3545775.7981521729</v>
      </c>
      <c r="DU14" s="206">
        <f t="shared" si="33"/>
        <v>3545775.7981521729</v>
      </c>
      <c r="DV14" s="206">
        <f t="shared" si="33"/>
        <v>3545775.7981521729</v>
      </c>
      <c r="DW14" s="206">
        <f t="shared" si="33"/>
        <v>3545775.7981521729</v>
      </c>
      <c r="DX14" s="206">
        <f t="shared" si="33"/>
        <v>3545775.7981521729</v>
      </c>
      <c r="DY14" s="206">
        <f t="shared" si="33"/>
        <v>3545775.7981521729</v>
      </c>
      <c r="DZ14" s="206">
        <f t="shared" si="33"/>
        <v>3545775.7981521729</v>
      </c>
      <c r="EA14" s="206">
        <f t="shared" si="33"/>
        <v>3545775.7981521729</v>
      </c>
      <c r="EB14" s="206">
        <f t="shared" si="33"/>
        <v>3545775.7981521729</v>
      </c>
      <c r="EC14" s="206">
        <f t="shared" si="33"/>
        <v>3545775.7981521729</v>
      </c>
      <c r="ED14" s="206">
        <f t="shared" si="33"/>
        <v>3545775.7981521729</v>
      </c>
      <c r="EE14" s="206">
        <f t="shared" si="33"/>
        <v>3545775.7981521729</v>
      </c>
      <c r="EF14" s="206">
        <f t="shared" si="33"/>
        <v>3545775.7981521729</v>
      </c>
      <c r="EG14" s="206">
        <f t="shared" ref="EG14:GR14" si="34">EG10-EG12</f>
        <v>3545775.7981521729</v>
      </c>
      <c r="EH14" s="206">
        <f t="shared" si="34"/>
        <v>3545775.7981521729</v>
      </c>
      <c r="EI14" s="206">
        <f t="shared" si="34"/>
        <v>3545775.7981521729</v>
      </c>
      <c r="EJ14" s="206">
        <f t="shared" si="34"/>
        <v>3545775.7981521729</v>
      </c>
      <c r="EK14" s="206">
        <f t="shared" si="34"/>
        <v>3545775.7981521729</v>
      </c>
      <c r="EL14" s="206">
        <f t="shared" si="34"/>
        <v>3545775.7981521729</v>
      </c>
      <c r="EM14" s="206">
        <f t="shared" si="34"/>
        <v>3545775.7981521729</v>
      </c>
      <c r="EN14" s="206">
        <f t="shared" si="34"/>
        <v>3545775.7981521729</v>
      </c>
      <c r="EO14" s="206">
        <f t="shared" si="34"/>
        <v>3545775.7981521729</v>
      </c>
      <c r="EP14" s="206">
        <f t="shared" si="34"/>
        <v>3545775.7981521729</v>
      </c>
      <c r="EQ14" s="206">
        <f t="shared" si="34"/>
        <v>3545775.7981521729</v>
      </c>
      <c r="ER14" s="206">
        <f t="shared" si="34"/>
        <v>3545775.7981521729</v>
      </c>
      <c r="ES14" s="206">
        <f t="shared" si="34"/>
        <v>3545775.7981521729</v>
      </c>
      <c r="ET14" s="206">
        <f t="shared" si="34"/>
        <v>3545775.7981521729</v>
      </c>
      <c r="EU14" s="206">
        <f t="shared" si="34"/>
        <v>3545775.7981521729</v>
      </c>
      <c r="EV14" s="206">
        <f t="shared" si="34"/>
        <v>3545775.7981521729</v>
      </c>
      <c r="EW14" s="206">
        <f t="shared" si="34"/>
        <v>3545775.7981521729</v>
      </c>
      <c r="EX14" s="206">
        <f t="shared" si="34"/>
        <v>3545775.7981521729</v>
      </c>
      <c r="EY14" s="206">
        <f t="shared" si="34"/>
        <v>3545775.7981521729</v>
      </c>
      <c r="EZ14" s="206">
        <f t="shared" si="34"/>
        <v>3545775.7981521729</v>
      </c>
      <c r="FA14" s="206">
        <f t="shared" si="34"/>
        <v>3545775.7981521729</v>
      </c>
      <c r="FB14" s="206">
        <f t="shared" si="34"/>
        <v>3545775.7981521729</v>
      </c>
      <c r="FC14" s="206">
        <f t="shared" si="34"/>
        <v>3545775.7981521729</v>
      </c>
      <c r="FD14" s="206">
        <f t="shared" si="34"/>
        <v>3545775.7981521729</v>
      </c>
      <c r="FE14" s="206">
        <f t="shared" si="34"/>
        <v>3545775.7981521729</v>
      </c>
      <c r="FF14" s="206">
        <f t="shared" si="34"/>
        <v>3545775.7981521729</v>
      </c>
      <c r="FG14" s="206">
        <f t="shared" si="34"/>
        <v>3545775.7981521729</v>
      </c>
      <c r="FH14" s="206">
        <f t="shared" si="34"/>
        <v>3545775.7981521729</v>
      </c>
      <c r="FI14" s="206">
        <f t="shared" si="34"/>
        <v>3545775.7981521729</v>
      </c>
      <c r="FJ14" s="206">
        <f t="shared" si="34"/>
        <v>3545775.7981521729</v>
      </c>
      <c r="FK14" s="206">
        <f t="shared" si="34"/>
        <v>3545775.7981521729</v>
      </c>
      <c r="FL14" s="206">
        <f t="shared" si="34"/>
        <v>3545775.7981521729</v>
      </c>
      <c r="FM14" s="206">
        <f t="shared" si="34"/>
        <v>3545775.7981521729</v>
      </c>
      <c r="FN14" s="206">
        <f t="shared" si="34"/>
        <v>3545775.7981521729</v>
      </c>
      <c r="FO14" s="206">
        <f t="shared" si="34"/>
        <v>3545775.7981521729</v>
      </c>
      <c r="FP14" s="206">
        <f t="shared" si="34"/>
        <v>3545775.7981521729</v>
      </c>
      <c r="FQ14" s="206">
        <f t="shared" si="34"/>
        <v>3545775.7981521729</v>
      </c>
      <c r="FR14" s="206">
        <f t="shared" si="34"/>
        <v>3545775.7981521729</v>
      </c>
      <c r="FS14" s="206">
        <f t="shared" si="34"/>
        <v>3545775.7981521729</v>
      </c>
      <c r="FT14" s="206">
        <f t="shared" si="34"/>
        <v>3545775.7981521729</v>
      </c>
      <c r="FU14" s="206">
        <f t="shared" si="34"/>
        <v>3545775.7981521729</v>
      </c>
      <c r="FV14" s="206">
        <f t="shared" si="34"/>
        <v>3545775.7981521729</v>
      </c>
      <c r="FW14" s="206">
        <f t="shared" si="34"/>
        <v>3545775.7981521729</v>
      </c>
      <c r="FX14" s="206">
        <f t="shared" si="34"/>
        <v>3545775.7981521729</v>
      </c>
      <c r="FY14" s="206">
        <f t="shared" si="34"/>
        <v>3545775.7981521729</v>
      </c>
      <c r="FZ14" s="206">
        <f t="shared" si="34"/>
        <v>3545775.7981521729</v>
      </c>
      <c r="GA14" s="206">
        <f t="shared" si="34"/>
        <v>3545775.7981521729</v>
      </c>
      <c r="GB14" s="206">
        <f t="shared" si="34"/>
        <v>3545775.7981521729</v>
      </c>
      <c r="GC14" s="206">
        <f t="shared" si="34"/>
        <v>3545775.7981521729</v>
      </c>
      <c r="GD14" s="206">
        <f t="shared" si="34"/>
        <v>3545775.7981521729</v>
      </c>
      <c r="GE14" s="206">
        <f t="shared" si="34"/>
        <v>3545775.7981521729</v>
      </c>
      <c r="GF14" s="206">
        <f t="shared" si="34"/>
        <v>3545775.7981521729</v>
      </c>
      <c r="GG14" s="206">
        <f t="shared" si="34"/>
        <v>3545775.7981521729</v>
      </c>
      <c r="GH14" s="206">
        <f t="shared" si="34"/>
        <v>3545775.7981521729</v>
      </c>
      <c r="GI14" s="206">
        <f t="shared" si="34"/>
        <v>3545775.7981521729</v>
      </c>
      <c r="GJ14" s="206">
        <f t="shared" si="34"/>
        <v>3545775.7981521729</v>
      </c>
      <c r="GK14" s="206">
        <f t="shared" si="34"/>
        <v>3545775.7981521729</v>
      </c>
      <c r="GL14" s="206">
        <f t="shared" si="34"/>
        <v>3545775.7981521729</v>
      </c>
      <c r="GM14" s="206">
        <f t="shared" si="34"/>
        <v>3545775.7981521729</v>
      </c>
      <c r="GN14" s="206">
        <f t="shared" si="34"/>
        <v>3545775.7981521729</v>
      </c>
      <c r="GO14" s="206">
        <f t="shared" si="34"/>
        <v>3545775.7981521729</v>
      </c>
      <c r="GP14" s="206">
        <f t="shared" si="34"/>
        <v>3545775.7981521729</v>
      </c>
      <c r="GQ14" s="206">
        <f t="shared" si="34"/>
        <v>3545775.7981521729</v>
      </c>
      <c r="GR14" s="206">
        <f t="shared" si="34"/>
        <v>3545775.7981521729</v>
      </c>
      <c r="GS14" s="206">
        <f t="shared" ref="GS14:JD14" si="35">GS10-GS12</f>
        <v>3545775.7981521729</v>
      </c>
      <c r="GT14" s="206">
        <f t="shared" si="35"/>
        <v>3545775.7981521729</v>
      </c>
      <c r="GU14" s="206">
        <f t="shared" si="35"/>
        <v>3545775.7981521729</v>
      </c>
      <c r="GV14" s="206">
        <f t="shared" si="35"/>
        <v>3545775.7981521729</v>
      </c>
      <c r="GW14" s="206">
        <f t="shared" si="35"/>
        <v>3545775.7981521729</v>
      </c>
      <c r="GX14" s="206">
        <f t="shared" si="35"/>
        <v>3545775.7981521729</v>
      </c>
      <c r="GY14" s="206">
        <f t="shared" si="35"/>
        <v>3545775.7981521729</v>
      </c>
      <c r="GZ14" s="206">
        <f t="shared" si="35"/>
        <v>3545775.7981521729</v>
      </c>
      <c r="HA14" s="206">
        <f t="shared" si="35"/>
        <v>3545775.7981521729</v>
      </c>
      <c r="HB14" s="206">
        <f t="shared" si="35"/>
        <v>3545775.7981521729</v>
      </c>
      <c r="HC14" s="206">
        <f t="shared" si="35"/>
        <v>3545775.7981521729</v>
      </c>
      <c r="HD14" s="206">
        <f t="shared" si="35"/>
        <v>3545775.7981521729</v>
      </c>
      <c r="HE14" s="206">
        <f t="shared" si="35"/>
        <v>3545775.7981521729</v>
      </c>
      <c r="HF14" s="206">
        <f t="shared" si="35"/>
        <v>3545775.7981521729</v>
      </c>
      <c r="HG14" s="206">
        <f t="shared" si="35"/>
        <v>3545775.7981521729</v>
      </c>
      <c r="HH14" s="206">
        <f t="shared" si="35"/>
        <v>3545775.7981521729</v>
      </c>
      <c r="HI14" s="206">
        <f t="shared" si="35"/>
        <v>3545775.7981521729</v>
      </c>
      <c r="HJ14" s="206">
        <f t="shared" si="35"/>
        <v>3545775.7981521729</v>
      </c>
      <c r="HK14" s="206">
        <f t="shared" si="35"/>
        <v>3545775.7981521729</v>
      </c>
      <c r="HL14" s="206">
        <f t="shared" si="35"/>
        <v>3545775.7981521729</v>
      </c>
      <c r="HM14" s="206">
        <f t="shared" si="35"/>
        <v>3545775.7981521729</v>
      </c>
      <c r="HN14" s="206">
        <f t="shared" si="35"/>
        <v>3545775.7981521729</v>
      </c>
      <c r="HO14" s="206">
        <f t="shared" si="35"/>
        <v>3545775.7981521729</v>
      </c>
      <c r="HP14" s="206">
        <f t="shared" si="35"/>
        <v>3545775.7981521729</v>
      </c>
      <c r="HQ14" s="206">
        <f t="shared" si="35"/>
        <v>3545775.7981521729</v>
      </c>
      <c r="HR14" s="206">
        <f t="shared" si="35"/>
        <v>3545775.7981521729</v>
      </c>
      <c r="HS14" s="206">
        <f t="shared" si="35"/>
        <v>3545775.7981521729</v>
      </c>
      <c r="HT14" s="206">
        <f t="shared" si="35"/>
        <v>3545775.7981521729</v>
      </c>
      <c r="HU14" s="206">
        <f t="shared" si="35"/>
        <v>3545775.7981521729</v>
      </c>
      <c r="HV14" s="206">
        <f t="shared" si="35"/>
        <v>3545775.7981521729</v>
      </c>
      <c r="HW14" s="206">
        <f t="shared" si="35"/>
        <v>3545775.7981521729</v>
      </c>
      <c r="HX14" s="206">
        <f t="shared" si="35"/>
        <v>3545775.7981521729</v>
      </c>
      <c r="HY14" s="206">
        <f t="shared" si="35"/>
        <v>3545775.7981521729</v>
      </c>
      <c r="HZ14" s="206">
        <f t="shared" si="35"/>
        <v>3545775.7981521729</v>
      </c>
      <c r="IA14" s="206">
        <f t="shared" si="35"/>
        <v>3545775.7981521729</v>
      </c>
      <c r="IB14" s="206">
        <f t="shared" si="35"/>
        <v>3545775.7981521729</v>
      </c>
      <c r="IC14" s="206">
        <f t="shared" si="35"/>
        <v>3545775.7981521729</v>
      </c>
      <c r="ID14" s="206">
        <f t="shared" si="35"/>
        <v>3545775.7981521729</v>
      </c>
      <c r="IE14" s="206">
        <f t="shared" si="35"/>
        <v>3545775.7981521729</v>
      </c>
      <c r="IF14" s="206">
        <f t="shared" si="35"/>
        <v>3545775.7981521729</v>
      </c>
      <c r="IG14" s="206">
        <f t="shared" si="35"/>
        <v>3545775.7981521729</v>
      </c>
      <c r="IH14" s="206">
        <f t="shared" si="35"/>
        <v>3545775.7981521729</v>
      </c>
      <c r="II14" s="206">
        <f t="shared" si="35"/>
        <v>3545775.7981521729</v>
      </c>
      <c r="IJ14" s="206">
        <f t="shared" si="35"/>
        <v>3545775.7981521729</v>
      </c>
      <c r="IK14" s="206">
        <f t="shared" si="35"/>
        <v>3545775.7981521729</v>
      </c>
      <c r="IL14" s="206">
        <f t="shared" si="35"/>
        <v>3545775.7981521729</v>
      </c>
      <c r="IM14" s="206">
        <f t="shared" si="35"/>
        <v>3545775.7981521729</v>
      </c>
      <c r="IN14" s="206">
        <f t="shared" si="35"/>
        <v>3545775.7981521729</v>
      </c>
      <c r="IO14" s="206">
        <f t="shared" si="35"/>
        <v>3545775.7981521729</v>
      </c>
      <c r="IP14" s="206">
        <f t="shared" si="35"/>
        <v>3545775.7981521729</v>
      </c>
      <c r="IQ14" s="206">
        <f t="shared" si="35"/>
        <v>3545775.7981521729</v>
      </c>
      <c r="IR14" s="206">
        <f t="shared" si="35"/>
        <v>3545775.7981521729</v>
      </c>
      <c r="IS14" s="206">
        <f t="shared" si="35"/>
        <v>3545775.7981521729</v>
      </c>
      <c r="IT14" s="206">
        <f t="shared" si="35"/>
        <v>3545775.7981521729</v>
      </c>
      <c r="IU14" s="206">
        <f t="shared" si="35"/>
        <v>3545775.7981521729</v>
      </c>
      <c r="IV14" s="206">
        <f t="shared" si="35"/>
        <v>3545775.7981521729</v>
      </c>
      <c r="IW14" s="206">
        <f t="shared" si="35"/>
        <v>3545775.7981521729</v>
      </c>
      <c r="IX14" s="206">
        <f t="shared" si="35"/>
        <v>3545775.7981521729</v>
      </c>
      <c r="IY14" s="206">
        <f t="shared" si="35"/>
        <v>3545775.7981521729</v>
      </c>
      <c r="IZ14" s="206">
        <f t="shared" si="35"/>
        <v>3545775.7981521729</v>
      </c>
      <c r="JA14" s="206">
        <f t="shared" si="35"/>
        <v>3545775.7981521729</v>
      </c>
      <c r="JB14" s="206">
        <f t="shared" si="35"/>
        <v>3545775.7981521729</v>
      </c>
      <c r="JC14" s="206">
        <f t="shared" si="35"/>
        <v>3545775.7981521729</v>
      </c>
      <c r="JD14" s="206">
        <f t="shared" si="35"/>
        <v>3545775.7981521729</v>
      </c>
      <c r="JE14" s="206">
        <f t="shared" ref="JE14:LD14" si="36">JE10-JE12</f>
        <v>3545775.7981521729</v>
      </c>
      <c r="JF14" s="206">
        <f t="shared" si="36"/>
        <v>3545775.7981521729</v>
      </c>
      <c r="JG14" s="206">
        <f t="shared" si="36"/>
        <v>3545775.7981521729</v>
      </c>
      <c r="JH14" s="206">
        <f t="shared" si="36"/>
        <v>3545775.7981521729</v>
      </c>
      <c r="JI14" s="206">
        <f t="shared" si="36"/>
        <v>3545775.7981521729</v>
      </c>
      <c r="JJ14" s="206">
        <f t="shared" si="36"/>
        <v>3545775.7981521729</v>
      </c>
      <c r="JK14" s="206">
        <f t="shared" si="36"/>
        <v>3545775.7981521729</v>
      </c>
      <c r="JL14" s="206">
        <f t="shared" si="36"/>
        <v>3545775.7981521729</v>
      </c>
      <c r="JM14" s="206">
        <f t="shared" si="36"/>
        <v>3545775.7981521729</v>
      </c>
      <c r="JN14" s="206">
        <f t="shared" si="36"/>
        <v>3545775.7981521729</v>
      </c>
      <c r="JO14" s="206">
        <f t="shared" si="36"/>
        <v>3545775.7981521729</v>
      </c>
      <c r="JP14" s="206">
        <f t="shared" si="36"/>
        <v>3545775.7981521729</v>
      </c>
      <c r="JQ14" s="206">
        <f t="shared" si="36"/>
        <v>3545775.7981521729</v>
      </c>
      <c r="JR14" s="206">
        <f t="shared" si="36"/>
        <v>3545775.7981521729</v>
      </c>
      <c r="JS14" s="206">
        <f t="shared" si="36"/>
        <v>3545775.7981521729</v>
      </c>
      <c r="JT14" s="206">
        <f t="shared" si="36"/>
        <v>3545775.7981521729</v>
      </c>
      <c r="JU14" s="206">
        <f t="shared" si="36"/>
        <v>3545775.7981521729</v>
      </c>
      <c r="JV14" s="206">
        <f t="shared" si="36"/>
        <v>3545775.7981521729</v>
      </c>
      <c r="JW14" s="206">
        <f t="shared" si="36"/>
        <v>3545775.7981521729</v>
      </c>
      <c r="JX14" s="206">
        <f t="shared" si="36"/>
        <v>3545775.7981521729</v>
      </c>
      <c r="JY14" s="206">
        <f t="shared" si="36"/>
        <v>3545775.7981521729</v>
      </c>
      <c r="JZ14" s="206">
        <f t="shared" si="36"/>
        <v>3545775.7981521729</v>
      </c>
      <c r="KA14" s="206">
        <f t="shared" si="36"/>
        <v>3545775.7981521729</v>
      </c>
      <c r="KB14" s="206">
        <f t="shared" si="36"/>
        <v>3545775.7981521729</v>
      </c>
      <c r="KC14" s="206">
        <f t="shared" si="36"/>
        <v>3545775.7981521729</v>
      </c>
      <c r="KD14" s="206">
        <f t="shared" si="36"/>
        <v>3545775.7981521729</v>
      </c>
      <c r="KE14" s="206">
        <f t="shared" si="36"/>
        <v>3545775.7981521729</v>
      </c>
      <c r="KF14" s="206">
        <f t="shared" si="36"/>
        <v>3545775.7981521729</v>
      </c>
      <c r="KG14" s="206">
        <f t="shared" si="36"/>
        <v>3545775.7981521729</v>
      </c>
      <c r="KH14" s="206">
        <f t="shared" si="36"/>
        <v>3545775.7981521729</v>
      </c>
      <c r="KI14" s="206">
        <f t="shared" si="36"/>
        <v>3545775.7981521729</v>
      </c>
      <c r="KJ14" s="206">
        <f t="shared" si="36"/>
        <v>3545775.7981521729</v>
      </c>
      <c r="KK14" s="206">
        <f t="shared" si="36"/>
        <v>3545775.7981521729</v>
      </c>
      <c r="KL14" s="206">
        <f t="shared" si="36"/>
        <v>3545775.7981521729</v>
      </c>
      <c r="KM14" s="206">
        <f t="shared" si="36"/>
        <v>3545775.7981521729</v>
      </c>
      <c r="KN14" s="206">
        <f t="shared" si="36"/>
        <v>3545775.7981521729</v>
      </c>
      <c r="KO14" s="206">
        <f t="shared" si="36"/>
        <v>3545775.7981521729</v>
      </c>
      <c r="KP14" s="206">
        <f t="shared" si="36"/>
        <v>3545775.7981521729</v>
      </c>
      <c r="KQ14" s="206">
        <f t="shared" si="36"/>
        <v>3545775.7981521729</v>
      </c>
      <c r="KR14" s="206">
        <f t="shared" si="36"/>
        <v>3545775.7981521729</v>
      </c>
      <c r="KS14" s="206">
        <f t="shared" si="36"/>
        <v>3545775.7981521729</v>
      </c>
      <c r="KT14" s="206">
        <f t="shared" si="36"/>
        <v>3545775.7981521729</v>
      </c>
      <c r="KU14" s="206">
        <f t="shared" si="36"/>
        <v>3545775.7981521729</v>
      </c>
      <c r="KV14" s="206">
        <f t="shared" si="36"/>
        <v>3545775.7981521729</v>
      </c>
      <c r="KW14" s="206">
        <f t="shared" si="36"/>
        <v>3545775.7981521729</v>
      </c>
      <c r="KX14" s="206">
        <f t="shared" si="36"/>
        <v>3545775.7981521729</v>
      </c>
      <c r="KY14" s="206">
        <f t="shared" si="36"/>
        <v>3545775.7981521729</v>
      </c>
      <c r="KZ14" s="206">
        <f t="shared" si="36"/>
        <v>3545775.7981521729</v>
      </c>
      <c r="LA14" s="206">
        <f t="shared" si="36"/>
        <v>3545775.7981521729</v>
      </c>
      <c r="LB14" s="206">
        <f t="shared" si="36"/>
        <v>3545775.7981521729</v>
      </c>
      <c r="LC14" s="206">
        <f t="shared" si="36"/>
        <v>3545775.7981521729</v>
      </c>
      <c r="LD14" s="206">
        <f t="shared" si="36"/>
        <v>3545775.7981521729</v>
      </c>
    </row>
    <row r="15" spans="1:794" s="190" customFormat="1"/>
    <row r="16" spans="1:794" s="190" customFormat="1">
      <c r="C16" s="192" t="s">
        <v>246</v>
      </c>
      <c r="D16" s="192" t="s">
        <v>246</v>
      </c>
    </row>
    <row r="17" spans="1:316">
      <c r="A17" s="803"/>
      <c r="B17" s="194" t="s">
        <v>406</v>
      </c>
      <c r="C17" s="374">
        <f>C3-D17</f>
        <v>-1991786.4956769617</v>
      </c>
      <c r="D17" s="195">
        <f>SUM(F17:LD17)</f>
        <v>8632084.3756769616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619924.01242980687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2337.0904336110602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03"/>
      <c r="B18" s="194" t="s">
        <v>407</v>
      </c>
      <c r="C18" s="374">
        <f>D17-D18</f>
        <v>0</v>
      </c>
      <c r="D18" s="195">
        <f>MAX(F18:LD18)</f>
        <v>8632084.3756769616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8627410.1948097404</v>
      </c>
      <c r="BL18" s="213">
        <f t="shared" si="37"/>
        <v>8627410.1948097404</v>
      </c>
      <c r="BM18" s="213">
        <f t="shared" si="37"/>
        <v>8627410.1948097404</v>
      </c>
      <c r="BN18" s="213">
        <f t="shared" si="37"/>
        <v>8627410.1948097404</v>
      </c>
      <c r="BO18" s="213">
        <f t="shared" si="37"/>
        <v>8627410.1948097404</v>
      </c>
      <c r="BP18" s="213">
        <f t="shared" si="37"/>
        <v>8629747.285243351</v>
      </c>
      <c r="BQ18" s="213">
        <f t="shared" si="37"/>
        <v>8629747.285243351</v>
      </c>
      <c r="BR18" s="213">
        <f t="shared" si="37"/>
        <v>8629747.285243351</v>
      </c>
      <c r="BS18" s="213">
        <f t="shared" si="37"/>
        <v>8629747.285243351</v>
      </c>
      <c r="BT18" s="213">
        <f t="shared" si="37"/>
        <v>8632084.3756769616</v>
      </c>
      <c r="BU18" s="213">
        <f t="shared" ref="BU18:EF18" si="38">BT18+BU17</f>
        <v>8632084.3756769616</v>
      </c>
      <c r="BV18" s="213">
        <f t="shared" si="38"/>
        <v>8632084.3756769616</v>
      </c>
      <c r="BW18" s="213">
        <f t="shared" si="38"/>
        <v>8632084.3756769616</v>
      </c>
      <c r="BX18" s="213">
        <f t="shared" si="38"/>
        <v>8632084.3756769616</v>
      </c>
      <c r="BY18" s="213">
        <f t="shared" si="38"/>
        <v>8632084.3756769616</v>
      </c>
      <c r="BZ18" s="213">
        <f t="shared" si="38"/>
        <v>8632084.3756769616</v>
      </c>
      <c r="CA18" s="213">
        <f t="shared" si="38"/>
        <v>8632084.3756769616</v>
      </c>
      <c r="CB18" s="213">
        <f t="shared" si="38"/>
        <v>8632084.3756769616</v>
      </c>
      <c r="CC18" s="213">
        <f t="shared" si="38"/>
        <v>8632084.3756769616</v>
      </c>
      <c r="CD18" s="213">
        <f t="shared" si="38"/>
        <v>8632084.3756769616</v>
      </c>
      <c r="CE18" s="213">
        <f t="shared" si="38"/>
        <v>8632084.3756769616</v>
      </c>
      <c r="CF18" s="213">
        <f t="shared" si="38"/>
        <v>8632084.3756769616</v>
      </c>
      <c r="CG18" s="213">
        <f t="shared" si="38"/>
        <v>8632084.3756769616</v>
      </c>
      <c r="CH18" s="213">
        <f t="shared" si="38"/>
        <v>8632084.3756769616</v>
      </c>
      <c r="CI18" s="213">
        <f t="shared" si="38"/>
        <v>8632084.3756769616</v>
      </c>
      <c r="CJ18" s="213">
        <f t="shared" si="38"/>
        <v>8632084.3756769616</v>
      </c>
      <c r="CK18" s="213">
        <f t="shared" si="38"/>
        <v>8632084.3756769616</v>
      </c>
      <c r="CL18" s="213">
        <f t="shared" si="38"/>
        <v>8632084.3756769616</v>
      </c>
      <c r="CM18" s="213">
        <f t="shared" si="38"/>
        <v>8632084.3756769616</v>
      </c>
      <c r="CN18" s="213">
        <f t="shared" si="38"/>
        <v>8632084.3756769616</v>
      </c>
      <c r="CO18" s="213">
        <f t="shared" si="38"/>
        <v>8632084.3756769616</v>
      </c>
      <c r="CP18" s="213">
        <f t="shared" si="38"/>
        <v>8632084.3756769616</v>
      </c>
      <c r="CQ18" s="213">
        <f t="shared" si="38"/>
        <v>8632084.3756769616</v>
      </c>
      <c r="CR18" s="213">
        <f t="shared" si="38"/>
        <v>8632084.3756769616</v>
      </c>
      <c r="CS18" s="213">
        <f t="shared" si="38"/>
        <v>8632084.3756769616</v>
      </c>
      <c r="CT18" s="213">
        <f t="shared" si="38"/>
        <v>8632084.3756769616</v>
      </c>
      <c r="CU18" s="213">
        <f t="shared" si="38"/>
        <v>8632084.3756769616</v>
      </c>
      <c r="CV18" s="213">
        <f t="shared" si="38"/>
        <v>8632084.3756769616</v>
      </c>
      <c r="CW18" s="213">
        <f t="shared" si="38"/>
        <v>8632084.3756769616</v>
      </c>
      <c r="CX18" s="213">
        <f t="shared" si="38"/>
        <v>8632084.3756769616</v>
      </c>
      <c r="CY18" s="213">
        <f t="shared" si="38"/>
        <v>8632084.3756769616</v>
      </c>
      <c r="CZ18" s="213">
        <f t="shared" si="38"/>
        <v>8632084.3756769616</v>
      </c>
      <c r="DA18" s="213">
        <f t="shared" si="38"/>
        <v>8632084.3756769616</v>
      </c>
      <c r="DB18" s="213">
        <f t="shared" si="38"/>
        <v>8632084.3756769616</v>
      </c>
      <c r="DC18" s="213">
        <f t="shared" si="38"/>
        <v>8632084.3756769616</v>
      </c>
      <c r="DD18" s="213">
        <f t="shared" si="38"/>
        <v>8632084.3756769616</v>
      </c>
      <c r="DE18" s="213">
        <f t="shared" si="38"/>
        <v>8632084.3756769616</v>
      </c>
      <c r="DF18" s="213">
        <f t="shared" si="38"/>
        <v>8632084.3756769616</v>
      </c>
      <c r="DG18" s="213">
        <f t="shared" si="38"/>
        <v>8632084.3756769616</v>
      </c>
      <c r="DH18" s="213">
        <f t="shared" si="38"/>
        <v>8632084.3756769616</v>
      </c>
      <c r="DI18" s="213">
        <f t="shared" si="38"/>
        <v>8632084.3756769616</v>
      </c>
      <c r="DJ18" s="213">
        <f t="shared" si="38"/>
        <v>8632084.3756769616</v>
      </c>
      <c r="DK18" s="213">
        <f t="shared" si="38"/>
        <v>8632084.3756769616</v>
      </c>
      <c r="DL18" s="213">
        <f t="shared" si="38"/>
        <v>8632084.3756769616</v>
      </c>
      <c r="DM18" s="213">
        <f t="shared" si="38"/>
        <v>8632084.3756769616</v>
      </c>
      <c r="DN18" s="213">
        <f t="shared" si="38"/>
        <v>8632084.3756769616</v>
      </c>
      <c r="DO18" s="213">
        <f t="shared" si="38"/>
        <v>8632084.3756769616</v>
      </c>
      <c r="DP18" s="213">
        <f t="shared" si="38"/>
        <v>8632084.3756769616</v>
      </c>
      <c r="DQ18" s="213">
        <f t="shared" si="38"/>
        <v>8632084.3756769616</v>
      </c>
      <c r="DR18" s="213">
        <f t="shared" si="38"/>
        <v>8632084.3756769616</v>
      </c>
      <c r="DS18" s="213">
        <f t="shared" si="38"/>
        <v>8632084.3756769616</v>
      </c>
      <c r="DT18" s="213">
        <f t="shared" si="38"/>
        <v>8632084.3756769616</v>
      </c>
      <c r="DU18" s="213">
        <f t="shared" si="38"/>
        <v>8632084.3756769616</v>
      </c>
      <c r="DV18" s="213">
        <f t="shared" si="38"/>
        <v>8632084.3756769616</v>
      </c>
      <c r="DW18" s="213">
        <f t="shared" si="38"/>
        <v>8632084.3756769616</v>
      </c>
      <c r="DX18" s="213">
        <f t="shared" si="38"/>
        <v>8632084.3756769616</v>
      </c>
      <c r="DY18" s="213">
        <f t="shared" si="38"/>
        <v>8632084.3756769616</v>
      </c>
      <c r="DZ18" s="213">
        <f t="shared" si="38"/>
        <v>8632084.3756769616</v>
      </c>
      <c r="EA18" s="213">
        <f t="shared" si="38"/>
        <v>8632084.3756769616</v>
      </c>
      <c r="EB18" s="213">
        <f t="shared" si="38"/>
        <v>8632084.3756769616</v>
      </c>
      <c r="EC18" s="213">
        <f t="shared" si="38"/>
        <v>8632084.3756769616</v>
      </c>
      <c r="ED18" s="213">
        <f t="shared" si="38"/>
        <v>8632084.3756769616</v>
      </c>
      <c r="EE18" s="213">
        <f t="shared" si="38"/>
        <v>8632084.3756769616</v>
      </c>
      <c r="EF18" s="213">
        <f t="shared" si="38"/>
        <v>8632084.3756769616</v>
      </c>
      <c r="EG18" s="213">
        <f t="shared" ref="EG18:GR18" si="39">EF18+EG17</f>
        <v>8632084.3756769616</v>
      </c>
      <c r="EH18" s="213">
        <f t="shared" si="39"/>
        <v>8632084.3756769616</v>
      </c>
      <c r="EI18" s="213">
        <f t="shared" si="39"/>
        <v>8632084.3756769616</v>
      </c>
      <c r="EJ18" s="213">
        <f t="shared" si="39"/>
        <v>8632084.3756769616</v>
      </c>
      <c r="EK18" s="213">
        <f t="shared" si="39"/>
        <v>8632084.3756769616</v>
      </c>
      <c r="EL18" s="213">
        <f t="shared" si="39"/>
        <v>8632084.3756769616</v>
      </c>
      <c r="EM18" s="213">
        <f t="shared" si="39"/>
        <v>8632084.3756769616</v>
      </c>
      <c r="EN18" s="213">
        <f t="shared" si="39"/>
        <v>8632084.3756769616</v>
      </c>
      <c r="EO18" s="213">
        <f t="shared" si="39"/>
        <v>8632084.3756769616</v>
      </c>
      <c r="EP18" s="213">
        <f t="shared" si="39"/>
        <v>8632084.3756769616</v>
      </c>
      <c r="EQ18" s="213">
        <f t="shared" si="39"/>
        <v>8632084.3756769616</v>
      </c>
      <c r="ER18" s="213">
        <f t="shared" si="39"/>
        <v>8632084.3756769616</v>
      </c>
      <c r="ES18" s="213">
        <f t="shared" si="39"/>
        <v>8632084.3756769616</v>
      </c>
      <c r="ET18" s="213">
        <f t="shared" si="39"/>
        <v>8632084.3756769616</v>
      </c>
      <c r="EU18" s="213">
        <f t="shared" si="39"/>
        <v>8632084.3756769616</v>
      </c>
      <c r="EV18" s="213">
        <f t="shared" si="39"/>
        <v>8632084.3756769616</v>
      </c>
      <c r="EW18" s="213">
        <f t="shared" si="39"/>
        <v>8632084.3756769616</v>
      </c>
      <c r="EX18" s="213">
        <f t="shared" si="39"/>
        <v>8632084.3756769616</v>
      </c>
      <c r="EY18" s="213">
        <f t="shared" si="39"/>
        <v>8632084.3756769616</v>
      </c>
      <c r="EZ18" s="213">
        <f t="shared" si="39"/>
        <v>8632084.3756769616</v>
      </c>
      <c r="FA18" s="213">
        <f t="shared" si="39"/>
        <v>8632084.3756769616</v>
      </c>
      <c r="FB18" s="213">
        <f t="shared" si="39"/>
        <v>8632084.3756769616</v>
      </c>
      <c r="FC18" s="213">
        <f t="shared" si="39"/>
        <v>8632084.3756769616</v>
      </c>
      <c r="FD18" s="213">
        <f t="shared" si="39"/>
        <v>8632084.3756769616</v>
      </c>
      <c r="FE18" s="213">
        <f t="shared" si="39"/>
        <v>8632084.3756769616</v>
      </c>
      <c r="FF18" s="213">
        <f t="shared" si="39"/>
        <v>8632084.3756769616</v>
      </c>
      <c r="FG18" s="213">
        <f t="shared" si="39"/>
        <v>8632084.3756769616</v>
      </c>
      <c r="FH18" s="213">
        <f t="shared" si="39"/>
        <v>8632084.3756769616</v>
      </c>
      <c r="FI18" s="213">
        <f t="shared" si="39"/>
        <v>8632084.3756769616</v>
      </c>
      <c r="FJ18" s="213">
        <f t="shared" si="39"/>
        <v>8632084.3756769616</v>
      </c>
      <c r="FK18" s="213">
        <f t="shared" si="39"/>
        <v>8632084.3756769616</v>
      </c>
      <c r="FL18" s="213">
        <f t="shared" si="39"/>
        <v>8632084.3756769616</v>
      </c>
      <c r="FM18" s="213">
        <f t="shared" si="39"/>
        <v>8632084.3756769616</v>
      </c>
      <c r="FN18" s="213">
        <f t="shared" si="39"/>
        <v>8632084.3756769616</v>
      </c>
      <c r="FO18" s="213">
        <f t="shared" si="39"/>
        <v>8632084.3756769616</v>
      </c>
      <c r="FP18" s="213">
        <f t="shared" si="39"/>
        <v>8632084.3756769616</v>
      </c>
      <c r="FQ18" s="213">
        <f t="shared" si="39"/>
        <v>8632084.3756769616</v>
      </c>
      <c r="FR18" s="213">
        <f t="shared" si="39"/>
        <v>8632084.3756769616</v>
      </c>
      <c r="FS18" s="213">
        <f t="shared" si="39"/>
        <v>8632084.3756769616</v>
      </c>
      <c r="FT18" s="213">
        <f t="shared" si="39"/>
        <v>8632084.3756769616</v>
      </c>
      <c r="FU18" s="213">
        <f t="shared" si="39"/>
        <v>8632084.3756769616</v>
      </c>
      <c r="FV18" s="213">
        <f t="shared" si="39"/>
        <v>8632084.3756769616</v>
      </c>
      <c r="FW18" s="213">
        <f t="shared" si="39"/>
        <v>8632084.3756769616</v>
      </c>
      <c r="FX18" s="213">
        <f t="shared" si="39"/>
        <v>8632084.3756769616</v>
      </c>
      <c r="FY18" s="213">
        <f t="shared" si="39"/>
        <v>8632084.3756769616</v>
      </c>
      <c r="FZ18" s="213">
        <f t="shared" si="39"/>
        <v>8632084.3756769616</v>
      </c>
      <c r="GA18" s="213">
        <f t="shared" si="39"/>
        <v>8632084.3756769616</v>
      </c>
      <c r="GB18" s="213">
        <f t="shared" si="39"/>
        <v>8632084.3756769616</v>
      </c>
      <c r="GC18" s="213">
        <f t="shared" si="39"/>
        <v>8632084.3756769616</v>
      </c>
      <c r="GD18" s="213">
        <f t="shared" si="39"/>
        <v>8632084.3756769616</v>
      </c>
      <c r="GE18" s="213">
        <f t="shared" si="39"/>
        <v>8632084.3756769616</v>
      </c>
      <c r="GF18" s="213">
        <f t="shared" si="39"/>
        <v>8632084.3756769616</v>
      </c>
      <c r="GG18" s="213">
        <f t="shared" si="39"/>
        <v>8632084.3756769616</v>
      </c>
      <c r="GH18" s="213">
        <f t="shared" si="39"/>
        <v>8632084.3756769616</v>
      </c>
      <c r="GI18" s="213">
        <f t="shared" si="39"/>
        <v>8632084.3756769616</v>
      </c>
      <c r="GJ18" s="213">
        <f t="shared" si="39"/>
        <v>8632084.3756769616</v>
      </c>
      <c r="GK18" s="213">
        <f t="shared" si="39"/>
        <v>8632084.3756769616</v>
      </c>
      <c r="GL18" s="213">
        <f t="shared" si="39"/>
        <v>8632084.3756769616</v>
      </c>
      <c r="GM18" s="213">
        <f t="shared" si="39"/>
        <v>8632084.3756769616</v>
      </c>
      <c r="GN18" s="213">
        <f t="shared" si="39"/>
        <v>8632084.3756769616</v>
      </c>
      <c r="GO18" s="213">
        <f t="shared" si="39"/>
        <v>8632084.3756769616</v>
      </c>
      <c r="GP18" s="213">
        <f t="shared" si="39"/>
        <v>8632084.3756769616</v>
      </c>
      <c r="GQ18" s="213">
        <f t="shared" si="39"/>
        <v>8632084.3756769616</v>
      </c>
      <c r="GR18" s="213">
        <f t="shared" si="39"/>
        <v>8632084.3756769616</v>
      </c>
      <c r="GS18" s="213">
        <f t="shared" ref="GS18:JD18" si="40">GR18+GS17</f>
        <v>8632084.3756769616</v>
      </c>
      <c r="GT18" s="213">
        <f t="shared" si="40"/>
        <v>8632084.3756769616</v>
      </c>
      <c r="GU18" s="213">
        <f t="shared" si="40"/>
        <v>8632084.3756769616</v>
      </c>
      <c r="GV18" s="213">
        <f t="shared" si="40"/>
        <v>8632084.3756769616</v>
      </c>
      <c r="GW18" s="213">
        <f t="shared" si="40"/>
        <v>8632084.3756769616</v>
      </c>
      <c r="GX18" s="213">
        <f t="shared" si="40"/>
        <v>8632084.3756769616</v>
      </c>
      <c r="GY18" s="213">
        <f t="shared" si="40"/>
        <v>8632084.3756769616</v>
      </c>
      <c r="GZ18" s="213">
        <f t="shared" si="40"/>
        <v>8632084.3756769616</v>
      </c>
      <c r="HA18" s="213">
        <f t="shared" si="40"/>
        <v>8632084.3756769616</v>
      </c>
      <c r="HB18" s="213">
        <f t="shared" si="40"/>
        <v>8632084.3756769616</v>
      </c>
      <c r="HC18" s="213">
        <f t="shared" si="40"/>
        <v>8632084.3756769616</v>
      </c>
      <c r="HD18" s="213">
        <f t="shared" si="40"/>
        <v>8632084.3756769616</v>
      </c>
      <c r="HE18" s="213">
        <f t="shared" si="40"/>
        <v>8632084.3756769616</v>
      </c>
      <c r="HF18" s="213">
        <f t="shared" si="40"/>
        <v>8632084.3756769616</v>
      </c>
      <c r="HG18" s="213">
        <f t="shared" si="40"/>
        <v>8632084.3756769616</v>
      </c>
      <c r="HH18" s="213">
        <f t="shared" si="40"/>
        <v>8632084.3756769616</v>
      </c>
      <c r="HI18" s="213">
        <f t="shared" si="40"/>
        <v>8632084.3756769616</v>
      </c>
      <c r="HJ18" s="213">
        <f t="shared" si="40"/>
        <v>8632084.3756769616</v>
      </c>
      <c r="HK18" s="213">
        <f t="shared" si="40"/>
        <v>8632084.3756769616</v>
      </c>
      <c r="HL18" s="213">
        <f t="shared" si="40"/>
        <v>8632084.3756769616</v>
      </c>
      <c r="HM18" s="213">
        <f t="shared" si="40"/>
        <v>8632084.3756769616</v>
      </c>
      <c r="HN18" s="213">
        <f t="shared" si="40"/>
        <v>8632084.3756769616</v>
      </c>
      <c r="HO18" s="213">
        <f t="shared" si="40"/>
        <v>8632084.3756769616</v>
      </c>
      <c r="HP18" s="213">
        <f t="shared" si="40"/>
        <v>8632084.3756769616</v>
      </c>
      <c r="HQ18" s="213">
        <f t="shared" si="40"/>
        <v>8632084.3756769616</v>
      </c>
      <c r="HR18" s="213">
        <f t="shared" si="40"/>
        <v>8632084.3756769616</v>
      </c>
      <c r="HS18" s="213">
        <f t="shared" si="40"/>
        <v>8632084.3756769616</v>
      </c>
      <c r="HT18" s="213">
        <f t="shared" si="40"/>
        <v>8632084.3756769616</v>
      </c>
      <c r="HU18" s="213">
        <f t="shared" si="40"/>
        <v>8632084.3756769616</v>
      </c>
      <c r="HV18" s="213">
        <f t="shared" si="40"/>
        <v>8632084.3756769616</v>
      </c>
      <c r="HW18" s="213">
        <f t="shared" si="40"/>
        <v>8632084.3756769616</v>
      </c>
      <c r="HX18" s="213">
        <f t="shared" si="40"/>
        <v>8632084.3756769616</v>
      </c>
      <c r="HY18" s="213">
        <f t="shared" si="40"/>
        <v>8632084.3756769616</v>
      </c>
      <c r="HZ18" s="213">
        <f t="shared" si="40"/>
        <v>8632084.3756769616</v>
      </c>
      <c r="IA18" s="213">
        <f t="shared" si="40"/>
        <v>8632084.3756769616</v>
      </c>
      <c r="IB18" s="213">
        <f t="shared" si="40"/>
        <v>8632084.3756769616</v>
      </c>
      <c r="IC18" s="213">
        <f t="shared" si="40"/>
        <v>8632084.3756769616</v>
      </c>
      <c r="ID18" s="213">
        <f t="shared" si="40"/>
        <v>8632084.3756769616</v>
      </c>
      <c r="IE18" s="213">
        <f t="shared" si="40"/>
        <v>8632084.3756769616</v>
      </c>
      <c r="IF18" s="213">
        <f t="shared" si="40"/>
        <v>8632084.3756769616</v>
      </c>
      <c r="IG18" s="213">
        <f t="shared" si="40"/>
        <v>8632084.3756769616</v>
      </c>
      <c r="IH18" s="213">
        <f t="shared" si="40"/>
        <v>8632084.3756769616</v>
      </c>
      <c r="II18" s="213">
        <f t="shared" si="40"/>
        <v>8632084.3756769616</v>
      </c>
      <c r="IJ18" s="213">
        <f t="shared" si="40"/>
        <v>8632084.3756769616</v>
      </c>
      <c r="IK18" s="213">
        <f t="shared" si="40"/>
        <v>8632084.3756769616</v>
      </c>
      <c r="IL18" s="213">
        <f t="shared" si="40"/>
        <v>8632084.3756769616</v>
      </c>
      <c r="IM18" s="213">
        <f t="shared" si="40"/>
        <v>8632084.3756769616</v>
      </c>
      <c r="IN18" s="213">
        <f t="shared" si="40"/>
        <v>8632084.3756769616</v>
      </c>
      <c r="IO18" s="213">
        <f t="shared" si="40"/>
        <v>8632084.3756769616</v>
      </c>
      <c r="IP18" s="213">
        <f t="shared" si="40"/>
        <v>8632084.3756769616</v>
      </c>
      <c r="IQ18" s="213">
        <f t="shared" si="40"/>
        <v>8632084.3756769616</v>
      </c>
      <c r="IR18" s="213">
        <f t="shared" si="40"/>
        <v>8632084.3756769616</v>
      </c>
      <c r="IS18" s="213">
        <f t="shared" si="40"/>
        <v>8632084.3756769616</v>
      </c>
      <c r="IT18" s="213">
        <f t="shared" si="40"/>
        <v>8632084.3756769616</v>
      </c>
      <c r="IU18" s="213">
        <f t="shared" si="40"/>
        <v>8632084.3756769616</v>
      </c>
      <c r="IV18" s="213">
        <f t="shared" si="40"/>
        <v>8632084.3756769616</v>
      </c>
      <c r="IW18" s="213">
        <f t="shared" si="40"/>
        <v>8632084.3756769616</v>
      </c>
      <c r="IX18" s="213">
        <f t="shared" si="40"/>
        <v>8632084.3756769616</v>
      </c>
      <c r="IY18" s="213">
        <f t="shared" si="40"/>
        <v>8632084.3756769616</v>
      </c>
      <c r="IZ18" s="213">
        <f t="shared" si="40"/>
        <v>8632084.3756769616</v>
      </c>
      <c r="JA18" s="213">
        <f t="shared" si="40"/>
        <v>8632084.3756769616</v>
      </c>
      <c r="JB18" s="213">
        <f t="shared" si="40"/>
        <v>8632084.3756769616</v>
      </c>
      <c r="JC18" s="213">
        <f t="shared" si="40"/>
        <v>8632084.3756769616</v>
      </c>
      <c r="JD18" s="213">
        <f t="shared" si="40"/>
        <v>8632084.3756769616</v>
      </c>
      <c r="JE18" s="213">
        <f t="shared" ref="JE18:LD18" si="41">JD18+JE17</f>
        <v>8632084.3756769616</v>
      </c>
      <c r="JF18" s="213">
        <f t="shared" si="41"/>
        <v>8632084.3756769616</v>
      </c>
      <c r="JG18" s="213">
        <f t="shared" si="41"/>
        <v>8632084.3756769616</v>
      </c>
      <c r="JH18" s="213">
        <f t="shared" si="41"/>
        <v>8632084.3756769616</v>
      </c>
      <c r="JI18" s="213">
        <f t="shared" si="41"/>
        <v>8632084.3756769616</v>
      </c>
      <c r="JJ18" s="213">
        <f t="shared" si="41"/>
        <v>8632084.3756769616</v>
      </c>
      <c r="JK18" s="213">
        <f t="shared" si="41"/>
        <v>8632084.3756769616</v>
      </c>
      <c r="JL18" s="213">
        <f t="shared" si="41"/>
        <v>8632084.3756769616</v>
      </c>
      <c r="JM18" s="213">
        <f t="shared" si="41"/>
        <v>8632084.3756769616</v>
      </c>
      <c r="JN18" s="213">
        <f t="shared" si="41"/>
        <v>8632084.3756769616</v>
      </c>
      <c r="JO18" s="213">
        <f t="shared" si="41"/>
        <v>8632084.3756769616</v>
      </c>
      <c r="JP18" s="213">
        <f t="shared" si="41"/>
        <v>8632084.3756769616</v>
      </c>
      <c r="JQ18" s="213">
        <f t="shared" si="41"/>
        <v>8632084.3756769616</v>
      </c>
      <c r="JR18" s="213">
        <f t="shared" si="41"/>
        <v>8632084.3756769616</v>
      </c>
      <c r="JS18" s="213">
        <f t="shared" si="41"/>
        <v>8632084.3756769616</v>
      </c>
      <c r="JT18" s="213">
        <f t="shared" si="41"/>
        <v>8632084.3756769616</v>
      </c>
      <c r="JU18" s="213">
        <f t="shared" si="41"/>
        <v>8632084.3756769616</v>
      </c>
      <c r="JV18" s="213">
        <f t="shared" si="41"/>
        <v>8632084.3756769616</v>
      </c>
      <c r="JW18" s="213">
        <f t="shared" si="41"/>
        <v>8632084.3756769616</v>
      </c>
      <c r="JX18" s="213">
        <f t="shared" si="41"/>
        <v>8632084.3756769616</v>
      </c>
      <c r="JY18" s="213">
        <f t="shared" si="41"/>
        <v>8632084.3756769616</v>
      </c>
      <c r="JZ18" s="213">
        <f t="shared" si="41"/>
        <v>8632084.3756769616</v>
      </c>
      <c r="KA18" s="213">
        <f t="shared" si="41"/>
        <v>8632084.3756769616</v>
      </c>
      <c r="KB18" s="213">
        <f t="shared" si="41"/>
        <v>8632084.3756769616</v>
      </c>
      <c r="KC18" s="213">
        <f t="shared" si="41"/>
        <v>8632084.3756769616</v>
      </c>
      <c r="KD18" s="213">
        <f t="shared" si="41"/>
        <v>8632084.3756769616</v>
      </c>
      <c r="KE18" s="213">
        <f t="shared" si="41"/>
        <v>8632084.3756769616</v>
      </c>
      <c r="KF18" s="213">
        <f t="shared" si="41"/>
        <v>8632084.3756769616</v>
      </c>
      <c r="KG18" s="213">
        <f t="shared" si="41"/>
        <v>8632084.3756769616</v>
      </c>
      <c r="KH18" s="213">
        <f t="shared" si="41"/>
        <v>8632084.3756769616</v>
      </c>
      <c r="KI18" s="213">
        <f t="shared" si="41"/>
        <v>8632084.3756769616</v>
      </c>
      <c r="KJ18" s="213">
        <f t="shared" si="41"/>
        <v>8632084.3756769616</v>
      </c>
      <c r="KK18" s="213">
        <f t="shared" si="41"/>
        <v>8632084.3756769616</v>
      </c>
      <c r="KL18" s="213">
        <f t="shared" si="41"/>
        <v>8632084.3756769616</v>
      </c>
      <c r="KM18" s="213">
        <f t="shared" si="41"/>
        <v>8632084.3756769616</v>
      </c>
      <c r="KN18" s="213">
        <f t="shared" si="41"/>
        <v>8632084.3756769616</v>
      </c>
      <c r="KO18" s="213">
        <f t="shared" si="41"/>
        <v>8632084.3756769616</v>
      </c>
      <c r="KP18" s="213">
        <f t="shared" si="41"/>
        <v>8632084.3756769616</v>
      </c>
      <c r="KQ18" s="213">
        <f t="shared" si="41"/>
        <v>8632084.3756769616</v>
      </c>
      <c r="KR18" s="213">
        <f t="shared" si="41"/>
        <v>8632084.3756769616</v>
      </c>
      <c r="KS18" s="213">
        <f t="shared" si="41"/>
        <v>8632084.3756769616</v>
      </c>
      <c r="KT18" s="213">
        <f t="shared" si="41"/>
        <v>8632084.3756769616</v>
      </c>
      <c r="KU18" s="213">
        <f t="shared" si="41"/>
        <v>8632084.3756769616</v>
      </c>
      <c r="KV18" s="213">
        <f t="shared" si="41"/>
        <v>8632084.3756769616</v>
      </c>
      <c r="KW18" s="213">
        <f t="shared" si="41"/>
        <v>8632084.3756769616</v>
      </c>
      <c r="KX18" s="213">
        <f t="shared" si="41"/>
        <v>8632084.3756769616</v>
      </c>
      <c r="KY18" s="213">
        <f t="shared" si="41"/>
        <v>8632084.3756769616</v>
      </c>
      <c r="KZ18" s="213">
        <f t="shared" si="41"/>
        <v>8632084.3756769616</v>
      </c>
      <c r="LA18" s="213">
        <f t="shared" si="41"/>
        <v>8632084.3756769616</v>
      </c>
      <c r="LB18" s="213">
        <f t="shared" si="41"/>
        <v>8632084.3756769616</v>
      </c>
      <c r="LC18" s="213">
        <f t="shared" si="41"/>
        <v>8632084.3756769616</v>
      </c>
      <c r="LD18" s="213">
        <f t="shared" si="41"/>
        <v>8632084.3756769616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20" priority="1" operator="greaterThan">
      <formula>0.1</formula>
    </cfRule>
  </conditionalFormatting>
  <conditionalFormatting sqref="D3">
    <cfRule type="cellIs" dxfId="19" priority="10" operator="notEqual">
      <formula>$C$3</formula>
    </cfRule>
  </conditionalFormatting>
  <conditionalFormatting sqref="D5">
    <cfRule type="cellIs" dxfId="18" priority="8" operator="notEqual">
      <formula>$C$5</formula>
    </cfRule>
  </conditionalFormatting>
  <conditionalFormatting sqref="D9">
    <cfRule type="cellIs" dxfId="17" priority="9" operator="notEqual">
      <formula>$C$9</formula>
    </cfRule>
  </conditionalFormatting>
  <conditionalFormatting sqref="D11">
    <cfRule type="cellIs" dxfId="16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546875" defaultRowHeight="14.4"/>
  <cols>
    <col min="1" max="1" width="37.5546875" style="365" bestFit="1" customWidth="1"/>
    <col min="2" max="2" width="16.77734375" style="366" bestFit="1" customWidth="1"/>
    <col min="3" max="3" width="12.21875" style="365" bestFit="1" customWidth="1"/>
    <col min="4" max="4" width="11.88671875" style="365" bestFit="1" customWidth="1"/>
    <col min="5" max="5" width="12.21875" style="365" bestFit="1" customWidth="1"/>
    <col min="6" max="7" width="15" style="365" bestFit="1" customWidth="1"/>
    <col min="8" max="8" width="11.88671875" style="365" bestFit="1" customWidth="1"/>
    <col min="9" max="9" width="12.21875" style="365" bestFit="1" customWidth="1"/>
    <col min="10" max="10" width="15" style="365" bestFit="1" customWidth="1"/>
    <col min="11" max="11" width="11.88671875" style="365" bestFit="1" customWidth="1"/>
    <col min="12" max="12" width="6.33203125" style="365" bestFit="1" customWidth="1"/>
    <col min="13" max="13" width="11.88671875" style="365" bestFit="1" customWidth="1"/>
    <col min="14" max="14" width="13.33203125" style="365" bestFit="1" customWidth="1"/>
    <col min="15" max="16" width="11.88671875" style="365" bestFit="1" customWidth="1"/>
    <col min="17" max="17" width="15" style="365" bestFit="1" customWidth="1"/>
    <col min="18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408</v>
      </c>
      <c r="B3" s="446" t="s">
        <v>409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410</v>
      </c>
      <c r="B4" t="s">
        <v>411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412</v>
      </c>
      <c r="R4"/>
      <c r="S4"/>
      <c r="T4"/>
    </row>
    <row r="5" spans="1:20">
      <c r="A5" s="447" t="s">
        <v>411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249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259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274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287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306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319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323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343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346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350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362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370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374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359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321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412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K14" sqref="K14"/>
    </sheetView>
  </sheetViews>
  <sheetFormatPr defaultColWidth="8.44140625" defaultRowHeight="14.4"/>
  <cols>
    <col min="1" max="1" width="20.6640625" bestFit="1" customWidth="1"/>
    <col min="2" max="2" width="16.44140625" style="407" bestFit="1" customWidth="1"/>
    <col min="3" max="3" width="11.77734375" style="407" bestFit="1" customWidth="1"/>
    <col min="4" max="4" width="11.109375" style="407" bestFit="1" customWidth="1"/>
    <col min="5" max="5" width="11.77734375" style="407" bestFit="1" customWidth="1"/>
    <col min="6" max="7" width="14.44140625" style="407" bestFit="1" customWidth="1"/>
    <col min="8" max="8" width="11.109375" style="407" bestFit="1" customWidth="1"/>
    <col min="9" max="9" width="12.77734375" style="407" bestFit="1" customWidth="1"/>
    <col min="10" max="10" width="14.44140625" bestFit="1" customWidth="1"/>
    <col min="11" max="11" width="11.109375" bestFit="1" customWidth="1"/>
    <col min="12" max="12" width="13.88671875" bestFit="1" customWidth="1"/>
    <col min="13" max="14" width="12.77734375" bestFit="1" customWidth="1"/>
    <col min="15" max="16" width="11.109375" bestFit="1" customWidth="1"/>
    <col min="17" max="17" width="14.44140625" bestFit="1" customWidth="1"/>
    <col min="18" max="18" width="11.5546875" bestFit="1" customWidth="1"/>
    <col min="19" max="19" width="13.44140625" bestFit="1" customWidth="1"/>
  </cols>
  <sheetData>
    <row r="3" spans="1:17">
      <c r="A3" s="446" t="s">
        <v>413</v>
      </c>
      <c r="B3" s="446" t="s">
        <v>409</v>
      </c>
      <c r="C3"/>
      <c r="D3"/>
      <c r="E3"/>
      <c r="F3"/>
      <c r="G3"/>
      <c r="H3"/>
      <c r="I3"/>
    </row>
    <row r="4" spans="1:17">
      <c r="A4" s="446" t="s">
        <v>410</v>
      </c>
      <c r="B4" t="s">
        <v>411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412</v>
      </c>
    </row>
    <row r="5" spans="1:17">
      <c r="A5" s="447" t="s">
        <v>411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249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259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274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287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306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319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323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343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346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350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362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370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374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359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412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109375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805" t="s">
        <v>414</v>
      </c>
      <c r="C2" s="805"/>
      <c r="D2" s="805"/>
      <c r="E2" s="805"/>
      <c r="H2" s="806" t="s">
        <v>415</v>
      </c>
      <c r="I2" s="807"/>
      <c r="J2" s="807"/>
      <c r="K2" s="807"/>
      <c r="L2" s="807"/>
      <c r="M2" s="807"/>
      <c r="N2" s="807"/>
      <c r="O2" s="808"/>
    </row>
    <row r="3" spans="2:15">
      <c r="B3" s="681"/>
      <c r="H3" s="809"/>
      <c r="I3" s="810"/>
      <c r="J3" s="810"/>
      <c r="K3" s="810"/>
      <c r="L3" s="810"/>
      <c r="M3" s="810"/>
      <c r="N3" s="810"/>
      <c r="O3" s="811"/>
    </row>
    <row r="4" spans="2:15">
      <c r="B4" s="682" t="s">
        <v>416</v>
      </c>
      <c r="C4" s="683" t="str">
        <f>'Project Plan'!E2</f>
        <v>Upper East Side Hotel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82" t="s">
        <v>417</v>
      </c>
      <c r="C5" s="683" t="s">
        <v>418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82" t="s">
        <v>419</v>
      </c>
      <c r="C6" s="683" t="s">
        <v>420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82" t="s">
        <v>421</v>
      </c>
      <c r="C7" s="683" t="s">
        <v>422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81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423</v>
      </c>
      <c r="C9" s="815"/>
      <c r="D9" s="815"/>
      <c r="E9" s="81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424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684" t="s">
        <v>425</v>
      </c>
      <c r="C11" s="804" t="s">
        <v>426</v>
      </c>
      <c r="D11" s="804"/>
      <c r="E11" s="804"/>
    </row>
    <row r="12" spans="2:15">
      <c r="B12" s="684" t="s">
        <v>427</v>
      </c>
      <c r="C12" s="804" t="s">
        <v>426</v>
      </c>
      <c r="D12" s="804"/>
      <c r="E12" s="804"/>
    </row>
    <row r="13" spans="2:15">
      <c r="B13" s="684" t="s">
        <v>428</v>
      </c>
      <c r="C13" s="804" t="s">
        <v>426</v>
      </c>
      <c r="D13" s="804"/>
      <c r="E13" s="804"/>
    </row>
    <row r="14" spans="2:15">
      <c r="B14" s="684" t="s">
        <v>429</v>
      </c>
      <c r="C14" s="804" t="s">
        <v>430</v>
      </c>
      <c r="D14" s="804"/>
      <c r="E14" s="804"/>
    </row>
    <row r="15" spans="2:15">
      <c r="B15" s="684" t="s">
        <v>431</v>
      </c>
      <c r="C15" s="804" t="s">
        <v>432</v>
      </c>
      <c r="D15" s="804"/>
      <c r="E15" s="804"/>
    </row>
    <row r="16" spans="2:15" ht="15" customHeight="1">
      <c r="B16" s="684" t="s">
        <v>433</v>
      </c>
      <c r="C16" s="804" t="s">
        <v>434</v>
      </c>
      <c r="D16" s="804"/>
      <c r="E16" s="804"/>
    </row>
    <row r="17" spans="2:5">
      <c r="B17" s="681"/>
    </row>
    <row r="18" spans="2:5">
      <c r="B18" s="816" t="s">
        <v>435</v>
      </c>
      <c r="C18" s="816"/>
      <c r="D18" s="816"/>
      <c r="E18" s="816"/>
    </row>
    <row r="19" spans="2:5">
      <c r="B19" s="684" t="s">
        <v>436</v>
      </c>
      <c r="C19" s="684" t="s">
        <v>437</v>
      </c>
      <c r="D19" s="684" t="s">
        <v>438</v>
      </c>
      <c r="E19" s="684" t="s">
        <v>142</v>
      </c>
    </row>
    <row r="20" spans="2:5" ht="15" customHeight="1">
      <c r="B20" s="684" t="s">
        <v>439</v>
      </c>
      <c r="C20" s="684" t="s">
        <v>440</v>
      </c>
      <c r="D20" s="685" t="s">
        <v>441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09" t="s">
        <v>442</v>
      </c>
    </row>
    <row r="2" spans="1:4">
      <c r="A2" s="818"/>
      <c r="B2" s="818"/>
      <c r="C2" s="818"/>
      <c r="D2" s="71"/>
    </row>
    <row r="3" spans="1:4">
      <c r="A3" s="817" t="s">
        <v>443</v>
      </c>
      <c r="B3" s="817"/>
      <c r="C3" s="817"/>
      <c r="D3" s="110">
        <v>0.32</v>
      </c>
    </row>
    <row r="4" spans="1:4">
      <c r="A4" s="817" t="s">
        <v>383</v>
      </c>
      <c r="B4" s="817"/>
      <c r="C4" s="817"/>
      <c r="D4" s="110">
        <v>0.5</v>
      </c>
    </row>
    <row r="5" spans="1:4">
      <c r="A5" s="817" t="s">
        <v>394</v>
      </c>
      <c r="B5" s="817"/>
      <c r="C5" s="817"/>
      <c r="D5" s="110">
        <v>0.15</v>
      </c>
    </row>
    <row r="6" spans="1:4">
      <c r="A6" s="817" t="s">
        <v>444</v>
      </c>
      <c r="B6" s="817"/>
      <c r="C6" s="817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.109375" style="87" bestFit="1" customWidth="1"/>
    <col min="5" max="5" width="3.109375" style="87" customWidth="1"/>
    <col min="6" max="6" width="15.44140625" style="87" customWidth="1"/>
    <col min="7" max="7" width="2.44140625" style="87" customWidth="1"/>
    <col min="8" max="8" width="16.109375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.109375" style="87" bestFit="1" customWidth="1"/>
    <col min="13" max="13" width="2.88671875" style="87" customWidth="1"/>
    <col min="14" max="14" width="45.44140625" style="87" customWidth="1"/>
    <col min="15" max="16384" width="9.44140625" style="87"/>
  </cols>
  <sheetData>
    <row r="2" spans="2:14" s="93" customFormat="1" ht="17.399999999999999">
      <c r="B2" s="819" t="s">
        <v>445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</row>
    <row r="4" spans="2:14">
      <c r="B4" s="91" t="s">
        <v>446</v>
      </c>
      <c r="C4" s="85"/>
      <c r="D4" s="89" t="s">
        <v>447</v>
      </c>
      <c r="E4" s="94"/>
      <c r="F4" s="89" t="s">
        <v>448</v>
      </c>
      <c r="H4" s="89" t="s">
        <v>449</v>
      </c>
      <c r="I4" s="94"/>
      <c r="J4" s="89" t="s">
        <v>450</v>
      </c>
      <c r="L4" s="89" t="s">
        <v>449</v>
      </c>
      <c r="M4" s="89"/>
      <c r="N4" s="89" t="s">
        <v>451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452</v>
      </c>
      <c r="H7" s="98"/>
      <c r="I7" s="94"/>
      <c r="J7" s="106" t="s">
        <v>452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257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257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453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454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455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452</v>
      </c>
      <c r="H15" s="98"/>
      <c r="I15" s="94"/>
      <c r="J15" s="106" t="s">
        <v>452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456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456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455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452</v>
      </c>
      <c r="H21" s="98"/>
      <c r="I21" s="94"/>
      <c r="J21" s="106" t="s">
        <v>452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288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288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455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452</v>
      </c>
      <c r="H27" s="98"/>
      <c r="I27" s="94"/>
      <c r="J27" s="106" t="s">
        <v>452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457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455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452</v>
      </c>
      <c r="H34" s="98"/>
      <c r="I34" s="94"/>
      <c r="J34" s="106" t="s">
        <v>452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458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459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460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461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462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463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464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465</v>
      </c>
    </row>
  </sheetData>
  <mergeCells count="1">
    <mergeCell ref="B2:N2"/>
  </mergeCells>
  <conditionalFormatting sqref="H6:H41">
    <cfRule type="cellIs" dxfId="15" priority="1" operator="greaterThan">
      <formula>0</formula>
    </cfRule>
    <cfRule type="cellIs" dxfId="14" priority="2" operator="lessThan">
      <formula>0</formula>
    </cfRule>
  </conditionalFormatting>
  <conditionalFormatting sqref="L6:M41">
    <cfRule type="cellIs" dxfId="13" priority="3" operator="greaterThan">
      <formula>0</formula>
    </cfRule>
    <cfRule type="cellIs" dxfId="12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.109375" style="87" bestFit="1" customWidth="1"/>
    <col min="5" max="5" width="7" style="87" customWidth="1"/>
    <col min="6" max="6" width="3.109375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.109375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6640625" style="87" customWidth="1"/>
    <col min="15" max="15" width="14.109375" style="87" bestFit="1" customWidth="1"/>
    <col min="16" max="16384" width="9.44140625" style="87"/>
  </cols>
  <sheetData>
    <row r="2" spans="2:15" s="93" customFormat="1" ht="17.399999999999999">
      <c r="B2" s="819" t="s">
        <v>466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</row>
    <row r="4" spans="2:15">
      <c r="B4" s="91" t="s">
        <v>446</v>
      </c>
      <c r="C4" s="85"/>
      <c r="D4" s="89" t="s">
        <v>447</v>
      </c>
      <c r="E4" s="94"/>
      <c r="F4" s="94"/>
      <c r="G4" s="89" t="s">
        <v>467</v>
      </c>
      <c r="H4" s="95"/>
      <c r="J4" s="89" t="s">
        <v>449</v>
      </c>
      <c r="L4" s="89" t="s">
        <v>468</v>
      </c>
      <c r="M4" s="95"/>
      <c r="O4" s="89" t="s">
        <v>449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256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263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265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267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268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469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270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271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464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446</v>
      </c>
      <c r="C18" s="85"/>
      <c r="D18" s="89" t="s">
        <v>447</v>
      </c>
      <c r="E18" s="94"/>
      <c r="F18" s="94"/>
      <c r="G18" s="89" t="s">
        <v>470</v>
      </c>
      <c r="H18" s="95"/>
      <c r="J18" s="89" t="s">
        <v>449</v>
      </c>
      <c r="L18" s="89" t="s">
        <v>471</v>
      </c>
      <c r="M18" s="95"/>
      <c r="O18" s="89" t="s">
        <v>449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472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473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474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475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270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476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268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464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477</v>
      </c>
      <c r="C32" s="102"/>
      <c r="D32" s="102"/>
    </row>
    <row r="33" spans="2:4" ht="13.8" thickTop="1"/>
    <row r="34" spans="2:4">
      <c r="B34" s="87" t="s">
        <v>447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478</v>
      </c>
    </row>
  </sheetData>
  <mergeCells count="1">
    <mergeCell ref="B2:O2"/>
  </mergeCells>
  <conditionalFormatting sqref="D35:D38">
    <cfRule type="cellIs" dxfId="11" priority="1" operator="lessThan">
      <formula>$D$22</formula>
    </cfRule>
    <cfRule type="cellIs" dxfId="10" priority="2" operator="greaterThan">
      <formula>$D$22</formula>
    </cfRule>
    <cfRule type="cellIs" dxfId="9" priority="3" operator="lessThan">
      <formula>$D$24</formula>
    </cfRule>
    <cfRule type="cellIs" dxfId="8" priority="4" operator="greaterThan">
      <formula>$D$24</formula>
    </cfRule>
  </conditionalFormatting>
  <conditionalFormatting sqref="J6:J13 O6:O13 J20:J27 O20:O27">
    <cfRule type="cellIs" dxfId="7" priority="21" operator="lessThan">
      <formula>0</formula>
    </cfRule>
    <cfRule type="cellIs" dxfId="6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109375" customWidth="1"/>
    <col min="10" max="10" width="19.5546875" bestFit="1" customWidth="1"/>
  </cols>
  <sheetData>
    <row r="1" spans="2:14">
      <c r="B1" s="821" t="str">
        <f>D15</f>
        <v>Upper East Side Hotel</v>
      </c>
      <c r="C1" s="821"/>
      <c r="D1" s="821"/>
      <c r="E1" s="820" t="s">
        <v>479</v>
      </c>
      <c r="F1" s="820"/>
      <c r="G1" s="820"/>
      <c r="H1" s="820"/>
      <c r="I1" s="820"/>
      <c r="J1" s="820"/>
      <c r="K1" s="77"/>
      <c r="L1" s="77"/>
      <c r="M1" s="77"/>
      <c r="N1" s="77"/>
    </row>
    <row r="2" spans="2:14" ht="6.75" customHeight="1"/>
    <row r="3" spans="2:14">
      <c r="B3" s="72" t="s">
        <v>480</v>
      </c>
      <c r="C3" s="72" t="s">
        <v>481</v>
      </c>
      <c r="D3" s="72" t="s">
        <v>482</v>
      </c>
      <c r="E3" s="78" t="s">
        <v>483</v>
      </c>
      <c r="F3" s="78" t="s">
        <v>484</v>
      </c>
      <c r="G3" s="78" t="s">
        <v>74</v>
      </c>
      <c r="H3" s="78" t="s">
        <v>141</v>
      </c>
      <c r="I3" s="78" t="s">
        <v>142</v>
      </c>
      <c r="J3" s="78" t="s">
        <v>143</v>
      </c>
    </row>
    <row r="4" spans="2:14">
      <c r="B4" s="76" t="s">
        <v>485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5" priority="1" operator="containsText" text="Pending">
      <formula>NOT(ISERROR(SEARCH("Pending",G4)))</formula>
    </cfRule>
    <cfRule type="containsText" dxfId="4" priority="2" operator="containsText" text="Declined">
      <formula>NOT(ISERROR(SEARCH("Declined",G4)))</formula>
    </cfRule>
    <cfRule type="containsText" dxfId="3" priority="3" operator="containsText" text="Abanded">
      <formula>NOT(ISERROR(SEARCH("Abanded",G4)))</formula>
    </cfRule>
    <cfRule type="containsText" dxfId="2" priority="4" operator="containsText" text="Declined">
      <formula>NOT(ISERROR(SEARCH("Declined",G4)))</formula>
    </cfRule>
    <cfRule type="containsText" dxfId="1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2026-02-11T10:55:55Z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