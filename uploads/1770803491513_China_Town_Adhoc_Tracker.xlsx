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2" documentId="13_ncr:1_{E1EE6CCD-752A-4D1E-BBB5-4F1A64A5A146}" xr6:coauthVersionLast="47" xr6:coauthVersionMax="47" xr10:uidLastSave="{A2FEC53C-91D8-4417-A6DC-6EAEBA74D220}"/>
  <bookViews>
    <workbookView xWindow="-28920" yWindow="855" windowWidth="29040" windowHeight="15720" tabRatio="867" firstSheet="2" activeTab="10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36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5" l="1"/>
  <c r="P14" i="5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7" i="6"/>
  <c r="HK18" i="6" s="1"/>
  <c r="HK6" i="6"/>
  <c r="HM1" i="6"/>
  <c r="HL5" i="6" s="1"/>
  <c r="HA7" i="6"/>
  <c r="HB4" i="6"/>
  <c r="GW14" i="6"/>
  <c r="GX10" i="6"/>
  <c r="HK12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JX12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<sst xmlns="http://schemas.openxmlformats.org/spreadsheetml/2006/main" count="680" uniqueCount="388">
  <si>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</si>
  <si>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</si>
  <si>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</si>
  <si>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</si>
  <si>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</si>
  <si>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</si>
  <si>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</si>
  <si>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</si>
  <si>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</si>
  <si>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</si>
  <si>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</si>
  <si>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</si>
  <si>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</si>
  <si>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</si>
  <si>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</si>
  <si>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</si>
  <si>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</si>
  <si>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</si>
  <si>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</si>
  <si>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</si>
  <si>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</si>
  <si>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</si>
  <si>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</si>
  <si>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</si>
  <si>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</si>
  <si>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</si>
  <si>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</si>
  <si>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</si>
  <si>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</si>
  <si>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</si>
  <si>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</si>
  <si>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</si>
  <si>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</si>
  <si>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</si>
  <si>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</si>
  <si>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</si>
  <si>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</si>
  <si>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</si>
  <si>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</si>
  <si>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</si>
  <si>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</si>
  <si>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</si>
  <si>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</si>
  <si>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</si>
  <si>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</si>
  <si>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</si>
  <si>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</si>
  <si>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</si>
  <si>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</si>
  <si>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</si>
  <si>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</si>
  <si>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</si>
  <si>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</si>
  <si>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</si>
  <si>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</si>
  <si>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</si>
  <si>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</si>
  <si>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</si>
  <si>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</si>
  <si>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</si>
  <si>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</si>
  <si>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</si>
  <si>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</si>
  <si>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</si>
  <si>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</si>
  <si>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</si>
  <si>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</si>
  <si>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</si>
  <si>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</si>
  <si>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</si>
  <si>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</si>
  <si>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</si>
  <si>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</si>
  <si>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</si>
  <si>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</si>
  <si>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</si>
  <si>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</si>
  <si>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</si>
  <si>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</si>
  <si>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</si>
  <si>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</si>
  <si>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</si>
  <si>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</si>
  <si>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</si>
  <si>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</si>
  <si>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</si>
  <si>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</si>
  <si>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</si>
  <si>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</si>
  <si>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</si>
  <si>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</si>
  <si>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</si>
  <si>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</si>
  <si>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</si>
  <si>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</si>
  <si>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</si>
  <si>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</si>
  <si>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</si>
  <si>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</si>
  <si>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</si>
  <si>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</si>
  <si>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</si>
  <si>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</si>
  <si>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</si>
  <si>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</si>
  <si>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</si>
  <si>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</si>
  <si>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</si>
  <si>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</si>
  <si>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</si>
  <si>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</si>
  <si>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</si>
  <si>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</si>
  <si>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</si>
  <si>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Not docs required</t>
  </si>
  <si>
    <t>1.19</t>
  </si>
  <si>
    <t xml:space="preserve">Not required </t>
  </si>
  <si>
    <t>1.20</t>
  </si>
  <si>
    <t>Client Handover</t>
  </si>
  <si>
    <t>Walk-through  only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</si>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</sst>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311634.11</c:v>
                </c:pt>
                <c:pt idx="61">
                  <c:v>311634.11</c:v>
                </c:pt>
                <c:pt idx="62">
                  <c:v>311634.11</c:v>
                </c:pt>
                <c:pt idx="63">
                  <c:v>311634.11</c:v>
                </c:pt>
                <c:pt idx="64">
                  <c:v>311634.11</c:v>
                </c:pt>
                <c:pt idx="65">
                  <c:v>311634.11</c:v>
                </c:pt>
                <c:pt idx="66">
                  <c:v>311634.11</c:v>
                </c:pt>
                <c:pt idx="67">
                  <c:v>311634.11</c:v>
                </c:pt>
                <c:pt idx="68">
                  <c:v>311634.11</c:v>
                </c:pt>
                <c:pt idx="69">
                  <c:v>311634.11</c:v>
                </c:pt>
                <c:pt idx="70">
                  <c:v>311634.11</c:v>
                </c:pt>
                <c:pt idx="71">
                  <c:v>311634.11</c:v>
                </c:pt>
                <c:pt idx="72">
                  <c:v>311634.11</c:v>
                </c:pt>
                <c:pt idx="73">
                  <c:v>311634.11</c:v>
                </c:pt>
                <c:pt idx="74">
                  <c:v>311634.11</c:v>
                </c:pt>
                <c:pt idx="75">
                  <c:v>311634.11</c:v>
                </c:pt>
                <c:pt idx="76">
                  <c:v>311634.11</c:v>
                </c:pt>
                <c:pt idx="77">
                  <c:v>311634.11</c:v>
                </c:pt>
                <c:pt idx="78">
                  <c:v>311634.11</c:v>
                </c:pt>
                <c:pt idx="79">
                  <c:v>311634.11</c:v>
                </c:pt>
                <c:pt idx="80">
                  <c:v>311634.11</c:v>
                </c:pt>
                <c:pt idx="81">
                  <c:v>311634.11</c:v>
                </c:pt>
                <c:pt idx="82">
                  <c:v>311634.11</c:v>
                </c:pt>
                <c:pt idx="83">
                  <c:v>311634.11</c:v>
                </c:pt>
                <c:pt idx="84">
                  <c:v>311634.11</c:v>
                </c:pt>
                <c:pt idx="85">
                  <c:v>311634.11</c:v>
                </c:pt>
                <c:pt idx="86">
                  <c:v>311634.11</c:v>
                </c:pt>
                <c:pt idx="87">
                  <c:v>311634.11</c:v>
                </c:pt>
                <c:pt idx="88">
                  <c:v>311634.11</c:v>
                </c:pt>
                <c:pt idx="89">
                  <c:v>311634.11</c:v>
                </c:pt>
                <c:pt idx="90">
                  <c:v>311634.11</c:v>
                </c:pt>
                <c:pt idx="91">
                  <c:v>311634.11</c:v>
                </c:pt>
                <c:pt idx="92">
                  <c:v>311634.11</c:v>
                </c:pt>
                <c:pt idx="93">
                  <c:v>311634.11</c:v>
                </c:pt>
                <c:pt idx="94">
                  <c:v>311634.11</c:v>
                </c:pt>
                <c:pt idx="95">
                  <c:v>311634.11</c:v>
                </c:pt>
                <c:pt idx="96">
                  <c:v>311634.11</c:v>
                </c:pt>
                <c:pt idx="97">
                  <c:v>311634.11</c:v>
                </c:pt>
                <c:pt idx="98">
                  <c:v>311634.11</c:v>
                </c:pt>
                <c:pt idx="99">
                  <c:v>311634.11</c:v>
                </c:pt>
                <c:pt idx="100">
                  <c:v>311634.11</c:v>
                </c:pt>
                <c:pt idx="101">
                  <c:v>311634.11</c:v>
                </c:pt>
                <c:pt idx="102">
                  <c:v>311634.11</c:v>
                </c:pt>
                <c:pt idx="103">
                  <c:v>311634.11</c:v>
                </c:pt>
                <c:pt idx="104">
                  <c:v>311634.11</c:v>
                </c:pt>
                <c:pt idx="105">
                  <c:v>311634.11</c:v>
                </c:pt>
                <c:pt idx="106">
                  <c:v>311634.11</c:v>
                </c:pt>
                <c:pt idx="107">
                  <c:v>311634.11</c:v>
                </c:pt>
                <c:pt idx="108">
                  <c:v>311634.11</c:v>
                </c:pt>
                <c:pt idx="109">
                  <c:v>311634.11</c:v>
                </c:pt>
                <c:pt idx="110">
                  <c:v>311634.11</c:v>
                </c:pt>
                <c:pt idx="111">
                  <c:v>311634.11</c:v>
                </c:pt>
                <c:pt idx="112">
                  <c:v>311634.11</c:v>
                </c:pt>
                <c:pt idx="113">
                  <c:v>311634.11</c:v>
                </c:pt>
                <c:pt idx="114">
                  <c:v>311634.11</c:v>
                </c:pt>
                <c:pt idx="115">
                  <c:v>311634.11</c:v>
                </c:pt>
                <c:pt idx="116">
                  <c:v>311634.11</c:v>
                </c:pt>
                <c:pt idx="117">
                  <c:v>311634.11</c:v>
                </c:pt>
                <c:pt idx="118">
                  <c:v>311634.11</c:v>
                </c:pt>
                <c:pt idx="119">
                  <c:v>311634.11</c:v>
                </c:pt>
                <c:pt idx="120">
                  <c:v>311634.11</c:v>
                </c:pt>
                <c:pt idx="121">
                  <c:v>311634.11</c:v>
                </c:pt>
                <c:pt idx="122">
                  <c:v>311634.11</c:v>
                </c:pt>
                <c:pt idx="123">
                  <c:v>311634.11</c:v>
                </c:pt>
                <c:pt idx="124">
                  <c:v>311634.11</c:v>
                </c:pt>
                <c:pt idx="125">
                  <c:v>311634.11</c:v>
                </c:pt>
                <c:pt idx="126">
                  <c:v>311634.11</c:v>
                </c:pt>
                <c:pt idx="127">
                  <c:v>311634.11</c:v>
                </c:pt>
                <c:pt idx="128">
                  <c:v>311634.11</c:v>
                </c:pt>
                <c:pt idx="129">
                  <c:v>311634.11</c:v>
                </c:pt>
                <c:pt idx="130">
                  <c:v>311634.11</c:v>
                </c:pt>
                <c:pt idx="131">
                  <c:v>311634.11</c:v>
                </c:pt>
                <c:pt idx="132">
                  <c:v>311634.11</c:v>
                </c:pt>
                <c:pt idx="133">
                  <c:v>311634.11</c:v>
                </c:pt>
                <c:pt idx="134">
                  <c:v>311634.11</c:v>
                </c:pt>
                <c:pt idx="135">
                  <c:v>311634.11</c:v>
                </c:pt>
                <c:pt idx="136">
                  <c:v>311634.11</c:v>
                </c:pt>
                <c:pt idx="137">
                  <c:v>311634.11</c:v>
                </c:pt>
                <c:pt idx="138">
                  <c:v>311634.11</c:v>
                </c:pt>
                <c:pt idx="139">
                  <c:v>311634.11</c:v>
                </c:pt>
                <c:pt idx="140">
                  <c:v>311634.11</c:v>
                </c:pt>
                <c:pt idx="141">
                  <c:v>311634.11</c:v>
                </c:pt>
                <c:pt idx="142">
                  <c:v>311634.11</c:v>
                </c:pt>
                <c:pt idx="143">
                  <c:v>311634.11</c:v>
                </c:pt>
                <c:pt idx="144">
                  <c:v>311634.11</c:v>
                </c:pt>
                <c:pt idx="145">
                  <c:v>311634.11</c:v>
                </c:pt>
                <c:pt idx="146">
                  <c:v>311634.11</c:v>
                </c:pt>
                <c:pt idx="147">
                  <c:v>311634.11</c:v>
                </c:pt>
                <c:pt idx="148">
                  <c:v>311634.11</c:v>
                </c:pt>
                <c:pt idx="149">
                  <c:v>311634.11</c:v>
                </c:pt>
                <c:pt idx="150">
                  <c:v>311634.11</c:v>
                </c:pt>
                <c:pt idx="151">
                  <c:v>311634.11</c:v>
                </c:pt>
                <c:pt idx="152">
                  <c:v>311634.11</c:v>
                </c:pt>
                <c:pt idx="153">
                  <c:v>311634.11</c:v>
                </c:pt>
                <c:pt idx="154">
                  <c:v>311634.11</c:v>
                </c:pt>
                <c:pt idx="155">
                  <c:v>311634.11</c:v>
                </c:pt>
                <c:pt idx="156">
                  <c:v>311634.11</c:v>
                </c:pt>
                <c:pt idx="157">
                  <c:v>311634.11</c:v>
                </c:pt>
                <c:pt idx="158">
                  <c:v>311634.11</c:v>
                </c:pt>
                <c:pt idx="159">
                  <c:v>311634.11</c:v>
                </c:pt>
                <c:pt idx="160">
                  <c:v>311634.11</c:v>
                </c:pt>
                <c:pt idx="161">
                  <c:v>311634.11</c:v>
                </c:pt>
                <c:pt idx="162">
                  <c:v>311634.11</c:v>
                </c:pt>
                <c:pt idx="163">
                  <c:v>311634.11</c:v>
                </c:pt>
                <c:pt idx="164">
                  <c:v>311634.11</c:v>
                </c:pt>
                <c:pt idx="165">
                  <c:v>311634.11</c:v>
                </c:pt>
                <c:pt idx="166">
                  <c:v>311634.11</c:v>
                </c:pt>
                <c:pt idx="167">
                  <c:v>311634.11</c:v>
                </c:pt>
                <c:pt idx="168">
                  <c:v>311634.11</c:v>
                </c:pt>
                <c:pt idx="169">
                  <c:v>311634.11</c:v>
                </c:pt>
                <c:pt idx="170">
                  <c:v>311634.11</c:v>
                </c:pt>
                <c:pt idx="171">
                  <c:v>311634.11</c:v>
                </c:pt>
                <c:pt idx="172">
                  <c:v>311634.11</c:v>
                </c:pt>
                <c:pt idx="173">
                  <c:v>311634.11</c:v>
                </c:pt>
                <c:pt idx="174">
                  <c:v>311634.11</c:v>
                </c:pt>
                <c:pt idx="175">
                  <c:v>311634.11</c:v>
                </c:pt>
                <c:pt idx="176">
                  <c:v>311634.11</c:v>
                </c:pt>
                <c:pt idx="177">
                  <c:v>311634.11</c:v>
                </c:pt>
                <c:pt idx="178">
                  <c:v>311634.11</c:v>
                </c:pt>
                <c:pt idx="179">
                  <c:v>311634.11</c:v>
                </c:pt>
                <c:pt idx="180">
                  <c:v>311634.11</c:v>
                </c:pt>
                <c:pt idx="181">
                  <c:v>311634.11</c:v>
                </c:pt>
                <c:pt idx="182">
                  <c:v>311634.11</c:v>
                </c:pt>
                <c:pt idx="183">
                  <c:v>311634.11</c:v>
                </c:pt>
                <c:pt idx="184">
                  <c:v>311634.11</c:v>
                </c:pt>
                <c:pt idx="185">
                  <c:v>311634.11</c:v>
                </c:pt>
                <c:pt idx="186">
                  <c:v>311634.11</c:v>
                </c:pt>
                <c:pt idx="187">
                  <c:v>311634.11</c:v>
                </c:pt>
                <c:pt idx="188">
                  <c:v>311634.11</c:v>
                </c:pt>
                <c:pt idx="189">
                  <c:v>311634.11</c:v>
                </c:pt>
                <c:pt idx="190">
                  <c:v>311634.11</c:v>
                </c:pt>
                <c:pt idx="191">
                  <c:v>311634.11</c:v>
                </c:pt>
                <c:pt idx="192">
                  <c:v>311634.11</c:v>
                </c:pt>
                <c:pt idx="193">
                  <c:v>311634.11</c:v>
                </c:pt>
                <c:pt idx="194">
                  <c:v>311634.11</c:v>
                </c:pt>
                <c:pt idx="195">
                  <c:v>311634.11</c:v>
                </c:pt>
                <c:pt idx="196">
                  <c:v>311634.11</c:v>
                </c:pt>
                <c:pt idx="197">
                  <c:v>311634.11</c:v>
                </c:pt>
                <c:pt idx="198">
                  <c:v>311634.11</c:v>
                </c:pt>
                <c:pt idx="199">
                  <c:v>311634.11</c:v>
                </c:pt>
                <c:pt idx="200">
                  <c:v>311634.11</c:v>
                </c:pt>
                <c:pt idx="201">
                  <c:v>311634.11</c:v>
                </c:pt>
                <c:pt idx="202">
                  <c:v>311634.11</c:v>
                </c:pt>
                <c:pt idx="203">
                  <c:v>311634.11</c:v>
                </c:pt>
                <c:pt idx="204">
                  <c:v>311634.11</c:v>
                </c:pt>
                <c:pt idx="205">
                  <c:v>311634.11</c:v>
                </c:pt>
                <c:pt idx="206">
                  <c:v>311634.11</c:v>
                </c:pt>
                <c:pt idx="207">
                  <c:v>311634.11</c:v>
                </c:pt>
                <c:pt idx="208">
                  <c:v>311634.11</c:v>
                </c:pt>
                <c:pt idx="209">
                  <c:v>311634.11</c:v>
                </c:pt>
                <c:pt idx="210">
                  <c:v>311634.11</c:v>
                </c:pt>
                <c:pt idx="211">
                  <c:v>311634.11</c:v>
                </c:pt>
                <c:pt idx="212">
                  <c:v>311634.11</c:v>
                </c:pt>
                <c:pt idx="213">
                  <c:v>311634.11</c:v>
                </c:pt>
                <c:pt idx="214">
                  <c:v>311634.11</c:v>
                </c:pt>
                <c:pt idx="215">
                  <c:v>311634.11</c:v>
                </c:pt>
                <c:pt idx="216">
                  <c:v>311634.11</c:v>
                </c:pt>
                <c:pt idx="217">
                  <c:v>311634.11</c:v>
                </c:pt>
                <c:pt idx="218">
                  <c:v>311634.11</c:v>
                </c:pt>
                <c:pt idx="219">
                  <c:v>311634.11</c:v>
                </c:pt>
                <c:pt idx="220">
                  <c:v>311634.11</c:v>
                </c:pt>
                <c:pt idx="221">
                  <c:v>311634.11</c:v>
                </c:pt>
                <c:pt idx="222">
                  <c:v>311634.11</c:v>
                </c:pt>
                <c:pt idx="223">
                  <c:v>311634.11</c:v>
                </c:pt>
                <c:pt idx="224">
                  <c:v>311634.11</c:v>
                </c:pt>
                <c:pt idx="225">
                  <c:v>311634.11</c:v>
                </c:pt>
                <c:pt idx="226">
                  <c:v>311634.11</c:v>
                </c:pt>
                <c:pt idx="227">
                  <c:v>311634.11</c:v>
                </c:pt>
                <c:pt idx="228">
                  <c:v>311634.11</c:v>
                </c:pt>
                <c:pt idx="229">
                  <c:v>311634.11</c:v>
                </c:pt>
                <c:pt idx="230">
                  <c:v>311634.11</c:v>
                </c:pt>
                <c:pt idx="231">
                  <c:v>311634.11</c:v>
                </c:pt>
                <c:pt idx="232">
                  <c:v>311634.11</c:v>
                </c:pt>
                <c:pt idx="233">
                  <c:v>311634.11</c:v>
                </c:pt>
                <c:pt idx="234">
                  <c:v>311634.11</c:v>
                </c:pt>
                <c:pt idx="235">
                  <c:v>311634.11</c:v>
                </c:pt>
                <c:pt idx="236">
                  <c:v>311634.11</c:v>
                </c:pt>
                <c:pt idx="237">
                  <c:v>311634.11</c:v>
                </c:pt>
                <c:pt idx="238">
                  <c:v>311634.11</c:v>
                </c:pt>
                <c:pt idx="239">
                  <c:v>311634.11</c:v>
                </c:pt>
                <c:pt idx="240">
                  <c:v>311634.11</c:v>
                </c:pt>
                <c:pt idx="241">
                  <c:v>311634.11</c:v>
                </c:pt>
                <c:pt idx="242">
                  <c:v>311634.11</c:v>
                </c:pt>
                <c:pt idx="243">
                  <c:v>311634.11</c:v>
                </c:pt>
                <c:pt idx="244">
                  <c:v>311634.11</c:v>
                </c:pt>
                <c:pt idx="245">
                  <c:v>311634.11</c:v>
                </c:pt>
                <c:pt idx="246">
                  <c:v>311634.11</c:v>
                </c:pt>
                <c:pt idx="247">
                  <c:v>311634.11</c:v>
                </c:pt>
                <c:pt idx="248">
                  <c:v>311634.11</c:v>
                </c:pt>
                <c:pt idx="249">
                  <c:v>311634.11</c:v>
                </c:pt>
                <c:pt idx="250">
                  <c:v>311634.11</c:v>
                </c:pt>
                <c:pt idx="251">
                  <c:v>311634.11</c:v>
                </c:pt>
                <c:pt idx="252">
                  <c:v>311634.11</c:v>
                </c:pt>
                <c:pt idx="253">
                  <c:v>311634.11</c:v>
                </c:pt>
                <c:pt idx="254">
                  <c:v>311634.11</c:v>
                </c:pt>
                <c:pt idx="255">
                  <c:v>311634.11</c:v>
                </c:pt>
                <c:pt idx="256">
                  <c:v>311634.11</c:v>
                </c:pt>
                <c:pt idx="257">
                  <c:v>311634.11</c:v>
                </c:pt>
                <c:pt idx="258">
                  <c:v>311634.11</c:v>
                </c:pt>
                <c:pt idx="259">
                  <c:v>311634.11</c:v>
                </c:pt>
                <c:pt idx="260">
                  <c:v>311634.11</c:v>
                </c:pt>
                <c:pt idx="261">
                  <c:v>311634.11</c:v>
                </c:pt>
                <c:pt idx="262">
                  <c:v>311634.11</c:v>
                </c:pt>
                <c:pt idx="263">
                  <c:v>311634.11</c:v>
                </c:pt>
                <c:pt idx="264">
                  <c:v>311634.11</c:v>
                </c:pt>
                <c:pt idx="265">
                  <c:v>311634.11</c:v>
                </c:pt>
                <c:pt idx="266">
                  <c:v>311634.11</c:v>
                </c:pt>
                <c:pt idx="267">
                  <c:v>311634.11</c:v>
                </c:pt>
                <c:pt idx="268">
                  <c:v>311634.11</c:v>
                </c:pt>
                <c:pt idx="269">
                  <c:v>311634.11</c:v>
                </c:pt>
                <c:pt idx="270">
                  <c:v>311634.11</c:v>
                </c:pt>
                <c:pt idx="271">
                  <c:v>311634.11</c:v>
                </c:pt>
                <c:pt idx="272">
                  <c:v>311634.11</c:v>
                </c:pt>
                <c:pt idx="273">
                  <c:v>311634.11</c:v>
                </c:pt>
                <c:pt idx="274">
                  <c:v>311634.11</c:v>
                </c:pt>
                <c:pt idx="275">
                  <c:v>311634.11</c:v>
                </c:pt>
                <c:pt idx="276">
                  <c:v>311634.11</c:v>
                </c:pt>
                <c:pt idx="277">
                  <c:v>311634.11</c:v>
                </c:pt>
                <c:pt idx="278">
                  <c:v>311634.11</c:v>
                </c:pt>
                <c:pt idx="279">
                  <c:v>311634.11</c:v>
                </c:pt>
                <c:pt idx="280">
                  <c:v>311634.11</c:v>
                </c:pt>
                <c:pt idx="281">
                  <c:v>311634.11</c:v>
                </c:pt>
                <c:pt idx="282">
                  <c:v>311634.11</c:v>
                </c:pt>
                <c:pt idx="283">
                  <c:v>311634.11</c:v>
                </c:pt>
                <c:pt idx="284">
                  <c:v>311634.11</c:v>
                </c:pt>
                <c:pt idx="285">
                  <c:v>311634.11</c:v>
                </c:pt>
                <c:pt idx="286">
                  <c:v>311634.11</c:v>
                </c:pt>
                <c:pt idx="287">
                  <c:v>311634.11</c:v>
                </c:pt>
                <c:pt idx="288">
                  <c:v>311634.11</c:v>
                </c:pt>
                <c:pt idx="289">
                  <c:v>311634.11</c:v>
                </c:pt>
                <c:pt idx="290">
                  <c:v>311634.11</c:v>
                </c:pt>
                <c:pt idx="291">
                  <c:v>311634.11</c:v>
                </c:pt>
                <c:pt idx="292">
                  <c:v>311634.11</c:v>
                </c:pt>
                <c:pt idx="293">
                  <c:v>311634.11</c:v>
                </c:pt>
                <c:pt idx="294">
                  <c:v>311634.11</c:v>
                </c:pt>
                <c:pt idx="295">
                  <c:v>311634.11</c:v>
                </c:pt>
                <c:pt idx="296">
                  <c:v>311634.11</c:v>
                </c:pt>
                <c:pt idx="297">
                  <c:v>311634.11</c:v>
                </c:pt>
                <c:pt idx="298">
                  <c:v>311634.11</c:v>
                </c:pt>
                <c:pt idx="299">
                  <c:v>311634.11</c:v>
                </c:pt>
                <c:pt idx="300">
                  <c:v>311634.11</c:v>
                </c:pt>
                <c:pt idx="301">
                  <c:v>311634.11</c:v>
                </c:pt>
                <c:pt idx="302">
                  <c:v>311634.11</c:v>
                </c:pt>
                <c:pt idx="303">
                  <c:v>311634.11</c:v>
                </c:pt>
                <c:pt idx="304">
                  <c:v>311634.11</c:v>
                </c:pt>
                <c:pt idx="305">
                  <c:v>311634.11</c:v>
                </c:pt>
                <c:pt idx="306">
                  <c:v>311634.11</c:v>
                </c:pt>
                <c:pt idx="307">
                  <c:v>311634.11</c:v>
                </c:pt>
                <c:pt idx="308">
                  <c:v>311634.11</c:v>
                </c:pt>
                <c:pt idx="309">
                  <c:v>311634.11</c:v>
                </c:pt>
                <c:pt idx="310">
                  <c:v>311634.11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65511.680000000051</c:v>
                </c:pt>
                <c:pt idx="61">
                  <c:v>65511.680000000051</c:v>
                </c:pt>
                <c:pt idx="62">
                  <c:v>65511.680000000051</c:v>
                </c:pt>
                <c:pt idx="63">
                  <c:v>65511.680000000051</c:v>
                </c:pt>
                <c:pt idx="64">
                  <c:v>65511.680000000051</c:v>
                </c:pt>
                <c:pt idx="65">
                  <c:v>65511.680000000051</c:v>
                </c:pt>
                <c:pt idx="66">
                  <c:v>65511.680000000051</c:v>
                </c:pt>
                <c:pt idx="67">
                  <c:v>65511.680000000051</c:v>
                </c:pt>
                <c:pt idx="68">
                  <c:v>65511.680000000051</c:v>
                </c:pt>
                <c:pt idx="69">
                  <c:v>65511.680000000051</c:v>
                </c:pt>
                <c:pt idx="70">
                  <c:v>65511.680000000051</c:v>
                </c:pt>
                <c:pt idx="71">
                  <c:v>65511.680000000051</c:v>
                </c:pt>
                <c:pt idx="72">
                  <c:v>65511.680000000051</c:v>
                </c:pt>
                <c:pt idx="73">
                  <c:v>65511.680000000051</c:v>
                </c:pt>
                <c:pt idx="74">
                  <c:v>65511.680000000051</c:v>
                </c:pt>
                <c:pt idx="75">
                  <c:v>65511.680000000051</c:v>
                </c:pt>
                <c:pt idx="76">
                  <c:v>65511.680000000051</c:v>
                </c:pt>
                <c:pt idx="77">
                  <c:v>65511.680000000051</c:v>
                </c:pt>
                <c:pt idx="78">
                  <c:v>65511.680000000051</c:v>
                </c:pt>
                <c:pt idx="79">
                  <c:v>65511.680000000051</c:v>
                </c:pt>
                <c:pt idx="80">
                  <c:v>65511.680000000051</c:v>
                </c:pt>
                <c:pt idx="81">
                  <c:v>65511.680000000051</c:v>
                </c:pt>
                <c:pt idx="82">
                  <c:v>65511.680000000051</c:v>
                </c:pt>
                <c:pt idx="83">
                  <c:v>65511.680000000051</c:v>
                </c:pt>
                <c:pt idx="84">
                  <c:v>65511.680000000051</c:v>
                </c:pt>
                <c:pt idx="85">
                  <c:v>65511.680000000051</c:v>
                </c:pt>
                <c:pt idx="86">
                  <c:v>65511.680000000051</c:v>
                </c:pt>
                <c:pt idx="87">
                  <c:v>65511.680000000051</c:v>
                </c:pt>
                <c:pt idx="88">
                  <c:v>65511.680000000051</c:v>
                </c:pt>
                <c:pt idx="89">
                  <c:v>65511.680000000051</c:v>
                </c:pt>
                <c:pt idx="90">
                  <c:v>65511.680000000051</c:v>
                </c:pt>
                <c:pt idx="91">
                  <c:v>65511.680000000051</c:v>
                </c:pt>
                <c:pt idx="92">
                  <c:v>65511.680000000051</c:v>
                </c:pt>
                <c:pt idx="93">
                  <c:v>65511.680000000051</c:v>
                </c:pt>
                <c:pt idx="94">
                  <c:v>65511.680000000051</c:v>
                </c:pt>
                <c:pt idx="95">
                  <c:v>65511.680000000051</c:v>
                </c:pt>
                <c:pt idx="96">
                  <c:v>65511.680000000051</c:v>
                </c:pt>
                <c:pt idx="97">
                  <c:v>65511.680000000051</c:v>
                </c:pt>
                <c:pt idx="98">
                  <c:v>65511.680000000051</c:v>
                </c:pt>
                <c:pt idx="99">
                  <c:v>65511.680000000051</c:v>
                </c:pt>
                <c:pt idx="100">
                  <c:v>65511.680000000051</c:v>
                </c:pt>
                <c:pt idx="101">
                  <c:v>65511.680000000051</c:v>
                </c:pt>
                <c:pt idx="102">
                  <c:v>65511.680000000051</c:v>
                </c:pt>
                <c:pt idx="103">
                  <c:v>65511.680000000051</c:v>
                </c:pt>
                <c:pt idx="104">
                  <c:v>65511.680000000051</c:v>
                </c:pt>
                <c:pt idx="105">
                  <c:v>65511.680000000051</c:v>
                </c:pt>
                <c:pt idx="106">
                  <c:v>65511.680000000051</c:v>
                </c:pt>
                <c:pt idx="107">
                  <c:v>65511.680000000051</c:v>
                </c:pt>
                <c:pt idx="108">
                  <c:v>65511.680000000051</c:v>
                </c:pt>
                <c:pt idx="109">
                  <c:v>65511.680000000051</c:v>
                </c:pt>
                <c:pt idx="110">
                  <c:v>65511.680000000051</c:v>
                </c:pt>
                <c:pt idx="111">
                  <c:v>65511.680000000051</c:v>
                </c:pt>
                <c:pt idx="112">
                  <c:v>65511.680000000051</c:v>
                </c:pt>
                <c:pt idx="113">
                  <c:v>65511.680000000051</c:v>
                </c:pt>
                <c:pt idx="114">
                  <c:v>65511.680000000051</c:v>
                </c:pt>
                <c:pt idx="115">
                  <c:v>65511.680000000051</c:v>
                </c:pt>
                <c:pt idx="116">
                  <c:v>65511.680000000051</c:v>
                </c:pt>
                <c:pt idx="117">
                  <c:v>65511.680000000051</c:v>
                </c:pt>
                <c:pt idx="118">
                  <c:v>65511.680000000051</c:v>
                </c:pt>
                <c:pt idx="119">
                  <c:v>65511.680000000051</c:v>
                </c:pt>
                <c:pt idx="120">
                  <c:v>65511.680000000051</c:v>
                </c:pt>
                <c:pt idx="121">
                  <c:v>65511.680000000051</c:v>
                </c:pt>
                <c:pt idx="122">
                  <c:v>65511.680000000051</c:v>
                </c:pt>
                <c:pt idx="123">
                  <c:v>65511.680000000051</c:v>
                </c:pt>
                <c:pt idx="124">
                  <c:v>65511.680000000051</c:v>
                </c:pt>
                <c:pt idx="125">
                  <c:v>65511.680000000051</c:v>
                </c:pt>
                <c:pt idx="126">
                  <c:v>65511.680000000051</c:v>
                </c:pt>
                <c:pt idx="127">
                  <c:v>65511.680000000051</c:v>
                </c:pt>
                <c:pt idx="128">
                  <c:v>65511.680000000051</c:v>
                </c:pt>
                <c:pt idx="129">
                  <c:v>65511.680000000051</c:v>
                </c:pt>
                <c:pt idx="130">
                  <c:v>65511.680000000051</c:v>
                </c:pt>
                <c:pt idx="131">
                  <c:v>65511.680000000051</c:v>
                </c:pt>
                <c:pt idx="132">
                  <c:v>65511.680000000051</c:v>
                </c:pt>
                <c:pt idx="133">
                  <c:v>65511.680000000051</c:v>
                </c:pt>
                <c:pt idx="134">
                  <c:v>65511.680000000051</c:v>
                </c:pt>
                <c:pt idx="135">
                  <c:v>65511.680000000051</c:v>
                </c:pt>
                <c:pt idx="136">
                  <c:v>65511.680000000051</c:v>
                </c:pt>
                <c:pt idx="137">
                  <c:v>65511.680000000051</c:v>
                </c:pt>
                <c:pt idx="138">
                  <c:v>65511.680000000051</c:v>
                </c:pt>
                <c:pt idx="139">
                  <c:v>65511.680000000051</c:v>
                </c:pt>
                <c:pt idx="140">
                  <c:v>65511.680000000051</c:v>
                </c:pt>
                <c:pt idx="141">
                  <c:v>65511.680000000051</c:v>
                </c:pt>
                <c:pt idx="142">
                  <c:v>65511.680000000051</c:v>
                </c:pt>
                <c:pt idx="143">
                  <c:v>65511.680000000051</c:v>
                </c:pt>
                <c:pt idx="144">
                  <c:v>65511.680000000051</c:v>
                </c:pt>
                <c:pt idx="145">
                  <c:v>65511.680000000051</c:v>
                </c:pt>
                <c:pt idx="146">
                  <c:v>65511.680000000051</c:v>
                </c:pt>
                <c:pt idx="147">
                  <c:v>65511.680000000051</c:v>
                </c:pt>
                <c:pt idx="148">
                  <c:v>65511.680000000051</c:v>
                </c:pt>
                <c:pt idx="149">
                  <c:v>65511.680000000051</c:v>
                </c:pt>
                <c:pt idx="150">
                  <c:v>65511.680000000051</c:v>
                </c:pt>
                <c:pt idx="151">
                  <c:v>65511.680000000051</c:v>
                </c:pt>
                <c:pt idx="152">
                  <c:v>65511.680000000051</c:v>
                </c:pt>
                <c:pt idx="153">
                  <c:v>65511.680000000051</c:v>
                </c:pt>
                <c:pt idx="154">
                  <c:v>65511.680000000051</c:v>
                </c:pt>
                <c:pt idx="155">
                  <c:v>65511.680000000051</c:v>
                </c:pt>
                <c:pt idx="156">
                  <c:v>65511.680000000051</c:v>
                </c:pt>
                <c:pt idx="157">
                  <c:v>65511.680000000051</c:v>
                </c:pt>
                <c:pt idx="158">
                  <c:v>65511.680000000051</c:v>
                </c:pt>
                <c:pt idx="159">
                  <c:v>65511.680000000051</c:v>
                </c:pt>
                <c:pt idx="160">
                  <c:v>65511.680000000051</c:v>
                </c:pt>
                <c:pt idx="161">
                  <c:v>65511.680000000051</c:v>
                </c:pt>
                <c:pt idx="162">
                  <c:v>65511.680000000051</c:v>
                </c:pt>
                <c:pt idx="163">
                  <c:v>65511.680000000051</c:v>
                </c:pt>
                <c:pt idx="164">
                  <c:v>65511.680000000051</c:v>
                </c:pt>
                <c:pt idx="165">
                  <c:v>65511.680000000051</c:v>
                </c:pt>
                <c:pt idx="166">
                  <c:v>65511.680000000051</c:v>
                </c:pt>
                <c:pt idx="167">
                  <c:v>65511.680000000051</c:v>
                </c:pt>
                <c:pt idx="168">
                  <c:v>65511.680000000051</c:v>
                </c:pt>
                <c:pt idx="169">
                  <c:v>65511.680000000051</c:v>
                </c:pt>
                <c:pt idx="170">
                  <c:v>65511.680000000051</c:v>
                </c:pt>
                <c:pt idx="171">
                  <c:v>65511.680000000051</c:v>
                </c:pt>
                <c:pt idx="172">
                  <c:v>65511.680000000051</c:v>
                </c:pt>
                <c:pt idx="173">
                  <c:v>65511.680000000051</c:v>
                </c:pt>
                <c:pt idx="174">
                  <c:v>65511.680000000051</c:v>
                </c:pt>
                <c:pt idx="175">
                  <c:v>65511.680000000051</c:v>
                </c:pt>
                <c:pt idx="176">
                  <c:v>65511.680000000051</c:v>
                </c:pt>
                <c:pt idx="177">
                  <c:v>65511.680000000051</c:v>
                </c:pt>
                <c:pt idx="178">
                  <c:v>65511.680000000051</c:v>
                </c:pt>
                <c:pt idx="179">
                  <c:v>65511.680000000051</c:v>
                </c:pt>
                <c:pt idx="180">
                  <c:v>65511.680000000051</c:v>
                </c:pt>
                <c:pt idx="181">
                  <c:v>65511.680000000051</c:v>
                </c:pt>
                <c:pt idx="182">
                  <c:v>65511.680000000051</c:v>
                </c:pt>
                <c:pt idx="183">
                  <c:v>65511.680000000051</c:v>
                </c:pt>
                <c:pt idx="184">
                  <c:v>65511.680000000051</c:v>
                </c:pt>
                <c:pt idx="185">
                  <c:v>65511.680000000051</c:v>
                </c:pt>
                <c:pt idx="186">
                  <c:v>65511.680000000051</c:v>
                </c:pt>
                <c:pt idx="187">
                  <c:v>65511.680000000051</c:v>
                </c:pt>
                <c:pt idx="188">
                  <c:v>65511.680000000051</c:v>
                </c:pt>
                <c:pt idx="189">
                  <c:v>65511.680000000051</c:v>
                </c:pt>
                <c:pt idx="190">
                  <c:v>65511.680000000051</c:v>
                </c:pt>
                <c:pt idx="191">
                  <c:v>65511.680000000051</c:v>
                </c:pt>
                <c:pt idx="192">
                  <c:v>65511.680000000051</c:v>
                </c:pt>
                <c:pt idx="193">
                  <c:v>65511.680000000051</c:v>
                </c:pt>
                <c:pt idx="194">
                  <c:v>65511.680000000051</c:v>
                </c:pt>
                <c:pt idx="195">
                  <c:v>65511.680000000051</c:v>
                </c:pt>
                <c:pt idx="196">
                  <c:v>65511.680000000051</c:v>
                </c:pt>
                <c:pt idx="197">
                  <c:v>65511.680000000051</c:v>
                </c:pt>
                <c:pt idx="198">
                  <c:v>65511.680000000051</c:v>
                </c:pt>
                <c:pt idx="199">
                  <c:v>65511.680000000051</c:v>
                </c:pt>
                <c:pt idx="200">
                  <c:v>65511.680000000051</c:v>
                </c:pt>
                <c:pt idx="201">
                  <c:v>65511.680000000051</c:v>
                </c:pt>
                <c:pt idx="202">
                  <c:v>65511.680000000051</c:v>
                </c:pt>
                <c:pt idx="203">
                  <c:v>65511.680000000051</c:v>
                </c:pt>
                <c:pt idx="204">
                  <c:v>65511.680000000051</c:v>
                </c:pt>
                <c:pt idx="205">
                  <c:v>65511.680000000051</c:v>
                </c:pt>
                <c:pt idx="206">
                  <c:v>65511.680000000051</c:v>
                </c:pt>
                <c:pt idx="207">
                  <c:v>65511.680000000051</c:v>
                </c:pt>
                <c:pt idx="208">
                  <c:v>65511.680000000051</c:v>
                </c:pt>
                <c:pt idx="209">
                  <c:v>65511.680000000051</c:v>
                </c:pt>
                <c:pt idx="210">
                  <c:v>65511.680000000051</c:v>
                </c:pt>
                <c:pt idx="211">
                  <c:v>65511.680000000051</c:v>
                </c:pt>
                <c:pt idx="212">
                  <c:v>65511.680000000051</c:v>
                </c:pt>
                <c:pt idx="213">
                  <c:v>65511.680000000051</c:v>
                </c:pt>
                <c:pt idx="214">
                  <c:v>65511.680000000051</c:v>
                </c:pt>
                <c:pt idx="215">
                  <c:v>65511.680000000051</c:v>
                </c:pt>
                <c:pt idx="216">
                  <c:v>65511.680000000051</c:v>
                </c:pt>
                <c:pt idx="217">
                  <c:v>65511.680000000051</c:v>
                </c:pt>
                <c:pt idx="218">
                  <c:v>65511.680000000051</c:v>
                </c:pt>
                <c:pt idx="219">
                  <c:v>65511.680000000051</c:v>
                </c:pt>
                <c:pt idx="220">
                  <c:v>65511.680000000051</c:v>
                </c:pt>
                <c:pt idx="221">
                  <c:v>65511.680000000051</c:v>
                </c:pt>
                <c:pt idx="222">
                  <c:v>65511.680000000051</c:v>
                </c:pt>
                <c:pt idx="223">
                  <c:v>65511.680000000051</c:v>
                </c:pt>
                <c:pt idx="224">
                  <c:v>65511.680000000051</c:v>
                </c:pt>
                <c:pt idx="225">
                  <c:v>65511.680000000051</c:v>
                </c:pt>
                <c:pt idx="226">
                  <c:v>65511.680000000051</c:v>
                </c:pt>
                <c:pt idx="227">
                  <c:v>65511.680000000051</c:v>
                </c:pt>
                <c:pt idx="228">
                  <c:v>65511.680000000051</c:v>
                </c:pt>
                <c:pt idx="229">
                  <c:v>65511.680000000051</c:v>
                </c:pt>
                <c:pt idx="230">
                  <c:v>65511.680000000051</c:v>
                </c:pt>
                <c:pt idx="231">
                  <c:v>65511.680000000051</c:v>
                </c:pt>
                <c:pt idx="232">
                  <c:v>65511.680000000051</c:v>
                </c:pt>
                <c:pt idx="233">
                  <c:v>65511.680000000051</c:v>
                </c:pt>
                <c:pt idx="234">
                  <c:v>65511.680000000051</c:v>
                </c:pt>
                <c:pt idx="235">
                  <c:v>65511.680000000051</c:v>
                </c:pt>
                <c:pt idx="236">
                  <c:v>65511.680000000051</c:v>
                </c:pt>
                <c:pt idx="237">
                  <c:v>65511.680000000051</c:v>
                </c:pt>
                <c:pt idx="238">
                  <c:v>65511.680000000051</c:v>
                </c:pt>
                <c:pt idx="239">
                  <c:v>65511.680000000051</c:v>
                </c:pt>
                <c:pt idx="240">
                  <c:v>65511.680000000051</c:v>
                </c:pt>
                <c:pt idx="241">
                  <c:v>65511.680000000051</c:v>
                </c:pt>
                <c:pt idx="242">
                  <c:v>65511.680000000051</c:v>
                </c:pt>
                <c:pt idx="243">
                  <c:v>65511.680000000051</c:v>
                </c:pt>
                <c:pt idx="244">
                  <c:v>65511.680000000051</c:v>
                </c:pt>
                <c:pt idx="245">
                  <c:v>65511.680000000051</c:v>
                </c:pt>
                <c:pt idx="246">
                  <c:v>65511.680000000051</c:v>
                </c:pt>
                <c:pt idx="247">
                  <c:v>65511.680000000051</c:v>
                </c:pt>
                <c:pt idx="248">
                  <c:v>65511.680000000051</c:v>
                </c:pt>
                <c:pt idx="249">
                  <c:v>65511.680000000051</c:v>
                </c:pt>
                <c:pt idx="250">
                  <c:v>65511.680000000051</c:v>
                </c:pt>
                <c:pt idx="251">
                  <c:v>65511.680000000051</c:v>
                </c:pt>
                <c:pt idx="252">
                  <c:v>65511.680000000051</c:v>
                </c:pt>
                <c:pt idx="253">
                  <c:v>65511.680000000051</c:v>
                </c:pt>
                <c:pt idx="254">
                  <c:v>65511.680000000051</c:v>
                </c:pt>
                <c:pt idx="255">
                  <c:v>65511.680000000051</c:v>
                </c:pt>
                <c:pt idx="256">
                  <c:v>65511.680000000051</c:v>
                </c:pt>
                <c:pt idx="257">
                  <c:v>65511.680000000051</c:v>
                </c:pt>
                <c:pt idx="258">
                  <c:v>65511.680000000051</c:v>
                </c:pt>
                <c:pt idx="259">
                  <c:v>65511.680000000051</c:v>
                </c:pt>
                <c:pt idx="260">
                  <c:v>65511.680000000051</c:v>
                </c:pt>
                <c:pt idx="261">
                  <c:v>65511.680000000051</c:v>
                </c:pt>
                <c:pt idx="262">
                  <c:v>65511.680000000051</c:v>
                </c:pt>
                <c:pt idx="263">
                  <c:v>65511.680000000051</c:v>
                </c:pt>
                <c:pt idx="264">
                  <c:v>65511.680000000051</c:v>
                </c:pt>
                <c:pt idx="265">
                  <c:v>65511.680000000051</c:v>
                </c:pt>
                <c:pt idx="266">
                  <c:v>65511.680000000051</c:v>
                </c:pt>
                <c:pt idx="267">
                  <c:v>65511.680000000051</c:v>
                </c:pt>
                <c:pt idx="268">
                  <c:v>65511.680000000051</c:v>
                </c:pt>
                <c:pt idx="269">
                  <c:v>65511.680000000051</c:v>
                </c:pt>
                <c:pt idx="270">
                  <c:v>65511.680000000051</c:v>
                </c:pt>
                <c:pt idx="271">
                  <c:v>65511.680000000051</c:v>
                </c:pt>
                <c:pt idx="272">
                  <c:v>65511.680000000051</c:v>
                </c:pt>
                <c:pt idx="273">
                  <c:v>65511.680000000051</c:v>
                </c:pt>
                <c:pt idx="274">
                  <c:v>65511.680000000051</c:v>
                </c:pt>
                <c:pt idx="275">
                  <c:v>65511.680000000051</c:v>
                </c:pt>
                <c:pt idx="276">
                  <c:v>65511.680000000051</c:v>
                </c:pt>
                <c:pt idx="277">
                  <c:v>65511.680000000051</c:v>
                </c:pt>
                <c:pt idx="278">
                  <c:v>65511.680000000051</c:v>
                </c:pt>
                <c:pt idx="279">
                  <c:v>65511.680000000051</c:v>
                </c:pt>
                <c:pt idx="280">
                  <c:v>65511.680000000051</c:v>
                </c:pt>
                <c:pt idx="281">
                  <c:v>65511.680000000051</c:v>
                </c:pt>
                <c:pt idx="282">
                  <c:v>65511.680000000051</c:v>
                </c:pt>
                <c:pt idx="283">
                  <c:v>65511.680000000051</c:v>
                </c:pt>
                <c:pt idx="284">
                  <c:v>65511.680000000051</c:v>
                </c:pt>
                <c:pt idx="285">
                  <c:v>65511.680000000051</c:v>
                </c:pt>
                <c:pt idx="286">
                  <c:v>65511.680000000051</c:v>
                </c:pt>
                <c:pt idx="287">
                  <c:v>65511.680000000051</c:v>
                </c:pt>
                <c:pt idx="288">
                  <c:v>65511.680000000051</c:v>
                </c:pt>
                <c:pt idx="289">
                  <c:v>65511.680000000051</c:v>
                </c:pt>
                <c:pt idx="290">
                  <c:v>65511.680000000051</c:v>
                </c:pt>
                <c:pt idx="291">
                  <c:v>65511.680000000051</c:v>
                </c:pt>
                <c:pt idx="292">
                  <c:v>65511.680000000051</c:v>
                </c:pt>
                <c:pt idx="293">
                  <c:v>65511.680000000051</c:v>
                </c:pt>
                <c:pt idx="294">
                  <c:v>65511.680000000051</c:v>
                </c:pt>
                <c:pt idx="295">
                  <c:v>65511.680000000051</c:v>
                </c:pt>
                <c:pt idx="296">
                  <c:v>65511.680000000051</c:v>
                </c:pt>
                <c:pt idx="297">
                  <c:v>65511.680000000051</c:v>
                </c:pt>
                <c:pt idx="298">
                  <c:v>65511.680000000051</c:v>
                </c:pt>
                <c:pt idx="299">
                  <c:v>65511.680000000051</c:v>
                </c:pt>
                <c:pt idx="300">
                  <c:v>65511.680000000051</c:v>
                </c:pt>
                <c:pt idx="301">
                  <c:v>65511.680000000051</c:v>
                </c:pt>
                <c:pt idx="302">
                  <c:v>65511.680000000051</c:v>
                </c:pt>
                <c:pt idx="303">
                  <c:v>65511.680000000051</c:v>
                </c:pt>
                <c:pt idx="304">
                  <c:v>65511.680000000051</c:v>
                </c:pt>
                <c:pt idx="305">
                  <c:v>65511.680000000051</c:v>
                </c:pt>
                <c:pt idx="306">
                  <c:v>65511.680000000051</c:v>
                </c:pt>
                <c:pt idx="307">
                  <c:v>65511.680000000051</c:v>
                </c:pt>
                <c:pt idx="308">
                  <c:v>65511.680000000051</c:v>
                </c:pt>
                <c:pt idx="309">
                  <c:v>65511.680000000051</c:v>
                </c:pt>
                <c:pt idx="310">
                  <c:v>65511.680000000051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opLeftCell="A8" zoomScale="115" zoomScaleNormal="115" workbookViewId="0">
      <selection activeCell="K25" sqref="K25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46063</v>
      </c>
      <c r="O1" s="398">
        <f ca="1">TODAY()</f>
        <v>46063</v>
      </c>
      <c r="Q1" s="3"/>
    </row>
    <row r="2" spans="2:28">
      <c r="B2" s="171"/>
      <c r="C2" s="172" t="s">
        <v>0</v>
      </c>
      <c r="D2" s="173"/>
      <c r="E2" s="678" t="s">
        <v>73</v>
      </c>
      <c r="F2" s="679"/>
      <c r="G2" s="679"/>
      <c r="H2" s="68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1" t="s">
        <v>77</v>
      </c>
      <c r="F4" s="682"/>
      <c r="G4" s="682"/>
      <c r="H4" s="683"/>
      <c r="J4" s="111"/>
      <c r="Q4" s="3"/>
    </row>
    <row r="5" spans="2:28" s="110" customFormat="1">
      <c r="B5" s="174"/>
      <c r="C5" s="175" t="s">
        <v>78</v>
      </c>
      <c r="D5" s="173"/>
      <c r="E5" s="681" t="s">
        <v>79</v>
      </c>
      <c r="F5" s="682"/>
      <c r="G5" s="682"/>
      <c r="H5" s="683"/>
      <c r="J5" s="111"/>
      <c r="Q5" s="3"/>
    </row>
    <row r="6" spans="2:28">
      <c r="B6" s="179"/>
      <c r="C6" s="180" t="s">
        <v>80</v>
      </c>
      <c r="D6" s="173"/>
      <c r="E6" s="684">
        <f>398479.88-86250</f>
        <v>312229.88</v>
      </c>
      <c r="F6" s="685"/>
      <c r="G6" s="685"/>
      <c r="H6" s="686"/>
    </row>
    <row r="7" spans="2:28" s="110" customFormat="1">
      <c r="B7" s="162"/>
      <c r="C7" s="661" t="s">
        <v>81</v>
      </c>
      <c r="D7" s="662"/>
      <c r="E7" s="663" t="s">
        <v>54</v>
      </c>
      <c r="F7" s="163"/>
      <c r="G7" s="181"/>
      <c r="J7" s="111"/>
      <c r="Q7" s="3"/>
    </row>
    <row r="8" spans="2:28" ht="30" customHeight="1">
      <c r="B8" s="675" t="s">
        <v>82</v>
      </c>
      <c r="C8" s="676" t="s">
        <v>83</v>
      </c>
      <c r="D8" s="210"/>
      <c r="E8" s="677" t="s">
        <v>84</v>
      </c>
      <c r="F8" s="232" t="s">
        <v>85</v>
      </c>
      <c r="G8" s="677" t="s">
        <v>86</v>
      </c>
      <c r="H8" s="233"/>
      <c r="I8" s="677" t="s">
        <v>87</v>
      </c>
      <c r="J8" s="232" t="s">
        <v>85</v>
      </c>
      <c r="K8" s="677" t="s">
        <v>88</v>
      </c>
      <c r="M8" s="405" t="s">
        <v>60</v>
      </c>
      <c r="O8" s="687" t="s">
        <v>89</v>
      </c>
      <c r="Z8" s="110"/>
      <c r="AA8" s="110"/>
      <c r="AB8" s="110"/>
    </row>
    <row r="9" spans="2:28">
      <c r="B9" s="675"/>
      <c r="C9" s="676"/>
      <c r="D9" s="210"/>
      <c r="E9" s="677"/>
      <c r="F9" s="120"/>
      <c r="G9" s="677"/>
      <c r="H9" s="233"/>
      <c r="I9" s="677"/>
      <c r="J9" s="121"/>
      <c r="K9" s="677"/>
      <c r="M9" s="355">
        <f>AVERAGE(M11)</f>
        <v>0.92307692307692313</v>
      </c>
      <c r="N9" s="355">
        <f ca="1">AVERAGE(N11)</f>
        <v>0.92307692307692313</v>
      </c>
      <c r="O9" s="68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285</v>
      </c>
      <c r="K11" s="241">
        <f>MAX(K12:K25)</f>
        <v>46070</v>
      </c>
      <c r="M11" s="354">
        <f>AVERAGE(M12:M25)</f>
        <v>0.92307692307692313</v>
      </c>
      <c r="N11" s="354">
        <f ca="1">AVERAGE(N12:N25)</f>
        <v>0.92307692307692313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 t="s">
        <v>114</v>
      </c>
      <c r="Q23" s="3"/>
    </row>
    <row r="24" spans="2:17" s="110" customFormat="1">
      <c r="B24" s="243" t="s">
        <v>115</v>
      </c>
      <c r="C24" s="244"/>
      <c r="D24" s="210"/>
      <c r="E24" s="245"/>
      <c r="F24" s="246"/>
      <c r="G24" s="245"/>
      <c r="H24" s="233"/>
      <c r="I24" s="245"/>
      <c r="J24" s="246"/>
      <c r="K24" s="245"/>
      <c r="M24" s="247"/>
      <c r="N24" s="247"/>
      <c r="O24" s="118" t="s">
        <v>116</v>
      </c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v>46063</v>
      </c>
      <c r="J25" s="246">
        <v>5</v>
      </c>
      <c r="K25" s="245">
        <f>WORKDAY.INTL(I25,J25,1,Data!$C$3:$C$39)</f>
        <v>46070</v>
      </c>
      <c r="M25" s="247">
        <v>0</v>
      </c>
      <c r="N25" s="247">
        <f t="shared" ca="1" si="0"/>
        <v>0</v>
      </c>
      <c r="O25" s="118" t="s">
        <v>119</v>
      </c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5 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" zoomScale="85" zoomScaleNormal="85" workbookViewId="0">
      <selection activeCell="F15" sqref="F15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120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121</v>
      </c>
      <c r="F3" s="119" t="s">
        <v>122</v>
      </c>
      <c r="J3" s="136"/>
      <c r="L3" s="403" t="s">
        <v>123</v>
      </c>
      <c r="N3" s="403" t="s">
        <v>124</v>
      </c>
      <c r="S3" s="136"/>
    </row>
    <row r="4" spans="1:21" s="91" customFormat="1" ht="12.95">
      <c r="B4" s="345">
        <v>1</v>
      </c>
      <c r="C4" s="346" t="s">
        <v>125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126</v>
      </c>
      <c r="Q4" s="124"/>
      <c r="S4" s="136"/>
    </row>
    <row r="5" spans="1:21" s="91" customFormat="1" ht="15" customHeight="1">
      <c r="B5" s="345">
        <v>2</v>
      </c>
      <c r="C5" s="346" t="s">
        <v>127</v>
      </c>
      <c r="D5" s="347">
        <f>+'Expenditure Tracking'!F5</f>
        <v>302966</v>
      </c>
      <c r="E5" s="348"/>
      <c r="F5" s="347">
        <f>+'Expenditure Tracking'!H5</f>
        <v>311634.11000000004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128</v>
      </c>
      <c r="D6" s="347">
        <f>+D4-D5</f>
        <v>9263.8800000000047</v>
      </c>
      <c r="E6" s="348"/>
      <c r="F6" s="347">
        <f>+F4-F5</f>
        <v>65511.679999999993</v>
      </c>
      <c r="H6" s="114"/>
      <c r="J6" s="136"/>
      <c r="L6" s="369"/>
      <c r="N6" s="369" t="s">
        <v>129</v>
      </c>
      <c r="S6" s="136"/>
    </row>
    <row r="7" spans="1:21" s="91" customFormat="1" ht="15" customHeight="1" thickBot="1">
      <c r="B7" s="345">
        <v>4</v>
      </c>
      <c r="C7" s="346" t="s">
        <v>130</v>
      </c>
      <c r="D7" s="349">
        <f>D6/D4</f>
        <v>2.9670062327154609E-2</v>
      </c>
      <c r="E7" s="348"/>
      <c r="F7" s="349">
        <f>F6/F4</f>
        <v>0.17370386131050272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131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82</v>
      </c>
      <c r="C12" s="127" t="s">
        <v>132</v>
      </c>
      <c r="D12" s="128"/>
      <c r="E12" s="126" t="s">
        <v>133</v>
      </c>
      <c r="F12" s="126" t="s">
        <v>134</v>
      </c>
      <c r="H12" s="350" t="s">
        <v>135</v>
      </c>
      <c r="J12" s="136"/>
      <c r="L12" s="161" t="s">
        <v>136</v>
      </c>
      <c r="M12" s="129"/>
      <c r="N12" s="161" t="s">
        <v>137</v>
      </c>
      <c r="O12" s="123"/>
      <c r="P12" s="161" t="s">
        <v>138</v>
      </c>
      <c r="R12" s="372" t="s">
        <v>139</v>
      </c>
      <c r="S12" s="136"/>
    </row>
    <row r="13" spans="1:21" s="91" customFormat="1" ht="12.95">
      <c r="B13" s="345">
        <v>1</v>
      </c>
      <c r="C13" s="689" t="s">
        <v>140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141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142</v>
      </c>
      <c r="N14" s="133">
        <v>46058</v>
      </c>
      <c r="O14" s="123"/>
      <c r="P14" s="134">
        <f>N14+7</f>
        <v>46065</v>
      </c>
      <c r="R14" s="373" t="s">
        <v>143</v>
      </c>
      <c r="S14" s="136"/>
    </row>
    <row r="15" spans="1:21" s="91" customFormat="1" ht="12.6">
      <c r="B15" s="345">
        <v>3</v>
      </c>
      <c r="C15" s="689" t="s">
        <v>144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142</v>
      </c>
      <c r="N15" s="133">
        <v>46058</v>
      </c>
      <c r="O15" s="123"/>
      <c r="P15" s="134">
        <f>N15+7</f>
        <v>46065</v>
      </c>
      <c r="R15" s="373"/>
      <c r="S15" s="136"/>
    </row>
    <row r="16" spans="1:21" s="91" customFormat="1" ht="12.6">
      <c r="B16" s="345">
        <v>4</v>
      </c>
      <c r="C16" s="689" t="s">
        <v>145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145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145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145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146</v>
      </c>
      <c r="C23" s="140" t="s">
        <v>147</v>
      </c>
      <c r="D23" s="140"/>
      <c r="F23" s="141"/>
    </row>
    <row r="24" spans="2:19" s="91" customFormat="1" ht="12.6">
      <c r="C24" s="142" t="s">
        <v>148</v>
      </c>
      <c r="D24" s="143"/>
      <c r="F24" s="144"/>
    </row>
    <row r="25" spans="2:19" s="91" customFormat="1" ht="12.6">
      <c r="C25" s="142" t="s">
        <v>149</v>
      </c>
      <c r="D25" s="143"/>
    </row>
    <row r="26" spans="2:19" s="91" customFormat="1" ht="12.6">
      <c r="C26" s="145" t="s">
        <v>150</v>
      </c>
      <c r="D26" s="146"/>
    </row>
    <row r="27" spans="2:19" s="91" customFormat="1" ht="12.6">
      <c r="C27" s="147" t="s">
        <v>151</v>
      </c>
      <c r="D27" s="143"/>
    </row>
    <row r="28" spans="2:19" s="91" customFormat="1" ht="12.6">
      <c r="B28" s="115"/>
      <c r="C28" s="147" t="s">
        <v>152</v>
      </c>
      <c r="D28" s="143"/>
    </row>
    <row r="29" spans="2:19" s="91" customFormat="1" ht="12.6">
      <c r="B29" s="115"/>
      <c r="C29" s="91" t="s">
        <v>153</v>
      </c>
    </row>
    <row r="30" spans="2:19" s="91" customFormat="1" ht="27.75" customHeight="1">
      <c r="B30" s="115"/>
      <c r="C30" s="148" t="s">
        <v>154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132</v>
      </c>
      <c r="D40" s="128"/>
      <c r="E40" s="126" t="s">
        <v>133</v>
      </c>
      <c r="F40" s="126" t="s">
        <v>134</v>
      </c>
    </row>
    <row r="41" spans="2:6" s="91" customFormat="1" ht="12.75" hidden="1" customHeight="1">
      <c r="B41" s="149">
        <v>1</v>
      </c>
      <c r="C41" s="150" t="s">
        <v>155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156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157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158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159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160</v>
      </c>
      <c r="F2" s="82" t="s">
        <v>161</v>
      </c>
    </row>
    <row r="3" spans="3:6">
      <c r="C3" s="79">
        <v>45658</v>
      </c>
      <c r="D3" s="73" t="s">
        <v>162</v>
      </c>
      <c r="F3" s="80" t="s">
        <v>163</v>
      </c>
    </row>
    <row r="4" spans="3:6">
      <c r="C4" s="79">
        <v>45737</v>
      </c>
      <c r="D4" s="73" t="s">
        <v>164</v>
      </c>
      <c r="F4" s="80" t="s">
        <v>165</v>
      </c>
    </row>
    <row r="5" spans="3:6">
      <c r="C5" s="79">
        <v>45765</v>
      </c>
      <c r="D5" s="73" t="s">
        <v>166</v>
      </c>
      <c r="F5" s="80" t="s">
        <v>167</v>
      </c>
    </row>
    <row r="6" spans="3:6" ht="12.95" thickBot="1">
      <c r="C6" s="79">
        <v>45768</v>
      </c>
      <c r="D6" s="73" t="s">
        <v>168</v>
      </c>
      <c r="F6" s="81" t="s">
        <v>169</v>
      </c>
    </row>
    <row r="7" spans="3:6">
      <c r="C7" s="79">
        <v>45774</v>
      </c>
      <c r="D7" s="73" t="s">
        <v>170</v>
      </c>
    </row>
    <row r="8" spans="3:6">
      <c r="C8" s="79">
        <v>45765</v>
      </c>
      <c r="D8" s="73" t="s">
        <v>171</v>
      </c>
    </row>
    <row r="9" spans="3:6">
      <c r="C9" s="79">
        <v>45778</v>
      </c>
      <c r="D9" s="73" t="s">
        <v>172</v>
      </c>
    </row>
    <row r="10" spans="3:6">
      <c r="C10" s="79">
        <v>45824</v>
      </c>
      <c r="D10" s="73" t="s">
        <v>173</v>
      </c>
    </row>
    <row r="11" spans="3:6">
      <c r="C11" s="79">
        <v>45878</v>
      </c>
      <c r="D11" s="73" t="s">
        <v>174</v>
      </c>
    </row>
    <row r="12" spans="3:6">
      <c r="C12" s="79">
        <v>45924</v>
      </c>
      <c r="D12" s="73" t="s">
        <v>175</v>
      </c>
    </row>
    <row r="13" spans="3:6">
      <c r="C13" s="79">
        <v>46007</v>
      </c>
      <c r="D13" s="73" t="s">
        <v>176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177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121</v>
      </c>
      <c r="G4" s="210"/>
      <c r="H4" s="215" t="s">
        <v>122</v>
      </c>
      <c r="I4" s="210"/>
      <c r="J4" s="216" t="s">
        <v>178</v>
      </c>
      <c r="K4" s="110"/>
      <c r="L4" s="110"/>
    </row>
    <row r="5" spans="1:12" ht="14.45" thickBot="1">
      <c r="A5" s="210"/>
      <c r="B5" s="694" t="s">
        <v>179</v>
      </c>
      <c r="C5" s="694"/>
      <c r="D5" s="694"/>
      <c r="E5" s="407"/>
      <c r="F5" s="217">
        <f>SUM(F9:F23)</f>
        <v>302966</v>
      </c>
      <c r="G5" s="212"/>
      <c r="H5" s="217">
        <f>SUM(H9:H23)</f>
        <v>311634.11000000004</v>
      </c>
      <c r="I5" s="210"/>
      <c r="J5" s="218">
        <f>SUM(J9:J23)</f>
        <v>-8668.1100000000042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82</v>
      </c>
      <c r="C7" s="221"/>
      <c r="D7" s="220" t="s">
        <v>180</v>
      </c>
      <c r="E7" s="221"/>
      <c r="F7" s="222" t="s">
        <v>181</v>
      </c>
      <c r="G7" s="223"/>
      <c r="H7" s="222" t="s">
        <v>182</v>
      </c>
      <c r="I7" s="223"/>
      <c r="J7" s="222" t="s">
        <v>183</v>
      </c>
      <c r="K7" s="167"/>
      <c r="L7" s="113" t="s">
        <v>184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0</v>
      </c>
      <c r="I23" s="87"/>
      <c r="J23" s="227">
        <f t="shared" si="0"/>
        <v>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185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N1" zoomScale="80" zoomScaleNormal="80" workbookViewId="0">
      <pane ySplit="4" topLeftCell="J5" activePane="bottomLeft" state="frozen"/>
      <selection pane="bottomLeft" activeCell="V76" sqref="V76:V90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186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187</v>
      </c>
      <c r="M2" s="707"/>
      <c r="N2" s="707"/>
      <c r="O2" s="707"/>
      <c r="P2" s="707"/>
      <c r="Q2" s="707"/>
      <c r="R2" s="711" t="s">
        <v>188</v>
      </c>
      <c r="S2" s="712"/>
      <c r="T2" s="712"/>
      <c r="U2" s="712"/>
      <c r="V2" s="712"/>
      <c r="W2" s="713"/>
      <c r="X2" s="471">
        <f>SUM(X6:X164)</f>
        <v>311634.11000000004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189</v>
      </c>
      <c r="C4" s="253" t="s">
        <v>190</v>
      </c>
      <c r="D4" s="253" t="s">
        <v>191</v>
      </c>
      <c r="E4" s="253" t="s">
        <v>192</v>
      </c>
      <c r="F4" s="458" t="s">
        <v>193</v>
      </c>
      <c r="G4" s="254" t="s">
        <v>194</v>
      </c>
      <c r="H4" s="365" t="s">
        <v>195</v>
      </c>
      <c r="I4" s="255" t="s">
        <v>196</v>
      </c>
      <c r="J4" s="255" t="str">
        <f>IF(J2-'Revenue Tracking'!D4&gt;=0, "Total Revenue", "ERROR on REV" )</f>
        <v>Total Revenue</v>
      </c>
      <c r="K4" s="160"/>
      <c r="L4" s="252" t="s">
        <v>189</v>
      </c>
      <c r="M4" s="253" t="s">
        <v>197</v>
      </c>
      <c r="N4" s="253" t="s">
        <v>191</v>
      </c>
      <c r="O4" s="253" t="s">
        <v>192</v>
      </c>
      <c r="P4" s="458" t="s">
        <v>193</v>
      </c>
      <c r="Q4" s="367" t="s">
        <v>198</v>
      </c>
      <c r="R4" s="483" t="s">
        <v>199</v>
      </c>
      <c r="S4" s="366" t="s">
        <v>136</v>
      </c>
      <c r="T4" s="365" t="s">
        <v>137</v>
      </c>
      <c r="U4" s="366" t="s">
        <v>200</v>
      </c>
      <c r="V4" s="367" t="s">
        <v>201</v>
      </c>
      <c r="W4" s="365" t="s">
        <v>195</v>
      </c>
      <c r="X4" s="473" t="s">
        <v>196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202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203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203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203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203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203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203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204</v>
      </c>
      <c r="Z11" s="601" t="s">
        <v>205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206</v>
      </c>
      <c r="Z12" s="603">
        <f>G53</f>
        <v>0</v>
      </c>
    </row>
    <row r="13" spans="1:76" ht="14.25" customHeight="1">
      <c r="B13" s="286">
        <v>2</v>
      </c>
      <c r="C13" s="312" t="s">
        <v>207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208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209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208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210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208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211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208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212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208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213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208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214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208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215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216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217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218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217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159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217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219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217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220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217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217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122</v>
      </c>
      <c r="Z26" s="609" t="s">
        <v>221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209</v>
      </c>
      <c r="D28" s="287" t="s">
        <v>209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222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222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222</v>
      </c>
      <c r="N30" s="402" t="s">
        <v>223</v>
      </c>
      <c r="O30" s="560">
        <f>19732</f>
        <v>19732</v>
      </c>
      <c r="P30" s="561">
        <v>0.5</v>
      </c>
      <c r="Q30" s="293">
        <f>O30*P30</f>
        <v>9866</v>
      </c>
      <c r="R30" s="720" t="s">
        <v>224</v>
      </c>
      <c r="S30" s="623" t="s">
        <v>225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222</v>
      </c>
      <c r="N31" s="402" t="s">
        <v>226</v>
      </c>
      <c r="O31" s="549"/>
      <c r="P31" s="561">
        <v>0.25</v>
      </c>
      <c r="Q31" s="293">
        <f>O30*P31</f>
        <v>4933</v>
      </c>
      <c r="R31" s="721"/>
      <c r="S31" s="623" t="s">
        <v>225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222</v>
      </c>
      <c r="N32" s="402" t="s">
        <v>227</v>
      </c>
      <c r="O32" s="560"/>
      <c r="P32" s="561">
        <v>0.25</v>
      </c>
      <c r="Q32" s="293">
        <f>O30*P32</f>
        <v>4933</v>
      </c>
      <c r="R32" s="721"/>
      <c r="S32" s="623" t="s">
        <v>225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222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222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222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222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222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218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222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218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222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159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222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220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222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222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222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228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229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229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229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229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229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229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229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206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230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230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230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230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230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230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230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230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230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230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230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230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230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231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232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232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232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232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232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232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232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232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233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234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234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144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234</v>
      </c>
      <c r="N78" s="328" t="s">
        <v>144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572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234</v>
      </c>
      <c r="N79" s="328" t="s">
        <v>235</v>
      </c>
      <c r="O79" s="552"/>
      <c r="P79" s="454"/>
      <c r="Q79" s="317">
        <v>46645.91</v>
      </c>
      <c r="R79" s="588" t="s">
        <v>236</v>
      </c>
      <c r="S79" s="623" t="s">
        <v>237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234</v>
      </c>
      <c r="N80" s="328" t="s">
        <v>235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234</v>
      </c>
      <c r="N81" s="328" t="s">
        <v>238</v>
      </c>
      <c r="O81" s="552"/>
      <c r="P81" s="454"/>
      <c r="Q81" s="317">
        <v>3850</v>
      </c>
      <c r="R81" s="588" t="s">
        <v>239</v>
      </c>
      <c r="S81" s="623" t="s">
        <v>240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234</v>
      </c>
      <c r="N82" s="328" t="s">
        <v>241</v>
      </c>
      <c r="O82" s="552"/>
      <c r="P82" s="454"/>
      <c r="Q82" s="317">
        <v>14420</v>
      </c>
      <c r="R82" s="588" t="s">
        <v>242</v>
      </c>
      <c r="S82" s="623" t="s">
        <v>243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234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234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234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234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234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234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234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234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244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245</v>
      </c>
      <c r="D92" s="320" t="s">
        <v>246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247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247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247</v>
      </c>
      <c r="N94" s="321" t="s">
        <v>223</v>
      </c>
      <c r="O94" s="563">
        <v>219492</v>
      </c>
      <c r="P94" s="564">
        <v>0.5</v>
      </c>
      <c r="Q94" s="308">
        <f>$O$94*P94</f>
        <v>109746</v>
      </c>
      <c r="R94" s="744" t="s">
        <v>224</v>
      </c>
      <c r="S94" s="641" t="s">
        <v>225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247</v>
      </c>
      <c r="N95" s="321" t="s">
        <v>226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225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247</v>
      </c>
      <c r="N96" s="321" t="s">
        <v>227</v>
      </c>
      <c r="O96" s="545"/>
      <c r="P96" s="562">
        <v>0.25</v>
      </c>
      <c r="Q96" s="308">
        <f t="shared" si="6"/>
        <v>54873</v>
      </c>
      <c r="R96" s="745"/>
      <c r="S96" s="641" t="s">
        <v>225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247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247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247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247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247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247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247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247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248</v>
      </c>
      <c r="D106" s="263" t="s">
        <v>249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250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250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250</v>
      </c>
      <c r="N108" s="334" t="s">
        <v>223</v>
      </c>
      <c r="O108" s="614">
        <v>7280</v>
      </c>
      <c r="P108" s="565">
        <v>0.5</v>
      </c>
      <c r="Q108" s="336">
        <f>O108*P108</f>
        <v>3640</v>
      </c>
      <c r="R108" s="747" t="s">
        <v>224</v>
      </c>
      <c r="S108" s="642" t="s">
        <v>251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250</v>
      </c>
      <c r="N109" s="334" t="s">
        <v>226</v>
      </c>
      <c r="O109" s="558"/>
      <c r="P109" s="565">
        <v>0.25</v>
      </c>
      <c r="Q109" s="336">
        <f>O108*P109</f>
        <v>1820</v>
      </c>
      <c r="R109" s="748"/>
      <c r="S109" s="642" t="s">
        <v>225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250</v>
      </c>
      <c r="N110" s="334" t="s">
        <v>227</v>
      </c>
      <c r="O110" s="614"/>
      <c r="P110" s="565">
        <v>0.25</v>
      </c>
      <c r="Q110" s="336">
        <f>O108*P110</f>
        <v>1820</v>
      </c>
      <c r="R110" s="748"/>
      <c r="S110" s="642" t="s">
        <v>225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250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250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250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250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250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250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250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250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250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250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250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252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253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253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253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253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253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254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255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254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255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256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257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257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257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257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257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257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258</v>
      </c>
      <c r="D139" s="263" t="s">
        <v>259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260</v>
      </c>
      <c r="N139" s="263" t="s">
        <v>261</v>
      </c>
      <c r="O139" s="557"/>
      <c r="P139" s="463"/>
      <c r="Q139" s="331">
        <v>214.2</v>
      </c>
      <c r="R139" s="596"/>
      <c r="S139" s="630" t="s">
        <v>262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260</v>
      </c>
      <c r="N140" s="334" t="s">
        <v>261</v>
      </c>
      <c r="O140" s="558"/>
      <c r="P140" s="464"/>
      <c r="Q140" s="336">
        <v>0</v>
      </c>
      <c r="R140" s="598"/>
      <c r="S140" s="632" t="s">
        <v>262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260</v>
      </c>
      <c r="N141" s="334" t="s">
        <v>261</v>
      </c>
      <c r="O141" s="558"/>
      <c r="P141" s="464"/>
      <c r="Q141" s="336">
        <v>0</v>
      </c>
      <c r="R141" s="598"/>
      <c r="S141" s="632" t="s">
        <v>262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260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260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260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260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260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260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260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260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260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263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264</v>
      </c>
      <c r="N152" s="275"/>
      <c r="O152" s="543"/>
      <c r="P152" s="430"/>
      <c r="Q152" s="277"/>
      <c r="R152" s="590"/>
      <c r="S152" s="625"/>
      <c r="T152" s="522"/>
      <c r="U152" s="507"/>
      <c r="V152" s="698">
        <v>0</v>
      </c>
      <c r="W152" s="574"/>
      <c r="X152" s="695">
        <f>SUM(Q152:Q163)</f>
        <v>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264</v>
      </c>
      <c r="N153" s="306"/>
      <c r="O153" s="544"/>
      <c r="P153" s="452"/>
      <c r="Q153" s="308"/>
      <c r="R153" s="583"/>
      <c r="S153" s="618"/>
      <c r="T153" s="515"/>
      <c r="U153" s="499"/>
      <c r="V153" s="699"/>
      <c r="W153" s="567"/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264</v>
      </c>
      <c r="N154" s="306"/>
      <c r="O154" s="544"/>
      <c r="P154" s="452"/>
      <c r="Q154" s="308"/>
      <c r="R154" s="583"/>
      <c r="S154" s="618"/>
      <c r="T154" s="515"/>
      <c r="U154" s="499"/>
      <c r="V154" s="699"/>
      <c r="W154" s="567"/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264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264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264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264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264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264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264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264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264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201</v>
      </c>
      <c r="D2" s="188" t="s">
        <v>201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125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127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122</v>
      </c>
      <c r="B8" s="187"/>
      <c r="C8" s="188" t="s">
        <v>201</v>
      </c>
      <c r="D8" s="188" t="s">
        <v>201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311634.11000000004</v>
      </c>
      <c r="D11" s="208">
        <f>SUM(F11:LD11)</f>
        <v>311634.11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311634.11</v>
      </c>
      <c r="BO12" s="209">
        <f t="shared" si="26"/>
        <v>311634.11</v>
      </c>
      <c r="BP12" s="209">
        <f t="shared" si="26"/>
        <v>311634.11</v>
      </c>
      <c r="BQ12" s="209">
        <f t="shared" si="26"/>
        <v>311634.11</v>
      </c>
      <c r="BR12" s="209">
        <f t="shared" si="26"/>
        <v>311634.11</v>
      </c>
      <c r="BS12" s="209">
        <f t="shared" si="26"/>
        <v>311634.11</v>
      </c>
      <c r="BT12" s="209">
        <f t="shared" si="26"/>
        <v>311634.11</v>
      </c>
      <c r="BU12" s="209">
        <f t="shared" ref="BU12:EF12" si="27">BT12+BU11</f>
        <v>311634.11</v>
      </c>
      <c r="BV12" s="209">
        <f t="shared" si="27"/>
        <v>311634.11</v>
      </c>
      <c r="BW12" s="209">
        <f t="shared" si="27"/>
        <v>311634.11</v>
      </c>
      <c r="BX12" s="209">
        <f t="shared" si="27"/>
        <v>311634.11</v>
      </c>
      <c r="BY12" s="209">
        <f t="shared" si="27"/>
        <v>311634.11</v>
      </c>
      <c r="BZ12" s="209">
        <f t="shared" si="27"/>
        <v>311634.11</v>
      </c>
      <c r="CA12" s="209">
        <f t="shared" si="27"/>
        <v>311634.11</v>
      </c>
      <c r="CB12" s="209">
        <f t="shared" si="27"/>
        <v>311634.11</v>
      </c>
      <c r="CC12" s="209">
        <f t="shared" si="27"/>
        <v>311634.11</v>
      </c>
      <c r="CD12" s="209">
        <f t="shared" si="27"/>
        <v>311634.11</v>
      </c>
      <c r="CE12" s="209">
        <f t="shared" si="27"/>
        <v>311634.11</v>
      </c>
      <c r="CF12" s="209">
        <f t="shared" si="27"/>
        <v>311634.11</v>
      </c>
      <c r="CG12" s="209">
        <f t="shared" si="27"/>
        <v>311634.11</v>
      </c>
      <c r="CH12" s="209">
        <f t="shared" si="27"/>
        <v>311634.11</v>
      </c>
      <c r="CI12" s="209">
        <f t="shared" si="27"/>
        <v>311634.11</v>
      </c>
      <c r="CJ12" s="209">
        <f t="shared" si="27"/>
        <v>311634.11</v>
      </c>
      <c r="CK12" s="209">
        <f t="shared" si="27"/>
        <v>311634.11</v>
      </c>
      <c r="CL12" s="209">
        <f t="shared" si="27"/>
        <v>311634.11</v>
      </c>
      <c r="CM12" s="209">
        <f t="shared" si="27"/>
        <v>311634.11</v>
      </c>
      <c r="CN12" s="209">
        <f t="shared" si="27"/>
        <v>311634.11</v>
      </c>
      <c r="CO12" s="209">
        <f t="shared" si="27"/>
        <v>311634.11</v>
      </c>
      <c r="CP12" s="209">
        <f t="shared" si="27"/>
        <v>311634.11</v>
      </c>
      <c r="CQ12" s="209">
        <f t="shared" si="27"/>
        <v>311634.11</v>
      </c>
      <c r="CR12" s="209">
        <f t="shared" si="27"/>
        <v>311634.11</v>
      </c>
      <c r="CS12" s="209">
        <f t="shared" si="27"/>
        <v>311634.11</v>
      </c>
      <c r="CT12" s="209">
        <f t="shared" si="27"/>
        <v>311634.11</v>
      </c>
      <c r="CU12" s="209">
        <f t="shared" si="27"/>
        <v>311634.11</v>
      </c>
      <c r="CV12" s="209">
        <f t="shared" si="27"/>
        <v>311634.11</v>
      </c>
      <c r="CW12" s="209">
        <f t="shared" si="27"/>
        <v>311634.11</v>
      </c>
      <c r="CX12" s="209">
        <f t="shared" si="27"/>
        <v>311634.11</v>
      </c>
      <c r="CY12" s="209">
        <f t="shared" si="27"/>
        <v>311634.11</v>
      </c>
      <c r="CZ12" s="209">
        <f t="shared" si="27"/>
        <v>311634.11</v>
      </c>
      <c r="DA12" s="209">
        <f t="shared" si="27"/>
        <v>311634.11</v>
      </c>
      <c r="DB12" s="209">
        <f t="shared" si="27"/>
        <v>311634.11</v>
      </c>
      <c r="DC12" s="209">
        <f t="shared" si="27"/>
        <v>311634.11</v>
      </c>
      <c r="DD12" s="209">
        <f t="shared" si="27"/>
        <v>311634.11</v>
      </c>
      <c r="DE12" s="209">
        <f t="shared" si="27"/>
        <v>311634.11</v>
      </c>
      <c r="DF12" s="209">
        <f t="shared" si="27"/>
        <v>311634.11</v>
      </c>
      <c r="DG12" s="209">
        <f t="shared" si="27"/>
        <v>311634.11</v>
      </c>
      <c r="DH12" s="209">
        <f t="shared" si="27"/>
        <v>311634.11</v>
      </c>
      <c r="DI12" s="209">
        <f t="shared" si="27"/>
        <v>311634.11</v>
      </c>
      <c r="DJ12" s="209">
        <f t="shared" si="27"/>
        <v>311634.11</v>
      </c>
      <c r="DK12" s="209">
        <f t="shared" si="27"/>
        <v>311634.11</v>
      </c>
      <c r="DL12" s="209">
        <f t="shared" si="27"/>
        <v>311634.11</v>
      </c>
      <c r="DM12" s="209">
        <f t="shared" si="27"/>
        <v>311634.11</v>
      </c>
      <c r="DN12" s="209">
        <f t="shared" si="27"/>
        <v>311634.11</v>
      </c>
      <c r="DO12" s="209">
        <f t="shared" si="27"/>
        <v>311634.11</v>
      </c>
      <c r="DP12" s="209">
        <f t="shared" si="27"/>
        <v>311634.11</v>
      </c>
      <c r="DQ12" s="209">
        <f t="shared" si="27"/>
        <v>311634.11</v>
      </c>
      <c r="DR12" s="209">
        <f t="shared" si="27"/>
        <v>311634.11</v>
      </c>
      <c r="DS12" s="209">
        <f t="shared" si="27"/>
        <v>311634.11</v>
      </c>
      <c r="DT12" s="209">
        <f t="shared" si="27"/>
        <v>311634.11</v>
      </c>
      <c r="DU12" s="209">
        <f t="shared" si="27"/>
        <v>311634.11</v>
      </c>
      <c r="DV12" s="209">
        <f t="shared" si="27"/>
        <v>311634.11</v>
      </c>
      <c r="DW12" s="209">
        <f t="shared" si="27"/>
        <v>311634.11</v>
      </c>
      <c r="DX12" s="209">
        <f t="shared" si="27"/>
        <v>311634.11</v>
      </c>
      <c r="DY12" s="209">
        <f t="shared" si="27"/>
        <v>311634.11</v>
      </c>
      <c r="DZ12" s="209">
        <f t="shared" si="27"/>
        <v>311634.11</v>
      </c>
      <c r="EA12" s="209">
        <f t="shared" si="27"/>
        <v>311634.11</v>
      </c>
      <c r="EB12" s="209">
        <f t="shared" si="27"/>
        <v>311634.11</v>
      </c>
      <c r="EC12" s="209">
        <f t="shared" si="27"/>
        <v>311634.11</v>
      </c>
      <c r="ED12" s="209">
        <f t="shared" si="27"/>
        <v>311634.11</v>
      </c>
      <c r="EE12" s="209">
        <f t="shared" si="27"/>
        <v>311634.11</v>
      </c>
      <c r="EF12" s="209">
        <f t="shared" si="27"/>
        <v>311634.11</v>
      </c>
      <c r="EG12" s="209">
        <f t="shared" ref="EG12:GR12" si="28">EF12+EG11</f>
        <v>311634.11</v>
      </c>
      <c r="EH12" s="209">
        <f t="shared" si="28"/>
        <v>311634.11</v>
      </c>
      <c r="EI12" s="209">
        <f t="shared" si="28"/>
        <v>311634.11</v>
      </c>
      <c r="EJ12" s="209">
        <f t="shared" si="28"/>
        <v>311634.11</v>
      </c>
      <c r="EK12" s="209">
        <f t="shared" si="28"/>
        <v>311634.11</v>
      </c>
      <c r="EL12" s="209">
        <f t="shared" si="28"/>
        <v>311634.11</v>
      </c>
      <c r="EM12" s="209">
        <f t="shared" si="28"/>
        <v>311634.11</v>
      </c>
      <c r="EN12" s="209">
        <f t="shared" si="28"/>
        <v>311634.11</v>
      </c>
      <c r="EO12" s="209">
        <f t="shared" si="28"/>
        <v>311634.11</v>
      </c>
      <c r="EP12" s="209">
        <f t="shared" si="28"/>
        <v>311634.11</v>
      </c>
      <c r="EQ12" s="209">
        <f t="shared" si="28"/>
        <v>311634.11</v>
      </c>
      <c r="ER12" s="209">
        <f t="shared" si="28"/>
        <v>311634.11</v>
      </c>
      <c r="ES12" s="209">
        <f t="shared" si="28"/>
        <v>311634.11</v>
      </c>
      <c r="ET12" s="209">
        <f t="shared" si="28"/>
        <v>311634.11</v>
      </c>
      <c r="EU12" s="209">
        <f t="shared" si="28"/>
        <v>311634.11</v>
      </c>
      <c r="EV12" s="209">
        <f t="shared" si="28"/>
        <v>311634.11</v>
      </c>
      <c r="EW12" s="209">
        <f t="shared" si="28"/>
        <v>311634.11</v>
      </c>
      <c r="EX12" s="209">
        <f t="shared" si="28"/>
        <v>311634.11</v>
      </c>
      <c r="EY12" s="209">
        <f t="shared" si="28"/>
        <v>311634.11</v>
      </c>
      <c r="EZ12" s="209">
        <f t="shared" si="28"/>
        <v>311634.11</v>
      </c>
      <c r="FA12" s="209">
        <f t="shared" si="28"/>
        <v>311634.11</v>
      </c>
      <c r="FB12" s="209">
        <f t="shared" si="28"/>
        <v>311634.11</v>
      </c>
      <c r="FC12" s="209">
        <f t="shared" si="28"/>
        <v>311634.11</v>
      </c>
      <c r="FD12" s="209">
        <f t="shared" si="28"/>
        <v>311634.11</v>
      </c>
      <c r="FE12" s="209">
        <f t="shared" si="28"/>
        <v>311634.11</v>
      </c>
      <c r="FF12" s="209">
        <f t="shared" si="28"/>
        <v>311634.11</v>
      </c>
      <c r="FG12" s="209">
        <f t="shared" si="28"/>
        <v>311634.11</v>
      </c>
      <c r="FH12" s="209">
        <f t="shared" si="28"/>
        <v>311634.11</v>
      </c>
      <c r="FI12" s="209">
        <f t="shared" si="28"/>
        <v>311634.11</v>
      </c>
      <c r="FJ12" s="209">
        <f t="shared" si="28"/>
        <v>311634.11</v>
      </c>
      <c r="FK12" s="209">
        <f t="shared" si="28"/>
        <v>311634.11</v>
      </c>
      <c r="FL12" s="209">
        <f t="shared" si="28"/>
        <v>311634.11</v>
      </c>
      <c r="FM12" s="209">
        <f t="shared" si="28"/>
        <v>311634.11</v>
      </c>
      <c r="FN12" s="209">
        <f t="shared" si="28"/>
        <v>311634.11</v>
      </c>
      <c r="FO12" s="209">
        <f t="shared" si="28"/>
        <v>311634.11</v>
      </c>
      <c r="FP12" s="209">
        <f t="shared" si="28"/>
        <v>311634.11</v>
      </c>
      <c r="FQ12" s="209">
        <f t="shared" si="28"/>
        <v>311634.11</v>
      </c>
      <c r="FR12" s="209">
        <f t="shared" si="28"/>
        <v>311634.11</v>
      </c>
      <c r="FS12" s="209">
        <f t="shared" si="28"/>
        <v>311634.11</v>
      </c>
      <c r="FT12" s="209">
        <f t="shared" si="28"/>
        <v>311634.11</v>
      </c>
      <c r="FU12" s="209">
        <f t="shared" si="28"/>
        <v>311634.11</v>
      </c>
      <c r="FV12" s="209">
        <f t="shared" si="28"/>
        <v>311634.11</v>
      </c>
      <c r="FW12" s="209">
        <f t="shared" si="28"/>
        <v>311634.11</v>
      </c>
      <c r="FX12" s="209">
        <f t="shared" si="28"/>
        <v>311634.11</v>
      </c>
      <c r="FY12" s="209">
        <f t="shared" si="28"/>
        <v>311634.11</v>
      </c>
      <c r="FZ12" s="209">
        <f t="shared" si="28"/>
        <v>311634.11</v>
      </c>
      <c r="GA12" s="209">
        <f t="shared" si="28"/>
        <v>311634.11</v>
      </c>
      <c r="GB12" s="209">
        <f t="shared" si="28"/>
        <v>311634.11</v>
      </c>
      <c r="GC12" s="209">
        <f t="shared" si="28"/>
        <v>311634.11</v>
      </c>
      <c r="GD12" s="209">
        <f t="shared" si="28"/>
        <v>311634.11</v>
      </c>
      <c r="GE12" s="209">
        <f t="shared" si="28"/>
        <v>311634.11</v>
      </c>
      <c r="GF12" s="209">
        <f t="shared" si="28"/>
        <v>311634.11</v>
      </c>
      <c r="GG12" s="209">
        <f t="shared" si="28"/>
        <v>311634.11</v>
      </c>
      <c r="GH12" s="209">
        <f t="shared" si="28"/>
        <v>311634.11</v>
      </c>
      <c r="GI12" s="209">
        <f t="shared" si="28"/>
        <v>311634.11</v>
      </c>
      <c r="GJ12" s="209">
        <f t="shared" si="28"/>
        <v>311634.11</v>
      </c>
      <c r="GK12" s="209">
        <f t="shared" si="28"/>
        <v>311634.11</v>
      </c>
      <c r="GL12" s="209">
        <f t="shared" si="28"/>
        <v>311634.11</v>
      </c>
      <c r="GM12" s="209">
        <f t="shared" si="28"/>
        <v>311634.11</v>
      </c>
      <c r="GN12" s="209">
        <f t="shared" si="28"/>
        <v>311634.11</v>
      </c>
      <c r="GO12" s="209">
        <f t="shared" si="28"/>
        <v>311634.11</v>
      </c>
      <c r="GP12" s="209">
        <f t="shared" si="28"/>
        <v>311634.11</v>
      </c>
      <c r="GQ12" s="209">
        <f t="shared" si="28"/>
        <v>311634.11</v>
      </c>
      <c r="GR12" s="209">
        <f t="shared" si="28"/>
        <v>311634.11</v>
      </c>
      <c r="GS12" s="209">
        <f t="shared" ref="GS12:JD12" si="29">GR12+GS11</f>
        <v>311634.11</v>
      </c>
      <c r="GT12" s="209">
        <f t="shared" si="29"/>
        <v>311634.11</v>
      </c>
      <c r="GU12" s="209">
        <f t="shared" si="29"/>
        <v>311634.11</v>
      </c>
      <c r="GV12" s="209">
        <f t="shared" si="29"/>
        <v>311634.11</v>
      </c>
      <c r="GW12" s="209">
        <f t="shared" si="29"/>
        <v>311634.11</v>
      </c>
      <c r="GX12" s="209">
        <f t="shared" si="29"/>
        <v>311634.11</v>
      </c>
      <c r="GY12" s="209">
        <f t="shared" si="29"/>
        <v>311634.11</v>
      </c>
      <c r="GZ12" s="209">
        <f t="shared" si="29"/>
        <v>311634.11</v>
      </c>
      <c r="HA12" s="209">
        <f t="shared" si="29"/>
        <v>311634.11</v>
      </c>
      <c r="HB12" s="209">
        <f t="shared" si="29"/>
        <v>311634.11</v>
      </c>
      <c r="HC12" s="209">
        <f t="shared" si="29"/>
        <v>311634.11</v>
      </c>
      <c r="HD12" s="209">
        <f t="shared" si="29"/>
        <v>311634.11</v>
      </c>
      <c r="HE12" s="209">
        <f t="shared" si="29"/>
        <v>311634.11</v>
      </c>
      <c r="HF12" s="209">
        <f t="shared" si="29"/>
        <v>311634.11</v>
      </c>
      <c r="HG12" s="209">
        <f t="shared" si="29"/>
        <v>311634.11</v>
      </c>
      <c r="HH12" s="209">
        <f t="shared" si="29"/>
        <v>311634.11</v>
      </c>
      <c r="HI12" s="209">
        <f t="shared" si="29"/>
        <v>311634.11</v>
      </c>
      <c r="HJ12" s="209">
        <f t="shared" si="29"/>
        <v>311634.11</v>
      </c>
      <c r="HK12" s="209">
        <f t="shared" si="29"/>
        <v>311634.11</v>
      </c>
      <c r="HL12" s="209">
        <f t="shared" si="29"/>
        <v>311634.11</v>
      </c>
      <c r="HM12" s="209">
        <f t="shared" si="29"/>
        <v>311634.11</v>
      </c>
      <c r="HN12" s="209">
        <f t="shared" si="29"/>
        <v>311634.11</v>
      </c>
      <c r="HO12" s="209">
        <f t="shared" si="29"/>
        <v>311634.11</v>
      </c>
      <c r="HP12" s="209">
        <f t="shared" si="29"/>
        <v>311634.11</v>
      </c>
      <c r="HQ12" s="209">
        <f t="shared" si="29"/>
        <v>311634.11</v>
      </c>
      <c r="HR12" s="209">
        <f t="shared" si="29"/>
        <v>311634.11</v>
      </c>
      <c r="HS12" s="209">
        <f t="shared" si="29"/>
        <v>311634.11</v>
      </c>
      <c r="HT12" s="209">
        <f t="shared" si="29"/>
        <v>311634.11</v>
      </c>
      <c r="HU12" s="209">
        <f t="shared" si="29"/>
        <v>311634.11</v>
      </c>
      <c r="HV12" s="209">
        <f t="shared" si="29"/>
        <v>311634.11</v>
      </c>
      <c r="HW12" s="209">
        <f t="shared" si="29"/>
        <v>311634.11</v>
      </c>
      <c r="HX12" s="209">
        <f t="shared" si="29"/>
        <v>311634.11</v>
      </c>
      <c r="HY12" s="209">
        <f t="shared" si="29"/>
        <v>311634.11</v>
      </c>
      <c r="HZ12" s="209">
        <f t="shared" si="29"/>
        <v>311634.11</v>
      </c>
      <c r="IA12" s="209">
        <f t="shared" si="29"/>
        <v>311634.11</v>
      </c>
      <c r="IB12" s="209">
        <f t="shared" si="29"/>
        <v>311634.11</v>
      </c>
      <c r="IC12" s="209">
        <f t="shared" si="29"/>
        <v>311634.11</v>
      </c>
      <c r="ID12" s="209">
        <f t="shared" si="29"/>
        <v>311634.11</v>
      </c>
      <c r="IE12" s="209">
        <f t="shared" si="29"/>
        <v>311634.11</v>
      </c>
      <c r="IF12" s="209">
        <f t="shared" si="29"/>
        <v>311634.11</v>
      </c>
      <c r="IG12" s="209">
        <f t="shared" si="29"/>
        <v>311634.11</v>
      </c>
      <c r="IH12" s="209">
        <f t="shared" si="29"/>
        <v>311634.11</v>
      </c>
      <c r="II12" s="209">
        <f t="shared" si="29"/>
        <v>311634.11</v>
      </c>
      <c r="IJ12" s="209">
        <f t="shared" si="29"/>
        <v>311634.11</v>
      </c>
      <c r="IK12" s="209">
        <f t="shared" si="29"/>
        <v>311634.11</v>
      </c>
      <c r="IL12" s="209">
        <f t="shared" si="29"/>
        <v>311634.11</v>
      </c>
      <c r="IM12" s="209">
        <f t="shared" si="29"/>
        <v>311634.11</v>
      </c>
      <c r="IN12" s="209">
        <f t="shared" si="29"/>
        <v>311634.11</v>
      </c>
      <c r="IO12" s="209">
        <f t="shared" si="29"/>
        <v>311634.11</v>
      </c>
      <c r="IP12" s="209">
        <f t="shared" si="29"/>
        <v>311634.11</v>
      </c>
      <c r="IQ12" s="209">
        <f t="shared" si="29"/>
        <v>311634.11</v>
      </c>
      <c r="IR12" s="209">
        <f t="shared" si="29"/>
        <v>311634.11</v>
      </c>
      <c r="IS12" s="209">
        <f t="shared" si="29"/>
        <v>311634.11</v>
      </c>
      <c r="IT12" s="209">
        <f t="shared" si="29"/>
        <v>311634.11</v>
      </c>
      <c r="IU12" s="209">
        <f t="shared" si="29"/>
        <v>311634.11</v>
      </c>
      <c r="IV12" s="209">
        <f t="shared" si="29"/>
        <v>311634.11</v>
      </c>
      <c r="IW12" s="209">
        <f t="shared" si="29"/>
        <v>311634.11</v>
      </c>
      <c r="IX12" s="209">
        <f t="shared" si="29"/>
        <v>311634.11</v>
      </c>
      <c r="IY12" s="209">
        <f t="shared" si="29"/>
        <v>311634.11</v>
      </c>
      <c r="IZ12" s="209">
        <f t="shared" si="29"/>
        <v>311634.11</v>
      </c>
      <c r="JA12" s="209">
        <f t="shared" si="29"/>
        <v>311634.11</v>
      </c>
      <c r="JB12" s="209">
        <f t="shared" si="29"/>
        <v>311634.11</v>
      </c>
      <c r="JC12" s="209">
        <f t="shared" si="29"/>
        <v>311634.11</v>
      </c>
      <c r="JD12" s="209">
        <f t="shared" si="29"/>
        <v>311634.11</v>
      </c>
      <c r="JE12" s="209">
        <f t="shared" ref="JE12:LD12" si="30">JD12+JE11</f>
        <v>311634.11</v>
      </c>
      <c r="JF12" s="209">
        <f t="shared" si="30"/>
        <v>311634.11</v>
      </c>
      <c r="JG12" s="209">
        <f t="shared" si="30"/>
        <v>311634.11</v>
      </c>
      <c r="JH12" s="209">
        <f t="shared" si="30"/>
        <v>311634.11</v>
      </c>
      <c r="JI12" s="209">
        <f t="shared" si="30"/>
        <v>311634.11</v>
      </c>
      <c r="JJ12" s="209">
        <f t="shared" si="30"/>
        <v>311634.11</v>
      </c>
      <c r="JK12" s="209">
        <f t="shared" si="30"/>
        <v>311634.11</v>
      </c>
      <c r="JL12" s="209">
        <f t="shared" si="30"/>
        <v>311634.11</v>
      </c>
      <c r="JM12" s="209">
        <f t="shared" si="30"/>
        <v>311634.11</v>
      </c>
      <c r="JN12" s="209">
        <f t="shared" si="30"/>
        <v>311634.11</v>
      </c>
      <c r="JO12" s="209">
        <f t="shared" si="30"/>
        <v>311634.11</v>
      </c>
      <c r="JP12" s="209">
        <f t="shared" si="30"/>
        <v>311634.11</v>
      </c>
      <c r="JQ12" s="209">
        <f t="shared" si="30"/>
        <v>311634.11</v>
      </c>
      <c r="JR12" s="209">
        <f t="shared" si="30"/>
        <v>311634.11</v>
      </c>
      <c r="JS12" s="209">
        <f t="shared" si="30"/>
        <v>311634.11</v>
      </c>
      <c r="JT12" s="209">
        <f t="shared" si="30"/>
        <v>311634.11</v>
      </c>
      <c r="JU12" s="209">
        <f t="shared" si="30"/>
        <v>311634.11</v>
      </c>
      <c r="JV12" s="209">
        <f t="shared" si="30"/>
        <v>311634.11</v>
      </c>
      <c r="JW12" s="209">
        <f t="shared" si="30"/>
        <v>311634.11</v>
      </c>
      <c r="JX12" s="209">
        <f t="shared" si="30"/>
        <v>311634.11</v>
      </c>
      <c r="JY12" s="209">
        <f t="shared" si="30"/>
        <v>311634.11</v>
      </c>
      <c r="JZ12" s="209">
        <f t="shared" si="30"/>
        <v>311634.11</v>
      </c>
      <c r="KA12" s="209">
        <f t="shared" si="30"/>
        <v>311634.11</v>
      </c>
      <c r="KB12" s="209">
        <f t="shared" si="30"/>
        <v>311634.11</v>
      </c>
      <c r="KC12" s="209">
        <f t="shared" si="30"/>
        <v>311634.11</v>
      </c>
      <c r="KD12" s="209">
        <f t="shared" si="30"/>
        <v>311634.11</v>
      </c>
      <c r="KE12" s="209">
        <f t="shared" si="30"/>
        <v>311634.11</v>
      </c>
      <c r="KF12" s="209">
        <f t="shared" si="30"/>
        <v>311634.11</v>
      </c>
      <c r="KG12" s="209">
        <f t="shared" si="30"/>
        <v>311634.11</v>
      </c>
      <c r="KH12" s="209">
        <f t="shared" si="30"/>
        <v>311634.11</v>
      </c>
      <c r="KI12" s="209">
        <f t="shared" si="30"/>
        <v>311634.11</v>
      </c>
      <c r="KJ12" s="209">
        <f t="shared" si="30"/>
        <v>311634.11</v>
      </c>
      <c r="KK12" s="209">
        <f t="shared" si="30"/>
        <v>311634.11</v>
      </c>
      <c r="KL12" s="209">
        <f t="shared" si="30"/>
        <v>311634.11</v>
      </c>
      <c r="KM12" s="209">
        <f t="shared" si="30"/>
        <v>311634.11</v>
      </c>
      <c r="KN12" s="209">
        <f t="shared" si="30"/>
        <v>311634.11</v>
      </c>
      <c r="KO12" s="209">
        <f t="shared" si="30"/>
        <v>311634.11</v>
      </c>
      <c r="KP12" s="209">
        <f t="shared" si="30"/>
        <v>311634.11</v>
      </c>
      <c r="KQ12" s="209">
        <f t="shared" si="30"/>
        <v>311634.11</v>
      </c>
      <c r="KR12" s="209">
        <f t="shared" si="30"/>
        <v>311634.11</v>
      </c>
      <c r="KS12" s="209">
        <f t="shared" si="30"/>
        <v>311634.11</v>
      </c>
      <c r="KT12" s="209">
        <f t="shared" si="30"/>
        <v>311634.11</v>
      </c>
      <c r="KU12" s="209">
        <f t="shared" si="30"/>
        <v>311634.11</v>
      </c>
      <c r="KV12" s="209">
        <f t="shared" si="30"/>
        <v>311634.11</v>
      </c>
      <c r="KW12" s="209">
        <f t="shared" si="30"/>
        <v>311634.11</v>
      </c>
      <c r="KX12" s="209">
        <f t="shared" si="30"/>
        <v>311634.11</v>
      </c>
      <c r="KY12" s="209">
        <f t="shared" si="30"/>
        <v>311634.11</v>
      </c>
      <c r="KZ12" s="209">
        <f t="shared" si="30"/>
        <v>311634.11</v>
      </c>
      <c r="LA12" s="209">
        <f t="shared" si="30"/>
        <v>311634.11</v>
      </c>
      <c r="LB12" s="209">
        <f t="shared" si="30"/>
        <v>311634.11</v>
      </c>
      <c r="LC12" s="209">
        <f t="shared" si="30"/>
        <v>311634.11</v>
      </c>
      <c r="LD12" s="209">
        <f t="shared" si="30"/>
        <v>311634.11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65511.680000000051</v>
      </c>
      <c r="BO14" s="202">
        <f t="shared" si="32"/>
        <v>65511.680000000051</v>
      </c>
      <c r="BP14" s="202">
        <f t="shared" si="32"/>
        <v>65511.680000000051</v>
      </c>
      <c r="BQ14" s="202">
        <f t="shared" si="32"/>
        <v>65511.680000000051</v>
      </c>
      <c r="BR14" s="202">
        <f t="shared" si="32"/>
        <v>65511.680000000051</v>
      </c>
      <c r="BS14" s="202">
        <f t="shared" si="32"/>
        <v>65511.680000000051</v>
      </c>
      <c r="BT14" s="202">
        <f t="shared" si="32"/>
        <v>65511.680000000051</v>
      </c>
      <c r="BU14" s="202">
        <f t="shared" ref="BU14:EF14" si="33">BU10-BU12</f>
        <v>65511.680000000051</v>
      </c>
      <c r="BV14" s="202">
        <f t="shared" si="33"/>
        <v>65511.680000000051</v>
      </c>
      <c r="BW14" s="202">
        <f t="shared" si="33"/>
        <v>65511.680000000051</v>
      </c>
      <c r="BX14" s="202">
        <f t="shared" si="33"/>
        <v>65511.680000000051</v>
      </c>
      <c r="BY14" s="202">
        <f t="shared" si="33"/>
        <v>65511.680000000051</v>
      </c>
      <c r="BZ14" s="202">
        <f t="shared" si="33"/>
        <v>65511.680000000051</v>
      </c>
      <c r="CA14" s="202">
        <f t="shared" si="33"/>
        <v>65511.680000000051</v>
      </c>
      <c r="CB14" s="202">
        <f t="shared" si="33"/>
        <v>65511.680000000051</v>
      </c>
      <c r="CC14" s="202">
        <f t="shared" si="33"/>
        <v>65511.680000000051</v>
      </c>
      <c r="CD14" s="202">
        <f t="shared" si="33"/>
        <v>65511.680000000051</v>
      </c>
      <c r="CE14" s="202">
        <f t="shared" si="33"/>
        <v>65511.680000000051</v>
      </c>
      <c r="CF14" s="202">
        <f t="shared" si="33"/>
        <v>65511.680000000051</v>
      </c>
      <c r="CG14" s="202">
        <f t="shared" si="33"/>
        <v>65511.680000000051</v>
      </c>
      <c r="CH14" s="202">
        <f t="shared" si="33"/>
        <v>65511.680000000051</v>
      </c>
      <c r="CI14" s="202">
        <f t="shared" si="33"/>
        <v>65511.680000000051</v>
      </c>
      <c r="CJ14" s="202">
        <f t="shared" si="33"/>
        <v>65511.680000000051</v>
      </c>
      <c r="CK14" s="202">
        <f t="shared" si="33"/>
        <v>65511.680000000051</v>
      </c>
      <c r="CL14" s="202">
        <f t="shared" si="33"/>
        <v>65511.680000000051</v>
      </c>
      <c r="CM14" s="202">
        <f t="shared" si="33"/>
        <v>65511.680000000051</v>
      </c>
      <c r="CN14" s="202">
        <f t="shared" si="33"/>
        <v>65511.680000000051</v>
      </c>
      <c r="CO14" s="202">
        <f t="shared" si="33"/>
        <v>65511.680000000051</v>
      </c>
      <c r="CP14" s="202">
        <f t="shared" si="33"/>
        <v>65511.680000000051</v>
      </c>
      <c r="CQ14" s="202">
        <f t="shared" si="33"/>
        <v>65511.680000000051</v>
      </c>
      <c r="CR14" s="202">
        <f t="shared" si="33"/>
        <v>65511.680000000051</v>
      </c>
      <c r="CS14" s="202">
        <f t="shared" si="33"/>
        <v>65511.680000000051</v>
      </c>
      <c r="CT14" s="202">
        <f t="shared" si="33"/>
        <v>65511.680000000051</v>
      </c>
      <c r="CU14" s="202">
        <f t="shared" si="33"/>
        <v>65511.680000000051</v>
      </c>
      <c r="CV14" s="202">
        <f t="shared" si="33"/>
        <v>65511.680000000051</v>
      </c>
      <c r="CW14" s="202">
        <f t="shared" si="33"/>
        <v>65511.680000000051</v>
      </c>
      <c r="CX14" s="202">
        <f t="shared" si="33"/>
        <v>65511.680000000051</v>
      </c>
      <c r="CY14" s="202">
        <f t="shared" si="33"/>
        <v>65511.680000000051</v>
      </c>
      <c r="CZ14" s="202">
        <f t="shared" si="33"/>
        <v>65511.680000000051</v>
      </c>
      <c r="DA14" s="202">
        <f t="shared" si="33"/>
        <v>65511.680000000051</v>
      </c>
      <c r="DB14" s="202">
        <f t="shared" si="33"/>
        <v>65511.680000000051</v>
      </c>
      <c r="DC14" s="202">
        <f t="shared" si="33"/>
        <v>65511.680000000051</v>
      </c>
      <c r="DD14" s="202">
        <f t="shared" si="33"/>
        <v>65511.680000000051</v>
      </c>
      <c r="DE14" s="202">
        <f t="shared" si="33"/>
        <v>65511.680000000051</v>
      </c>
      <c r="DF14" s="202">
        <f t="shared" si="33"/>
        <v>65511.680000000051</v>
      </c>
      <c r="DG14" s="202">
        <f t="shared" si="33"/>
        <v>65511.680000000051</v>
      </c>
      <c r="DH14" s="202">
        <f t="shared" si="33"/>
        <v>65511.680000000051</v>
      </c>
      <c r="DI14" s="202">
        <f t="shared" si="33"/>
        <v>65511.680000000051</v>
      </c>
      <c r="DJ14" s="202">
        <f t="shared" si="33"/>
        <v>65511.680000000051</v>
      </c>
      <c r="DK14" s="202">
        <f t="shared" si="33"/>
        <v>65511.680000000051</v>
      </c>
      <c r="DL14" s="202">
        <f t="shared" si="33"/>
        <v>65511.680000000051</v>
      </c>
      <c r="DM14" s="202">
        <f t="shared" si="33"/>
        <v>65511.680000000051</v>
      </c>
      <c r="DN14" s="202">
        <f t="shared" si="33"/>
        <v>65511.680000000051</v>
      </c>
      <c r="DO14" s="202">
        <f t="shared" si="33"/>
        <v>65511.680000000051</v>
      </c>
      <c r="DP14" s="202">
        <f t="shared" si="33"/>
        <v>65511.680000000051</v>
      </c>
      <c r="DQ14" s="202">
        <f t="shared" si="33"/>
        <v>65511.680000000051</v>
      </c>
      <c r="DR14" s="202">
        <f t="shared" si="33"/>
        <v>65511.680000000051</v>
      </c>
      <c r="DS14" s="202">
        <f t="shared" si="33"/>
        <v>65511.680000000051</v>
      </c>
      <c r="DT14" s="202">
        <f t="shared" si="33"/>
        <v>65511.680000000051</v>
      </c>
      <c r="DU14" s="202">
        <f t="shared" si="33"/>
        <v>65511.680000000051</v>
      </c>
      <c r="DV14" s="202">
        <f t="shared" si="33"/>
        <v>65511.680000000051</v>
      </c>
      <c r="DW14" s="202">
        <f t="shared" si="33"/>
        <v>65511.680000000051</v>
      </c>
      <c r="DX14" s="202">
        <f t="shared" si="33"/>
        <v>65511.680000000051</v>
      </c>
      <c r="DY14" s="202">
        <f t="shared" si="33"/>
        <v>65511.680000000051</v>
      </c>
      <c r="DZ14" s="202">
        <f t="shared" si="33"/>
        <v>65511.680000000051</v>
      </c>
      <c r="EA14" s="202">
        <f t="shared" si="33"/>
        <v>65511.680000000051</v>
      </c>
      <c r="EB14" s="202">
        <f t="shared" si="33"/>
        <v>65511.680000000051</v>
      </c>
      <c r="EC14" s="202">
        <f t="shared" si="33"/>
        <v>65511.680000000051</v>
      </c>
      <c r="ED14" s="202">
        <f t="shared" si="33"/>
        <v>65511.680000000051</v>
      </c>
      <c r="EE14" s="202">
        <f t="shared" si="33"/>
        <v>65511.680000000051</v>
      </c>
      <c r="EF14" s="202">
        <f t="shared" si="33"/>
        <v>65511.680000000051</v>
      </c>
      <c r="EG14" s="202">
        <f t="shared" ref="EG14:GR14" si="34">EG10-EG12</f>
        <v>65511.680000000051</v>
      </c>
      <c r="EH14" s="202">
        <f t="shared" si="34"/>
        <v>65511.680000000051</v>
      </c>
      <c r="EI14" s="202">
        <f t="shared" si="34"/>
        <v>65511.680000000051</v>
      </c>
      <c r="EJ14" s="202">
        <f t="shared" si="34"/>
        <v>65511.680000000051</v>
      </c>
      <c r="EK14" s="202">
        <f t="shared" si="34"/>
        <v>65511.680000000051</v>
      </c>
      <c r="EL14" s="202">
        <f t="shared" si="34"/>
        <v>65511.680000000051</v>
      </c>
      <c r="EM14" s="202">
        <f t="shared" si="34"/>
        <v>65511.680000000051</v>
      </c>
      <c r="EN14" s="202">
        <f t="shared" si="34"/>
        <v>65511.680000000051</v>
      </c>
      <c r="EO14" s="202">
        <f t="shared" si="34"/>
        <v>65511.680000000051</v>
      </c>
      <c r="EP14" s="202">
        <f t="shared" si="34"/>
        <v>65511.680000000051</v>
      </c>
      <c r="EQ14" s="202">
        <f t="shared" si="34"/>
        <v>65511.680000000051</v>
      </c>
      <c r="ER14" s="202">
        <f t="shared" si="34"/>
        <v>65511.680000000051</v>
      </c>
      <c r="ES14" s="202">
        <f t="shared" si="34"/>
        <v>65511.680000000051</v>
      </c>
      <c r="ET14" s="202">
        <f t="shared" si="34"/>
        <v>65511.680000000051</v>
      </c>
      <c r="EU14" s="202">
        <f t="shared" si="34"/>
        <v>65511.680000000051</v>
      </c>
      <c r="EV14" s="202">
        <f t="shared" si="34"/>
        <v>65511.680000000051</v>
      </c>
      <c r="EW14" s="202">
        <f t="shared" si="34"/>
        <v>65511.680000000051</v>
      </c>
      <c r="EX14" s="202">
        <f t="shared" si="34"/>
        <v>65511.680000000051</v>
      </c>
      <c r="EY14" s="202">
        <f t="shared" si="34"/>
        <v>65511.680000000051</v>
      </c>
      <c r="EZ14" s="202">
        <f t="shared" si="34"/>
        <v>65511.680000000051</v>
      </c>
      <c r="FA14" s="202">
        <f t="shared" si="34"/>
        <v>65511.680000000051</v>
      </c>
      <c r="FB14" s="202">
        <f t="shared" si="34"/>
        <v>65511.680000000051</v>
      </c>
      <c r="FC14" s="202">
        <f t="shared" si="34"/>
        <v>65511.680000000051</v>
      </c>
      <c r="FD14" s="202">
        <f t="shared" si="34"/>
        <v>65511.680000000051</v>
      </c>
      <c r="FE14" s="202">
        <f t="shared" si="34"/>
        <v>65511.680000000051</v>
      </c>
      <c r="FF14" s="202">
        <f t="shared" si="34"/>
        <v>65511.680000000051</v>
      </c>
      <c r="FG14" s="202">
        <f t="shared" si="34"/>
        <v>65511.680000000051</v>
      </c>
      <c r="FH14" s="202">
        <f t="shared" si="34"/>
        <v>65511.680000000051</v>
      </c>
      <c r="FI14" s="202">
        <f t="shared" si="34"/>
        <v>65511.680000000051</v>
      </c>
      <c r="FJ14" s="202">
        <f t="shared" si="34"/>
        <v>65511.680000000051</v>
      </c>
      <c r="FK14" s="202">
        <f t="shared" si="34"/>
        <v>65511.680000000051</v>
      </c>
      <c r="FL14" s="202">
        <f t="shared" si="34"/>
        <v>65511.680000000051</v>
      </c>
      <c r="FM14" s="202">
        <f t="shared" si="34"/>
        <v>65511.680000000051</v>
      </c>
      <c r="FN14" s="202">
        <f t="shared" si="34"/>
        <v>65511.680000000051</v>
      </c>
      <c r="FO14" s="202">
        <f t="shared" si="34"/>
        <v>65511.680000000051</v>
      </c>
      <c r="FP14" s="202">
        <f t="shared" si="34"/>
        <v>65511.680000000051</v>
      </c>
      <c r="FQ14" s="202">
        <f t="shared" si="34"/>
        <v>65511.680000000051</v>
      </c>
      <c r="FR14" s="202">
        <f t="shared" si="34"/>
        <v>65511.680000000051</v>
      </c>
      <c r="FS14" s="202">
        <f t="shared" si="34"/>
        <v>65511.680000000051</v>
      </c>
      <c r="FT14" s="202">
        <f t="shared" si="34"/>
        <v>65511.680000000051</v>
      </c>
      <c r="FU14" s="202">
        <f t="shared" si="34"/>
        <v>65511.680000000051</v>
      </c>
      <c r="FV14" s="202">
        <f t="shared" si="34"/>
        <v>65511.680000000051</v>
      </c>
      <c r="FW14" s="202">
        <f t="shared" si="34"/>
        <v>65511.680000000051</v>
      </c>
      <c r="FX14" s="202">
        <f t="shared" si="34"/>
        <v>65511.680000000051</v>
      </c>
      <c r="FY14" s="202">
        <f t="shared" si="34"/>
        <v>65511.680000000051</v>
      </c>
      <c r="FZ14" s="202">
        <f t="shared" si="34"/>
        <v>65511.680000000051</v>
      </c>
      <c r="GA14" s="202">
        <f t="shared" si="34"/>
        <v>65511.680000000051</v>
      </c>
      <c r="GB14" s="202">
        <f t="shared" si="34"/>
        <v>65511.680000000051</v>
      </c>
      <c r="GC14" s="202">
        <f t="shared" si="34"/>
        <v>65511.680000000051</v>
      </c>
      <c r="GD14" s="202">
        <f t="shared" si="34"/>
        <v>65511.680000000051</v>
      </c>
      <c r="GE14" s="202">
        <f t="shared" si="34"/>
        <v>65511.680000000051</v>
      </c>
      <c r="GF14" s="202">
        <f t="shared" si="34"/>
        <v>65511.680000000051</v>
      </c>
      <c r="GG14" s="202">
        <f t="shared" si="34"/>
        <v>65511.680000000051</v>
      </c>
      <c r="GH14" s="202">
        <f t="shared" si="34"/>
        <v>65511.680000000051</v>
      </c>
      <c r="GI14" s="202">
        <f t="shared" si="34"/>
        <v>65511.680000000051</v>
      </c>
      <c r="GJ14" s="202">
        <f t="shared" si="34"/>
        <v>65511.680000000051</v>
      </c>
      <c r="GK14" s="202">
        <f t="shared" si="34"/>
        <v>65511.680000000051</v>
      </c>
      <c r="GL14" s="202">
        <f t="shared" si="34"/>
        <v>65511.680000000051</v>
      </c>
      <c r="GM14" s="202">
        <f t="shared" si="34"/>
        <v>65511.680000000051</v>
      </c>
      <c r="GN14" s="202">
        <f t="shared" si="34"/>
        <v>65511.680000000051</v>
      </c>
      <c r="GO14" s="202">
        <f t="shared" si="34"/>
        <v>65511.680000000051</v>
      </c>
      <c r="GP14" s="202">
        <f t="shared" si="34"/>
        <v>65511.680000000051</v>
      </c>
      <c r="GQ14" s="202">
        <f t="shared" si="34"/>
        <v>65511.680000000051</v>
      </c>
      <c r="GR14" s="202">
        <f t="shared" si="34"/>
        <v>65511.680000000051</v>
      </c>
      <c r="GS14" s="202">
        <f t="shared" ref="GS14:JD14" si="35">GS10-GS12</f>
        <v>65511.680000000051</v>
      </c>
      <c r="GT14" s="202">
        <f t="shared" si="35"/>
        <v>65511.680000000051</v>
      </c>
      <c r="GU14" s="202">
        <f t="shared" si="35"/>
        <v>65511.680000000051</v>
      </c>
      <c r="GV14" s="202">
        <f t="shared" si="35"/>
        <v>65511.680000000051</v>
      </c>
      <c r="GW14" s="202">
        <f t="shared" si="35"/>
        <v>65511.680000000051</v>
      </c>
      <c r="GX14" s="202">
        <f t="shared" si="35"/>
        <v>65511.680000000051</v>
      </c>
      <c r="GY14" s="202">
        <f t="shared" si="35"/>
        <v>65511.680000000051</v>
      </c>
      <c r="GZ14" s="202">
        <f t="shared" si="35"/>
        <v>65511.680000000051</v>
      </c>
      <c r="HA14" s="202">
        <f t="shared" si="35"/>
        <v>65511.680000000051</v>
      </c>
      <c r="HB14" s="202">
        <f t="shared" si="35"/>
        <v>65511.680000000051</v>
      </c>
      <c r="HC14" s="202">
        <f t="shared" si="35"/>
        <v>65511.680000000051</v>
      </c>
      <c r="HD14" s="202">
        <f t="shared" si="35"/>
        <v>65511.680000000051</v>
      </c>
      <c r="HE14" s="202">
        <f t="shared" si="35"/>
        <v>65511.680000000051</v>
      </c>
      <c r="HF14" s="202">
        <f t="shared" si="35"/>
        <v>65511.680000000051</v>
      </c>
      <c r="HG14" s="202">
        <f t="shared" si="35"/>
        <v>65511.680000000051</v>
      </c>
      <c r="HH14" s="202">
        <f t="shared" si="35"/>
        <v>65511.680000000051</v>
      </c>
      <c r="HI14" s="202">
        <f t="shared" si="35"/>
        <v>65511.680000000051</v>
      </c>
      <c r="HJ14" s="202">
        <f t="shared" si="35"/>
        <v>65511.680000000051</v>
      </c>
      <c r="HK14" s="202">
        <f t="shared" si="35"/>
        <v>65511.680000000051</v>
      </c>
      <c r="HL14" s="202">
        <f t="shared" si="35"/>
        <v>65511.680000000051</v>
      </c>
      <c r="HM14" s="202">
        <f t="shared" si="35"/>
        <v>65511.680000000051</v>
      </c>
      <c r="HN14" s="202">
        <f t="shared" si="35"/>
        <v>65511.680000000051</v>
      </c>
      <c r="HO14" s="202">
        <f t="shared" si="35"/>
        <v>65511.680000000051</v>
      </c>
      <c r="HP14" s="202">
        <f t="shared" si="35"/>
        <v>65511.680000000051</v>
      </c>
      <c r="HQ14" s="202">
        <f t="shared" si="35"/>
        <v>65511.680000000051</v>
      </c>
      <c r="HR14" s="202">
        <f t="shared" si="35"/>
        <v>65511.680000000051</v>
      </c>
      <c r="HS14" s="202">
        <f t="shared" si="35"/>
        <v>65511.680000000051</v>
      </c>
      <c r="HT14" s="202">
        <f t="shared" si="35"/>
        <v>65511.680000000051</v>
      </c>
      <c r="HU14" s="202">
        <f t="shared" si="35"/>
        <v>65511.680000000051</v>
      </c>
      <c r="HV14" s="202">
        <f t="shared" si="35"/>
        <v>65511.680000000051</v>
      </c>
      <c r="HW14" s="202">
        <f t="shared" si="35"/>
        <v>65511.680000000051</v>
      </c>
      <c r="HX14" s="202">
        <f t="shared" si="35"/>
        <v>65511.680000000051</v>
      </c>
      <c r="HY14" s="202">
        <f t="shared" si="35"/>
        <v>65511.680000000051</v>
      </c>
      <c r="HZ14" s="202">
        <f t="shared" si="35"/>
        <v>65511.680000000051</v>
      </c>
      <c r="IA14" s="202">
        <f t="shared" si="35"/>
        <v>65511.680000000051</v>
      </c>
      <c r="IB14" s="202">
        <f t="shared" si="35"/>
        <v>65511.680000000051</v>
      </c>
      <c r="IC14" s="202">
        <f t="shared" si="35"/>
        <v>65511.680000000051</v>
      </c>
      <c r="ID14" s="202">
        <f t="shared" si="35"/>
        <v>65511.680000000051</v>
      </c>
      <c r="IE14" s="202">
        <f t="shared" si="35"/>
        <v>65511.680000000051</v>
      </c>
      <c r="IF14" s="202">
        <f t="shared" si="35"/>
        <v>65511.680000000051</v>
      </c>
      <c r="IG14" s="202">
        <f t="shared" si="35"/>
        <v>65511.680000000051</v>
      </c>
      <c r="IH14" s="202">
        <f t="shared" si="35"/>
        <v>65511.680000000051</v>
      </c>
      <c r="II14" s="202">
        <f t="shared" si="35"/>
        <v>65511.680000000051</v>
      </c>
      <c r="IJ14" s="202">
        <f t="shared" si="35"/>
        <v>65511.680000000051</v>
      </c>
      <c r="IK14" s="202">
        <f t="shared" si="35"/>
        <v>65511.680000000051</v>
      </c>
      <c r="IL14" s="202">
        <f t="shared" si="35"/>
        <v>65511.680000000051</v>
      </c>
      <c r="IM14" s="202">
        <f t="shared" si="35"/>
        <v>65511.680000000051</v>
      </c>
      <c r="IN14" s="202">
        <f t="shared" si="35"/>
        <v>65511.680000000051</v>
      </c>
      <c r="IO14" s="202">
        <f t="shared" si="35"/>
        <v>65511.680000000051</v>
      </c>
      <c r="IP14" s="202">
        <f t="shared" si="35"/>
        <v>65511.680000000051</v>
      </c>
      <c r="IQ14" s="202">
        <f t="shared" si="35"/>
        <v>65511.680000000051</v>
      </c>
      <c r="IR14" s="202">
        <f t="shared" si="35"/>
        <v>65511.680000000051</v>
      </c>
      <c r="IS14" s="202">
        <f t="shared" si="35"/>
        <v>65511.680000000051</v>
      </c>
      <c r="IT14" s="202">
        <f t="shared" si="35"/>
        <v>65511.680000000051</v>
      </c>
      <c r="IU14" s="202">
        <f t="shared" si="35"/>
        <v>65511.680000000051</v>
      </c>
      <c r="IV14" s="202">
        <f t="shared" si="35"/>
        <v>65511.680000000051</v>
      </c>
      <c r="IW14" s="202">
        <f t="shared" si="35"/>
        <v>65511.680000000051</v>
      </c>
      <c r="IX14" s="202">
        <f t="shared" si="35"/>
        <v>65511.680000000051</v>
      </c>
      <c r="IY14" s="202">
        <f t="shared" si="35"/>
        <v>65511.680000000051</v>
      </c>
      <c r="IZ14" s="202">
        <f t="shared" si="35"/>
        <v>65511.680000000051</v>
      </c>
      <c r="JA14" s="202">
        <f t="shared" si="35"/>
        <v>65511.680000000051</v>
      </c>
      <c r="JB14" s="202">
        <f t="shared" si="35"/>
        <v>65511.680000000051</v>
      </c>
      <c r="JC14" s="202">
        <f t="shared" si="35"/>
        <v>65511.680000000051</v>
      </c>
      <c r="JD14" s="202">
        <f t="shared" si="35"/>
        <v>65511.680000000051</v>
      </c>
      <c r="JE14" s="202">
        <f t="shared" ref="JE14:LD14" si="36">JE10-JE12</f>
        <v>65511.680000000051</v>
      </c>
      <c r="JF14" s="202">
        <f t="shared" si="36"/>
        <v>65511.680000000051</v>
      </c>
      <c r="JG14" s="202">
        <f t="shared" si="36"/>
        <v>65511.680000000051</v>
      </c>
      <c r="JH14" s="202">
        <f t="shared" si="36"/>
        <v>65511.680000000051</v>
      </c>
      <c r="JI14" s="202">
        <f t="shared" si="36"/>
        <v>65511.680000000051</v>
      </c>
      <c r="JJ14" s="202">
        <f t="shared" si="36"/>
        <v>65511.680000000051</v>
      </c>
      <c r="JK14" s="202">
        <f t="shared" si="36"/>
        <v>65511.680000000051</v>
      </c>
      <c r="JL14" s="202">
        <f t="shared" si="36"/>
        <v>65511.680000000051</v>
      </c>
      <c r="JM14" s="202">
        <f t="shared" si="36"/>
        <v>65511.680000000051</v>
      </c>
      <c r="JN14" s="202">
        <f t="shared" si="36"/>
        <v>65511.680000000051</v>
      </c>
      <c r="JO14" s="202">
        <f t="shared" si="36"/>
        <v>65511.680000000051</v>
      </c>
      <c r="JP14" s="202">
        <f t="shared" si="36"/>
        <v>65511.680000000051</v>
      </c>
      <c r="JQ14" s="202">
        <f t="shared" si="36"/>
        <v>65511.680000000051</v>
      </c>
      <c r="JR14" s="202">
        <f t="shared" si="36"/>
        <v>65511.680000000051</v>
      </c>
      <c r="JS14" s="202">
        <f t="shared" si="36"/>
        <v>65511.680000000051</v>
      </c>
      <c r="JT14" s="202">
        <f t="shared" si="36"/>
        <v>65511.680000000051</v>
      </c>
      <c r="JU14" s="202">
        <f t="shared" si="36"/>
        <v>65511.680000000051</v>
      </c>
      <c r="JV14" s="202">
        <f t="shared" si="36"/>
        <v>65511.680000000051</v>
      </c>
      <c r="JW14" s="202">
        <f t="shared" si="36"/>
        <v>65511.680000000051</v>
      </c>
      <c r="JX14" s="202">
        <f t="shared" si="36"/>
        <v>65511.680000000051</v>
      </c>
      <c r="JY14" s="202">
        <f t="shared" si="36"/>
        <v>65511.680000000051</v>
      </c>
      <c r="JZ14" s="202">
        <f t="shared" si="36"/>
        <v>65511.680000000051</v>
      </c>
      <c r="KA14" s="202">
        <f t="shared" si="36"/>
        <v>65511.680000000051</v>
      </c>
      <c r="KB14" s="202">
        <f t="shared" si="36"/>
        <v>65511.680000000051</v>
      </c>
      <c r="KC14" s="202">
        <f t="shared" si="36"/>
        <v>65511.680000000051</v>
      </c>
      <c r="KD14" s="202">
        <f t="shared" si="36"/>
        <v>65511.680000000051</v>
      </c>
      <c r="KE14" s="202">
        <f t="shared" si="36"/>
        <v>65511.680000000051</v>
      </c>
      <c r="KF14" s="202">
        <f t="shared" si="36"/>
        <v>65511.680000000051</v>
      </c>
      <c r="KG14" s="202">
        <f t="shared" si="36"/>
        <v>65511.680000000051</v>
      </c>
      <c r="KH14" s="202">
        <f t="shared" si="36"/>
        <v>65511.680000000051</v>
      </c>
      <c r="KI14" s="202">
        <f t="shared" si="36"/>
        <v>65511.680000000051</v>
      </c>
      <c r="KJ14" s="202">
        <f t="shared" si="36"/>
        <v>65511.680000000051</v>
      </c>
      <c r="KK14" s="202">
        <f t="shared" si="36"/>
        <v>65511.680000000051</v>
      </c>
      <c r="KL14" s="202">
        <f t="shared" si="36"/>
        <v>65511.680000000051</v>
      </c>
      <c r="KM14" s="202">
        <f t="shared" si="36"/>
        <v>65511.680000000051</v>
      </c>
      <c r="KN14" s="202">
        <f t="shared" si="36"/>
        <v>65511.680000000051</v>
      </c>
      <c r="KO14" s="202">
        <f t="shared" si="36"/>
        <v>65511.680000000051</v>
      </c>
      <c r="KP14" s="202">
        <f t="shared" si="36"/>
        <v>65511.680000000051</v>
      </c>
      <c r="KQ14" s="202">
        <f t="shared" si="36"/>
        <v>65511.680000000051</v>
      </c>
      <c r="KR14" s="202">
        <f t="shared" si="36"/>
        <v>65511.680000000051</v>
      </c>
      <c r="KS14" s="202">
        <f t="shared" si="36"/>
        <v>65511.680000000051</v>
      </c>
      <c r="KT14" s="202">
        <f t="shared" si="36"/>
        <v>65511.680000000051</v>
      </c>
      <c r="KU14" s="202">
        <f t="shared" si="36"/>
        <v>65511.680000000051</v>
      </c>
      <c r="KV14" s="202">
        <f t="shared" si="36"/>
        <v>65511.680000000051</v>
      </c>
      <c r="KW14" s="202">
        <f t="shared" si="36"/>
        <v>65511.680000000051</v>
      </c>
      <c r="KX14" s="202">
        <f t="shared" si="36"/>
        <v>65511.680000000051</v>
      </c>
      <c r="KY14" s="202">
        <f t="shared" si="36"/>
        <v>65511.680000000051</v>
      </c>
      <c r="KZ14" s="202">
        <f t="shared" si="36"/>
        <v>65511.680000000051</v>
      </c>
      <c r="LA14" s="202">
        <f t="shared" si="36"/>
        <v>65511.680000000051</v>
      </c>
      <c r="LB14" s="202">
        <f t="shared" si="36"/>
        <v>65511.680000000051</v>
      </c>
      <c r="LC14" s="202">
        <f t="shared" si="36"/>
        <v>65511.680000000051</v>
      </c>
      <c r="LD14" s="202">
        <f t="shared" si="36"/>
        <v>65511.680000000051</v>
      </c>
    </row>
    <row r="15" spans="1:794" s="186" customFormat="1"/>
    <row r="16" spans="1:794" s="186" customFormat="1">
      <c r="C16" s="188" t="s">
        <v>201</v>
      </c>
      <c r="D16" s="188" t="s">
        <v>201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9" sqref="I9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203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208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217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222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229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230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234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247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250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253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257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260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264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255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232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abSelected="1"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203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208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217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222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229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230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234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247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250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253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257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260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264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255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232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7" t="s">
        <v>307</v>
      </c>
      <c r="C2" s="757"/>
      <c r="D2" s="757"/>
      <c r="E2" s="757"/>
      <c r="H2" s="758" t="s">
        <v>308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309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310</v>
      </c>
      <c r="C5" s="653" t="s">
        <v>311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312</v>
      </c>
      <c r="C6" s="653" t="s">
        <v>313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314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315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316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56" t="s">
        <v>327</v>
      </c>
      <c r="C18" s="756"/>
      <c r="D18" s="756"/>
      <c r="E18" s="756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207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207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206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210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2.95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83FD516-0715-4F08-93D8-96A1CB832C29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