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01" documentId="13_ncr:1_{88662233-A3CA-4DB1-B156-E0D8D78B7588}" xr6:coauthVersionLast="47" xr6:coauthVersionMax="47" xr10:uidLastSave="{60F970B8-7955-4140-B3C9-933B46CFCB1F}"/>
  <bookViews>
    <workbookView xWindow="28680" yWindow="-120" windowWidth="29040" windowHeight="15720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57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W106" i="18"/>
  <c r="N48" i="2"/>
  <c r="K48" i="2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V20" i="2" l="1"/>
  <c r="J45" i="2"/>
  <c r="U20" i="2" s="1"/>
  <c r="AB1" i="6"/>
  <c r="AA9" i="6"/>
  <c r="AA11" i="6"/>
  <c r="AA17" i="6"/>
  <c r="N51" i="2"/>
  <c r="H161" i="18"/>
  <c r="F50" i="2"/>
  <c r="H154" i="18"/>
  <c r="H23" i="5"/>
  <c r="Z17" i="6"/>
  <c r="Z18" i="6" s="1"/>
  <c r="Z11" i="6"/>
  <c r="Z9" i="6"/>
  <c r="Z10" i="6" s="1"/>
  <c r="R12" i="6"/>
  <c r="Q14" i="6"/>
  <c r="AA3" i="6" l="1"/>
  <c r="Z3" i="6"/>
  <c r="AA10" i="6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1" i="6"/>
  <c r="AL17" i="6"/>
  <c r="AC12" i="6"/>
  <c r="AB14" i="6"/>
  <c r="AL10" i="6" l="1"/>
  <c r="AL18" i="6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1" i="6"/>
  <c r="CB17" i="6"/>
  <c r="CB18" i="6" s="1"/>
  <c r="BS12" i="6"/>
  <c r="BR14" i="6"/>
  <c r="CB10" i="6" l="1"/>
  <c r="CD1" i="6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E3" i="6"/>
  <c r="HE5" i="6"/>
  <c r="HE6" i="6" s="1"/>
  <c r="GI4" i="6"/>
  <c r="GH7" i="6"/>
  <c r="GW12" i="6"/>
  <c r="GV14" i="6"/>
  <c r="HF10" i="6" l="1"/>
  <c r="HF18" i="6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B3" i="6"/>
  <c r="IB5" i="6"/>
  <c r="IB6" i="6" s="1"/>
  <c r="IC6" i="6" s="1"/>
  <c r="HF4" i="6"/>
  <c r="HE7" i="6"/>
  <c r="IB17" i="6"/>
  <c r="IB18" i="6" s="1"/>
  <c r="HT12" i="6"/>
  <c r="HS14" i="6"/>
  <c r="IC10" i="6" l="1"/>
  <c r="IC18" i="6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M12" i="6"/>
  <c r="IL14" i="6"/>
  <c r="IV10" i="6" l="1"/>
  <c r="IV18" i="6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<sst xmlns="http://schemas.openxmlformats.org/spreadsheetml/2006/main" count="963" uniqueCount="563">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</sst>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&quot;R&quot;#,##0.00"/>
    <numFmt numFmtId="171" formatCode="_-[$R-1C09]* #,##0.0000_-;\-[$R-1C09]* #,##0.0000_-;_-[$R-1C09]* &quot;-&quot;??_-;_-@_-"/>
    <numFmt numFmtId="172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80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9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8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8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8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8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8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8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8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8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8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8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8" fontId="0" fillId="6" borderId="2" xfId="0" applyNumberFormat="1" applyFill="1" applyBorder="1"/>
    <xf numFmtId="168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8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8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8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8" fontId="7" fillId="5" borderId="11" xfId="0" applyNumberFormat="1" applyFont="1" applyFill="1" applyBorder="1"/>
    <xf numFmtId="168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8" fontId="18" fillId="5" borderId="2" xfId="0" applyNumberFormat="1" applyFont="1" applyFill="1" applyBorder="1"/>
    <xf numFmtId="168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8" fontId="31" fillId="5" borderId="0" xfId="0" applyNumberFormat="1" applyFont="1" applyFill="1"/>
    <xf numFmtId="168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9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9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9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9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9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9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9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9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9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9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9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9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9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9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9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9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9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9" fontId="8" fillId="2" borderId="0" xfId="0" applyNumberFormat="1" applyFont="1" applyFill="1" applyAlignment="1" applyProtection="1">
      <alignment horizontal="center" vertical="center"/>
      <protection locked="0"/>
    </xf>
    <xf numFmtId="169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8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8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1" fontId="5" fillId="5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169" fontId="7" fillId="0" borderId="45" xfId="0" applyNumberFormat="1" applyFont="1" applyBorder="1" applyAlignment="1" applyProtection="1">
      <alignment horizontal="center" vertical="center" wrapText="1"/>
      <protection locked="0"/>
    </xf>
    <xf numFmtId="170" fontId="0" fillId="6" borderId="2" xfId="0" applyNumberFormat="1" applyFill="1" applyBorder="1"/>
    <xf numFmtId="168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9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9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9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9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8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8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8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7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8" fontId="5" fillId="9" borderId="34" xfId="3" applyFont="1" applyFill="1" applyBorder="1" applyAlignment="1" applyProtection="1">
      <alignment horizontal="center"/>
      <protection locked="0"/>
    </xf>
    <xf numFmtId="169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9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8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8" fontId="5" fillId="9" borderId="26" xfId="3" applyFont="1" applyFill="1" applyBorder="1" applyAlignment="1" applyProtection="1">
      <alignment horizontal="center"/>
      <protection locked="0"/>
    </xf>
    <xf numFmtId="168" fontId="5" fillId="11" borderId="26" xfId="3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8" fontId="5" fillId="11" borderId="32" xfId="3" applyFont="1" applyFill="1" applyBorder="1" applyAlignment="1" applyProtection="1">
      <alignment horizontal="center"/>
      <protection locked="0"/>
    </xf>
    <xf numFmtId="168" fontId="5" fillId="0" borderId="3" xfId="3" applyFont="1" applyBorder="1" applyAlignment="1" applyProtection="1">
      <alignment horizontal="center"/>
      <protection locked="0"/>
    </xf>
    <xf numFmtId="168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8" fontId="5" fillId="9" borderId="2" xfId="3" applyFont="1" applyFill="1" applyBorder="1" applyAlignment="1" applyProtection="1">
      <alignment horizontal="center"/>
      <protection locked="0"/>
    </xf>
    <xf numFmtId="168" fontId="5" fillId="9" borderId="32" xfId="3" applyFont="1" applyFill="1" applyBorder="1" applyAlignment="1" applyProtection="1">
      <alignment horizontal="center"/>
      <protection locked="0"/>
    </xf>
    <xf numFmtId="168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8" fontId="5" fillId="5" borderId="0" xfId="3" applyFont="1" applyFill="1" applyAlignment="1" applyProtection="1">
      <alignment horizontal="center"/>
      <protection locked="0"/>
    </xf>
    <xf numFmtId="168" fontId="6" fillId="0" borderId="37" xfId="3" applyFont="1" applyBorder="1" applyAlignment="1" applyProtection="1">
      <alignment horizontal="center" vertical="center"/>
      <protection locked="0"/>
    </xf>
    <xf numFmtId="168" fontId="5" fillId="2" borderId="28" xfId="3" applyFont="1" applyFill="1" applyBorder="1" applyAlignment="1" applyProtection="1">
      <alignment horizontal="center"/>
      <protection locked="0"/>
    </xf>
    <xf numFmtId="168" fontId="5" fillId="11" borderId="41" xfId="3" applyFont="1" applyFill="1" applyBorder="1" applyAlignment="1" applyProtection="1">
      <alignment horizontal="center"/>
      <protection locked="0"/>
    </xf>
    <xf numFmtId="168" fontId="5" fillId="9" borderId="28" xfId="3" applyFont="1" applyFill="1" applyBorder="1" applyAlignment="1" applyProtection="1">
      <alignment horizontal="center"/>
      <protection locked="0"/>
    </xf>
    <xf numFmtId="168" fontId="35" fillId="0" borderId="15" xfId="3" applyFont="1" applyBorder="1" applyAlignment="1" applyProtection="1">
      <alignment horizontal="left"/>
      <protection locked="0"/>
    </xf>
    <xf numFmtId="168" fontId="5" fillId="8" borderId="34" xfId="3" applyFont="1" applyFill="1" applyBorder="1" applyAlignment="1" applyProtection="1">
      <alignment horizontal="center"/>
      <protection locked="0"/>
    </xf>
    <xf numFmtId="168" fontId="5" fillId="8" borderId="26" xfId="3" applyFont="1" applyFill="1" applyBorder="1" applyAlignment="1" applyProtection="1">
      <alignment horizontal="center"/>
      <protection locked="0"/>
    </xf>
    <xf numFmtId="168" fontId="5" fillId="8" borderId="32" xfId="3" applyFont="1" applyFill="1" applyBorder="1" applyAlignment="1" applyProtection="1">
      <alignment horizontal="center"/>
      <protection locked="0"/>
    </xf>
    <xf numFmtId="168" fontId="5" fillId="2" borderId="0" xfId="3" applyFont="1" applyFill="1" applyAlignment="1" applyProtection="1">
      <alignment horizontal="center"/>
      <protection locked="0"/>
    </xf>
    <xf numFmtId="168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9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9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8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9" fontId="4" fillId="0" borderId="17" xfId="0" applyNumberFormat="1" applyFont="1" applyBorder="1" applyAlignment="1" applyProtection="1">
      <alignment horizontal="center"/>
      <protection locked="0"/>
    </xf>
    <xf numFmtId="169" fontId="4" fillId="8" borderId="50" xfId="0" applyNumberFormat="1" applyFont="1" applyFill="1" applyBorder="1" applyAlignment="1" applyProtection="1">
      <alignment horizontal="center"/>
      <protection locked="0"/>
    </xf>
    <xf numFmtId="169" fontId="4" fillId="8" borderId="51" xfId="0" applyNumberFormat="1" applyFont="1" applyFill="1" applyBorder="1" applyAlignment="1" applyProtection="1">
      <alignment horizontal="center"/>
      <protection locked="0"/>
    </xf>
    <xf numFmtId="169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8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9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9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8" fontId="8" fillId="11" borderId="1" xfId="0" applyNumberFormat="1" applyFont="1" applyFill="1" applyBorder="1" applyAlignment="1" applyProtection="1">
      <alignment horizontal="left" vertical="center"/>
      <protection locked="0"/>
    </xf>
    <xf numFmtId="169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9" fontId="8" fillId="9" borderId="49" xfId="0" applyNumberFormat="1" applyFont="1" applyFill="1" applyBorder="1" applyAlignment="1" applyProtection="1">
      <alignment horizontal="center"/>
      <protection locked="0"/>
    </xf>
    <xf numFmtId="169" fontId="8" fillId="9" borderId="53" xfId="0" applyNumberFormat="1" applyFont="1" applyFill="1" applyBorder="1" applyAlignment="1" applyProtection="1">
      <alignment horizontal="center"/>
      <protection locked="0"/>
    </xf>
    <xf numFmtId="169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9" fontId="8" fillId="11" borderId="51" xfId="0" applyNumberFormat="1" applyFont="1" applyFill="1" applyBorder="1" applyAlignment="1" applyProtection="1">
      <alignment horizontal="center"/>
      <protection locked="0"/>
    </xf>
    <xf numFmtId="169" fontId="8" fillId="11" borderId="49" xfId="0" applyNumberFormat="1" applyFont="1" applyFill="1" applyBorder="1" applyAlignment="1" applyProtection="1">
      <alignment horizontal="center"/>
      <protection locked="0"/>
    </xf>
    <xf numFmtId="169" fontId="8" fillId="11" borderId="50" xfId="0" applyNumberFormat="1" applyFont="1" applyFill="1" applyBorder="1" applyAlignment="1" applyProtection="1">
      <alignment horizontal="center"/>
      <protection locked="0"/>
    </xf>
    <xf numFmtId="169" fontId="8" fillId="0" borderId="11" xfId="0" applyNumberFormat="1" applyFont="1" applyBorder="1" applyAlignment="1" applyProtection="1">
      <alignment horizontal="center"/>
      <protection locked="0"/>
    </xf>
    <xf numFmtId="169" fontId="8" fillId="9" borderId="51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9" fontId="8" fillId="11" borderId="53" xfId="0" applyNumberFormat="1" applyFont="1" applyFill="1" applyBorder="1" applyAlignment="1" applyProtection="1">
      <alignment horizontal="center"/>
      <protection locked="0"/>
    </xf>
    <xf numFmtId="169" fontId="8" fillId="0" borderId="17" xfId="0" applyNumberFormat="1" applyFont="1" applyBorder="1" applyAlignment="1" applyProtection="1">
      <alignment horizontal="center"/>
      <protection locked="0"/>
    </xf>
    <xf numFmtId="169" fontId="8" fillId="8" borderId="51" xfId="0" applyNumberFormat="1" applyFont="1" applyFill="1" applyBorder="1" applyAlignment="1" applyProtection="1">
      <alignment horizontal="center"/>
      <protection locked="0"/>
    </xf>
    <xf numFmtId="169" fontId="8" fillId="8" borderId="53" xfId="0" applyNumberFormat="1" applyFont="1" applyFill="1" applyBorder="1" applyAlignment="1" applyProtection="1">
      <alignment horizontal="center"/>
      <protection locked="0"/>
    </xf>
    <xf numFmtId="169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8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8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8" fontId="6" fillId="14" borderId="22" xfId="0" applyNumberFormat="1" applyFont="1" applyFill="1" applyBorder="1" applyProtection="1">
      <protection locked="0"/>
    </xf>
    <xf numFmtId="168" fontId="6" fillId="14" borderId="22" xfId="3" applyFont="1" applyFill="1" applyBorder="1" applyProtection="1">
      <protection locked="0"/>
    </xf>
    <xf numFmtId="168" fontId="6" fillId="14" borderId="25" xfId="0" applyNumberFormat="1" applyFont="1" applyFill="1" applyBorder="1" applyProtection="1">
      <protection locked="0"/>
    </xf>
    <xf numFmtId="168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8" fontId="6" fillId="15" borderId="22" xfId="0" applyNumberFormat="1" applyFont="1" applyFill="1" applyBorder="1" applyProtection="1">
      <protection locked="0"/>
    </xf>
    <xf numFmtId="168" fontId="6" fillId="15" borderId="25" xfId="0" applyNumberFormat="1" applyFont="1" applyFill="1" applyBorder="1" applyProtection="1">
      <protection locked="0"/>
    </xf>
    <xf numFmtId="168" fontId="4" fillId="8" borderId="26" xfId="3" applyFont="1" applyFill="1" applyBorder="1" applyAlignment="1" applyProtection="1">
      <alignment horizontal="center" vertical="center"/>
      <protection locked="0"/>
    </xf>
    <xf numFmtId="168" fontId="4" fillId="9" borderId="2" xfId="3" applyFont="1" applyFill="1" applyBorder="1" applyAlignment="1" applyProtection="1">
      <alignment horizontal="center"/>
      <protection locked="0"/>
    </xf>
    <xf numFmtId="169" fontId="7" fillId="0" borderId="62" xfId="0" applyNumberFormat="1" applyFont="1" applyBorder="1" applyAlignment="1" applyProtection="1">
      <alignment horizontal="center" vertical="center" wrapText="1"/>
      <protection locked="0"/>
    </xf>
    <xf numFmtId="169" fontId="7" fillId="0" borderId="11" xfId="0" applyNumberFormat="1" applyFont="1" applyBorder="1" applyAlignment="1" applyProtection="1">
      <alignment horizontal="center" vertical="center" wrapText="1"/>
      <protection locked="0"/>
    </xf>
    <xf numFmtId="169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9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9" fontId="15" fillId="0" borderId="38" xfId="0" applyNumberFormat="1" applyFont="1" applyBorder="1" applyAlignment="1" applyProtection="1">
      <alignment horizontal="center" vertical="center" wrapText="1"/>
      <protection locked="0"/>
    </xf>
    <xf numFmtId="169" fontId="15" fillId="0" borderId="16" xfId="0" applyNumberFormat="1" applyFont="1" applyBorder="1" applyAlignment="1" applyProtection="1">
      <alignment horizontal="center" vertical="center" wrapText="1"/>
      <protection locked="0"/>
    </xf>
    <xf numFmtId="169" fontId="8" fillId="8" borderId="49" xfId="0" applyNumberFormat="1" applyFont="1" applyFill="1" applyBorder="1" applyAlignment="1" applyProtection="1">
      <alignment horizontal="center"/>
      <protection locked="0"/>
    </xf>
    <xf numFmtId="169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8" fontId="5" fillId="5" borderId="0" xfId="0" applyNumberFormat="1" applyFont="1" applyFill="1" applyProtection="1">
      <protection locked="0"/>
    </xf>
    <xf numFmtId="168" fontId="5" fillId="8" borderId="76" xfId="3" applyFont="1" applyFill="1" applyBorder="1" applyAlignment="1" applyProtection="1">
      <alignment horizontal="center"/>
      <protection locked="0"/>
    </xf>
    <xf numFmtId="168" fontId="5" fillId="8" borderId="23" xfId="3" applyFont="1" applyFill="1" applyBorder="1" applyAlignment="1" applyProtection="1">
      <alignment horizontal="center"/>
      <protection locked="0"/>
    </xf>
    <xf numFmtId="169" fontId="4" fillId="8" borderId="78" xfId="0" applyNumberFormat="1" applyFont="1" applyFill="1" applyBorder="1" applyAlignment="1" applyProtection="1">
      <alignment horizontal="center"/>
      <protection locked="0"/>
    </xf>
    <xf numFmtId="169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70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9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9" fontId="6" fillId="0" borderId="48" xfId="0" applyNumberFormat="1" applyFont="1" applyBorder="1" applyAlignment="1" applyProtection="1">
      <alignment vertical="center"/>
      <protection locked="0"/>
    </xf>
    <xf numFmtId="169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70" fontId="33" fillId="7" borderId="24" xfId="0" applyNumberFormat="1" applyFont="1" applyFill="1" applyBorder="1" applyAlignment="1" applyProtection="1">
      <alignment vertical="center"/>
      <protection locked="0"/>
    </xf>
    <xf numFmtId="170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8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8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167" fontId="5" fillId="0" borderId="0" xfId="0" applyNumberFormat="1" applyFont="1" applyProtection="1">
      <protection locked="0"/>
    </xf>
    <xf numFmtId="167" fontId="5" fillId="5" borderId="0" xfId="0" applyNumberFormat="1" applyFont="1" applyFill="1" applyProtection="1">
      <protection locked="0"/>
    </xf>
    <xf numFmtId="166" fontId="8" fillId="5" borderId="0" xfId="0" applyNumberFormat="1" applyFont="1" applyFill="1" applyProtection="1">
      <protection locked="0"/>
    </xf>
    <xf numFmtId="168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8" fontId="19" fillId="5" borderId="2" xfId="3" applyFont="1" applyFill="1" applyBorder="1" applyProtection="1">
      <protection locked="0"/>
    </xf>
    <xf numFmtId="168" fontId="5" fillId="5" borderId="0" xfId="3" applyFont="1" applyFill="1" applyProtection="1">
      <protection locked="0"/>
    </xf>
    <xf numFmtId="165" fontId="5" fillId="5" borderId="0" xfId="0" applyNumberFormat="1" applyFont="1" applyFill="1" applyProtection="1">
      <protection locked="0"/>
    </xf>
    <xf numFmtId="168" fontId="5" fillId="4" borderId="0" xfId="0" applyNumberFormat="1" applyFont="1" applyFill="1" applyProtection="1">
      <protection locked="0"/>
    </xf>
    <xf numFmtId="168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165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165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8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9" fontId="47" fillId="9" borderId="53" xfId="0" applyNumberFormat="1" applyFont="1" applyFill="1" applyBorder="1" applyAlignment="1" applyProtection="1">
      <alignment horizontal="center"/>
      <protection locked="0"/>
    </xf>
    <xf numFmtId="169" fontId="47" fillId="11" borderId="49" xfId="0" applyNumberFormat="1" applyFont="1" applyFill="1" applyBorder="1" applyAlignment="1" applyProtection="1">
      <alignment horizontal="center"/>
      <protection locked="0"/>
    </xf>
    <xf numFmtId="169" fontId="47" fillId="11" borderId="50" xfId="0" applyNumberFormat="1" applyFont="1" applyFill="1" applyBorder="1" applyAlignment="1" applyProtection="1">
      <alignment horizontal="center"/>
      <protection locked="0"/>
    </xf>
    <xf numFmtId="169" fontId="47" fillId="9" borderId="50" xfId="0" applyNumberFormat="1" applyFont="1" applyFill="1" applyBorder="1" applyAlignment="1" applyProtection="1">
      <alignment horizontal="center"/>
      <protection locked="0"/>
    </xf>
    <xf numFmtId="169" fontId="47" fillId="9" borderId="49" xfId="0" applyNumberFormat="1" applyFont="1" applyFill="1" applyBorder="1" applyAlignment="1" applyProtection="1">
      <alignment horizontal="center"/>
      <protection locked="0"/>
    </xf>
    <xf numFmtId="169" fontId="47" fillId="8" borderId="53" xfId="0" applyNumberFormat="1" applyFont="1" applyFill="1" applyBorder="1" applyAlignment="1" applyProtection="1">
      <alignment horizontal="center"/>
      <protection locked="0"/>
    </xf>
    <xf numFmtId="169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164" fontId="18" fillId="5" borderId="0" xfId="0" applyNumberFormat="1" applyFont="1" applyFill="1" applyProtection="1">
      <protection locked="0"/>
    </xf>
    <xf numFmtId="168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8" fontId="0" fillId="0" borderId="15" xfId="0" applyNumberFormat="1" applyBorder="1"/>
    <xf numFmtId="165" fontId="0" fillId="0" borderId="0" xfId="0" applyNumberFormat="1"/>
    <xf numFmtId="165" fontId="0" fillId="0" borderId="15" xfId="0" applyNumberFormat="1" applyBorder="1"/>
    <xf numFmtId="168" fontId="0" fillId="0" borderId="2" xfId="3" applyFont="1" applyFill="1" applyBorder="1"/>
    <xf numFmtId="168" fontId="0" fillId="0" borderId="32" xfId="3" applyFont="1" applyFill="1" applyBorder="1"/>
    <xf numFmtId="0" fontId="49" fillId="0" borderId="2" xfId="0" applyFont="1" applyBorder="1"/>
    <xf numFmtId="168" fontId="49" fillId="0" borderId="2" xfId="3" applyFont="1" applyBorder="1"/>
    <xf numFmtId="168" fontId="49" fillId="0" borderId="32" xfId="3" applyFont="1" applyBorder="1"/>
    <xf numFmtId="164" fontId="0" fillId="0" borderId="0" xfId="0" applyNumberFormat="1"/>
    <xf numFmtId="0" fontId="49" fillId="0" borderId="0" xfId="0" applyFont="1"/>
    <xf numFmtId="0" fontId="0" fillId="0" borderId="26" xfId="0" applyBorder="1"/>
    <xf numFmtId="168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8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5" fontId="18" fillId="5" borderId="0" xfId="0" applyNumberFormat="1" applyFont="1" applyFill="1" applyProtection="1">
      <protection locked="0"/>
    </xf>
    <xf numFmtId="168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9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9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8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8" fontId="4" fillId="11" borderId="1" xfId="3" applyFont="1" applyFill="1" applyBorder="1" applyAlignment="1" applyProtection="1">
      <alignment horizontal="center" vertical="center"/>
      <protection locked="0"/>
    </xf>
    <xf numFmtId="169" fontId="47" fillId="8" borderId="26" xfId="0" applyNumberFormat="1" applyFont="1" applyFill="1" applyBorder="1" applyAlignment="1" applyProtection="1">
      <alignment horizontal="center"/>
      <protection locked="0"/>
    </xf>
    <xf numFmtId="169" fontId="47" fillId="11" borderId="53" xfId="0" applyNumberFormat="1" applyFont="1" applyFill="1" applyBorder="1" applyAlignment="1" applyProtection="1">
      <alignment horizontal="center"/>
      <protection locked="0"/>
    </xf>
    <xf numFmtId="168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4" fillId="9" borderId="86" xfId="0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9" fontId="6" fillId="9" borderId="6" xfId="0" applyNumberFormat="1" applyFont="1" applyFill="1" applyBorder="1" applyAlignment="1" applyProtection="1">
      <alignment horizontal="center" vertical="center"/>
      <protection locked="0"/>
    </xf>
    <xf numFmtId="169" fontId="6" fillId="9" borderId="48" xfId="0" applyNumberFormat="1" applyFont="1" applyFill="1" applyBorder="1" applyAlignment="1" applyProtection="1">
      <alignment horizontal="center" vertical="center"/>
      <protection locked="0"/>
    </xf>
    <xf numFmtId="169" fontId="6" fillId="9" borderId="8" xfId="0" applyNumberFormat="1" applyFont="1" applyFill="1" applyBorder="1" applyAlignment="1" applyProtection="1">
      <alignment horizontal="center" vertical="center"/>
      <protection locked="0"/>
    </xf>
    <xf numFmtId="169" fontId="6" fillId="9" borderId="12" xfId="0" applyNumberFormat="1" applyFont="1" applyFill="1" applyBorder="1" applyAlignment="1" applyProtection="1">
      <alignment horizontal="center" vertical="center"/>
      <protection locked="0"/>
    </xf>
    <xf numFmtId="169" fontId="6" fillId="9" borderId="17" xfId="0" applyNumberFormat="1" applyFont="1" applyFill="1" applyBorder="1" applyAlignment="1" applyProtection="1">
      <alignment horizontal="center" vertical="center"/>
      <protection locked="0"/>
    </xf>
    <xf numFmtId="169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9" fontId="6" fillId="11" borderId="6" xfId="0" applyNumberFormat="1" applyFont="1" applyFill="1" applyBorder="1" applyAlignment="1" applyProtection="1">
      <alignment horizontal="center" vertical="center"/>
      <protection locked="0"/>
    </xf>
    <xf numFmtId="169" fontId="6" fillId="11" borderId="48" xfId="0" applyNumberFormat="1" applyFont="1" applyFill="1" applyBorder="1" applyAlignment="1" applyProtection="1">
      <alignment horizontal="center" vertical="center"/>
      <protection locked="0"/>
    </xf>
    <xf numFmtId="169" fontId="6" fillId="11" borderId="8" xfId="0" applyNumberFormat="1" applyFont="1" applyFill="1" applyBorder="1" applyAlignment="1" applyProtection="1">
      <alignment horizontal="center" vertical="center"/>
      <protection locked="0"/>
    </xf>
    <xf numFmtId="169" fontId="6" fillId="11" borderId="12" xfId="0" applyNumberFormat="1" applyFont="1" applyFill="1" applyBorder="1" applyAlignment="1" applyProtection="1">
      <alignment horizontal="center" vertical="center"/>
      <protection locked="0"/>
    </xf>
    <xf numFmtId="169" fontId="6" fillId="11" borderId="17" xfId="0" applyNumberFormat="1" applyFont="1" applyFill="1" applyBorder="1" applyAlignment="1" applyProtection="1">
      <alignment horizontal="center" vertical="center"/>
      <protection locked="0"/>
    </xf>
    <xf numFmtId="169" fontId="6" fillId="11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center" vertical="center"/>
      <protection locked="0"/>
    </xf>
    <xf numFmtId="169" fontId="4" fillId="9" borderId="17" xfId="0" applyNumberFormat="1" applyFont="1" applyFill="1" applyBorder="1" applyAlignment="1" applyProtection="1">
      <alignment horizontal="center" vertical="center"/>
      <protection locked="0"/>
    </xf>
    <xf numFmtId="169" fontId="4" fillId="9" borderId="13" xfId="0" applyNumberFormat="1" applyFont="1" applyFill="1" applyBorder="1" applyAlignment="1" applyProtection="1">
      <alignment horizontal="center" vertical="center"/>
      <protection locked="0"/>
    </xf>
    <xf numFmtId="169" fontId="4" fillId="11" borderId="12" xfId="0" applyNumberFormat="1" applyFont="1" applyFill="1" applyBorder="1" applyAlignment="1" applyProtection="1">
      <alignment horizontal="center" vertical="center"/>
      <protection locked="0"/>
    </xf>
    <xf numFmtId="169" fontId="4" fillId="11" borderId="17" xfId="0" applyNumberFormat="1" applyFont="1" applyFill="1" applyBorder="1" applyAlignment="1" applyProtection="1">
      <alignment horizontal="center" vertical="center"/>
      <protection locked="0"/>
    </xf>
    <xf numFmtId="169" fontId="4" fillId="11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left" vertical="center"/>
      <protection locked="0"/>
    </xf>
    <xf numFmtId="169" fontId="4" fillId="9" borderId="17" xfId="0" applyNumberFormat="1" applyFont="1" applyFill="1" applyBorder="1" applyAlignment="1" applyProtection="1">
      <alignment horizontal="left" vertical="center"/>
      <protection locked="0"/>
    </xf>
    <xf numFmtId="169" fontId="4" fillId="9" borderId="13" xfId="0" applyNumberFormat="1" applyFont="1" applyFill="1" applyBorder="1" applyAlignment="1" applyProtection="1">
      <alignment horizontal="left" vertical="center"/>
      <protection locked="0"/>
    </xf>
    <xf numFmtId="169" fontId="6" fillId="8" borderId="6" xfId="0" applyNumberFormat="1" applyFont="1" applyFill="1" applyBorder="1" applyAlignment="1" applyProtection="1">
      <alignment horizontal="center" vertical="center"/>
      <protection locked="0"/>
    </xf>
    <xf numFmtId="169" fontId="6" fillId="8" borderId="48" xfId="0" applyNumberFormat="1" applyFont="1" applyFill="1" applyBorder="1" applyAlignment="1" applyProtection="1">
      <alignment horizontal="center" vertical="center"/>
      <protection locked="0"/>
    </xf>
    <xf numFmtId="169" fontId="6" fillId="8" borderId="8" xfId="0" applyNumberFormat="1" applyFont="1" applyFill="1" applyBorder="1" applyAlignment="1" applyProtection="1">
      <alignment horizontal="center" vertical="center"/>
      <protection locked="0"/>
    </xf>
    <xf numFmtId="169" fontId="6" fillId="8" borderId="12" xfId="0" applyNumberFormat="1" applyFont="1" applyFill="1" applyBorder="1" applyAlignment="1" applyProtection="1">
      <alignment horizontal="center" vertical="center"/>
      <protection locked="0"/>
    </xf>
    <xf numFmtId="169" fontId="6" fillId="8" borderId="17" xfId="0" applyNumberFormat="1" applyFont="1" applyFill="1" applyBorder="1" applyAlignment="1" applyProtection="1">
      <alignment horizontal="center" vertical="center"/>
      <protection locked="0"/>
    </xf>
    <xf numFmtId="169" fontId="6" fillId="8" borderId="13" xfId="0" applyNumberFormat="1" applyFont="1" applyFill="1" applyBorder="1" applyAlignment="1" applyProtection="1">
      <alignment horizontal="center" vertical="center"/>
      <protection locked="0"/>
    </xf>
    <xf numFmtId="169" fontId="6" fillId="9" borderId="5" xfId="0" applyNumberFormat="1" applyFont="1" applyFill="1" applyBorder="1" applyAlignment="1" applyProtection="1">
      <alignment horizontal="center" vertical="center"/>
      <protection locked="0"/>
    </xf>
    <xf numFmtId="169" fontId="6" fillId="9" borderId="0" xfId="0" applyNumberFormat="1" applyFont="1" applyFill="1" applyAlignment="1" applyProtection="1">
      <alignment horizontal="center" vertical="center"/>
      <protection locked="0"/>
    </xf>
    <xf numFmtId="169" fontId="6" fillId="9" borderId="7" xfId="0" applyNumberFormat="1" applyFont="1" applyFill="1" applyBorder="1" applyAlignment="1" applyProtection="1">
      <alignment horizontal="center" vertical="center"/>
      <protection locked="0"/>
    </xf>
    <xf numFmtId="169" fontId="4" fillId="8" borderId="12" xfId="0" applyNumberFormat="1" applyFont="1" applyFill="1" applyBorder="1" applyAlignment="1" applyProtection="1">
      <alignment horizontal="center" vertical="center"/>
      <protection locked="0"/>
    </xf>
    <xf numFmtId="169" fontId="4" fillId="8" borderId="17" xfId="0" applyNumberFormat="1" applyFont="1" applyFill="1" applyBorder="1" applyAlignment="1" applyProtection="1">
      <alignment horizontal="center" vertical="center"/>
      <protection locked="0"/>
    </xf>
    <xf numFmtId="169" fontId="4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3" applyFont="1" applyFill="1" applyBorder="1" applyAlignment="1" applyProtection="1">
      <alignment horizontal="center" vertical="center"/>
      <protection locked="0"/>
    </xf>
    <xf numFmtId="168" fontId="4" fillId="11" borderId="17" xfId="3" applyFont="1" applyFill="1" applyBorder="1" applyAlignment="1" applyProtection="1">
      <alignment horizontal="center" vertical="center"/>
      <protection locked="0"/>
    </xf>
    <xf numFmtId="168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-140010.91650416655</c:v>
                </c:pt>
                <c:pt idx="25">
                  <c:v>-229036.12800416676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79764.381995833013</c:v>
                </c:pt>
                <c:pt idx="37">
                  <c:v>79764.381995833013</c:v>
                </c:pt>
                <c:pt idx="38">
                  <c:v>79764.381995833013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08" t="s">
        <v>0</v>
      </c>
      <c r="C2" s="708"/>
      <c r="D2" s="708"/>
      <c r="E2" s="708"/>
      <c r="H2" s="709" t="s">
        <v>1</v>
      </c>
      <c r="I2" s="710"/>
      <c r="J2" s="710"/>
      <c r="K2" s="710"/>
      <c r="L2" s="710"/>
      <c r="M2" s="710"/>
      <c r="N2" s="710"/>
      <c r="O2" s="711"/>
    </row>
    <row r="3" spans="2:15">
      <c r="B3" s="589"/>
      <c r="H3" s="712"/>
      <c r="I3" s="713"/>
      <c r="J3" s="713"/>
      <c r="K3" s="713"/>
      <c r="L3" s="713"/>
      <c r="M3" s="713"/>
      <c r="N3" s="713"/>
      <c r="O3" s="714"/>
    </row>
    <row r="4" spans="2:15">
      <c r="B4" s="590" t="s">
        <v>2</v>
      </c>
      <c r="C4" s="591" t="str">
        <f>'Project Plan'!E2</f>
        <v>Mahikeng Builders Express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590" t="s">
        <v>3</v>
      </c>
      <c r="C5" s="591" t="s">
        <v>4</v>
      </c>
      <c r="H5" s="712"/>
      <c r="I5" s="713"/>
      <c r="J5" s="713"/>
      <c r="K5" s="713"/>
      <c r="L5" s="713"/>
      <c r="M5" s="713"/>
      <c r="N5" s="713"/>
      <c r="O5" s="714"/>
    </row>
    <row r="6" spans="2:15">
      <c r="B6" s="590" t="s">
        <v>5</v>
      </c>
      <c r="C6" s="591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590" t="s">
        <v>7</v>
      </c>
      <c r="C7" s="591" t="s">
        <v>8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589"/>
      <c r="H8" s="712"/>
      <c r="I8" s="713"/>
      <c r="J8" s="713"/>
      <c r="K8" s="713"/>
      <c r="L8" s="713"/>
      <c r="M8" s="713"/>
      <c r="N8" s="713"/>
      <c r="O8" s="714"/>
    </row>
    <row r="9" spans="2:15">
      <c r="B9" s="718" t="s">
        <v>9</v>
      </c>
      <c r="C9" s="718"/>
      <c r="D9" s="718"/>
      <c r="E9" s="718"/>
      <c r="H9" s="712"/>
      <c r="I9" s="713"/>
      <c r="J9" s="713"/>
      <c r="K9" s="713"/>
      <c r="L9" s="713"/>
      <c r="M9" s="713"/>
      <c r="N9" s="713"/>
      <c r="O9" s="714"/>
    </row>
    <row r="10" spans="2:15" ht="15" thickBot="1">
      <c r="B10" s="718" t="s">
        <v>10</v>
      </c>
      <c r="C10" s="718"/>
      <c r="D10" s="718"/>
      <c r="E10" s="718"/>
      <c r="H10" s="715"/>
      <c r="I10" s="716"/>
      <c r="J10" s="716"/>
      <c r="K10" s="716"/>
      <c r="L10" s="716"/>
      <c r="M10" s="716"/>
      <c r="N10" s="716"/>
      <c r="O10" s="717"/>
    </row>
    <row r="11" spans="2:15">
      <c r="B11" s="592" t="s">
        <v>11</v>
      </c>
      <c r="C11" s="706" t="s">
        <v>12</v>
      </c>
      <c r="D11" s="706"/>
      <c r="E11" s="706"/>
    </row>
    <row r="12" spans="2:15">
      <c r="B12" s="592" t="s">
        <v>13</v>
      </c>
      <c r="C12" s="706" t="s">
        <v>12</v>
      </c>
      <c r="D12" s="706"/>
      <c r="E12" s="706"/>
    </row>
    <row r="13" spans="2:15">
      <c r="B13" s="592" t="s">
        <v>14</v>
      </c>
      <c r="C13" s="706" t="s">
        <v>15</v>
      </c>
      <c r="D13" s="706"/>
      <c r="E13" s="706"/>
    </row>
    <row r="14" spans="2:15">
      <c r="B14" s="592" t="s">
        <v>16</v>
      </c>
      <c r="C14" s="706" t="s">
        <v>15</v>
      </c>
      <c r="D14" s="706"/>
      <c r="E14" s="706"/>
    </row>
    <row r="15" spans="2:15">
      <c r="B15" s="592" t="s">
        <v>17</v>
      </c>
      <c r="C15" s="706" t="s">
        <v>18</v>
      </c>
      <c r="D15" s="706"/>
      <c r="E15" s="706"/>
    </row>
    <row r="16" spans="2:15" ht="15" customHeight="1">
      <c r="B16" s="592" t="s">
        <v>19</v>
      </c>
      <c r="C16" s="706"/>
      <c r="D16" s="706"/>
      <c r="E16" s="706"/>
    </row>
    <row r="17" spans="2:5">
      <c r="B17" s="589"/>
    </row>
    <row r="18" spans="2:5">
      <c r="B18" s="707" t="s">
        <v>20</v>
      </c>
      <c r="C18" s="707"/>
      <c r="D18" s="707"/>
      <c r="E18" s="707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08" t="s">
        <v>28</v>
      </c>
      <c r="C2" s="708"/>
      <c r="D2" s="708"/>
      <c r="E2" s="708"/>
      <c r="H2" s="709" t="s">
        <v>29</v>
      </c>
      <c r="I2" s="710"/>
      <c r="J2" s="710"/>
      <c r="K2" s="710"/>
      <c r="L2" s="710"/>
      <c r="M2" s="710"/>
      <c r="N2" s="710"/>
      <c r="O2" s="711"/>
    </row>
    <row r="3" spans="2:15">
      <c r="B3" s="589"/>
      <c r="H3" s="712"/>
      <c r="I3" s="713"/>
      <c r="J3" s="713"/>
      <c r="K3" s="713"/>
      <c r="L3" s="713"/>
      <c r="M3" s="713"/>
      <c r="N3" s="713"/>
      <c r="O3" s="714"/>
    </row>
    <row r="4" spans="2:15">
      <c r="B4" s="590" t="s">
        <v>2</v>
      </c>
      <c r="C4" s="591" t="str">
        <f>'Project Plan'!E2</f>
        <v>Mahikeng Builders Express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590" t="s">
        <v>30</v>
      </c>
      <c r="C5" s="591"/>
      <c r="H5" s="712"/>
      <c r="I5" s="713"/>
      <c r="J5" s="713"/>
      <c r="K5" s="713"/>
      <c r="L5" s="713"/>
      <c r="M5" s="713"/>
      <c r="N5" s="713"/>
      <c r="O5" s="714"/>
    </row>
    <row r="6" spans="2:15">
      <c r="B6" s="590" t="s">
        <v>5</v>
      </c>
      <c r="C6" s="591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590" t="s">
        <v>31</v>
      </c>
      <c r="C7" s="591" t="s">
        <v>32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590" t="s">
        <v>33</v>
      </c>
      <c r="C8" s="591"/>
      <c r="H8" s="712"/>
      <c r="I8" s="713"/>
      <c r="J8" s="713"/>
      <c r="K8" s="713"/>
      <c r="L8" s="713"/>
      <c r="M8" s="713"/>
      <c r="N8" s="713"/>
      <c r="O8" s="714"/>
    </row>
    <row r="9" spans="2:15">
      <c r="B9" s="589"/>
      <c r="H9" s="712"/>
      <c r="I9" s="713"/>
      <c r="J9" s="713"/>
      <c r="K9" s="713"/>
      <c r="L9" s="713"/>
      <c r="M9" s="713"/>
      <c r="N9" s="713"/>
      <c r="O9" s="714"/>
    </row>
    <row r="10" spans="2:15">
      <c r="B10" s="718" t="s">
        <v>9</v>
      </c>
      <c r="C10" s="718"/>
      <c r="D10" s="718"/>
      <c r="E10" s="718"/>
      <c r="H10" s="712"/>
      <c r="I10" s="713"/>
      <c r="J10" s="713"/>
      <c r="K10" s="713"/>
      <c r="L10" s="713"/>
      <c r="M10" s="713"/>
      <c r="N10" s="713"/>
      <c r="O10" s="714"/>
    </row>
    <row r="11" spans="2:15" ht="15" thickBot="1">
      <c r="B11" s="718" t="s">
        <v>10</v>
      </c>
      <c r="C11" s="718"/>
      <c r="D11" s="718"/>
      <c r="E11" s="718"/>
      <c r="H11" s="715"/>
      <c r="I11" s="716"/>
      <c r="J11" s="716"/>
      <c r="K11" s="716"/>
      <c r="L11" s="716"/>
      <c r="M11" s="716"/>
      <c r="N11" s="716"/>
      <c r="O11" s="717"/>
    </row>
    <row r="12" spans="2:15" ht="26.45">
      <c r="B12" s="592" t="s">
        <v>34</v>
      </c>
      <c r="C12" s="706"/>
      <c r="D12" s="706"/>
      <c r="E12" s="706"/>
    </row>
    <row r="13" spans="2:15">
      <c r="B13" s="592" t="s">
        <v>35</v>
      </c>
      <c r="C13" s="706"/>
      <c r="D13" s="706"/>
      <c r="E13" s="706"/>
    </row>
    <row r="14" spans="2:15">
      <c r="B14" s="592" t="s">
        <v>36</v>
      </c>
      <c r="C14" s="706"/>
      <c r="D14" s="706"/>
      <c r="E14" s="706"/>
    </row>
    <row r="15" spans="2:15">
      <c r="B15" s="592" t="s">
        <v>37</v>
      </c>
      <c r="C15" s="706"/>
      <c r="D15" s="706"/>
      <c r="E15" s="706"/>
    </row>
    <row r="16" spans="2:15" ht="26.45">
      <c r="B16" s="592" t="s">
        <v>38</v>
      </c>
      <c r="C16" s="706"/>
      <c r="D16" s="706"/>
      <c r="E16" s="706"/>
    </row>
    <row r="17" spans="2:5">
      <c r="B17" s="592" t="s">
        <v>39</v>
      </c>
      <c r="C17" s="706"/>
      <c r="D17" s="706"/>
      <c r="E17" s="706"/>
    </row>
    <row r="18" spans="2:5">
      <c r="B18" s="592" t="s">
        <v>40</v>
      </c>
      <c r="C18" s="706"/>
      <c r="D18" s="706"/>
      <c r="E18" s="706"/>
    </row>
    <row r="19" spans="2:5">
      <c r="B19" s="592" t="s">
        <v>41</v>
      </c>
      <c r="C19" s="706"/>
      <c r="D19" s="706"/>
      <c r="E19" s="706"/>
    </row>
    <row r="20" spans="2:5">
      <c r="B20" s="592" t="s">
        <v>42</v>
      </c>
      <c r="C20" s="706"/>
      <c r="D20" s="706"/>
      <c r="E20" s="706"/>
    </row>
    <row r="21" spans="2:5">
      <c r="B21" s="592" t="s">
        <v>43</v>
      </c>
      <c r="C21" s="706"/>
      <c r="D21" s="706"/>
      <c r="E21" s="706"/>
    </row>
    <row r="22" spans="2:5" ht="15" customHeight="1">
      <c r="B22" s="592" t="s">
        <v>19</v>
      </c>
      <c r="C22" s="706"/>
      <c r="D22" s="706"/>
      <c r="E22" s="706"/>
    </row>
    <row r="23" spans="2:5">
      <c r="B23" s="589"/>
    </row>
    <row r="24" spans="2:5">
      <c r="B24" s="707" t="s">
        <v>20</v>
      </c>
      <c r="C24" s="707"/>
      <c r="D24" s="707"/>
      <c r="E24" s="707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21"/>
      <c r="C1" s="722"/>
      <c r="D1" s="722"/>
      <c r="E1" s="722"/>
      <c r="F1" s="719" t="s">
        <v>44</v>
      </c>
      <c r="G1" s="719"/>
      <c r="H1" s="719"/>
      <c r="I1" s="719"/>
      <c r="J1" s="719"/>
      <c r="K1" s="720"/>
      <c r="L1" s="13"/>
      <c r="M1" s="13"/>
      <c r="N1" s="13"/>
      <c r="O1" s="13"/>
    </row>
    <row r="2" spans="2:15" ht="6.75" customHeight="1"/>
    <row r="3" spans="2:15" s="596" customFormat="1" ht="28.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1" bestFit="1" customWidth="1"/>
    <col min="6" max="6" width="33.42578125" customWidth="1"/>
  </cols>
  <sheetData>
    <row r="1" spans="2:10" ht="15" thickBot="1"/>
    <row r="2" spans="2:10" ht="15.6" thickTop="1" thickBot="1">
      <c r="B2" s="723" t="s">
        <v>85</v>
      </c>
      <c r="C2" s="724"/>
      <c r="D2" s="724"/>
      <c r="E2" s="724"/>
      <c r="F2" s="725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3" t="s">
        <v>95</v>
      </c>
      <c r="C16" s="724"/>
      <c r="D16" s="724"/>
      <c r="E16" s="724"/>
      <c r="F16" s="725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2" zoomScaleNormal="100" workbookViewId="0">
      <selection activeCell="K48" sqref="K48"/>
    </sheetView>
  </sheetViews>
  <sheetFormatPr defaultColWidth="8.42578125" defaultRowHeight="13.9"/>
  <cols>
    <col min="1" max="1" width="1.42578125" style="26" customWidth="1"/>
    <col min="2" max="2" width="6.42578125" style="82" bestFit="1" customWidth="1"/>
    <col min="3" max="3" width="46.5703125" style="4" bestFit="1" customWidth="1"/>
    <col min="4" max="4" width="3.42578125" style="26" customWidth="1"/>
    <col min="5" max="5" width="25.5703125" style="4" customWidth="1"/>
    <col min="6" max="6" width="9.42578125" style="79" customWidth="1"/>
    <col min="7" max="7" width="11.5703125" style="5" customWidth="1"/>
    <col min="8" max="8" width="8.42578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 bestFit="1"/>
    <col min="19" max="19" width="42.5703125" style="26" bestFit="1" customWidth="1"/>
    <col min="20" max="20" width="10.42578125" style="26" bestFit="1" customWidth="1"/>
    <col min="21" max="21" width="9.42578125" style="26" bestFit="1" customWidth="1"/>
    <col min="22" max="22" width="10.42578125" style="26" bestFit="1" customWidth="1"/>
    <col min="23" max="23" width="8.42578125" style="26" bestFit="1"/>
    <col min="24" max="25" width="10.42578125" style="26" bestFit="1" customWidth="1"/>
    <col min="26" max="26" width="8.42578125" style="4" bestFit="1"/>
    <col min="27" max="16384" width="8.42578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46069</v>
      </c>
      <c r="O1" s="303">
        <f ca="1">TODAY()</f>
        <v>46069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6" t="s">
        <v>103</v>
      </c>
      <c r="J2" s="727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5" thickBot="1">
      <c r="B3" s="90"/>
      <c r="C3" s="91" t="s">
        <v>104</v>
      </c>
      <c r="D3" s="89"/>
      <c r="E3" s="310">
        <v>250</v>
      </c>
      <c r="F3" s="92"/>
      <c r="G3" s="93"/>
      <c r="H3" s="93"/>
      <c r="I3" s="726" t="s">
        <v>105</v>
      </c>
      <c r="J3" s="727"/>
      <c r="K3" s="563">
        <f>K2/5</f>
        <v>5.4</v>
      </c>
      <c r="Q3" s="1"/>
    </row>
    <row r="4" spans="2:28" s="26" customFormat="1" ht="14.4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6" t="s">
        <v>108</v>
      </c>
      <c r="J4" s="727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30" t="s">
        <v>114</v>
      </c>
      <c r="C8" s="731" t="s">
        <v>115</v>
      </c>
      <c r="D8" s="124"/>
      <c r="E8" s="732" t="s">
        <v>116</v>
      </c>
      <c r="F8" s="732" t="s">
        <v>117</v>
      </c>
      <c r="G8" s="732" t="s">
        <v>118</v>
      </c>
      <c r="H8" s="147"/>
      <c r="I8" s="732" t="s">
        <v>119</v>
      </c>
      <c r="J8" s="146" t="s">
        <v>117</v>
      </c>
      <c r="K8" s="732" t="s">
        <v>120</v>
      </c>
      <c r="M8" s="560" t="s">
        <v>51</v>
      </c>
      <c r="N8" s="561" t="s">
        <v>121</v>
      </c>
      <c r="O8" s="728" t="s">
        <v>122</v>
      </c>
      <c r="Z8" s="26"/>
      <c r="AA8" s="26"/>
      <c r="AB8" s="26"/>
    </row>
    <row r="9" spans="2:28">
      <c r="B9" s="730"/>
      <c r="C9" s="731"/>
      <c r="D9" s="124"/>
      <c r="E9" s="732"/>
      <c r="F9" s="733"/>
      <c r="G9" s="732"/>
      <c r="H9" s="147"/>
      <c r="I9" s="732"/>
      <c r="J9" s="40">
        <f>K40-I20</f>
        <v>36</v>
      </c>
      <c r="K9" s="732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9"/>
      <c r="S9" s="562">
        <f ca="1">TODAY()</f>
        <v>46069</v>
      </c>
      <c r="T9" s="562">
        <f ca="1">TODAY()</f>
        <v>46069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1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16.42578125" style="4" bestFit="1" customWidth="1"/>
    <col min="7" max="7" width="53.42578125" style="4" customWidth="1"/>
    <col min="8" max="16384" width="8.42578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28.9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D15" zoomScale="93" zoomScaleNormal="93" workbookViewId="0">
      <selection activeCell="P21" sqref="P21"/>
    </sheetView>
  </sheetViews>
  <sheetFormatPr defaultColWidth="8.42578125" defaultRowHeight="14.45"/>
  <cols>
    <col min="1" max="1" width="5.5703125" style="24" customWidth="1"/>
    <col min="2" max="2" width="5.5703125" style="44" customWidth="1"/>
    <col min="3" max="4" width="23.42578125" style="42" customWidth="1"/>
    <col min="5" max="5" width="6.5703125" style="42" customWidth="1"/>
    <col min="6" max="6" width="16.42578125" style="42" customWidth="1"/>
    <col min="7" max="7" width="3.42578125" style="42" customWidth="1"/>
    <col min="8" max="8" width="15.42578125" style="42" customWidth="1"/>
    <col min="9" max="9" width="1.42578125" style="42" customWidth="1"/>
    <col min="10" max="10" width="3.42578125" style="24" customWidth="1"/>
    <col min="11" max="11" width="1.42578125" style="86" customWidth="1"/>
    <col min="12" max="12" width="29.42578125" style="24" customWidth="1"/>
    <col min="13" max="13" width="1.42578125" style="42" customWidth="1"/>
    <col min="14" max="14" width="29.42578125" style="42" customWidth="1"/>
    <col min="15" max="15" width="1.42578125" style="42" customWidth="1"/>
    <col min="16" max="16" width="16.5703125" style="42" customWidth="1"/>
    <col min="17" max="17" width="5.5703125" style="42" customWidth="1"/>
    <col min="18" max="18" width="112.42578125" style="42" bestFit="1" customWidth="1"/>
    <col min="19" max="19" width="4.42578125" style="42" customWidth="1"/>
    <col min="20" max="20" width="14.42578125" style="42" customWidth="1"/>
    <col min="21" max="21" width="10.42578125" style="24" bestFit="1" customWidth="1"/>
    <col min="22" max="23" width="8.42578125" style="24" bestFit="1" customWidth="1"/>
    <col min="24" max="24" width="6.42578125" style="24" bestFit="1" customWidth="1"/>
    <col min="25" max="25" width="14.5703125" style="24" bestFit="1" customWidth="1"/>
    <col min="26" max="26" width="8.42578125" style="24"/>
    <col min="27" max="27" width="14.42578125" style="24" bestFit="1" customWidth="1"/>
    <col min="28" max="28" width="8.42578125" style="42"/>
    <col min="29" max="29" width="12.5703125" style="42" bestFit="1" customWidth="1"/>
    <col min="30" max="40" width="8.42578125" style="42"/>
    <col min="41" max="41" width="9.42578125" style="42" bestFit="1" customWidth="1"/>
    <col min="42" max="16384" width="8.42578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15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.15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15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5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.15">
      <c r="B13" s="565">
        <v>1</v>
      </c>
      <c r="C13" s="736" t="s">
        <v>246</v>
      </c>
      <c r="D13" s="737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15">
      <c r="B14" s="574">
        <v>2</v>
      </c>
      <c r="C14" s="736" t="s">
        <v>248</v>
      </c>
      <c r="D14" s="737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15">
      <c r="B15" s="565">
        <v>3</v>
      </c>
      <c r="C15" s="736" t="s">
        <v>249</v>
      </c>
      <c r="D15" s="737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15">
      <c r="B16" s="574">
        <v>4</v>
      </c>
      <c r="C16" s="734" t="s">
        <v>250</v>
      </c>
      <c r="D16" s="735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15">
      <c r="B17" s="565">
        <v>5</v>
      </c>
      <c r="C17" s="734" t="s">
        <v>251</v>
      </c>
      <c r="D17" s="735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15">
      <c r="B18" s="565">
        <v>6</v>
      </c>
      <c r="C18" s="734" t="s">
        <v>253</v>
      </c>
      <c r="D18" s="735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15">
      <c r="B19" s="574">
        <v>7</v>
      </c>
      <c r="C19" s="734" t="s">
        <v>254</v>
      </c>
      <c r="D19" s="735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15">
      <c r="B20" s="565">
        <v>8</v>
      </c>
      <c r="C20" s="734" t="s">
        <v>255</v>
      </c>
      <c r="D20" s="735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15">
      <c r="B21" s="574">
        <v>9</v>
      </c>
      <c r="C21" s="734" t="s">
        <v>257</v>
      </c>
      <c r="D21" s="735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3.15">
      <c r="B22" s="574"/>
      <c r="C22" s="734" t="s">
        <v>258</v>
      </c>
      <c r="D22" s="735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15">
      <c r="B23" s="565">
        <v>10</v>
      </c>
      <c r="C23" s="734" t="s">
        <v>259</v>
      </c>
      <c r="D23" s="735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260</v>
      </c>
      <c r="S23" s="52"/>
    </row>
    <row r="24" spans="2:19" s="24" customFormat="1" ht="13.15">
      <c r="B24" s="565">
        <v>11</v>
      </c>
      <c r="C24" s="734" t="s">
        <v>261</v>
      </c>
      <c r="D24" s="735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15">
      <c r="B25" s="565"/>
      <c r="C25" s="736" t="s">
        <v>262</v>
      </c>
      <c r="D25" s="737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3.15">
      <c r="B26" s="565"/>
      <c r="C26" s="736" t="s">
        <v>263</v>
      </c>
      <c r="D26" s="737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15">
      <c r="B27" s="574">
        <v>12</v>
      </c>
      <c r="C27" s="736" t="s">
        <v>264</v>
      </c>
      <c r="D27" s="737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15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3.15">
      <c r="C32" s="58" t="s">
        <v>267</v>
      </c>
      <c r="D32" s="59"/>
      <c r="F32" s="60"/>
    </row>
    <row r="33" spans="2:14" s="24" customFormat="1" ht="13.15">
      <c r="C33" s="58" t="s">
        <v>268</v>
      </c>
      <c r="D33" s="59"/>
    </row>
    <row r="34" spans="2:14" s="24" customFormat="1" ht="13.15">
      <c r="C34" s="61" t="s">
        <v>269</v>
      </c>
      <c r="D34" s="62"/>
    </row>
    <row r="35" spans="2:14" s="24" customFormat="1" ht="13.15">
      <c r="C35" s="63" t="s">
        <v>270</v>
      </c>
      <c r="D35" s="59"/>
    </row>
    <row r="36" spans="2:14" s="24" customFormat="1" ht="13.15">
      <c r="B36" s="31"/>
      <c r="C36" s="63" t="s">
        <v>271</v>
      </c>
      <c r="D36" s="59"/>
    </row>
    <row r="37" spans="2:14" s="24" customFormat="1" ht="13.15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3.15">
      <c r="B39" s="31"/>
      <c r="F39" s="57"/>
      <c r="N39" s="30"/>
    </row>
    <row r="40" spans="2:14" s="24" customFormat="1" ht="13.15">
      <c r="B40" s="31"/>
      <c r="F40" s="57"/>
    </row>
    <row r="41" spans="2:14" s="24" customFormat="1" ht="13.15">
      <c r="B41" s="31"/>
      <c r="F41" s="57"/>
      <c r="H41" s="662"/>
    </row>
    <row r="42" spans="2:14" s="24" customFormat="1" ht="13.15">
      <c r="B42" s="31"/>
      <c r="F42" s="57"/>
    </row>
    <row r="43" spans="2:14" s="24" customFormat="1" ht="13.15">
      <c r="B43" s="31"/>
    </row>
    <row r="44" spans="2:14" s="24" customFormat="1" ht="13.15">
      <c r="B44" s="31"/>
    </row>
    <row r="45" spans="2:14" s="24" customFormat="1" ht="13.1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15">
      <c r="B57" s="31"/>
    </row>
    <row r="58" spans="2:6" s="24" customFormat="1" ht="13.15">
      <c r="B58" s="31"/>
    </row>
    <row r="59" spans="2:6" s="24" customFormat="1" ht="13.15">
      <c r="B59" s="31"/>
    </row>
    <row r="60" spans="2:6" s="24" customFormat="1" ht="13.15">
      <c r="B60" s="31"/>
    </row>
    <row r="61" spans="2:6" s="24" customFormat="1" ht="13.15">
      <c r="B61" s="31"/>
    </row>
    <row r="62" spans="2:6" s="24" customFormat="1" ht="13.15">
      <c r="B62" s="31"/>
    </row>
    <row r="63" spans="2:6" s="24" customFormat="1" ht="13.15">
      <c r="B63" s="31"/>
    </row>
    <row r="64" spans="2:6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  <row r="219" spans="2:2" s="24" customFormat="1" ht="13.15">
      <c r="B219" s="31"/>
    </row>
    <row r="220" spans="2:2" s="24" customFormat="1" ht="13.15">
      <c r="B220" s="31"/>
    </row>
    <row r="221" spans="2:2" s="24" customFormat="1" ht="13.15">
      <c r="B221" s="31"/>
    </row>
    <row r="222" spans="2:2" s="24" customFormat="1" ht="13.15">
      <c r="B222" s="31"/>
    </row>
    <row r="223" spans="2:2" s="24" customFormat="1" ht="13.15">
      <c r="B223" s="31"/>
    </row>
    <row r="224" spans="2:2" s="24" customFormat="1" ht="13.15">
      <c r="B224" s="31"/>
    </row>
    <row r="225" spans="2:2" s="24" customFormat="1" ht="13.15">
      <c r="B225" s="31"/>
    </row>
    <row r="226" spans="2:2" s="24" customFormat="1" ht="13.1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pane="bottomLeft" activeCell="F28" sqref="F28"/>
      <selection activeCell="F28" sqref="F28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5" thickBot="1">
      <c r="A4" s="124"/>
      <c r="B4" s="738"/>
      <c r="C4" s="738"/>
      <c r="D4" s="738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45" thickBot="1">
      <c r="A5" s="124"/>
      <c r="B5" s="739" t="s">
        <v>281</v>
      </c>
      <c r="C5" s="739"/>
      <c r="D5" s="739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J1" zoomScale="85" zoomScaleNormal="85" workbookViewId="0">
      <pane ySplit="4" topLeftCell="N5" activePane="bottomLeft" state="frozen"/>
      <selection pane="bottomLeft" activeCell="R8" sqref="R8"/>
      <selection activeCell="F28" sqref="F28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32.42578125" style="4" customWidth="1"/>
    <col min="4" max="4" width="51.5703125" style="4" customWidth="1"/>
    <col min="5" max="5" width="13" style="6" customWidth="1"/>
    <col min="6" max="6" width="16.5703125" style="370" customWidth="1"/>
    <col min="7" max="8" width="17.42578125" style="4" customWidth="1"/>
    <col min="9" max="10" width="22.42578125" style="252" customWidth="1"/>
    <col min="11" max="11" width="5.5703125" style="26" hidden="1" customWidth="1"/>
    <col min="12" max="12" width="4.5703125" style="26" bestFit="1" customWidth="1"/>
    <col min="13" max="13" width="22.5703125" style="26" bestFit="1" customWidth="1"/>
    <col min="14" max="14" width="40.42578125" style="26" bestFit="1" customWidth="1"/>
    <col min="15" max="17" width="14.42578125" style="26" bestFit="1" customWidth="1"/>
    <col min="18" max="18" width="38.42578125" style="76" bestFit="1" customWidth="1"/>
    <col min="19" max="19" width="33.42578125" style="26" customWidth="1"/>
    <col min="20" max="20" width="14.42578125" style="429" bestFit="1" customWidth="1"/>
    <col min="21" max="21" width="14.85546875" style="429" bestFit="1" customWidth="1"/>
    <col min="22" max="22" width="15.5703125" style="26" customWidth="1"/>
    <col min="23" max="23" width="16.5703125" style="429" bestFit="1" customWidth="1"/>
    <col min="24" max="24" width="15.42578125" style="26" bestFit="1" customWidth="1"/>
    <col min="25" max="25" width="27.5703125" style="26" bestFit="1" customWidth="1"/>
    <col min="26" max="26" width="25" style="26" customWidth="1"/>
    <col min="27" max="27" width="17.42578125" style="26" customWidth="1"/>
    <col min="28" max="28" width="64.42578125" style="26" bestFit="1" customWidth="1"/>
    <col min="29" max="29" width="17.42578125" style="26" customWidth="1"/>
    <col min="30" max="30" width="25" style="26" bestFit="1" customWidth="1"/>
    <col min="31" max="31" width="12.5703125" style="26" customWidth="1"/>
    <col min="32" max="32" width="17.42578125" style="26" customWidth="1"/>
    <col min="33" max="33" width="20.5703125" style="26" bestFit="1" customWidth="1"/>
    <col min="34" max="34" width="18.5703125" style="26" bestFit="1" customWidth="1"/>
    <col min="35" max="76" width="17.42578125" style="26" customWidth="1"/>
    <col min="77" max="16384" width="9.42578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44" t="s">
        <v>288</v>
      </c>
      <c r="C2" s="745"/>
      <c r="D2" s="745"/>
      <c r="E2" s="745"/>
      <c r="F2" s="745"/>
      <c r="G2" s="745"/>
      <c r="H2" s="393"/>
      <c r="I2" s="160">
        <f>SUM(I6:I186)</f>
        <v>2278170.85</v>
      </c>
      <c r="J2" s="160">
        <f>SUM(J6:J186)</f>
        <v>2581529</v>
      </c>
      <c r="L2" s="746" t="s">
        <v>289</v>
      </c>
      <c r="M2" s="747"/>
      <c r="N2" s="747"/>
      <c r="O2" s="747"/>
      <c r="P2" s="747"/>
      <c r="Q2" s="747"/>
      <c r="R2" s="754" t="s">
        <v>290</v>
      </c>
      <c r="S2" s="755"/>
      <c r="T2" s="755"/>
      <c r="U2" s="755"/>
      <c r="V2" s="755"/>
      <c r="W2" s="756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D187</f>
        <v>561360.21</v>
      </c>
      <c r="H6" s="526">
        <f>'Project Plan'!E37+60</f>
        <v>46039</v>
      </c>
      <c r="I6" s="748">
        <f>SUM(G6:G11)</f>
        <v>561360.21</v>
      </c>
      <c r="J6" s="751">
        <f>F187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66">
        <f>J6-SUM(U6:U11)</f>
        <v>0</v>
      </c>
      <c r="W6" s="683">
        <v>46019</v>
      </c>
      <c r="X6" s="748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9"/>
      <c r="J7" s="752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67"/>
      <c r="W7" s="451"/>
      <c r="X7" s="749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9"/>
      <c r="J8" s="752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67"/>
      <c r="W8" s="451"/>
      <c r="X8" s="749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9"/>
      <c r="J9" s="752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67"/>
      <c r="W9" s="452"/>
      <c r="X9" s="749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9"/>
      <c r="J10" s="752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67"/>
      <c r="W10" s="452"/>
      <c r="X10" s="749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50"/>
      <c r="J11" s="753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68"/>
      <c r="W11" s="453"/>
      <c r="X11" s="750"/>
      <c r="Y11" s="581" t="s">
        <v>311</v>
      </c>
      <c r="Z11" s="467" t="s">
        <v>312</v>
      </c>
    </row>
    <row r="12" spans="1:76" ht="14.4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60">
        <f>SUM(G13:G19)</f>
        <v>247000</v>
      </c>
      <c r="J13" s="763">
        <f>F188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69">
        <f>J13-SUM(U13:U19)</f>
        <v>0</v>
      </c>
      <c r="W13" s="684">
        <f>W6</f>
        <v>46019</v>
      </c>
      <c r="X13" s="760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1"/>
      <c r="J14" s="764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70"/>
      <c r="W14" s="505"/>
      <c r="X14" s="761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1"/>
      <c r="J15" s="764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70"/>
      <c r="W15" s="456"/>
      <c r="X15" s="761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1"/>
      <c r="J16" s="764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70"/>
      <c r="W16" s="456"/>
      <c r="X16" s="761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1"/>
      <c r="J17" s="764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70"/>
      <c r="W17" s="456"/>
      <c r="X17" s="761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1"/>
      <c r="J18" s="764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70"/>
      <c r="W18" s="456"/>
      <c r="X18" s="761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2"/>
      <c r="J19" s="765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71"/>
      <c r="W19" s="457"/>
      <c r="X19" s="762"/>
      <c r="Y19" s="582" t="s">
        <v>323</v>
      </c>
      <c r="Z19" s="468">
        <v>0</v>
      </c>
      <c r="AA19" s="506"/>
    </row>
    <row r="20" spans="1:34" ht="14.4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D189</f>
        <v>100040</v>
      </c>
      <c r="H21" s="519">
        <f>'Project Plan'!E31+30</f>
        <v>45987</v>
      </c>
      <c r="I21" s="748">
        <f>SUM(G21:G26)</f>
        <v>100040</v>
      </c>
      <c r="J21" s="751">
        <f>F189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42" t="s">
        <v>328</v>
      </c>
      <c r="S21" s="488" t="s">
        <v>329</v>
      </c>
      <c r="T21" s="632">
        <v>45961</v>
      </c>
      <c r="U21" s="635">
        <v>106628.79769315651</v>
      </c>
      <c r="V21" s="766">
        <f>J21-SUM(U21:U26)</f>
        <v>0</v>
      </c>
      <c r="W21" s="685">
        <v>45989</v>
      </c>
      <c r="X21" s="748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9"/>
      <c r="J22" s="752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43"/>
      <c r="S22" s="481" t="s">
        <v>329</v>
      </c>
      <c r="T22" s="633">
        <f>T21</f>
        <v>45961</v>
      </c>
      <c r="U22" s="635">
        <v>7053.2023068434974</v>
      </c>
      <c r="V22" s="767"/>
      <c r="W22" s="616">
        <f>W21</f>
        <v>45989</v>
      </c>
      <c r="X22" s="749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9"/>
      <c r="J23" s="752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67"/>
      <c r="W23" s="451"/>
      <c r="X23" s="749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9"/>
      <c r="J24" s="752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67"/>
      <c r="W24" s="452"/>
      <c r="X24" s="749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9"/>
      <c r="J25" s="752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67"/>
      <c r="W25" s="452"/>
      <c r="X25" s="749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50"/>
      <c r="J26" s="753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68"/>
      <c r="W26" s="453"/>
      <c r="X26" s="750"/>
      <c r="Y26" s="584" t="s">
        <v>334</v>
      </c>
      <c r="Z26" s="472" t="s">
        <v>335</v>
      </c>
      <c r="AC26" s="614"/>
      <c r="AE26" s="26" t="s">
        <v>336</v>
      </c>
    </row>
    <row r="27" spans="1:34" ht="14.4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0">
        <f>SUM(G28:G42)</f>
        <v>161926</v>
      </c>
      <c r="J28" s="763">
        <f>F190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69">
        <f>J28-SUM(U28:U42)</f>
        <v>-2.3061083629727364E-3</v>
      </c>
      <c r="W28" s="684">
        <f>W13</f>
        <v>46019</v>
      </c>
      <c r="X28" s="760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D190-G28</f>
        <v>103406</v>
      </c>
      <c r="H29" s="521">
        <f>'Project Plan'!G29</f>
        <v>45985</v>
      </c>
      <c r="I29" s="761"/>
      <c r="J29" s="764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70"/>
      <c r="W29" s="625">
        <v>46053</v>
      </c>
      <c r="X29" s="761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1"/>
      <c r="J30" s="764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70"/>
      <c r="W30" s="625">
        <v>46053</v>
      </c>
      <c r="X30" s="761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1"/>
      <c r="J31" s="764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70"/>
      <c r="W31" s="456"/>
      <c r="X31" s="761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1"/>
      <c r="J32" s="764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57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70"/>
      <c r="W32" s="625">
        <f>W115</f>
        <v>45960</v>
      </c>
      <c r="X32" s="761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40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1"/>
      <c r="J33" s="764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58"/>
      <c r="S33" s="486" t="s">
        <v>361</v>
      </c>
      <c r="T33" s="622">
        <v>45961</v>
      </c>
      <c r="U33" s="636">
        <v>16168.484343285172</v>
      </c>
      <c r="V33" s="770"/>
      <c r="W33" s="644">
        <f>W116</f>
        <v>45967</v>
      </c>
      <c r="X33" s="761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41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1"/>
      <c r="J34" s="764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58"/>
      <c r="S34" s="486" t="s">
        <v>365</v>
      </c>
      <c r="T34" s="521">
        <f>T117</f>
        <v>46022</v>
      </c>
      <c r="U34" s="636">
        <v>21557.979124380232</v>
      </c>
      <c r="V34" s="770"/>
      <c r="W34" s="644">
        <f>W117</f>
        <v>46003</v>
      </c>
      <c r="X34" s="761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1"/>
      <c r="J35" s="764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58"/>
      <c r="S35" s="486" t="s">
        <v>369</v>
      </c>
      <c r="T35" s="521">
        <f>T118</f>
        <v>46022</v>
      </c>
      <c r="U35" s="636">
        <v>26947.473905475286</v>
      </c>
      <c r="V35" s="770"/>
      <c r="W35" s="644">
        <f>W118</f>
        <v>46003</v>
      </c>
      <c r="X35" s="761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1"/>
      <c r="J36" s="764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58"/>
      <c r="S36" s="486" t="s">
        <v>371</v>
      </c>
      <c r="T36" s="521">
        <f t="shared" ref="T36:T39" si="5">T119</f>
        <v>46022</v>
      </c>
      <c r="U36" s="636">
        <v>10778.989562190116</v>
      </c>
      <c r="V36" s="770"/>
      <c r="W36" s="644">
        <f t="shared" ref="W36:W39" si="6">W119</f>
        <v>46003</v>
      </c>
      <c r="X36" s="761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1"/>
      <c r="J37" s="764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58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70"/>
      <c r="W37" s="644">
        <f t="shared" si="6"/>
        <v>46015</v>
      </c>
      <c r="X37" s="761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1"/>
      <c r="J38" s="764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58"/>
      <c r="S38" s="486" t="s">
        <v>374</v>
      </c>
      <c r="T38" s="521">
        <f t="shared" si="5"/>
        <v>46022</v>
      </c>
      <c r="U38" s="636">
        <v>5389.494781095058</v>
      </c>
      <c r="V38" s="770"/>
      <c r="W38" s="644">
        <v>46051</v>
      </c>
      <c r="X38" s="761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1"/>
      <c r="J39" s="764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59"/>
      <c r="S39" s="486"/>
      <c r="T39" s="414">
        <f t="shared" si="5"/>
        <v>46081</v>
      </c>
      <c r="U39" s="399">
        <f>(Q39/$X$28*$J$28)-2055.98</f>
        <v>5389.4970872034428</v>
      </c>
      <c r="V39" s="770"/>
      <c r="W39" s="456">
        <f t="shared" si="6"/>
        <v>46081</v>
      </c>
      <c r="X39" s="761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1"/>
      <c r="J40" s="764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70"/>
      <c r="W40" s="456"/>
      <c r="X40" s="761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1"/>
      <c r="J41" s="764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70"/>
      <c r="W41" s="456"/>
      <c r="X41" s="761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2"/>
      <c r="J42" s="765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71"/>
      <c r="W42" s="457"/>
      <c r="X42" s="762"/>
      <c r="Z42" s="610">
        <f>SUM(Z29:Z30)/'Project Plan'!K3</f>
        <v>85106.314814814803</v>
      </c>
    </row>
    <row r="43" spans="1:32" ht="14.4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48">
        <f>SUM(G44:G51)</f>
        <v>148000</v>
      </c>
      <c r="J44" s="751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66">
        <f>J44-SUM(U44:U51)</f>
        <v>2.8336118557490408E-3</v>
      </c>
      <c r="W44" s="685">
        <f>W13</f>
        <v>46019</v>
      </c>
      <c r="X44" s="748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49"/>
      <c r="J45" s="752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67"/>
      <c r="W45" s="624">
        <v>46029</v>
      </c>
      <c r="X45" s="749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9"/>
      <c r="J46" s="752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67"/>
      <c r="W46" s="624">
        <v>46051</v>
      </c>
      <c r="X46" s="749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9"/>
      <c r="J47" s="752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67"/>
      <c r="W47" s="624">
        <v>46021</v>
      </c>
      <c r="X47" s="749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9"/>
      <c r="J48" s="752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67"/>
      <c r="W48" s="624">
        <v>45979</v>
      </c>
      <c r="X48" s="749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9"/>
      <c r="J49" s="752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67"/>
      <c r="W49" s="452"/>
      <c r="X49" s="749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9"/>
      <c r="J50" s="752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67"/>
      <c r="W50" s="452"/>
      <c r="X50" s="749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50"/>
      <c r="J51" s="753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68"/>
      <c r="W51" s="453"/>
      <c r="X51" s="750"/>
    </row>
    <row r="52" spans="1:24" ht="14.4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60">
        <f>SUM(G53:G69)</f>
        <v>278660.59999999998</v>
      </c>
      <c r="J53" s="763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69">
        <f>J53-SUM(U53:U69)</f>
        <v>0</v>
      </c>
      <c r="W53" s="455"/>
      <c r="X53" s="760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1"/>
      <c r="J54" s="764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70"/>
      <c r="W54" s="456"/>
      <c r="X54" s="761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1"/>
      <c r="J55" s="764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70"/>
      <c r="W55" s="456"/>
      <c r="X55" s="761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1"/>
      <c r="J56" s="764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70"/>
      <c r="W56" s="456"/>
      <c r="X56" s="761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1"/>
      <c r="J57" s="764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70"/>
      <c r="W57" s="456"/>
      <c r="X57" s="761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1"/>
      <c r="J58" s="764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70"/>
      <c r="W58" s="456"/>
      <c r="X58" s="761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1"/>
      <c r="J59" s="764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57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70"/>
      <c r="W59" s="625">
        <f>W115</f>
        <v>45960</v>
      </c>
      <c r="X59" s="761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1"/>
      <c r="J60" s="764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58"/>
      <c r="S60" s="486" t="s">
        <v>361</v>
      </c>
      <c r="T60" s="629">
        <v>45961</v>
      </c>
      <c r="U60" s="636">
        <v>47499</v>
      </c>
      <c r="V60" s="770"/>
      <c r="W60" s="644">
        <f t="shared" ref="W60:W66" si="11">W116</f>
        <v>45967</v>
      </c>
      <c r="X60" s="761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1"/>
      <c r="J61" s="764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58"/>
      <c r="S61" s="486" t="s">
        <v>365</v>
      </c>
      <c r="T61" s="536">
        <f t="shared" ref="T61:T66" si="12">T117</f>
        <v>46022</v>
      </c>
      <c r="U61" s="636">
        <v>63332</v>
      </c>
      <c r="V61" s="770"/>
      <c r="W61" s="644">
        <f t="shared" si="11"/>
        <v>46003</v>
      </c>
      <c r="X61" s="761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1"/>
      <c r="J62" s="764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58"/>
      <c r="S62" s="486" t="s">
        <v>369</v>
      </c>
      <c r="T62" s="536">
        <f t="shared" si="12"/>
        <v>46022</v>
      </c>
      <c r="U62" s="636">
        <v>79165</v>
      </c>
      <c r="V62" s="770"/>
      <c r="W62" s="644">
        <f t="shared" si="11"/>
        <v>46003</v>
      </c>
      <c r="X62" s="761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1"/>
      <c r="J63" s="764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58"/>
      <c r="S63" s="486" t="s">
        <v>371</v>
      </c>
      <c r="T63" s="536">
        <f t="shared" si="12"/>
        <v>46022</v>
      </c>
      <c r="U63" s="636">
        <v>31666</v>
      </c>
      <c r="V63" s="770"/>
      <c r="W63" s="644">
        <f t="shared" si="11"/>
        <v>46003</v>
      </c>
      <c r="X63" s="761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1"/>
      <c r="J64" s="764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58"/>
      <c r="S64" s="490" t="str">
        <f>S120</f>
        <v>The Greenway INV0001564</v>
      </c>
      <c r="T64" s="536">
        <f t="shared" si="12"/>
        <v>46022</v>
      </c>
      <c r="U64" s="699">
        <v>31666</v>
      </c>
      <c r="V64" s="770"/>
      <c r="W64" s="644">
        <f t="shared" si="11"/>
        <v>46015</v>
      </c>
      <c r="X64" s="761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1"/>
      <c r="J65" s="764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58"/>
      <c r="S65" s="490" t="s">
        <v>374</v>
      </c>
      <c r="T65" s="536">
        <f t="shared" si="12"/>
        <v>46022</v>
      </c>
      <c r="U65" s="699">
        <v>15833</v>
      </c>
      <c r="V65" s="770"/>
      <c r="W65" s="644">
        <v>46051</v>
      </c>
      <c r="X65" s="761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1"/>
      <c r="J66" s="764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59"/>
      <c r="S66" s="490"/>
      <c r="T66" s="417">
        <f t="shared" si="12"/>
        <v>46081</v>
      </c>
      <c r="U66" s="404">
        <f t="shared" si="9"/>
        <v>15833</v>
      </c>
      <c r="V66" s="770"/>
      <c r="W66" s="456">
        <f t="shared" si="11"/>
        <v>46081</v>
      </c>
      <c r="X66" s="761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1"/>
      <c r="J67" s="764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70"/>
      <c r="W67" s="459"/>
      <c r="X67" s="761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1"/>
      <c r="J68" s="764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70"/>
      <c r="W68" s="459"/>
      <c r="X68" s="761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2"/>
      <c r="J69" s="765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71"/>
      <c r="W69" s="457"/>
      <c r="X69" s="762"/>
    </row>
    <row r="70" spans="1:24" ht="14.4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48">
        <f>SUM(G71:G78)</f>
        <v>0</v>
      </c>
      <c r="J71" s="751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72">
        <f>J71-SUM(U71:U78)</f>
        <v>0</v>
      </c>
      <c r="W71" s="461"/>
      <c r="X71" s="748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9"/>
      <c r="J72" s="752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73"/>
      <c r="W72" s="452"/>
      <c r="X72" s="749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9"/>
      <c r="J73" s="752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73"/>
      <c r="W73" s="452"/>
      <c r="X73" s="749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9"/>
      <c r="J74" s="752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73"/>
      <c r="W74" s="452"/>
      <c r="X74" s="749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9"/>
      <c r="J75" s="752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73"/>
      <c r="W75" s="452"/>
      <c r="X75" s="749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9"/>
      <c r="J76" s="752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73"/>
      <c r="W76" s="452"/>
      <c r="X76" s="749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9"/>
      <c r="J77" s="752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73"/>
      <c r="W77" s="452"/>
      <c r="X77" s="749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50"/>
      <c r="J78" s="753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74"/>
      <c r="W78" s="453"/>
      <c r="X78" s="750"/>
    </row>
    <row r="79" spans="1:24" ht="14.4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60">
        <f>SUM(G80:G112)</f>
        <v>469833.45</v>
      </c>
      <c r="J80" s="763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87">
        <f>J80-SUM(U80:U112)</f>
        <v>-182487.30674497806</v>
      </c>
      <c r="W80" s="684">
        <v>45992</v>
      </c>
      <c r="X80" s="760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61"/>
      <c r="J81" s="764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88"/>
      <c r="W81" s="644">
        <v>45992</v>
      </c>
      <c r="X81" s="761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61"/>
      <c r="J82" s="764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88"/>
      <c r="W82" s="625">
        <v>46015</v>
      </c>
      <c r="X82" s="761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1"/>
      <c r="J83" s="764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88"/>
      <c r="W83" s="456"/>
      <c r="X83" s="761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1"/>
      <c r="J84" s="764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88"/>
      <c r="W84" s="456"/>
      <c r="X84" s="761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1"/>
      <c r="J85" s="764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88"/>
      <c r="W85" s="456"/>
      <c r="X85" s="761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1"/>
      <c r="J86" s="764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88"/>
      <c r="W86" s="456"/>
      <c r="X86" s="761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1"/>
      <c r="J87" s="764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88"/>
      <c r="W87" s="456"/>
      <c r="X87" s="761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1"/>
      <c r="J88" s="764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88"/>
      <c r="W88" s="644">
        <v>45988</v>
      </c>
      <c r="X88" s="761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1"/>
      <c r="J89" s="764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88"/>
      <c r="W89" s="456"/>
      <c r="X89" s="761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1"/>
      <c r="J90" s="764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88"/>
      <c r="W90" s="456"/>
      <c r="X90" s="761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1"/>
      <c r="J91" s="764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88"/>
      <c r="W91" s="456"/>
      <c r="X91" s="761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1"/>
      <c r="J92" s="764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88"/>
      <c r="W92" s="456"/>
      <c r="X92" s="761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61"/>
      <c r="J93" s="764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88"/>
      <c r="W93" s="644">
        <v>46058</v>
      </c>
      <c r="X93" s="761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61"/>
      <c r="J94" s="764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88"/>
      <c r="W94" s="625" t="s">
        <v>417</v>
      </c>
      <c r="X94" s="761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61"/>
      <c r="J95" s="764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88"/>
      <c r="W95" s="456"/>
      <c r="X95" s="761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1"/>
      <c r="J96" s="764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88"/>
      <c r="W96" s="456"/>
      <c r="X96" s="761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1"/>
      <c r="J97" s="764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88"/>
      <c r="W97" s="456"/>
      <c r="X97" s="761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1"/>
      <c r="J98" s="764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88"/>
      <c r="W98" s="456"/>
      <c r="X98" s="761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1"/>
      <c r="J99" s="764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88"/>
      <c r="W99" s="456"/>
      <c r="X99" s="761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1"/>
      <c r="J100" s="764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88"/>
      <c r="W100" s="456"/>
      <c r="X100" s="761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1"/>
      <c r="J101" s="764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88"/>
      <c r="W101" s="456"/>
      <c r="X101" s="761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1"/>
      <c r="J102" s="764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88"/>
      <c r="W102" s="644">
        <v>45974</v>
      </c>
      <c r="X102" s="761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1"/>
      <c r="J103" s="764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88"/>
      <c r="W103" s="644">
        <v>45995</v>
      </c>
      <c r="X103" s="761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1"/>
      <c r="J104" s="764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88"/>
      <c r="W104" s="456">
        <v>46073</v>
      </c>
      <c r="X104" s="761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1"/>
      <c r="J105" s="764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57" t="s">
        <v>423</v>
      </c>
      <c r="S105" s="486" t="s">
        <v>424</v>
      </c>
      <c r="T105" s="521">
        <v>46053</v>
      </c>
      <c r="U105" s="636">
        <v>56217.710915810079</v>
      </c>
      <c r="V105" s="788"/>
      <c r="W105" s="644">
        <v>46045</v>
      </c>
      <c r="X105" s="761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1"/>
      <c r="J106" s="764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59"/>
      <c r="S106" s="486" t="s">
        <v>424</v>
      </c>
      <c r="T106" s="521">
        <v>46053</v>
      </c>
      <c r="U106" s="636">
        <v>56217.710915810079</v>
      </c>
      <c r="V106" s="788"/>
      <c r="W106" s="644">
        <f>W105+13</f>
        <v>46058</v>
      </c>
      <c r="X106" s="761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1"/>
      <c r="J107" s="764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88"/>
      <c r="W107" s="456"/>
      <c r="X107" s="761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1"/>
      <c r="J108" s="764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88"/>
      <c r="W108" s="644">
        <f>W119</f>
        <v>46003</v>
      </c>
      <c r="X108" s="761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1"/>
      <c r="J109" s="764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88"/>
      <c r="W109" s="456"/>
      <c r="X109" s="761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1"/>
      <c r="J110" s="764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88"/>
      <c r="W110" s="625">
        <v>46009</v>
      </c>
      <c r="X110" s="761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1"/>
      <c r="J111" s="764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88"/>
      <c r="W111" s="625">
        <v>46003</v>
      </c>
      <c r="X111" s="761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2"/>
      <c r="J112" s="765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89"/>
      <c r="W112" s="457"/>
      <c r="X112" s="762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81">
        <f>SUM(G114:G125)</f>
        <v>198850</v>
      </c>
      <c r="J114" s="751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66">
        <f>J114-SUM(U114:U125)</f>
        <v>0</v>
      </c>
      <c r="W114" s="458"/>
      <c r="X114" s="748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82"/>
      <c r="J115" s="752"/>
      <c r="K115" s="190"/>
      <c r="L115" s="213">
        <v>9</v>
      </c>
      <c r="M115" s="320" t="s">
        <v>436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95" t="s">
        <v>356</v>
      </c>
      <c r="S115" s="481" t="s">
        <v>438</v>
      </c>
      <c r="T115" s="620">
        <v>45961</v>
      </c>
      <c r="U115" s="635">
        <v>22094.399999999998</v>
      </c>
      <c r="V115" s="767"/>
      <c r="W115" s="624">
        <v>45960</v>
      </c>
      <c r="X115" s="749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82"/>
      <c r="J116" s="752"/>
      <c r="K116" s="190"/>
      <c r="L116" s="282">
        <v>9</v>
      </c>
      <c r="M116" s="392" t="s">
        <v>436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96"/>
      <c r="S116" s="482" t="s">
        <v>361</v>
      </c>
      <c r="T116" s="630">
        <v>45961</v>
      </c>
      <c r="U116" s="635">
        <v>33141.599999999991</v>
      </c>
      <c r="V116" s="767"/>
      <c r="W116" s="643">
        <v>45967</v>
      </c>
      <c r="X116" s="749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82"/>
      <c r="J117" s="752"/>
      <c r="K117" s="190"/>
      <c r="L117" s="282">
        <v>9</v>
      </c>
      <c r="M117" s="392" t="s">
        <v>436</v>
      </c>
      <c r="N117" s="284" t="s">
        <v>364</v>
      </c>
      <c r="O117" s="432"/>
      <c r="P117" s="447">
        <v>0.2</v>
      </c>
      <c r="Q117" s="217">
        <f t="shared" si="18"/>
        <v>72266.8</v>
      </c>
      <c r="R117" s="796"/>
      <c r="S117" s="482" t="s">
        <v>365</v>
      </c>
      <c r="T117" s="527">
        <f t="shared" si="16"/>
        <v>46022</v>
      </c>
      <c r="U117" s="635">
        <v>44188.799999999996</v>
      </c>
      <c r="V117" s="767"/>
      <c r="W117" s="643">
        <v>46003</v>
      </c>
      <c r="X117" s="749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82"/>
      <c r="J118" s="752"/>
      <c r="K118" s="190"/>
      <c r="L118" s="282">
        <v>9</v>
      </c>
      <c r="M118" s="392" t="s">
        <v>436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96"/>
      <c r="S118" s="482" t="s">
        <v>369</v>
      </c>
      <c r="T118" s="527">
        <v>46022</v>
      </c>
      <c r="U118" s="635">
        <v>55235.999999999993</v>
      </c>
      <c r="V118" s="767"/>
      <c r="W118" s="643">
        <v>46003</v>
      </c>
      <c r="X118" s="749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82"/>
      <c r="J119" s="752"/>
      <c r="K119" s="190"/>
      <c r="L119" s="282">
        <v>9</v>
      </c>
      <c r="M119" s="392" t="s">
        <v>436</v>
      </c>
      <c r="N119" s="284" t="s">
        <v>370</v>
      </c>
      <c r="O119" s="432"/>
      <c r="P119" s="447">
        <v>0.1</v>
      </c>
      <c r="Q119" s="217">
        <f t="shared" si="18"/>
        <v>36133.4</v>
      </c>
      <c r="R119" s="796"/>
      <c r="S119" s="482" t="s">
        <v>371</v>
      </c>
      <c r="T119" s="527">
        <f t="shared" si="16"/>
        <v>46022</v>
      </c>
      <c r="U119" s="635">
        <v>22094.399999999998</v>
      </c>
      <c r="V119" s="767"/>
      <c r="W119" s="643">
        <v>46003</v>
      </c>
      <c r="X119" s="749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82"/>
      <c r="J120" s="752"/>
      <c r="K120" s="190"/>
      <c r="L120" s="282">
        <v>9</v>
      </c>
      <c r="M120" s="392" t="s">
        <v>436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96"/>
      <c r="S120" s="482" t="s">
        <v>439</v>
      </c>
      <c r="T120" s="527">
        <v>46022</v>
      </c>
      <c r="U120" s="635">
        <v>22094.399999999998</v>
      </c>
      <c r="V120" s="767"/>
      <c r="W120" s="643">
        <v>46015</v>
      </c>
      <c r="X120" s="749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82"/>
      <c r="J121" s="752"/>
      <c r="K121" s="190"/>
      <c r="L121" s="282">
        <v>9</v>
      </c>
      <c r="M121" s="392" t="s">
        <v>436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96"/>
      <c r="S121" s="482" t="s">
        <v>374</v>
      </c>
      <c r="T121" s="527">
        <v>46022</v>
      </c>
      <c r="U121" s="635">
        <v>11047.199999999999</v>
      </c>
      <c r="V121" s="767"/>
      <c r="W121" s="643">
        <v>46051</v>
      </c>
      <c r="X121" s="749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82"/>
      <c r="J122" s="752"/>
      <c r="K122" s="190"/>
      <c r="L122" s="282">
        <v>9</v>
      </c>
      <c r="M122" s="392" t="s">
        <v>436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43"/>
      <c r="S122" s="482"/>
      <c r="T122" s="410">
        <f t="shared" si="16"/>
        <v>46081</v>
      </c>
      <c r="U122" s="395">
        <f t="shared" si="17"/>
        <v>11047.199999999999</v>
      </c>
      <c r="V122" s="767"/>
      <c r="W122" s="452">
        <f>W121+30</f>
        <v>46081</v>
      </c>
      <c r="X122" s="749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82"/>
      <c r="J123" s="752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67"/>
      <c r="W123" s="452"/>
      <c r="X123" s="749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82"/>
      <c r="J124" s="752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67"/>
      <c r="W124" s="452"/>
      <c r="X124" s="749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83"/>
      <c r="J125" s="753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68"/>
      <c r="W125" s="453"/>
      <c r="X125" s="750"/>
    </row>
    <row r="126" spans="1:24" ht="14.4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320</v>
      </c>
      <c r="E127" s="173"/>
      <c r="F127" s="366"/>
      <c r="G127" s="240">
        <f>D204</f>
        <v>8500</v>
      </c>
      <c r="H127" s="537">
        <f>H114</f>
        <v>45988</v>
      </c>
      <c r="I127" s="775">
        <f>SUM(G127:G141)</f>
        <v>56854.45</v>
      </c>
      <c r="J127" s="778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84">
        <f>J127-SUM(U127:U141)</f>
        <v>-7.5403777009341866E-4</v>
      </c>
      <c r="W127" s="691">
        <v>46003</v>
      </c>
      <c r="X127" s="775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D208</f>
        <v>17326.669999999998</v>
      </c>
      <c r="H128" s="538">
        <f>H114</f>
        <v>45988</v>
      </c>
      <c r="I128" s="776"/>
      <c r="J128" s="779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85"/>
      <c r="W128" s="463"/>
      <c r="X128" s="776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76"/>
      <c r="J129" s="779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85"/>
      <c r="W129" s="463"/>
      <c r="X129" s="776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D206</f>
        <v>1027.78</v>
      </c>
      <c r="H130" s="538">
        <f>H114</f>
        <v>45988</v>
      </c>
      <c r="I130" s="776"/>
      <c r="J130" s="779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85"/>
      <c r="W130" s="463"/>
      <c r="X130" s="77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76"/>
      <c r="J131" s="779"/>
      <c r="K131" s="174"/>
      <c r="L131" s="242">
        <v>10</v>
      </c>
      <c r="M131" s="332" t="s">
        <v>441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90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85"/>
      <c r="W131" s="626">
        <f>W115</f>
        <v>45960</v>
      </c>
      <c r="X131" s="77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76"/>
      <c r="J132" s="779"/>
      <c r="K132" s="174"/>
      <c r="L132" s="242">
        <v>10</v>
      </c>
      <c r="M132" s="332" t="s">
        <v>441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91"/>
      <c r="S132" s="495" t="s">
        <v>361</v>
      </c>
      <c r="T132" s="631">
        <f t="shared" ref="T132:T138" si="21">T116</f>
        <v>45961</v>
      </c>
      <c r="U132" s="640">
        <v>7969.4482009701942</v>
      </c>
      <c r="V132" s="785"/>
      <c r="W132" s="642">
        <f t="shared" ref="W132:W138" si="22">W116</f>
        <v>45967</v>
      </c>
      <c r="X132" s="77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76"/>
      <c r="J133" s="779"/>
      <c r="K133" s="174"/>
      <c r="L133" s="242">
        <v>10</v>
      </c>
      <c r="M133" s="332" t="s">
        <v>441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91"/>
      <c r="S133" s="495" t="s">
        <v>365</v>
      </c>
      <c r="T133" s="539">
        <f t="shared" si="21"/>
        <v>46022</v>
      </c>
      <c r="U133" s="640">
        <v>10625.930331396716</v>
      </c>
      <c r="V133" s="785"/>
      <c r="W133" s="642">
        <f t="shared" si="22"/>
        <v>46003</v>
      </c>
      <c r="X133" s="77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76"/>
      <c r="J134" s="779"/>
      <c r="K134" s="174"/>
      <c r="L134" s="242">
        <v>10</v>
      </c>
      <c r="M134" s="332" t="s">
        <v>441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91"/>
      <c r="S134" s="495" t="s">
        <v>369</v>
      </c>
      <c r="T134" s="539">
        <f t="shared" si="21"/>
        <v>46022</v>
      </c>
      <c r="U134" s="640">
        <v>13282.412914245893</v>
      </c>
      <c r="V134" s="785"/>
      <c r="W134" s="642">
        <f t="shared" si="22"/>
        <v>46003</v>
      </c>
      <c r="X134" s="77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76"/>
      <c r="J135" s="779"/>
      <c r="K135" s="174"/>
      <c r="L135" s="242">
        <v>10</v>
      </c>
      <c r="M135" s="332" t="s">
        <v>441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91"/>
      <c r="S135" s="495" t="s">
        <v>371</v>
      </c>
      <c r="T135" s="539">
        <f t="shared" si="21"/>
        <v>46022</v>
      </c>
      <c r="U135" s="640">
        <v>5312.9651656983579</v>
      </c>
      <c r="V135" s="785"/>
      <c r="W135" s="642">
        <f t="shared" si="22"/>
        <v>46003</v>
      </c>
      <c r="X135" s="77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76"/>
      <c r="J136" s="779"/>
      <c r="K136" s="174"/>
      <c r="L136" s="242">
        <v>10</v>
      </c>
      <c r="M136" s="332" t="s">
        <v>441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91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85"/>
      <c r="W136" s="642">
        <f t="shared" si="22"/>
        <v>46015</v>
      </c>
      <c r="X136" s="77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76"/>
      <c r="J137" s="779"/>
      <c r="K137" s="174"/>
      <c r="L137" s="242">
        <v>10</v>
      </c>
      <c r="M137" s="332" t="s">
        <v>441</v>
      </c>
      <c r="N137" s="243" t="s">
        <v>373</v>
      </c>
      <c r="O137" s="443"/>
      <c r="P137" s="450">
        <v>0.05</v>
      </c>
      <c r="Q137" s="698">
        <v>7407.53</v>
      </c>
      <c r="R137" s="791"/>
      <c r="S137" s="495" t="s">
        <v>374</v>
      </c>
      <c r="T137" s="539">
        <f t="shared" si="21"/>
        <v>46022</v>
      </c>
      <c r="U137" s="640">
        <v>2656.4843759464566</v>
      </c>
      <c r="V137" s="785"/>
      <c r="W137" s="642">
        <f t="shared" si="22"/>
        <v>46051</v>
      </c>
      <c r="X137" s="77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76"/>
      <c r="J138" s="779"/>
      <c r="K138" s="174"/>
      <c r="L138" s="242">
        <v>10</v>
      </c>
      <c r="M138" s="332" t="s">
        <v>441</v>
      </c>
      <c r="N138" s="243" t="s">
        <v>375</v>
      </c>
      <c r="O138" s="443"/>
      <c r="P138" s="450">
        <v>0.05</v>
      </c>
      <c r="Q138" s="245">
        <v>7407.53</v>
      </c>
      <c r="R138" s="792"/>
      <c r="S138" s="495"/>
      <c r="T138" s="423">
        <f t="shared" si="21"/>
        <v>46081</v>
      </c>
      <c r="U138" s="407">
        <f t="shared" si="19"/>
        <v>2656.4843759464566</v>
      </c>
      <c r="V138" s="785"/>
      <c r="W138" s="464">
        <f t="shared" si="22"/>
        <v>46081</v>
      </c>
      <c r="X138" s="77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76"/>
      <c r="J139" s="779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85"/>
      <c r="W139" s="464"/>
      <c r="X139" s="77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76"/>
      <c r="J140" s="779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85"/>
      <c r="W140" s="464"/>
      <c r="X140" s="77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77"/>
      <c r="J141" s="780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86"/>
      <c r="W141" s="465"/>
      <c r="X141" s="777"/>
    </row>
    <row r="142" spans="1:24" ht="14.4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48">
        <f>SUM(G143:G149)</f>
        <v>29000</v>
      </c>
      <c r="J143" s="751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66">
        <f>J143-SUM(U143:U149)</f>
        <v>162.32625171837935</v>
      </c>
      <c r="W143" s="685">
        <v>46045</v>
      </c>
      <c r="X143" s="748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49"/>
      <c r="J144" s="752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67"/>
      <c r="W144" s="624">
        <v>45960</v>
      </c>
      <c r="X144" s="749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9"/>
      <c r="J145" s="752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67"/>
      <c r="W145" s="616">
        <v>45954</v>
      </c>
      <c r="X145" s="749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9"/>
      <c r="J146" s="752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67"/>
      <c r="W146" s="452">
        <v>46080</v>
      </c>
      <c r="X146" s="749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9"/>
      <c r="J147" s="752"/>
      <c r="K147" s="190"/>
      <c r="L147" s="213">
        <v>11</v>
      </c>
      <c r="M147" s="288" t="s">
        <v>447</v>
      </c>
      <c r="N147" s="286" t="s">
        <v>457</v>
      </c>
      <c r="O147" s="628">
        <v>100800</v>
      </c>
      <c r="P147" s="447">
        <v>0.25</v>
      </c>
      <c r="Q147" s="285">
        <f>O147*P147</f>
        <v>25200</v>
      </c>
      <c r="R147" s="795" t="s">
        <v>458</v>
      </c>
      <c r="S147" s="482" t="s">
        <v>459</v>
      </c>
      <c r="T147" s="527">
        <v>45961</v>
      </c>
      <c r="U147" s="635">
        <v>5937.7584076167632</v>
      </c>
      <c r="V147" s="767"/>
      <c r="W147" s="643">
        <v>45967</v>
      </c>
      <c r="X147" s="749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49"/>
      <c r="J148" s="752"/>
      <c r="K148" s="190"/>
      <c r="L148" s="213">
        <v>11</v>
      </c>
      <c r="M148" s="377" t="s">
        <v>447</v>
      </c>
      <c r="N148" s="286" t="s">
        <v>457</v>
      </c>
      <c r="O148" s="628"/>
      <c r="P148" s="447">
        <v>0.75</v>
      </c>
      <c r="Q148" s="285">
        <v>75600</v>
      </c>
      <c r="R148" s="796"/>
      <c r="S148" s="703" t="s">
        <v>460</v>
      </c>
      <c r="T148" s="527">
        <v>46022</v>
      </c>
      <c r="U148" s="635">
        <v>17164.058101723815</v>
      </c>
      <c r="V148" s="767"/>
      <c r="W148" s="643">
        <v>46037</v>
      </c>
      <c r="X148" s="749"/>
    </row>
    <row r="149" spans="1:24" ht="15" customHeight="1">
      <c r="B149" s="218">
        <v>11</v>
      </c>
      <c r="C149" s="219"/>
      <c r="D149" s="219"/>
      <c r="E149" s="220"/>
      <c r="F149" s="356"/>
      <c r="G149" s="232"/>
      <c r="H149" s="528"/>
      <c r="I149" s="750"/>
      <c r="J149" s="753"/>
      <c r="K149" s="191"/>
      <c r="L149" s="218">
        <v>11</v>
      </c>
      <c r="M149" s="316" t="s">
        <v>447</v>
      </c>
      <c r="N149" s="219" t="s">
        <v>457</v>
      </c>
      <c r="O149" s="220"/>
      <c r="P149" s="627"/>
      <c r="Q149" s="232">
        <v>19200</v>
      </c>
      <c r="R149" s="702"/>
      <c r="S149" s="704" t="s">
        <v>461</v>
      </c>
      <c r="T149" s="528">
        <v>46081</v>
      </c>
      <c r="U149" s="638"/>
      <c r="V149" s="768"/>
      <c r="W149" s="705">
        <v>46066</v>
      </c>
      <c r="X149" s="750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462</v>
      </c>
      <c r="D151" s="172" t="s">
        <v>463</v>
      </c>
      <c r="E151" s="173"/>
      <c r="F151" s="366"/>
      <c r="G151" s="240"/>
      <c r="H151" s="537"/>
      <c r="I151" s="775">
        <f>SUM(G151:G152)</f>
        <v>0</v>
      </c>
      <c r="J151" s="778">
        <v>0</v>
      </c>
      <c r="K151" s="793"/>
      <c r="L151" s="171">
        <v>12</v>
      </c>
      <c r="M151" s="172" t="s">
        <v>464</v>
      </c>
      <c r="N151" s="172" t="s">
        <v>463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75">
        <f>SUM(Q151:Q152)</f>
        <v>0</v>
      </c>
    </row>
    <row r="152" spans="1:24" ht="15" customHeight="1" thickBot="1">
      <c r="B152" s="175">
        <v>12</v>
      </c>
      <c r="C152" s="246" t="s">
        <v>462</v>
      </c>
      <c r="D152" s="246"/>
      <c r="E152" s="247"/>
      <c r="F152" s="368"/>
      <c r="G152" s="176"/>
      <c r="H152" s="540"/>
      <c r="I152" s="777"/>
      <c r="J152" s="780"/>
      <c r="K152" s="794"/>
      <c r="L152" s="175">
        <v>12</v>
      </c>
      <c r="M152" s="246" t="s">
        <v>464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77"/>
    </row>
    <row r="153" spans="1:24" ht="14.4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465</v>
      </c>
      <c r="D154" s="253" t="s">
        <v>466</v>
      </c>
      <c r="E154" s="185"/>
      <c r="F154" s="334"/>
      <c r="G154" s="186">
        <f>D202</f>
        <v>22271.14</v>
      </c>
      <c r="H154" s="519">
        <f>'Project Plan'!G50</f>
        <v>46001</v>
      </c>
      <c r="I154" s="748">
        <f>SUM(G154:G158)</f>
        <v>22271.14</v>
      </c>
      <c r="J154" s="751">
        <f>F202</f>
        <v>25308</v>
      </c>
      <c r="K154" s="187"/>
      <c r="L154" s="183">
        <v>13</v>
      </c>
      <c r="M154" s="253" t="s">
        <v>467</v>
      </c>
      <c r="N154" s="253" t="s">
        <v>468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66">
        <f>J154-SUM(U154:U159)</f>
        <v>0</v>
      </c>
      <c r="W154" s="458">
        <v>46079</v>
      </c>
      <c r="X154" s="748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9"/>
      <c r="J155" s="752"/>
      <c r="K155" s="190"/>
      <c r="L155" s="213">
        <v>13</v>
      </c>
      <c r="M155" s="288" t="s">
        <v>467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67"/>
      <c r="W155" s="451"/>
      <c r="X155" s="749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9"/>
      <c r="J156" s="752"/>
      <c r="K156" s="190"/>
      <c r="L156" s="213">
        <v>13</v>
      </c>
      <c r="M156" s="288" t="s">
        <v>467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67"/>
      <c r="W156" s="451"/>
      <c r="X156" s="749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9"/>
      <c r="J157" s="752"/>
      <c r="K157" s="190"/>
      <c r="L157" s="213">
        <v>13</v>
      </c>
      <c r="M157" s="288" t="s">
        <v>467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67"/>
      <c r="W157" s="451"/>
      <c r="X157" s="749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9"/>
      <c r="J158" s="752"/>
      <c r="K158" s="190"/>
      <c r="L158" s="213">
        <v>13</v>
      </c>
      <c r="M158" s="288" t="s">
        <v>467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67"/>
      <c r="W158" s="451"/>
      <c r="X158" s="749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50"/>
      <c r="J159" s="753"/>
      <c r="K159" s="265"/>
      <c r="L159" s="218">
        <v>13</v>
      </c>
      <c r="M159" s="316" t="s">
        <v>467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68"/>
      <c r="W159" s="453"/>
      <c r="X159" s="750"/>
    </row>
    <row r="160" spans="1:24" ht="14.4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469</v>
      </c>
      <c r="D161" s="172" t="s">
        <v>470</v>
      </c>
      <c r="E161" s="173"/>
      <c r="F161" s="366"/>
      <c r="G161" s="240">
        <f>D213</f>
        <v>4375</v>
      </c>
      <c r="H161" s="537">
        <f>'Project Plan'!G50</f>
        <v>46001</v>
      </c>
      <c r="I161" s="775">
        <f>SUM(G161:G172)</f>
        <v>4375</v>
      </c>
      <c r="J161" s="778">
        <f>F213</f>
        <v>4861</v>
      </c>
      <c r="K161" s="241"/>
      <c r="L161" s="171">
        <v>14</v>
      </c>
      <c r="M161" s="331" t="s">
        <v>471</v>
      </c>
      <c r="N161" s="172" t="s">
        <v>472</v>
      </c>
      <c r="O161" s="442"/>
      <c r="P161" s="507"/>
      <c r="Q161" s="510">
        <v>8016.46</v>
      </c>
      <c r="R161" s="660"/>
      <c r="S161" s="498" t="s">
        <v>473</v>
      </c>
      <c r="T161" s="634">
        <v>45961</v>
      </c>
      <c r="U161" s="641">
        <v>1536.8080583803892</v>
      </c>
      <c r="V161" s="784">
        <f>J161-SUM(U161:U172)</f>
        <v>4.7425135498997406E-3</v>
      </c>
      <c r="W161" s="626">
        <v>45967</v>
      </c>
      <c r="X161" s="775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76"/>
      <c r="J162" s="779"/>
      <c r="K162" s="174"/>
      <c r="L162" s="242">
        <v>14</v>
      </c>
      <c r="M162" s="332" t="s">
        <v>471</v>
      </c>
      <c r="N162" s="243" t="s">
        <v>472</v>
      </c>
      <c r="O162" s="443"/>
      <c r="P162" s="508"/>
      <c r="Q162" s="509">
        <v>10490.93</v>
      </c>
      <c r="R162" s="661"/>
      <c r="S162" s="498" t="s">
        <v>473</v>
      </c>
      <c r="T162" s="631">
        <v>45991</v>
      </c>
      <c r="U162" s="640">
        <v>1455.2804181506942</v>
      </c>
      <c r="V162" s="785"/>
      <c r="W162" s="626">
        <v>45996</v>
      </c>
      <c r="X162" s="77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76"/>
      <c r="J163" s="779"/>
      <c r="K163" s="174"/>
      <c r="L163" s="242">
        <v>14</v>
      </c>
      <c r="M163" s="332" t="s">
        <v>471</v>
      </c>
      <c r="N163" s="243" t="s">
        <v>472</v>
      </c>
      <c r="O163" s="443"/>
      <c r="P163" s="367"/>
      <c r="Q163" s="509">
        <v>8655.5400000000009</v>
      </c>
      <c r="R163" s="658"/>
      <c r="S163" s="498" t="s">
        <v>473</v>
      </c>
      <c r="T163" s="631">
        <v>46022</v>
      </c>
      <c r="U163" s="640">
        <v>1016.0260460104794</v>
      </c>
      <c r="V163" s="785"/>
      <c r="W163" s="626">
        <v>46030</v>
      </c>
      <c r="X163" s="77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76"/>
      <c r="J164" s="779"/>
      <c r="K164" s="174"/>
      <c r="L164" s="242">
        <v>14</v>
      </c>
      <c r="M164" s="332" t="s">
        <v>471</v>
      </c>
      <c r="N164" s="243" t="s">
        <v>472</v>
      </c>
      <c r="O164" s="443"/>
      <c r="P164" s="367"/>
      <c r="Q164" s="509">
        <v>3332</v>
      </c>
      <c r="R164" s="658"/>
      <c r="S164" s="498" t="s">
        <v>473</v>
      </c>
      <c r="T164" s="631">
        <v>46053</v>
      </c>
      <c r="U164" s="640">
        <v>352.40904696082617</v>
      </c>
      <c r="V164" s="785"/>
      <c r="W164" s="626">
        <v>46058</v>
      </c>
      <c r="X164" s="77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76"/>
      <c r="J165" s="779"/>
      <c r="K165" s="174"/>
      <c r="L165" s="242">
        <v>14</v>
      </c>
      <c r="M165" s="332" t="s">
        <v>471</v>
      </c>
      <c r="N165" s="243" t="s">
        <v>472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85"/>
      <c r="W165" s="464">
        <v>46086</v>
      </c>
      <c r="X165" s="77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76"/>
      <c r="J166" s="779"/>
      <c r="K166" s="174"/>
      <c r="L166" s="242">
        <v>14</v>
      </c>
      <c r="M166" s="332" t="s">
        <v>471</v>
      </c>
      <c r="N166" s="243" t="s">
        <v>472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85"/>
      <c r="W166" s="464"/>
      <c r="X166" s="77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76"/>
      <c r="J167" s="779"/>
      <c r="K167" s="174"/>
      <c r="L167" s="242">
        <v>14</v>
      </c>
      <c r="M167" s="332" t="s">
        <v>471</v>
      </c>
      <c r="N167" s="243" t="s">
        <v>472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85"/>
      <c r="W167" s="464"/>
      <c r="X167" s="77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76"/>
      <c r="J168" s="779"/>
      <c r="K168" s="174"/>
      <c r="L168" s="242">
        <v>14</v>
      </c>
      <c r="M168" s="332" t="s">
        <v>471</v>
      </c>
      <c r="N168" s="243" t="s">
        <v>472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85"/>
      <c r="W168" s="464"/>
      <c r="X168" s="77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76"/>
      <c r="J169" s="779"/>
      <c r="K169" s="174"/>
      <c r="L169" s="242">
        <v>14</v>
      </c>
      <c r="M169" s="332" t="s">
        <v>471</v>
      </c>
      <c r="N169" s="243" t="s">
        <v>472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85"/>
      <c r="W169" s="464"/>
      <c r="X169" s="77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76"/>
      <c r="J170" s="779"/>
      <c r="K170" s="174"/>
      <c r="L170" s="242">
        <v>14</v>
      </c>
      <c r="M170" s="332" t="s">
        <v>471</v>
      </c>
      <c r="N170" s="243" t="s">
        <v>472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85"/>
      <c r="W170" s="464"/>
      <c r="X170" s="776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76"/>
      <c r="J171" s="779"/>
      <c r="K171" s="174"/>
      <c r="L171" s="242">
        <v>14</v>
      </c>
      <c r="M171" s="332" t="s">
        <v>471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85"/>
      <c r="W171" s="464"/>
      <c r="X171" s="776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77"/>
      <c r="J172" s="780"/>
      <c r="K172" s="177"/>
      <c r="L172" s="175">
        <v>14</v>
      </c>
      <c r="M172" s="333" t="s">
        <v>471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86"/>
      <c r="W172" s="465"/>
      <c r="X172" s="777"/>
    </row>
    <row r="173" spans="1:24" ht="14.4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474</v>
      </c>
      <c r="D174" s="184"/>
      <c r="E174" s="185"/>
      <c r="F174" s="334"/>
      <c r="G174" s="186"/>
      <c r="H174" s="519"/>
      <c r="I174" s="748">
        <f>SUM(G174:G185)</f>
        <v>0</v>
      </c>
      <c r="J174" s="751">
        <f>F210</f>
        <v>0</v>
      </c>
      <c r="K174" s="187"/>
      <c r="L174" s="183">
        <v>15</v>
      </c>
      <c r="M174" s="253" t="s">
        <v>475</v>
      </c>
      <c r="N174" s="184"/>
      <c r="O174" s="185"/>
      <c r="P174" s="334"/>
      <c r="Q174" s="186"/>
      <c r="R174" s="466"/>
      <c r="S174" s="488"/>
      <c r="T174" s="605"/>
      <c r="U174" s="402"/>
      <c r="V174" s="766">
        <v>0</v>
      </c>
      <c r="W174" s="458"/>
      <c r="X174" s="748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9"/>
      <c r="J175" s="752"/>
      <c r="K175" s="190"/>
      <c r="L175" s="213">
        <v>15</v>
      </c>
      <c r="M175" s="288" t="s">
        <v>475</v>
      </c>
      <c r="N175" s="215" t="s">
        <v>476</v>
      </c>
      <c r="O175" s="448">
        <v>23350</v>
      </c>
      <c r="P175" s="449">
        <v>0.8</v>
      </c>
      <c r="Q175" s="217">
        <f>O175*P175</f>
        <v>18680</v>
      </c>
      <c r="R175" s="795" t="s">
        <v>477</v>
      </c>
      <c r="S175" s="481" t="s">
        <v>478</v>
      </c>
      <c r="T175" s="518">
        <v>45991</v>
      </c>
      <c r="U175" s="639">
        <v>23350</v>
      </c>
      <c r="V175" s="767"/>
      <c r="W175" s="624">
        <v>45965</v>
      </c>
      <c r="X175" s="749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9"/>
      <c r="J176" s="752"/>
      <c r="K176" s="190"/>
      <c r="L176" s="213">
        <v>15</v>
      </c>
      <c r="M176" s="288" t="s">
        <v>475</v>
      </c>
      <c r="N176" s="215" t="s">
        <v>479</v>
      </c>
      <c r="O176" s="431"/>
      <c r="P176" s="449">
        <v>0.2</v>
      </c>
      <c r="Q176" s="217">
        <f>O175*P176</f>
        <v>4670</v>
      </c>
      <c r="R176" s="743"/>
      <c r="S176" s="481" t="s">
        <v>478</v>
      </c>
      <c r="T176" s="518">
        <v>45991</v>
      </c>
      <c r="U176" s="639">
        <v>0</v>
      </c>
      <c r="V176" s="767"/>
      <c r="W176" s="689">
        <v>45988</v>
      </c>
      <c r="X176" s="749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9"/>
      <c r="J177" s="752"/>
      <c r="K177" s="190"/>
      <c r="L177" s="213">
        <v>15</v>
      </c>
      <c r="M177" s="288" t="s">
        <v>475</v>
      </c>
      <c r="N177" s="215" t="s">
        <v>480</v>
      </c>
      <c r="O177" s="431"/>
      <c r="P177" s="355"/>
      <c r="Q177" s="217">
        <v>5450</v>
      </c>
      <c r="R177" s="606"/>
      <c r="S177" s="481" t="s">
        <v>481</v>
      </c>
      <c r="T177" s="633">
        <v>46022</v>
      </c>
      <c r="U177" s="639">
        <v>2725</v>
      </c>
      <c r="V177" s="767"/>
      <c r="W177" s="624">
        <v>46009</v>
      </c>
      <c r="X177" s="749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9"/>
      <c r="J178" s="752"/>
      <c r="K178" s="190"/>
      <c r="L178" s="213">
        <v>15</v>
      </c>
      <c r="M178" s="288" t="s">
        <v>475</v>
      </c>
      <c r="N178" s="215" t="s">
        <v>482</v>
      </c>
      <c r="O178" s="431"/>
      <c r="P178" s="355"/>
      <c r="Q178" s="217">
        <v>5450</v>
      </c>
      <c r="R178" s="606" t="s">
        <v>483</v>
      </c>
      <c r="S178" s="481"/>
      <c r="T178" s="409">
        <v>46081</v>
      </c>
      <c r="U178" s="394">
        <f>5450/2</f>
        <v>2725</v>
      </c>
      <c r="V178" s="767"/>
      <c r="W178" s="451">
        <v>46072</v>
      </c>
      <c r="X178" s="749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9"/>
      <c r="J179" s="752"/>
      <c r="K179" s="190"/>
      <c r="L179" s="213">
        <v>15</v>
      </c>
      <c r="M179" s="288" t="s">
        <v>475</v>
      </c>
      <c r="N179" s="215" t="s">
        <v>484</v>
      </c>
      <c r="O179" s="431"/>
      <c r="P179" s="355"/>
      <c r="Q179" s="217">
        <v>3500</v>
      </c>
      <c r="R179" s="606" t="s">
        <v>485</v>
      </c>
      <c r="S179" s="481" t="s">
        <v>486</v>
      </c>
      <c r="T179" s="633">
        <v>46022</v>
      </c>
      <c r="U179" s="394">
        <v>0</v>
      </c>
      <c r="V179" s="767"/>
      <c r="W179" s="616">
        <v>46009</v>
      </c>
      <c r="X179" s="749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9"/>
      <c r="J180" s="752"/>
      <c r="K180" s="190"/>
      <c r="L180" s="213">
        <v>15</v>
      </c>
      <c r="M180" s="288" t="s">
        <v>475</v>
      </c>
      <c r="N180" s="215" t="s">
        <v>487</v>
      </c>
      <c r="O180" s="431"/>
      <c r="P180" s="355"/>
      <c r="Q180" s="217">
        <v>273.93</v>
      </c>
      <c r="R180" s="606"/>
      <c r="S180" s="481" t="s">
        <v>488</v>
      </c>
      <c r="T180" s="633">
        <v>46022</v>
      </c>
      <c r="U180" s="394">
        <v>0</v>
      </c>
      <c r="V180" s="767"/>
      <c r="W180" s="616">
        <v>46051</v>
      </c>
      <c r="X180" s="749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9"/>
      <c r="J181" s="752"/>
      <c r="K181" s="190"/>
      <c r="L181" s="213">
        <v>15</v>
      </c>
      <c r="M181" s="288" t="s">
        <v>475</v>
      </c>
      <c r="N181" s="215"/>
      <c r="O181" s="431"/>
      <c r="P181" s="355"/>
      <c r="Q181" s="217"/>
      <c r="R181" s="606"/>
      <c r="S181" s="481"/>
      <c r="T181" s="409"/>
      <c r="U181" s="394"/>
      <c r="V181" s="767"/>
      <c r="W181" s="451"/>
      <c r="X181" s="749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9"/>
      <c r="J182" s="752"/>
      <c r="K182" s="190"/>
      <c r="L182" s="213">
        <v>15</v>
      </c>
      <c r="M182" s="288" t="s">
        <v>475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67"/>
      <c r="W182" s="451"/>
      <c r="X182" s="749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9"/>
      <c r="J183" s="752"/>
      <c r="K183" s="190"/>
      <c r="L183" s="213">
        <v>15</v>
      </c>
      <c r="M183" s="288" t="s">
        <v>475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67"/>
      <c r="W183" s="451"/>
      <c r="X183" s="749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9"/>
      <c r="J184" s="752"/>
      <c r="K184" s="190"/>
      <c r="L184" s="213">
        <v>15</v>
      </c>
      <c r="M184" s="288" t="s">
        <v>475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67"/>
      <c r="W184" s="451"/>
      <c r="X184" s="749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50"/>
      <c r="J185" s="753"/>
      <c r="K185" s="191"/>
      <c r="L185" s="218">
        <v>15</v>
      </c>
      <c r="M185" s="316" t="s">
        <v>475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68"/>
      <c r="W185" s="453"/>
      <c r="X185" s="750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489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490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491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341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492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493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494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495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496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497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498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499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500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501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502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503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504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505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506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507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494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508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509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5"/>
  <cols>
    <col min="1" max="1" width="34" bestFit="1" customWidth="1"/>
    <col min="2" max="2" width="13.5703125" bestFit="1" customWidth="1"/>
    <col min="3" max="3" width="10.85546875" bestFit="1" customWidth="1"/>
  </cols>
  <sheetData>
    <row r="1" spans="1:3">
      <c r="A1" s="667" t="s">
        <v>510</v>
      </c>
      <c r="B1" s="667" t="s">
        <v>511</v>
      </c>
    </row>
    <row r="2" spans="1:3">
      <c r="A2" s="7" t="s">
        <v>512</v>
      </c>
      <c r="B2" s="671">
        <v>159713.96125781251</v>
      </c>
    </row>
    <row r="3" spans="1:3" ht="15" thickBot="1">
      <c r="A3" s="7" t="s">
        <v>513</v>
      </c>
      <c r="B3" s="672">
        <v>23510</v>
      </c>
    </row>
    <row r="4" spans="1:3">
      <c r="A4" s="7" t="s">
        <v>514</v>
      </c>
      <c r="B4" s="671">
        <v>304738.28000000003</v>
      </c>
    </row>
    <row r="5" spans="1:3" ht="15" thickBot="1">
      <c r="A5" s="680" t="s">
        <v>515</v>
      </c>
      <c r="B5" s="672">
        <v>113035</v>
      </c>
    </row>
    <row r="6" spans="1:3">
      <c r="A6" s="678" t="s">
        <v>516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517</v>
      </c>
      <c r="B8" s="671"/>
    </row>
    <row r="9" spans="1:3">
      <c r="A9" s="673" t="s">
        <v>518</v>
      </c>
      <c r="B9" s="674">
        <v>97500</v>
      </c>
    </row>
    <row r="10" spans="1:3">
      <c r="A10" s="673" t="s">
        <v>519</v>
      </c>
      <c r="B10" s="674">
        <v>14000</v>
      </c>
    </row>
    <row r="11" spans="1:3">
      <c r="A11" s="673" t="s">
        <v>520</v>
      </c>
      <c r="B11" s="674">
        <v>60000</v>
      </c>
    </row>
    <row r="12" spans="1:3" ht="15" thickBot="1">
      <c r="A12" s="681" t="s">
        <v>521</v>
      </c>
      <c r="B12" s="675">
        <v>22000</v>
      </c>
    </row>
    <row r="13" spans="1:3">
      <c r="A13" s="677" t="s">
        <v>522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523</v>
      </c>
      <c r="B15" s="668">
        <f>B6-B13</f>
        <v>407497.24125781259</v>
      </c>
      <c r="C15" s="676"/>
    </row>
    <row r="16" spans="1:3" ht="15" thickBot="1">
      <c r="A16" t="s">
        <v>524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bottomRight" activeCell="F28" sqref="F28"/>
      <selection pane="bottomLeft" activeCell="F28" sqref="F28"/>
      <selection pane="topRight" activeCell="F28" sqref="F28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0"/>
  </cols>
  <sheetData>
    <row r="1" spans="1:770">
      <c r="D1" s="96" t="s">
        <v>525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7" t="s">
        <v>526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8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8"/>
      <c r="B4" s="104" t="s">
        <v>527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8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8"/>
      <c r="B6" s="108" t="s">
        <v>528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8"/>
      <c r="B7" s="113" t="s">
        <v>529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7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8"/>
      <c r="B9" s="118" t="s">
        <v>530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8"/>
      <c r="B10" s="118" t="s">
        <v>531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8"/>
      <c r="B11" s="121" t="s">
        <v>532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19200</v>
      </c>
      <c r="AD11" s="123">
        <f>SUMIFS('Expenditure Breakdown'!$Q$6:$Q$193, 'Expenditure Breakdown'!$W$6:$W$193, "&gt;="&amp;AD1,'Expenditure Breakdown'!$W$6:$W$193, "&lt;"&amp;AE1)</f>
        <v>11573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8"/>
      <c r="B12" s="121" t="s">
        <v>533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8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8"/>
      <c r="B14" s="113" t="s">
        <v>534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-140010.91650416655</v>
      </c>
      <c r="AE14" s="116">
        <f t="shared" si="32"/>
        <v>-229036.12800416676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79764.381995833013</v>
      </c>
      <c r="AQ14" s="116">
        <f t="shared" si="32"/>
        <v>79764.381995833013</v>
      </c>
      <c r="AR14" s="116">
        <f t="shared" si="32"/>
        <v>79764.381995833013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9"/>
      <c r="B17" s="104" t="s">
        <v>535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9"/>
      <c r="B18" s="104" t="s">
        <v>536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703125" defaultRowHeight="14.45"/>
  <cols>
    <col min="1" max="1" width="39.42578125" style="267" bestFit="1" customWidth="1"/>
    <col min="2" max="2" width="17.28515625" style="268" bestFit="1" customWidth="1"/>
    <col min="3" max="3" width="14.85546875" style="267" bestFit="1" customWidth="1"/>
    <col min="4" max="5" width="13.28515625" style="267" bestFit="1" customWidth="1"/>
    <col min="6" max="6" width="4.85546875" style="267" bestFit="1" customWidth="1"/>
    <col min="7" max="7" width="13.28515625" style="267" bestFit="1" customWidth="1"/>
    <col min="8" max="8" width="12" style="267" bestFit="1" customWidth="1"/>
    <col min="9" max="10" width="14.85546875" style="267" bestFit="1" customWidth="1"/>
    <col min="11" max="11" width="11.42578125" style="267" bestFit="1" customWidth="1"/>
    <col min="12" max="12" width="6.42578125" style="267" bestFit="1" customWidth="1"/>
    <col min="13" max="13" width="14.42578125" style="267" bestFit="1" customWidth="1"/>
    <col min="14" max="14" width="13.5703125" style="267" bestFit="1" customWidth="1"/>
    <col min="15" max="18" width="11.42578125" style="267" bestFit="1" customWidth="1"/>
    <col min="19" max="19" width="13.5703125" style="267" bestFit="1" customWidth="1"/>
    <col min="20" max="16384" width="12.570312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537</v>
      </c>
      <c r="B3" s="517" t="s">
        <v>538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539</v>
      </c>
      <c r="B4" t="s">
        <v>540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541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540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467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471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475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464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541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6" bestFit="1" customWidth="1"/>
    <col min="3" max="3" width="9.42578125" style="306" bestFit="1" customWidth="1"/>
    <col min="4" max="4" width="14.85546875" style="306" bestFit="1" customWidth="1"/>
    <col min="5" max="6" width="13.28515625" style="306" bestFit="1" customWidth="1"/>
    <col min="7" max="7" width="13" style="306" bestFit="1" customWidth="1"/>
    <col min="8" max="8" width="13.28515625" style="306" bestFit="1" customWidth="1"/>
    <col min="9" max="9" width="14.85546875" style="306" bestFit="1" customWidth="1"/>
    <col min="10" max="10" width="14.8554687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17" t="s">
        <v>542</v>
      </c>
      <c r="B3" s="517" t="s">
        <v>538</v>
      </c>
      <c r="C3"/>
      <c r="D3"/>
      <c r="E3"/>
      <c r="F3"/>
      <c r="G3"/>
      <c r="H3"/>
      <c r="I3"/>
    </row>
    <row r="4" spans="1:9">
      <c r="A4" s="517" t="s">
        <v>539</v>
      </c>
      <c r="B4" t="s">
        <v>540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541</v>
      </c>
    </row>
    <row r="5" spans="1:9">
      <c r="A5" s="343" t="s">
        <v>540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467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471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475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464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541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543</v>
      </c>
      <c r="F2" s="19" t="s">
        <v>544</v>
      </c>
    </row>
    <row r="3" spans="3:8">
      <c r="C3" s="15">
        <v>45658</v>
      </c>
      <c r="D3" s="9" t="s">
        <v>545</v>
      </c>
      <c r="F3" s="17" t="s">
        <v>88</v>
      </c>
    </row>
    <row r="4" spans="3:8">
      <c r="C4" s="15">
        <v>45737</v>
      </c>
      <c r="D4" s="9" t="s">
        <v>546</v>
      </c>
      <c r="F4" s="17" t="s">
        <v>96</v>
      </c>
    </row>
    <row r="5" spans="3:8">
      <c r="C5" s="15">
        <v>45765</v>
      </c>
      <c r="D5" s="9" t="s">
        <v>547</v>
      </c>
      <c r="F5" s="17" t="s">
        <v>548</v>
      </c>
    </row>
    <row r="6" spans="3:8" ht="13.9" thickBot="1">
      <c r="C6" s="15">
        <v>45768</v>
      </c>
      <c r="D6" s="9" t="s">
        <v>549</v>
      </c>
      <c r="F6" s="18" t="s">
        <v>550</v>
      </c>
    </row>
    <row r="7" spans="3:8">
      <c r="C7" s="15">
        <v>45774</v>
      </c>
      <c r="D7" s="9" t="s">
        <v>551</v>
      </c>
    </row>
    <row r="8" spans="3:8">
      <c r="C8" s="15">
        <v>45765</v>
      </c>
      <c r="D8" s="9" t="s">
        <v>552</v>
      </c>
    </row>
    <row r="9" spans="3:8">
      <c r="C9" s="15">
        <v>45778</v>
      </c>
      <c r="D9" s="9" t="s">
        <v>553</v>
      </c>
    </row>
    <row r="10" spans="3:8">
      <c r="C10" s="15">
        <v>45824</v>
      </c>
      <c r="D10" s="9" t="s">
        <v>554</v>
      </c>
    </row>
    <row r="11" spans="3:8">
      <c r="C11" s="15">
        <v>45878</v>
      </c>
      <c r="D11" s="9" t="s">
        <v>555</v>
      </c>
    </row>
    <row r="12" spans="3:8">
      <c r="C12" s="15">
        <v>45924</v>
      </c>
      <c r="D12" s="9" t="s">
        <v>556</v>
      </c>
    </row>
    <row r="13" spans="3:8">
      <c r="C13" s="15">
        <v>46007</v>
      </c>
      <c r="D13" s="9" t="s">
        <v>557</v>
      </c>
      <c r="F13" s="20"/>
      <c r="H13" s="9" t="s">
        <v>558</v>
      </c>
    </row>
    <row r="14" spans="3:8">
      <c r="C14" s="15">
        <v>46016</v>
      </c>
      <c r="D14" s="9" t="s">
        <v>559</v>
      </c>
    </row>
    <row r="15" spans="3:8">
      <c r="C15" s="15">
        <v>46017</v>
      </c>
      <c r="D15" s="9" t="s">
        <v>560</v>
      </c>
    </row>
    <row r="16" spans="3:8">
      <c r="C16" s="15">
        <v>46006</v>
      </c>
      <c r="D16" s="9" t="s">
        <v>561</v>
      </c>
    </row>
    <row r="17" spans="3:4">
      <c r="C17" s="15">
        <v>46007</v>
      </c>
      <c r="D17" s="9" t="s">
        <v>561</v>
      </c>
    </row>
    <row r="18" spans="3:4">
      <c r="C18" s="15">
        <v>46008</v>
      </c>
      <c r="D18" s="9" t="s">
        <v>561</v>
      </c>
    </row>
    <row r="19" spans="3:4">
      <c r="C19" s="15">
        <v>46009</v>
      </c>
      <c r="D19" s="9" t="s">
        <v>561</v>
      </c>
    </row>
    <row r="20" spans="3:4">
      <c r="C20" s="15">
        <v>46010</v>
      </c>
      <c r="D20" s="9" t="s">
        <v>561</v>
      </c>
    </row>
    <row r="21" spans="3:4">
      <c r="C21" s="15">
        <v>46011</v>
      </c>
      <c r="D21" s="9" t="s">
        <v>561</v>
      </c>
    </row>
    <row r="22" spans="3:4">
      <c r="C22" s="15">
        <v>46012</v>
      </c>
      <c r="D22" s="9" t="s">
        <v>561</v>
      </c>
    </row>
    <row r="23" spans="3:4">
      <c r="C23" s="15">
        <v>46013</v>
      </c>
      <c r="D23" s="9" t="s">
        <v>561</v>
      </c>
    </row>
    <row r="24" spans="3:4">
      <c r="C24" s="15">
        <v>46014</v>
      </c>
      <c r="D24" s="9" t="s">
        <v>561</v>
      </c>
    </row>
    <row r="25" spans="3:4">
      <c r="C25" s="15">
        <v>46015</v>
      </c>
      <c r="D25" s="9" t="s">
        <v>561</v>
      </c>
    </row>
    <row r="26" spans="3:4">
      <c r="C26" s="15">
        <v>46016</v>
      </c>
      <c r="D26" s="9" t="s">
        <v>561</v>
      </c>
    </row>
    <row r="27" spans="3:4">
      <c r="C27" s="15">
        <v>46017</v>
      </c>
      <c r="D27" s="9" t="s">
        <v>561</v>
      </c>
    </row>
    <row r="28" spans="3:4">
      <c r="C28" s="15">
        <v>46018</v>
      </c>
      <c r="D28" s="9" t="s">
        <v>561</v>
      </c>
    </row>
    <row r="29" spans="3:4">
      <c r="C29" s="15">
        <v>46019</v>
      </c>
      <c r="D29" s="9" t="s">
        <v>561</v>
      </c>
    </row>
    <row r="30" spans="3:4">
      <c r="C30" s="15">
        <v>46020</v>
      </c>
      <c r="D30" s="9" t="s">
        <v>561</v>
      </c>
    </row>
    <row r="31" spans="3:4">
      <c r="C31" s="15">
        <v>46021</v>
      </c>
      <c r="D31" s="9" t="s">
        <v>561</v>
      </c>
    </row>
    <row r="32" spans="3:4">
      <c r="C32" s="15">
        <v>46022</v>
      </c>
      <c r="D32" s="9" t="s">
        <v>561</v>
      </c>
    </row>
    <row r="33" spans="3:4">
      <c r="C33" s="15">
        <v>46023</v>
      </c>
      <c r="D33" s="9" t="s">
        <v>561</v>
      </c>
    </row>
    <row r="34" spans="3:4">
      <c r="C34" s="15">
        <v>46024</v>
      </c>
      <c r="D34" s="9" t="s">
        <v>561</v>
      </c>
    </row>
    <row r="35" spans="3:4">
      <c r="C35" s="15">
        <v>46025</v>
      </c>
      <c r="D35" s="9" t="s">
        <v>561</v>
      </c>
    </row>
    <row r="36" spans="3:4">
      <c r="C36" s="15">
        <v>46026</v>
      </c>
      <c r="D36" s="9" t="s">
        <v>561</v>
      </c>
    </row>
    <row r="37" spans="3:4">
      <c r="C37" s="15">
        <v>46027</v>
      </c>
      <c r="D37" s="9" t="s">
        <v>561</v>
      </c>
    </row>
    <row r="38" spans="3:4">
      <c r="C38" s="15">
        <v>46028</v>
      </c>
      <c r="D38" s="9" t="s">
        <v>561</v>
      </c>
    </row>
    <row r="39" spans="3:4">
      <c r="C39" s="15">
        <v>46029</v>
      </c>
      <c r="D39" s="9" t="s">
        <v>561</v>
      </c>
    </row>
    <row r="40" spans="3:4">
      <c r="C40" s="15">
        <v>46030</v>
      </c>
      <c r="D40" s="9" t="s">
        <v>561</v>
      </c>
    </row>
    <row r="41" spans="3:4">
      <c r="C41" s="15">
        <v>46031</v>
      </c>
      <c r="D41" s="9" t="s">
        <v>561</v>
      </c>
    </row>
    <row r="42" spans="3:4">
      <c r="C42" s="15">
        <v>46032</v>
      </c>
      <c r="D42" s="9" t="s">
        <v>561</v>
      </c>
    </row>
    <row r="43" spans="3:4">
      <c r="C43" s="15">
        <v>46033</v>
      </c>
      <c r="D43" s="9" t="s">
        <v>561</v>
      </c>
    </row>
    <row r="44" spans="3:4">
      <c r="C44" s="15">
        <v>46034</v>
      </c>
      <c r="D44" s="9" t="s">
        <v>561</v>
      </c>
    </row>
    <row r="45" spans="3:4">
      <c r="C45" s="15">
        <v>46035</v>
      </c>
      <c r="D45" s="9" t="s">
        <v>561</v>
      </c>
    </row>
    <row r="46" spans="3:4">
      <c r="C46" s="15">
        <v>46036</v>
      </c>
      <c r="D46" s="9" t="s">
        <v>561</v>
      </c>
    </row>
    <row r="47" spans="3:4">
      <c r="C47" s="15">
        <v>46037</v>
      </c>
      <c r="D47" s="9" t="s">
        <v>561</v>
      </c>
    </row>
    <row r="48" spans="3:4">
      <c r="C48" s="15">
        <v>46038</v>
      </c>
      <c r="D48" s="9" t="s">
        <v>561</v>
      </c>
    </row>
    <row r="49" spans="3:4">
      <c r="C49" s="15">
        <v>46102</v>
      </c>
      <c r="D49" s="9" t="s">
        <v>546</v>
      </c>
    </row>
    <row r="50" spans="3:4">
      <c r="C50" s="15">
        <v>46115</v>
      </c>
      <c r="D50" s="9" t="s">
        <v>547</v>
      </c>
    </row>
    <row r="51" spans="3:4">
      <c r="C51" s="15">
        <v>46118</v>
      </c>
      <c r="D51" s="9" t="s">
        <v>549</v>
      </c>
    </row>
    <row r="52" spans="3:4">
      <c r="C52" s="15">
        <v>46139</v>
      </c>
      <c r="D52" s="9" t="s">
        <v>551</v>
      </c>
    </row>
    <row r="53" spans="3:4">
      <c r="C53" s="15">
        <v>46143</v>
      </c>
      <c r="D53" s="9" t="s">
        <v>553</v>
      </c>
    </row>
    <row r="54" spans="3:4">
      <c r="C54" s="15">
        <v>46189</v>
      </c>
      <c r="D54" s="9" t="s">
        <v>554</v>
      </c>
    </row>
    <row r="55" spans="3:4">
      <c r="C55" s="15">
        <v>46243</v>
      </c>
      <c r="D55" s="9" t="s">
        <v>555</v>
      </c>
    </row>
    <row r="56" spans="3:4">
      <c r="C56" s="15">
        <v>46244</v>
      </c>
      <c r="D56" s="9" t="s">
        <v>562</v>
      </c>
    </row>
    <row r="57" spans="3:4">
      <c r="C57" s="15">
        <v>46289</v>
      </c>
      <c r="D57" s="9" t="s">
        <v>556</v>
      </c>
    </row>
    <row r="58" spans="3:4">
      <c r="C58" s="15">
        <v>46372</v>
      </c>
      <c r="D58" s="9" t="s">
        <v>557</v>
      </c>
    </row>
    <row r="59" spans="3:4">
      <c r="C59" s="15">
        <v>46381</v>
      </c>
      <c r="D59" s="9" t="s">
        <v>559</v>
      </c>
    </row>
    <row r="60" spans="3:4" ht="13.9" thickBot="1">
      <c r="C60" s="16">
        <v>46382</v>
      </c>
      <c r="D60" s="9" t="s"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DE4BB9B5-52C4-4AFC-80C8-BE9A6FB13E7D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2026-02-16T08:31:18Z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