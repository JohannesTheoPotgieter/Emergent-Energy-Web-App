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7" documentId="13_ncr:1_{8DFAE76A-997B-4D69-8F5D-2B7AE148B28B}" xr6:coauthVersionLast="47" xr6:coauthVersionMax="47" xr10:uidLastSave="{0AD5CC3E-8096-4729-9549-D036415C9BA0}"/>
  <bookViews>
    <workbookView minimized="1" xWindow="1060" yWindow="1110" windowWidth="14400" windowHeight="8170" tabRatio="731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" l="1"/>
  <c r="G9" i="20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1" i="18"/>
  <c r="I71" i="18"/>
  <c r="F15" i="3"/>
  <c r="I80" i="18"/>
  <c r="I128" i="18"/>
  <c r="F21" i="3"/>
  <c r="J21" i="3"/>
  <c r="X44" i="18"/>
  <c r="H13" i="3"/>
  <c r="M43" i="2"/>
  <c r="W15" i="2"/>
  <c r="M39" i="2"/>
  <c r="W14" i="2"/>
  <c r="G12" i="2"/>
  <c r="M46" i="2"/>
  <c r="W16" i="2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/>
  <c r="Z12" i="18"/>
  <c r="Z22" i="18"/>
  <c r="Z23" i="18"/>
  <c r="Z24" i="18"/>
  <c r="I6" i="18"/>
  <c r="F9" i="3"/>
  <c r="J9" i="3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/>
  <c r="X128" i="18"/>
  <c r="F17" i="5"/>
  <c r="F16" i="5"/>
  <c r="F15" i="5"/>
  <c r="Q34" i="18"/>
  <c r="Q32" i="18"/>
  <c r="Q35" i="18"/>
  <c r="H15" i="3"/>
  <c r="J15" i="3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/>
  <c r="BG17" i="6"/>
  <c r="U121" i="18"/>
  <c r="U120" i="18"/>
  <c r="V119" i="18"/>
  <c r="JH11" i="6"/>
  <c r="K50" i="2"/>
  <c r="GI11" i="6"/>
  <c r="BP11" i="6"/>
  <c r="FF11" i="6"/>
  <c r="U142" i="18"/>
  <c r="U135" i="18"/>
  <c r="U144" i="18"/>
  <c r="J23" i="3"/>
  <c r="U136" i="18"/>
  <c r="U145" i="18"/>
  <c r="U137" i="18"/>
  <c r="V4" i="5"/>
  <c r="J10" i="3"/>
  <c r="F5" i="3"/>
  <c r="G6" i="6"/>
  <c r="H6" i="6"/>
  <c r="IM11" i="6"/>
  <c r="HW11" i="6"/>
  <c r="N52" i="2"/>
  <c r="I6" i="6"/>
  <c r="H7" i="6"/>
  <c r="D5" i="5"/>
  <c r="F25" i="3"/>
  <c r="D5" i="6"/>
  <c r="J19" i="3"/>
  <c r="G7" i="6"/>
  <c r="H5" i="3"/>
  <c r="F5" i="5"/>
  <c r="J13" i="3"/>
  <c r="AU11" i="6"/>
  <c r="BU11" i="6"/>
  <c r="FH11" i="6"/>
  <c r="EB11" i="6"/>
  <c r="KO11" i="6"/>
  <c r="EA11" i="6"/>
  <c r="JA11" i="6"/>
  <c r="JB11" i="6"/>
  <c r="FL11" i="6"/>
  <c r="KC11" i="6"/>
  <c r="DY11" i="6"/>
  <c r="IT11" i="6"/>
  <c r="KF11" i="6"/>
  <c r="DN11" i="6"/>
  <c r="EW11" i="6"/>
  <c r="AM11" i="6"/>
  <c r="GY11" i="6"/>
  <c r="AW11" i="6"/>
  <c r="KH11" i="6"/>
  <c r="DZ11" i="6"/>
  <c r="IV11" i="6"/>
  <c r="IR11" i="6"/>
  <c r="KN11" i="6"/>
  <c r="GD11" i="6"/>
  <c r="FI11" i="6"/>
  <c r="II11" i="6"/>
  <c r="BO11" i="6"/>
  <c r="IE11" i="6"/>
  <c r="JN11" i="6"/>
  <c r="N11" i="6"/>
  <c r="CG11" i="6"/>
  <c r="HK11" i="6"/>
  <c r="GJ11" i="6"/>
  <c r="CT11" i="6"/>
  <c r="AP11" i="6"/>
  <c r="KG11" i="6"/>
  <c r="KR11" i="6"/>
  <c r="GN11" i="6"/>
  <c r="JO11" i="6"/>
  <c r="EN11" i="6"/>
  <c r="ED11" i="6"/>
  <c r="HS11" i="6"/>
  <c r="DA11" i="6"/>
  <c r="IY11" i="6"/>
  <c r="R11" i="6"/>
  <c r="GO11" i="6"/>
  <c r="BR11" i="6"/>
  <c r="FB11" i="6"/>
  <c r="GK11" i="6"/>
  <c r="KK11" i="6"/>
  <c r="AF11" i="6"/>
  <c r="KT11" i="6"/>
  <c r="CI11" i="6"/>
  <c r="DM11" i="6"/>
  <c r="IO11" i="6"/>
  <c r="HF11" i="6"/>
  <c r="BF11" i="6"/>
  <c r="AD11" i="6"/>
  <c r="EU11" i="6"/>
  <c r="GZ11" i="6"/>
  <c r="HG11" i="6"/>
  <c r="BV11" i="6"/>
  <c r="JF11" i="6"/>
  <c r="CX11" i="6"/>
  <c r="DP11" i="6"/>
  <c r="EI11" i="6"/>
  <c r="KD11" i="6"/>
  <c r="KB11" i="6"/>
  <c r="CF11" i="6"/>
  <c r="DK11" i="6"/>
  <c r="EO11" i="6"/>
  <c r="JG11" i="6"/>
  <c r="GF11" i="6"/>
  <c r="IK11" i="6"/>
  <c r="GV11" i="6"/>
  <c r="JJ11" i="6"/>
  <c r="CU11" i="6"/>
  <c r="CV11" i="6"/>
  <c r="GB11" i="6"/>
  <c r="DC11" i="6"/>
  <c r="KW11" i="6"/>
  <c r="AB11" i="6"/>
  <c r="EJ11" i="6"/>
  <c r="AA11" i="6"/>
  <c r="JT11" i="6"/>
  <c r="AG11" i="6"/>
  <c r="CL11" i="6"/>
  <c r="BN11" i="6"/>
  <c r="IW11" i="6"/>
  <c r="EP11" i="6"/>
  <c r="AZ11" i="6"/>
  <c r="HE11" i="6"/>
  <c r="BG11" i="6"/>
  <c r="EY11" i="6"/>
  <c r="HN11" i="6"/>
  <c r="AK11" i="6"/>
  <c r="FD11" i="6"/>
  <c r="JQ11" i="6"/>
  <c r="GE11" i="6"/>
  <c r="HI11" i="6"/>
  <c r="IA11" i="6"/>
  <c r="FN11" i="6"/>
  <c r="M11" i="6"/>
  <c r="HV11" i="6"/>
  <c r="JS11" i="6"/>
  <c r="HP11" i="6"/>
  <c r="HO11" i="6"/>
  <c r="AR11" i="6"/>
  <c r="AE11" i="6"/>
  <c r="JU11" i="6"/>
  <c r="F11" i="6"/>
  <c r="F12" i="6"/>
  <c r="F14" i="6"/>
  <c r="BM11" i="6"/>
  <c r="JM11" i="6"/>
  <c r="CJ11" i="6"/>
  <c r="GP11" i="6"/>
  <c r="FM11" i="6"/>
  <c r="BD11" i="6"/>
  <c r="JL11" i="6"/>
  <c r="KV11" i="6"/>
  <c r="IQ11" i="6"/>
  <c r="BW11" i="6"/>
  <c r="KE11" i="6"/>
  <c r="P11" i="6"/>
  <c r="JR11" i="6"/>
  <c r="IN11" i="6"/>
  <c r="AJ11" i="6"/>
  <c r="BZ11" i="6"/>
  <c r="FA11" i="6"/>
  <c r="DL11" i="6"/>
  <c r="AO11" i="6"/>
  <c r="HQ11" i="6"/>
  <c r="AN11" i="6"/>
  <c r="FZ11" i="6"/>
  <c r="BQ11" i="6"/>
  <c r="DI11" i="6"/>
  <c r="CB11" i="6"/>
  <c r="CY11" i="6"/>
  <c r="GC11" i="6"/>
  <c r="IF11" i="6"/>
  <c r="ES11" i="6"/>
  <c r="HB11" i="6"/>
  <c r="BX11" i="6"/>
  <c r="IG11" i="6"/>
  <c r="EX11" i="6"/>
  <c r="DF11" i="6"/>
  <c r="O11" i="6"/>
  <c r="AV11" i="6"/>
  <c r="HC11" i="6"/>
  <c r="AS11" i="6"/>
  <c r="S11" i="6"/>
  <c r="X11" i="6"/>
  <c r="EF11" i="6"/>
  <c r="FV11" i="6"/>
  <c r="DQ11" i="6"/>
  <c r="FU11" i="6"/>
  <c r="HL11" i="6"/>
  <c r="CP11" i="6"/>
  <c r="BA11" i="6"/>
  <c r="HH11" i="6"/>
  <c r="BE11" i="6"/>
  <c r="K11" i="6"/>
  <c r="CO11" i="6"/>
  <c r="ER11" i="6"/>
  <c r="EH11" i="6"/>
  <c r="FQ11" i="6"/>
  <c r="HM11" i="6"/>
  <c r="DX11" i="6"/>
  <c r="ID11" i="6"/>
  <c r="HR11" i="6"/>
  <c r="JK11" i="6"/>
  <c r="GH11" i="6"/>
  <c r="BI11" i="6"/>
  <c r="DR11" i="6"/>
  <c r="H11" i="6"/>
  <c r="CR11" i="6"/>
  <c r="HZ11" i="6"/>
  <c r="EK11" i="6"/>
  <c r="AI11" i="6"/>
  <c r="W11" i="6"/>
  <c r="BC11" i="6"/>
  <c r="FX11" i="6"/>
  <c r="EQ11" i="6"/>
  <c r="HD11" i="6"/>
  <c r="Q11" i="6"/>
  <c r="JX11" i="6"/>
  <c r="DV11" i="6"/>
  <c r="AX11" i="6"/>
  <c r="KJ11" i="6"/>
  <c r="LA11" i="6"/>
  <c r="JY11" i="6"/>
  <c r="HT11" i="6"/>
  <c r="JD11" i="6"/>
  <c r="KX11" i="6"/>
  <c r="V11" i="6"/>
  <c r="GS11" i="6"/>
  <c r="DE11" i="6"/>
  <c r="AQ11" i="6"/>
  <c r="JZ11" i="6"/>
  <c r="FK11" i="6"/>
  <c r="KP11" i="6"/>
  <c r="FY11" i="6"/>
  <c r="CN11" i="6"/>
  <c r="GW11" i="6"/>
  <c r="FP11" i="6"/>
  <c r="CC11" i="6"/>
  <c r="DG11" i="6"/>
  <c r="CD11" i="6"/>
  <c r="LD11" i="6"/>
  <c r="BS11" i="6"/>
  <c r="DJ11" i="6"/>
  <c r="CW11" i="6"/>
  <c r="IP11" i="6"/>
  <c r="BK11" i="6"/>
  <c r="EV11" i="6"/>
  <c r="BL11" i="6"/>
  <c r="GT11" i="6"/>
  <c r="IH11" i="6"/>
  <c r="JE11" i="6"/>
  <c r="ET11" i="6"/>
  <c r="U50" i="18"/>
  <c r="V44" i="18"/>
  <c r="Y4" i="5"/>
  <c r="W4" i="5"/>
  <c r="U4" i="5"/>
  <c r="T4" i="5"/>
  <c r="BT11" i="6"/>
  <c r="X2" i="18"/>
  <c r="M21" i="2"/>
  <c r="M9" i="2"/>
  <c r="L11" i="6"/>
  <c r="JW11" i="6"/>
  <c r="AY11" i="6"/>
  <c r="BY11" i="6"/>
  <c r="CA11" i="6"/>
  <c r="KQ11" i="6"/>
  <c r="CS11" i="6"/>
  <c r="GA11" i="6"/>
  <c r="Z11" i="6"/>
  <c r="JV11" i="6"/>
  <c r="G11" i="6"/>
  <c r="KM11" i="6"/>
  <c r="JP11" i="6"/>
  <c r="KL11" i="6"/>
  <c r="FJ11" i="6"/>
  <c r="FR11" i="6"/>
  <c r="HX11" i="6"/>
  <c r="FO11" i="6"/>
  <c r="IU11" i="6"/>
  <c r="EE11" i="6"/>
  <c r="LB11" i="6"/>
  <c r="EL11" i="6"/>
  <c r="BJ11" i="6"/>
  <c r="DT11" i="6"/>
  <c r="HU11" i="6"/>
  <c r="GU11" i="6"/>
  <c r="CQ11" i="6"/>
  <c r="FE11" i="6"/>
  <c r="IB11" i="6"/>
  <c r="GQ11" i="6"/>
  <c r="KZ11" i="6"/>
  <c r="HJ11" i="6"/>
  <c r="BH11" i="6"/>
  <c r="FC11" i="6"/>
  <c r="KU11" i="6"/>
  <c r="IC11" i="6"/>
  <c r="IL11" i="6"/>
  <c r="GR11" i="6"/>
  <c r="J11" i="6"/>
  <c r="KS11" i="6"/>
  <c r="EC11" i="6"/>
  <c r="HY11" i="6"/>
  <c r="EM11" i="6"/>
  <c r="KA11" i="6"/>
  <c r="GM11" i="6"/>
  <c r="FW11" i="6"/>
  <c r="AT11" i="6"/>
  <c r="IZ11" i="6"/>
  <c r="CM11" i="6"/>
  <c r="FG11" i="6"/>
  <c r="GX11" i="6"/>
  <c r="HA11" i="6"/>
  <c r="JI11" i="6"/>
  <c r="KI11" i="6"/>
  <c r="GG11" i="6"/>
  <c r="CH11" i="6"/>
  <c r="DU11" i="6"/>
  <c r="GL11" i="6"/>
  <c r="LC11" i="6"/>
  <c r="DH11" i="6"/>
  <c r="DW11" i="6"/>
  <c r="CE11" i="6"/>
  <c r="AC11" i="6"/>
  <c r="CZ11" i="6"/>
  <c r="JC11" i="6"/>
  <c r="AL11" i="6"/>
  <c r="DS11" i="6"/>
  <c r="U11" i="6"/>
  <c r="KY11" i="6"/>
  <c r="AH11" i="6"/>
  <c r="FS11" i="6"/>
  <c r="BB11" i="6"/>
  <c r="IX11" i="6"/>
  <c r="I11" i="6"/>
  <c r="EZ11" i="6"/>
  <c r="DB11" i="6"/>
  <c r="Y11" i="6"/>
  <c r="IJ11" i="6"/>
  <c r="DO11" i="6"/>
  <c r="IS11" i="6"/>
  <c r="EG11" i="6"/>
  <c r="DD11" i="6"/>
  <c r="CK11" i="6"/>
  <c r="T11" i="6"/>
  <c r="FT11" i="6"/>
  <c r="AT17" i="6"/>
  <c r="X4" i="5"/>
  <c r="AP17" i="6"/>
  <c r="G18" i="6"/>
  <c r="N21" i="2"/>
  <c r="N35" i="2"/>
  <c r="N39" i="2"/>
  <c r="N11" i="2"/>
  <c r="N50" i="2"/>
  <c r="I46" i="2"/>
  <c r="T16" i="2"/>
  <c r="K51" i="2"/>
  <c r="K46" i="2"/>
  <c r="H25" i="3"/>
  <c r="V135" i="18"/>
  <c r="AK17" i="6"/>
  <c r="D17" i="6"/>
  <c r="C17" i="6"/>
  <c r="J5" i="3"/>
  <c r="D6" i="5"/>
  <c r="D7" i="5"/>
  <c r="C5" i="6"/>
  <c r="I7" i="6"/>
  <c r="J6" i="6"/>
  <c r="W11" i="2"/>
  <c r="D11" i="6"/>
  <c r="G12" i="6"/>
  <c r="G14" i="6"/>
  <c r="C11" i="6"/>
  <c r="F6" i="5"/>
  <c r="F7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V16" i="2"/>
  <c r="J46" i="2"/>
  <c r="U16" i="2"/>
  <c r="N51" i="2"/>
  <c r="N46" i="2"/>
  <c r="N9" i="2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K6" i="6"/>
  <c r="J7" i="6"/>
  <c r="H12" i="6"/>
  <c r="H14" i="6"/>
  <c r="I12" i="6"/>
  <c r="D18" i="6"/>
  <c r="C18" i="6"/>
  <c r="L6" i="6"/>
  <c r="K7" i="6"/>
  <c r="I14" i="6"/>
  <c r="J12" i="6"/>
  <c r="M6" i="6"/>
  <c r="L7" i="6"/>
  <c r="K12" i="6"/>
  <c r="J14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Q7" i="6"/>
  <c r="R6" i="6"/>
  <c r="O14" i="6"/>
  <c r="P12" i="6"/>
  <c r="S6" i="6"/>
  <c r="R7" i="6"/>
  <c r="Q12" i="6"/>
  <c r="P14" i="6"/>
  <c r="T6" i="6"/>
  <c r="S7" i="6"/>
  <c r="Q14" i="6"/>
  <c r="R12" i="6"/>
  <c r="U6" i="6"/>
  <c r="T7" i="6"/>
  <c r="S12" i="6"/>
  <c r="R14" i="6"/>
  <c r="U7" i="6"/>
  <c r="V6" i="6"/>
  <c r="S14" i="6"/>
  <c r="T12" i="6"/>
  <c r="W6" i="6"/>
  <c r="V7" i="6"/>
  <c r="T14" i="6"/>
  <c r="U12" i="6"/>
  <c r="W7" i="6"/>
  <c r="X6" i="6"/>
  <c r="V12" i="6"/>
  <c r="U14" i="6"/>
  <c r="X7" i="6"/>
  <c r="Y6" i="6"/>
  <c r="V14" i="6"/>
  <c r="W12" i="6"/>
  <c r="Z6" i="6"/>
  <c r="Y7" i="6"/>
  <c r="W14" i="6"/>
  <c r="X12" i="6"/>
  <c r="Z7" i="6"/>
  <c r="AA6" i="6"/>
  <c r="X14" i="6"/>
  <c r="Y12" i="6"/>
  <c r="AA7" i="6"/>
  <c r="AB6" i="6"/>
  <c r="Z12" i="6"/>
  <c r="Y14" i="6"/>
  <c r="AC6" i="6"/>
  <c r="AB7" i="6"/>
  <c r="AA12" i="6"/>
  <c r="Z14" i="6"/>
  <c r="AC7" i="6"/>
  <c r="AD6" i="6"/>
  <c r="AA14" i="6"/>
  <c r="AB12" i="6"/>
  <c r="AD7" i="6"/>
  <c r="AE6" i="6"/>
  <c r="AC12" i="6"/>
  <c r="AB14" i="6"/>
  <c r="AF6" i="6"/>
  <c r="AE7" i="6"/>
  <c r="AD12" i="6"/>
  <c r="AC14" i="6"/>
  <c r="AF7" i="6"/>
  <c r="AG6" i="6"/>
  <c r="AD14" i="6"/>
  <c r="AE12" i="6"/>
  <c r="AH6" i="6"/>
  <c r="AG7" i="6"/>
  <c r="AF12" i="6"/>
  <c r="AE14" i="6"/>
  <c r="AI6" i="6"/>
  <c r="AH7" i="6"/>
  <c r="AF14" i="6"/>
  <c r="AG12" i="6"/>
  <c r="AI7" i="6"/>
  <c r="AJ6" i="6"/>
  <c r="AG14" i="6"/>
  <c r="AH12" i="6"/>
  <c r="AJ7" i="6"/>
  <c r="AK6" i="6"/>
  <c r="AH14" i="6"/>
  <c r="AI12" i="6"/>
  <c r="AL6" i="6"/>
  <c r="AK7" i="6"/>
  <c r="AI14" i="6"/>
  <c r="AJ12" i="6"/>
  <c r="AL7" i="6"/>
  <c r="AM6" i="6"/>
  <c r="AJ14" i="6"/>
  <c r="AK12" i="6"/>
  <c r="AN6" i="6"/>
  <c r="AM7" i="6"/>
  <c r="AK14" i="6"/>
  <c r="AL12" i="6"/>
  <c r="AO6" i="6"/>
  <c r="AN7" i="6"/>
  <c r="AL14" i="6"/>
  <c r="AM12" i="6"/>
  <c r="AO7" i="6"/>
  <c r="AP6" i="6"/>
  <c r="AN12" i="6"/>
  <c r="AM14" i="6"/>
  <c r="AP7" i="6"/>
  <c r="AQ6" i="6"/>
  <c r="AN14" i="6"/>
  <c r="AO12" i="6"/>
  <c r="AR6" i="6"/>
  <c r="AQ7" i="6"/>
  <c r="AP12" i="6"/>
  <c r="AO14" i="6"/>
  <c r="AR7" i="6"/>
  <c r="AS6" i="6"/>
  <c r="AQ12" i="6"/>
  <c r="AP14" i="6"/>
  <c r="AS7" i="6"/>
  <c r="AT6" i="6"/>
  <c r="AR12" i="6"/>
  <c r="AQ14" i="6"/>
  <c r="AU6" i="6"/>
  <c r="AT7" i="6"/>
  <c r="AS12" i="6"/>
  <c r="AR14" i="6"/>
  <c r="AU7" i="6"/>
  <c r="AV6" i="6"/>
  <c r="AT12" i="6"/>
  <c r="AS14" i="6"/>
  <c r="AV7" i="6"/>
  <c r="AW6" i="6"/>
  <c r="AT14" i="6"/>
  <c r="AU12" i="6"/>
  <c r="AX6" i="6"/>
  <c r="AW7" i="6"/>
  <c r="AU14" i="6"/>
  <c r="AV12" i="6"/>
  <c r="AX7" i="6"/>
  <c r="AY6" i="6"/>
  <c r="AV14" i="6"/>
  <c r="AW12" i="6"/>
  <c r="AY7" i="6"/>
  <c r="AZ6" i="6"/>
  <c r="AW14" i="6"/>
  <c r="AX12" i="6"/>
  <c r="AZ7" i="6"/>
  <c r="BA6" i="6"/>
  <c r="AY12" i="6"/>
  <c r="AX14" i="6"/>
  <c r="BA7" i="6"/>
  <c r="BB6" i="6"/>
  <c r="AZ12" i="6"/>
  <c r="AY14" i="6"/>
  <c r="BB7" i="6"/>
  <c r="BC6" i="6"/>
  <c r="AZ14" i="6"/>
  <c r="BA12" i="6"/>
  <c r="BD6" i="6"/>
  <c r="BC7" i="6"/>
  <c r="BA14" i="6"/>
  <c r="BB12" i="6"/>
  <c r="BD7" i="6"/>
  <c r="BE6" i="6"/>
  <c r="BB14" i="6"/>
  <c r="BC12" i="6"/>
  <c r="BE7" i="6"/>
  <c r="BF6" i="6"/>
  <c r="BC14" i="6"/>
  <c r="BD12" i="6"/>
  <c r="BG6" i="6"/>
  <c r="BF7" i="6"/>
  <c r="BD14" i="6"/>
  <c r="BE12" i="6"/>
  <c r="BG7" i="6"/>
  <c r="BH6" i="6"/>
  <c r="BE14" i="6"/>
  <c r="BF12" i="6"/>
  <c r="BH7" i="6"/>
  <c r="BI6" i="6"/>
  <c r="BF14" i="6"/>
  <c r="BG12" i="6"/>
  <c r="BI7" i="6"/>
  <c r="BJ6" i="6"/>
  <c r="BG14" i="6"/>
  <c r="BH12" i="6"/>
  <c r="BJ7" i="6"/>
  <c r="BK6" i="6"/>
  <c r="BI12" i="6"/>
  <c r="BH14" i="6"/>
  <c r="BK7" i="6"/>
  <c r="BL6" i="6"/>
  <c r="BI14" i="6"/>
  <c r="BJ12" i="6"/>
  <c r="BL7" i="6"/>
  <c r="BM6" i="6"/>
  <c r="BK12" i="6"/>
  <c r="BJ14" i="6"/>
  <c r="BM7" i="6"/>
  <c r="BN6" i="6"/>
  <c r="BK14" i="6"/>
  <c r="BL12" i="6"/>
  <c r="BN7" i="6"/>
  <c r="BO6" i="6"/>
  <c r="BL14" i="6"/>
  <c r="BM12" i="6"/>
  <c r="BO7" i="6"/>
  <c r="BP6" i="6"/>
  <c r="BN12" i="6"/>
  <c r="BM14" i="6"/>
  <c r="BP7" i="6"/>
  <c r="BQ6" i="6"/>
  <c r="BN14" i="6"/>
  <c r="BO12" i="6"/>
  <c r="BQ7" i="6"/>
  <c r="BR6" i="6"/>
  <c r="BO14" i="6"/>
  <c r="BP12" i="6"/>
  <c r="BR7" i="6"/>
  <c r="BS6" i="6"/>
  <c r="BQ12" i="6"/>
  <c r="BP14" i="6"/>
  <c r="BS7" i="6"/>
  <c r="BT6" i="6"/>
  <c r="BQ14" i="6"/>
  <c r="BR12" i="6"/>
  <c r="BT7" i="6"/>
  <c r="BU6" i="6"/>
  <c r="BS12" i="6"/>
  <c r="BR14" i="6"/>
  <c r="BU7" i="6"/>
  <c r="BV6" i="6"/>
  <c r="BS14" i="6"/>
  <c r="BT12" i="6"/>
  <c r="BV7" i="6"/>
  <c r="BW6" i="6"/>
  <c r="BU12" i="6"/>
  <c r="BT14" i="6"/>
  <c r="BW7" i="6"/>
  <c r="BX6" i="6"/>
  <c r="BU14" i="6"/>
  <c r="BV12" i="6"/>
  <c r="BX7" i="6"/>
  <c r="BY6" i="6"/>
  <c r="BW12" i="6"/>
  <c r="BV14" i="6"/>
  <c r="BY7" i="6"/>
  <c r="BZ6" i="6"/>
  <c r="BW14" i="6"/>
  <c r="BX12" i="6"/>
  <c r="BZ7" i="6"/>
  <c r="CA6" i="6"/>
  <c r="BX14" i="6"/>
  <c r="BY12" i="6"/>
  <c r="CA7" i="6"/>
  <c r="CB6" i="6"/>
  <c r="BZ12" i="6"/>
  <c r="BY14" i="6"/>
  <c r="CC6" i="6"/>
  <c r="CB7" i="6"/>
  <c r="BZ14" i="6"/>
  <c r="CA12" i="6"/>
  <c r="CD6" i="6"/>
  <c r="CC7" i="6"/>
  <c r="CA14" i="6"/>
  <c r="CB12" i="6"/>
  <c r="CD7" i="6"/>
  <c r="CE6" i="6"/>
  <c r="CB14" i="6"/>
  <c r="CC12" i="6"/>
  <c r="CE7" i="6"/>
  <c r="CF6" i="6"/>
  <c r="CC14" i="6"/>
  <c r="CD12" i="6"/>
  <c r="CF7" i="6"/>
  <c r="CG6" i="6"/>
  <c r="CE12" i="6"/>
  <c r="CD14" i="6"/>
  <c r="CG7" i="6"/>
  <c r="CH6" i="6"/>
  <c r="CF12" i="6"/>
  <c r="CE14" i="6"/>
  <c r="CH7" i="6"/>
  <c r="CI6" i="6"/>
  <c r="CG12" i="6"/>
  <c r="CF14" i="6"/>
  <c r="CI7" i="6"/>
  <c r="CJ6" i="6"/>
  <c r="CG14" i="6"/>
  <c r="CH12" i="6"/>
  <c r="CJ7" i="6"/>
  <c r="CK6" i="6"/>
  <c r="CH14" i="6"/>
  <c r="CI12" i="6"/>
  <c r="CK7" i="6"/>
  <c r="CL6" i="6"/>
  <c r="CI14" i="6"/>
  <c r="CJ12" i="6"/>
  <c r="CL7" i="6"/>
  <c r="CM6" i="6"/>
  <c r="CJ14" i="6"/>
  <c r="CK12" i="6"/>
  <c r="CM7" i="6"/>
  <c r="CN6" i="6"/>
  <c r="CL12" i="6"/>
  <c r="CK14" i="6"/>
  <c r="CN7" i="6"/>
  <c r="CO6" i="6"/>
  <c r="CM12" i="6"/>
  <c r="CL14" i="6"/>
  <c r="CO7" i="6"/>
  <c r="CP6" i="6"/>
  <c r="CN12" i="6"/>
  <c r="CM14" i="6"/>
  <c r="CP7" i="6"/>
  <c r="CQ6" i="6"/>
  <c r="CN14" i="6"/>
  <c r="CO12" i="6"/>
  <c r="CQ7" i="6"/>
  <c r="CR6" i="6"/>
  <c r="CO14" i="6"/>
  <c r="CP12" i="6"/>
  <c r="CR7" i="6"/>
  <c r="CS6" i="6"/>
  <c r="CP14" i="6"/>
  <c r="CQ12" i="6"/>
  <c r="CT6" i="6"/>
  <c r="CS7" i="6"/>
  <c r="CQ14" i="6"/>
  <c r="CR12" i="6"/>
  <c r="CT7" i="6"/>
  <c r="CU6" i="6"/>
  <c r="CR14" i="6"/>
  <c r="CS12" i="6"/>
  <c r="CU7" i="6"/>
  <c r="CV6" i="6"/>
  <c r="CS14" i="6"/>
  <c r="CT12" i="6"/>
  <c r="CV7" i="6"/>
  <c r="CW6" i="6"/>
  <c r="CU12" i="6"/>
  <c r="CT14" i="6"/>
  <c r="CW7" i="6"/>
  <c r="CX6" i="6"/>
  <c r="CU14" i="6"/>
  <c r="CV12" i="6"/>
  <c r="CY6" i="6"/>
  <c r="CX7" i="6"/>
  <c r="CV14" i="6"/>
  <c r="CW12" i="6"/>
  <c r="CY7" i="6"/>
  <c r="CZ6" i="6"/>
  <c r="CW14" i="6"/>
  <c r="CX12" i="6"/>
  <c r="CZ7" i="6"/>
  <c r="DA6" i="6"/>
  <c r="CY12" i="6"/>
  <c r="CX14" i="6"/>
  <c r="DB6" i="6"/>
  <c r="DA7" i="6"/>
  <c r="CY14" i="6"/>
  <c r="CZ12" i="6"/>
  <c r="DB7" i="6"/>
  <c r="DC6" i="6"/>
  <c r="DA12" i="6"/>
  <c r="CZ14" i="6"/>
  <c r="DC7" i="6"/>
  <c r="DD6" i="6"/>
  <c r="DB12" i="6"/>
  <c r="DA14" i="6"/>
  <c r="DD7" i="6"/>
  <c r="DE6" i="6"/>
  <c r="DC12" i="6"/>
  <c r="DB14" i="6"/>
  <c r="DE7" i="6"/>
  <c r="DF6" i="6"/>
  <c r="DD12" i="6"/>
  <c r="DC14" i="6"/>
  <c r="DF7" i="6"/>
  <c r="DG6" i="6"/>
  <c r="DE12" i="6"/>
  <c r="DD14" i="6"/>
  <c r="DG7" i="6"/>
  <c r="DH6" i="6"/>
  <c r="DE14" i="6"/>
  <c r="DF12" i="6"/>
  <c r="DH7" i="6"/>
  <c r="DI6" i="6"/>
  <c r="DF14" i="6"/>
  <c r="DG12" i="6"/>
  <c r="DI7" i="6"/>
  <c r="DJ6" i="6"/>
  <c r="DH12" i="6"/>
  <c r="DG14" i="6"/>
  <c r="DJ7" i="6"/>
  <c r="DK6" i="6"/>
  <c r="DI12" i="6"/>
  <c r="DH14" i="6"/>
  <c r="DL6" i="6"/>
  <c r="DK7" i="6"/>
  <c r="DI14" i="6"/>
  <c r="DJ12" i="6"/>
  <c r="DL7" i="6"/>
  <c r="DM6" i="6"/>
  <c r="DK12" i="6"/>
  <c r="DJ14" i="6"/>
  <c r="DN6" i="6"/>
  <c r="DM7" i="6"/>
  <c r="DK14" i="6"/>
  <c r="DL12" i="6"/>
  <c r="DN7" i="6"/>
  <c r="DO6" i="6"/>
  <c r="DM12" i="6"/>
  <c r="DL14" i="6"/>
  <c r="DO7" i="6"/>
  <c r="DP6" i="6"/>
  <c r="DN12" i="6"/>
  <c r="DM14" i="6"/>
  <c r="DP7" i="6"/>
  <c r="DQ6" i="6"/>
  <c r="DN14" i="6"/>
  <c r="DO12" i="6"/>
  <c r="DQ7" i="6"/>
  <c r="DR6" i="6"/>
  <c r="DP12" i="6"/>
  <c r="DO14" i="6"/>
  <c r="DR7" i="6"/>
  <c r="DS6" i="6"/>
  <c r="DP14" i="6"/>
  <c r="DQ12" i="6"/>
  <c r="DS7" i="6"/>
  <c r="DT6" i="6"/>
  <c r="DR12" i="6"/>
  <c r="DQ14" i="6"/>
  <c r="DU6" i="6"/>
  <c r="DT7" i="6"/>
  <c r="DS12" i="6"/>
  <c r="DR14" i="6"/>
  <c r="DU7" i="6"/>
  <c r="DV6" i="6"/>
  <c r="DS14" i="6"/>
  <c r="DT12" i="6"/>
  <c r="DV7" i="6"/>
  <c r="DW6" i="6"/>
  <c r="DT14" i="6"/>
  <c r="DU12" i="6"/>
  <c r="DW7" i="6"/>
  <c r="DX6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A7" i="6"/>
  <c r="EB6" i="6"/>
  <c r="DY14" i="6"/>
  <c r="DZ12" i="6"/>
  <c r="EB7" i="6"/>
  <c r="EC6" i="6"/>
  <c r="DZ14" i="6"/>
  <c r="EA12" i="6"/>
  <c r="EC7" i="6"/>
  <c r="ED6" i="6"/>
  <c r="EA14" i="6"/>
  <c r="EB12" i="6"/>
  <c r="ED7" i="6"/>
  <c r="EE6" i="6"/>
  <c r="EC12" i="6"/>
  <c r="EB14" i="6"/>
  <c r="EF6" i="6"/>
  <c r="EE7" i="6"/>
  <c r="ED12" i="6"/>
  <c r="EC14" i="6"/>
  <c r="EF7" i="6"/>
  <c r="EG6" i="6"/>
  <c r="ED14" i="6"/>
  <c r="EE12" i="6"/>
  <c r="EG7" i="6"/>
  <c r="EH6" i="6"/>
  <c r="EE14" i="6"/>
  <c r="EF12" i="6"/>
  <c r="EI6" i="6"/>
  <c r="EH7" i="6"/>
  <c r="EF14" i="6"/>
  <c r="EG12" i="6"/>
  <c r="EJ6" i="6"/>
  <c r="EI7" i="6"/>
  <c r="EG14" i="6"/>
  <c r="EH12" i="6"/>
  <c r="EJ7" i="6"/>
  <c r="EK6" i="6"/>
  <c r="EI12" i="6"/>
  <c r="EH14" i="6"/>
  <c r="EK7" i="6"/>
  <c r="EL6" i="6"/>
  <c r="EI14" i="6"/>
  <c r="EJ12" i="6"/>
  <c r="EL7" i="6"/>
  <c r="EM6" i="6"/>
  <c r="EK12" i="6"/>
  <c r="EJ14" i="6"/>
  <c r="EM7" i="6"/>
  <c r="EN6" i="6"/>
  <c r="EL12" i="6"/>
  <c r="EK14" i="6"/>
  <c r="EO6" i="6"/>
  <c r="EN7" i="6"/>
  <c r="EL14" i="6"/>
  <c r="EM12" i="6"/>
  <c r="EO7" i="6"/>
  <c r="EP6" i="6"/>
  <c r="EM14" i="6"/>
  <c r="EN12" i="6"/>
  <c r="EP7" i="6"/>
  <c r="EQ6" i="6"/>
  <c r="EO12" i="6"/>
  <c r="EN14" i="6"/>
  <c r="EQ7" i="6"/>
  <c r="ER6" i="6"/>
  <c r="EO14" i="6"/>
  <c r="EP12" i="6"/>
  <c r="ER7" i="6"/>
  <c r="ES6" i="6"/>
  <c r="EQ12" i="6"/>
  <c r="EP14" i="6"/>
  <c r="ES7" i="6"/>
  <c r="ET6" i="6"/>
  <c r="EQ14" i="6"/>
  <c r="ER12" i="6"/>
  <c r="EU6" i="6"/>
  <c r="ET7" i="6"/>
  <c r="ER14" i="6"/>
  <c r="ES12" i="6"/>
  <c r="EV6" i="6"/>
  <c r="EU7" i="6"/>
  <c r="ET12" i="6"/>
  <c r="ES14" i="6"/>
  <c r="EV7" i="6"/>
  <c r="EW6" i="6"/>
  <c r="ET14" i="6"/>
  <c r="EU12" i="6"/>
  <c r="EX6" i="6"/>
  <c r="EW7" i="6"/>
  <c r="EU14" i="6"/>
  <c r="EV12" i="6"/>
  <c r="EY6" i="6"/>
  <c r="EX7" i="6"/>
  <c r="EV14" i="6"/>
  <c r="EW12" i="6"/>
  <c r="EY7" i="6"/>
  <c r="EZ6" i="6"/>
  <c r="EX12" i="6"/>
  <c r="EW14" i="6"/>
  <c r="FA6" i="6"/>
  <c r="EZ7" i="6"/>
  <c r="EY12" i="6"/>
  <c r="EX14" i="6"/>
  <c r="FB6" i="6"/>
  <c r="FA7" i="6"/>
  <c r="EZ12" i="6"/>
  <c r="EY14" i="6"/>
  <c r="FB7" i="6"/>
  <c r="FC6" i="6"/>
  <c r="FA12" i="6"/>
  <c r="EZ14" i="6"/>
  <c r="FD6" i="6"/>
  <c r="FC7" i="6"/>
  <c r="FA14" i="6"/>
  <c r="FB12" i="6"/>
  <c r="FD7" i="6"/>
  <c r="FE6" i="6"/>
  <c r="FB14" i="6"/>
  <c r="FC12" i="6"/>
  <c r="FE7" i="6"/>
  <c r="FF6" i="6"/>
  <c r="FC14" i="6"/>
  <c r="FD12" i="6"/>
  <c r="FG6" i="6"/>
  <c r="FF7" i="6"/>
  <c r="FE12" i="6"/>
  <c r="FD14" i="6"/>
  <c r="FG7" i="6"/>
  <c r="FH6" i="6"/>
  <c r="FE14" i="6"/>
  <c r="FF12" i="6"/>
  <c r="FH7" i="6"/>
  <c r="FI6" i="6"/>
  <c r="FG12" i="6"/>
  <c r="FF14" i="6"/>
  <c r="FJ6" i="6"/>
  <c r="FI7" i="6"/>
  <c r="FH12" i="6"/>
  <c r="FG14" i="6"/>
  <c r="FJ7" i="6"/>
  <c r="FK6" i="6"/>
  <c r="FH14" i="6"/>
  <c r="FI12" i="6"/>
  <c r="FL6" i="6"/>
  <c r="FK7" i="6"/>
  <c r="FI14" i="6"/>
  <c r="FJ12" i="6"/>
  <c r="FM6" i="6"/>
  <c r="FL7" i="6"/>
  <c r="FK12" i="6"/>
  <c r="FJ14" i="6"/>
  <c r="FN6" i="6"/>
  <c r="FM7" i="6"/>
  <c r="FL12" i="6"/>
  <c r="FK14" i="6"/>
  <c r="FN7" i="6"/>
  <c r="FO6" i="6"/>
  <c r="FL14" i="6"/>
  <c r="FM12" i="6"/>
  <c r="FP6" i="6"/>
  <c r="FO7" i="6"/>
  <c r="FM14" i="6"/>
  <c r="FN12" i="6"/>
  <c r="FP7" i="6"/>
  <c r="FQ6" i="6"/>
  <c r="FO12" i="6"/>
  <c r="FN14" i="6"/>
  <c r="FQ7" i="6"/>
  <c r="FR6" i="6"/>
  <c r="FO14" i="6"/>
  <c r="FP12" i="6"/>
  <c r="FS6" i="6"/>
  <c r="FR7" i="6"/>
  <c r="FQ12" i="6"/>
  <c r="FP14" i="6"/>
  <c r="FT6" i="6"/>
  <c r="FS7" i="6"/>
  <c r="FR12" i="6"/>
  <c r="FQ14" i="6"/>
  <c r="FT7" i="6"/>
  <c r="FU6" i="6"/>
  <c r="FR14" i="6"/>
  <c r="FS12" i="6"/>
  <c r="FV6" i="6"/>
  <c r="FU7" i="6"/>
  <c r="FS14" i="6"/>
  <c r="FT12" i="6"/>
  <c r="FW6" i="6"/>
  <c r="FV7" i="6"/>
  <c r="FU12" i="6"/>
  <c r="FT14" i="6"/>
  <c r="FW7" i="6"/>
  <c r="FX6" i="6"/>
  <c r="FV12" i="6"/>
  <c r="FU14" i="6"/>
  <c r="FY6" i="6"/>
  <c r="FX7" i="6"/>
  <c r="FV14" i="6"/>
  <c r="FW12" i="6"/>
  <c r="FY7" i="6"/>
  <c r="FZ6" i="6"/>
  <c r="FW14" i="6"/>
  <c r="FX12" i="6"/>
  <c r="FZ7" i="6"/>
  <c r="GA6" i="6"/>
  <c r="FY12" i="6"/>
  <c r="FX14" i="6"/>
  <c r="GB6" i="6"/>
  <c r="GA7" i="6"/>
  <c r="FY14" i="6"/>
  <c r="FZ12" i="6"/>
  <c r="GB7" i="6"/>
  <c r="GC6" i="6"/>
  <c r="FZ14" i="6"/>
  <c r="GA12" i="6"/>
  <c r="GD6" i="6"/>
  <c r="GC7" i="6"/>
  <c r="GB12" i="6"/>
  <c r="GA14" i="6"/>
  <c r="GE6" i="6"/>
  <c r="GD7" i="6"/>
  <c r="GC12" i="6"/>
  <c r="GB14" i="6"/>
  <c r="GE7" i="6"/>
  <c r="GF6" i="6"/>
  <c r="GC14" i="6"/>
  <c r="GD12" i="6"/>
  <c r="GG6" i="6"/>
  <c r="GF7" i="6"/>
  <c r="GD14" i="6"/>
  <c r="GE12" i="6"/>
  <c r="GH6" i="6"/>
  <c r="GG7" i="6"/>
  <c r="GE14" i="6"/>
  <c r="GF12" i="6"/>
  <c r="GI6" i="6"/>
  <c r="GH7" i="6"/>
  <c r="GG12" i="6"/>
  <c r="GF14" i="6"/>
  <c r="GJ6" i="6"/>
  <c r="GI7" i="6"/>
  <c r="GG14" i="6"/>
  <c r="GH12" i="6"/>
  <c r="GJ7" i="6"/>
  <c r="GK6" i="6"/>
  <c r="GI12" i="6"/>
  <c r="GH14" i="6"/>
  <c r="GK7" i="6"/>
  <c r="GL6" i="6"/>
  <c r="GJ12" i="6"/>
  <c r="GI14" i="6"/>
  <c r="GM6" i="6"/>
  <c r="GL7" i="6"/>
  <c r="GJ14" i="6"/>
  <c r="GK12" i="6"/>
  <c r="GN6" i="6"/>
  <c r="GM7" i="6"/>
  <c r="GL12" i="6"/>
  <c r="GK14" i="6"/>
  <c r="GO6" i="6"/>
  <c r="GN7" i="6"/>
  <c r="GL14" i="6"/>
  <c r="GM12" i="6"/>
  <c r="GP6" i="6"/>
  <c r="GO7" i="6"/>
  <c r="GM14" i="6"/>
  <c r="GN12" i="6"/>
  <c r="GQ6" i="6"/>
  <c r="GP7" i="6"/>
  <c r="GO12" i="6"/>
  <c r="GN14" i="6"/>
  <c r="GQ7" i="6"/>
  <c r="GR6" i="6"/>
  <c r="GO14" i="6"/>
  <c r="GP12" i="6"/>
  <c r="GS6" i="6"/>
  <c r="GR7" i="6"/>
  <c r="GQ12" i="6"/>
  <c r="GP14" i="6"/>
  <c r="GT6" i="6"/>
  <c r="GS7" i="6"/>
  <c r="GR12" i="6"/>
  <c r="GQ14" i="6"/>
  <c r="GU6" i="6"/>
  <c r="GT7" i="6"/>
  <c r="GS12" i="6"/>
  <c r="GR14" i="6"/>
  <c r="GU7" i="6"/>
  <c r="GV6" i="6"/>
  <c r="GT12" i="6"/>
  <c r="GS14" i="6"/>
  <c r="GW6" i="6"/>
  <c r="GV7" i="6"/>
  <c r="GT14" i="6"/>
  <c r="GU12" i="6"/>
  <c r="GW7" i="6"/>
  <c r="GX6" i="6"/>
  <c r="GU14" i="6"/>
  <c r="GV12" i="6"/>
  <c r="GY6" i="6"/>
  <c r="GX7" i="6"/>
  <c r="GW12" i="6"/>
  <c r="GV14" i="6"/>
  <c r="GZ6" i="6"/>
  <c r="GY7" i="6"/>
  <c r="GW14" i="6"/>
  <c r="GX12" i="6"/>
  <c r="HA6" i="6"/>
  <c r="GZ7" i="6"/>
  <c r="GX14" i="6"/>
  <c r="GY12" i="6"/>
  <c r="HB6" i="6"/>
  <c r="HA7" i="6"/>
  <c r="GY14" i="6"/>
  <c r="GZ12" i="6"/>
  <c r="HC6" i="6"/>
  <c r="HB7" i="6"/>
  <c r="GZ14" i="6"/>
  <c r="HA12" i="6"/>
  <c r="HD6" i="6"/>
  <c r="HC7" i="6"/>
  <c r="HB12" i="6"/>
  <c r="HA14" i="6"/>
  <c r="HE6" i="6"/>
  <c r="HD7" i="6"/>
  <c r="HC12" i="6"/>
  <c r="HB14" i="6"/>
  <c r="HF6" i="6"/>
  <c r="HE7" i="6"/>
  <c r="HD12" i="6"/>
  <c r="HC14" i="6"/>
  <c r="HG6" i="6"/>
  <c r="HF7" i="6"/>
  <c r="HD14" i="6"/>
  <c r="HE12" i="6"/>
  <c r="HG7" i="6"/>
  <c r="HH6" i="6"/>
  <c r="HE14" i="6"/>
  <c r="HF12" i="6"/>
  <c r="HI6" i="6"/>
  <c r="HH7" i="6"/>
  <c r="HF14" i="6"/>
  <c r="HG12" i="6"/>
  <c r="HJ6" i="6"/>
  <c r="HI7" i="6"/>
  <c r="HH12" i="6"/>
  <c r="HG14" i="6"/>
  <c r="HK6" i="6"/>
  <c r="HJ7" i="6"/>
  <c r="HI12" i="6"/>
  <c r="HH14" i="6"/>
  <c r="HK7" i="6"/>
  <c r="HL6" i="6"/>
  <c r="HI14" i="6"/>
  <c r="HJ12" i="6"/>
  <c r="HL7" i="6"/>
  <c r="HM6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P7" i="6"/>
  <c r="HQ6" i="6"/>
  <c r="HN14" i="6"/>
  <c r="HO12" i="6"/>
  <c r="HR6" i="6"/>
  <c r="HQ7" i="6"/>
  <c r="HO14" i="6"/>
  <c r="HP12" i="6"/>
  <c r="HS6" i="6"/>
  <c r="HR7" i="6"/>
  <c r="HP14" i="6"/>
  <c r="HQ12" i="6"/>
  <c r="HS7" i="6"/>
  <c r="HT6" i="6"/>
  <c r="HQ14" i="6"/>
  <c r="HR12" i="6"/>
  <c r="HU6" i="6"/>
  <c r="HT7" i="6"/>
  <c r="HS12" i="6"/>
  <c r="HR14" i="6"/>
  <c r="HV6" i="6"/>
  <c r="HU7" i="6"/>
  <c r="HT12" i="6"/>
  <c r="HS14" i="6"/>
  <c r="HV7" i="6"/>
  <c r="HW6" i="6"/>
  <c r="HT14" i="6"/>
  <c r="HU12" i="6"/>
  <c r="HX6" i="6"/>
  <c r="HW7" i="6"/>
  <c r="HU14" i="6"/>
  <c r="HV12" i="6"/>
  <c r="HY6" i="6"/>
  <c r="HX7" i="6"/>
  <c r="HV14" i="6"/>
  <c r="HW12" i="6"/>
  <c r="HY7" i="6"/>
  <c r="HZ6" i="6"/>
  <c r="HW14" i="6"/>
  <c r="HX12" i="6"/>
  <c r="IA6" i="6"/>
  <c r="HZ7" i="6"/>
  <c r="HY12" i="6"/>
  <c r="HX14" i="6"/>
  <c r="IB6" i="6"/>
  <c r="IA7" i="6"/>
  <c r="HY14" i="6"/>
  <c r="HZ12" i="6"/>
  <c r="IC6" i="6"/>
  <c r="IB7" i="6"/>
  <c r="IA12" i="6"/>
  <c r="HZ14" i="6"/>
  <c r="ID6" i="6"/>
  <c r="IC7" i="6"/>
  <c r="IA14" i="6"/>
  <c r="IB12" i="6"/>
  <c r="IE6" i="6"/>
  <c r="ID7" i="6"/>
  <c r="IB14" i="6"/>
  <c r="IC12" i="6"/>
  <c r="IF6" i="6"/>
  <c r="IE7" i="6"/>
  <c r="IC14" i="6"/>
  <c r="ID12" i="6"/>
  <c r="IG6" i="6"/>
  <c r="IF7" i="6"/>
  <c r="ID14" i="6"/>
  <c r="IE12" i="6"/>
  <c r="IH6" i="6"/>
  <c r="IG7" i="6"/>
  <c r="IE14" i="6"/>
  <c r="IF12" i="6"/>
  <c r="II6" i="6"/>
  <c r="IH7" i="6"/>
  <c r="IF14" i="6"/>
  <c r="IG12" i="6"/>
  <c r="IJ6" i="6"/>
  <c r="II7" i="6"/>
  <c r="IG14" i="6"/>
  <c r="IH12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L12" i="6"/>
  <c r="IK14" i="6"/>
  <c r="IO6" i="6"/>
  <c r="IN7" i="6"/>
  <c r="IL14" i="6"/>
  <c r="IM12" i="6"/>
  <c r="IP6" i="6"/>
  <c r="IO7" i="6"/>
  <c r="IM14" i="6"/>
  <c r="IN12" i="6"/>
  <c r="IQ6" i="6"/>
  <c r="IP7" i="6"/>
  <c r="IO12" i="6"/>
  <c r="IN14" i="6"/>
  <c r="IR6" i="6"/>
  <c r="IQ7" i="6"/>
  <c r="IP12" i="6"/>
  <c r="IO14" i="6"/>
  <c r="IS6" i="6"/>
  <c r="IR7" i="6"/>
  <c r="IP14" i="6"/>
  <c r="IQ12" i="6"/>
  <c r="IS7" i="6"/>
  <c r="IT6" i="6"/>
  <c r="IR12" i="6"/>
  <c r="IQ14" i="6"/>
  <c r="IT7" i="6"/>
  <c r="IU6" i="6"/>
  <c r="IR14" i="6"/>
  <c r="IS12" i="6"/>
  <c r="IV6" i="6"/>
  <c r="IU7" i="6"/>
  <c r="IT12" i="6"/>
  <c r="IS14" i="6"/>
  <c r="IW6" i="6"/>
  <c r="IV7" i="6"/>
  <c r="IU12" i="6"/>
  <c r="IT14" i="6"/>
  <c r="IW7" i="6"/>
  <c r="IX6" i="6"/>
  <c r="IV12" i="6"/>
  <c r="IU14" i="6"/>
  <c r="IY6" i="6"/>
  <c r="IX7" i="6"/>
  <c r="IW12" i="6"/>
  <c r="IV14" i="6"/>
  <c r="IZ6" i="6"/>
  <c r="IY7" i="6"/>
  <c r="IW14" i="6"/>
  <c r="IX12" i="6"/>
  <c r="IZ7" i="6"/>
  <c r="JA6" i="6"/>
  <c r="IY12" i="6"/>
  <c r="IX14" i="6"/>
  <c r="JB6" i="6"/>
  <c r="JA7" i="6"/>
  <c r="IZ12" i="6"/>
  <c r="IY14" i="6"/>
  <c r="JC6" i="6"/>
  <c r="JB7" i="6"/>
  <c r="IZ14" i="6"/>
  <c r="JA12" i="6"/>
  <c r="JC7" i="6"/>
  <c r="JD6" i="6"/>
  <c r="JA14" i="6"/>
  <c r="JB12" i="6"/>
  <c r="JE6" i="6"/>
  <c r="JD7" i="6"/>
  <c r="JC12" i="6"/>
  <c r="JB14" i="6"/>
  <c r="JF6" i="6"/>
  <c r="JE7" i="6"/>
  <c r="JC14" i="6"/>
  <c r="JD12" i="6"/>
  <c r="JF7" i="6"/>
  <c r="JG6" i="6"/>
  <c r="JD14" i="6"/>
  <c r="JE12" i="6"/>
  <c r="JH6" i="6"/>
  <c r="JG7" i="6"/>
  <c r="JF12" i="6"/>
  <c r="JE14" i="6"/>
  <c r="JI6" i="6"/>
  <c r="JH7" i="6"/>
  <c r="JF14" i="6"/>
  <c r="JG12" i="6"/>
  <c r="JJ6" i="6"/>
  <c r="JI7" i="6"/>
  <c r="JG14" i="6"/>
  <c r="JH12" i="6"/>
  <c r="JK6" i="6"/>
  <c r="JJ7" i="6"/>
  <c r="JH14" i="6"/>
  <c r="JI12" i="6"/>
  <c r="JK7" i="6"/>
  <c r="JL6" i="6"/>
  <c r="JJ12" i="6"/>
  <c r="JI14" i="6"/>
  <c r="JL7" i="6"/>
  <c r="JM6" i="6"/>
  <c r="JJ14" i="6"/>
  <c r="JK12" i="6"/>
  <c r="JN6" i="6"/>
  <c r="JM7" i="6"/>
  <c r="JL12" i="6"/>
  <c r="JK14" i="6"/>
  <c r="JO6" i="6"/>
  <c r="JN7" i="6"/>
  <c r="JL14" i="6"/>
  <c r="JM12" i="6"/>
  <c r="JO7" i="6"/>
  <c r="JP6" i="6"/>
  <c r="JM14" i="6"/>
  <c r="JN12" i="6"/>
  <c r="JQ6" i="6"/>
  <c r="JP7" i="6"/>
  <c r="JN14" i="6"/>
  <c r="JO12" i="6"/>
  <c r="JR6" i="6"/>
  <c r="JQ7" i="6"/>
  <c r="JP12" i="6"/>
  <c r="JO14" i="6"/>
  <c r="JR7" i="6"/>
  <c r="JS6" i="6"/>
  <c r="JP14" i="6"/>
  <c r="JQ12" i="6"/>
  <c r="JT6" i="6"/>
  <c r="JS7" i="6"/>
  <c r="JR12" i="6"/>
  <c r="JQ14" i="6"/>
  <c r="JU6" i="6"/>
  <c r="JT7" i="6"/>
  <c r="JR14" i="6"/>
  <c r="JS12" i="6"/>
  <c r="JV6" i="6"/>
  <c r="JU7" i="6"/>
  <c r="JS14" i="6"/>
  <c r="JT12" i="6"/>
  <c r="JV7" i="6"/>
  <c r="JW6" i="6"/>
  <c r="JT14" i="6"/>
  <c r="JU12" i="6"/>
  <c r="JX6" i="6"/>
  <c r="JW7" i="6"/>
  <c r="JU14" i="6"/>
  <c r="JV12" i="6"/>
  <c r="JY6" i="6"/>
  <c r="JX7" i="6"/>
  <c r="JW12" i="6"/>
  <c r="JV14" i="6"/>
  <c r="JZ6" i="6"/>
  <c r="JY7" i="6"/>
  <c r="JX12" i="6"/>
  <c r="JW14" i="6"/>
  <c r="KA6" i="6"/>
  <c r="JZ7" i="6"/>
  <c r="JX14" i="6"/>
  <c r="JY12" i="6"/>
  <c r="KB6" i="6"/>
  <c r="KA7" i="6"/>
  <c r="JY14" i="6"/>
  <c r="JZ12" i="6"/>
  <c r="KC6" i="6"/>
  <c r="KB7" i="6"/>
  <c r="JZ14" i="6"/>
  <c r="KA12" i="6"/>
  <c r="KD6" i="6"/>
  <c r="KC7" i="6"/>
  <c r="KA14" i="6"/>
  <c r="KB12" i="6"/>
  <c r="KD7" i="6"/>
  <c r="KE6" i="6"/>
  <c r="KB14" i="6"/>
  <c r="KC12" i="6"/>
  <c r="KF6" i="6"/>
  <c r="KE7" i="6"/>
  <c r="KD12" i="6"/>
  <c r="KC14" i="6"/>
  <c r="KG6" i="6"/>
  <c r="KF7" i="6"/>
  <c r="KE12" i="6"/>
  <c r="KD14" i="6"/>
  <c r="KG7" i="6"/>
  <c r="KH6" i="6"/>
  <c r="KE14" i="6"/>
  <c r="KF12" i="6"/>
  <c r="KI6" i="6"/>
  <c r="KH7" i="6"/>
  <c r="KG12" i="6"/>
  <c r="KF14" i="6"/>
  <c r="KJ6" i="6"/>
  <c r="KI7" i="6"/>
  <c r="KH12" i="6"/>
  <c r="KG14" i="6"/>
  <c r="KK6" i="6"/>
  <c r="KJ7" i="6"/>
  <c r="KH14" i="6"/>
  <c r="KI12" i="6"/>
  <c r="KL6" i="6"/>
  <c r="KK7" i="6"/>
  <c r="KI14" i="6"/>
  <c r="KJ12" i="6"/>
  <c r="KM6" i="6"/>
  <c r="KL7" i="6"/>
  <c r="KK12" i="6"/>
  <c r="KJ14" i="6"/>
  <c r="KM7" i="6"/>
  <c r="KN6" i="6"/>
  <c r="KL12" i="6"/>
  <c r="KK14" i="6"/>
  <c r="KO6" i="6"/>
  <c r="KN7" i="6"/>
  <c r="KL14" i="6"/>
  <c r="KM12" i="6"/>
  <c r="KP6" i="6"/>
  <c r="KO7" i="6"/>
  <c r="KM14" i="6"/>
  <c r="KN12" i="6"/>
  <c r="KQ6" i="6"/>
  <c r="KP7" i="6"/>
  <c r="KO12" i="6"/>
  <c r="KN14" i="6"/>
  <c r="KR6" i="6"/>
  <c r="KQ7" i="6"/>
  <c r="KO14" i="6"/>
  <c r="KP12" i="6"/>
  <c r="KR7" i="6"/>
  <c r="KS6" i="6"/>
  <c r="KP14" i="6"/>
  <c r="KQ12" i="6"/>
  <c r="KT6" i="6"/>
  <c r="KS7" i="6"/>
  <c r="KR12" i="6"/>
  <c r="KQ14" i="6"/>
  <c r="KT7" i="6"/>
  <c r="KU6" i="6"/>
  <c r="KR14" i="6"/>
  <c r="KS12" i="6"/>
  <c r="KU7" i="6"/>
  <c r="KV6" i="6"/>
  <c r="KS14" i="6"/>
  <c r="KT12" i="6"/>
  <c r="KW6" i="6"/>
  <c r="KV7" i="6"/>
  <c r="KU12" i="6"/>
  <c r="KT14" i="6"/>
  <c r="KW7" i="6"/>
  <c r="KX6" i="6"/>
  <c r="KU14" i="6"/>
  <c r="KV12" i="6"/>
  <c r="KY6" i="6"/>
  <c r="KX7" i="6"/>
  <c r="KW12" i="6"/>
  <c r="KV14" i="6"/>
  <c r="KY7" i="6"/>
  <c r="KZ6" i="6"/>
  <c r="KX12" i="6"/>
  <c r="KW14" i="6"/>
  <c r="KZ7" i="6"/>
  <c r="LA6" i="6"/>
  <c r="KX14" i="6"/>
  <c r="KY12" i="6"/>
  <c r="LA7" i="6"/>
  <c r="LB6" i="6"/>
  <c r="KY14" i="6"/>
  <c r="KZ12" i="6"/>
  <c r="LC6" i="6"/>
  <c r="LB7" i="6"/>
  <c r="KZ14" i="6"/>
  <c r="LA12" i="6"/>
  <c r="LD6" i="6"/>
  <c r="LD7" i="6"/>
  <c r="LC7" i="6"/>
  <c r="LB12" i="6"/>
  <c r="LA14" i="6"/>
  <c r="LB14" i="6"/>
  <c r="LC12" i="6"/>
  <c r="LC14" i="6"/>
  <c r="LD12" i="6"/>
  <c r="LD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<sst xmlns="http://schemas.openxmlformats.org/spreadsheetml/2006/main" count="826" uniqueCount="484">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</sst>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_-[$R-1C09]* #,##0.00_-;\-[$R-1C09]* #,##0.00_-;_-[$R-1C09]* &quot;-&quot;??_-;_-@_-"/>
    <numFmt numFmtId="165" formatCode="[$-409]d\-mmm\-yyyy;@"/>
    <numFmt numFmtId="166" formatCode="&quot;R&quot;#,##0.00"/>
    <numFmt numFmtId="167" formatCode="_-[$R-1C09]* #,##0.0000_-;\-[$R-1C09]* #,##0.0000_-;_-[$R-1C09]* &quot;-&quot;??_-;_-@_-"/>
  </numFmts>
  <fonts count="6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82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5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5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5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5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5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5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5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5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5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5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5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6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6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4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4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4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4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4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4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4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4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4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4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4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4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4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4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4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164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4" fontId="11" fillId="0" borderId="47" xfId="0" applyNumberFormat="1" applyFont="1" applyBorder="1" applyAlignment="1" applyProtection="1">
      <alignment horizontal="center" vertical="center" wrapText="1"/>
      <protection locked="0"/>
    </xf>
    <xf numFmtId="166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4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4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4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4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4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4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4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4" fontId="5" fillId="13" borderId="10" xfId="0" applyNumberFormat="1" applyFont="1" applyFill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 vertical="center"/>
      <protection locked="0"/>
    </xf>
    <xf numFmtId="164" fontId="5" fillId="10" borderId="52" xfId="0" applyNumberFormat="1" applyFont="1" applyFill="1" applyBorder="1" applyAlignment="1" applyProtection="1">
      <alignment horizontal="center"/>
      <protection locked="0"/>
    </xf>
    <xf numFmtId="164" fontId="5" fillId="10" borderId="53" xfId="0" applyNumberFormat="1" applyFont="1" applyFill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4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4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4" fontId="13" fillId="11" borderId="51" xfId="0" applyNumberFormat="1" applyFont="1" applyFill="1" applyBorder="1" applyAlignment="1" applyProtection="1">
      <alignment horizontal="center"/>
      <protection locked="0"/>
    </xf>
    <xf numFmtId="164" fontId="13" fillId="11" borderId="55" xfId="0" applyNumberFormat="1" applyFont="1" applyFill="1" applyBorder="1" applyAlignment="1" applyProtection="1">
      <alignment horizontal="center"/>
      <protection locked="0"/>
    </xf>
    <xf numFmtId="164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4" fontId="13" fillId="13" borderId="53" xfId="0" applyNumberFormat="1" applyFont="1" applyFill="1" applyBorder="1" applyAlignment="1" applyProtection="1">
      <alignment horizontal="center"/>
      <protection locked="0"/>
    </xf>
    <xf numFmtId="164" fontId="13" fillId="13" borderId="51" xfId="0" applyNumberFormat="1" applyFont="1" applyFill="1" applyBorder="1" applyAlignment="1" applyProtection="1">
      <alignment horizontal="center"/>
      <protection locked="0"/>
    </xf>
    <xf numFmtId="164" fontId="13" fillId="13" borderId="52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4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4" fontId="13" fillId="13" borderId="55" xfId="0" applyNumberFormat="1" applyFont="1" applyFill="1" applyBorder="1" applyAlignment="1" applyProtection="1">
      <alignment horizontal="center"/>
      <protection locked="0"/>
    </xf>
    <xf numFmtId="164" fontId="13" fillId="0" borderId="18" xfId="0" applyNumberFormat="1" applyFont="1" applyBorder="1" applyAlignment="1" applyProtection="1">
      <alignment horizontal="center"/>
      <protection locked="0"/>
    </xf>
    <xf numFmtId="164" fontId="13" fillId="10" borderId="53" xfId="0" applyNumberFormat="1" applyFont="1" applyFill="1" applyBorder="1" applyAlignment="1" applyProtection="1">
      <alignment horizontal="center"/>
      <protection locked="0"/>
    </xf>
    <xf numFmtId="164" fontId="13" fillId="10" borderId="55" xfId="0" applyNumberFormat="1" applyFont="1" applyFill="1" applyBorder="1" applyAlignment="1" applyProtection="1">
      <alignment horizontal="center"/>
      <protection locked="0"/>
    </xf>
    <xf numFmtId="164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4" fontId="11" fillId="0" borderId="64" xfId="0" applyNumberFormat="1" applyFont="1" applyBorder="1" applyAlignment="1" applyProtection="1">
      <alignment horizontal="center" vertical="center" wrapText="1"/>
      <protection locked="0"/>
    </xf>
    <xf numFmtId="164" fontId="11" fillId="0" borderId="12" xfId="0" applyNumberFormat="1" applyFont="1" applyBorder="1" applyAlignment="1" applyProtection="1">
      <alignment horizontal="center" vertical="center" wrapText="1"/>
      <protection locked="0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4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4" fontId="23" fillId="0" borderId="39" xfId="0" applyNumberFormat="1" applyFont="1" applyBorder="1" applyAlignment="1" applyProtection="1">
      <alignment horizontal="center" vertical="center" wrapText="1"/>
      <protection locked="0"/>
    </xf>
    <xf numFmtId="164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4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44" fontId="6" fillId="0" borderId="0" xfId="3" applyFont="1" applyProtection="1">
      <protection locked="0"/>
    </xf>
    <xf numFmtId="44" fontId="6" fillId="7" borderId="0" xfId="3" applyFont="1" applyFill="1" applyProtection="1">
      <protection locked="0"/>
    </xf>
    <xf numFmtId="44" fontId="13" fillId="7" borderId="0" xfId="3" applyFont="1" applyFill="1" applyProtection="1">
      <protection locked="0"/>
    </xf>
    <xf numFmtId="44" fontId="6" fillId="10" borderId="78" xfId="3" applyFont="1" applyFill="1" applyBorder="1" applyAlignment="1" applyProtection="1">
      <alignment horizontal="center"/>
      <protection locked="0"/>
    </xf>
    <xf numFmtId="44" fontId="6" fillId="10" borderId="24" xfId="3" applyFont="1" applyFill="1" applyBorder="1" applyAlignment="1" applyProtection="1">
      <alignment horizontal="center"/>
      <protection locked="0"/>
    </xf>
    <xf numFmtId="164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4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4" fontId="5" fillId="11" borderId="55" xfId="0" applyNumberFormat="1" applyFont="1" applyFill="1" applyBorder="1" applyAlignment="1" applyProtection="1">
      <alignment horizontal="center"/>
      <protection locked="0"/>
    </xf>
    <xf numFmtId="164" fontId="5" fillId="13" borderId="51" xfId="0" applyNumberFormat="1" applyFont="1" applyFill="1" applyBorder="1" applyAlignment="1" applyProtection="1">
      <alignment horizontal="center"/>
      <protection locked="0"/>
    </xf>
    <xf numFmtId="164" fontId="5" fillId="11" borderId="51" xfId="0" applyNumberFormat="1" applyFont="1" applyFill="1" applyBorder="1" applyAlignment="1" applyProtection="1">
      <alignment horizontal="center"/>
      <protection locked="0"/>
    </xf>
    <xf numFmtId="164" fontId="5" fillId="13" borderId="55" xfId="0" applyNumberFormat="1" applyFont="1" applyFill="1" applyBorder="1" applyAlignment="1" applyProtection="1">
      <alignment horizontal="center"/>
      <protection locked="0"/>
    </xf>
    <xf numFmtId="164" fontId="5" fillId="10" borderId="51" xfId="0" applyNumberFormat="1" applyFont="1" applyFill="1" applyBorder="1" applyAlignment="1" applyProtection="1">
      <alignment horizontal="center"/>
      <protection locked="0"/>
    </xf>
    <xf numFmtId="164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4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44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4" fontId="53" fillId="11" borderId="51" xfId="0" applyNumberFormat="1" applyFont="1" applyFill="1" applyBorder="1" applyAlignment="1" applyProtection="1">
      <alignment horizontal="center"/>
      <protection locked="0"/>
    </xf>
    <xf numFmtId="164" fontId="53" fillId="11" borderId="53" xfId="0" applyNumberFormat="1" applyFont="1" applyFill="1" applyBorder="1" applyAlignment="1" applyProtection="1">
      <alignment horizontal="center"/>
      <protection locked="0"/>
    </xf>
    <xf numFmtId="164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4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6" fontId="7" fillId="6" borderId="0" xfId="0" applyNumberFormat="1" applyFont="1" applyFill="1" applyProtection="1">
      <protection locked="0"/>
    </xf>
    <xf numFmtId="44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44" fontId="6" fillId="0" borderId="0" xfId="0" applyNumberFormat="1" applyFont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6" fontId="43" fillId="9" borderId="24" xfId="0" applyNumberFormat="1" applyFont="1" applyFill="1" applyBorder="1" applyAlignment="1" applyProtection="1">
      <alignment horizontal="left" vertical="center"/>
      <protection locked="0"/>
    </xf>
    <xf numFmtId="166" fontId="43" fillId="9" borderId="25" xfId="0" applyNumberFormat="1" applyFont="1" applyFill="1" applyBorder="1" applyAlignment="1" applyProtection="1">
      <alignment horizontal="left" vertical="center"/>
      <protection locked="0"/>
    </xf>
    <xf numFmtId="166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4" fontId="7" fillId="11" borderId="13" xfId="0" applyNumberFormat="1" applyFont="1" applyFill="1" applyBorder="1" applyAlignment="1" applyProtection="1">
      <alignment horizontal="center" vertical="center"/>
      <protection locked="0"/>
    </xf>
    <xf numFmtId="164" fontId="7" fillId="11" borderId="18" xfId="0" applyNumberFormat="1" applyFont="1" applyFill="1" applyBorder="1" applyAlignment="1" applyProtection="1">
      <alignment horizontal="center" vertical="center"/>
      <protection locked="0"/>
    </xf>
    <xf numFmtId="164" fontId="7" fillId="11" borderId="14" xfId="0" applyNumberFormat="1" applyFont="1" applyFill="1" applyBorder="1" applyAlignment="1" applyProtection="1">
      <alignment horizontal="center" vertical="center"/>
      <protection locked="0"/>
    </xf>
    <xf numFmtId="164" fontId="7" fillId="11" borderId="5" xfId="0" applyNumberFormat="1" applyFont="1" applyFill="1" applyBorder="1" applyAlignment="1" applyProtection="1">
      <alignment horizontal="center" vertical="center"/>
      <protection locked="0"/>
    </xf>
    <xf numFmtId="164" fontId="7" fillId="11" borderId="0" xfId="0" applyNumberFormat="1" applyFont="1" applyFill="1" applyAlignment="1" applyProtection="1">
      <alignment horizontal="center" vertical="center"/>
      <protection locked="0"/>
    </xf>
    <xf numFmtId="164" fontId="7" fillId="11" borderId="8" xfId="0" applyNumberFormat="1" applyFont="1" applyFill="1" applyBorder="1" applyAlignment="1" applyProtection="1">
      <alignment horizontal="center" vertical="center"/>
      <protection locked="0"/>
    </xf>
    <xf numFmtId="164" fontId="7" fillId="10" borderId="13" xfId="0" applyNumberFormat="1" applyFont="1" applyFill="1" applyBorder="1" applyAlignment="1" applyProtection="1">
      <alignment horizontal="center" vertical="center"/>
      <protection locked="0"/>
    </xf>
    <xf numFmtId="164" fontId="7" fillId="10" borderId="18" xfId="0" applyNumberFormat="1" applyFont="1" applyFill="1" applyBorder="1" applyAlignment="1" applyProtection="1">
      <alignment horizontal="center" vertical="center"/>
      <protection locked="0"/>
    </xf>
    <xf numFmtId="164" fontId="7" fillId="10" borderId="14" xfId="0" applyNumberFormat="1" applyFont="1" applyFill="1" applyBorder="1" applyAlignment="1" applyProtection="1">
      <alignment horizontal="center" vertical="center"/>
      <protection locked="0"/>
    </xf>
    <xf numFmtId="164" fontId="7" fillId="10" borderId="5" xfId="0" applyNumberFormat="1" applyFont="1" applyFill="1" applyBorder="1" applyAlignment="1" applyProtection="1">
      <alignment horizontal="center" vertical="center"/>
      <protection locked="0"/>
    </xf>
    <xf numFmtId="164" fontId="7" fillId="10" borderId="0" xfId="0" applyNumberFormat="1" applyFont="1" applyFill="1" applyAlignment="1" applyProtection="1">
      <alignment horizontal="center" vertical="center"/>
      <protection locked="0"/>
    </xf>
    <xf numFmtId="164" fontId="7" fillId="10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center" vertical="center"/>
      <protection locked="0"/>
    </xf>
    <xf numFmtId="164" fontId="5" fillId="11" borderId="18" xfId="0" applyNumberFormat="1" applyFont="1" applyFill="1" applyBorder="1" applyAlignment="1" applyProtection="1">
      <alignment horizontal="center" vertical="center"/>
      <protection locked="0"/>
    </xf>
    <xf numFmtId="164" fontId="5" fillId="11" borderId="14" xfId="0" applyNumberFormat="1" applyFont="1" applyFill="1" applyBorder="1" applyAlignment="1" applyProtection="1">
      <alignment horizontal="center" vertical="center"/>
      <protection locked="0"/>
    </xf>
    <xf numFmtId="164" fontId="5" fillId="10" borderId="13" xfId="0" applyNumberFormat="1" applyFont="1" applyFill="1" applyBorder="1" applyAlignment="1" applyProtection="1">
      <alignment horizontal="center" vertical="center"/>
      <protection locked="0"/>
    </xf>
    <xf numFmtId="164" fontId="5" fillId="10" borderId="18" xfId="0" applyNumberFormat="1" applyFont="1" applyFill="1" applyBorder="1" applyAlignment="1" applyProtection="1">
      <alignment horizontal="center" vertical="center"/>
      <protection locked="0"/>
    </xf>
    <xf numFmtId="164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4" fontId="7" fillId="13" borderId="13" xfId="0" applyNumberFormat="1" applyFont="1" applyFill="1" applyBorder="1" applyAlignment="1" applyProtection="1">
      <alignment horizontal="center" vertical="center"/>
      <protection locked="0"/>
    </xf>
    <xf numFmtId="164" fontId="7" fillId="13" borderId="18" xfId="0" applyNumberFormat="1" applyFont="1" applyFill="1" applyBorder="1" applyAlignment="1" applyProtection="1">
      <alignment horizontal="center" vertical="center"/>
      <protection locked="0"/>
    </xf>
    <xf numFmtId="164" fontId="7" fillId="13" borderId="14" xfId="0" applyNumberFormat="1" applyFont="1" applyFill="1" applyBorder="1" applyAlignment="1" applyProtection="1">
      <alignment horizontal="center" vertical="center"/>
      <protection locked="0"/>
    </xf>
    <xf numFmtId="164" fontId="7" fillId="13" borderId="5" xfId="0" applyNumberFormat="1" applyFont="1" applyFill="1" applyBorder="1" applyAlignment="1" applyProtection="1">
      <alignment horizontal="center" vertical="center"/>
      <protection locked="0"/>
    </xf>
    <xf numFmtId="164" fontId="7" fillId="13" borderId="0" xfId="0" applyNumberFormat="1" applyFont="1" applyFill="1" applyAlignment="1" applyProtection="1">
      <alignment horizontal="center" vertical="center"/>
      <protection locked="0"/>
    </xf>
    <xf numFmtId="164" fontId="7" fillId="13" borderId="8" xfId="0" applyNumberFormat="1" applyFont="1" applyFill="1" applyBorder="1" applyAlignment="1" applyProtection="1">
      <alignment horizontal="center" vertical="center"/>
      <protection locked="0"/>
    </xf>
    <xf numFmtId="164" fontId="7" fillId="11" borderId="4" xfId="0" applyNumberFormat="1" applyFont="1" applyFill="1" applyBorder="1" applyAlignment="1" applyProtection="1">
      <alignment horizontal="center" vertical="center"/>
      <protection locked="0"/>
    </xf>
    <xf numFmtId="164" fontId="7" fillId="11" borderId="44" xfId="0" applyNumberFormat="1" applyFont="1" applyFill="1" applyBorder="1" applyAlignment="1" applyProtection="1">
      <alignment horizontal="center" vertical="center"/>
      <protection locked="0"/>
    </xf>
    <xf numFmtId="164" fontId="7" fillId="11" borderId="7" xfId="0" applyNumberFormat="1" applyFont="1" applyFill="1" applyBorder="1" applyAlignment="1" applyProtection="1">
      <alignment horizontal="center" vertical="center"/>
      <protection locked="0"/>
    </xf>
    <xf numFmtId="164" fontId="7" fillId="11" borderId="6" xfId="0" applyNumberFormat="1" applyFont="1" applyFill="1" applyBorder="1" applyAlignment="1" applyProtection="1">
      <alignment horizontal="center" vertical="center"/>
      <protection locked="0"/>
    </xf>
    <xf numFmtId="164" fontId="7" fillId="11" borderId="50" xfId="0" applyNumberFormat="1" applyFont="1" applyFill="1" applyBorder="1" applyAlignment="1" applyProtection="1">
      <alignment horizontal="center" vertical="center"/>
      <protection locked="0"/>
    </xf>
    <xf numFmtId="164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4" fontId="5" fillId="13" borderId="13" xfId="0" applyNumberFormat="1" applyFont="1" applyFill="1" applyBorder="1" applyAlignment="1" applyProtection="1">
      <alignment horizontal="center" vertical="center"/>
      <protection locked="0"/>
    </xf>
    <xf numFmtId="164" fontId="5" fillId="13" borderId="18" xfId="0" applyNumberFormat="1" applyFont="1" applyFill="1" applyBorder="1" applyAlignment="1" applyProtection="1">
      <alignment horizontal="center" vertical="center"/>
      <protection locked="0"/>
    </xf>
    <xf numFmtId="164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left" vertical="center"/>
      <protection locked="0"/>
    </xf>
    <xf numFmtId="164" fontId="5" fillId="11" borderId="18" xfId="0" applyNumberFormat="1" applyFont="1" applyFill="1" applyBorder="1" applyAlignment="1" applyProtection="1">
      <alignment horizontal="left" vertical="center"/>
      <protection locked="0"/>
    </xf>
    <xf numFmtId="164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4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0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770507.27</c:v>
                </c:pt>
                <c:pt idx="56">
                  <c:v>770507.27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256628.72999999998</c:v>
                </c:pt>
                <c:pt idx="56">
                  <c:v>256628.72999999998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4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140625" defaultRowHeight="14.25" x14ac:dyDescent="0.15"/>
  <cols>
    <col min="1" max="1" width="9.4140625" style="64"/>
    <col min="2" max="2" width="84.48046875" style="65" bestFit="1" customWidth="1"/>
    <col min="3" max="3" width="18.96484375" style="24" customWidth="1"/>
    <col min="4" max="4" width="13.44921875" style="70" customWidth="1"/>
    <col min="5" max="5" width="17.484375" style="24" customWidth="1"/>
    <col min="6" max="6" width="18.4296875" style="24" customWidth="1"/>
    <col min="7" max="7" width="5.109375" style="24" bestFit="1" customWidth="1"/>
    <col min="8" max="8" width="20.4453125" style="24" bestFit="1" customWidth="1"/>
    <col min="9" max="9" width="3.359375" style="24" customWidth="1"/>
    <col min="10" max="10" width="47.484375" style="24" bestFit="1" customWidth="1"/>
    <col min="11" max="11" width="6.45703125" style="3" customWidth="1"/>
    <col min="12" max="12" width="14.390625" style="24" customWidth="1"/>
    <col min="13" max="16384" width="9.4140625" style="24"/>
  </cols>
  <sheetData>
    <row r="1" spans="1:59" s="3" customFormat="1" x14ac:dyDescent="0.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" x14ac:dyDescent="0.1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 x14ac:dyDescent="0.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x14ac:dyDescent="0.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 x14ac:dyDescent="0.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 x14ac:dyDescent="0.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 x14ac:dyDescent="0.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 x14ac:dyDescent="0.15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 x14ac:dyDescent="0.15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 x14ac:dyDescent="0.15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 x14ac:dyDescent="0.15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 x14ac:dyDescent="0.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 x14ac:dyDescent="0.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 x14ac:dyDescent="0.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 x14ac:dyDescent="0.15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 x14ac:dyDescent="0.15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 x14ac:dyDescent="0.15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x14ac:dyDescent="0.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 x14ac:dyDescent="0.15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 x14ac:dyDescent="0.15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x14ac:dyDescent="0.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x14ac:dyDescent="0.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 x14ac:dyDescent="0.15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x14ac:dyDescent="0.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 x14ac:dyDescent="0.15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 x14ac:dyDescent="0.15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 x14ac:dyDescent="0.15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 x14ac:dyDescent="0.15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 x14ac:dyDescent="0.15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x14ac:dyDescent="0.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 x14ac:dyDescent="0.15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 x14ac:dyDescent="0.15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 x14ac:dyDescent="0.15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 x14ac:dyDescent="0.15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x14ac:dyDescent="0.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 x14ac:dyDescent="0.15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 x14ac:dyDescent="0.15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x14ac:dyDescent="0.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 x14ac:dyDescent="0.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 x14ac:dyDescent="0.15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 x14ac:dyDescent="0.15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 x14ac:dyDescent="0.15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 x14ac:dyDescent="0.15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 x14ac:dyDescent="0.15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 x14ac:dyDescent="0.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" thickBot="1" x14ac:dyDescent="0.2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 x14ac:dyDescent="0.15">
      <c r="C47" s="66">
        <v>43831</v>
      </c>
      <c r="D47" s="723" t="s">
        <v>57</v>
      </c>
      <c r="E47" s="723"/>
      <c r="F47" s="724"/>
      <c r="G47" s="67"/>
      <c r="I47" s="68"/>
      <c r="J47" s="68"/>
    </row>
    <row r="48" spans="1:49" ht="15" thickBot="1" x14ac:dyDescent="0.2">
      <c r="C48" s="69">
        <v>44014</v>
      </c>
      <c r="D48" s="725"/>
      <c r="E48" s="725"/>
      <c r="F48" s="72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140625" defaultRowHeight="15" x14ac:dyDescent="0.2"/>
  <cols>
    <col min="1" max="1" width="7.3984375" customWidth="1"/>
    <col min="2" max="2" width="37.80078125" customWidth="1"/>
    <col min="3" max="3" width="9.4140625" bestFit="1" customWidth="1"/>
    <col min="4" max="4" width="12.10546875" bestFit="1" customWidth="1"/>
    <col min="5" max="5" width="10.35546875" customWidth="1"/>
    <col min="6" max="6" width="33.8984375" customWidth="1"/>
  </cols>
  <sheetData>
    <row r="1" spans="2:10" ht="15.75" thickBot="1" x14ac:dyDescent="0.25"/>
    <row r="2" spans="2:10" ht="16.5" thickTop="1" thickBot="1" x14ac:dyDescent="0.25">
      <c r="B2" s="727" t="s">
        <v>58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 x14ac:dyDescent="0.2"/>
    <row r="4" spans="2:10" x14ac:dyDescent="0.2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 x14ac:dyDescent="0.2">
      <c r="B5" s="74" t="s">
        <v>64</v>
      </c>
      <c r="C5" s="76"/>
      <c r="D5" s="76"/>
      <c r="E5" s="76"/>
      <c r="F5" s="71"/>
    </row>
    <row r="6" spans="2:10" x14ac:dyDescent="0.2">
      <c r="B6" s="74" t="s">
        <v>65</v>
      </c>
      <c r="C6" s="76"/>
      <c r="D6" s="76"/>
      <c r="E6" s="76"/>
      <c r="F6" s="71"/>
    </row>
    <row r="7" spans="2:10" x14ac:dyDescent="0.2">
      <c r="B7" s="74" t="s">
        <v>66</v>
      </c>
      <c r="C7" s="76"/>
      <c r="D7" s="76"/>
      <c r="E7" s="76"/>
      <c r="F7" s="71"/>
    </row>
    <row r="8" spans="2:10" x14ac:dyDescent="0.2">
      <c r="B8" s="74" t="s">
        <v>67</v>
      </c>
      <c r="C8" s="76"/>
      <c r="D8" s="76"/>
      <c r="E8" s="76"/>
      <c r="F8" s="71"/>
    </row>
    <row r="9" spans="2:10" x14ac:dyDescent="0.2">
      <c r="B9" s="75" t="s">
        <v>68</v>
      </c>
      <c r="C9" s="75"/>
      <c r="D9" s="75"/>
      <c r="E9" s="75"/>
      <c r="F9" s="71"/>
    </row>
    <row r="10" spans="2:10" x14ac:dyDescent="0.2">
      <c r="B10" s="75"/>
      <c r="C10" s="75"/>
      <c r="D10" s="75"/>
      <c r="E10" s="75"/>
      <c r="F10" s="71"/>
    </row>
    <row r="11" spans="2:10" x14ac:dyDescent="0.2">
      <c r="B11" s="75"/>
      <c r="C11" s="75"/>
      <c r="D11" s="75"/>
      <c r="E11" s="75"/>
      <c r="F11" s="71"/>
    </row>
    <row r="12" spans="2:10" x14ac:dyDescent="0.2">
      <c r="B12" s="75"/>
      <c r="C12" s="75"/>
      <c r="D12" s="75"/>
      <c r="E12" s="75"/>
      <c r="F12" s="71"/>
    </row>
    <row r="13" spans="2:10" x14ac:dyDescent="0.2">
      <c r="B13" s="75"/>
      <c r="C13" s="75"/>
      <c r="D13" s="75"/>
      <c r="E13" s="75"/>
      <c r="F13" s="71"/>
    </row>
    <row r="14" spans="2:10" x14ac:dyDescent="0.2">
      <c r="B14" s="75"/>
      <c r="C14" s="75"/>
      <c r="D14" s="75"/>
      <c r="E14" s="75"/>
      <c r="F14" s="71"/>
    </row>
    <row r="15" spans="2:10" ht="15.75" thickBot="1" x14ac:dyDescent="0.25"/>
    <row r="16" spans="2:10" ht="16.5" thickTop="1" thickBot="1" x14ac:dyDescent="0.25">
      <c r="B16" s="727" t="s">
        <v>69</v>
      </c>
      <c r="C16" s="728"/>
      <c r="D16" s="728"/>
      <c r="E16" s="728"/>
      <c r="F16" s="729"/>
    </row>
    <row r="17" spans="2:6" ht="15.75" thickTop="1" x14ac:dyDescent="0.2"/>
    <row r="18" spans="2:6" x14ac:dyDescent="0.2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 x14ac:dyDescent="0.2">
      <c r="B19" s="74" t="s">
        <v>70</v>
      </c>
      <c r="C19" s="76"/>
      <c r="D19" s="76"/>
      <c r="E19" s="76"/>
      <c r="F19" s="71"/>
    </row>
    <row r="20" spans="2:6" x14ac:dyDescent="0.2">
      <c r="B20" s="74" t="s">
        <v>71</v>
      </c>
      <c r="C20" s="76"/>
      <c r="D20" s="76"/>
      <c r="E20" s="76"/>
      <c r="F20" s="71"/>
    </row>
    <row r="21" spans="2:6" x14ac:dyDescent="0.2">
      <c r="B21" s="74" t="s">
        <v>72</v>
      </c>
      <c r="C21" s="76"/>
      <c r="D21" s="76"/>
      <c r="E21" s="76"/>
      <c r="F21" s="71"/>
    </row>
    <row r="22" spans="2:6" x14ac:dyDescent="0.2">
      <c r="B22" s="74"/>
      <c r="C22" s="76"/>
      <c r="D22" s="76"/>
      <c r="E22" s="76"/>
      <c r="F22" s="71"/>
    </row>
    <row r="23" spans="2:6" x14ac:dyDescent="0.2">
      <c r="B23" s="75"/>
      <c r="C23" s="75"/>
      <c r="D23" s="75"/>
      <c r="E23" s="75"/>
      <c r="F23" s="71"/>
    </row>
    <row r="24" spans="2:6" x14ac:dyDescent="0.2">
      <c r="B24" s="75"/>
      <c r="C24" s="75"/>
      <c r="D24" s="75"/>
      <c r="E24" s="75"/>
      <c r="F24" s="71"/>
    </row>
    <row r="25" spans="2:6" x14ac:dyDescent="0.2">
      <c r="B25" s="75"/>
      <c r="C25" s="75"/>
      <c r="D25" s="75"/>
      <c r="E25" s="75"/>
      <c r="F25" s="71"/>
    </row>
    <row r="26" spans="2:6" x14ac:dyDescent="0.2">
      <c r="B26" s="75"/>
      <c r="C26" s="75"/>
      <c r="D26" s="75"/>
      <c r="E26" s="75"/>
      <c r="F26" s="71"/>
    </row>
    <row r="27" spans="2:6" x14ac:dyDescent="0.2">
      <c r="B27" s="75"/>
      <c r="C27" s="75"/>
      <c r="D27" s="75"/>
      <c r="E27" s="75"/>
      <c r="F27" s="71"/>
    </row>
    <row r="28" spans="2:6" x14ac:dyDescent="0.2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E8" sqref="E8:E9"/>
    </sheetView>
  </sheetViews>
  <sheetFormatPr defaultColWidth="8.47265625" defaultRowHeight="14.25" x14ac:dyDescent="0.15"/>
  <cols>
    <col min="1" max="1" width="1.4765625" style="112" customWidth="1"/>
    <col min="2" max="2" width="6.45703125" style="172" bestFit="1" customWidth="1"/>
    <col min="3" max="3" width="50.578125" style="24" bestFit="1" customWidth="1"/>
    <col min="4" max="4" width="3.359375" style="112" customWidth="1"/>
    <col min="5" max="5" width="14.52734375" style="24" customWidth="1"/>
    <col min="6" max="6" width="10.35546875" style="169" customWidth="1"/>
    <col min="7" max="7" width="13.5859375" style="64" customWidth="1"/>
    <col min="8" max="8" width="2.82421875" style="112" customWidth="1"/>
    <col min="9" max="9" width="13.44921875" style="112" customWidth="1"/>
    <col min="10" max="10" width="11.43359375" style="113" customWidth="1"/>
    <col min="11" max="11" width="14.52734375" style="112" customWidth="1"/>
    <col min="12" max="12" width="2.41796875" style="112" customWidth="1"/>
    <col min="13" max="13" width="12.10546875" style="112" customWidth="1"/>
    <col min="14" max="14" width="12.10546875" style="667" customWidth="1"/>
    <col min="15" max="15" width="39.4140625" style="112" bestFit="1" customWidth="1"/>
    <col min="16" max="16" width="1.4765625" style="112" customWidth="1"/>
    <col min="17" max="17" width="5.109375" style="3" customWidth="1"/>
    <col min="18" max="18" width="8.47265625" style="112"/>
    <col min="19" max="19" width="18.16015625" style="112" bestFit="1" customWidth="1"/>
    <col min="20" max="20" width="11.43359375" style="112" bestFit="1" customWidth="1"/>
    <col min="21" max="21" width="14.125" style="112" bestFit="1" customWidth="1"/>
    <col min="22" max="22" width="11.43359375" style="112" bestFit="1" customWidth="1"/>
    <col min="23" max="23" width="21.7890625" style="112" bestFit="1" customWidth="1"/>
    <col min="24" max="25" width="11.02734375" style="112" bestFit="1" customWidth="1"/>
    <col min="26" max="16384" width="8.47265625" style="24"/>
  </cols>
  <sheetData>
    <row r="1" spans="2:28" s="112" customFormat="1" ht="4.5" customHeight="1" x14ac:dyDescent="0.15">
      <c r="B1" s="168"/>
      <c r="F1" s="169"/>
      <c r="G1" s="113"/>
      <c r="J1" s="113"/>
      <c r="N1" s="665">
        <f ca="1">TODAY()</f>
        <v>46065</v>
      </c>
      <c r="O1" s="404">
        <f ca="1">TODAY()</f>
        <v>46065</v>
      </c>
      <c r="Q1" s="3"/>
    </row>
    <row r="2" spans="2:28" x14ac:dyDescent="0.15">
      <c r="B2" s="177"/>
      <c r="C2" s="178" t="s">
        <v>0</v>
      </c>
      <c r="D2" s="179"/>
      <c r="E2" s="730" t="s">
        <v>73</v>
      </c>
      <c r="F2" s="731"/>
      <c r="G2" s="731"/>
      <c r="H2" s="732"/>
      <c r="M2" s="118"/>
      <c r="N2" s="666"/>
      <c r="O2" s="405">
        <v>1</v>
      </c>
    </row>
    <row r="3" spans="2:28" s="112" customFormat="1" x14ac:dyDescent="0.15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 x14ac:dyDescent="0.15">
      <c r="B4" s="180"/>
      <c r="C4" s="181" t="s">
        <v>75</v>
      </c>
      <c r="D4" s="179"/>
      <c r="E4" s="733" t="s">
        <v>76</v>
      </c>
      <c r="F4" s="734"/>
      <c r="G4" s="734"/>
      <c r="H4" s="735"/>
      <c r="J4" s="623"/>
      <c r="K4" s="624"/>
      <c r="M4" s="121"/>
      <c r="N4" s="668"/>
      <c r="Q4" s="3"/>
    </row>
    <row r="5" spans="2:28" s="112" customFormat="1" x14ac:dyDescent="0.15">
      <c r="B5" s="180"/>
      <c r="C5" s="181" t="s">
        <v>77</v>
      </c>
      <c r="D5" s="179"/>
      <c r="E5" s="733" t="s">
        <v>78</v>
      </c>
      <c r="F5" s="734"/>
      <c r="G5" s="734"/>
      <c r="H5" s="735"/>
      <c r="J5" s="113"/>
      <c r="M5" s="682"/>
      <c r="N5" s="666"/>
      <c r="Q5" s="3"/>
    </row>
    <row r="6" spans="2:28" x14ac:dyDescent="0.15">
      <c r="B6" s="185"/>
      <c r="C6" s="186" t="s">
        <v>79</v>
      </c>
      <c r="D6" s="179"/>
      <c r="E6" s="736">
        <v>1027136</v>
      </c>
      <c r="F6" s="737"/>
      <c r="G6" s="737"/>
      <c r="H6" s="738"/>
    </row>
    <row r="7" spans="2:28" s="112" customFormat="1" x14ac:dyDescent="0.15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 x14ac:dyDescent="0.15">
      <c r="B8" s="742" t="s">
        <v>82</v>
      </c>
      <c r="C8" s="743" t="s">
        <v>83</v>
      </c>
      <c r="D8" s="216"/>
      <c r="E8" s="741" t="s">
        <v>84</v>
      </c>
      <c r="F8" s="238" t="s">
        <v>85</v>
      </c>
      <c r="G8" s="741" t="s">
        <v>86</v>
      </c>
      <c r="H8" s="239"/>
      <c r="I8" s="741" t="s">
        <v>87</v>
      </c>
      <c r="J8" s="238" t="s">
        <v>85</v>
      </c>
      <c r="K8" s="741" t="s">
        <v>88</v>
      </c>
      <c r="M8" s="411" t="s">
        <v>60</v>
      </c>
      <c r="N8" s="683" t="s">
        <v>89</v>
      </c>
      <c r="O8" s="739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 x14ac:dyDescent="0.15">
      <c r="B9" s="742"/>
      <c r="C9" s="743"/>
      <c r="D9" s="216"/>
      <c r="E9" s="741"/>
      <c r="F9" s="126">
        <f>G41-E19</f>
        <v>26</v>
      </c>
      <c r="G9" s="741"/>
      <c r="H9" s="239"/>
      <c r="I9" s="741"/>
      <c r="J9" s="127">
        <f>K41-I19</f>
        <v>34</v>
      </c>
      <c r="K9" s="741"/>
      <c r="M9" s="363">
        <f ca="1">AVERAGE(M11,M18,M21,M28,M35,M39,M46,M43)</f>
        <v>1</v>
      </c>
      <c r="N9" s="363">
        <f ca="1">AVERAGE(N11,N18,N21,N28,N35,N39,N46,N43)</f>
        <v>1</v>
      </c>
      <c r="O9" s="740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 x14ac:dyDescent="0.15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46065</v>
      </c>
      <c r="Y10" s="664">
        <f ca="1">X10</f>
        <v>46065</v>
      </c>
    </row>
    <row r="11" spans="2:28" s="114" customFormat="1" x14ac:dyDescent="0.15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 x14ac:dyDescent="0.15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 x14ac:dyDescent="0.15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 x14ac:dyDescent="0.15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 x14ac:dyDescent="0.15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 x14ac:dyDescent="0.15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 x14ac:dyDescent="0.15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x14ac:dyDescent="0.15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x14ac:dyDescent="0.15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 x14ac:dyDescent="0.15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 x14ac:dyDescent="0.15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x14ac:dyDescent="0.15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x14ac:dyDescent="0.15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x14ac:dyDescent="0.15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x14ac:dyDescent="0.15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x14ac:dyDescent="0.15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 x14ac:dyDescent="0.15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 x14ac:dyDescent="0.15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 x14ac:dyDescent="0.15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x14ac:dyDescent="0.15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x14ac:dyDescent="0.15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x14ac:dyDescent="0.15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5" x14ac:dyDescent="0.2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 x14ac:dyDescent="0.15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 x14ac:dyDescent="0.15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x14ac:dyDescent="0.15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x14ac:dyDescent="0.15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 x14ac:dyDescent="0.15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 x14ac:dyDescent="0.15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x14ac:dyDescent="0.15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x14ac:dyDescent="0.15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 x14ac:dyDescent="0.15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 x14ac:dyDescent="0.15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x14ac:dyDescent="0.15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 x14ac:dyDescent="0.15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 x14ac:dyDescent="0.15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x14ac:dyDescent="0.15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x14ac:dyDescent="0.15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 x14ac:dyDescent="0.15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 x14ac:dyDescent="0.15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 x14ac:dyDescent="0.15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 x14ac:dyDescent="0.15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 x14ac:dyDescent="0.15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 x14ac:dyDescent="0.15">
      <c r="B54" s="170"/>
      <c r="E54" s="171"/>
      <c r="F54" s="109"/>
      <c r="J54" s="109"/>
      <c r="N54" s="2"/>
    </row>
    <row r="55" spans="2:28" x14ac:dyDescent="0.15">
      <c r="B55" s="168"/>
      <c r="C55" s="112"/>
      <c r="E55" s="112"/>
      <c r="G55" s="113"/>
    </row>
    <row r="56" spans="2:28" x14ac:dyDescent="0.15">
      <c r="B56" s="168"/>
      <c r="C56" s="112"/>
      <c r="E56" s="112"/>
      <c r="G56" s="113"/>
    </row>
    <row r="57" spans="2:28" x14ac:dyDescent="0.15">
      <c r="B57" s="168"/>
      <c r="C57" s="112"/>
      <c r="E57" s="112"/>
      <c r="G57" s="113"/>
    </row>
    <row r="58" spans="2:28" x14ac:dyDescent="0.15">
      <c r="B58" s="168"/>
      <c r="C58" s="112"/>
      <c r="E58" s="112"/>
      <c r="G58" s="113"/>
    </row>
    <row r="59" spans="2:28" x14ac:dyDescent="0.15">
      <c r="B59" s="168"/>
      <c r="C59" s="112"/>
      <c r="E59" s="112"/>
      <c r="G59" s="113"/>
    </row>
    <row r="60" spans="2:28" x14ac:dyDescent="0.15">
      <c r="B60" s="168"/>
      <c r="C60" s="112"/>
      <c r="E60" s="112"/>
      <c r="G60" s="113"/>
    </row>
    <row r="61" spans="2:28" x14ac:dyDescent="0.15">
      <c r="B61" s="168"/>
      <c r="C61" s="112"/>
      <c r="E61" s="112"/>
      <c r="G61" s="113"/>
    </row>
    <row r="62" spans="2:28" x14ac:dyDescent="0.15">
      <c r="B62" s="168"/>
      <c r="C62" s="112"/>
      <c r="E62" s="112"/>
      <c r="G62" s="113"/>
    </row>
    <row r="63" spans="2:28" x14ac:dyDescent="0.15">
      <c r="B63" s="168"/>
      <c r="C63" s="112"/>
      <c r="E63" s="112"/>
      <c r="G63" s="113"/>
    </row>
    <row r="64" spans="2:28" x14ac:dyDescent="0.15">
      <c r="B64" s="168"/>
      <c r="C64" s="112"/>
      <c r="E64" s="112"/>
      <c r="G64" s="113"/>
    </row>
    <row r="65" spans="2:7" x14ac:dyDescent="0.15">
      <c r="B65" s="168"/>
      <c r="C65" s="112"/>
      <c r="E65" s="112"/>
      <c r="G65" s="113"/>
    </row>
    <row r="66" spans="2:7" x14ac:dyDescent="0.15">
      <c r="B66" s="168"/>
      <c r="C66" s="112"/>
      <c r="E66" s="112"/>
      <c r="G66" s="113"/>
    </row>
    <row r="67" spans="2:7" x14ac:dyDescent="0.15">
      <c r="B67" s="168"/>
      <c r="C67" s="112"/>
      <c r="E67" s="112"/>
      <c r="G67" s="113"/>
    </row>
    <row r="68" spans="2:7" x14ac:dyDescent="0.15">
      <c r="B68" s="168"/>
      <c r="C68" s="112"/>
      <c r="E68" s="112"/>
      <c r="G68" s="113"/>
    </row>
    <row r="69" spans="2:7" x14ac:dyDescent="0.15">
      <c r="B69" s="168"/>
      <c r="C69" s="112"/>
      <c r="E69" s="112"/>
      <c r="G69" s="113"/>
    </row>
    <row r="70" spans="2:7" x14ac:dyDescent="0.15">
      <c r="B70" s="168"/>
      <c r="C70" s="112"/>
      <c r="E70" s="112"/>
      <c r="G70" s="113"/>
    </row>
    <row r="71" spans="2:7" x14ac:dyDescent="0.15">
      <c r="B71" s="168"/>
      <c r="C71" s="112"/>
      <c r="E71" s="112"/>
      <c r="G71" s="113"/>
    </row>
    <row r="72" spans="2:7" x14ac:dyDescent="0.15">
      <c r="B72" s="168"/>
      <c r="C72" s="112"/>
      <c r="E72" s="112"/>
      <c r="G72" s="113"/>
    </row>
    <row r="73" spans="2:7" x14ac:dyDescent="0.15">
      <c r="B73" s="168"/>
      <c r="C73" s="112"/>
      <c r="E73" s="112"/>
      <c r="G73" s="113"/>
    </row>
    <row r="74" spans="2:7" x14ac:dyDescent="0.15">
      <c r="B74" s="168"/>
      <c r="C74" s="112"/>
      <c r="E74" s="112"/>
      <c r="G74" s="113"/>
    </row>
    <row r="75" spans="2:7" x14ac:dyDescent="0.15">
      <c r="B75" s="168"/>
      <c r="C75" s="112"/>
      <c r="E75" s="112"/>
      <c r="G75" s="113"/>
    </row>
    <row r="76" spans="2:7" x14ac:dyDescent="0.15">
      <c r="B76" s="168"/>
      <c r="C76" s="112"/>
      <c r="E76" s="112"/>
      <c r="G76" s="113"/>
    </row>
    <row r="77" spans="2:7" x14ac:dyDescent="0.15">
      <c r="B77" s="168"/>
      <c r="C77" s="112"/>
      <c r="E77" s="112"/>
      <c r="G77" s="113"/>
    </row>
    <row r="78" spans="2:7" x14ac:dyDescent="0.15">
      <c r="B78" s="168"/>
      <c r="C78" s="112"/>
      <c r="E78" s="112"/>
      <c r="G78" s="113"/>
    </row>
    <row r="79" spans="2:7" x14ac:dyDescent="0.15">
      <c r="B79" s="168"/>
      <c r="C79" s="112"/>
      <c r="E79" s="112"/>
      <c r="G79" s="113"/>
    </row>
    <row r="80" spans="2:7" x14ac:dyDescent="0.15">
      <c r="B80" s="168"/>
      <c r="C80" s="112"/>
      <c r="E80" s="112"/>
      <c r="G80" s="113"/>
    </row>
    <row r="81" spans="2:7" x14ac:dyDescent="0.15">
      <c r="B81" s="168"/>
      <c r="C81" s="112"/>
      <c r="E81" s="112"/>
      <c r="G81" s="113"/>
    </row>
    <row r="82" spans="2:7" x14ac:dyDescent="0.15">
      <c r="B82" s="168"/>
      <c r="C82" s="112"/>
      <c r="E82" s="112"/>
      <c r="G82" s="113"/>
    </row>
    <row r="83" spans="2:7" x14ac:dyDescent="0.15">
      <c r="B83" s="168"/>
      <c r="C83" s="112"/>
      <c r="E83" s="112"/>
      <c r="G83" s="113"/>
    </row>
    <row r="84" spans="2:7" x14ac:dyDescent="0.15">
      <c r="B84" s="168"/>
      <c r="C84" s="112"/>
      <c r="E84" s="112"/>
      <c r="G84" s="113"/>
    </row>
    <row r="85" spans="2:7" x14ac:dyDescent="0.15">
      <c r="B85" s="168"/>
      <c r="C85" s="112"/>
      <c r="E85" s="112"/>
      <c r="G85" s="113"/>
    </row>
    <row r="86" spans="2:7" x14ac:dyDescent="0.15">
      <c r="B86" s="168"/>
      <c r="C86" s="112"/>
      <c r="E86" s="112"/>
      <c r="G86" s="113"/>
    </row>
    <row r="87" spans="2:7" x14ac:dyDescent="0.15">
      <c r="B87" s="168"/>
      <c r="C87" s="112"/>
      <c r="E87" s="112"/>
      <c r="G87" s="113"/>
    </row>
    <row r="88" spans="2:7" x14ac:dyDescent="0.15">
      <c r="B88" s="168"/>
      <c r="C88" s="112"/>
      <c r="E88" s="112"/>
      <c r="G88" s="113"/>
    </row>
    <row r="89" spans="2:7" x14ac:dyDescent="0.15">
      <c r="B89" s="168"/>
      <c r="C89" s="112"/>
      <c r="E89" s="112"/>
      <c r="G89" s="113"/>
    </row>
    <row r="90" spans="2:7" x14ac:dyDescent="0.15">
      <c r="B90" s="168"/>
      <c r="C90" s="112"/>
      <c r="E90" s="112"/>
      <c r="G90" s="113"/>
    </row>
    <row r="91" spans="2:7" x14ac:dyDescent="0.15">
      <c r="B91" s="168"/>
      <c r="C91" s="112"/>
      <c r="E91" s="112"/>
      <c r="G91" s="113"/>
    </row>
    <row r="92" spans="2:7" x14ac:dyDescent="0.15">
      <c r="B92" s="168"/>
      <c r="C92" s="112"/>
      <c r="E92" s="112"/>
      <c r="G92" s="113"/>
    </row>
    <row r="93" spans="2:7" x14ac:dyDescent="0.15">
      <c r="B93" s="168"/>
      <c r="C93" s="112"/>
      <c r="E93" s="112"/>
      <c r="G93" s="113"/>
    </row>
    <row r="94" spans="2:7" x14ac:dyDescent="0.15">
      <c r="B94" s="168"/>
      <c r="C94" s="112"/>
      <c r="E94" s="112"/>
      <c r="G94" s="113"/>
    </row>
    <row r="95" spans="2:7" x14ac:dyDescent="0.15">
      <c r="B95" s="168"/>
      <c r="C95" s="112"/>
      <c r="E95" s="112"/>
      <c r="G95" s="113"/>
    </row>
    <row r="96" spans="2:7" x14ac:dyDescent="0.15">
      <c r="B96" s="168"/>
      <c r="C96" s="112"/>
      <c r="E96" s="112"/>
      <c r="G96" s="113"/>
    </row>
    <row r="97" spans="2:7" x14ac:dyDescent="0.15">
      <c r="B97" s="168"/>
      <c r="C97" s="112"/>
      <c r="E97" s="112"/>
      <c r="G97" s="113"/>
    </row>
    <row r="98" spans="2:7" x14ac:dyDescent="0.15">
      <c r="B98" s="168"/>
      <c r="C98" s="112"/>
      <c r="E98" s="112"/>
      <c r="G98" s="113"/>
    </row>
    <row r="99" spans="2:7" x14ac:dyDescent="0.15">
      <c r="B99" s="168"/>
      <c r="C99" s="112"/>
      <c r="E99" s="112"/>
      <c r="G99" s="113"/>
    </row>
    <row r="100" spans="2:7" x14ac:dyDescent="0.15">
      <c r="B100" s="168"/>
      <c r="C100" s="112"/>
      <c r="E100" s="112"/>
      <c r="G100" s="113"/>
    </row>
    <row r="101" spans="2:7" x14ac:dyDescent="0.15">
      <c r="B101" s="168"/>
      <c r="C101" s="112"/>
      <c r="E101" s="112"/>
      <c r="G101" s="113"/>
    </row>
    <row r="102" spans="2:7" x14ac:dyDescent="0.15">
      <c r="B102" s="168"/>
      <c r="C102" s="112"/>
      <c r="E102" s="112"/>
      <c r="G102" s="113"/>
    </row>
    <row r="103" spans="2:7" x14ac:dyDescent="0.15">
      <c r="B103" s="168"/>
      <c r="C103" s="112"/>
      <c r="E103" s="112"/>
      <c r="G103" s="113"/>
    </row>
    <row r="104" spans="2:7" x14ac:dyDescent="0.15">
      <c r="B104" s="168"/>
      <c r="C104" s="112"/>
      <c r="E104" s="112"/>
      <c r="G104" s="113"/>
    </row>
    <row r="105" spans="2:7" x14ac:dyDescent="0.15">
      <c r="B105" s="168"/>
      <c r="C105" s="112"/>
      <c r="E105" s="112"/>
      <c r="G105" s="113"/>
    </row>
    <row r="106" spans="2:7" x14ac:dyDescent="0.15">
      <c r="B106" s="168"/>
      <c r="C106" s="112"/>
      <c r="E106" s="112"/>
      <c r="G106" s="113"/>
    </row>
    <row r="107" spans="2:7" x14ac:dyDescent="0.15">
      <c r="B107" s="168"/>
      <c r="C107" s="112"/>
      <c r="E107" s="112"/>
      <c r="G107" s="113"/>
    </row>
    <row r="108" spans="2:7" x14ac:dyDescent="0.15">
      <c r="B108" s="168"/>
      <c r="C108" s="112"/>
      <c r="E108" s="112"/>
      <c r="G108" s="113"/>
    </row>
    <row r="109" spans="2:7" x14ac:dyDescent="0.15">
      <c r="B109" s="168"/>
      <c r="C109" s="112"/>
      <c r="E109" s="112"/>
      <c r="G109" s="113"/>
    </row>
    <row r="110" spans="2:7" x14ac:dyDescent="0.15">
      <c r="B110" s="168"/>
      <c r="C110" s="112"/>
      <c r="E110" s="112"/>
      <c r="G110" s="113"/>
    </row>
    <row r="111" spans="2:7" x14ac:dyDescent="0.15">
      <c r="B111" s="168"/>
      <c r="C111" s="112"/>
      <c r="E111" s="112"/>
      <c r="G111" s="113"/>
    </row>
    <row r="112" spans="2:7" x14ac:dyDescent="0.15">
      <c r="B112" s="168"/>
      <c r="C112" s="112"/>
      <c r="E112" s="112"/>
      <c r="G112" s="113"/>
    </row>
    <row r="113" spans="2:7" x14ac:dyDescent="0.15">
      <c r="B113" s="168"/>
      <c r="C113" s="112"/>
      <c r="E113" s="112"/>
      <c r="G113" s="113"/>
    </row>
    <row r="114" spans="2:7" x14ac:dyDescent="0.15">
      <c r="B114" s="168"/>
      <c r="C114" s="112"/>
      <c r="E114" s="112"/>
      <c r="G114" s="113"/>
    </row>
    <row r="115" spans="2:7" x14ac:dyDescent="0.15">
      <c r="B115" s="168"/>
      <c r="C115" s="112"/>
      <c r="E115" s="112"/>
      <c r="G115" s="113"/>
    </row>
    <row r="116" spans="2:7" x14ac:dyDescent="0.15">
      <c r="B116" s="168"/>
      <c r="C116" s="112"/>
      <c r="E116" s="112"/>
      <c r="G116" s="113"/>
    </row>
    <row r="117" spans="2:7" x14ac:dyDescent="0.15">
      <c r="B117" s="168"/>
      <c r="C117" s="112"/>
      <c r="E117" s="112"/>
      <c r="G117" s="113"/>
    </row>
    <row r="118" spans="2:7" x14ac:dyDescent="0.15">
      <c r="B118" s="168"/>
      <c r="C118" s="112"/>
      <c r="E118" s="112"/>
      <c r="G118" s="113"/>
    </row>
    <row r="119" spans="2:7" x14ac:dyDescent="0.15">
      <c r="B119" s="168"/>
      <c r="C119" s="112"/>
      <c r="E119" s="112"/>
      <c r="G119" s="113"/>
    </row>
    <row r="120" spans="2:7" x14ac:dyDescent="0.15">
      <c r="B120" s="168"/>
      <c r="C120" s="112"/>
      <c r="E120" s="112"/>
      <c r="G120" s="113"/>
    </row>
    <row r="121" spans="2:7" x14ac:dyDescent="0.15">
      <c r="B121" s="168"/>
      <c r="C121" s="112"/>
      <c r="E121" s="112"/>
      <c r="G121" s="113"/>
    </row>
    <row r="122" spans="2:7" x14ac:dyDescent="0.15">
      <c r="B122" s="168"/>
      <c r="C122" s="112"/>
      <c r="E122" s="112"/>
      <c r="G122" s="113"/>
    </row>
    <row r="123" spans="2:7" x14ac:dyDescent="0.15">
      <c r="B123" s="168"/>
      <c r="C123" s="112"/>
      <c r="E123" s="112"/>
      <c r="G123" s="113"/>
    </row>
    <row r="124" spans="2:7" x14ac:dyDescent="0.15">
      <c r="B124" s="168"/>
      <c r="C124" s="112"/>
      <c r="E124" s="112"/>
      <c r="G124" s="113"/>
    </row>
    <row r="125" spans="2:7" x14ac:dyDescent="0.15">
      <c r="B125" s="168"/>
      <c r="C125" s="112"/>
      <c r="E125" s="112"/>
      <c r="G125" s="113"/>
    </row>
    <row r="126" spans="2:7" x14ac:dyDescent="0.15">
      <c r="B126" s="168"/>
      <c r="C126" s="112"/>
      <c r="E126" s="112"/>
      <c r="G126" s="113"/>
    </row>
    <row r="127" spans="2:7" x14ac:dyDescent="0.15">
      <c r="B127" s="168"/>
      <c r="C127" s="112"/>
      <c r="E127" s="112"/>
      <c r="G127" s="113"/>
    </row>
    <row r="128" spans="2:7" x14ac:dyDescent="0.15">
      <c r="B128" s="168"/>
      <c r="C128" s="112"/>
      <c r="E128" s="112"/>
      <c r="G128" s="113"/>
    </row>
    <row r="129" spans="2:7" x14ac:dyDescent="0.15">
      <c r="B129" s="168"/>
      <c r="C129" s="112"/>
      <c r="E129" s="112"/>
      <c r="G129" s="113"/>
    </row>
    <row r="130" spans="2:7" x14ac:dyDescent="0.15">
      <c r="B130" s="168"/>
      <c r="C130" s="112"/>
      <c r="E130" s="112"/>
      <c r="G130" s="113"/>
    </row>
    <row r="131" spans="2:7" x14ac:dyDescent="0.15">
      <c r="B131" s="168"/>
      <c r="C131" s="112"/>
      <c r="E131" s="112"/>
      <c r="G131" s="113"/>
    </row>
    <row r="132" spans="2:7" x14ac:dyDescent="0.15">
      <c r="B132" s="168"/>
      <c r="C132" s="112"/>
      <c r="E132" s="112"/>
      <c r="G132" s="113"/>
    </row>
    <row r="133" spans="2:7" x14ac:dyDescent="0.15">
      <c r="B133" s="168"/>
      <c r="C133" s="112"/>
      <c r="E133" s="112"/>
      <c r="G133" s="113"/>
    </row>
    <row r="134" spans="2:7" x14ac:dyDescent="0.15">
      <c r="B134" s="168"/>
      <c r="C134" s="112"/>
      <c r="E134" s="112"/>
      <c r="G134" s="113"/>
    </row>
    <row r="135" spans="2:7" x14ac:dyDescent="0.15">
      <c r="B135" s="168"/>
      <c r="C135" s="112"/>
      <c r="E135" s="112"/>
      <c r="G135" s="113"/>
    </row>
    <row r="136" spans="2:7" x14ac:dyDescent="0.15">
      <c r="B136" s="168"/>
      <c r="C136" s="112"/>
      <c r="E136" s="112"/>
      <c r="G136" s="113"/>
    </row>
    <row r="137" spans="2:7" x14ac:dyDescent="0.15">
      <c r="B137" s="168"/>
      <c r="C137" s="112"/>
      <c r="E137" s="112"/>
      <c r="G137" s="113"/>
    </row>
    <row r="138" spans="2:7" x14ac:dyDescent="0.15">
      <c r="B138" s="168"/>
      <c r="C138" s="112"/>
      <c r="E138" s="112"/>
      <c r="G138" s="113"/>
    </row>
    <row r="139" spans="2:7" x14ac:dyDescent="0.15">
      <c r="B139" s="168"/>
      <c r="C139" s="112"/>
      <c r="E139" s="112"/>
      <c r="G139" s="113"/>
    </row>
    <row r="140" spans="2:7" x14ac:dyDescent="0.15">
      <c r="B140" s="168"/>
      <c r="C140" s="112"/>
      <c r="E140" s="112"/>
      <c r="G140" s="113"/>
    </row>
    <row r="141" spans="2:7" x14ac:dyDescent="0.15">
      <c r="B141" s="168"/>
      <c r="C141" s="112"/>
      <c r="E141" s="112"/>
      <c r="G141" s="113"/>
    </row>
    <row r="142" spans="2:7" x14ac:dyDescent="0.15">
      <c r="B142" s="168"/>
      <c r="C142" s="112"/>
      <c r="E142" s="112"/>
      <c r="G142" s="113"/>
    </row>
    <row r="143" spans="2:7" x14ac:dyDescent="0.15">
      <c r="B143" s="168"/>
      <c r="C143" s="112"/>
      <c r="E143" s="112"/>
      <c r="G143" s="113"/>
    </row>
    <row r="144" spans="2:7" x14ac:dyDescent="0.15">
      <c r="B144" s="168"/>
      <c r="C144" s="112"/>
      <c r="E144" s="112"/>
      <c r="G144" s="113"/>
    </row>
    <row r="145" spans="2:7" x14ac:dyDescent="0.15">
      <c r="B145" s="168"/>
      <c r="C145" s="112"/>
      <c r="E145" s="112"/>
      <c r="G145" s="113"/>
    </row>
    <row r="146" spans="2:7" x14ac:dyDescent="0.15">
      <c r="B146" s="168"/>
      <c r="C146" s="112"/>
      <c r="E146" s="112"/>
      <c r="G146" s="113"/>
    </row>
    <row r="147" spans="2:7" x14ac:dyDescent="0.15">
      <c r="B147" s="168"/>
      <c r="C147" s="112"/>
      <c r="E147" s="112"/>
      <c r="G147" s="113"/>
    </row>
    <row r="148" spans="2:7" x14ac:dyDescent="0.15">
      <c r="B148" s="168"/>
      <c r="C148" s="112"/>
      <c r="E148" s="112"/>
      <c r="G148" s="113"/>
    </row>
    <row r="149" spans="2:7" x14ac:dyDescent="0.15">
      <c r="B149" s="168"/>
      <c r="C149" s="112"/>
      <c r="E149" s="112"/>
      <c r="G149" s="113"/>
    </row>
    <row r="150" spans="2:7" x14ac:dyDescent="0.15">
      <c r="B150" s="168"/>
      <c r="C150" s="112"/>
      <c r="E150" s="112"/>
      <c r="G150" s="113"/>
    </row>
    <row r="151" spans="2:7" x14ac:dyDescent="0.15">
      <c r="B151" s="168"/>
      <c r="C151" s="112"/>
      <c r="E151" s="112"/>
      <c r="G151" s="113"/>
    </row>
    <row r="152" spans="2:7" x14ac:dyDescent="0.15">
      <c r="B152" s="168"/>
      <c r="C152" s="112"/>
      <c r="E152" s="112"/>
      <c r="G152" s="113"/>
    </row>
    <row r="153" spans="2:7" x14ac:dyDescent="0.15">
      <c r="B153" s="168"/>
      <c r="C153" s="112"/>
      <c r="E153" s="112"/>
      <c r="G153" s="113"/>
    </row>
    <row r="154" spans="2:7" x14ac:dyDescent="0.15">
      <c r="B154" s="168"/>
      <c r="C154" s="112"/>
      <c r="E154" s="112"/>
      <c r="G154" s="113"/>
    </row>
    <row r="155" spans="2:7" x14ac:dyDescent="0.15">
      <c r="B155" s="168"/>
      <c r="C155" s="112"/>
      <c r="E155" s="112"/>
      <c r="G155" s="113"/>
    </row>
    <row r="156" spans="2:7" x14ac:dyDescent="0.15">
      <c r="B156" s="168"/>
      <c r="C156" s="112"/>
      <c r="E156" s="112"/>
      <c r="G156" s="113"/>
    </row>
    <row r="157" spans="2:7" x14ac:dyDescent="0.15">
      <c r="B157" s="168"/>
      <c r="C157" s="112"/>
      <c r="E157" s="112"/>
      <c r="G157" s="113"/>
    </row>
    <row r="158" spans="2:7" x14ac:dyDescent="0.15">
      <c r="B158" s="168"/>
      <c r="C158" s="112"/>
      <c r="E158" s="112"/>
      <c r="G158" s="113"/>
    </row>
    <row r="159" spans="2:7" x14ac:dyDescent="0.15">
      <c r="B159" s="168"/>
      <c r="C159" s="112"/>
      <c r="E159" s="112"/>
      <c r="G159" s="113"/>
    </row>
    <row r="160" spans="2:7" x14ac:dyDescent="0.15">
      <c r="B160" s="168"/>
      <c r="C160" s="112"/>
      <c r="E160" s="112"/>
      <c r="G160" s="113"/>
    </row>
    <row r="161" spans="2:7" x14ac:dyDescent="0.15">
      <c r="B161" s="168"/>
      <c r="C161" s="112"/>
      <c r="E161" s="112"/>
      <c r="G161" s="113"/>
    </row>
    <row r="162" spans="2:7" x14ac:dyDescent="0.15">
      <c r="B162" s="168"/>
      <c r="C162" s="112"/>
      <c r="E162" s="112"/>
      <c r="G162" s="113"/>
    </row>
    <row r="163" spans="2:7" x14ac:dyDescent="0.15">
      <c r="B163" s="168"/>
      <c r="C163" s="112"/>
      <c r="E163" s="112"/>
      <c r="G163" s="113"/>
    </row>
    <row r="164" spans="2:7" x14ac:dyDescent="0.15">
      <c r="B164" s="168"/>
      <c r="C164" s="112"/>
      <c r="E164" s="112"/>
      <c r="G164" s="113"/>
    </row>
    <row r="165" spans="2:7" x14ac:dyDescent="0.15">
      <c r="B165" s="168"/>
      <c r="C165" s="112"/>
      <c r="E165" s="112"/>
      <c r="G165" s="113"/>
    </row>
    <row r="166" spans="2:7" x14ac:dyDescent="0.15">
      <c r="B166" s="168"/>
      <c r="C166" s="112"/>
      <c r="E166" s="112"/>
      <c r="G166" s="113"/>
    </row>
    <row r="167" spans="2:7" x14ac:dyDescent="0.15">
      <c r="B167" s="168"/>
      <c r="C167" s="112"/>
      <c r="E167" s="112"/>
      <c r="G167" s="113"/>
    </row>
    <row r="168" spans="2:7" x14ac:dyDescent="0.15">
      <c r="B168" s="168"/>
      <c r="C168" s="112"/>
      <c r="E168" s="112"/>
      <c r="G168" s="113"/>
    </row>
    <row r="169" spans="2:7" x14ac:dyDescent="0.15">
      <c r="B169" s="168"/>
      <c r="C169" s="112"/>
      <c r="E169" s="112"/>
      <c r="G169" s="113"/>
    </row>
    <row r="170" spans="2:7" x14ac:dyDescent="0.15">
      <c r="B170" s="168"/>
      <c r="C170" s="112"/>
      <c r="E170" s="112"/>
      <c r="G170" s="113"/>
    </row>
    <row r="171" spans="2:7" x14ac:dyDescent="0.15">
      <c r="B171" s="168"/>
      <c r="C171" s="112"/>
      <c r="E171" s="112"/>
      <c r="G171" s="113"/>
    </row>
    <row r="172" spans="2:7" x14ac:dyDescent="0.15">
      <c r="B172" s="168"/>
      <c r="C172" s="112"/>
      <c r="E172" s="112"/>
      <c r="G172" s="113"/>
    </row>
    <row r="173" spans="2:7" x14ac:dyDescent="0.15">
      <c r="B173" s="168"/>
      <c r="C173" s="112"/>
      <c r="E173" s="112"/>
      <c r="G173" s="113"/>
    </row>
    <row r="174" spans="2:7" x14ac:dyDescent="0.15">
      <c r="B174" s="168"/>
      <c r="C174" s="112"/>
      <c r="E174" s="112"/>
      <c r="G174" s="113"/>
    </row>
    <row r="175" spans="2:7" x14ac:dyDescent="0.15">
      <c r="B175" s="168"/>
      <c r="C175" s="112"/>
      <c r="E175" s="112"/>
      <c r="G175" s="113"/>
    </row>
    <row r="176" spans="2:7" x14ac:dyDescent="0.15">
      <c r="B176" s="168"/>
      <c r="C176" s="112"/>
      <c r="E176" s="112"/>
      <c r="G176" s="113"/>
    </row>
    <row r="177" spans="2:7" x14ac:dyDescent="0.15">
      <c r="B177" s="168"/>
      <c r="C177" s="112"/>
      <c r="E177" s="112"/>
      <c r="G177" s="113"/>
    </row>
    <row r="178" spans="2:7" x14ac:dyDescent="0.15">
      <c r="B178" s="168"/>
      <c r="C178" s="112"/>
      <c r="E178" s="112"/>
      <c r="G178" s="113"/>
    </row>
    <row r="179" spans="2:7" x14ac:dyDescent="0.15">
      <c r="B179" s="168"/>
      <c r="C179" s="112"/>
      <c r="E179" s="112"/>
      <c r="G179" s="113"/>
    </row>
    <row r="180" spans="2:7" x14ac:dyDescent="0.15">
      <c r="B180" s="168"/>
      <c r="C180" s="112"/>
      <c r="E180" s="112"/>
      <c r="G180" s="113"/>
    </row>
    <row r="181" spans="2:7" x14ac:dyDescent="0.15">
      <c r="B181" s="168"/>
      <c r="C181" s="112"/>
      <c r="E181" s="112"/>
      <c r="G181" s="113"/>
    </row>
    <row r="182" spans="2:7" x14ac:dyDescent="0.15">
      <c r="B182" s="168"/>
      <c r="C182" s="112"/>
      <c r="E182" s="112"/>
      <c r="G182" s="113"/>
    </row>
    <row r="183" spans="2:7" x14ac:dyDescent="0.15">
      <c r="B183" s="168"/>
      <c r="C183" s="112"/>
      <c r="E183" s="112"/>
      <c r="G183" s="113"/>
    </row>
    <row r="184" spans="2:7" x14ac:dyDescent="0.15">
      <c r="B184" s="168"/>
      <c r="C184" s="112"/>
      <c r="E184" s="112"/>
      <c r="G184" s="113"/>
    </row>
    <row r="185" spans="2:7" x14ac:dyDescent="0.15">
      <c r="B185" s="168"/>
      <c r="C185" s="112"/>
      <c r="E185" s="112"/>
      <c r="G185" s="113"/>
    </row>
    <row r="186" spans="2:7" x14ac:dyDescent="0.15">
      <c r="B186" s="168"/>
      <c r="C186" s="112"/>
      <c r="E186" s="112"/>
      <c r="G186" s="113"/>
    </row>
    <row r="187" spans="2:7" x14ac:dyDescent="0.15">
      <c r="B187" s="168"/>
      <c r="C187" s="112"/>
      <c r="E187" s="112"/>
      <c r="G187" s="113"/>
    </row>
    <row r="188" spans="2:7" x14ac:dyDescent="0.15">
      <c r="B188" s="168"/>
      <c r="C188" s="112"/>
      <c r="E188" s="112"/>
      <c r="G188" s="113"/>
    </row>
    <row r="189" spans="2:7" x14ac:dyDescent="0.15">
      <c r="B189" s="168"/>
      <c r="C189" s="112"/>
      <c r="E189" s="112"/>
      <c r="G189" s="113"/>
    </row>
    <row r="190" spans="2:7" x14ac:dyDescent="0.15">
      <c r="B190" s="168"/>
      <c r="C190" s="112"/>
      <c r="E190" s="112"/>
      <c r="G190" s="113"/>
    </row>
    <row r="191" spans="2:7" x14ac:dyDescent="0.15">
      <c r="B191" s="168"/>
      <c r="C191" s="112"/>
      <c r="E191" s="112"/>
      <c r="G191" s="113"/>
    </row>
    <row r="192" spans="2:7" x14ac:dyDescent="0.15">
      <c r="B192" s="168"/>
      <c r="C192" s="112"/>
      <c r="E192" s="112"/>
      <c r="G192" s="113"/>
    </row>
    <row r="193" spans="2:7" x14ac:dyDescent="0.15">
      <c r="B193" s="168"/>
      <c r="C193" s="112"/>
      <c r="E193" s="112"/>
      <c r="G193" s="113"/>
    </row>
    <row r="194" spans="2:7" x14ac:dyDescent="0.15">
      <c r="B194" s="168"/>
      <c r="C194" s="112"/>
      <c r="E194" s="112"/>
      <c r="G194" s="113"/>
    </row>
    <row r="195" spans="2:7" x14ac:dyDescent="0.15">
      <c r="B195" s="168"/>
      <c r="C195" s="112"/>
      <c r="E195" s="112"/>
      <c r="G195" s="113"/>
    </row>
    <row r="196" spans="2:7" x14ac:dyDescent="0.15">
      <c r="B196" s="168"/>
      <c r="C196" s="112"/>
      <c r="E196" s="112"/>
      <c r="G196" s="113"/>
    </row>
    <row r="197" spans="2:7" x14ac:dyDescent="0.15">
      <c r="B197" s="168"/>
      <c r="C197" s="112"/>
      <c r="E197" s="112"/>
      <c r="G197" s="113"/>
    </row>
    <row r="198" spans="2:7" x14ac:dyDescent="0.15">
      <c r="B198" s="168"/>
      <c r="C198" s="112"/>
      <c r="E198" s="112"/>
      <c r="G198" s="113"/>
    </row>
    <row r="199" spans="2:7" x14ac:dyDescent="0.15">
      <c r="B199" s="168"/>
      <c r="C199" s="112"/>
      <c r="E199" s="112"/>
      <c r="G199" s="113"/>
    </row>
    <row r="200" spans="2:7" x14ac:dyDescent="0.15">
      <c r="B200" s="168"/>
      <c r="C200" s="112"/>
      <c r="E200" s="112"/>
      <c r="G200" s="113"/>
    </row>
    <row r="201" spans="2:7" x14ac:dyDescent="0.15">
      <c r="B201" s="168"/>
      <c r="C201" s="112"/>
      <c r="E201" s="112"/>
      <c r="G201" s="113"/>
    </row>
    <row r="202" spans="2:7" x14ac:dyDescent="0.15">
      <c r="B202" s="168"/>
      <c r="C202" s="112"/>
      <c r="E202" s="112"/>
      <c r="G202" s="113"/>
    </row>
    <row r="203" spans="2:7" x14ac:dyDescent="0.15">
      <c r="B203" s="168"/>
      <c r="C203" s="112"/>
      <c r="E203" s="112"/>
      <c r="G203" s="113"/>
    </row>
    <row r="204" spans="2:7" x14ac:dyDescent="0.15">
      <c r="B204" s="168"/>
      <c r="C204" s="112"/>
      <c r="E204" s="112"/>
      <c r="G204" s="113"/>
    </row>
    <row r="205" spans="2:7" x14ac:dyDescent="0.15">
      <c r="B205" s="168"/>
      <c r="C205" s="112"/>
      <c r="E205" s="112"/>
      <c r="G205" s="113"/>
    </row>
    <row r="206" spans="2:7" x14ac:dyDescent="0.15">
      <c r="B206" s="168"/>
      <c r="C206" s="112"/>
      <c r="E206" s="112"/>
      <c r="G206" s="113"/>
    </row>
    <row r="207" spans="2:7" x14ac:dyDescent="0.15">
      <c r="B207" s="168"/>
      <c r="C207" s="112"/>
      <c r="E207" s="112"/>
      <c r="G207" s="113"/>
    </row>
    <row r="208" spans="2:7" x14ac:dyDescent="0.15">
      <c r="B208" s="168"/>
      <c r="C208" s="112"/>
      <c r="E208" s="112"/>
      <c r="G208" s="113"/>
    </row>
    <row r="209" spans="2:7" x14ac:dyDescent="0.15">
      <c r="B209" s="168"/>
      <c r="C209" s="112"/>
      <c r="E209" s="112"/>
      <c r="G209" s="113"/>
    </row>
    <row r="210" spans="2:7" x14ac:dyDescent="0.15">
      <c r="B210" s="168"/>
      <c r="C210" s="112"/>
      <c r="E210" s="112"/>
      <c r="G210" s="113"/>
    </row>
    <row r="211" spans="2:7" x14ac:dyDescent="0.15">
      <c r="B211" s="168"/>
      <c r="C211" s="112"/>
      <c r="E211" s="112"/>
      <c r="G211" s="113"/>
    </row>
    <row r="212" spans="2:7" x14ac:dyDescent="0.15">
      <c r="B212" s="168"/>
      <c r="C212" s="112"/>
      <c r="E212" s="112"/>
      <c r="G212" s="113"/>
    </row>
    <row r="213" spans="2:7" x14ac:dyDescent="0.15">
      <c r="B213" s="168"/>
      <c r="C213" s="112"/>
      <c r="E213" s="112"/>
      <c r="G213" s="113"/>
    </row>
    <row r="214" spans="2:7" x14ac:dyDescent="0.15">
      <c r="B214" s="168"/>
      <c r="C214" s="112"/>
      <c r="E214" s="112"/>
      <c r="G214" s="113"/>
    </row>
    <row r="215" spans="2:7" x14ac:dyDescent="0.15">
      <c r="B215" s="168"/>
      <c r="C215" s="112"/>
      <c r="E215" s="112"/>
      <c r="G215" s="113"/>
    </row>
    <row r="216" spans="2:7" x14ac:dyDescent="0.15">
      <c r="B216" s="168"/>
      <c r="C216" s="112"/>
      <c r="E216" s="112"/>
      <c r="G216" s="113"/>
    </row>
    <row r="217" spans="2:7" x14ac:dyDescent="0.15">
      <c r="B217" s="168"/>
      <c r="C217" s="112"/>
      <c r="E217" s="112"/>
      <c r="G217" s="113"/>
    </row>
    <row r="218" spans="2:7" x14ac:dyDescent="0.15">
      <c r="B218" s="168"/>
      <c r="C218" s="112"/>
      <c r="E218" s="112"/>
      <c r="G218" s="113"/>
    </row>
    <row r="219" spans="2:7" x14ac:dyDescent="0.15">
      <c r="B219" s="168"/>
      <c r="C219" s="112"/>
      <c r="E219" s="112"/>
      <c r="G219" s="113"/>
    </row>
    <row r="220" spans="2:7" x14ac:dyDescent="0.15">
      <c r="B220" s="168"/>
      <c r="C220" s="112"/>
      <c r="E220" s="112"/>
      <c r="G220" s="113"/>
    </row>
    <row r="221" spans="2:7" x14ac:dyDescent="0.15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7265625" defaultRowHeight="15" x14ac:dyDescent="0.2"/>
  <cols>
    <col min="1" max="1" width="5.109375" style="93" customWidth="1"/>
    <col min="2" max="2" width="5.109375" style="131" customWidth="1"/>
    <col min="3" max="4" width="23.40625" style="129" customWidth="1"/>
    <col min="5" max="5" width="6.58984375" style="129" customWidth="1"/>
    <col min="6" max="6" width="16.41015625" style="129" customWidth="1"/>
    <col min="7" max="7" width="4.4375" style="129" customWidth="1"/>
    <col min="8" max="8" width="15.46875" style="129" customWidth="1"/>
    <col min="9" max="9" width="1.8828125" style="129" customWidth="1"/>
    <col min="10" max="10" width="3.359375" style="93" customWidth="1"/>
    <col min="11" max="11" width="1.8828125" style="176" customWidth="1"/>
    <col min="12" max="12" width="29.45703125" style="93" customWidth="1"/>
    <col min="13" max="13" width="1.8828125" style="129" customWidth="1"/>
    <col min="14" max="14" width="29.45703125" style="129" customWidth="1"/>
    <col min="15" max="15" width="1.4765625" style="93" customWidth="1"/>
    <col min="16" max="16" width="16.8125" style="129" customWidth="1"/>
    <col min="17" max="17" width="5.109375" style="129" customWidth="1"/>
    <col min="18" max="18" width="112.19140625" style="129" bestFit="1" customWidth="1"/>
    <col min="19" max="19" width="4.4375" style="129" customWidth="1"/>
    <col min="20" max="20" width="20.58203125" style="129" bestFit="1" customWidth="1"/>
    <col min="21" max="21" width="16.8125" style="93" bestFit="1" customWidth="1"/>
    <col min="22" max="22" width="21.38671875" style="93" bestFit="1" customWidth="1"/>
    <col min="23" max="23" width="17.890625" style="93" bestFit="1" customWidth="1"/>
    <col min="24" max="24" width="20.58203125" style="93" bestFit="1" customWidth="1"/>
    <col min="25" max="25" width="16.8125" style="93" bestFit="1" customWidth="1"/>
    <col min="26" max="26" width="8.47265625" style="93"/>
    <col min="27" max="27" width="14.390625" style="93" bestFit="1" customWidth="1"/>
    <col min="28" max="28" width="8.47265625" style="129"/>
    <col min="29" max="29" width="12.10546875" style="129" bestFit="1" customWidth="1"/>
    <col min="30" max="40" width="8.47265625" style="129"/>
    <col min="41" max="41" width="9.4140625" style="129" bestFit="1" customWidth="1"/>
    <col min="42" max="16384" width="8.47265625" style="129"/>
  </cols>
  <sheetData>
    <row r="1" spans="1:41" s="93" customFormat="1" ht="14.25" customHeight="1" x14ac:dyDescent="0.15">
      <c r="A1" s="377"/>
      <c r="B1" s="117"/>
      <c r="J1" s="142"/>
      <c r="S1" s="142"/>
    </row>
    <row r="2" spans="1:41" s="93" customFormat="1" ht="14.25" customHeight="1" thickBot="1" x14ac:dyDescent="0.2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75" x14ac:dyDescent="0.15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2.75" x14ac:dyDescent="0.15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 x14ac:dyDescent="0.15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 x14ac:dyDescent="0.15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 x14ac:dyDescent="0.2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 x14ac:dyDescent="0.15">
      <c r="B8" s="117"/>
      <c r="J8" s="142"/>
      <c r="S8" s="142"/>
    </row>
    <row r="9" spans="1:41" s="93" customFormat="1" ht="9.75" customHeight="1" x14ac:dyDescent="0.15">
      <c r="B9" s="117"/>
      <c r="J9" s="142"/>
      <c r="S9" s="142"/>
    </row>
    <row r="10" spans="1:41" s="93" customFormat="1" ht="12.75" x14ac:dyDescent="0.15">
      <c r="B10" s="128" t="s">
        <v>161</v>
      </c>
      <c r="J10" s="142"/>
      <c r="S10" s="142"/>
      <c r="U10" s="128"/>
    </row>
    <row r="11" spans="1:41" s="93" customFormat="1" ht="14.25" customHeight="1" x14ac:dyDescent="0.15">
      <c r="B11" s="117"/>
      <c r="J11" s="142"/>
      <c r="S11" s="142"/>
    </row>
    <row r="12" spans="1:41" s="93" customFormat="1" ht="24.75" x14ac:dyDescent="0.15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2.75" x14ac:dyDescent="0.15">
      <c r="B13" s="353">
        <v>1</v>
      </c>
      <c r="C13" s="746" t="s">
        <v>170</v>
      </c>
      <c r="D13" s="747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2.75" x14ac:dyDescent="0.15">
      <c r="B14" s="155">
        <v>2</v>
      </c>
      <c r="C14" s="746" t="s">
        <v>172</v>
      </c>
      <c r="D14" s="747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2.75" x14ac:dyDescent="0.15">
      <c r="B15" s="353">
        <v>3</v>
      </c>
      <c r="C15" s="746" t="s">
        <v>174</v>
      </c>
      <c r="D15" s="747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2.75" x14ac:dyDescent="0.15">
      <c r="B16" s="353">
        <v>4</v>
      </c>
      <c r="C16" s="744" t="s">
        <v>135</v>
      </c>
      <c r="D16" s="745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2.75" x14ac:dyDescent="0.15">
      <c r="B17" s="353">
        <v>5</v>
      </c>
      <c r="C17" s="744" t="s">
        <v>54</v>
      </c>
      <c r="D17" s="745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2.75" x14ac:dyDescent="0.15">
      <c r="B18" s="353">
        <v>6</v>
      </c>
      <c r="C18" s="744" t="s">
        <v>177</v>
      </c>
      <c r="D18" s="74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75" x14ac:dyDescent="0.15">
      <c r="B19" s="353">
        <v>7</v>
      </c>
      <c r="C19" s="746" t="s">
        <v>177</v>
      </c>
      <c r="D19" s="74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 x14ac:dyDescent="0.15">
      <c r="B20" s="117"/>
      <c r="E20" s="141"/>
      <c r="F20" s="116"/>
      <c r="H20" s="359"/>
      <c r="J20" s="142"/>
      <c r="S20" s="142"/>
    </row>
    <row r="21" spans="2:19" s="93" customFormat="1" ht="12.75" x14ac:dyDescent="0.15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 x14ac:dyDescent="0.15">
      <c r="B22" s="143"/>
      <c r="F22" s="144"/>
    </row>
    <row r="23" spans="2:19" s="93" customFormat="1" ht="24.75" customHeight="1" x14ac:dyDescent="0.15">
      <c r="B23" s="145" t="s">
        <v>178</v>
      </c>
      <c r="C23" s="146" t="s">
        <v>179</v>
      </c>
      <c r="D23" s="146"/>
      <c r="F23" s="147"/>
      <c r="H23" s="116"/>
    </row>
    <row r="24" spans="2:19" s="93" customFormat="1" ht="12.75" x14ac:dyDescent="0.15">
      <c r="C24" s="148" t="s">
        <v>180</v>
      </c>
      <c r="D24" s="149"/>
      <c r="F24" s="150"/>
    </row>
    <row r="25" spans="2:19" s="93" customFormat="1" ht="12.75" x14ac:dyDescent="0.15">
      <c r="C25" s="148" t="s">
        <v>181</v>
      </c>
      <c r="D25" s="149"/>
    </row>
    <row r="26" spans="2:19" s="93" customFormat="1" ht="12.75" x14ac:dyDescent="0.15">
      <c r="C26" s="151" t="s">
        <v>182</v>
      </c>
      <c r="D26" s="152"/>
    </row>
    <row r="27" spans="2:19" s="93" customFormat="1" ht="12.75" x14ac:dyDescent="0.15">
      <c r="C27" s="153" t="s">
        <v>183</v>
      </c>
      <c r="D27" s="149"/>
    </row>
    <row r="28" spans="2:19" s="93" customFormat="1" ht="12.75" x14ac:dyDescent="0.15">
      <c r="B28" s="117"/>
      <c r="C28" s="153" t="s">
        <v>184</v>
      </c>
      <c r="D28" s="149"/>
    </row>
    <row r="29" spans="2:19" s="93" customFormat="1" ht="12.75" x14ac:dyDescent="0.15">
      <c r="B29" s="117"/>
      <c r="C29" s="93" t="s">
        <v>185</v>
      </c>
    </row>
    <row r="30" spans="2:19" s="93" customFormat="1" ht="27.75" customHeight="1" x14ac:dyDescent="0.15">
      <c r="B30" s="117"/>
      <c r="C30" s="154" t="s">
        <v>186</v>
      </c>
      <c r="D30" s="154"/>
      <c r="F30" s="150"/>
    </row>
    <row r="31" spans="2:19" s="93" customFormat="1" ht="12.75" x14ac:dyDescent="0.15">
      <c r="B31" s="117"/>
      <c r="F31" s="147"/>
    </row>
    <row r="32" spans="2:19" s="93" customFormat="1" ht="12.75" x14ac:dyDescent="0.15">
      <c r="B32" s="117"/>
      <c r="F32" s="147"/>
    </row>
    <row r="33" spans="2:6" s="93" customFormat="1" ht="12.75" x14ac:dyDescent="0.15">
      <c r="B33" s="117"/>
      <c r="F33" s="147"/>
    </row>
    <row r="34" spans="2:6" s="93" customFormat="1" ht="12.75" x14ac:dyDescent="0.15">
      <c r="B34" s="117"/>
      <c r="F34" s="147"/>
    </row>
    <row r="35" spans="2:6" s="93" customFormat="1" ht="12.75" x14ac:dyDescent="0.15">
      <c r="B35" s="117"/>
    </row>
    <row r="36" spans="2:6" s="93" customFormat="1" ht="12.75" x14ac:dyDescent="0.15">
      <c r="B36" s="117"/>
    </row>
    <row r="37" spans="2:6" s="93" customFormat="1" ht="12.75" x14ac:dyDescent="0.15">
      <c r="B37" s="117"/>
    </row>
    <row r="38" spans="2:6" s="93" customFormat="1" ht="12.75" hidden="1" customHeight="1" x14ac:dyDescent="0.15">
      <c r="B38" s="117"/>
    </row>
    <row r="39" spans="2:6" s="93" customFormat="1" ht="12.75" hidden="1" customHeight="1" x14ac:dyDescent="0.15">
      <c r="B39" s="117"/>
    </row>
    <row r="40" spans="2:6" s="93" customFormat="1" ht="13.5" hidden="1" customHeight="1" x14ac:dyDescent="0.15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 x14ac:dyDescent="0.15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 x14ac:dyDescent="0.15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 x14ac:dyDescent="0.15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 x14ac:dyDescent="0.15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 x14ac:dyDescent="0.2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 x14ac:dyDescent="0.2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 x14ac:dyDescent="0.15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 x14ac:dyDescent="0.15">
      <c r="B48" s="117"/>
    </row>
    <row r="49" spans="2:2" s="93" customFormat="1" ht="12.75" x14ac:dyDescent="0.15">
      <c r="B49" s="117"/>
    </row>
    <row r="50" spans="2:2" s="93" customFormat="1" ht="12.75" x14ac:dyDescent="0.15">
      <c r="B50" s="117"/>
    </row>
    <row r="51" spans="2:2" s="93" customFormat="1" ht="12.75" x14ac:dyDescent="0.15">
      <c r="B51" s="117"/>
    </row>
    <row r="52" spans="2:2" s="93" customFormat="1" ht="12.75" x14ac:dyDescent="0.15">
      <c r="B52" s="117"/>
    </row>
    <row r="53" spans="2:2" s="93" customFormat="1" ht="12.75" x14ac:dyDescent="0.15">
      <c r="B53" s="117"/>
    </row>
    <row r="54" spans="2:2" s="93" customFormat="1" ht="12.75" x14ac:dyDescent="0.15">
      <c r="B54" s="117"/>
    </row>
    <row r="55" spans="2:2" s="93" customFormat="1" ht="12.75" x14ac:dyDescent="0.15">
      <c r="B55" s="117"/>
    </row>
    <row r="56" spans="2:2" s="93" customFormat="1" ht="12.75" x14ac:dyDescent="0.15">
      <c r="B56" s="117"/>
    </row>
    <row r="57" spans="2:2" s="93" customFormat="1" ht="12.75" x14ac:dyDescent="0.15">
      <c r="B57" s="117"/>
    </row>
    <row r="58" spans="2:2" s="93" customFormat="1" ht="12.75" x14ac:dyDescent="0.15">
      <c r="B58" s="117"/>
    </row>
    <row r="59" spans="2:2" s="93" customFormat="1" ht="12.75" x14ac:dyDescent="0.15">
      <c r="B59" s="117"/>
    </row>
    <row r="60" spans="2:2" s="93" customFormat="1" ht="12.75" x14ac:dyDescent="0.15">
      <c r="B60" s="117"/>
    </row>
    <row r="61" spans="2:2" s="93" customFormat="1" ht="12.75" x14ac:dyDescent="0.15">
      <c r="B61" s="117"/>
    </row>
    <row r="62" spans="2:2" s="93" customFormat="1" ht="12.75" x14ac:dyDescent="0.15">
      <c r="B62" s="117"/>
    </row>
    <row r="63" spans="2:2" s="93" customFormat="1" ht="12.75" x14ac:dyDescent="0.15">
      <c r="B63" s="117"/>
    </row>
    <row r="64" spans="2:2" s="93" customFormat="1" ht="12.75" x14ac:dyDescent="0.15">
      <c r="B64" s="117"/>
    </row>
    <row r="65" spans="2:2" s="93" customFormat="1" ht="12.75" x14ac:dyDescent="0.15">
      <c r="B65" s="117"/>
    </row>
    <row r="66" spans="2:2" s="93" customFormat="1" ht="12.75" x14ac:dyDescent="0.15">
      <c r="B66" s="117"/>
    </row>
    <row r="67" spans="2:2" s="93" customFormat="1" ht="12.75" x14ac:dyDescent="0.15">
      <c r="B67" s="117"/>
    </row>
    <row r="68" spans="2:2" s="93" customFormat="1" ht="12.75" x14ac:dyDescent="0.15">
      <c r="B68" s="117"/>
    </row>
    <row r="69" spans="2:2" s="93" customFormat="1" ht="12.75" x14ac:dyDescent="0.15">
      <c r="B69" s="117"/>
    </row>
    <row r="70" spans="2:2" s="93" customFormat="1" ht="12.75" x14ac:dyDescent="0.15">
      <c r="B70" s="117"/>
    </row>
    <row r="71" spans="2:2" s="93" customFormat="1" ht="12.75" x14ac:dyDescent="0.15">
      <c r="B71" s="117"/>
    </row>
    <row r="72" spans="2:2" s="93" customFormat="1" ht="12.75" x14ac:dyDescent="0.15">
      <c r="B72" s="117"/>
    </row>
    <row r="73" spans="2:2" s="93" customFormat="1" ht="12.75" x14ac:dyDescent="0.15">
      <c r="B73" s="117"/>
    </row>
    <row r="74" spans="2:2" s="93" customFormat="1" ht="12.75" x14ac:dyDescent="0.15">
      <c r="B74" s="117"/>
    </row>
    <row r="75" spans="2:2" s="93" customFormat="1" ht="12.75" x14ac:dyDescent="0.15">
      <c r="B75" s="117"/>
    </row>
    <row r="76" spans="2:2" s="93" customFormat="1" ht="12.75" x14ac:dyDescent="0.15">
      <c r="B76" s="117"/>
    </row>
    <row r="77" spans="2:2" s="93" customFormat="1" ht="12.75" x14ac:dyDescent="0.15">
      <c r="B77" s="117"/>
    </row>
    <row r="78" spans="2:2" s="93" customFormat="1" ht="12.75" x14ac:dyDescent="0.15">
      <c r="B78" s="117"/>
    </row>
    <row r="79" spans="2:2" s="93" customFormat="1" ht="12.75" x14ac:dyDescent="0.15">
      <c r="B79" s="117"/>
    </row>
    <row r="80" spans="2:2" s="93" customFormat="1" ht="12.75" x14ac:dyDescent="0.15">
      <c r="B80" s="117"/>
    </row>
    <row r="81" spans="2:2" s="93" customFormat="1" ht="12.75" x14ac:dyDescent="0.15">
      <c r="B81" s="117"/>
    </row>
    <row r="82" spans="2:2" s="93" customFormat="1" ht="12.75" x14ac:dyDescent="0.15">
      <c r="B82" s="117"/>
    </row>
    <row r="83" spans="2:2" s="93" customFormat="1" ht="12.75" x14ac:dyDescent="0.15">
      <c r="B83" s="117"/>
    </row>
    <row r="84" spans="2:2" s="93" customFormat="1" ht="12.75" x14ac:dyDescent="0.15">
      <c r="B84" s="117"/>
    </row>
    <row r="85" spans="2:2" s="93" customFormat="1" ht="12.75" x14ac:dyDescent="0.15">
      <c r="B85" s="117"/>
    </row>
    <row r="86" spans="2:2" s="93" customFormat="1" ht="12.75" x14ac:dyDescent="0.15">
      <c r="B86" s="117"/>
    </row>
    <row r="87" spans="2:2" s="93" customFormat="1" ht="12.75" x14ac:dyDescent="0.15">
      <c r="B87" s="117"/>
    </row>
    <row r="88" spans="2:2" s="93" customFormat="1" ht="12.75" x14ac:dyDescent="0.15">
      <c r="B88" s="117"/>
    </row>
    <row r="89" spans="2:2" s="93" customFormat="1" ht="12.75" x14ac:dyDescent="0.15">
      <c r="B89" s="117"/>
    </row>
    <row r="90" spans="2:2" s="93" customFormat="1" ht="12.75" x14ac:dyDescent="0.15">
      <c r="B90" s="117"/>
    </row>
    <row r="91" spans="2:2" s="93" customFormat="1" ht="12.75" x14ac:dyDescent="0.15">
      <c r="B91" s="117"/>
    </row>
    <row r="92" spans="2:2" s="93" customFormat="1" ht="12.75" x14ac:dyDescent="0.15">
      <c r="B92" s="117"/>
    </row>
    <row r="93" spans="2:2" s="93" customFormat="1" ht="12.75" x14ac:dyDescent="0.15">
      <c r="B93" s="117"/>
    </row>
    <row r="94" spans="2:2" s="93" customFormat="1" ht="12.75" x14ac:dyDescent="0.15">
      <c r="B94" s="117"/>
    </row>
    <row r="95" spans="2:2" s="93" customFormat="1" ht="12.75" x14ac:dyDescent="0.15">
      <c r="B95" s="117"/>
    </row>
    <row r="96" spans="2:2" s="93" customFormat="1" ht="12.75" x14ac:dyDescent="0.15">
      <c r="B96" s="117"/>
    </row>
    <row r="97" spans="2:2" s="93" customFormat="1" ht="12.75" x14ac:dyDescent="0.15">
      <c r="B97" s="117"/>
    </row>
    <row r="98" spans="2:2" s="93" customFormat="1" ht="12.75" x14ac:dyDescent="0.15">
      <c r="B98" s="117"/>
    </row>
    <row r="99" spans="2:2" s="93" customFormat="1" ht="12.75" x14ac:dyDescent="0.15">
      <c r="B99" s="117"/>
    </row>
    <row r="100" spans="2:2" s="93" customFormat="1" ht="12.75" x14ac:dyDescent="0.15">
      <c r="B100" s="117"/>
    </row>
    <row r="101" spans="2:2" s="93" customFormat="1" ht="12.75" x14ac:dyDescent="0.15">
      <c r="B101" s="117"/>
    </row>
    <row r="102" spans="2:2" s="93" customFormat="1" ht="12.75" x14ac:dyDescent="0.15">
      <c r="B102" s="117"/>
    </row>
    <row r="103" spans="2:2" s="93" customFormat="1" ht="12.75" x14ac:dyDescent="0.15">
      <c r="B103" s="117"/>
    </row>
    <row r="104" spans="2:2" s="93" customFormat="1" ht="12.75" x14ac:dyDescent="0.15">
      <c r="B104" s="117"/>
    </row>
    <row r="105" spans="2:2" s="93" customFormat="1" ht="12.75" x14ac:dyDescent="0.15">
      <c r="B105" s="117"/>
    </row>
    <row r="106" spans="2:2" s="93" customFormat="1" ht="12.75" x14ac:dyDescent="0.15">
      <c r="B106" s="117"/>
    </row>
    <row r="107" spans="2:2" s="93" customFormat="1" ht="12.75" x14ac:dyDescent="0.15">
      <c r="B107" s="117"/>
    </row>
    <row r="108" spans="2:2" s="93" customFormat="1" ht="12.75" x14ac:dyDescent="0.15">
      <c r="B108" s="117"/>
    </row>
    <row r="109" spans="2:2" s="93" customFormat="1" ht="12.75" x14ac:dyDescent="0.15">
      <c r="B109" s="117"/>
    </row>
    <row r="110" spans="2:2" s="93" customFormat="1" ht="12.75" x14ac:dyDescent="0.15">
      <c r="B110" s="117"/>
    </row>
    <row r="111" spans="2:2" s="93" customFormat="1" ht="12.75" x14ac:dyDescent="0.15">
      <c r="B111" s="117"/>
    </row>
    <row r="112" spans="2:2" s="93" customFormat="1" ht="12.75" x14ac:dyDescent="0.15">
      <c r="B112" s="117"/>
    </row>
    <row r="113" spans="2:2" s="93" customFormat="1" ht="12.75" x14ac:dyDescent="0.15">
      <c r="B113" s="117"/>
    </row>
    <row r="114" spans="2:2" s="93" customFormat="1" ht="12.75" x14ac:dyDescent="0.15">
      <c r="B114" s="117"/>
    </row>
    <row r="115" spans="2:2" s="93" customFormat="1" ht="12.75" x14ac:dyDescent="0.15">
      <c r="B115" s="117"/>
    </row>
    <row r="116" spans="2:2" s="93" customFormat="1" ht="12.75" x14ac:dyDescent="0.15">
      <c r="B116" s="117"/>
    </row>
    <row r="117" spans="2:2" s="93" customFormat="1" ht="12.75" x14ac:dyDescent="0.15">
      <c r="B117" s="117"/>
    </row>
    <row r="118" spans="2:2" s="93" customFormat="1" ht="12.75" x14ac:dyDescent="0.15">
      <c r="B118" s="117"/>
    </row>
    <row r="119" spans="2:2" s="93" customFormat="1" ht="12.75" x14ac:dyDescent="0.15">
      <c r="B119" s="117"/>
    </row>
    <row r="120" spans="2:2" s="93" customFormat="1" ht="12.75" x14ac:dyDescent="0.15">
      <c r="B120" s="117"/>
    </row>
    <row r="121" spans="2:2" s="93" customFormat="1" ht="12.75" x14ac:dyDescent="0.15">
      <c r="B121" s="117"/>
    </row>
    <row r="122" spans="2:2" s="93" customFormat="1" ht="12.75" x14ac:dyDescent="0.15">
      <c r="B122" s="117"/>
    </row>
    <row r="123" spans="2:2" s="93" customFormat="1" ht="12.75" x14ac:dyDescent="0.15">
      <c r="B123" s="117"/>
    </row>
    <row r="124" spans="2:2" s="93" customFormat="1" ht="12.75" x14ac:dyDescent="0.15">
      <c r="B124" s="117"/>
    </row>
    <row r="125" spans="2:2" s="93" customFormat="1" ht="12.75" x14ac:dyDescent="0.15">
      <c r="B125" s="117"/>
    </row>
    <row r="126" spans="2:2" s="93" customFormat="1" ht="12.75" x14ac:dyDescent="0.15">
      <c r="B126" s="117"/>
    </row>
    <row r="127" spans="2:2" s="93" customFormat="1" ht="12.75" x14ac:dyDescent="0.15">
      <c r="B127" s="117"/>
    </row>
    <row r="128" spans="2:2" s="93" customFormat="1" ht="12.75" x14ac:dyDescent="0.15">
      <c r="B128" s="117"/>
    </row>
    <row r="129" spans="2:2" s="93" customFormat="1" ht="12.75" x14ac:dyDescent="0.15">
      <c r="B129" s="117"/>
    </row>
    <row r="130" spans="2:2" s="93" customFormat="1" ht="12.75" x14ac:dyDescent="0.15">
      <c r="B130" s="117"/>
    </row>
    <row r="131" spans="2:2" s="93" customFormat="1" ht="12.75" x14ac:dyDescent="0.15">
      <c r="B131" s="117"/>
    </row>
    <row r="132" spans="2:2" s="93" customFormat="1" ht="12.75" x14ac:dyDescent="0.15">
      <c r="B132" s="117"/>
    </row>
    <row r="133" spans="2:2" s="93" customFormat="1" ht="12.75" x14ac:dyDescent="0.15">
      <c r="B133" s="117"/>
    </row>
    <row r="134" spans="2:2" s="93" customFormat="1" ht="12.75" x14ac:dyDescent="0.15">
      <c r="B134" s="117"/>
    </row>
    <row r="135" spans="2:2" s="93" customFormat="1" ht="12.75" x14ac:dyDescent="0.15">
      <c r="B135" s="117"/>
    </row>
    <row r="136" spans="2:2" s="93" customFormat="1" ht="12.75" x14ac:dyDescent="0.15">
      <c r="B136" s="117"/>
    </row>
    <row r="137" spans="2:2" s="93" customFormat="1" ht="12.75" x14ac:dyDescent="0.15">
      <c r="B137" s="117"/>
    </row>
    <row r="138" spans="2:2" s="93" customFormat="1" ht="12.75" x14ac:dyDescent="0.15">
      <c r="B138" s="117"/>
    </row>
    <row r="139" spans="2:2" s="93" customFormat="1" ht="12.75" x14ac:dyDescent="0.15">
      <c r="B139" s="117"/>
    </row>
    <row r="140" spans="2:2" s="93" customFormat="1" ht="12.75" x14ac:dyDescent="0.15">
      <c r="B140" s="117"/>
    </row>
    <row r="141" spans="2:2" s="93" customFormat="1" ht="12.75" x14ac:dyDescent="0.15">
      <c r="B141" s="117"/>
    </row>
    <row r="142" spans="2:2" s="93" customFormat="1" ht="12.75" x14ac:dyDescent="0.15">
      <c r="B142" s="117"/>
    </row>
    <row r="143" spans="2:2" s="93" customFormat="1" ht="12.75" x14ac:dyDescent="0.15">
      <c r="B143" s="117"/>
    </row>
    <row r="144" spans="2:2" s="93" customFormat="1" ht="12.75" x14ac:dyDescent="0.15">
      <c r="B144" s="117"/>
    </row>
    <row r="145" spans="2:2" s="93" customFormat="1" ht="12.75" x14ac:dyDescent="0.15">
      <c r="B145" s="117"/>
    </row>
    <row r="146" spans="2:2" s="93" customFormat="1" ht="12.75" x14ac:dyDescent="0.15">
      <c r="B146" s="117"/>
    </row>
    <row r="147" spans="2:2" s="93" customFormat="1" ht="12.75" x14ac:dyDescent="0.15">
      <c r="B147" s="117"/>
    </row>
    <row r="148" spans="2:2" s="93" customFormat="1" ht="12.75" x14ac:dyDescent="0.15">
      <c r="B148" s="117"/>
    </row>
    <row r="149" spans="2:2" s="93" customFormat="1" ht="12.75" x14ac:dyDescent="0.15">
      <c r="B149" s="117"/>
    </row>
    <row r="150" spans="2:2" s="93" customFormat="1" ht="12.75" x14ac:dyDescent="0.15">
      <c r="B150" s="117"/>
    </row>
    <row r="151" spans="2:2" s="93" customFormat="1" ht="12.75" x14ac:dyDescent="0.15">
      <c r="B151" s="117"/>
    </row>
    <row r="152" spans="2:2" s="93" customFormat="1" ht="12.75" x14ac:dyDescent="0.15">
      <c r="B152" s="117"/>
    </row>
    <row r="153" spans="2:2" s="93" customFormat="1" ht="12.75" x14ac:dyDescent="0.15">
      <c r="B153" s="117"/>
    </row>
    <row r="154" spans="2:2" s="93" customFormat="1" ht="12.75" x14ac:dyDescent="0.15">
      <c r="B154" s="117"/>
    </row>
    <row r="155" spans="2:2" s="93" customFormat="1" ht="12.75" x14ac:dyDescent="0.15">
      <c r="B155" s="117"/>
    </row>
    <row r="156" spans="2:2" s="93" customFormat="1" ht="12.75" x14ac:dyDescent="0.15">
      <c r="B156" s="117"/>
    </row>
    <row r="157" spans="2:2" s="93" customFormat="1" ht="12.75" x14ac:dyDescent="0.15">
      <c r="B157" s="117"/>
    </row>
    <row r="158" spans="2:2" s="93" customFormat="1" ht="12.75" x14ac:dyDescent="0.15">
      <c r="B158" s="117"/>
    </row>
    <row r="159" spans="2:2" s="93" customFormat="1" ht="12.75" x14ac:dyDescent="0.15">
      <c r="B159" s="117"/>
    </row>
    <row r="160" spans="2:2" s="93" customFormat="1" ht="12.75" x14ac:dyDescent="0.15">
      <c r="B160" s="117"/>
    </row>
    <row r="161" spans="2:2" s="93" customFormat="1" ht="12.75" x14ac:dyDescent="0.15">
      <c r="B161" s="117"/>
    </row>
    <row r="162" spans="2:2" s="93" customFormat="1" ht="12.75" x14ac:dyDescent="0.15">
      <c r="B162" s="117"/>
    </row>
    <row r="163" spans="2:2" s="93" customFormat="1" ht="12.75" x14ac:dyDescent="0.15">
      <c r="B163" s="117"/>
    </row>
    <row r="164" spans="2:2" s="93" customFormat="1" ht="12.75" x14ac:dyDescent="0.15">
      <c r="B164" s="117"/>
    </row>
    <row r="165" spans="2:2" s="93" customFormat="1" ht="12.75" x14ac:dyDescent="0.15">
      <c r="B165" s="117"/>
    </row>
    <row r="166" spans="2:2" s="93" customFormat="1" ht="12.75" x14ac:dyDescent="0.15">
      <c r="B166" s="117"/>
    </row>
    <row r="167" spans="2:2" s="93" customFormat="1" ht="12.75" x14ac:dyDescent="0.15">
      <c r="B167" s="117"/>
    </row>
    <row r="168" spans="2:2" s="93" customFormat="1" ht="12.75" x14ac:dyDescent="0.15">
      <c r="B168" s="117"/>
    </row>
    <row r="169" spans="2:2" s="93" customFormat="1" ht="12.75" x14ac:dyDescent="0.15">
      <c r="B169" s="117"/>
    </row>
    <row r="170" spans="2:2" s="93" customFormat="1" ht="12.75" x14ac:dyDescent="0.15">
      <c r="B170" s="117"/>
    </row>
    <row r="171" spans="2:2" s="93" customFormat="1" ht="12.75" x14ac:dyDescent="0.15">
      <c r="B171" s="117"/>
    </row>
    <row r="172" spans="2:2" s="93" customFormat="1" ht="12.75" x14ac:dyDescent="0.15">
      <c r="B172" s="117"/>
    </row>
    <row r="173" spans="2:2" s="93" customFormat="1" ht="12.75" x14ac:dyDescent="0.15">
      <c r="B173" s="117"/>
    </row>
    <row r="174" spans="2:2" s="93" customFormat="1" ht="12.75" x14ac:dyDescent="0.15">
      <c r="B174" s="117"/>
    </row>
    <row r="175" spans="2:2" s="93" customFormat="1" ht="12.75" x14ac:dyDescent="0.15">
      <c r="B175" s="117"/>
    </row>
    <row r="176" spans="2:2" s="93" customFormat="1" ht="12.75" x14ac:dyDescent="0.15">
      <c r="B176" s="117"/>
    </row>
    <row r="177" spans="2:2" s="93" customFormat="1" ht="12.75" x14ac:dyDescent="0.15">
      <c r="B177" s="117"/>
    </row>
    <row r="178" spans="2:2" s="93" customFormat="1" ht="12.75" x14ac:dyDescent="0.15">
      <c r="B178" s="117"/>
    </row>
    <row r="179" spans="2:2" s="93" customFormat="1" ht="12.75" x14ac:dyDescent="0.15">
      <c r="B179" s="117"/>
    </row>
    <row r="180" spans="2:2" s="93" customFormat="1" ht="12.75" x14ac:dyDescent="0.15">
      <c r="B180" s="117"/>
    </row>
    <row r="181" spans="2:2" s="93" customFormat="1" ht="12.75" x14ac:dyDescent="0.15">
      <c r="B181" s="117"/>
    </row>
    <row r="182" spans="2:2" s="93" customFormat="1" ht="12.75" x14ac:dyDescent="0.15">
      <c r="B182" s="117"/>
    </row>
    <row r="183" spans="2:2" s="93" customFormat="1" ht="12.75" x14ac:dyDescent="0.15">
      <c r="B183" s="117"/>
    </row>
    <row r="184" spans="2:2" s="93" customFormat="1" ht="12.75" x14ac:dyDescent="0.15">
      <c r="B184" s="117"/>
    </row>
    <row r="185" spans="2:2" s="93" customFormat="1" ht="12.75" x14ac:dyDescent="0.15">
      <c r="B185" s="117"/>
    </row>
    <row r="186" spans="2:2" s="93" customFormat="1" ht="12.75" x14ac:dyDescent="0.15">
      <c r="B186" s="117"/>
    </row>
    <row r="187" spans="2:2" s="93" customFormat="1" ht="12.75" x14ac:dyDescent="0.15">
      <c r="B187" s="117"/>
    </row>
    <row r="188" spans="2:2" s="93" customFormat="1" ht="12.75" x14ac:dyDescent="0.15">
      <c r="B188" s="117"/>
    </row>
    <row r="189" spans="2:2" s="93" customFormat="1" ht="12.75" x14ac:dyDescent="0.15">
      <c r="B189" s="117"/>
    </row>
    <row r="190" spans="2:2" s="93" customFormat="1" ht="12.75" x14ac:dyDescent="0.15">
      <c r="B190" s="117"/>
    </row>
    <row r="191" spans="2:2" s="93" customFormat="1" ht="12.75" x14ac:dyDescent="0.15">
      <c r="B191" s="117"/>
    </row>
    <row r="192" spans="2:2" s="93" customFormat="1" ht="12.75" x14ac:dyDescent="0.15">
      <c r="B192" s="117"/>
    </row>
    <row r="193" spans="2:2" s="93" customFormat="1" ht="12.75" x14ac:dyDescent="0.15">
      <c r="B193" s="117"/>
    </row>
    <row r="194" spans="2:2" s="93" customFormat="1" ht="12.75" x14ac:dyDescent="0.15">
      <c r="B194" s="117"/>
    </row>
    <row r="195" spans="2:2" s="93" customFormat="1" ht="12.75" x14ac:dyDescent="0.15">
      <c r="B195" s="117"/>
    </row>
    <row r="196" spans="2:2" s="93" customFormat="1" ht="12.75" x14ac:dyDescent="0.15">
      <c r="B196" s="117"/>
    </row>
    <row r="197" spans="2:2" s="93" customFormat="1" ht="12.75" x14ac:dyDescent="0.15">
      <c r="B197" s="117"/>
    </row>
    <row r="198" spans="2:2" s="93" customFormat="1" ht="12.75" x14ac:dyDescent="0.15">
      <c r="B198" s="117"/>
    </row>
    <row r="199" spans="2:2" s="93" customFormat="1" ht="12.75" x14ac:dyDescent="0.15">
      <c r="B199" s="117"/>
    </row>
    <row r="200" spans="2:2" s="93" customFormat="1" ht="12.75" x14ac:dyDescent="0.15">
      <c r="B200" s="117"/>
    </row>
    <row r="201" spans="2:2" s="93" customFormat="1" ht="12.75" x14ac:dyDescent="0.15">
      <c r="B201" s="117"/>
    </row>
    <row r="202" spans="2:2" s="93" customFormat="1" ht="12.75" x14ac:dyDescent="0.15">
      <c r="B202" s="117"/>
    </row>
    <row r="203" spans="2:2" s="93" customFormat="1" ht="12.75" x14ac:dyDescent="0.15">
      <c r="B203" s="117"/>
    </row>
    <row r="204" spans="2:2" s="93" customFormat="1" ht="12.75" x14ac:dyDescent="0.15">
      <c r="B204" s="117"/>
    </row>
    <row r="205" spans="2:2" s="93" customFormat="1" ht="12.75" x14ac:dyDescent="0.15">
      <c r="B205" s="117"/>
    </row>
    <row r="206" spans="2:2" s="93" customFormat="1" ht="12.75" x14ac:dyDescent="0.15">
      <c r="B206" s="117"/>
    </row>
    <row r="207" spans="2:2" s="93" customFormat="1" ht="12.75" x14ac:dyDescent="0.15">
      <c r="B207" s="117"/>
    </row>
    <row r="208" spans="2:2" s="93" customFormat="1" ht="12.75" x14ac:dyDescent="0.15">
      <c r="B208" s="117"/>
    </row>
    <row r="209" spans="2:2" s="93" customFormat="1" ht="12.75" x14ac:dyDescent="0.15">
      <c r="B209" s="117"/>
    </row>
    <row r="210" spans="2:2" s="93" customFormat="1" ht="12.75" x14ac:dyDescent="0.15">
      <c r="B210" s="117"/>
    </row>
    <row r="211" spans="2:2" s="93" customFormat="1" ht="12.75" x14ac:dyDescent="0.15">
      <c r="B211" s="117"/>
    </row>
    <row r="212" spans="2:2" s="93" customFormat="1" ht="12.75" x14ac:dyDescent="0.15">
      <c r="B212" s="117"/>
    </row>
    <row r="213" spans="2:2" s="93" customFormat="1" ht="12.75" x14ac:dyDescent="0.15">
      <c r="B213" s="117"/>
    </row>
    <row r="214" spans="2:2" s="93" customFormat="1" ht="12.75" x14ac:dyDescent="0.15">
      <c r="B214" s="117"/>
    </row>
    <row r="215" spans="2:2" s="93" customFormat="1" ht="12.75" x14ac:dyDescent="0.15">
      <c r="B215" s="117"/>
    </row>
    <row r="216" spans="2:2" s="93" customFormat="1" ht="12.75" x14ac:dyDescent="0.15">
      <c r="B216" s="117"/>
    </row>
    <row r="217" spans="2:2" s="93" customFormat="1" ht="12.75" x14ac:dyDescent="0.15">
      <c r="B217" s="117"/>
    </row>
    <row r="218" spans="2:2" s="93" customFormat="1" ht="12.75" x14ac:dyDescent="0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140625" defaultRowHeight="12.75" x14ac:dyDescent="0.15"/>
  <cols>
    <col min="1" max="2" width="9.4140625" style="73"/>
    <col min="3" max="3" width="13.44921875" style="73" bestFit="1" customWidth="1"/>
    <col min="4" max="5" width="9.4140625" style="73"/>
    <col min="6" max="6" width="12.10546875" style="73" bestFit="1" customWidth="1"/>
    <col min="7" max="7" width="1.4765625" style="73" customWidth="1"/>
    <col min="8" max="8" width="11.43359375" style="73" bestFit="1" customWidth="1"/>
    <col min="9" max="16384" width="9.4140625" style="73"/>
  </cols>
  <sheetData>
    <row r="1" spans="3:8" ht="13.5" thickBot="1" x14ac:dyDescent="0.2"/>
    <row r="2" spans="3:8" ht="13.5" thickBot="1" x14ac:dyDescent="0.2">
      <c r="C2" s="83" t="s">
        <v>190</v>
      </c>
      <c r="F2" s="83" t="s">
        <v>191</v>
      </c>
    </row>
    <row r="3" spans="3:8" x14ac:dyDescent="0.15">
      <c r="C3" s="79">
        <v>45658</v>
      </c>
      <c r="D3" s="73" t="s">
        <v>192</v>
      </c>
      <c r="F3" s="81" t="s">
        <v>193</v>
      </c>
    </row>
    <row r="4" spans="3:8" x14ac:dyDescent="0.15">
      <c r="C4" s="79">
        <v>45737</v>
      </c>
      <c r="D4" s="73" t="s">
        <v>194</v>
      </c>
      <c r="F4" s="81" t="s">
        <v>195</v>
      </c>
    </row>
    <row r="5" spans="3:8" x14ac:dyDescent="0.15">
      <c r="C5" s="79">
        <v>45765</v>
      </c>
      <c r="D5" s="73" t="s">
        <v>196</v>
      </c>
      <c r="F5" s="81" t="s">
        <v>197</v>
      </c>
    </row>
    <row r="6" spans="3:8" ht="13.5" thickBot="1" x14ac:dyDescent="0.2">
      <c r="C6" s="79">
        <v>45768</v>
      </c>
      <c r="D6" s="73" t="s">
        <v>198</v>
      </c>
      <c r="F6" s="82" t="s">
        <v>199</v>
      </c>
    </row>
    <row r="7" spans="3:8" x14ac:dyDescent="0.15">
      <c r="C7" s="79">
        <v>45774</v>
      </c>
      <c r="D7" s="73" t="s">
        <v>200</v>
      </c>
    </row>
    <row r="8" spans="3:8" x14ac:dyDescent="0.15">
      <c r="C8" s="79">
        <v>45765</v>
      </c>
      <c r="D8" s="73" t="s">
        <v>201</v>
      </c>
    </row>
    <row r="9" spans="3:8" x14ac:dyDescent="0.15">
      <c r="C9" s="79">
        <v>45778</v>
      </c>
      <c r="D9" s="73" t="s">
        <v>202</v>
      </c>
    </row>
    <row r="10" spans="3:8" x14ac:dyDescent="0.15">
      <c r="C10" s="79">
        <v>45824</v>
      </c>
      <c r="D10" s="73" t="s">
        <v>203</v>
      </c>
    </row>
    <row r="11" spans="3:8" x14ac:dyDescent="0.15">
      <c r="C11" s="79">
        <v>45878</v>
      </c>
      <c r="D11" s="73" t="s">
        <v>204</v>
      </c>
    </row>
    <row r="12" spans="3:8" x14ac:dyDescent="0.15">
      <c r="C12" s="79">
        <v>45924</v>
      </c>
      <c r="D12" s="73" t="s">
        <v>205</v>
      </c>
    </row>
    <row r="13" spans="3:8" x14ac:dyDescent="0.15">
      <c r="C13" s="79">
        <v>46007</v>
      </c>
      <c r="D13" s="73" t="s">
        <v>206</v>
      </c>
      <c r="F13" s="85"/>
      <c r="H13" s="73" t="s">
        <v>207</v>
      </c>
    </row>
    <row r="14" spans="3:8" x14ac:dyDescent="0.15">
      <c r="C14" s="79">
        <v>46016</v>
      </c>
      <c r="D14" s="73" t="s">
        <v>208</v>
      </c>
    </row>
    <row r="15" spans="3:8" ht="13.5" thickBot="1" x14ac:dyDescent="0.2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7" activePane="bottomLeft" state="frozen"/>
      <selection activeCell="X33" sqref="X33"/>
      <selection pane="bottomLeft" activeCell="X33" sqref="X33"/>
    </sheetView>
  </sheetViews>
  <sheetFormatPr defaultColWidth="8.47265625" defaultRowHeight="14.25" x14ac:dyDescent="0.15"/>
  <cols>
    <col min="1" max="1" width="1.4765625" style="24" customWidth="1"/>
    <col min="2" max="2" width="8.47265625" style="64"/>
    <col min="3" max="3" width="2.41796875" style="64" customWidth="1"/>
    <col min="4" max="4" width="21.1171875" style="24" customWidth="1"/>
    <col min="5" max="5" width="1.4765625" style="24" customWidth="1"/>
    <col min="6" max="6" width="19.50390625" style="24" customWidth="1"/>
    <col min="7" max="7" width="1.4765625" style="24" customWidth="1"/>
    <col min="8" max="8" width="18.4296875" style="24" customWidth="1"/>
    <col min="9" max="9" width="3.359375" style="24" customWidth="1"/>
    <col min="10" max="10" width="21.5234375" style="24" customWidth="1"/>
    <col min="11" max="11" width="2.015625" style="24" customWidth="1"/>
    <col min="12" max="12" width="53.40234375" style="24" customWidth="1"/>
    <col min="13" max="16384" width="8.47265625" style="24"/>
  </cols>
  <sheetData>
    <row r="1" spans="1:12" ht="6.75" customHeight="1" x14ac:dyDescent="0.15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x14ac:dyDescent="0.15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 x14ac:dyDescent="0.15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5" thickBot="1" x14ac:dyDescent="0.2">
      <c r="A4" s="216"/>
      <c r="B4" s="748"/>
      <c r="C4" s="748"/>
      <c r="D4" s="748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5" thickBot="1" x14ac:dyDescent="0.2">
      <c r="A5" s="216"/>
      <c r="B5" s="749" t="s">
        <v>212</v>
      </c>
      <c r="C5" s="749"/>
      <c r="D5" s="749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 x14ac:dyDescent="0.2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5.5" thickBot="1" x14ac:dyDescent="0.2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 x14ac:dyDescent="0.15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x14ac:dyDescent="0.15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 x14ac:dyDescent="0.15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 x14ac:dyDescent="0.15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 x14ac:dyDescent="0.15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 x14ac:dyDescent="0.15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 x14ac:dyDescent="0.15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 x14ac:dyDescent="0.15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 x14ac:dyDescent="0.15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 x14ac:dyDescent="0.15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 x14ac:dyDescent="0.15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 x14ac:dyDescent="0.15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 x14ac:dyDescent="0.15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 x14ac:dyDescent="0.15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 x14ac:dyDescent="0.15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 x14ac:dyDescent="0.15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 x14ac:dyDescent="0.15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 x14ac:dyDescent="0.15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 x14ac:dyDescent="0.15">
      <c r="B26" s="109"/>
      <c r="C26" s="109"/>
    </row>
    <row r="27" spans="1:12" x14ac:dyDescent="0.15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 x14ac:dyDescent="0.15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 x14ac:dyDescent="0.15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 x14ac:dyDescent="0.15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 x14ac:dyDescent="0.15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 x14ac:dyDescent="0.15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 x14ac:dyDescent="0.15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 x14ac:dyDescent="0.15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 x14ac:dyDescent="0.15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 x14ac:dyDescent="0.15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 x14ac:dyDescent="0.15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 x14ac:dyDescent="0.15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 x14ac:dyDescent="0.15">
      <c r="B39" s="113"/>
      <c r="C39" s="113"/>
    </row>
    <row r="40" spans="1:12" s="112" customFormat="1" x14ac:dyDescent="0.15">
      <c r="B40" s="113"/>
      <c r="C40" s="113"/>
    </row>
    <row r="41" spans="1:12" s="112" customFormat="1" x14ac:dyDescent="0.15">
      <c r="B41" s="113"/>
      <c r="C41" s="113"/>
    </row>
    <row r="42" spans="1:12" s="112" customFormat="1" x14ac:dyDescent="0.15">
      <c r="B42" s="113"/>
      <c r="C42" s="113"/>
    </row>
    <row r="43" spans="1:12" s="112" customFormat="1" x14ac:dyDescent="0.15">
      <c r="B43" s="113"/>
      <c r="C43" s="113"/>
    </row>
    <row r="44" spans="1:12" s="112" customFormat="1" x14ac:dyDescent="0.15">
      <c r="B44" s="113"/>
      <c r="C44" s="113"/>
    </row>
    <row r="45" spans="1:12" s="112" customFormat="1" x14ac:dyDescent="0.15">
      <c r="B45" s="113"/>
      <c r="C45" s="113"/>
    </row>
    <row r="46" spans="1:12" s="112" customFormat="1" x14ac:dyDescent="0.15">
      <c r="B46" s="113"/>
      <c r="C46" s="113"/>
    </row>
    <row r="47" spans="1:12" s="112" customFormat="1" x14ac:dyDescent="0.15">
      <c r="B47" s="113"/>
      <c r="C47" s="113"/>
    </row>
    <row r="48" spans="1:12" s="112" customFormat="1" x14ac:dyDescent="0.15">
      <c r="B48" s="113"/>
      <c r="C48" s="113"/>
    </row>
    <row r="49" spans="2:3" s="112" customFormat="1" x14ac:dyDescent="0.15">
      <c r="B49" s="113"/>
      <c r="C49" s="113"/>
    </row>
    <row r="50" spans="2:3" s="112" customFormat="1" x14ac:dyDescent="0.15">
      <c r="B50" s="113"/>
      <c r="C50" s="113"/>
    </row>
    <row r="51" spans="2:3" s="112" customFormat="1" x14ac:dyDescent="0.15">
      <c r="B51" s="113"/>
      <c r="C51" s="113"/>
    </row>
    <row r="52" spans="2:3" s="112" customFormat="1" x14ac:dyDescent="0.15">
      <c r="B52" s="113"/>
      <c r="C52" s="113"/>
    </row>
    <row r="53" spans="2:3" s="112" customFormat="1" x14ac:dyDescent="0.15">
      <c r="B53" s="113"/>
      <c r="C53" s="113"/>
    </row>
    <row r="54" spans="2:3" s="112" customFormat="1" x14ac:dyDescent="0.15">
      <c r="B54" s="113"/>
      <c r="C54" s="113"/>
    </row>
    <row r="55" spans="2:3" s="112" customFormat="1" x14ac:dyDescent="0.15">
      <c r="B55" s="113"/>
      <c r="C55" s="113"/>
    </row>
    <row r="56" spans="2:3" s="112" customFormat="1" x14ac:dyDescent="0.15">
      <c r="B56" s="113"/>
      <c r="C56" s="113"/>
    </row>
    <row r="57" spans="2:3" s="112" customFormat="1" x14ac:dyDescent="0.15">
      <c r="B57" s="113"/>
      <c r="C57" s="113"/>
    </row>
    <row r="58" spans="2:3" s="112" customFormat="1" x14ac:dyDescent="0.15">
      <c r="B58" s="113"/>
      <c r="C58" s="113"/>
    </row>
    <row r="59" spans="2:3" s="112" customFormat="1" x14ac:dyDescent="0.15">
      <c r="B59" s="113"/>
      <c r="C59" s="113"/>
    </row>
    <row r="60" spans="2:3" s="112" customFormat="1" x14ac:dyDescent="0.15">
      <c r="B60" s="113"/>
      <c r="C60" s="113"/>
    </row>
    <row r="61" spans="2:3" s="112" customFormat="1" x14ac:dyDescent="0.15">
      <c r="B61" s="113"/>
      <c r="C61" s="113"/>
    </row>
    <row r="62" spans="2:3" s="112" customFormat="1" x14ac:dyDescent="0.15">
      <c r="B62" s="113"/>
      <c r="C62" s="113"/>
    </row>
    <row r="63" spans="2:3" s="112" customFormat="1" x14ac:dyDescent="0.15">
      <c r="B63" s="113"/>
      <c r="C63" s="113"/>
    </row>
    <row r="64" spans="2:3" s="112" customFormat="1" x14ac:dyDescent="0.15">
      <c r="B64" s="113"/>
      <c r="C64" s="113"/>
    </row>
    <row r="65" spans="2:3" s="112" customFormat="1" x14ac:dyDescent="0.15">
      <c r="B65" s="113"/>
      <c r="C65" s="113"/>
    </row>
    <row r="66" spans="2:3" s="112" customFormat="1" x14ac:dyDescent="0.15">
      <c r="B66" s="113"/>
      <c r="C66" s="113"/>
    </row>
    <row r="67" spans="2:3" s="112" customFormat="1" x14ac:dyDescent="0.15">
      <c r="B67" s="113"/>
      <c r="C67" s="113"/>
    </row>
    <row r="68" spans="2:3" s="112" customFormat="1" x14ac:dyDescent="0.15">
      <c r="B68" s="113"/>
      <c r="C68" s="113"/>
    </row>
    <row r="69" spans="2:3" s="112" customFormat="1" x14ac:dyDescent="0.15">
      <c r="B69" s="113"/>
      <c r="C69" s="113"/>
    </row>
    <row r="70" spans="2:3" s="112" customFormat="1" x14ac:dyDescent="0.15">
      <c r="B70" s="113"/>
      <c r="C70" s="113"/>
    </row>
    <row r="71" spans="2:3" s="112" customFormat="1" x14ac:dyDescent="0.15">
      <c r="B71" s="113"/>
      <c r="C71" s="113"/>
    </row>
    <row r="72" spans="2:3" s="112" customFormat="1" x14ac:dyDescent="0.15">
      <c r="B72" s="113"/>
      <c r="C72" s="113"/>
    </row>
    <row r="73" spans="2:3" s="112" customFormat="1" x14ac:dyDescent="0.15">
      <c r="B73" s="113"/>
      <c r="C73" s="113"/>
    </row>
    <row r="74" spans="2:3" s="112" customFormat="1" x14ac:dyDescent="0.15">
      <c r="B74" s="113"/>
      <c r="C74" s="113"/>
    </row>
    <row r="75" spans="2:3" s="112" customFormat="1" x14ac:dyDescent="0.15">
      <c r="B75" s="113"/>
      <c r="C75" s="113"/>
    </row>
    <row r="76" spans="2:3" s="112" customFormat="1" x14ac:dyDescent="0.15">
      <c r="B76" s="113"/>
      <c r="C76" s="113"/>
    </row>
    <row r="77" spans="2:3" s="112" customFormat="1" x14ac:dyDescent="0.15">
      <c r="B77" s="113"/>
      <c r="C77" s="113"/>
    </row>
    <row r="78" spans="2:3" s="112" customFormat="1" x14ac:dyDescent="0.15">
      <c r="B78" s="113"/>
      <c r="C78" s="113"/>
    </row>
    <row r="79" spans="2:3" s="112" customFormat="1" x14ac:dyDescent="0.15">
      <c r="B79" s="113"/>
      <c r="C79" s="113"/>
    </row>
    <row r="80" spans="2:3" s="112" customFormat="1" x14ac:dyDescent="0.15">
      <c r="B80" s="113"/>
      <c r="C80" s="113"/>
    </row>
    <row r="81" spans="2:3" s="112" customFormat="1" x14ac:dyDescent="0.15">
      <c r="B81" s="113"/>
      <c r="C81" s="113"/>
    </row>
    <row r="82" spans="2:3" s="112" customFormat="1" x14ac:dyDescent="0.15">
      <c r="B82" s="113"/>
      <c r="C82" s="113"/>
    </row>
    <row r="83" spans="2:3" s="112" customFormat="1" x14ac:dyDescent="0.15">
      <c r="B83" s="113"/>
      <c r="C83" s="113"/>
    </row>
    <row r="84" spans="2:3" s="112" customFormat="1" x14ac:dyDescent="0.15">
      <c r="B84" s="113"/>
      <c r="C84" s="113"/>
    </row>
    <row r="85" spans="2:3" s="112" customFormat="1" x14ac:dyDescent="0.15">
      <c r="B85" s="113"/>
      <c r="C85" s="113"/>
    </row>
    <row r="86" spans="2:3" s="112" customFormat="1" x14ac:dyDescent="0.15">
      <c r="B86" s="113"/>
      <c r="C86" s="113"/>
    </row>
    <row r="87" spans="2:3" s="112" customFormat="1" x14ac:dyDescent="0.15">
      <c r="B87" s="113"/>
      <c r="C87" s="113"/>
    </row>
    <row r="88" spans="2:3" s="112" customFormat="1" x14ac:dyDescent="0.15">
      <c r="B88" s="113"/>
      <c r="C88" s="113"/>
    </row>
    <row r="89" spans="2:3" s="112" customFormat="1" x14ac:dyDescent="0.15">
      <c r="B89" s="113"/>
      <c r="C89" s="113"/>
    </row>
    <row r="90" spans="2:3" s="112" customFormat="1" x14ac:dyDescent="0.15">
      <c r="B90" s="113"/>
      <c r="C90" s="113"/>
    </row>
    <row r="91" spans="2:3" s="112" customFormat="1" x14ac:dyDescent="0.15">
      <c r="B91" s="113"/>
      <c r="C91" s="113"/>
    </row>
    <row r="92" spans="2:3" s="112" customFormat="1" x14ac:dyDescent="0.15">
      <c r="B92" s="113"/>
      <c r="C92" s="113"/>
    </row>
    <row r="93" spans="2:3" s="112" customFormat="1" x14ac:dyDescent="0.15">
      <c r="B93" s="113"/>
      <c r="C93" s="113"/>
    </row>
    <row r="94" spans="2:3" s="112" customFormat="1" x14ac:dyDescent="0.15">
      <c r="B94" s="113"/>
      <c r="C94" s="113"/>
    </row>
    <row r="95" spans="2:3" s="112" customFormat="1" x14ac:dyDescent="0.15">
      <c r="B95" s="113"/>
      <c r="C95" s="113"/>
    </row>
    <row r="96" spans="2:3" s="112" customFormat="1" x14ac:dyDescent="0.15">
      <c r="B96" s="113"/>
      <c r="C96" s="113"/>
    </row>
    <row r="97" spans="2:3" s="112" customFormat="1" x14ac:dyDescent="0.15">
      <c r="B97" s="113"/>
      <c r="C97" s="113"/>
    </row>
    <row r="98" spans="2:3" s="112" customFormat="1" x14ac:dyDescent="0.15">
      <c r="B98" s="113"/>
      <c r="C98" s="113"/>
    </row>
    <row r="99" spans="2:3" s="112" customFormat="1" x14ac:dyDescent="0.15">
      <c r="B99" s="113"/>
      <c r="C99" s="113"/>
    </row>
    <row r="100" spans="2:3" s="112" customFormat="1" x14ac:dyDescent="0.15">
      <c r="B100" s="113"/>
      <c r="C100" s="113"/>
    </row>
    <row r="101" spans="2:3" s="112" customFormat="1" x14ac:dyDescent="0.15">
      <c r="B101" s="113"/>
      <c r="C101" s="113"/>
    </row>
    <row r="102" spans="2:3" s="112" customFormat="1" x14ac:dyDescent="0.15">
      <c r="B102" s="113"/>
      <c r="C102" s="113"/>
    </row>
    <row r="103" spans="2:3" s="112" customFormat="1" x14ac:dyDescent="0.15">
      <c r="B103" s="113"/>
      <c r="C103" s="113"/>
    </row>
    <row r="104" spans="2:3" s="112" customFormat="1" x14ac:dyDescent="0.15">
      <c r="B104" s="113"/>
      <c r="C104" s="113"/>
    </row>
    <row r="105" spans="2:3" s="112" customFormat="1" x14ac:dyDescent="0.15">
      <c r="B105" s="113"/>
      <c r="C105" s="113"/>
    </row>
    <row r="106" spans="2:3" s="112" customFormat="1" x14ac:dyDescent="0.15">
      <c r="B106" s="113"/>
      <c r="C106" s="113"/>
    </row>
    <row r="107" spans="2:3" s="112" customFormat="1" x14ac:dyDescent="0.15">
      <c r="B107" s="113"/>
      <c r="C107" s="113"/>
    </row>
    <row r="108" spans="2:3" s="112" customFormat="1" x14ac:dyDescent="0.15">
      <c r="B108" s="113"/>
      <c r="C108" s="113"/>
    </row>
    <row r="109" spans="2:3" s="112" customFormat="1" x14ac:dyDescent="0.15">
      <c r="B109" s="113"/>
      <c r="C109" s="113"/>
    </row>
    <row r="110" spans="2:3" s="112" customFormat="1" x14ac:dyDescent="0.15">
      <c r="B110" s="113"/>
      <c r="C110" s="113"/>
    </row>
    <row r="111" spans="2:3" s="112" customFormat="1" x14ac:dyDescent="0.15">
      <c r="B111" s="113"/>
      <c r="C111" s="113"/>
    </row>
    <row r="112" spans="2:3" s="112" customFormat="1" x14ac:dyDescent="0.15">
      <c r="B112" s="113"/>
      <c r="C112" s="113"/>
    </row>
    <row r="113" spans="2:3" s="112" customFormat="1" x14ac:dyDescent="0.15">
      <c r="B113" s="113"/>
      <c r="C113" s="113"/>
    </row>
    <row r="114" spans="2:3" s="112" customFormat="1" x14ac:dyDescent="0.15">
      <c r="B114" s="113"/>
      <c r="C114" s="113"/>
    </row>
    <row r="115" spans="2:3" s="112" customFormat="1" x14ac:dyDescent="0.15">
      <c r="B115" s="113"/>
      <c r="C115" s="113"/>
    </row>
    <row r="116" spans="2:3" s="112" customFormat="1" x14ac:dyDescent="0.15">
      <c r="B116" s="113"/>
      <c r="C116" s="113"/>
    </row>
    <row r="117" spans="2:3" s="112" customFormat="1" x14ac:dyDescent="0.15">
      <c r="B117" s="113"/>
      <c r="C117" s="113"/>
    </row>
    <row r="118" spans="2:3" s="112" customFormat="1" x14ac:dyDescent="0.15">
      <c r="B118" s="113"/>
      <c r="C118" s="113"/>
    </row>
    <row r="119" spans="2:3" s="112" customFormat="1" x14ac:dyDescent="0.15">
      <c r="B119" s="113"/>
      <c r="C119" s="113"/>
    </row>
    <row r="120" spans="2:3" s="112" customFormat="1" x14ac:dyDescent="0.15">
      <c r="B120" s="113"/>
      <c r="C120" s="113"/>
    </row>
    <row r="121" spans="2:3" s="112" customFormat="1" x14ac:dyDescent="0.15">
      <c r="B121" s="113"/>
      <c r="C121" s="113"/>
    </row>
    <row r="122" spans="2:3" s="112" customFormat="1" x14ac:dyDescent="0.15">
      <c r="B122" s="113"/>
      <c r="C122" s="113"/>
    </row>
    <row r="123" spans="2:3" s="112" customFormat="1" x14ac:dyDescent="0.15">
      <c r="B123" s="113"/>
      <c r="C123" s="113"/>
    </row>
    <row r="124" spans="2:3" s="112" customFormat="1" x14ac:dyDescent="0.15">
      <c r="B124" s="113"/>
      <c r="C124" s="113"/>
    </row>
    <row r="125" spans="2:3" s="112" customFormat="1" x14ac:dyDescent="0.15">
      <c r="B125" s="113"/>
      <c r="C125" s="113"/>
    </row>
    <row r="126" spans="2:3" s="112" customFormat="1" x14ac:dyDescent="0.15">
      <c r="B126" s="113"/>
      <c r="C126" s="113"/>
    </row>
    <row r="127" spans="2:3" s="112" customFormat="1" x14ac:dyDescent="0.15">
      <c r="B127" s="113"/>
      <c r="C127" s="113"/>
    </row>
    <row r="128" spans="2:3" s="112" customFormat="1" x14ac:dyDescent="0.15">
      <c r="B128" s="113"/>
      <c r="C128" s="113"/>
    </row>
    <row r="129" spans="2:3" s="112" customFormat="1" x14ac:dyDescent="0.15">
      <c r="B129" s="113"/>
      <c r="C129" s="113"/>
    </row>
    <row r="130" spans="2:3" s="112" customFormat="1" x14ac:dyDescent="0.15">
      <c r="B130" s="113"/>
      <c r="C130" s="113"/>
    </row>
    <row r="131" spans="2:3" s="112" customFormat="1" x14ac:dyDescent="0.15">
      <c r="B131" s="113"/>
      <c r="C131" s="113"/>
    </row>
    <row r="132" spans="2:3" s="112" customFormat="1" x14ac:dyDescent="0.15">
      <c r="B132" s="113"/>
      <c r="C132" s="113"/>
    </row>
    <row r="133" spans="2:3" s="112" customFormat="1" x14ac:dyDescent="0.15">
      <c r="B133" s="113"/>
      <c r="C133" s="113"/>
    </row>
    <row r="134" spans="2:3" s="112" customFormat="1" x14ac:dyDescent="0.15">
      <c r="B134" s="113"/>
      <c r="C134" s="113"/>
    </row>
    <row r="135" spans="2:3" s="112" customFormat="1" x14ac:dyDescent="0.15">
      <c r="B135" s="113"/>
      <c r="C135" s="113"/>
    </row>
    <row r="136" spans="2:3" s="112" customFormat="1" x14ac:dyDescent="0.15">
      <c r="B136" s="113"/>
      <c r="C136" s="113"/>
    </row>
    <row r="137" spans="2:3" s="112" customFormat="1" x14ac:dyDescent="0.15">
      <c r="B137" s="113"/>
      <c r="C137" s="113"/>
    </row>
    <row r="138" spans="2:3" s="112" customFormat="1" x14ac:dyDescent="0.15">
      <c r="B138" s="113"/>
      <c r="C138" s="113"/>
    </row>
    <row r="139" spans="2:3" s="112" customFormat="1" x14ac:dyDescent="0.15">
      <c r="B139" s="113"/>
      <c r="C139" s="113"/>
    </row>
    <row r="140" spans="2:3" s="112" customFormat="1" x14ac:dyDescent="0.15">
      <c r="B140" s="113"/>
      <c r="C140" s="113"/>
    </row>
    <row r="141" spans="2:3" s="112" customFormat="1" x14ac:dyDescent="0.15">
      <c r="B141" s="113"/>
      <c r="C141" s="113"/>
    </row>
    <row r="142" spans="2:3" s="112" customFormat="1" x14ac:dyDescent="0.15">
      <c r="B142" s="113"/>
      <c r="C142" s="113"/>
    </row>
    <row r="143" spans="2:3" s="112" customFormat="1" x14ac:dyDescent="0.15">
      <c r="B143" s="113"/>
      <c r="C143" s="113"/>
    </row>
    <row r="144" spans="2:3" s="112" customFormat="1" x14ac:dyDescent="0.15">
      <c r="B144" s="113"/>
      <c r="C144" s="113"/>
    </row>
    <row r="145" spans="2:3" s="112" customFormat="1" x14ac:dyDescent="0.15">
      <c r="B145" s="113"/>
      <c r="C145" s="113"/>
    </row>
    <row r="146" spans="2:3" s="112" customFormat="1" x14ac:dyDescent="0.15">
      <c r="B146" s="113"/>
      <c r="C146" s="113"/>
    </row>
    <row r="147" spans="2:3" s="112" customFormat="1" x14ac:dyDescent="0.15">
      <c r="B147" s="113"/>
      <c r="C147" s="113"/>
    </row>
    <row r="148" spans="2:3" s="112" customFormat="1" x14ac:dyDescent="0.15">
      <c r="B148" s="113"/>
      <c r="C148" s="113"/>
    </row>
    <row r="149" spans="2:3" s="112" customFormat="1" x14ac:dyDescent="0.15">
      <c r="B149" s="113"/>
      <c r="C149" s="113"/>
    </row>
    <row r="150" spans="2:3" s="112" customFormat="1" x14ac:dyDescent="0.15">
      <c r="B150" s="113"/>
      <c r="C150" s="113"/>
    </row>
    <row r="151" spans="2:3" s="112" customFormat="1" x14ac:dyDescent="0.15">
      <c r="B151" s="113"/>
      <c r="C151" s="113"/>
    </row>
    <row r="152" spans="2:3" s="112" customFormat="1" x14ac:dyDescent="0.15">
      <c r="B152" s="113"/>
      <c r="C152" s="113"/>
    </row>
    <row r="153" spans="2:3" s="112" customFormat="1" x14ac:dyDescent="0.15">
      <c r="B153" s="113"/>
      <c r="C153" s="113"/>
    </row>
    <row r="154" spans="2:3" s="112" customFormat="1" x14ac:dyDescent="0.15">
      <c r="B154" s="113"/>
      <c r="C154" s="113"/>
    </row>
    <row r="155" spans="2:3" s="112" customFormat="1" x14ac:dyDescent="0.15">
      <c r="B155" s="113"/>
      <c r="C155" s="113"/>
    </row>
    <row r="156" spans="2:3" s="112" customFormat="1" x14ac:dyDescent="0.15">
      <c r="B156" s="113"/>
      <c r="C156" s="113"/>
    </row>
    <row r="157" spans="2:3" s="112" customFormat="1" x14ac:dyDescent="0.15">
      <c r="B157" s="113"/>
      <c r="C157" s="113"/>
    </row>
    <row r="158" spans="2:3" s="112" customFormat="1" x14ac:dyDescent="0.15">
      <c r="B158" s="113"/>
      <c r="C158" s="113"/>
    </row>
    <row r="159" spans="2:3" s="112" customFormat="1" x14ac:dyDescent="0.15">
      <c r="B159" s="113"/>
      <c r="C159" s="113"/>
    </row>
    <row r="160" spans="2:3" s="112" customFormat="1" x14ac:dyDescent="0.15">
      <c r="B160" s="113"/>
      <c r="C160" s="113"/>
    </row>
    <row r="161" spans="2:3" s="112" customFormat="1" x14ac:dyDescent="0.15">
      <c r="B161" s="113"/>
      <c r="C161" s="113"/>
    </row>
    <row r="162" spans="2:3" s="112" customFormat="1" x14ac:dyDescent="0.15">
      <c r="B162" s="113"/>
      <c r="C162" s="113"/>
    </row>
    <row r="163" spans="2:3" s="112" customFormat="1" x14ac:dyDescent="0.15">
      <c r="B163" s="113"/>
      <c r="C163" s="113"/>
    </row>
    <row r="164" spans="2:3" s="112" customFormat="1" x14ac:dyDescent="0.15">
      <c r="B164" s="113"/>
      <c r="C164" s="113"/>
    </row>
    <row r="165" spans="2:3" s="112" customFormat="1" x14ac:dyDescent="0.15">
      <c r="B165" s="113"/>
      <c r="C165" s="113"/>
    </row>
    <row r="166" spans="2:3" s="112" customFormat="1" x14ac:dyDescent="0.15">
      <c r="B166" s="113"/>
      <c r="C166" s="113"/>
    </row>
    <row r="167" spans="2:3" s="112" customFormat="1" x14ac:dyDescent="0.15">
      <c r="B167" s="113"/>
      <c r="C167" s="113"/>
    </row>
    <row r="168" spans="2:3" s="112" customFormat="1" x14ac:dyDescent="0.15">
      <c r="B168" s="113"/>
      <c r="C168" s="113"/>
    </row>
    <row r="169" spans="2:3" s="112" customFormat="1" x14ac:dyDescent="0.15">
      <c r="B169" s="113"/>
      <c r="C169" s="113"/>
    </row>
    <row r="170" spans="2:3" s="112" customFormat="1" x14ac:dyDescent="0.15">
      <c r="B170" s="113"/>
      <c r="C170" s="113"/>
    </row>
    <row r="171" spans="2:3" s="112" customFormat="1" x14ac:dyDescent="0.15">
      <c r="B171" s="113"/>
      <c r="C171" s="113"/>
    </row>
    <row r="172" spans="2:3" s="112" customFormat="1" x14ac:dyDescent="0.15">
      <c r="B172" s="113"/>
      <c r="C172" s="113"/>
    </row>
    <row r="173" spans="2:3" s="112" customFormat="1" x14ac:dyDescent="0.15">
      <c r="B173" s="113"/>
      <c r="C173" s="113"/>
    </row>
    <row r="174" spans="2:3" s="112" customFormat="1" x14ac:dyDescent="0.15">
      <c r="B174" s="113"/>
      <c r="C174" s="113"/>
    </row>
    <row r="175" spans="2:3" s="112" customFormat="1" x14ac:dyDescent="0.15">
      <c r="B175" s="113"/>
      <c r="C175" s="113"/>
    </row>
    <row r="176" spans="2:3" s="112" customFormat="1" x14ac:dyDescent="0.15">
      <c r="B176" s="113"/>
      <c r="C176" s="113"/>
    </row>
    <row r="177" spans="2:3" s="112" customFormat="1" x14ac:dyDescent="0.15">
      <c r="B177" s="113"/>
      <c r="C177" s="113"/>
    </row>
    <row r="178" spans="2:3" s="112" customFormat="1" x14ac:dyDescent="0.15">
      <c r="B178" s="113"/>
      <c r="C178" s="113"/>
    </row>
    <row r="179" spans="2:3" s="112" customFormat="1" x14ac:dyDescent="0.15">
      <c r="B179" s="113"/>
      <c r="C179" s="113"/>
    </row>
    <row r="180" spans="2:3" s="112" customFormat="1" x14ac:dyDescent="0.15">
      <c r="B180" s="113"/>
      <c r="C180" s="113"/>
    </row>
    <row r="181" spans="2:3" s="112" customFormat="1" x14ac:dyDescent="0.15">
      <c r="B181" s="113"/>
      <c r="C181" s="113"/>
    </row>
    <row r="182" spans="2:3" s="112" customFormat="1" x14ac:dyDescent="0.15">
      <c r="B182" s="113"/>
      <c r="C182" s="113"/>
    </row>
    <row r="183" spans="2:3" s="112" customFormat="1" x14ac:dyDescent="0.15">
      <c r="B183" s="113"/>
      <c r="C183" s="113"/>
    </row>
    <row r="184" spans="2:3" s="112" customFormat="1" x14ac:dyDescent="0.15">
      <c r="B184" s="113"/>
      <c r="C184" s="113"/>
    </row>
    <row r="185" spans="2:3" s="112" customFormat="1" x14ac:dyDescent="0.15">
      <c r="B185" s="113"/>
      <c r="C185" s="113"/>
    </row>
    <row r="186" spans="2:3" s="112" customFormat="1" x14ac:dyDescent="0.15">
      <c r="B186" s="113"/>
      <c r="C186" s="113"/>
    </row>
    <row r="187" spans="2:3" s="112" customFormat="1" x14ac:dyDescent="0.15">
      <c r="B187" s="113"/>
      <c r="C187" s="113"/>
    </row>
    <row r="188" spans="2:3" s="112" customFormat="1" x14ac:dyDescent="0.15">
      <c r="B188" s="113"/>
      <c r="C188" s="113"/>
    </row>
    <row r="189" spans="2:3" s="112" customFormat="1" x14ac:dyDescent="0.15">
      <c r="B189" s="113"/>
      <c r="C189" s="113"/>
    </row>
    <row r="190" spans="2:3" s="112" customFormat="1" x14ac:dyDescent="0.15">
      <c r="B190" s="113"/>
      <c r="C190" s="113"/>
    </row>
    <row r="191" spans="2:3" s="112" customFormat="1" x14ac:dyDescent="0.15">
      <c r="B191" s="113"/>
      <c r="C191" s="113"/>
    </row>
    <row r="192" spans="2:3" s="112" customFormat="1" x14ac:dyDescent="0.15">
      <c r="B192" s="113"/>
      <c r="C192" s="113"/>
    </row>
    <row r="193" spans="2:3" s="112" customFormat="1" x14ac:dyDescent="0.15">
      <c r="B193" s="113"/>
      <c r="C193" s="113"/>
    </row>
    <row r="194" spans="2:3" s="112" customFormat="1" x14ac:dyDescent="0.15">
      <c r="B194" s="113"/>
      <c r="C194" s="113"/>
    </row>
    <row r="195" spans="2:3" s="112" customFormat="1" x14ac:dyDescent="0.15">
      <c r="B195" s="113"/>
      <c r="C195" s="113"/>
    </row>
    <row r="196" spans="2:3" s="112" customFormat="1" x14ac:dyDescent="0.15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T1" zoomScale="82" zoomScaleNormal="80" workbookViewId="0">
      <pane ySplit="4" topLeftCell="T5" activePane="bottomLeft" state="frozen"/>
      <selection activeCell="X33" sqref="X33"/>
      <selection pane="bottomLeft" activeCell="X33" sqref="X33"/>
    </sheetView>
  </sheetViews>
  <sheetFormatPr defaultColWidth="9.4140625" defaultRowHeight="14.25" x14ac:dyDescent="0.15"/>
  <cols>
    <col min="1" max="1" width="2.41796875" style="112" hidden="1" customWidth="1"/>
    <col min="2" max="2" width="6.45703125" style="24" hidden="1" customWidth="1"/>
    <col min="3" max="3" width="20.4453125" style="24" hidden="1" customWidth="1"/>
    <col min="4" max="4" width="51.51953125" style="24" hidden="1" customWidth="1"/>
    <col min="5" max="5" width="13.046875" style="70" hidden="1" customWidth="1"/>
    <col min="6" max="6" width="16.54296875" style="474" hidden="1" customWidth="1"/>
    <col min="7" max="7" width="17.484375" style="24" hidden="1" customWidth="1"/>
    <col min="8" max="8" width="17.484375" style="542" hidden="1" customWidth="1"/>
    <col min="9" max="9" width="22.46484375" style="351" hidden="1" customWidth="1"/>
    <col min="10" max="10" width="22.46484375" style="351" bestFit="1" customWidth="1"/>
    <col min="11" max="12" width="5.109375" style="112" customWidth="1"/>
    <col min="13" max="13" width="25.55859375" style="112" customWidth="1"/>
    <col min="14" max="14" width="48.42578125" style="112" customWidth="1"/>
    <col min="15" max="15" width="15.6015625" style="112" customWidth="1"/>
    <col min="16" max="17" width="17.484375" style="112" customWidth="1"/>
    <col min="18" max="18" width="38.875" style="166" bestFit="1" customWidth="1"/>
    <col min="19" max="19" width="25.421875" style="112" customWidth="1"/>
    <col min="20" max="21" width="17.484375" style="542" customWidth="1"/>
    <col min="22" max="22" width="17.484375" style="112" customWidth="1"/>
    <col min="23" max="23" width="17.484375" style="542" customWidth="1"/>
    <col min="24" max="24" width="21.1171875" style="112" customWidth="1"/>
    <col min="25" max="25" width="34.4375" style="112" customWidth="1"/>
    <col min="26" max="26" width="24.88671875" style="112" bestFit="1" customWidth="1"/>
    <col min="27" max="76" width="17.484375" style="112" customWidth="1"/>
    <col min="77" max="16384" width="9.4140625" style="24"/>
  </cols>
  <sheetData>
    <row r="1" spans="1:76" s="112" customFormat="1" ht="4.5" customHeight="1" thickBot="1" x14ac:dyDescent="0.2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 x14ac:dyDescent="0.2">
      <c r="B2" s="800" t="s">
        <v>219</v>
      </c>
      <c r="C2" s="801"/>
      <c r="D2" s="801"/>
      <c r="E2" s="801"/>
      <c r="F2" s="801"/>
      <c r="G2" s="801"/>
      <c r="H2" s="681"/>
      <c r="I2" s="259">
        <f>SUM(I6:I160)</f>
        <v>817052.62</v>
      </c>
      <c r="J2" s="259">
        <f>SUM(J6:J160)</f>
        <v>1027135</v>
      </c>
      <c r="L2" s="802" t="s">
        <v>220</v>
      </c>
      <c r="M2" s="803"/>
      <c r="N2" s="803"/>
      <c r="O2" s="803"/>
      <c r="P2" s="803"/>
      <c r="Q2" s="803"/>
      <c r="R2" s="804" t="s">
        <v>221</v>
      </c>
      <c r="S2" s="805"/>
      <c r="T2" s="805"/>
      <c r="U2" s="805"/>
      <c r="V2" s="805"/>
      <c r="W2" s="806"/>
      <c r="X2" s="478">
        <f>SUM(X6:X160)</f>
        <v>770507.27</v>
      </c>
    </row>
    <row r="3" spans="1:76" s="112" customFormat="1" ht="13.5" customHeight="1" thickBot="1" x14ac:dyDescent="0.2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1.25" thickBot="1" x14ac:dyDescent="0.2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 x14ac:dyDescent="0.2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x14ac:dyDescent="0.15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50">
        <f>SUM(G6:G11)</f>
        <v>160883.16</v>
      </c>
      <c r="J6" s="750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62">
        <f>J6-SUM(U6:U11)</f>
        <v>0</v>
      </c>
      <c r="W6" s="697">
        <v>45954</v>
      </c>
      <c r="X6" s="753">
        <f>SUM(Q6:Q11)</f>
        <v>149174</v>
      </c>
      <c r="Y6" s="482"/>
    </row>
    <row r="7" spans="1:76" ht="15" customHeight="1" x14ac:dyDescent="0.15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51"/>
      <c r="J7" s="751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63"/>
      <c r="W7" s="533">
        <v>45954</v>
      </c>
      <c r="X7" s="754"/>
      <c r="Y7" s="482"/>
    </row>
    <row r="8" spans="1:76" ht="15" customHeight="1" x14ac:dyDescent="0.15">
      <c r="B8" s="383">
        <v>1</v>
      </c>
      <c r="C8" s="484"/>
      <c r="D8" s="485"/>
      <c r="E8" s="486"/>
      <c r="F8" s="444"/>
      <c r="G8" s="386"/>
      <c r="H8" s="565"/>
      <c r="I8" s="751"/>
      <c r="J8" s="751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63"/>
      <c r="W8" s="565"/>
      <c r="X8" s="754"/>
      <c r="Y8" s="482"/>
    </row>
    <row r="9" spans="1:76" ht="15" customHeight="1" x14ac:dyDescent="0.15">
      <c r="B9" s="383">
        <v>1</v>
      </c>
      <c r="C9" s="484"/>
      <c r="D9" s="485"/>
      <c r="E9" s="486"/>
      <c r="F9" s="444"/>
      <c r="G9" s="386"/>
      <c r="H9" s="566"/>
      <c r="I9" s="751"/>
      <c r="J9" s="751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63"/>
      <c r="W9" s="566"/>
      <c r="X9" s="754"/>
      <c r="Y9" s="482"/>
    </row>
    <row r="10" spans="1:76" ht="15" customHeight="1" x14ac:dyDescent="0.15">
      <c r="B10" s="383">
        <v>1</v>
      </c>
      <c r="C10" s="484"/>
      <c r="D10" s="485"/>
      <c r="E10" s="486"/>
      <c r="F10" s="444"/>
      <c r="G10" s="386"/>
      <c r="H10" s="566"/>
      <c r="I10" s="751"/>
      <c r="J10" s="751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63"/>
      <c r="W10" s="566"/>
      <c r="X10" s="754"/>
      <c r="Y10" s="482"/>
    </row>
    <row r="11" spans="1:76" ht="15" customHeight="1" thickBot="1" x14ac:dyDescent="0.2">
      <c r="B11" s="317">
        <v>1</v>
      </c>
      <c r="C11" s="419"/>
      <c r="D11" s="392"/>
      <c r="E11" s="393"/>
      <c r="F11" s="460"/>
      <c r="G11" s="331"/>
      <c r="H11" s="567"/>
      <c r="I11" s="752"/>
      <c r="J11" s="752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64"/>
      <c r="W11" s="567"/>
      <c r="X11" s="755"/>
      <c r="Y11" s="581" t="s">
        <v>243</v>
      </c>
      <c r="Z11" s="582" t="s">
        <v>244</v>
      </c>
    </row>
    <row r="12" spans="1:76" ht="15" thickBot="1" x14ac:dyDescent="0.2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 x14ac:dyDescent="0.15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70">
        <f>SUM(G13:G19)</f>
        <v>74130</v>
      </c>
      <c r="J13" s="770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91">
        <f>J13-SUM(U13:U19)</f>
        <v>0</v>
      </c>
      <c r="W13" s="698">
        <f>W6</f>
        <v>45954</v>
      </c>
      <c r="X13" s="773">
        <f>SUM(Q13:Q19)</f>
        <v>74130.34</v>
      </c>
      <c r="Y13" s="583" t="s">
        <v>251</v>
      </c>
      <c r="Z13" s="585">
        <f>G29</f>
        <v>48780.6</v>
      </c>
    </row>
    <row r="14" spans="1:76" ht="14.25" customHeight="1" x14ac:dyDescent="0.15">
      <c r="B14" s="299">
        <v>2</v>
      </c>
      <c r="C14" s="426"/>
      <c r="D14" s="408"/>
      <c r="E14" s="487"/>
      <c r="F14" s="453"/>
      <c r="G14" s="477"/>
      <c r="H14" s="628"/>
      <c r="I14" s="771"/>
      <c r="J14" s="771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92"/>
      <c r="W14" s="628"/>
      <c r="X14" s="774"/>
      <c r="Y14" s="583" t="s">
        <v>252</v>
      </c>
      <c r="Z14" s="584">
        <f>G90</f>
        <v>17690</v>
      </c>
    </row>
    <row r="15" spans="1:76" ht="14.25" customHeight="1" x14ac:dyDescent="0.15">
      <c r="B15" s="299">
        <v>2</v>
      </c>
      <c r="C15" s="426"/>
      <c r="D15" s="408"/>
      <c r="E15" s="487"/>
      <c r="F15" s="453"/>
      <c r="G15" s="477"/>
      <c r="H15" s="570"/>
      <c r="I15" s="771"/>
      <c r="J15" s="771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92"/>
      <c r="W15" s="570"/>
      <c r="X15" s="774"/>
      <c r="Y15" s="583" t="s">
        <v>253</v>
      </c>
      <c r="Z15" s="584">
        <f>G91</f>
        <v>36540</v>
      </c>
    </row>
    <row r="16" spans="1:76" ht="14.25" customHeight="1" x14ac:dyDescent="0.15">
      <c r="B16" s="299">
        <v>2</v>
      </c>
      <c r="C16" s="426"/>
      <c r="D16" s="408"/>
      <c r="E16" s="487"/>
      <c r="F16" s="453"/>
      <c r="G16" s="477"/>
      <c r="H16" s="570"/>
      <c r="I16" s="771"/>
      <c r="J16" s="771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92"/>
      <c r="W16" s="570"/>
      <c r="X16" s="774"/>
      <c r="Y16" s="583" t="s">
        <v>254</v>
      </c>
      <c r="Z16" s="584">
        <f>G103</f>
        <v>8500</v>
      </c>
    </row>
    <row r="17" spans="1:27" ht="14.25" customHeight="1" x14ac:dyDescent="0.15">
      <c r="B17" s="299">
        <v>2</v>
      </c>
      <c r="C17" s="426"/>
      <c r="D17" s="408"/>
      <c r="E17" s="487"/>
      <c r="F17" s="453"/>
      <c r="G17" s="477"/>
      <c r="H17" s="570"/>
      <c r="I17" s="771"/>
      <c r="J17" s="771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92"/>
      <c r="W17" s="570"/>
      <c r="X17" s="774"/>
      <c r="Y17" s="583" t="s">
        <v>255</v>
      </c>
      <c r="Z17" s="584">
        <f>G104</f>
        <v>9212.27</v>
      </c>
    </row>
    <row r="18" spans="1:27" ht="14.25" customHeight="1" x14ac:dyDescent="0.15">
      <c r="B18" s="299">
        <v>2</v>
      </c>
      <c r="C18" s="426"/>
      <c r="D18" s="408"/>
      <c r="E18" s="487"/>
      <c r="F18" s="453"/>
      <c r="G18" s="477"/>
      <c r="H18" s="570"/>
      <c r="I18" s="771"/>
      <c r="J18" s="771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92"/>
      <c r="W18" s="570"/>
      <c r="X18" s="774"/>
      <c r="Y18" s="583" t="s">
        <v>256</v>
      </c>
      <c r="Z18" s="584">
        <f>G106</f>
        <v>0</v>
      </c>
    </row>
    <row r="19" spans="1:27" ht="15" customHeight="1" thickBot="1" x14ac:dyDescent="0.2">
      <c r="B19" s="395">
        <v>2</v>
      </c>
      <c r="C19" s="396"/>
      <c r="D19" s="396"/>
      <c r="E19" s="397"/>
      <c r="F19" s="467"/>
      <c r="G19" s="398"/>
      <c r="H19" s="571"/>
      <c r="I19" s="772"/>
      <c r="J19" s="772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93"/>
      <c r="W19" s="571"/>
      <c r="X19" s="775"/>
      <c r="Y19" s="583" t="s">
        <v>257</v>
      </c>
      <c r="Z19" s="584">
        <v>0</v>
      </c>
    </row>
    <row r="20" spans="1:27" ht="15" thickBot="1" x14ac:dyDescent="0.2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 x14ac:dyDescent="0.15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50">
        <f>SUM(G21:G26)</f>
        <v>97648.8</v>
      </c>
      <c r="J21" s="750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62">
        <f>J21-SUM(U21:U26)</f>
        <v>0</v>
      </c>
      <c r="W21" s="701">
        <f>T21+30</f>
        <v>45960</v>
      </c>
      <c r="X21" s="753">
        <f>SUM(Q21:Q26)</f>
        <v>101652.61</v>
      </c>
      <c r="Y21" s="583" t="s">
        <v>264</v>
      </c>
      <c r="Z21" s="586">
        <v>0</v>
      </c>
    </row>
    <row r="22" spans="1:27" ht="14.25" customHeight="1" x14ac:dyDescent="0.15">
      <c r="B22" s="312">
        <v>3</v>
      </c>
      <c r="C22" s="313"/>
      <c r="D22" s="329"/>
      <c r="E22" s="315"/>
      <c r="F22" s="459"/>
      <c r="G22" s="316"/>
      <c r="H22" s="533">
        <v>45911</v>
      </c>
      <c r="I22" s="751"/>
      <c r="J22" s="751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63"/>
      <c r="W22" s="533">
        <v>45911</v>
      </c>
      <c r="X22" s="754"/>
      <c r="Y22" s="583" t="s">
        <v>189</v>
      </c>
      <c r="Z22" s="584">
        <f>SUM(Z12:Z21)</f>
        <v>256673.71</v>
      </c>
    </row>
    <row r="23" spans="1:27" ht="14.25" customHeight="1" x14ac:dyDescent="0.15">
      <c r="B23" s="312">
        <v>3</v>
      </c>
      <c r="C23" s="313"/>
      <c r="D23" s="329"/>
      <c r="E23" s="315"/>
      <c r="F23" s="459"/>
      <c r="G23" s="316"/>
      <c r="H23" s="565"/>
      <c r="I23" s="751"/>
      <c r="J23" s="751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63"/>
      <c r="W23" s="565"/>
      <c r="X23" s="754"/>
      <c r="Y23" s="583" t="s">
        <v>268</v>
      </c>
      <c r="Z23" s="587">
        <f>+Z22*0.85</f>
        <v>218172.65349999999</v>
      </c>
    </row>
    <row r="24" spans="1:27" ht="14.25" customHeight="1" x14ac:dyDescent="0.15">
      <c r="B24" s="312">
        <v>3</v>
      </c>
      <c r="C24" s="384"/>
      <c r="D24" s="385"/>
      <c r="E24" s="406"/>
      <c r="F24" s="444"/>
      <c r="G24" s="386"/>
      <c r="H24" s="566"/>
      <c r="I24" s="751"/>
      <c r="J24" s="751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63"/>
      <c r="W24" s="566"/>
      <c r="X24" s="754"/>
      <c r="Y24" s="588" t="s">
        <v>269</v>
      </c>
      <c r="Z24" s="586">
        <f>Z23/'Project Plan'!$E$3/1000</f>
        <v>3.0728542746478871</v>
      </c>
    </row>
    <row r="25" spans="1:27" ht="14.25" customHeight="1" x14ac:dyDescent="0.15">
      <c r="B25" s="312">
        <v>3</v>
      </c>
      <c r="C25" s="384"/>
      <c r="D25" s="385"/>
      <c r="E25" s="406"/>
      <c r="F25" s="444"/>
      <c r="G25" s="386"/>
      <c r="H25" s="566"/>
      <c r="I25" s="751"/>
      <c r="J25" s="751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63"/>
      <c r="W25" s="566"/>
      <c r="X25" s="754"/>
    </row>
    <row r="26" spans="1:27" ht="15" customHeight="1" thickBot="1" x14ac:dyDescent="0.2">
      <c r="B26" s="317">
        <v>3</v>
      </c>
      <c r="C26" s="338"/>
      <c r="D26" s="330"/>
      <c r="E26" s="319"/>
      <c r="F26" s="460"/>
      <c r="G26" s="331"/>
      <c r="H26" s="567"/>
      <c r="I26" s="752"/>
      <c r="J26" s="752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64"/>
      <c r="W26" s="567"/>
      <c r="X26" s="755"/>
      <c r="Y26" s="589" t="s">
        <v>270</v>
      </c>
      <c r="Z26" s="590" t="s">
        <v>271</v>
      </c>
    </row>
    <row r="27" spans="1:27" ht="15" thickBot="1" x14ac:dyDescent="0.2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 x14ac:dyDescent="0.15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70">
        <f>SUM(G28:G42)</f>
        <v>61800.6</v>
      </c>
      <c r="J28" s="770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91">
        <f>J28-SUM(U28:U42)</f>
        <v>0</v>
      </c>
      <c r="W28" s="687">
        <v>45930</v>
      </c>
      <c r="X28" s="773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 x14ac:dyDescent="0.15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71"/>
      <c r="J29" s="771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92"/>
      <c r="W29" s="570"/>
      <c r="X29" s="774"/>
      <c r="Y29" s="591" t="str">
        <f t="shared" si="3"/>
        <v>AC Labour</v>
      </c>
      <c r="Z29" s="592">
        <v>12365</v>
      </c>
      <c r="AA29" s="629"/>
    </row>
    <row r="30" spans="1:27" ht="14.25" customHeight="1" x14ac:dyDescent="0.15">
      <c r="B30" s="321">
        <v>4</v>
      </c>
      <c r="C30" s="408"/>
      <c r="D30" s="408"/>
      <c r="E30" s="394"/>
      <c r="F30" s="453"/>
      <c r="G30" s="301"/>
      <c r="H30" s="570"/>
      <c r="I30" s="771"/>
      <c r="J30" s="771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92"/>
      <c r="W30" s="570"/>
      <c r="X30" s="774"/>
      <c r="Y30" s="591" t="str">
        <f t="shared" si="3"/>
        <v>DC Labour</v>
      </c>
      <c r="Z30" s="592">
        <v>46945</v>
      </c>
    </row>
    <row r="31" spans="1:27" ht="14.25" customHeight="1" x14ac:dyDescent="0.15">
      <c r="B31" s="321">
        <v>4</v>
      </c>
      <c r="C31" s="408"/>
      <c r="D31" s="408"/>
      <c r="E31" s="394"/>
      <c r="F31" s="453"/>
      <c r="G31" s="301"/>
      <c r="H31" s="570"/>
      <c r="I31" s="771"/>
      <c r="J31" s="771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92"/>
      <c r="W31" s="570"/>
      <c r="X31" s="774"/>
      <c r="Y31" s="591" t="s">
        <v>277</v>
      </c>
      <c r="Z31" s="592">
        <v>12000</v>
      </c>
    </row>
    <row r="32" spans="1:27" ht="14.25" customHeight="1" x14ac:dyDescent="0.15">
      <c r="B32" s="321">
        <v>4</v>
      </c>
      <c r="C32" s="408"/>
      <c r="D32" s="408"/>
      <c r="E32" s="394"/>
      <c r="F32" s="453"/>
      <c r="G32" s="301"/>
      <c r="H32" s="535"/>
      <c r="I32" s="771"/>
      <c r="J32" s="771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94" t="s">
        <v>279</v>
      </c>
      <c r="S32" s="606" t="s">
        <v>280</v>
      </c>
      <c r="T32" s="658">
        <v>45900</v>
      </c>
      <c r="U32" s="675">
        <v>3660.3167814122171</v>
      </c>
      <c r="V32" s="792"/>
      <c r="W32" s="535">
        <f>W91</f>
        <v>45904</v>
      </c>
      <c r="X32" s="774"/>
      <c r="Y32" s="591" t="s">
        <v>281</v>
      </c>
      <c r="Z32" s="592">
        <v>0</v>
      </c>
    </row>
    <row r="33" spans="1:26" ht="14.25" customHeight="1" x14ac:dyDescent="0.15">
      <c r="B33" s="321">
        <v>4</v>
      </c>
      <c r="C33" s="408"/>
      <c r="D33" s="408"/>
      <c r="E33" s="394"/>
      <c r="F33" s="453"/>
      <c r="G33" s="301"/>
      <c r="H33" s="535"/>
      <c r="I33" s="771"/>
      <c r="J33" s="771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95"/>
      <c r="S33" s="606" t="s">
        <v>282</v>
      </c>
      <c r="T33" s="658">
        <v>45900</v>
      </c>
      <c r="U33" s="675">
        <v>5490.4751721183256</v>
      </c>
      <c r="V33" s="792"/>
      <c r="W33" s="535">
        <f t="shared" ref="W33:W37" si="5">W92</f>
        <v>45911</v>
      </c>
      <c r="X33" s="774"/>
      <c r="Y33" s="591" t="s">
        <v>283</v>
      </c>
      <c r="Z33" s="592">
        <v>0</v>
      </c>
    </row>
    <row r="34" spans="1:26" ht="14.25" customHeight="1" x14ac:dyDescent="0.15">
      <c r="B34" s="321">
        <v>4</v>
      </c>
      <c r="C34" s="408"/>
      <c r="D34" s="408"/>
      <c r="E34" s="394"/>
      <c r="F34" s="453"/>
      <c r="G34" s="301"/>
      <c r="H34" s="570"/>
      <c r="I34" s="771"/>
      <c r="J34" s="771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95"/>
      <c r="S34" s="606" t="s">
        <v>285</v>
      </c>
      <c r="T34" s="658">
        <v>45900</v>
      </c>
      <c r="U34" s="675">
        <v>7320.6335628244342</v>
      </c>
      <c r="V34" s="792"/>
      <c r="W34" s="535">
        <f t="shared" si="5"/>
        <v>45946</v>
      </c>
      <c r="X34" s="774"/>
      <c r="Y34" s="591" t="s">
        <v>286</v>
      </c>
      <c r="Z34" s="592">
        <v>0</v>
      </c>
    </row>
    <row r="35" spans="1:26" ht="14.25" customHeight="1" x14ac:dyDescent="0.15">
      <c r="B35" s="321">
        <v>4</v>
      </c>
      <c r="C35" s="408"/>
      <c r="D35" s="408"/>
      <c r="E35" s="394"/>
      <c r="F35" s="453"/>
      <c r="G35" s="301"/>
      <c r="H35" s="570"/>
      <c r="I35" s="771"/>
      <c r="J35" s="771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95"/>
      <c r="S35" s="606" t="s">
        <v>288</v>
      </c>
      <c r="T35" s="658">
        <v>45900</v>
      </c>
      <c r="U35" s="675">
        <v>9150.7919535305427</v>
      </c>
      <c r="V35" s="792"/>
      <c r="W35" s="535">
        <f t="shared" si="5"/>
        <v>45946</v>
      </c>
      <c r="X35" s="774"/>
      <c r="Y35" s="591" t="s">
        <v>58</v>
      </c>
      <c r="Z35" s="592">
        <v>0</v>
      </c>
    </row>
    <row r="36" spans="1:26" ht="14.25" customHeight="1" x14ac:dyDescent="0.15">
      <c r="B36" s="321">
        <v>4</v>
      </c>
      <c r="C36" s="408"/>
      <c r="D36" s="408"/>
      <c r="E36" s="394"/>
      <c r="F36" s="453"/>
      <c r="G36" s="301"/>
      <c r="H36" s="570"/>
      <c r="I36" s="771"/>
      <c r="J36" s="771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95"/>
      <c r="S36" s="606" t="s">
        <v>290</v>
      </c>
      <c r="T36" s="658">
        <v>45900</v>
      </c>
      <c r="U36" s="675">
        <v>3660.3167814122171</v>
      </c>
      <c r="V36" s="792"/>
      <c r="W36" s="708">
        <f t="shared" si="5"/>
        <v>46065</v>
      </c>
      <c r="X36" s="774"/>
      <c r="Y36" s="591" t="s">
        <v>264</v>
      </c>
      <c r="Z36" s="592">
        <v>0</v>
      </c>
    </row>
    <row r="37" spans="1:26" ht="14.25" customHeight="1" x14ac:dyDescent="0.15">
      <c r="B37" s="321">
        <v>4</v>
      </c>
      <c r="C37" s="408"/>
      <c r="D37" s="408"/>
      <c r="E37" s="394"/>
      <c r="F37" s="453"/>
      <c r="G37" s="301"/>
      <c r="H37" s="570"/>
      <c r="I37" s="771"/>
      <c r="J37" s="771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95"/>
      <c r="S37" s="606" t="s">
        <v>292</v>
      </c>
      <c r="T37" s="658">
        <v>45900</v>
      </c>
      <c r="U37" s="675">
        <v>3660.3167814122171</v>
      </c>
      <c r="V37" s="792"/>
      <c r="W37" s="708">
        <f t="shared" si="5"/>
        <v>46065</v>
      </c>
      <c r="X37" s="774"/>
      <c r="Y37" s="591" t="s">
        <v>264</v>
      </c>
      <c r="Z37" s="593">
        <v>0</v>
      </c>
    </row>
    <row r="38" spans="1:26" ht="14.25" customHeight="1" x14ac:dyDescent="0.15">
      <c r="B38" s="321">
        <v>4</v>
      </c>
      <c r="C38" s="408"/>
      <c r="D38" s="408"/>
      <c r="E38" s="394"/>
      <c r="F38" s="453"/>
      <c r="G38" s="301"/>
      <c r="H38" s="570"/>
      <c r="I38" s="771"/>
      <c r="J38" s="771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95"/>
      <c r="S38" s="606" t="s">
        <v>294</v>
      </c>
      <c r="T38" s="658">
        <v>45900</v>
      </c>
      <c r="U38" s="675">
        <v>1830.1583907061085</v>
      </c>
      <c r="V38" s="792"/>
      <c r="W38" s="708">
        <v>46037</v>
      </c>
      <c r="X38" s="774"/>
      <c r="Y38" s="591" t="s">
        <v>189</v>
      </c>
      <c r="Z38" s="592">
        <f>SUM(Z27:Z37)</f>
        <v>244489.1</v>
      </c>
    </row>
    <row r="39" spans="1:26" ht="14.25" customHeight="1" x14ac:dyDescent="0.15">
      <c r="B39" s="321">
        <v>4</v>
      </c>
      <c r="C39" s="408"/>
      <c r="D39" s="408"/>
      <c r="E39" s="394"/>
      <c r="F39" s="453"/>
      <c r="G39" s="301"/>
      <c r="H39" s="570"/>
      <c r="I39" s="771"/>
      <c r="J39" s="771"/>
      <c r="K39" s="302"/>
      <c r="L39" s="299">
        <v>4</v>
      </c>
      <c r="M39" s="426" t="s">
        <v>273</v>
      </c>
      <c r="N39" s="408" t="s">
        <v>295</v>
      </c>
      <c r="O39" s="549"/>
      <c r="P39" s="559">
        <v>0.05</v>
      </c>
      <c r="Q39" s="301">
        <f t="shared" si="4"/>
        <v>2318.35</v>
      </c>
      <c r="R39" s="796"/>
      <c r="S39" s="606" t="s">
        <v>296</v>
      </c>
      <c r="T39" s="658">
        <v>45900</v>
      </c>
      <c r="U39" s="675">
        <v>1830.1583907061085</v>
      </c>
      <c r="V39" s="792"/>
      <c r="W39" s="708">
        <v>46037</v>
      </c>
      <c r="X39" s="774"/>
      <c r="Y39" s="594" t="s">
        <v>269</v>
      </c>
      <c r="Z39" s="593">
        <f>Z38/'Project Plan'!$E$3/1000</f>
        <v>3.4435084507042255</v>
      </c>
    </row>
    <row r="40" spans="1:26" ht="14.25" customHeight="1" x14ac:dyDescent="0.15">
      <c r="B40" s="321">
        <v>4</v>
      </c>
      <c r="C40" s="408"/>
      <c r="D40" s="408"/>
      <c r="E40" s="394"/>
      <c r="F40" s="453"/>
      <c r="G40" s="301"/>
      <c r="H40" s="570"/>
      <c r="I40" s="771"/>
      <c r="J40" s="771"/>
      <c r="K40" s="302"/>
      <c r="L40" s="299">
        <v>4</v>
      </c>
      <c r="M40" s="426" t="s">
        <v>273</v>
      </c>
      <c r="N40" s="408"/>
      <c r="O40" s="549"/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92"/>
      <c r="W40" s="570"/>
      <c r="X40" s="774"/>
      <c r="Y40" s="482"/>
    </row>
    <row r="41" spans="1:26" ht="14.25" customHeight="1" x14ac:dyDescent="0.15">
      <c r="B41" s="321">
        <v>4</v>
      </c>
      <c r="C41" s="408"/>
      <c r="D41" s="408"/>
      <c r="E41" s="394"/>
      <c r="F41" s="453"/>
      <c r="G41" s="301"/>
      <c r="H41" s="570"/>
      <c r="I41" s="771"/>
      <c r="J41" s="771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92"/>
      <c r="W41" s="570"/>
      <c r="X41" s="774"/>
      <c r="Y41" s="482"/>
    </row>
    <row r="42" spans="1:26" ht="15" customHeight="1" thickBot="1" x14ac:dyDescent="0.2">
      <c r="B42" s="303">
        <v>4</v>
      </c>
      <c r="C42" s="326"/>
      <c r="D42" s="326"/>
      <c r="E42" s="397"/>
      <c r="F42" s="455"/>
      <c r="G42" s="306"/>
      <c r="H42" s="571"/>
      <c r="I42" s="772"/>
      <c r="J42" s="772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93"/>
      <c r="W42" s="571"/>
      <c r="X42" s="775"/>
      <c r="Y42" s="482"/>
    </row>
    <row r="43" spans="1:26" ht="15" thickBot="1" x14ac:dyDescent="0.2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 x14ac:dyDescent="0.15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50">
        <f>SUM(G44:G51)</f>
        <v>166000</v>
      </c>
      <c r="J44" s="750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62">
        <f>J44-SUM(U44:U51)</f>
        <v>12.165099481266225</v>
      </c>
      <c r="W44" s="699">
        <f>W13</f>
        <v>45954</v>
      </c>
      <c r="X44" s="753">
        <f>SUM(Q44:Q51)</f>
        <v>89397.709999999992</v>
      </c>
      <c r="Y44" s="482"/>
    </row>
    <row r="45" spans="1:26" ht="14.25" customHeight="1" x14ac:dyDescent="0.15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51"/>
      <c r="J45" s="751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63"/>
      <c r="W45" s="700">
        <f>T45+30</f>
        <v>45930</v>
      </c>
      <c r="X45" s="754"/>
      <c r="Y45" s="482"/>
    </row>
    <row r="46" spans="1:26" ht="14.25" customHeight="1" x14ac:dyDescent="0.15">
      <c r="B46" s="287">
        <v>5</v>
      </c>
      <c r="C46" s="311"/>
      <c r="D46" s="314"/>
      <c r="E46" s="315"/>
      <c r="F46" s="459"/>
      <c r="G46" s="316"/>
      <c r="H46" s="533">
        <v>45955</v>
      </c>
      <c r="I46" s="751"/>
      <c r="J46" s="751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63"/>
      <c r="W46" s="533">
        <v>45900</v>
      </c>
      <c r="X46" s="754"/>
      <c r="Y46" s="482"/>
    </row>
    <row r="47" spans="1:26" ht="14.25" customHeight="1" x14ac:dyDescent="0.15">
      <c r="B47" s="312">
        <v>5</v>
      </c>
      <c r="C47" s="313"/>
      <c r="D47" s="314"/>
      <c r="E47" s="315"/>
      <c r="F47" s="459"/>
      <c r="G47" s="316"/>
      <c r="H47" s="565">
        <v>45955</v>
      </c>
      <c r="I47" s="751"/>
      <c r="J47" s="751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63"/>
      <c r="W47" s="700">
        <v>45961</v>
      </c>
      <c r="X47" s="754"/>
      <c r="Y47" s="482"/>
    </row>
    <row r="48" spans="1:26" ht="14.25" customHeight="1" x14ac:dyDescent="0.15">
      <c r="B48" s="383"/>
      <c r="C48" s="384"/>
      <c r="D48" s="387"/>
      <c r="E48" s="406"/>
      <c r="F48" s="444"/>
      <c r="G48" s="386"/>
      <c r="H48" s="566"/>
      <c r="I48" s="751"/>
      <c r="J48" s="751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63"/>
      <c r="W48" s="702">
        <v>45991</v>
      </c>
      <c r="X48" s="754"/>
      <c r="Y48" s="482"/>
    </row>
    <row r="49" spans="1:25" ht="14.25" customHeight="1" x14ac:dyDescent="0.15">
      <c r="B49" s="383">
        <v>5</v>
      </c>
      <c r="C49" s="384"/>
      <c r="D49" s="387"/>
      <c r="E49" s="406"/>
      <c r="F49" s="444"/>
      <c r="G49" s="386"/>
      <c r="H49" s="566">
        <v>45955</v>
      </c>
      <c r="I49" s="751"/>
      <c r="J49" s="751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63"/>
      <c r="W49" s="702">
        <v>45939</v>
      </c>
      <c r="X49" s="754"/>
      <c r="Y49" s="482"/>
    </row>
    <row r="50" spans="1:25" ht="14.25" customHeight="1" x14ac:dyDescent="0.15">
      <c r="B50" s="383">
        <v>5</v>
      </c>
      <c r="C50" s="384"/>
      <c r="D50" s="387"/>
      <c r="E50" s="406"/>
      <c r="F50" s="444"/>
      <c r="G50" s="386"/>
      <c r="H50" s="566">
        <v>45955</v>
      </c>
      <c r="I50" s="751"/>
      <c r="J50" s="751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63"/>
      <c r="W50" s="702">
        <f>T50</f>
        <v>45961</v>
      </c>
      <c r="X50" s="754"/>
      <c r="Y50" s="482"/>
    </row>
    <row r="51" spans="1:25" ht="15" customHeight="1" thickBot="1" x14ac:dyDescent="0.2">
      <c r="B51" s="317">
        <v>5</v>
      </c>
      <c r="C51" s="338"/>
      <c r="D51" s="318"/>
      <c r="E51" s="319"/>
      <c r="F51" s="460"/>
      <c r="G51" s="331"/>
      <c r="H51" s="567">
        <v>45955</v>
      </c>
      <c r="I51" s="752"/>
      <c r="J51" s="752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64"/>
      <c r="W51" s="712">
        <v>46029</v>
      </c>
      <c r="X51" s="755"/>
      <c r="Y51" s="482"/>
    </row>
    <row r="52" spans="1:25" ht="15" thickBot="1" x14ac:dyDescent="0.2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 x14ac:dyDescent="0.15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70">
        <f>SUM(G53:G69)</f>
        <v>135950.84</v>
      </c>
      <c r="J53" s="770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91">
        <f>J53-SUM(U53:U69)</f>
        <v>0</v>
      </c>
      <c r="W53" s="569"/>
      <c r="X53" s="773">
        <f>SUM(Q53:Q69)</f>
        <v>126812.12</v>
      </c>
      <c r="Y53" s="482"/>
    </row>
    <row r="54" spans="1:25" ht="14.25" customHeight="1" x14ac:dyDescent="0.15">
      <c r="B54" s="299">
        <v>6</v>
      </c>
      <c r="C54" s="408"/>
      <c r="D54" s="443"/>
      <c r="E54" s="394"/>
      <c r="F54" s="453"/>
      <c r="G54" s="322"/>
      <c r="H54" s="570"/>
      <c r="I54" s="771"/>
      <c r="J54" s="771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92"/>
      <c r="W54" s="570"/>
      <c r="X54" s="774"/>
      <c r="Y54" s="482"/>
    </row>
    <row r="55" spans="1:25" ht="14.25" customHeight="1" x14ac:dyDescent="0.15">
      <c r="B55" s="299">
        <v>6</v>
      </c>
      <c r="C55" s="408"/>
      <c r="D55" s="443"/>
      <c r="E55" s="394"/>
      <c r="F55" s="453"/>
      <c r="G55" s="322"/>
      <c r="H55" s="570"/>
      <c r="I55" s="771"/>
      <c r="J55" s="771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92"/>
      <c r="W55" s="570"/>
      <c r="X55" s="774"/>
      <c r="Y55" s="482"/>
    </row>
    <row r="56" spans="1:25" ht="14.25" customHeight="1" x14ac:dyDescent="0.15">
      <c r="B56" s="299">
        <v>6</v>
      </c>
      <c r="C56" s="408"/>
      <c r="D56" s="443"/>
      <c r="E56" s="394"/>
      <c r="F56" s="453"/>
      <c r="G56" s="322"/>
      <c r="H56" s="570"/>
      <c r="I56" s="771"/>
      <c r="J56" s="771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92"/>
      <c r="W56" s="570"/>
      <c r="X56" s="774"/>
      <c r="Y56" s="482"/>
    </row>
    <row r="57" spans="1:25" ht="14.25" customHeight="1" x14ac:dyDescent="0.15">
      <c r="B57" s="299">
        <v>6</v>
      </c>
      <c r="C57" s="408"/>
      <c r="D57" s="443"/>
      <c r="E57" s="394"/>
      <c r="F57" s="453"/>
      <c r="G57" s="322"/>
      <c r="H57" s="570"/>
      <c r="I57" s="771"/>
      <c r="J57" s="771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92"/>
      <c r="W57" s="570"/>
      <c r="X57" s="774"/>
      <c r="Y57" s="482"/>
    </row>
    <row r="58" spans="1:25" ht="14.25" customHeight="1" x14ac:dyDescent="0.15">
      <c r="B58" s="299">
        <v>6</v>
      </c>
      <c r="C58" s="408"/>
      <c r="D58" s="443"/>
      <c r="E58" s="394"/>
      <c r="F58" s="453"/>
      <c r="G58" s="322"/>
      <c r="H58" s="570"/>
      <c r="I58" s="771"/>
      <c r="J58" s="771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92"/>
      <c r="W58" s="570"/>
      <c r="X58" s="774"/>
      <c r="Y58" s="482"/>
    </row>
    <row r="59" spans="1:25" ht="14.25" customHeight="1" x14ac:dyDescent="0.15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71"/>
      <c r="J59" s="771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94" t="s">
        <v>279</v>
      </c>
      <c r="S59" s="606" t="s">
        <v>280</v>
      </c>
      <c r="T59" s="658">
        <v>45900</v>
      </c>
      <c r="U59" s="675">
        <v>17429.597251114483</v>
      </c>
      <c r="V59" s="792"/>
      <c r="W59" s="535">
        <f>W91</f>
        <v>45904</v>
      </c>
      <c r="X59" s="774"/>
      <c r="Y59" s="482"/>
    </row>
    <row r="60" spans="1:25" ht="14.25" customHeight="1" x14ac:dyDescent="0.15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71"/>
      <c r="J60" s="771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95"/>
      <c r="S60" s="606" t="s">
        <v>282</v>
      </c>
      <c r="T60" s="658">
        <v>45900</v>
      </c>
      <c r="U60" s="675">
        <v>26144.402748885517</v>
      </c>
      <c r="V60" s="792"/>
      <c r="W60" s="535">
        <f t="shared" ref="W60:W64" si="8">W92</f>
        <v>45911</v>
      </c>
      <c r="X60" s="774"/>
      <c r="Y60" s="482"/>
    </row>
    <row r="61" spans="1:25" ht="14.25" customHeight="1" x14ac:dyDescent="0.15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71"/>
      <c r="J61" s="771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95"/>
      <c r="S61" s="606" t="s">
        <v>285</v>
      </c>
      <c r="T61" s="658">
        <v>45900</v>
      </c>
      <c r="U61" s="675">
        <v>34859.194502228966</v>
      </c>
      <c r="V61" s="792"/>
      <c r="W61" s="535">
        <f t="shared" si="8"/>
        <v>45946</v>
      </c>
      <c r="X61" s="774"/>
      <c r="Y61" s="482"/>
    </row>
    <row r="62" spans="1:25" ht="14.25" customHeight="1" x14ac:dyDescent="0.15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71"/>
      <c r="J62" s="771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95"/>
      <c r="S62" s="606" t="s">
        <v>288</v>
      </c>
      <c r="T62" s="658">
        <v>45900</v>
      </c>
      <c r="U62" s="675">
        <v>43574</v>
      </c>
      <c r="V62" s="792"/>
      <c r="W62" s="535">
        <f t="shared" si="8"/>
        <v>45946</v>
      </c>
      <c r="X62" s="774"/>
      <c r="Y62" s="482"/>
    </row>
    <row r="63" spans="1:25" ht="14.25" customHeight="1" x14ac:dyDescent="0.15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71"/>
      <c r="J63" s="771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95"/>
      <c r="S63" s="606" t="s">
        <v>290</v>
      </c>
      <c r="T63" s="658">
        <v>45900</v>
      </c>
      <c r="U63" s="675">
        <v>17429.597251114483</v>
      </c>
      <c r="V63" s="792"/>
      <c r="W63" s="708">
        <f t="shared" si="8"/>
        <v>46065</v>
      </c>
      <c r="X63" s="774"/>
      <c r="Y63" s="482"/>
    </row>
    <row r="64" spans="1:25" ht="14.25" customHeight="1" x14ac:dyDescent="0.15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71"/>
      <c r="J64" s="771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95"/>
      <c r="S64" s="610" t="s">
        <v>292</v>
      </c>
      <c r="T64" s="658">
        <v>45900</v>
      </c>
      <c r="U64" s="677">
        <v>17429.597251114483</v>
      </c>
      <c r="V64" s="792"/>
      <c r="W64" s="708">
        <f t="shared" si="8"/>
        <v>46065</v>
      </c>
      <c r="X64" s="774"/>
      <c r="Y64" s="482"/>
    </row>
    <row r="65" spans="1:25" ht="14.25" customHeight="1" x14ac:dyDescent="0.15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71"/>
      <c r="J65" s="771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95"/>
      <c r="S65" s="610" t="s">
        <v>294</v>
      </c>
      <c r="T65" s="658">
        <v>45900</v>
      </c>
      <c r="U65" s="677">
        <v>8714.8054977710326</v>
      </c>
      <c r="V65" s="792"/>
      <c r="W65" s="708">
        <v>46037</v>
      </c>
      <c r="X65" s="774"/>
      <c r="Y65" s="482"/>
    </row>
    <row r="66" spans="1:25" ht="14.25" customHeight="1" x14ac:dyDescent="0.15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71"/>
      <c r="J66" s="771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96"/>
      <c r="S66" s="610" t="s">
        <v>296</v>
      </c>
      <c r="T66" s="658">
        <v>45900</v>
      </c>
      <c r="U66" s="677">
        <v>8714.8054977710326</v>
      </c>
      <c r="V66" s="792"/>
      <c r="W66" s="708">
        <v>46037</v>
      </c>
      <c r="X66" s="774"/>
      <c r="Y66" s="482"/>
    </row>
    <row r="67" spans="1:25" ht="14.25" customHeight="1" x14ac:dyDescent="0.15">
      <c r="B67" s="299">
        <v>6</v>
      </c>
      <c r="C67" s="499"/>
      <c r="D67" s="336"/>
      <c r="E67" s="415"/>
      <c r="F67" s="461"/>
      <c r="G67" s="322"/>
      <c r="H67" s="573"/>
      <c r="I67" s="771"/>
      <c r="J67" s="771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92"/>
      <c r="W67" s="719"/>
      <c r="X67" s="774"/>
      <c r="Y67" s="482"/>
    </row>
    <row r="68" spans="1:25" ht="14.25" customHeight="1" x14ac:dyDescent="0.15">
      <c r="B68" s="299">
        <v>6</v>
      </c>
      <c r="C68" s="499"/>
      <c r="D68" s="336"/>
      <c r="E68" s="415"/>
      <c r="F68" s="461"/>
      <c r="G68" s="322"/>
      <c r="H68" s="573"/>
      <c r="I68" s="771"/>
      <c r="J68" s="771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92"/>
      <c r="W68" s="573"/>
      <c r="X68" s="774"/>
      <c r="Y68" s="482"/>
    </row>
    <row r="69" spans="1:25" ht="15" customHeight="1" thickBot="1" x14ac:dyDescent="0.2">
      <c r="B69" s="303">
        <v>6</v>
      </c>
      <c r="C69" s="401"/>
      <c r="D69" s="305"/>
      <c r="E69" s="458"/>
      <c r="F69" s="455"/>
      <c r="G69" s="306"/>
      <c r="H69" s="571"/>
      <c r="I69" s="772"/>
      <c r="J69" s="772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93"/>
      <c r="W69" s="571"/>
      <c r="X69" s="775"/>
      <c r="Y69" s="482"/>
    </row>
    <row r="70" spans="1:25" ht="15" thickBot="1" x14ac:dyDescent="0.2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 x14ac:dyDescent="0.15">
      <c r="B71" s="380">
        <v>7</v>
      </c>
      <c r="C71" s="310" t="s">
        <v>320</v>
      </c>
      <c r="D71" s="381"/>
      <c r="E71" s="462"/>
      <c r="F71" s="468"/>
      <c r="G71" s="382"/>
      <c r="H71" s="575"/>
      <c r="I71" s="750">
        <f>SUM(G71:G78)</f>
        <v>0</v>
      </c>
      <c r="J71" s="750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97">
        <f>J71-SUM(U71:U78)</f>
        <v>0</v>
      </c>
      <c r="W71" s="575"/>
      <c r="X71" s="753">
        <f>SUM(Q71:Q78)</f>
        <v>0</v>
      </c>
      <c r="Y71" s="482"/>
    </row>
    <row r="72" spans="1:25" ht="14.25" customHeight="1" x14ac:dyDescent="0.15">
      <c r="B72" s="383">
        <v>7</v>
      </c>
      <c r="C72" s="384"/>
      <c r="D72" s="385"/>
      <c r="E72" s="406"/>
      <c r="F72" s="444"/>
      <c r="G72" s="386"/>
      <c r="H72" s="566"/>
      <c r="I72" s="751"/>
      <c r="J72" s="751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98"/>
      <c r="W72" s="566"/>
      <c r="X72" s="754"/>
      <c r="Y72" s="482"/>
    </row>
    <row r="73" spans="1:25" ht="14.25" customHeight="1" x14ac:dyDescent="0.15">
      <c r="B73" s="383">
        <v>7</v>
      </c>
      <c r="C73" s="384"/>
      <c r="D73" s="385"/>
      <c r="E73" s="406"/>
      <c r="F73" s="444"/>
      <c r="G73" s="386"/>
      <c r="H73" s="566"/>
      <c r="I73" s="751"/>
      <c r="J73" s="751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98"/>
      <c r="W73" s="566"/>
      <c r="X73" s="754"/>
      <c r="Y73" s="482"/>
    </row>
    <row r="74" spans="1:25" ht="14.25" customHeight="1" x14ac:dyDescent="0.15">
      <c r="B74" s="383">
        <v>7</v>
      </c>
      <c r="C74" s="384"/>
      <c r="D74" s="385"/>
      <c r="E74" s="406"/>
      <c r="F74" s="444"/>
      <c r="G74" s="386"/>
      <c r="H74" s="566"/>
      <c r="I74" s="751"/>
      <c r="J74" s="751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98"/>
      <c r="W74" s="566"/>
      <c r="X74" s="754"/>
      <c r="Y74" s="482"/>
    </row>
    <row r="75" spans="1:25" ht="14.25" customHeight="1" x14ac:dyDescent="0.15">
      <c r="B75" s="383">
        <v>7</v>
      </c>
      <c r="C75" s="384"/>
      <c r="D75" s="385"/>
      <c r="E75" s="406"/>
      <c r="F75" s="444"/>
      <c r="G75" s="386"/>
      <c r="H75" s="566"/>
      <c r="I75" s="751"/>
      <c r="J75" s="751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98"/>
      <c r="W75" s="566"/>
      <c r="X75" s="754"/>
      <c r="Y75" s="482"/>
    </row>
    <row r="76" spans="1:25" ht="14.25" customHeight="1" x14ac:dyDescent="0.15">
      <c r="B76" s="383">
        <v>7</v>
      </c>
      <c r="C76" s="384"/>
      <c r="D76" s="385"/>
      <c r="E76" s="406"/>
      <c r="F76" s="444"/>
      <c r="G76" s="386"/>
      <c r="H76" s="566"/>
      <c r="I76" s="751"/>
      <c r="J76" s="751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98"/>
      <c r="W76" s="566"/>
      <c r="X76" s="754"/>
      <c r="Y76" s="482"/>
    </row>
    <row r="77" spans="1:25" ht="14.25" customHeight="1" x14ac:dyDescent="0.15">
      <c r="B77" s="383">
        <v>7</v>
      </c>
      <c r="C77" s="384"/>
      <c r="D77" s="385"/>
      <c r="E77" s="406"/>
      <c r="F77" s="444"/>
      <c r="G77" s="386"/>
      <c r="H77" s="566"/>
      <c r="I77" s="751"/>
      <c r="J77" s="751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98"/>
      <c r="W77" s="566"/>
      <c r="X77" s="754"/>
      <c r="Y77" s="482"/>
    </row>
    <row r="78" spans="1:25" ht="15" customHeight="1" thickBot="1" x14ac:dyDescent="0.2">
      <c r="B78" s="317">
        <v>7</v>
      </c>
      <c r="C78" s="338"/>
      <c r="D78" s="330"/>
      <c r="E78" s="319"/>
      <c r="F78" s="460"/>
      <c r="G78" s="331"/>
      <c r="H78" s="567"/>
      <c r="I78" s="752"/>
      <c r="J78" s="752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799"/>
      <c r="W78" s="567"/>
      <c r="X78" s="755"/>
      <c r="Y78" s="482"/>
    </row>
    <row r="79" spans="1:25" ht="15" thickBot="1" x14ac:dyDescent="0.2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 x14ac:dyDescent="0.15">
      <c r="B80" s="333">
        <v>8</v>
      </c>
      <c r="C80" s="295" t="s">
        <v>322</v>
      </c>
      <c r="D80" s="334"/>
      <c r="E80" s="463"/>
      <c r="F80" s="416"/>
      <c r="G80" s="335"/>
      <c r="H80" s="569"/>
      <c r="I80" s="770">
        <f>SUM(G80:G88)</f>
        <v>0</v>
      </c>
      <c r="J80" s="770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782">
        <f>J80-SUM(U80:U88)</f>
        <v>0</v>
      </c>
      <c r="W80" s="569"/>
      <c r="X80" s="773">
        <f>SUM(Q80:Q88)</f>
        <v>0</v>
      </c>
      <c r="Y80" s="482"/>
    </row>
    <row r="81" spans="1:25" ht="14.25" customHeight="1" x14ac:dyDescent="0.15">
      <c r="B81" s="323">
        <v>8</v>
      </c>
      <c r="C81" s="324"/>
      <c r="D81" s="336"/>
      <c r="E81" s="415"/>
      <c r="F81" s="461"/>
      <c r="G81" s="325"/>
      <c r="H81" s="570"/>
      <c r="I81" s="771"/>
      <c r="J81" s="771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783"/>
      <c r="W81" s="570"/>
      <c r="X81" s="774"/>
      <c r="Y81" s="482"/>
    </row>
    <row r="82" spans="1:25" ht="14.25" customHeight="1" x14ac:dyDescent="0.15">
      <c r="B82" s="323">
        <v>8</v>
      </c>
      <c r="C82" s="324"/>
      <c r="D82" s="336"/>
      <c r="E82" s="415"/>
      <c r="F82" s="461"/>
      <c r="G82" s="325"/>
      <c r="H82" s="570"/>
      <c r="I82" s="771"/>
      <c r="J82" s="771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783"/>
      <c r="W82" s="570"/>
      <c r="X82" s="774"/>
      <c r="Y82" s="482"/>
    </row>
    <row r="83" spans="1:25" ht="14.25" customHeight="1" x14ac:dyDescent="0.15">
      <c r="B83" s="323">
        <v>8</v>
      </c>
      <c r="C83" s="324"/>
      <c r="D83" s="336"/>
      <c r="E83" s="415"/>
      <c r="F83" s="461"/>
      <c r="G83" s="325"/>
      <c r="H83" s="570"/>
      <c r="I83" s="771"/>
      <c r="J83" s="771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783"/>
      <c r="W83" s="570"/>
      <c r="X83" s="774"/>
      <c r="Y83" s="482"/>
    </row>
    <row r="84" spans="1:25" ht="14.25" customHeight="1" x14ac:dyDescent="0.15">
      <c r="B84" s="323">
        <v>8</v>
      </c>
      <c r="C84" s="324"/>
      <c r="D84" s="336"/>
      <c r="E84" s="415"/>
      <c r="F84" s="461"/>
      <c r="G84" s="325"/>
      <c r="H84" s="570"/>
      <c r="I84" s="771"/>
      <c r="J84" s="771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783"/>
      <c r="W84" s="570"/>
      <c r="X84" s="774"/>
      <c r="Y84" s="482"/>
    </row>
    <row r="85" spans="1:25" ht="14.25" customHeight="1" x14ac:dyDescent="0.15">
      <c r="B85" s="323">
        <v>8</v>
      </c>
      <c r="C85" s="324"/>
      <c r="D85" s="336"/>
      <c r="E85" s="415"/>
      <c r="F85" s="461"/>
      <c r="G85" s="325"/>
      <c r="H85" s="570"/>
      <c r="I85" s="771"/>
      <c r="J85" s="771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783"/>
      <c r="W85" s="570"/>
      <c r="X85" s="774"/>
      <c r="Y85" s="482"/>
    </row>
    <row r="86" spans="1:25" ht="14.25" customHeight="1" x14ac:dyDescent="0.15">
      <c r="B86" s="323">
        <v>8</v>
      </c>
      <c r="C86" s="324"/>
      <c r="D86" s="336"/>
      <c r="E86" s="415"/>
      <c r="F86" s="461"/>
      <c r="G86" s="325"/>
      <c r="H86" s="570"/>
      <c r="I86" s="771"/>
      <c r="J86" s="771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783"/>
      <c r="W86" s="570"/>
      <c r="X86" s="774"/>
      <c r="Y86" s="482"/>
    </row>
    <row r="87" spans="1:25" ht="14.25" customHeight="1" x14ac:dyDescent="0.15">
      <c r="B87" s="323">
        <v>8</v>
      </c>
      <c r="C87" s="324"/>
      <c r="D87" s="336"/>
      <c r="E87" s="415"/>
      <c r="F87" s="461"/>
      <c r="G87" s="325"/>
      <c r="H87" s="573"/>
      <c r="I87" s="771"/>
      <c r="J87" s="771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783"/>
      <c r="W87" s="573"/>
      <c r="X87" s="774"/>
      <c r="Y87" s="482"/>
    </row>
    <row r="88" spans="1:25" ht="15" customHeight="1" thickBot="1" x14ac:dyDescent="0.2">
      <c r="B88" s="323">
        <v>8</v>
      </c>
      <c r="C88" s="304"/>
      <c r="D88" s="305"/>
      <c r="E88" s="458"/>
      <c r="F88" s="455"/>
      <c r="G88" s="306"/>
      <c r="H88" s="571"/>
      <c r="I88" s="772"/>
      <c r="J88" s="772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784"/>
      <c r="W88" s="571"/>
      <c r="X88" s="775"/>
      <c r="Y88" s="482"/>
    </row>
    <row r="89" spans="1:25" ht="22.5" customHeight="1" thickBot="1" x14ac:dyDescent="0.3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 x14ac:dyDescent="0.15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76">
        <f>SUM(G90:G101)</f>
        <v>54230</v>
      </c>
      <c r="J90" s="750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62">
        <f>J90-SUM(U90:U101)</f>
        <v>0</v>
      </c>
      <c r="W90" s="572"/>
      <c r="X90" s="779">
        <f>SUM(Q90:Q101)</f>
        <v>59310</v>
      </c>
      <c r="Y90" s="482"/>
    </row>
    <row r="91" spans="1:25" ht="15" customHeight="1" x14ac:dyDescent="0.15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77"/>
      <c r="J91" s="751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88" t="s">
        <v>279</v>
      </c>
      <c r="S91" s="601" t="s">
        <v>280</v>
      </c>
      <c r="T91" s="660">
        <v>45900</v>
      </c>
      <c r="U91" s="674">
        <v>6025.6</v>
      </c>
      <c r="V91" s="763"/>
      <c r="W91" s="533">
        <v>45904</v>
      </c>
      <c r="X91" s="780"/>
      <c r="Y91" s="482"/>
    </row>
    <row r="92" spans="1:25" ht="15" customHeight="1" x14ac:dyDescent="0.15">
      <c r="B92" s="383">
        <v>9</v>
      </c>
      <c r="C92" s="500"/>
      <c r="D92" s="385"/>
      <c r="E92" s="406"/>
      <c r="F92" s="444"/>
      <c r="G92" s="386"/>
      <c r="H92" s="534">
        <v>45911</v>
      </c>
      <c r="I92" s="777"/>
      <c r="J92" s="751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89"/>
      <c r="S92" s="602" t="s">
        <v>282</v>
      </c>
      <c r="T92" s="660">
        <v>45900</v>
      </c>
      <c r="U92" s="674">
        <v>9038.4</v>
      </c>
      <c r="V92" s="763"/>
      <c r="W92" s="534">
        <v>45911</v>
      </c>
      <c r="X92" s="780"/>
      <c r="Y92" s="482"/>
    </row>
    <row r="93" spans="1:25" ht="15" customHeight="1" x14ac:dyDescent="0.15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77"/>
      <c r="J93" s="751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89"/>
      <c r="S93" s="602" t="s">
        <v>329</v>
      </c>
      <c r="T93" s="680">
        <v>45961</v>
      </c>
      <c r="U93" s="686">
        <v>12051.2</v>
      </c>
      <c r="V93" s="763"/>
      <c r="W93" s="534">
        <v>45946</v>
      </c>
      <c r="X93" s="780"/>
      <c r="Y93" s="482"/>
    </row>
    <row r="94" spans="1:25" ht="15" customHeight="1" x14ac:dyDescent="0.15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77"/>
      <c r="J94" s="751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89"/>
      <c r="S94" s="602" t="s">
        <v>329</v>
      </c>
      <c r="T94" s="680">
        <v>45961</v>
      </c>
      <c r="U94" s="686">
        <v>15064</v>
      </c>
      <c r="V94" s="763"/>
      <c r="W94" s="534">
        <v>45946</v>
      </c>
      <c r="X94" s="780"/>
      <c r="Y94" s="482"/>
    </row>
    <row r="95" spans="1:25" ht="15" customHeight="1" x14ac:dyDescent="0.15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77"/>
      <c r="J95" s="751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89"/>
      <c r="S95" s="602" t="s">
        <v>329</v>
      </c>
      <c r="T95" s="680">
        <v>45961</v>
      </c>
      <c r="U95" s="686">
        <v>6025.6</v>
      </c>
      <c r="V95" s="763"/>
      <c r="W95" s="566">
        <v>46065</v>
      </c>
      <c r="X95" s="780"/>
      <c r="Y95" s="482"/>
    </row>
    <row r="96" spans="1:25" ht="15" customHeight="1" x14ac:dyDescent="0.15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77"/>
      <c r="J96" s="751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89"/>
      <c r="S96" s="602" t="s">
        <v>329</v>
      </c>
      <c r="T96" s="680">
        <v>45961</v>
      </c>
      <c r="U96" s="686">
        <v>6025.6</v>
      </c>
      <c r="V96" s="763"/>
      <c r="W96" s="566">
        <v>46065</v>
      </c>
      <c r="X96" s="780"/>
      <c r="Y96" s="482"/>
    </row>
    <row r="97" spans="1:25" ht="15" customHeight="1" x14ac:dyDescent="0.15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77"/>
      <c r="J97" s="751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89"/>
      <c r="S97" s="602" t="s">
        <v>329</v>
      </c>
      <c r="T97" s="680">
        <v>45961</v>
      </c>
      <c r="U97" s="686">
        <v>3012.8</v>
      </c>
      <c r="V97" s="763"/>
      <c r="W97" s="566">
        <v>46065</v>
      </c>
      <c r="X97" s="780"/>
      <c r="Y97" s="482"/>
    </row>
    <row r="98" spans="1:25" ht="15" customHeight="1" x14ac:dyDescent="0.15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77"/>
      <c r="J98" s="751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90"/>
      <c r="S98" s="602" t="s">
        <v>329</v>
      </c>
      <c r="T98" s="680">
        <v>45961</v>
      </c>
      <c r="U98" s="686">
        <v>3012.8</v>
      </c>
      <c r="V98" s="763"/>
      <c r="W98" s="566">
        <v>46065</v>
      </c>
      <c r="X98" s="780"/>
      <c r="Y98" s="482"/>
    </row>
    <row r="99" spans="1:25" ht="15" customHeight="1" x14ac:dyDescent="0.15">
      <c r="B99" s="383">
        <v>9</v>
      </c>
      <c r="C99" s="500"/>
      <c r="D99" s="385"/>
      <c r="E99" s="406"/>
      <c r="F99" s="444"/>
      <c r="G99" s="386"/>
      <c r="H99" s="566"/>
      <c r="I99" s="777"/>
      <c r="J99" s="751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63"/>
      <c r="W99" s="566"/>
      <c r="X99" s="780"/>
      <c r="Y99" s="482"/>
    </row>
    <row r="100" spans="1:25" ht="15" customHeight="1" x14ac:dyDescent="0.15">
      <c r="B100" s="383">
        <v>9</v>
      </c>
      <c r="C100" s="500"/>
      <c r="D100" s="385"/>
      <c r="E100" s="406"/>
      <c r="F100" s="444"/>
      <c r="G100" s="386"/>
      <c r="H100" s="566"/>
      <c r="I100" s="777"/>
      <c r="J100" s="751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63"/>
      <c r="W100" s="566"/>
      <c r="X100" s="780"/>
      <c r="Y100" s="482"/>
    </row>
    <row r="101" spans="1:25" ht="15" customHeight="1" thickBot="1" x14ac:dyDescent="0.2">
      <c r="B101" s="317">
        <v>9</v>
      </c>
      <c r="C101" s="438"/>
      <c r="D101" s="330"/>
      <c r="E101" s="319"/>
      <c r="F101" s="460"/>
      <c r="G101" s="331"/>
      <c r="H101" s="567"/>
      <c r="I101" s="778"/>
      <c r="J101" s="752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64"/>
      <c r="W101" s="567"/>
      <c r="X101" s="781"/>
      <c r="Y101" s="482"/>
    </row>
    <row r="102" spans="1:25" ht="15" thickBot="1" x14ac:dyDescent="0.2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 x14ac:dyDescent="0.15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56">
        <f>SUM(G103:G117)</f>
        <v>26112.27</v>
      </c>
      <c r="J103" s="756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65">
        <f>J103-SUM(U103:U117)</f>
        <v>0</v>
      </c>
      <c r="W103" s="576"/>
      <c r="X103" s="759">
        <f>SUM(Q103:Q117)</f>
        <v>34792</v>
      </c>
      <c r="Y103" s="482"/>
    </row>
    <row r="104" spans="1:25" ht="14.25" customHeight="1" x14ac:dyDescent="0.15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57"/>
      <c r="J104" s="757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66"/>
      <c r="W104" s="537">
        <v>45898</v>
      </c>
      <c r="X104" s="760"/>
      <c r="Y104" s="482"/>
    </row>
    <row r="105" spans="1:25" ht="14.25" customHeight="1" x14ac:dyDescent="0.15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57"/>
      <c r="J105" s="757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66"/>
      <c r="W105" s="577"/>
      <c r="X105" s="760"/>
      <c r="Y105" s="482"/>
    </row>
    <row r="106" spans="1:25" ht="14.25" customHeight="1" x14ac:dyDescent="0.15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57"/>
      <c r="J106" s="757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66"/>
      <c r="W106" s="577"/>
      <c r="X106" s="760"/>
      <c r="Y106" s="482"/>
    </row>
    <row r="107" spans="1:25" ht="14.25" customHeight="1" x14ac:dyDescent="0.15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57"/>
      <c r="J107" s="757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785" t="s">
        <v>279</v>
      </c>
      <c r="S107" s="615" t="s">
        <v>280</v>
      </c>
      <c r="T107" s="659">
        <v>45900</v>
      </c>
      <c r="U107" s="679">
        <v>1000.6783168544493</v>
      </c>
      <c r="V107" s="766"/>
      <c r="W107" s="538">
        <f>W91</f>
        <v>45904</v>
      </c>
      <c r="X107" s="760"/>
      <c r="Y107" s="482"/>
    </row>
    <row r="108" spans="1:25" ht="14.25" customHeight="1" x14ac:dyDescent="0.15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57"/>
      <c r="J108" s="757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786"/>
      <c r="S108" s="619" t="s">
        <v>282</v>
      </c>
      <c r="T108" s="659">
        <v>45900</v>
      </c>
      <c r="U108" s="679">
        <v>1501.017475281674</v>
      </c>
      <c r="V108" s="766"/>
      <c r="W108" s="538">
        <f t="shared" ref="W108:W114" si="13">W92</f>
        <v>45911</v>
      </c>
      <c r="X108" s="760"/>
      <c r="Y108" s="482"/>
    </row>
    <row r="109" spans="1:25" ht="14.25" customHeight="1" x14ac:dyDescent="0.15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57"/>
      <c r="J109" s="757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786"/>
      <c r="S109" s="615" t="s">
        <v>285</v>
      </c>
      <c r="T109" s="659">
        <v>45900</v>
      </c>
      <c r="U109" s="679">
        <v>2001.3566337088987</v>
      </c>
      <c r="V109" s="766"/>
      <c r="W109" s="538">
        <f t="shared" si="13"/>
        <v>45946</v>
      </c>
      <c r="X109" s="760"/>
      <c r="Y109" s="482"/>
    </row>
    <row r="110" spans="1:25" ht="14.25" customHeight="1" x14ac:dyDescent="0.15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57"/>
      <c r="J110" s="757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786"/>
      <c r="S110" s="615" t="s">
        <v>288</v>
      </c>
      <c r="T110" s="659">
        <v>45900</v>
      </c>
      <c r="U110" s="679">
        <v>2501.6957921361231</v>
      </c>
      <c r="V110" s="766"/>
      <c r="W110" s="538">
        <f t="shared" si="13"/>
        <v>45946</v>
      </c>
      <c r="X110" s="760"/>
      <c r="Y110" s="482"/>
    </row>
    <row r="111" spans="1:25" ht="14.25" customHeight="1" x14ac:dyDescent="0.15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57"/>
      <c r="J111" s="757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786"/>
      <c r="S111" s="615" t="s">
        <v>290</v>
      </c>
      <c r="T111" s="659">
        <v>45900</v>
      </c>
      <c r="U111" s="679">
        <v>1000.6783168544493</v>
      </c>
      <c r="V111" s="766"/>
      <c r="W111" s="685">
        <f t="shared" si="13"/>
        <v>46065</v>
      </c>
      <c r="X111" s="760"/>
      <c r="Y111" s="482"/>
    </row>
    <row r="112" spans="1:25" ht="14.25" customHeight="1" x14ac:dyDescent="0.15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57"/>
      <c r="J112" s="757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786"/>
      <c r="S112" s="615" t="s">
        <v>292</v>
      </c>
      <c r="T112" s="659">
        <v>45900</v>
      </c>
      <c r="U112" s="679">
        <v>1000.6783168544493</v>
      </c>
      <c r="V112" s="766"/>
      <c r="W112" s="685">
        <f t="shared" si="13"/>
        <v>46065</v>
      </c>
      <c r="X112" s="760"/>
      <c r="Y112" s="482"/>
    </row>
    <row r="113" spans="1:25" ht="14.25" customHeight="1" x14ac:dyDescent="0.15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57"/>
      <c r="J113" s="757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786"/>
      <c r="S113" s="615" t="s">
        <v>294</v>
      </c>
      <c r="T113" s="659">
        <v>45900</v>
      </c>
      <c r="U113" s="679">
        <v>500.33915842722467</v>
      </c>
      <c r="V113" s="766"/>
      <c r="W113" s="685">
        <f t="shared" si="13"/>
        <v>46065</v>
      </c>
      <c r="X113" s="760"/>
      <c r="Y113" s="482"/>
    </row>
    <row r="114" spans="1:25" ht="14.25" customHeight="1" x14ac:dyDescent="0.15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57"/>
      <c r="J114" s="757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787"/>
      <c r="S114" s="615" t="s">
        <v>296</v>
      </c>
      <c r="T114" s="659">
        <v>45900</v>
      </c>
      <c r="U114" s="679">
        <v>500.33915842722467</v>
      </c>
      <c r="V114" s="766"/>
      <c r="W114" s="685">
        <f t="shared" si="13"/>
        <v>46065</v>
      </c>
      <c r="X114" s="760"/>
      <c r="Y114" s="482"/>
    </row>
    <row r="115" spans="1:25" ht="14.1" customHeight="1" x14ac:dyDescent="0.15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57"/>
      <c r="J115" s="757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66"/>
      <c r="W115" s="685"/>
      <c r="X115" s="760"/>
      <c r="Y115" s="482"/>
    </row>
    <row r="116" spans="1:25" ht="14.25" customHeight="1" x14ac:dyDescent="0.15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57"/>
      <c r="J116" s="757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66"/>
      <c r="W116" s="578"/>
      <c r="X116" s="760"/>
      <c r="Y116" s="482"/>
    </row>
    <row r="117" spans="1:25" ht="15" customHeight="1" thickBot="1" x14ac:dyDescent="0.2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58"/>
      <c r="J117" s="758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67"/>
      <c r="W117" s="579"/>
      <c r="X117" s="761"/>
      <c r="Y117" s="482"/>
    </row>
    <row r="118" spans="1:25" ht="15" thickBot="1" x14ac:dyDescent="0.2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 x14ac:dyDescent="0.15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50">
        <f>SUM(G119:G123)</f>
        <v>29000</v>
      </c>
      <c r="J119" s="750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62">
        <f>J119-SUM(U119:U123)</f>
        <v>-2.5142424055957235E-4</v>
      </c>
      <c r="W119" s="699">
        <v>46051</v>
      </c>
      <c r="X119" s="753">
        <f>SUM(Q119:Q123)</f>
        <v>18575</v>
      </c>
      <c r="Y119" s="482"/>
    </row>
    <row r="120" spans="1:25" ht="15" customHeight="1" x14ac:dyDescent="0.15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51"/>
      <c r="J120" s="751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63"/>
      <c r="W120" s="565"/>
      <c r="X120" s="754"/>
      <c r="Y120" s="482"/>
    </row>
    <row r="121" spans="1:25" ht="15" customHeight="1" x14ac:dyDescent="0.15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51"/>
      <c r="J121" s="751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63"/>
      <c r="W121" s="565"/>
      <c r="X121" s="754"/>
      <c r="Y121" s="482"/>
    </row>
    <row r="122" spans="1:25" ht="15" customHeight="1" x14ac:dyDescent="0.15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51"/>
      <c r="J122" s="751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63"/>
      <c r="W122" s="702">
        <f>T122+30</f>
        <v>45991</v>
      </c>
      <c r="X122" s="754"/>
      <c r="Y122" s="482"/>
    </row>
    <row r="123" spans="1:25" ht="15" customHeight="1" thickBot="1" x14ac:dyDescent="0.2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52"/>
      <c r="J123" s="752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64"/>
      <c r="W123" s="567"/>
      <c r="X123" s="755"/>
      <c r="Y123" s="482"/>
    </row>
    <row r="124" spans="1:25" ht="15" customHeight="1" thickBot="1" x14ac:dyDescent="0.2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 x14ac:dyDescent="0.1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56">
        <f>SUM(G125:G126)</f>
        <v>0</v>
      </c>
      <c r="J125" s="756">
        <v>0</v>
      </c>
      <c r="K125" s="768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59">
        <f>SUM(Q125:Q126)</f>
        <v>0</v>
      </c>
      <c r="Y125" s="482"/>
    </row>
    <row r="126" spans="1:25" ht="15" customHeight="1" thickBot="1" x14ac:dyDescent="0.2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58"/>
      <c r="J126" s="758"/>
      <c r="K126" s="769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61"/>
      <c r="Y126" s="482"/>
    </row>
    <row r="127" spans="1:25" ht="15" thickBot="1" x14ac:dyDescent="0.2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 x14ac:dyDescent="0.15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50">
        <f>SUM(G128:G132)</f>
        <v>10071.950000000001</v>
      </c>
      <c r="J128" s="750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62">
        <f>J128-SUM(U128:U133)</f>
        <v>0</v>
      </c>
      <c r="W128" s="709">
        <f>T128+30</f>
        <v>45991</v>
      </c>
      <c r="X128" s="753">
        <f>SUM(Q128:Q133)</f>
        <v>12839.2</v>
      </c>
      <c r="Y128" s="482"/>
    </row>
    <row r="129" spans="1:25" ht="15.75" customHeight="1" x14ac:dyDescent="0.15">
      <c r="B129" s="312">
        <v>13</v>
      </c>
      <c r="C129" s="314"/>
      <c r="D129" s="314"/>
      <c r="E129" s="315"/>
      <c r="F129" s="459"/>
      <c r="G129" s="316"/>
      <c r="H129" s="565"/>
      <c r="I129" s="751"/>
      <c r="J129" s="751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63"/>
      <c r="W129" s="565"/>
      <c r="X129" s="754"/>
      <c r="Y129" s="482"/>
    </row>
    <row r="130" spans="1:25" ht="15.75" customHeight="1" x14ac:dyDescent="0.15">
      <c r="B130" s="312">
        <v>13</v>
      </c>
      <c r="C130" s="314"/>
      <c r="D130" s="314"/>
      <c r="E130" s="315"/>
      <c r="F130" s="459"/>
      <c r="G130" s="316"/>
      <c r="H130" s="565"/>
      <c r="I130" s="751"/>
      <c r="J130" s="751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63"/>
      <c r="W130" s="565"/>
      <c r="X130" s="754"/>
      <c r="Y130" s="482"/>
    </row>
    <row r="131" spans="1:25" ht="15.75" customHeight="1" x14ac:dyDescent="0.15">
      <c r="B131" s="312">
        <v>13</v>
      </c>
      <c r="C131" s="314"/>
      <c r="D131" s="314"/>
      <c r="E131" s="315"/>
      <c r="F131" s="459"/>
      <c r="G131" s="316"/>
      <c r="H131" s="565"/>
      <c r="I131" s="751"/>
      <c r="J131" s="751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63"/>
      <c r="W131" s="565"/>
      <c r="X131" s="754"/>
      <c r="Y131" s="482"/>
    </row>
    <row r="132" spans="1:25" ht="15.75" customHeight="1" x14ac:dyDescent="0.15">
      <c r="B132" s="312">
        <v>13</v>
      </c>
      <c r="C132" s="314"/>
      <c r="D132" s="314"/>
      <c r="E132" s="315"/>
      <c r="F132" s="459"/>
      <c r="G132" s="316"/>
      <c r="H132" s="565"/>
      <c r="I132" s="751"/>
      <c r="J132" s="751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63"/>
      <c r="W132" s="565"/>
      <c r="X132" s="754"/>
      <c r="Y132" s="482"/>
    </row>
    <row r="133" spans="1:25" ht="15.75" customHeight="1" x14ac:dyDescent="0.15">
      <c r="B133" s="317">
        <v>13</v>
      </c>
      <c r="C133" s="318"/>
      <c r="D133" s="318"/>
      <c r="E133" s="319"/>
      <c r="F133" s="460"/>
      <c r="G133" s="331"/>
      <c r="H133" s="567"/>
      <c r="I133" s="752"/>
      <c r="J133" s="752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64"/>
      <c r="W133" s="567"/>
      <c r="X133" s="755"/>
      <c r="Y133" s="482"/>
    </row>
    <row r="134" spans="1:25" ht="15" thickBot="1" x14ac:dyDescent="0.2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 x14ac:dyDescent="0.15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56">
        <f>SUM(G135:G146)</f>
        <v>1225</v>
      </c>
      <c r="J135" s="756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65">
        <f>J135-SUM(U135:U146)</f>
        <v>0</v>
      </c>
      <c r="W135" s="538">
        <v>45900</v>
      </c>
      <c r="X135" s="759">
        <f>SUM(Q135:Q146)</f>
        <v>3159.05</v>
      </c>
      <c r="Y135" s="482"/>
    </row>
    <row r="136" spans="1:25" ht="14.25" customHeight="1" x14ac:dyDescent="0.15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57"/>
      <c r="J136" s="757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66"/>
      <c r="W136" s="685">
        <v>45930</v>
      </c>
      <c r="X136" s="760"/>
      <c r="Y136" s="482"/>
    </row>
    <row r="137" spans="1:25" ht="14.25" customHeight="1" x14ac:dyDescent="0.15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57"/>
      <c r="J137" s="757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66"/>
      <c r="W137" s="685">
        <v>45961</v>
      </c>
      <c r="X137" s="760"/>
      <c r="Y137" s="482"/>
    </row>
    <row r="138" spans="1:25" ht="14.25" customHeight="1" x14ac:dyDescent="0.15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57"/>
      <c r="J138" s="757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66"/>
      <c r="W138" s="685">
        <v>45996</v>
      </c>
      <c r="X138" s="760"/>
      <c r="Y138" s="482"/>
    </row>
    <row r="139" spans="1:25" ht="14.25" customHeight="1" x14ac:dyDescent="0.15">
      <c r="B139" s="341">
        <v>14</v>
      </c>
      <c r="C139" s="342"/>
      <c r="D139" s="342"/>
      <c r="E139" s="343"/>
      <c r="F139" s="471"/>
      <c r="G139" s="344"/>
      <c r="H139" s="578"/>
      <c r="I139" s="757"/>
      <c r="J139" s="757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66"/>
      <c r="W139" s="578"/>
      <c r="X139" s="760"/>
      <c r="Y139" s="482"/>
    </row>
    <row r="140" spans="1:25" ht="14.25" customHeight="1" x14ac:dyDescent="0.15">
      <c r="B140" s="341">
        <v>14</v>
      </c>
      <c r="C140" s="342"/>
      <c r="D140" s="342"/>
      <c r="E140" s="343"/>
      <c r="F140" s="471"/>
      <c r="G140" s="344"/>
      <c r="H140" s="578"/>
      <c r="I140" s="757"/>
      <c r="J140" s="757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66"/>
      <c r="W140" s="578"/>
      <c r="X140" s="760"/>
      <c r="Y140" s="482"/>
    </row>
    <row r="141" spans="1:25" ht="14.25" customHeight="1" x14ac:dyDescent="0.15">
      <c r="B141" s="341">
        <v>14</v>
      </c>
      <c r="C141" s="342"/>
      <c r="D141" s="342"/>
      <c r="E141" s="343"/>
      <c r="F141" s="471"/>
      <c r="G141" s="344"/>
      <c r="H141" s="578"/>
      <c r="I141" s="757"/>
      <c r="J141" s="757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66"/>
      <c r="W141" s="578"/>
      <c r="X141" s="760"/>
      <c r="Y141" s="482"/>
    </row>
    <row r="142" spans="1:25" ht="14.25" customHeight="1" x14ac:dyDescent="0.15">
      <c r="B142" s="341">
        <v>14</v>
      </c>
      <c r="C142" s="342"/>
      <c r="D142" s="342"/>
      <c r="E142" s="343"/>
      <c r="F142" s="471"/>
      <c r="G142" s="344"/>
      <c r="H142" s="578"/>
      <c r="I142" s="757"/>
      <c r="J142" s="757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66"/>
      <c r="W142" s="578"/>
      <c r="X142" s="760"/>
      <c r="Y142" s="482"/>
    </row>
    <row r="143" spans="1:25" ht="14.25" customHeight="1" x14ac:dyDescent="0.15">
      <c r="B143" s="341">
        <v>14</v>
      </c>
      <c r="C143" s="342"/>
      <c r="D143" s="342"/>
      <c r="E143" s="343"/>
      <c r="F143" s="471"/>
      <c r="G143" s="344"/>
      <c r="H143" s="578"/>
      <c r="I143" s="757"/>
      <c r="J143" s="757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66"/>
      <c r="W143" s="578"/>
      <c r="X143" s="760"/>
      <c r="Y143" s="482"/>
    </row>
    <row r="144" spans="1:25" ht="14.25" customHeight="1" x14ac:dyDescent="0.15">
      <c r="B144" s="341">
        <v>14</v>
      </c>
      <c r="C144" s="342"/>
      <c r="D144" s="342"/>
      <c r="E144" s="343"/>
      <c r="F144" s="471"/>
      <c r="G144" s="344"/>
      <c r="H144" s="578"/>
      <c r="I144" s="757"/>
      <c r="J144" s="757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66"/>
      <c r="W144" s="578"/>
      <c r="X144" s="760"/>
      <c r="Y144" s="482"/>
    </row>
    <row r="145" spans="1:25" ht="14.25" customHeight="1" x14ac:dyDescent="0.15">
      <c r="B145" s="341">
        <v>14</v>
      </c>
      <c r="C145" s="342"/>
      <c r="D145" s="342"/>
      <c r="E145" s="343"/>
      <c r="F145" s="471"/>
      <c r="G145" s="344"/>
      <c r="H145" s="578"/>
      <c r="I145" s="757"/>
      <c r="J145" s="757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66"/>
      <c r="W145" s="578"/>
      <c r="X145" s="760"/>
      <c r="Y145" s="482"/>
    </row>
    <row r="146" spans="1:25" ht="15" customHeight="1" thickBot="1" x14ac:dyDescent="0.2">
      <c r="B146" s="274">
        <v>14</v>
      </c>
      <c r="C146" s="345"/>
      <c r="D146" s="345"/>
      <c r="E146" s="346"/>
      <c r="F146" s="472"/>
      <c r="G146" s="275"/>
      <c r="H146" s="579"/>
      <c r="I146" s="758"/>
      <c r="J146" s="758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67"/>
      <c r="W146" s="579"/>
      <c r="X146" s="761"/>
      <c r="Y146" s="482"/>
    </row>
    <row r="147" spans="1:25" ht="15" thickBot="1" x14ac:dyDescent="0.2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 x14ac:dyDescent="0.1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50">
        <f>SUM(G148:G159)</f>
        <v>0</v>
      </c>
      <c r="J148" s="750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62">
        <v>0</v>
      </c>
      <c r="W148" s="699">
        <v>46022</v>
      </c>
      <c r="X148" s="753">
        <f>SUM(Q148:Q159)</f>
        <v>298.24</v>
      </c>
      <c r="Y148" s="482"/>
    </row>
    <row r="149" spans="1:25" x14ac:dyDescent="0.15">
      <c r="B149" s="312">
        <v>15</v>
      </c>
      <c r="C149" s="314"/>
      <c r="D149" s="314"/>
      <c r="E149" s="315"/>
      <c r="F149" s="459"/>
      <c r="G149" s="316"/>
      <c r="H149" s="565"/>
      <c r="I149" s="751"/>
      <c r="J149" s="751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63"/>
      <c r="W149" s="565"/>
      <c r="X149" s="754"/>
      <c r="Y149" s="482"/>
    </row>
    <row r="150" spans="1:25" x14ac:dyDescent="0.15">
      <c r="B150" s="312">
        <v>15</v>
      </c>
      <c r="C150" s="314"/>
      <c r="D150" s="314"/>
      <c r="E150" s="315"/>
      <c r="F150" s="459"/>
      <c r="G150" s="316"/>
      <c r="H150" s="565"/>
      <c r="I150" s="751"/>
      <c r="J150" s="751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63"/>
      <c r="W150" s="565"/>
      <c r="X150" s="754"/>
      <c r="Y150" s="482"/>
    </row>
    <row r="151" spans="1:25" x14ac:dyDescent="0.15">
      <c r="B151" s="312">
        <v>15</v>
      </c>
      <c r="C151" s="314"/>
      <c r="D151" s="314"/>
      <c r="E151" s="315"/>
      <c r="F151" s="459"/>
      <c r="G151" s="316"/>
      <c r="H151" s="565"/>
      <c r="I151" s="751"/>
      <c r="J151" s="751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63"/>
      <c r="W151" s="565"/>
      <c r="X151" s="754"/>
      <c r="Y151" s="482"/>
    </row>
    <row r="152" spans="1:25" x14ac:dyDescent="0.15">
      <c r="B152" s="312">
        <v>15</v>
      </c>
      <c r="C152" s="314"/>
      <c r="D152" s="314"/>
      <c r="E152" s="315"/>
      <c r="F152" s="459"/>
      <c r="G152" s="316"/>
      <c r="H152" s="565"/>
      <c r="I152" s="751"/>
      <c r="J152" s="751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63"/>
      <c r="W152" s="565"/>
      <c r="X152" s="754"/>
      <c r="Y152" s="482"/>
    </row>
    <row r="153" spans="1:25" x14ac:dyDescent="0.15">
      <c r="B153" s="312">
        <v>15</v>
      </c>
      <c r="C153" s="314"/>
      <c r="D153" s="314"/>
      <c r="E153" s="315"/>
      <c r="F153" s="459"/>
      <c r="G153" s="316"/>
      <c r="H153" s="565"/>
      <c r="I153" s="751"/>
      <c r="J153" s="751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63"/>
      <c r="W153" s="565"/>
      <c r="X153" s="754"/>
      <c r="Y153" s="482"/>
    </row>
    <row r="154" spans="1:25" x14ac:dyDescent="0.15">
      <c r="B154" s="312">
        <v>15</v>
      </c>
      <c r="C154" s="314"/>
      <c r="D154" s="314"/>
      <c r="E154" s="315"/>
      <c r="F154" s="459"/>
      <c r="G154" s="316"/>
      <c r="H154" s="565"/>
      <c r="I154" s="751"/>
      <c r="J154" s="751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63"/>
      <c r="W154" s="565"/>
      <c r="X154" s="754"/>
      <c r="Y154" s="482"/>
    </row>
    <row r="155" spans="1:25" x14ac:dyDescent="0.15">
      <c r="B155" s="312">
        <v>15</v>
      </c>
      <c r="C155" s="314"/>
      <c r="D155" s="314"/>
      <c r="E155" s="315"/>
      <c r="F155" s="459"/>
      <c r="G155" s="316"/>
      <c r="H155" s="565"/>
      <c r="I155" s="751"/>
      <c r="J155" s="751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63"/>
      <c r="W155" s="565"/>
      <c r="X155" s="754"/>
      <c r="Y155" s="482"/>
    </row>
    <row r="156" spans="1:25" x14ac:dyDescent="0.15">
      <c r="B156" s="312">
        <v>15</v>
      </c>
      <c r="C156" s="314"/>
      <c r="D156" s="314"/>
      <c r="E156" s="315"/>
      <c r="F156" s="459"/>
      <c r="G156" s="316"/>
      <c r="H156" s="565"/>
      <c r="I156" s="751"/>
      <c r="J156" s="751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63"/>
      <c r="W156" s="565"/>
      <c r="X156" s="754"/>
      <c r="Y156" s="482"/>
    </row>
    <row r="157" spans="1:25" x14ac:dyDescent="0.15">
      <c r="B157" s="312">
        <v>15</v>
      </c>
      <c r="C157" s="314"/>
      <c r="D157" s="314"/>
      <c r="E157" s="315"/>
      <c r="F157" s="459"/>
      <c r="G157" s="316"/>
      <c r="H157" s="565"/>
      <c r="I157" s="751"/>
      <c r="J157" s="751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63"/>
      <c r="W157" s="565"/>
      <c r="X157" s="754"/>
      <c r="Y157" s="482"/>
    </row>
    <row r="158" spans="1:25" x14ac:dyDescent="0.15">
      <c r="B158" s="312">
        <v>15</v>
      </c>
      <c r="C158" s="314"/>
      <c r="D158" s="314"/>
      <c r="E158" s="315"/>
      <c r="F158" s="459"/>
      <c r="G158" s="316"/>
      <c r="H158" s="565"/>
      <c r="I158" s="751"/>
      <c r="J158" s="751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63"/>
      <c r="W158" s="565"/>
      <c r="X158" s="754"/>
      <c r="Y158" s="482"/>
    </row>
    <row r="159" spans="1:25" ht="15" customHeight="1" thickBot="1" x14ac:dyDescent="0.2">
      <c r="B159" s="317">
        <v>15</v>
      </c>
      <c r="C159" s="318"/>
      <c r="D159" s="318"/>
      <c r="E159" s="319"/>
      <c r="F159" s="460"/>
      <c r="G159" s="331"/>
      <c r="H159" s="567"/>
      <c r="I159" s="752"/>
      <c r="J159" s="752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64"/>
      <c r="W159" s="567"/>
      <c r="X159" s="755"/>
      <c r="Y159" s="482"/>
    </row>
    <row r="160" spans="1:25" s="3" customFormat="1" x14ac:dyDescent="0.15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 x14ac:dyDescent="0.15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 x14ac:dyDescent="0.15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 x14ac:dyDescent="0.15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 x14ac:dyDescent="0.15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 x14ac:dyDescent="0.15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 x14ac:dyDescent="0.15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 x14ac:dyDescent="0.15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 x14ac:dyDescent="0.15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 x14ac:dyDescent="0.15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 x14ac:dyDescent="0.15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 x14ac:dyDescent="0.15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 x14ac:dyDescent="0.15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 x14ac:dyDescent="0.15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 x14ac:dyDescent="0.15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 x14ac:dyDescent="0.15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 x14ac:dyDescent="0.15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 x14ac:dyDescent="0.15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 x14ac:dyDescent="0.15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 x14ac:dyDescent="0.15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 x14ac:dyDescent="0.15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 x14ac:dyDescent="0.15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 x14ac:dyDescent="0.15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 x14ac:dyDescent="0.15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 x14ac:dyDescent="0.15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 x14ac:dyDescent="0.15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 x14ac:dyDescent="0.15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 x14ac:dyDescent="0.15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 x14ac:dyDescent="0.15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 x14ac:dyDescent="0.15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 x14ac:dyDescent="0.15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 x14ac:dyDescent="0.15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 x14ac:dyDescent="0.15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 x14ac:dyDescent="0.15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 x14ac:dyDescent="0.15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 x14ac:dyDescent="0.15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 x14ac:dyDescent="0.15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 x14ac:dyDescent="0.15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 x14ac:dyDescent="0.15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 x14ac:dyDescent="0.15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 x14ac:dyDescent="0.15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 x14ac:dyDescent="0.15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 x14ac:dyDescent="0.15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 x14ac:dyDescent="0.15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 x14ac:dyDescent="0.15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 x14ac:dyDescent="0.15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 x14ac:dyDescent="0.15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 x14ac:dyDescent="0.15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 x14ac:dyDescent="0.15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 x14ac:dyDescent="0.15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 x14ac:dyDescent="0.15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 x14ac:dyDescent="0.15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 x14ac:dyDescent="0.15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 x14ac:dyDescent="0.15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 x14ac:dyDescent="0.15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 x14ac:dyDescent="0.15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 x14ac:dyDescent="0.15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 x14ac:dyDescent="0.15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 x14ac:dyDescent="0.15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 x14ac:dyDescent="0.15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 x14ac:dyDescent="0.15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 x14ac:dyDescent="0.15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 x14ac:dyDescent="0.15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 x14ac:dyDescent="0.15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 x14ac:dyDescent="0.15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 x14ac:dyDescent="0.15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 x14ac:dyDescent="0.15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 x14ac:dyDescent="0.15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 x14ac:dyDescent="0.15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 x14ac:dyDescent="0.15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 x14ac:dyDescent="0.15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 x14ac:dyDescent="0.15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 x14ac:dyDescent="0.15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 x14ac:dyDescent="0.15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 x14ac:dyDescent="0.15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 x14ac:dyDescent="0.15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 x14ac:dyDescent="0.15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 x14ac:dyDescent="0.15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 x14ac:dyDescent="0.15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 x14ac:dyDescent="0.15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 x14ac:dyDescent="0.15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 x14ac:dyDescent="0.15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 x14ac:dyDescent="0.15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 x14ac:dyDescent="0.15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 x14ac:dyDescent="0.15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 x14ac:dyDescent="0.15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 x14ac:dyDescent="0.15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 x14ac:dyDescent="0.15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 x14ac:dyDescent="0.15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 x14ac:dyDescent="0.15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 x14ac:dyDescent="0.15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 x14ac:dyDescent="0.15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 x14ac:dyDescent="0.15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 x14ac:dyDescent="0.15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 x14ac:dyDescent="0.15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 x14ac:dyDescent="0.15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 x14ac:dyDescent="0.15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 x14ac:dyDescent="0.15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 x14ac:dyDescent="0.15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 x14ac:dyDescent="0.15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 x14ac:dyDescent="0.15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 x14ac:dyDescent="0.15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 x14ac:dyDescent="0.15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 x14ac:dyDescent="0.15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 x14ac:dyDescent="0.15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 x14ac:dyDescent="0.15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 x14ac:dyDescent="0.15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 x14ac:dyDescent="0.15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 x14ac:dyDescent="0.15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 x14ac:dyDescent="0.15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 x14ac:dyDescent="0.15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 x14ac:dyDescent="0.15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 x14ac:dyDescent="0.15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 x14ac:dyDescent="0.15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 x14ac:dyDescent="0.15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 x14ac:dyDescent="0.15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 x14ac:dyDescent="0.15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 x14ac:dyDescent="0.15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 x14ac:dyDescent="0.15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 x14ac:dyDescent="0.15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 x14ac:dyDescent="0.15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 x14ac:dyDescent="0.15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 x14ac:dyDescent="0.15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 x14ac:dyDescent="0.15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 x14ac:dyDescent="0.15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 x14ac:dyDescent="0.15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 x14ac:dyDescent="0.15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 x14ac:dyDescent="0.15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 x14ac:dyDescent="0.15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 x14ac:dyDescent="0.15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 x14ac:dyDescent="0.15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 x14ac:dyDescent="0.15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 x14ac:dyDescent="0.15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 x14ac:dyDescent="0.15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 x14ac:dyDescent="0.15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 x14ac:dyDescent="0.15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 x14ac:dyDescent="0.15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 x14ac:dyDescent="0.15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 x14ac:dyDescent="0.15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 x14ac:dyDescent="0.15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 x14ac:dyDescent="0.15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 x14ac:dyDescent="0.15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 x14ac:dyDescent="0.15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 x14ac:dyDescent="0.15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 x14ac:dyDescent="0.15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 x14ac:dyDescent="0.15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 x14ac:dyDescent="0.15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 x14ac:dyDescent="0.15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 x14ac:dyDescent="0.15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 x14ac:dyDescent="0.15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 x14ac:dyDescent="0.15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 x14ac:dyDescent="0.15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 x14ac:dyDescent="0.15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 x14ac:dyDescent="0.15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 x14ac:dyDescent="0.15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 x14ac:dyDescent="0.15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 x14ac:dyDescent="0.15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 x14ac:dyDescent="0.15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 x14ac:dyDescent="0.15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 x14ac:dyDescent="0.15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 x14ac:dyDescent="0.15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 x14ac:dyDescent="0.15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 x14ac:dyDescent="0.15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 x14ac:dyDescent="0.15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 x14ac:dyDescent="0.15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 x14ac:dyDescent="0.15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 x14ac:dyDescent="0.15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 x14ac:dyDescent="0.15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 x14ac:dyDescent="0.15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 x14ac:dyDescent="0.15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 x14ac:dyDescent="0.15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 x14ac:dyDescent="0.15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 x14ac:dyDescent="0.15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 x14ac:dyDescent="0.15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 x14ac:dyDescent="0.15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 x14ac:dyDescent="0.15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 x14ac:dyDescent="0.15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 x14ac:dyDescent="0.15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 x14ac:dyDescent="0.15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 x14ac:dyDescent="0.15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 x14ac:dyDescent="0.15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 x14ac:dyDescent="0.15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 x14ac:dyDescent="0.15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 x14ac:dyDescent="0.15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 x14ac:dyDescent="0.15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 x14ac:dyDescent="0.15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 x14ac:dyDescent="0.15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 x14ac:dyDescent="0.15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 x14ac:dyDescent="0.15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 x14ac:dyDescent="0.15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 x14ac:dyDescent="0.15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 x14ac:dyDescent="0.15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 x14ac:dyDescent="0.15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 x14ac:dyDescent="0.15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 x14ac:dyDescent="0.15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 x14ac:dyDescent="0.15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 x14ac:dyDescent="0.15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 x14ac:dyDescent="0.15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 x14ac:dyDescent="0.15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 x14ac:dyDescent="0.15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 x14ac:dyDescent="0.15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 x14ac:dyDescent="0.15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 x14ac:dyDescent="0.15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 x14ac:dyDescent="0.15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 x14ac:dyDescent="0.15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 x14ac:dyDescent="0.15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 x14ac:dyDescent="0.15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 x14ac:dyDescent="0.15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 x14ac:dyDescent="0.15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 x14ac:dyDescent="0.15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 x14ac:dyDescent="0.15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 x14ac:dyDescent="0.15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 x14ac:dyDescent="0.15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 x14ac:dyDescent="0.15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 x14ac:dyDescent="0.15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 x14ac:dyDescent="0.15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 x14ac:dyDescent="0.15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 x14ac:dyDescent="0.15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 x14ac:dyDescent="0.15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 x14ac:dyDescent="0.15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 x14ac:dyDescent="0.15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 x14ac:dyDescent="0.15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 x14ac:dyDescent="0.15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 x14ac:dyDescent="0.15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 x14ac:dyDescent="0.15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 x14ac:dyDescent="0.15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 x14ac:dyDescent="0.15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 x14ac:dyDescent="0.15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 x14ac:dyDescent="0.15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 x14ac:dyDescent="0.15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 x14ac:dyDescent="0.15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 x14ac:dyDescent="0.15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 x14ac:dyDescent="0.15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 x14ac:dyDescent="0.15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 x14ac:dyDescent="0.15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 x14ac:dyDescent="0.15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 x14ac:dyDescent="0.15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 x14ac:dyDescent="0.15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 x14ac:dyDescent="0.15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 x14ac:dyDescent="0.15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 x14ac:dyDescent="0.15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 x14ac:dyDescent="0.15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 x14ac:dyDescent="0.15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 x14ac:dyDescent="0.15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 x14ac:dyDescent="0.15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 x14ac:dyDescent="0.15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 x14ac:dyDescent="0.15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 x14ac:dyDescent="0.15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 x14ac:dyDescent="0.15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 x14ac:dyDescent="0.15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 x14ac:dyDescent="0.15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 x14ac:dyDescent="0.15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 x14ac:dyDescent="0.15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 x14ac:dyDescent="0.15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 x14ac:dyDescent="0.15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 x14ac:dyDescent="0.15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 x14ac:dyDescent="0.15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 x14ac:dyDescent="0.15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 x14ac:dyDescent="0.15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 x14ac:dyDescent="0.15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 x14ac:dyDescent="0.15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 x14ac:dyDescent="0.15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 x14ac:dyDescent="0.15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 x14ac:dyDescent="0.15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 x14ac:dyDescent="0.15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 x14ac:dyDescent="0.15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 x14ac:dyDescent="0.15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 x14ac:dyDescent="0.15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 x14ac:dyDescent="0.15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 x14ac:dyDescent="0.15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 x14ac:dyDescent="0.15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 x14ac:dyDescent="0.15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 x14ac:dyDescent="0.15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 x14ac:dyDescent="0.15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 x14ac:dyDescent="0.15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 x14ac:dyDescent="0.15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 x14ac:dyDescent="0.15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 x14ac:dyDescent="0.15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 x14ac:dyDescent="0.15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 x14ac:dyDescent="0.15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 x14ac:dyDescent="0.15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 x14ac:dyDescent="0.15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 x14ac:dyDescent="0.15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 x14ac:dyDescent="0.15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 x14ac:dyDescent="0.15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 x14ac:dyDescent="0.15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 x14ac:dyDescent="0.15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 x14ac:dyDescent="0.15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 x14ac:dyDescent="0.15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 x14ac:dyDescent="0.15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 x14ac:dyDescent="0.15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 x14ac:dyDescent="0.15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 x14ac:dyDescent="0.15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 x14ac:dyDescent="0.15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 x14ac:dyDescent="0.15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 x14ac:dyDescent="0.15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 x14ac:dyDescent="0.15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 x14ac:dyDescent="0.15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 x14ac:dyDescent="0.15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 x14ac:dyDescent="0.15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 x14ac:dyDescent="0.15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 x14ac:dyDescent="0.15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 x14ac:dyDescent="0.15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 x14ac:dyDescent="0.15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 x14ac:dyDescent="0.15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 x14ac:dyDescent="0.15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 x14ac:dyDescent="0.15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 x14ac:dyDescent="0.15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 x14ac:dyDescent="0.15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 x14ac:dyDescent="0.15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 x14ac:dyDescent="0.15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 x14ac:dyDescent="0.15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 x14ac:dyDescent="0.15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 x14ac:dyDescent="0.15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 x14ac:dyDescent="0.15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 x14ac:dyDescent="0.15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 x14ac:dyDescent="0.15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 x14ac:dyDescent="0.15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 x14ac:dyDescent="0.15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 x14ac:dyDescent="0.15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 x14ac:dyDescent="0.15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 x14ac:dyDescent="0.15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 x14ac:dyDescent="0.15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 x14ac:dyDescent="0.15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 x14ac:dyDescent="0.15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 x14ac:dyDescent="0.15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 x14ac:dyDescent="0.15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 x14ac:dyDescent="0.15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 x14ac:dyDescent="0.15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 x14ac:dyDescent="0.15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 x14ac:dyDescent="0.15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 x14ac:dyDescent="0.15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 x14ac:dyDescent="0.15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 x14ac:dyDescent="0.15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 x14ac:dyDescent="0.15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 x14ac:dyDescent="0.15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 x14ac:dyDescent="0.15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 x14ac:dyDescent="0.15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 x14ac:dyDescent="0.15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 x14ac:dyDescent="0.15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 x14ac:dyDescent="0.15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 x14ac:dyDescent="0.15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 x14ac:dyDescent="0.15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 x14ac:dyDescent="0.15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 x14ac:dyDescent="0.15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 x14ac:dyDescent="0.15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 x14ac:dyDescent="0.15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 x14ac:dyDescent="0.15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 x14ac:dyDescent="0.15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 x14ac:dyDescent="0.15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 x14ac:dyDescent="0.15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 x14ac:dyDescent="0.15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 x14ac:dyDescent="0.15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 x14ac:dyDescent="0.15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 x14ac:dyDescent="0.15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 x14ac:dyDescent="0.15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 x14ac:dyDescent="0.15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 x14ac:dyDescent="0.15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 x14ac:dyDescent="0.15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 x14ac:dyDescent="0.15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53:X69"/>
    <mergeCell ref="I71:I78"/>
    <mergeCell ref="J71:J78"/>
    <mergeCell ref="V71:V78"/>
    <mergeCell ref="X71:X78"/>
    <mergeCell ref="I103:I117"/>
    <mergeCell ref="J103:J117"/>
    <mergeCell ref="I44:I51"/>
    <mergeCell ref="J44:J51"/>
    <mergeCell ref="J53:J69"/>
    <mergeCell ref="R91:R98"/>
    <mergeCell ref="V44:V51"/>
    <mergeCell ref="V53:V69"/>
    <mergeCell ref="R59:R66"/>
    <mergeCell ref="R32:R39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I125:I126"/>
    <mergeCell ref="J125:J126"/>
    <mergeCell ref="K125:K126"/>
    <mergeCell ref="X125:X126"/>
    <mergeCell ref="V119:V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Left" activeCell="X33" sqref="X33"/>
      <selection pane="topRight" activeCell="X33" sqref="X33"/>
      <selection pane="bottomRight" activeCell="X33" sqref="X33"/>
    </sheetView>
  </sheetViews>
  <sheetFormatPr defaultColWidth="9.4140625" defaultRowHeight="15" x14ac:dyDescent="0.2"/>
  <cols>
    <col min="1" max="1" width="9.4140625" customWidth="1"/>
    <col min="2" max="2" width="34.5703125" customWidth="1"/>
    <col min="3" max="3" width="18.5625" bestFit="1" customWidth="1"/>
    <col min="4" max="4" width="21.1171875" customWidth="1"/>
    <col min="5" max="5" width="4.4375" customWidth="1"/>
    <col min="6" max="6" width="16.41015625" bestFit="1" customWidth="1"/>
    <col min="7" max="7" width="20.4453125" customWidth="1"/>
    <col min="8" max="316" width="15.46875" bestFit="1" customWidth="1"/>
    <col min="317" max="317" width="9.4140625" style="192"/>
  </cols>
  <sheetData>
    <row r="1" spans="1:794" x14ac:dyDescent="0.2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 x14ac:dyDescent="0.2">
      <c r="A2" s="807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 x14ac:dyDescent="0.2">
      <c r="A3" s="808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 x14ac:dyDescent="0.2">
      <c r="A4" s="808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 x14ac:dyDescent="0.2">
      <c r="A5" s="808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 x14ac:dyDescent="0.2">
      <c r="A6" s="808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 x14ac:dyDescent="0.2">
      <c r="A7" s="808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 x14ac:dyDescent="0.2">
      <c r="A8" s="807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 x14ac:dyDescent="0.2">
      <c r="A9" s="808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 x14ac:dyDescent="0.2">
      <c r="A10" s="808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 x14ac:dyDescent="0.2">
      <c r="A11" s="808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56028.82</v>
      </c>
      <c r="BJ11" s="215">
        <f>SUMIFS('Expenditure Breakdown'!$Q$6:$Q$167, 'Expenditure Breakdown'!$W$6:$W$167, "&gt;="&amp;BJ1,'Expenditure Breakdown'!$W$6:$W$167, "&lt;"&amp;BK1)</f>
        <v>0</v>
      </c>
      <c r="BK11" s="215">
        <f>SUMIFS('Expenditure Breakdown'!$Q$6:$Q$167, 'Expenditure Breakdown'!$W$6:$W$167, "&gt;="&amp;BK1,'Expenditure Breakdown'!$W$6:$W$167, "&lt;"&amp;BL1)</f>
        <v>0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 x14ac:dyDescent="0.2">
      <c r="A12" s="808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770507.27</v>
      </c>
      <c r="BJ12" s="215">
        <f t="shared" si="26"/>
        <v>770507.27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 x14ac:dyDescent="0.2">
      <c r="A13" s="808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 x14ac:dyDescent="0.2">
      <c r="A14" s="808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256628.72999999998</v>
      </c>
      <c r="BJ14" s="208">
        <f t="shared" si="32"/>
        <v>256628.72999999998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 x14ac:dyDescent="0.2"/>
    <row r="16" spans="1:794" s="192" customFormat="1" x14ac:dyDescent="0.2">
      <c r="C16" s="194" t="s">
        <v>234</v>
      </c>
      <c r="D16" s="194" t="s">
        <v>234</v>
      </c>
    </row>
    <row r="17" spans="1:316" x14ac:dyDescent="0.2">
      <c r="A17" s="809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 x14ac:dyDescent="0.2">
      <c r="A18" s="809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 x14ac:dyDescent="0.2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10546875" defaultRowHeight="15" x14ac:dyDescent="0.2"/>
  <cols>
    <col min="1" max="1" width="39.4140625" style="367" bestFit="1" customWidth="1"/>
    <col min="2" max="2" width="17.21875" style="368" bestFit="1" customWidth="1"/>
    <col min="3" max="5" width="13.31640625" style="367" bestFit="1" customWidth="1"/>
    <col min="6" max="6" width="11.703125" style="367" bestFit="1" customWidth="1"/>
    <col min="7" max="7" width="4.83984375" style="367" bestFit="1" customWidth="1"/>
    <col min="8" max="8" width="11.97265625" style="367" bestFit="1" customWidth="1"/>
    <col min="9" max="9" width="14.796875" style="367" bestFit="1" customWidth="1"/>
    <col min="10" max="12" width="10.89453125" style="367" bestFit="1" customWidth="1"/>
    <col min="13" max="13" width="14.796875" style="367" bestFit="1" customWidth="1"/>
    <col min="14" max="14" width="13.5859375" style="367" bestFit="1" customWidth="1"/>
    <col min="15" max="18" width="11.43359375" style="367" bestFit="1" customWidth="1"/>
    <col min="19" max="19" width="13.5859375" style="367" bestFit="1" customWidth="1"/>
    <col min="20" max="16384" width="12.10546875" style="367"/>
  </cols>
  <sheetData>
    <row r="1" spans="1:20" x14ac:dyDescent="0.2">
      <c r="A1"/>
      <c r="B1"/>
    </row>
    <row r="2" spans="1:2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 x14ac:dyDescent="0.2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 x14ac:dyDescent="0.2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 x14ac:dyDescent="0.2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 x14ac:dyDescent="0.2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 x14ac:dyDescent="0.2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 x14ac:dyDescent="0.2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 x14ac:dyDescent="0.2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 x14ac:dyDescent="0.2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 x14ac:dyDescent="0.2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 x14ac:dyDescent="0.2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 x14ac:dyDescent="0.2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 x14ac:dyDescent="0.2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 x14ac:dyDescent="0.2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 x14ac:dyDescent="0.2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 x14ac:dyDescent="0.2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 x14ac:dyDescent="0.2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 x14ac:dyDescent="0.2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">
      <c r="A39"/>
      <c r="B39"/>
      <c r="C39"/>
      <c r="D39"/>
      <c r="E39"/>
      <c r="F39"/>
      <c r="G39"/>
      <c r="H39"/>
    </row>
    <row r="40" spans="1:20" x14ac:dyDescent="0.2">
      <c r="A40"/>
      <c r="B40"/>
      <c r="C40"/>
      <c r="D40"/>
      <c r="E40"/>
      <c r="F40"/>
      <c r="G40"/>
      <c r="H40"/>
    </row>
    <row r="41" spans="1:20" x14ac:dyDescent="0.2">
      <c r="A41"/>
      <c r="B41"/>
      <c r="C41"/>
      <c r="D41"/>
      <c r="E41"/>
      <c r="F41"/>
      <c r="G41"/>
      <c r="H41"/>
    </row>
    <row r="42" spans="1:20" x14ac:dyDescent="0.2">
      <c r="A42"/>
      <c r="B42"/>
      <c r="C42"/>
      <c r="D42"/>
      <c r="E42"/>
      <c r="F42"/>
      <c r="G42"/>
      <c r="H42"/>
    </row>
    <row r="43" spans="1:20" x14ac:dyDescent="0.2">
      <c r="A43"/>
      <c r="B43"/>
      <c r="C43"/>
      <c r="D43"/>
      <c r="E43"/>
      <c r="F43"/>
      <c r="G43"/>
      <c r="H43"/>
    </row>
    <row r="44" spans="1:20" x14ac:dyDescent="0.2">
      <c r="A44"/>
      <c r="B44"/>
      <c r="C44"/>
      <c r="D44"/>
      <c r="E44"/>
      <c r="F44"/>
      <c r="G44"/>
      <c r="H44"/>
    </row>
    <row r="45" spans="1:20" x14ac:dyDescent="0.2">
      <c r="A45"/>
      <c r="B45"/>
      <c r="C45"/>
      <c r="D45"/>
      <c r="E45"/>
      <c r="F45"/>
      <c r="G45"/>
      <c r="H45"/>
    </row>
    <row r="46" spans="1:20" x14ac:dyDescent="0.2">
      <c r="A46"/>
      <c r="B46"/>
      <c r="C46"/>
      <c r="D46"/>
      <c r="E46"/>
      <c r="F46"/>
      <c r="G46"/>
      <c r="H46"/>
    </row>
    <row r="47" spans="1:20" x14ac:dyDescent="0.2">
      <c r="A47"/>
      <c r="B47"/>
      <c r="C47"/>
      <c r="D47"/>
      <c r="E47"/>
      <c r="F47"/>
      <c r="G47"/>
      <c r="H47"/>
    </row>
    <row r="48" spans="1:20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7265625" defaultRowHeight="15" x14ac:dyDescent="0.2"/>
  <cols>
    <col min="1" max="1" width="21.65625" bestFit="1" customWidth="1"/>
    <col min="2" max="2" width="17.21875" style="407" bestFit="1" customWidth="1"/>
    <col min="3" max="5" width="13.31640625" style="407" bestFit="1" customWidth="1"/>
    <col min="6" max="6" width="11.703125" style="407" bestFit="1" customWidth="1"/>
    <col min="7" max="7" width="10.35546875" style="407" bestFit="1" customWidth="1"/>
    <col min="8" max="8" width="11.97265625" style="407" bestFit="1" customWidth="1"/>
    <col min="9" max="9" width="13.31640625" style="407" bestFit="1" customWidth="1"/>
    <col min="10" max="12" width="10.89453125" bestFit="1" customWidth="1"/>
    <col min="13" max="13" width="13.1796875" bestFit="1" customWidth="1"/>
    <col min="14" max="14" width="13.5859375" bestFit="1" customWidth="1"/>
    <col min="15" max="15" width="11.56640625" bestFit="1" customWidth="1"/>
    <col min="16" max="16" width="10.35546875" bestFit="1" customWidth="1"/>
    <col min="17" max="18" width="11.56640625" bestFit="1" customWidth="1"/>
    <col min="19" max="19" width="13.44921875" bestFit="1" customWidth="1"/>
  </cols>
  <sheetData>
    <row r="3" spans="1:9" x14ac:dyDescent="0.2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 x14ac:dyDescent="0.2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 x14ac:dyDescent="0.2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 x14ac:dyDescent="0.2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 x14ac:dyDescent="0.2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 x14ac:dyDescent="0.2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 x14ac:dyDescent="0.2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 x14ac:dyDescent="0.2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 x14ac:dyDescent="0.2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 x14ac:dyDescent="0.2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 x14ac:dyDescent="0.2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 x14ac:dyDescent="0.2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 x14ac:dyDescent="0.2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 x14ac:dyDescent="0.2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 x14ac:dyDescent="0.2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 x14ac:dyDescent="0.2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 x14ac:dyDescent="0.2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 x14ac:dyDescent="0.2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 x14ac:dyDescent="0.2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 x14ac:dyDescent="0.2">
      <c r="B22"/>
      <c r="C22"/>
      <c r="D22"/>
      <c r="E22"/>
      <c r="F22"/>
      <c r="G22"/>
      <c r="H22"/>
      <c r="I22"/>
    </row>
    <row r="23" spans="1:9" x14ac:dyDescent="0.2">
      <c r="B23"/>
      <c r="C23" s="449"/>
      <c r="D23"/>
      <c r="E23"/>
      <c r="F23"/>
      <c r="G23"/>
      <c r="H23"/>
      <c r="I23"/>
    </row>
    <row r="24" spans="1:9" x14ac:dyDescent="0.2">
      <c r="B24"/>
      <c r="C24"/>
      <c r="D24"/>
      <c r="E24"/>
      <c r="F24"/>
      <c r="G24"/>
      <c r="H24"/>
      <c r="I24"/>
    </row>
    <row r="25" spans="1:9" x14ac:dyDescent="0.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5" x14ac:dyDescent="0.2"/>
  <cols>
    <col min="1" max="1" width="6.05078125" customWidth="1"/>
    <col min="2" max="2" width="21.1171875" customWidth="1"/>
    <col min="3" max="3" width="28.78515625" customWidth="1"/>
    <col min="4" max="4" width="15.46875" customWidth="1"/>
    <col min="5" max="5" width="16.54296875" customWidth="1"/>
    <col min="6" max="6" width="5.91796875" customWidth="1"/>
  </cols>
  <sheetData>
    <row r="1" spans="2:15" ht="15.75" thickBot="1" x14ac:dyDescent="0.25"/>
    <row r="2" spans="2:15" ht="18.75" x14ac:dyDescent="0.2">
      <c r="B2" s="811" t="s">
        <v>402</v>
      </c>
      <c r="C2" s="811"/>
      <c r="D2" s="811"/>
      <c r="E2" s="811"/>
      <c r="H2" s="812" t="s">
        <v>403</v>
      </c>
      <c r="I2" s="813"/>
      <c r="J2" s="813"/>
      <c r="K2" s="813"/>
      <c r="L2" s="813"/>
      <c r="M2" s="813"/>
      <c r="N2" s="813"/>
      <c r="O2" s="814"/>
    </row>
    <row r="3" spans="2:15" x14ac:dyDescent="0.2">
      <c r="B3" s="691"/>
      <c r="H3" s="815"/>
      <c r="I3" s="816"/>
      <c r="J3" s="816"/>
      <c r="K3" s="816"/>
      <c r="L3" s="816"/>
      <c r="M3" s="816"/>
      <c r="N3" s="816"/>
      <c r="O3" s="817"/>
    </row>
    <row r="4" spans="2:15" x14ac:dyDescent="0.2">
      <c r="B4" s="692" t="s">
        <v>404</v>
      </c>
      <c r="C4" s="693" t="str">
        <f>'Project Plan'!E2</f>
        <v>IconSA_KZN</v>
      </c>
      <c r="H4" s="815"/>
      <c r="I4" s="816"/>
      <c r="J4" s="816"/>
      <c r="K4" s="816"/>
      <c r="L4" s="816"/>
      <c r="M4" s="816"/>
      <c r="N4" s="816"/>
      <c r="O4" s="817"/>
    </row>
    <row r="5" spans="2:15" x14ac:dyDescent="0.2">
      <c r="B5" s="692" t="s">
        <v>405</v>
      </c>
      <c r="C5" s="693" t="s">
        <v>406</v>
      </c>
      <c r="H5" s="815"/>
      <c r="I5" s="816"/>
      <c r="J5" s="816"/>
      <c r="K5" s="816"/>
      <c r="L5" s="816"/>
      <c r="M5" s="816"/>
      <c r="N5" s="816"/>
      <c r="O5" s="817"/>
    </row>
    <row r="6" spans="2:15" x14ac:dyDescent="0.2">
      <c r="B6" s="692" t="s">
        <v>407</v>
      </c>
      <c r="C6" s="693" t="s">
        <v>408</v>
      </c>
      <c r="H6" s="815"/>
      <c r="I6" s="816"/>
      <c r="J6" s="816"/>
      <c r="K6" s="816"/>
      <c r="L6" s="816"/>
      <c r="M6" s="816"/>
      <c r="N6" s="816"/>
      <c r="O6" s="817"/>
    </row>
    <row r="7" spans="2:15" x14ac:dyDescent="0.2">
      <c r="B7" s="692" t="s">
        <v>409</v>
      </c>
      <c r="C7" s="693" t="s">
        <v>410</v>
      </c>
      <c r="H7" s="815"/>
      <c r="I7" s="816"/>
      <c r="J7" s="816"/>
      <c r="K7" s="816"/>
      <c r="L7" s="816"/>
      <c r="M7" s="816"/>
      <c r="N7" s="816"/>
      <c r="O7" s="817"/>
    </row>
    <row r="8" spans="2:15" x14ac:dyDescent="0.2">
      <c r="B8" s="691"/>
      <c r="H8" s="815"/>
      <c r="I8" s="816"/>
      <c r="J8" s="816"/>
      <c r="K8" s="816"/>
      <c r="L8" s="816"/>
      <c r="M8" s="816"/>
      <c r="N8" s="816"/>
      <c r="O8" s="817"/>
    </row>
    <row r="9" spans="2:15" x14ac:dyDescent="0.2">
      <c r="B9" s="821" t="s">
        <v>411</v>
      </c>
      <c r="C9" s="821"/>
      <c r="D9" s="821"/>
      <c r="E9" s="82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5"/>
      <c r="I9" s="816"/>
      <c r="J9" s="816"/>
      <c r="K9" s="816"/>
      <c r="L9" s="816"/>
      <c r="M9" s="816"/>
      <c r="N9" s="816"/>
      <c r="O9" s="817"/>
    </row>
    <row r="10" spans="2:15" ht="15.75" thickBot="1" x14ac:dyDescent="0.25">
      <c r="B10" s="821" t="s">
        <v>412</v>
      </c>
      <c r="C10" s="821"/>
      <c r="D10" s="821"/>
      <c r="E10" s="821"/>
      <c r="H10" s="818"/>
      <c r="I10" s="819"/>
      <c r="J10" s="819"/>
      <c r="K10" s="819"/>
      <c r="L10" s="819"/>
      <c r="M10" s="819"/>
      <c r="N10" s="819"/>
      <c r="O10" s="820"/>
    </row>
    <row r="11" spans="2:15" x14ac:dyDescent="0.2">
      <c r="B11" s="694" t="s">
        <v>413</v>
      </c>
      <c r="C11" s="810" t="s">
        <v>414</v>
      </c>
      <c r="D11" s="810"/>
      <c r="E11" s="810"/>
    </row>
    <row r="12" spans="2:15" x14ac:dyDescent="0.2">
      <c r="B12" s="694" t="s">
        <v>415</v>
      </c>
      <c r="C12" s="810" t="s">
        <v>414</v>
      </c>
      <c r="D12" s="810"/>
      <c r="E12" s="810"/>
    </row>
    <row r="13" spans="2:15" x14ac:dyDescent="0.2">
      <c r="B13" s="694" t="s">
        <v>416</v>
      </c>
      <c r="C13" s="810" t="s">
        <v>414</v>
      </c>
      <c r="D13" s="810"/>
      <c r="E13" s="810"/>
    </row>
    <row r="14" spans="2:15" x14ac:dyDescent="0.2">
      <c r="B14" s="694" t="s">
        <v>417</v>
      </c>
      <c r="C14" s="810" t="s">
        <v>418</v>
      </c>
      <c r="D14" s="810"/>
      <c r="E14" s="810"/>
    </row>
    <row r="15" spans="2:15" x14ac:dyDescent="0.2">
      <c r="B15" s="694" t="s">
        <v>419</v>
      </c>
      <c r="C15" s="810" t="s">
        <v>420</v>
      </c>
      <c r="D15" s="810"/>
      <c r="E15" s="810"/>
    </row>
    <row r="16" spans="2:15" ht="15" customHeight="1" x14ac:dyDescent="0.2">
      <c r="B16" s="694" t="s">
        <v>421</v>
      </c>
      <c r="C16" s="810" t="s">
        <v>422</v>
      </c>
      <c r="D16" s="810"/>
      <c r="E16" s="810"/>
    </row>
    <row r="17" spans="2:5" x14ac:dyDescent="0.2">
      <c r="B17" s="691"/>
    </row>
    <row r="18" spans="2:5" x14ac:dyDescent="0.2">
      <c r="B18" s="822" t="s">
        <v>423</v>
      </c>
      <c r="C18" s="822"/>
      <c r="D18" s="822"/>
      <c r="E18" s="822"/>
    </row>
    <row r="19" spans="2:5" x14ac:dyDescent="0.2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 x14ac:dyDescent="0.2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 x14ac:dyDescent="0.2">
      <c r="B21" s="694"/>
      <c r="C21" s="694"/>
      <c r="D21" s="694"/>
      <c r="E21" s="694"/>
    </row>
    <row r="22" spans="2:5" x14ac:dyDescent="0.2">
      <c r="B22" s="694"/>
      <c r="C22" s="694"/>
      <c r="D22" s="694"/>
      <c r="E22" s="694"/>
    </row>
    <row r="23" spans="2:5" x14ac:dyDescent="0.2">
      <c r="B23" s="694"/>
      <c r="C23" s="694"/>
      <c r="D23" s="694"/>
      <c r="E23" s="694"/>
    </row>
    <row r="24" spans="2:5" x14ac:dyDescent="0.2">
      <c r="B24" s="694"/>
      <c r="C24" s="694"/>
      <c r="D24" s="694"/>
      <c r="E24" s="694"/>
    </row>
    <row r="25" spans="2:5" x14ac:dyDescent="0.2">
      <c r="B25" s="694"/>
      <c r="C25" s="694"/>
      <c r="D25" s="694"/>
      <c r="E25" s="694"/>
    </row>
    <row r="26" spans="2:5" x14ac:dyDescent="0.2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7265625" defaultRowHeight="15" x14ac:dyDescent="0.2"/>
  <cols>
    <col min="4" max="4" width="9.01171875" customWidth="1"/>
  </cols>
  <sheetData>
    <row r="1" spans="1:4" x14ac:dyDescent="0.2">
      <c r="A1" s="110" t="s">
        <v>430</v>
      </c>
    </row>
    <row r="2" spans="1:4" x14ac:dyDescent="0.2">
      <c r="A2" s="824"/>
      <c r="B2" s="824"/>
      <c r="C2" s="824"/>
      <c r="D2" s="71"/>
    </row>
    <row r="3" spans="1:4" x14ac:dyDescent="0.2">
      <c r="A3" s="823" t="s">
        <v>431</v>
      </c>
      <c r="B3" s="823"/>
      <c r="C3" s="823"/>
      <c r="D3" s="111">
        <v>0.32</v>
      </c>
    </row>
    <row r="4" spans="1:4" x14ac:dyDescent="0.2">
      <c r="A4" s="823" t="s">
        <v>371</v>
      </c>
      <c r="B4" s="823"/>
      <c r="C4" s="823"/>
      <c r="D4" s="111">
        <v>0.5</v>
      </c>
    </row>
    <row r="5" spans="1:4" x14ac:dyDescent="0.2">
      <c r="A5" s="823" t="s">
        <v>382</v>
      </c>
      <c r="B5" s="823"/>
      <c r="C5" s="823"/>
      <c r="D5" s="111">
        <v>0.15</v>
      </c>
    </row>
    <row r="6" spans="1:4" x14ac:dyDescent="0.2">
      <c r="A6" s="823" t="s">
        <v>432</v>
      </c>
      <c r="B6" s="823"/>
      <c r="C6" s="82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140625" defaultRowHeight="12.75" x14ac:dyDescent="0.15"/>
  <cols>
    <col min="1" max="1" width="9.4140625" style="88"/>
    <col min="2" max="2" width="22.46484375" style="88" customWidth="1"/>
    <col min="3" max="3" width="4.4375" style="88" customWidth="1"/>
    <col min="4" max="4" width="14.390625" style="88" bestFit="1" customWidth="1"/>
    <col min="5" max="5" width="3.359375" style="88" customWidth="1"/>
    <col min="6" max="6" width="15.46875" style="88" customWidth="1"/>
    <col min="7" max="7" width="2.41796875" style="88" customWidth="1"/>
    <col min="8" max="8" width="16.41015625" style="88" bestFit="1" customWidth="1"/>
    <col min="9" max="9" width="6.45703125" style="88" customWidth="1"/>
    <col min="10" max="10" width="13.5859375" style="88" bestFit="1" customWidth="1"/>
    <col min="11" max="11" width="2.41796875" style="88" customWidth="1"/>
    <col min="12" max="12" width="14.390625" style="88" bestFit="1" customWidth="1"/>
    <col min="13" max="13" width="2.95703125" style="88" customWidth="1"/>
    <col min="14" max="14" width="45.46875" style="88" customWidth="1"/>
    <col min="15" max="16384" width="9.4140625" style="88"/>
  </cols>
  <sheetData>
    <row r="2" spans="2:14" s="94" customFormat="1" ht="18" x14ac:dyDescent="0.2">
      <c r="B2" s="825" t="s">
        <v>433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</row>
    <row r="4" spans="2:14" x14ac:dyDescent="0.15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 x14ac:dyDescent="0.15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 x14ac:dyDescent="0.15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x14ac:dyDescent="0.15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 x14ac:dyDescent="0.15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x14ac:dyDescent="0.15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x14ac:dyDescent="0.15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x14ac:dyDescent="0.15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x14ac:dyDescent="0.15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x14ac:dyDescent="0.15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x14ac:dyDescent="0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x14ac:dyDescent="0.15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 x14ac:dyDescent="0.15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x14ac:dyDescent="0.15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 x14ac:dyDescent="0.15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 x14ac:dyDescent="0.15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 x14ac:dyDescent="0.15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x14ac:dyDescent="0.15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 x14ac:dyDescent="0.15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x14ac:dyDescent="0.15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 x14ac:dyDescent="0.15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x14ac:dyDescent="0.15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 x14ac:dyDescent="0.15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x14ac:dyDescent="0.15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 x14ac:dyDescent="0.15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x14ac:dyDescent="0.15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 x14ac:dyDescent="0.15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 x14ac:dyDescent="0.15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 x14ac:dyDescent="0.15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 x14ac:dyDescent="0.15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x14ac:dyDescent="0.15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 x14ac:dyDescent="0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x14ac:dyDescent="0.15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 x14ac:dyDescent="0.15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 x14ac:dyDescent="0.15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 x14ac:dyDescent="0.15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 x14ac:dyDescent="0.15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 x14ac:dyDescent="0.15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x14ac:dyDescent="0.15">
      <c r="B42" s="100"/>
      <c r="C42" s="86"/>
      <c r="D42" s="97"/>
      <c r="E42" s="98"/>
      <c r="F42" s="97"/>
      <c r="I42" s="98"/>
      <c r="J42" s="97"/>
    </row>
    <row r="43" spans="2:13" x14ac:dyDescent="0.15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 x14ac:dyDescent="0.15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140625" defaultRowHeight="12.75" x14ac:dyDescent="0.15"/>
  <cols>
    <col min="1" max="1" width="9.4140625" style="88"/>
    <col min="2" max="2" width="22.46484375" style="88" customWidth="1"/>
    <col min="3" max="3" width="4.4375" style="88" customWidth="1"/>
    <col min="4" max="4" width="14.390625" style="88" bestFit="1" customWidth="1"/>
    <col min="5" max="5" width="6.9921875" style="88" customWidth="1"/>
    <col min="6" max="6" width="3.359375" style="88" customWidth="1"/>
    <col min="7" max="7" width="18.5625" style="88" customWidth="1"/>
    <col min="8" max="8" width="9.4140625" style="88" bestFit="1" customWidth="1"/>
    <col min="9" max="9" width="2.015625" style="88" customWidth="1"/>
    <col min="10" max="10" width="14.390625" style="88" bestFit="1" customWidth="1"/>
    <col min="11" max="11" width="2.41796875" style="88" customWidth="1"/>
    <col min="12" max="12" width="20.4453125" style="88" customWidth="1"/>
    <col min="13" max="13" width="9.4140625" style="88" bestFit="1" customWidth="1"/>
    <col min="14" max="14" width="0.8046875" style="88" customWidth="1"/>
    <col min="15" max="15" width="14.390625" style="88" bestFit="1" customWidth="1"/>
    <col min="16" max="16384" width="9.4140625" style="88"/>
  </cols>
  <sheetData>
    <row r="2" spans="2:15" s="94" customFormat="1" ht="18" x14ac:dyDescent="0.2">
      <c r="B2" s="825" t="s">
        <v>455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</row>
    <row r="4" spans="2:15" x14ac:dyDescent="0.15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 x14ac:dyDescent="0.15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x14ac:dyDescent="0.1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x14ac:dyDescent="0.15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x14ac:dyDescent="0.15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x14ac:dyDescent="0.15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 x14ac:dyDescent="0.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 x14ac:dyDescent="0.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 x14ac:dyDescent="0.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 x14ac:dyDescent="0.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 x14ac:dyDescent="0.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x14ac:dyDescent="0.15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x14ac:dyDescent="0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x14ac:dyDescent="0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x14ac:dyDescent="0.15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 x14ac:dyDescent="0.15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x14ac:dyDescent="0.15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x14ac:dyDescent="0.15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x14ac:dyDescent="0.15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x14ac:dyDescent="0.15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 x14ac:dyDescent="0.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 x14ac:dyDescent="0.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 x14ac:dyDescent="0.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 x14ac:dyDescent="0.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x14ac:dyDescent="0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x14ac:dyDescent="0.15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 x14ac:dyDescent="0.2">
      <c r="B32" s="102" t="s">
        <v>466</v>
      </c>
      <c r="C32" s="103"/>
      <c r="D32" s="103"/>
    </row>
    <row r="33" spans="2:4" ht="13.5" thickTop="1" x14ac:dyDescent="0.15"/>
    <row r="34" spans="2:4" x14ac:dyDescent="0.15">
      <c r="B34" s="88" t="s">
        <v>435</v>
      </c>
      <c r="D34" s="99" t="e">
        <f>D15</f>
        <v>#REF!</v>
      </c>
    </row>
    <row r="35" spans="2:4" x14ac:dyDescent="0.15">
      <c r="B35" s="99" t="str">
        <f>G4</f>
        <v>Cosmic Sun</v>
      </c>
      <c r="D35" s="99">
        <f>G15</f>
        <v>775642.7699999999</v>
      </c>
    </row>
    <row r="36" spans="2:4" x14ac:dyDescent="0.15">
      <c r="B36" s="99" t="str">
        <f>L4</f>
        <v>Matthews Group</v>
      </c>
      <c r="D36" s="99">
        <f>L15</f>
        <v>0</v>
      </c>
    </row>
    <row r="37" spans="2:4" x14ac:dyDescent="0.15">
      <c r="B37" s="99" t="str">
        <f>G18</f>
        <v>&gt;Installer Name 3&lt;</v>
      </c>
      <c r="D37" s="99">
        <f>G29</f>
        <v>0</v>
      </c>
    </row>
    <row r="38" spans="2:4" x14ac:dyDescent="0.15">
      <c r="B38" s="99" t="str">
        <f>L18</f>
        <v>&gt;Installer Name 4&lt;</v>
      </c>
      <c r="D38" s="99">
        <f>L29</f>
        <v>0</v>
      </c>
    </row>
    <row r="39" spans="2:4" ht="13.5" thickBot="1" x14ac:dyDescent="0.2">
      <c r="B39" s="104"/>
      <c r="C39" s="103"/>
      <c r="D39" s="103"/>
    </row>
    <row r="40" spans="2:4" ht="13.5" thickTop="1" x14ac:dyDescent="0.15">
      <c r="B40" s="105" t="e">
        <f>IF(D40&lt;D34,"Saving","Loss")</f>
        <v>#REF!</v>
      </c>
      <c r="C40" s="105"/>
      <c r="D40" s="106" t="e">
        <f>D34-MIN(D35:D38)</f>
        <v>#REF!</v>
      </c>
    </row>
    <row r="41" spans="2:4" x14ac:dyDescent="0.15">
      <c r="B41" s="105"/>
      <c r="C41" s="105"/>
      <c r="D41" s="106"/>
    </row>
    <row r="42" spans="2:4" x14ac:dyDescent="0.15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140625" defaultRowHeight="15" x14ac:dyDescent="0.2"/>
  <cols>
    <col min="1" max="1" width="0.8046875" customWidth="1"/>
    <col min="2" max="2" width="8.47265625" bestFit="1" customWidth="1"/>
    <col min="3" max="3" width="45.0625" customWidth="1"/>
    <col min="4" max="4" width="34.4375" customWidth="1"/>
    <col min="5" max="5" width="15.46875" customWidth="1"/>
    <col min="6" max="6" width="11.97265625" bestFit="1" customWidth="1"/>
    <col min="7" max="7" width="9.4140625" bestFit="1" customWidth="1"/>
    <col min="8" max="8" width="12.10546875" bestFit="1" customWidth="1"/>
    <col min="9" max="9" width="10.35546875" customWidth="1"/>
    <col min="10" max="10" width="19.50390625" bestFit="1" customWidth="1"/>
  </cols>
  <sheetData>
    <row r="1" spans="2:14" x14ac:dyDescent="0.2">
      <c r="B1" s="827" t="str">
        <f>D15</f>
        <v>IconSA_KZN</v>
      </c>
      <c r="C1" s="827"/>
      <c r="D1" s="827"/>
      <c r="E1" s="826" t="s">
        <v>468</v>
      </c>
      <c r="F1" s="826"/>
      <c r="G1" s="826"/>
      <c r="H1" s="826"/>
      <c r="I1" s="826"/>
      <c r="J1" s="826"/>
      <c r="K1" s="77"/>
      <c r="L1" s="77"/>
      <c r="M1" s="77"/>
      <c r="N1" s="77"/>
    </row>
    <row r="2" spans="2:14" ht="6.75" customHeight="1" x14ac:dyDescent="0.2"/>
    <row r="3" spans="2:14" x14ac:dyDescent="0.2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 x14ac:dyDescent="0.2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 x14ac:dyDescent="0.2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 x14ac:dyDescent="0.2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 x14ac:dyDescent="0.2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 x14ac:dyDescent="0.2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 x14ac:dyDescent="0.2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 x14ac:dyDescent="0.2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 x14ac:dyDescent="0.2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 x14ac:dyDescent="0.2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 x14ac:dyDescent="0.2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 x14ac:dyDescent="0.2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D62FB38B-1A79-4F30-A992-9DBEF0E42EF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Certificate - Financial Close!Print_Area</vt:lpstr>
      <vt:lpstr>Project Plan!Print_Area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2026-02-11T05:28:04Z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