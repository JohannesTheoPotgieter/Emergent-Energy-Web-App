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14" documentId="13_ncr:1_{CDEA10F9-77C5-44A1-9473-92107CACD0EC}" xr6:coauthVersionLast="47" xr6:coauthVersionMax="47" xr10:uidLastSave="{C2E5A06C-8441-464B-9B28-8A6502ED236E}"/>
  <bookViews>
    <workbookView xWindow="28680" yWindow="-120" windowWidth="29040" windowHeight="15720" tabRatio="661" firstSheet="6" activeTab="6" xr2:uid="{E6903F24-528D-4F70-BAAE-8243B2418312}"/>
  </bookViews>
  <sheets>
    <sheet name="Sheet1" sheetId="1" state="hidden" r:id="rId1"/>
    <sheet name="Project Plan" sheetId="2" r:id="rId2"/>
    <sheet name="Compliance" sheetId="19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Finance - Revenue" sheetId="13" r:id="rId9"/>
    <sheet name="Chart2" sheetId="11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1">'Project Plan'!$B$60:$G$65</definedName>
    <definedName name="Project_Size" localSheetId="11">'Certificate - Financial Close'!Projectsize</definedName>
    <definedName name="Project_Size" localSheetId="2">Compliance!Projectsize</definedName>
    <definedName name="Project_Size" localSheetId="8">'Finance - Revenue'!Projectsize</definedName>
    <definedName name="Project_Size">Projectsize</definedName>
    <definedName name="Projectsize" localSheetId="11">#REF!</definedName>
    <definedName name="Projectsize" localSheetId="2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63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9" i="18" l="1"/>
  <c r="W98" i="18"/>
  <c r="K52" i="2"/>
  <c r="M30" i="2"/>
  <c r="Q153" i="18"/>
  <c r="Q152" i="18"/>
  <c r="Q7" i="18" l="1"/>
  <c r="H6" i="5"/>
  <c r="W151" i="18"/>
  <c r="Q151" i="18"/>
  <c r="J24" i="13"/>
  <c r="I41" i="2"/>
  <c r="W62" i="2"/>
  <c r="X62" i="2"/>
  <c r="X63" i="2"/>
  <c r="W64" i="2"/>
  <c r="X64" i="2"/>
  <c r="V65" i="2"/>
  <c r="V64" i="2"/>
  <c r="V62" i="2"/>
  <c r="U69" i="2"/>
  <c r="U68" i="2"/>
  <c r="U67" i="2"/>
  <c r="U66" i="2"/>
  <c r="U65" i="2"/>
  <c r="U64" i="2"/>
  <c r="U63" i="2"/>
  <c r="U62" i="2"/>
  <c r="K34" i="2"/>
  <c r="N34" i="2"/>
  <c r="K35" i="2"/>
  <c r="N35" i="2"/>
  <c r="K36" i="2"/>
  <c r="N36" i="2"/>
  <c r="I32" i="2"/>
  <c r="G9" i="20" a="1"/>
  <c r="G9" i="20"/>
  <c r="F9" i="20" a="1"/>
  <c r="F9" i="20"/>
  <c r="C4" i="20"/>
  <c r="F18" i="5"/>
  <c r="W88" i="18"/>
  <c r="H6" i="18"/>
  <c r="H102" i="18"/>
  <c r="H39" i="18" s="1"/>
  <c r="H101" i="18"/>
  <c r="H38" i="18" s="1"/>
  <c r="H100" i="18"/>
  <c r="H37" i="18" s="1"/>
  <c r="H59" i="18"/>
  <c r="H99" i="18"/>
  <c r="H58" i="18" s="1"/>
  <c r="H98" i="18"/>
  <c r="H35" i="18" s="1"/>
  <c r="H88" i="18"/>
  <c r="H87" i="18"/>
  <c r="H56" i="18"/>
  <c r="H55" i="18"/>
  <c r="H54" i="18"/>
  <c r="H34" i="18"/>
  <c r="H32" i="18"/>
  <c r="H14" i="18"/>
  <c r="X44" i="18"/>
  <c r="W44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69" i="18"/>
  <c r="T55" i="18"/>
  <c r="W14" i="18"/>
  <c r="O111" i="18"/>
  <c r="Q88" i="18"/>
  <c r="Q87" i="18"/>
  <c r="T56" i="18"/>
  <c r="T57" i="18"/>
  <c r="T58" i="18"/>
  <c r="T59" i="18"/>
  <c r="T60" i="18"/>
  <c r="T61" i="18"/>
  <c r="T54" i="18"/>
  <c r="P6" i="18"/>
  <c r="Q6" i="18" s="1"/>
  <c r="X6" i="18" s="1"/>
  <c r="H9" i="3" s="1"/>
  <c r="Q28" i="18"/>
  <c r="I26" i="2"/>
  <c r="K26" i="2"/>
  <c r="E14" i="2"/>
  <c r="E11" i="2"/>
  <c r="I14" i="2"/>
  <c r="Z38" i="18"/>
  <c r="Z39" i="18"/>
  <c r="AD34" i="18"/>
  <c r="AC34" i="18"/>
  <c r="AD33" i="18"/>
  <c r="AC33" i="18"/>
  <c r="AC32" i="18"/>
  <c r="AC31" i="18"/>
  <c r="AC30" i="18"/>
  <c r="AC28" i="18"/>
  <c r="M18" i="2"/>
  <c r="Q82" i="18"/>
  <c r="X75" i="18" s="1"/>
  <c r="Q83" i="18"/>
  <c r="Q84" i="18"/>
  <c r="Q85" i="18"/>
  <c r="Q81" i="18"/>
  <c r="T86" i="18"/>
  <c r="Q134" i="18"/>
  <c r="Q13" i="18"/>
  <c r="X13" i="18" s="1"/>
  <c r="K16" i="2"/>
  <c r="N16" i="2"/>
  <c r="K15" i="2"/>
  <c r="N15" i="2"/>
  <c r="K12" i="2"/>
  <c r="N12" i="2"/>
  <c r="K20" i="2"/>
  <c r="I21" i="2"/>
  <c r="I18" i="2"/>
  <c r="V63" i="2"/>
  <c r="K19" i="2"/>
  <c r="N19" i="2"/>
  <c r="E26" i="2"/>
  <c r="G26" i="2"/>
  <c r="E27" i="2"/>
  <c r="G20" i="2"/>
  <c r="E33" i="2"/>
  <c r="J107" i="18"/>
  <c r="I107" i="18"/>
  <c r="F18" i="3" s="1"/>
  <c r="G44" i="18"/>
  <c r="I44" i="18" s="1"/>
  <c r="F13" i="3" s="1"/>
  <c r="K13" i="2"/>
  <c r="N13" i="2"/>
  <c r="O32" i="18"/>
  <c r="Q32" i="18" s="1"/>
  <c r="O54" i="18"/>
  <c r="Q60" i="18" s="1"/>
  <c r="O95" i="18"/>
  <c r="Q95" i="18" s="1"/>
  <c r="Z17" i="18"/>
  <c r="Z16" i="18"/>
  <c r="Z15" i="18"/>
  <c r="Z14" i="18"/>
  <c r="Z13" i="18"/>
  <c r="Z12" i="18"/>
  <c r="Y33" i="18"/>
  <c r="Y32" i="18"/>
  <c r="Y31" i="18"/>
  <c r="Y30" i="18"/>
  <c r="Y29" i="18"/>
  <c r="Y28" i="18"/>
  <c r="Y27" i="18"/>
  <c r="Z18" i="18"/>
  <c r="K25" i="2"/>
  <c r="N25" i="2"/>
  <c r="Q112" i="18"/>
  <c r="Q114" i="18"/>
  <c r="Q116" i="18"/>
  <c r="Q118" i="18"/>
  <c r="Q119" i="18"/>
  <c r="Q120" i="18"/>
  <c r="Q111" i="18"/>
  <c r="X107" i="18" s="1"/>
  <c r="Q117" i="18"/>
  <c r="T159" i="18"/>
  <c r="T158" i="18"/>
  <c r="T157" i="18"/>
  <c r="T143" i="18"/>
  <c r="T62" i="18"/>
  <c r="T63" i="18"/>
  <c r="T167" i="18"/>
  <c r="T156" i="18"/>
  <c r="T155" i="18"/>
  <c r="T154" i="18"/>
  <c r="T140" i="18"/>
  <c r="T139" i="18"/>
  <c r="T133" i="18"/>
  <c r="T132" i="18"/>
  <c r="T131" i="18"/>
  <c r="T130" i="18"/>
  <c r="T129" i="18"/>
  <c r="T124" i="18"/>
  <c r="T123" i="18"/>
  <c r="T122" i="18"/>
  <c r="T121" i="18"/>
  <c r="T110" i="18"/>
  <c r="T109" i="18"/>
  <c r="T106" i="18"/>
  <c r="T105" i="18"/>
  <c r="T104" i="18"/>
  <c r="T103" i="18"/>
  <c r="T94" i="18"/>
  <c r="T93" i="18"/>
  <c r="T92" i="18"/>
  <c r="T80" i="18"/>
  <c r="T76" i="18"/>
  <c r="T75" i="18"/>
  <c r="T74" i="18"/>
  <c r="T73" i="18"/>
  <c r="T72" i="18"/>
  <c r="T71" i="18"/>
  <c r="T70" i="18"/>
  <c r="T69" i="18"/>
  <c r="T68" i="18"/>
  <c r="T67" i="18"/>
  <c r="T66" i="18"/>
  <c r="T65" i="18"/>
  <c r="T64" i="18"/>
  <c r="T53" i="18"/>
  <c r="T52" i="18"/>
  <c r="T51" i="18"/>
  <c r="T50" i="18"/>
  <c r="T49" i="18"/>
  <c r="T43" i="18"/>
  <c r="T42" i="18"/>
  <c r="T41" i="18"/>
  <c r="T40" i="18"/>
  <c r="T31" i="18"/>
  <c r="T30" i="18"/>
  <c r="T27" i="18"/>
  <c r="T26" i="18"/>
  <c r="T25" i="18"/>
  <c r="T24" i="18"/>
  <c r="T22" i="18"/>
  <c r="T20" i="18"/>
  <c r="T19" i="18"/>
  <c r="T18" i="18"/>
  <c r="T17" i="18"/>
  <c r="T16" i="18"/>
  <c r="T12" i="18"/>
  <c r="T11" i="18"/>
  <c r="T10" i="18"/>
  <c r="T9" i="18"/>
  <c r="T165" i="18"/>
  <c r="T162" i="18"/>
  <c r="T164" i="18"/>
  <c r="T161" i="18"/>
  <c r="T160" i="18"/>
  <c r="T163" i="18"/>
  <c r="T166" i="18"/>
  <c r="J141" i="18"/>
  <c r="J134" i="18"/>
  <c r="J125" i="18"/>
  <c r="J94" i="18"/>
  <c r="J52" i="18"/>
  <c r="J44" i="18"/>
  <c r="U48" i="18" s="1"/>
  <c r="J28" i="18"/>
  <c r="J21" i="18"/>
  <c r="V21" i="18"/>
  <c r="J13" i="18"/>
  <c r="J6" i="18"/>
  <c r="V66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6" i="18"/>
  <c r="H23" i="3" s="1"/>
  <c r="I156" i="18"/>
  <c r="F23" i="3" s="1"/>
  <c r="I141" i="18"/>
  <c r="F22" i="3" s="1"/>
  <c r="X131" i="18"/>
  <c r="H20" i="3" s="1"/>
  <c r="X125" i="18"/>
  <c r="H19" i="3" s="1"/>
  <c r="I125" i="18"/>
  <c r="F19" i="3"/>
  <c r="I94" i="18"/>
  <c r="F17" i="3" s="1"/>
  <c r="X66" i="18"/>
  <c r="H15" i="3" s="1"/>
  <c r="I66" i="18"/>
  <c r="F15" i="3"/>
  <c r="J15" i="3" s="1"/>
  <c r="I52" i="18"/>
  <c r="F14" i="3" s="1"/>
  <c r="I28" i="18"/>
  <c r="F12" i="3"/>
  <c r="X21" i="18"/>
  <c r="H11" i="3" s="1"/>
  <c r="I21" i="18"/>
  <c r="F11" i="3"/>
  <c r="I13" i="18"/>
  <c r="F10" i="3"/>
  <c r="I6" i="18"/>
  <c r="F9" i="3"/>
  <c r="I75" i="18"/>
  <c r="F16" i="3" s="1"/>
  <c r="I134" i="18"/>
  <c r="F21" i="3" s="1"/>
  <c r="M48" i="2"/>
  <c r="M44" i="2"/>
  <c r="T107" i="18"/>
  <c r="W32" i="18"/>
  <c r="W54" i="18"/>
  <c r="T111" i="18"/>
  <c r="W111" i="18"/>
  <c r="W55" i="18"/>
  <c r="W112" i="18"/>
  <c r="T112" i="18"/>
  <c r="T114" i="18"/>
  <c r="G13" i="2"/>
  <c r="G12" i="2"/>
  <c r="M51" i="2"/>
  <c r="M40" i="2"/>
  <c r="M23" i="2"/>
  <c r="M11" i="2"/>
  <c r="G15" i="2"/>
  <c r="G19" i="2"/>
  <c r="E24" i="2"/>
  <c r="E18" i="2"/>
  <c r="G16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1" i="2"/>
  <c r="N21" i="2"/>
  <c r="F13" i="5"/>
  <c r="F14" i="5"/>
  <c r="F15" i="5"/>
  <c r="F16" i="5"/>
  <c r="E42" i="2"/>
  <c r="G42" i="2"/>
  <c r="E41" i="2"/>
  <c r="H14" i="5"/>
  <c r="G33" i="2"/>
  <c r="H15" i="5"/>
  <c r="G24" i="2"/>
  <c r="E25" i="2"/>
  <c r="G25" i="2"/>
  <c r="E32" i="2"/>
  <c r="E37" i="2"/>
  <c r="G37" i="2"/>
  <c r="G18" i="2"/>
  <c r="F18" i="2"/>
  <c r="I11" i="2"/>
  <c r="K14" i="2"/>
  <c r="G14" i="2"/>
  <c r="G11" i="2"/>
  <c r="F11" i="2"/>
  <c r="I24" i="2"/>
  <c r="K18" i="2"/>
  <c r="J18" i="2"/>
  <c r="W63" i="2"/>
  <c r="N20" i="2"/>
  <c r="N26" i="2"/>
  <c r="G27" i="2"/>
  <c r="E28" i="2"/>
  <c r="G28" i="2"/>
  <c r="F17" i="5"/>
  <c r="F19" i="5"/>
  <c r="H1" i="6"/>
  <c r="Q36" i="18"/>
  <c r="Q37" i="18"/>
  <c r="Q34" i="18"/>
  <c r="Q33" i="18"/>
  <c r="Q96" i="18"/>
  <c r="Q59" i="18"/>
  <c r="Q58" i="18"/>
  <c r="Q57" i="18"/>
  <c r="H13" i="3"/>
  <c r="Q55" i="18"/>
  <c r="X134" i="18"/>
  <c r="U135" i="18" s="1"/>
  <c r="Q35" i="18"/>
  <c r="Q54" i="18"/>
  <c r="U16" i="18"/>
  <c r="Q56" i="18"/>
  <c r="Q61" i="18"/>
  <c r="U49" i="18"/>
  <c r="G32" i="2"/>
  <c r="G30" i="2"/>
  <c r="E23" i="2"/>
  <c r="G41" i="2"/>
  <c r="G40" i="2"/>
  <c r="E40" i="2"/>
  <c r="K24" i="2"/>
  <c r="N24" i="2"/>
  <c r="K11" i="2"/>
  <c r="J11" i="2"/>
  <c r="N14" i="2"/>
  <c r="F21" i="5"/>
  <c r="F4" i="5"/>
  <c r="C9" i="6"/>
  <c r="G23" i="2"/>
  <c r="I23" i="2"/>
  <c r="K28" i="2"/>
  <c r="K32" i="2"/>
  <c r="K27" i="2"/>
  <c r="N27" i="2"/>
  <c r="E30" i="2"/>
  <c r="I1" i="6"/>
  <c r="U138" i="18"/>
  <c r="U136" i="18"/>
  <c r="U137" i="18"/>
  <c r="U139" i="18"/>
  <c r="W114" i="18"/>
  <c r="F23" i="2"/>
  <c r="N32" i="2"/>
  <c r="N28" i="2"/>
  <c r="E45" i="2"/>
  <c r="H16" i="5"/>
  <c r="F47" i="5"/>
  <c r="F43" i="5"/>
  <c r="F40" i="2"/>
  <c r="K23" i="2"/>
  <c r="F30" i="2"/>
  <c r="J1" i="6"/>
  <c r="J23" i="2"/>
  <c r="G45" i="2"/>
  <c r="E46" i="2"/>
  <c r="F41" i="5"/>
  <c r="F44" i="5"/>
  <c r="F45" i="5"/>
  <c r="F42" i="5"/>
  <c r="K33" i="2"/>
  <c r="K1" i="6"/>
  <c r="F46" i="5"/>
  <c r="K37" i="2"/>
  <c r="K41" i="2"/>
  <c r="I42" i="2"/>
  <c r="K42" i="2"/>
  <c r="N42" i="2"/>
  <c r="G46" i="2"/>
  <c r="E44" i="2"/>
  <c r="L1" i="6"/>
  <c r="I40" i="2"/>
  <c r="V66" i="2"/>
  <c r="N41" i="2"/>
  <c r="K40" i="2"/>
  <c r="X66" i="2"/>
  <c r="N37" i="2"/>
  <c r="F9" i="2"/>
  <c r="H17" i="5"/>
  <c r="K3" i="6"/>
  <c r="E49" i="2"/>
  <c r="E54" i="2"/>
  <c r="G54" i="2"/>
  <c r="E55" i="2"/>
  <c r="G55" i="2"/>
  <c r="E56" i="2"/>
  <c r="G56" i="2"/>
  <c r="G44" i="2"/>
  <c r="F44" i="2"/>
  <c r="M1" i="6"/>
  <c r="I30" i="2"/>
  <c r="E48" i="2"/>
  <c r="G49" i="2"/>
  <c r="H3" i="6"/>
  <c r="I3" i="6"/>
  <c r="G3" i="6"/>
  <c r="J3" i="6"/>
  <c r="F3" i="6"/>
  <c r="F4" i="6"/>
  <c r="N1" i="6"/>
  <c r="L3" i="6"/>
  <c r="G4" i="6"/>
  <c r="G48" i="2"/>
  <c r="F48" i="2"/>
  <c r="E52" i="2"/>
  <c r="E53" i="2"/>
  <c r="G53" i="2"/>
  <c r="E57" i="2"/>
  <c r="G57" i="2"/>
  <c r="O1" i="6"/>
  <c r="M3" i="6"/>
  <c r="H4" i="6"/>
  <c r="E51" i="2"/>
  <c r="G52" i="2"/>
  <c r="G51" i="2"/>
  <c r="F51" i="2"/>
  <c r="P1" i="6"/>
  <c r="N3" i="6"/>
  <c r="I4" i="6"/>
  <c r="P3" i="6"/>
  <c r="Q1" i="6"/>
  <c r="O3" i="6"/>
  <c r="J4" i="6"/>
  <c r="R1" i="6"/>
  <c r="O9" i="6"/>
  <c r="F9" i="6"/>
  <c r="F10" i="6"/>
  <c r="P9" i="6"/>
  <c r="I9" i="6"/>
  <c r="K9" i="6"/>
  <c r="H9" i="6"/>
  <c r="J9" i="6"/>
  <c r="L9" i="6"/>
  <c r="N9" i="6"/>
  <c r="G9" i="6"/>
  <c r="M9" i="6"/>
  <c r="Q9" i="6"/>
  <c r="K4" i="6"/>
  <c r="R3" i="6"/>
  <c r="S1" i="6"/>
  <c r="R9" i="6"/>
  <c r="Q3" i="6"/>
  <c r="W137" i="18"/>
  <c r="T137" i="18" s="1"/>
  <c r="T134" i="18"/>
  <c r="W136" i="18"/>
  <c r="T136" i="18" s="1"/>
  <c r="W135" i="18"/>
  <c r="T135" i="18" s="1"/>
  <c r="W138" i="18"/>
  <c r="T138" i="18" s="1"/>
  <c r="G10" i="6"/>
  <c r="H10" i="6"/>
  <c r="I10" i="6"/>
  <c r="J10" i="6"/>
  <c r="K10" i="6"/>
  <c r="L10" i="6"/>
  <c r="L4" i="6"/>
  <c r="T1" i="6"/>
  <c r="S3" i="6"/>
  <c r="S9" i="6"/>
  <c r="M4" i="6"/>
  <c r="U1" i="6"/>
  <c r="T9" i="6"/>
  <c r="M10" i="6"/>
  <c r="N4" i="6"/>
  <c r="V1" i="6"/>
  <c r="U9" i="6"/>
  <c r="T3" i="6"/>
  <c r="N10" i="6"/>
  <c r="O4" i="6"/>
  <c r="W1" i="6"/>
  <c r="V9" i="6"/>
  <c r="U3" i="6"/>
  <c r="O10" i="6"/>
  <c r="P4" i="6"/>
  <c r="X1" i="6"/>
  <c r="W3" i="6"/>
  <c r="W9" i="6"/>
  <c r="V3" i="6"/>
  <c r="P10" i="6"/>
  <c r="Q4" i="6"/>
  <c r="Y1" i="6"/>
  <c r="Q10" i="6"/>
  <c r="R4" i="6"/>
  <c r="Z1" i="6"/>
  <c r="Y9" i="6"/>
  <c r="X3" i="6"/>
  <c r="X9" i="6"/>
  <c r="R10" i="6"/>
  <c r="S4" i="6"/>
  <c r="AA1" i="6"/>
  <c r="Z9" i="6"/>
  <c r="Y3" i="6"/>
  <c r="S10" i="6"/>
  <c r="T4" i="6"/>
  <c r="AB1" i="6"/>
  <c r="AA9" i="6"/>
  <c r="Z3" i="6"/>
  <c r="T10" i="6"/>
  <c r="U4" i="6"/>
  <c r="AC1" i="6"/>
  <c r="AB3" i="6"/>
  <c r="AB9" i="6"/>
  <c r="AA3" i="6"/>
  <c r="U10" i="6"/>
  <c r="V4" i="6"/>
  <c r="AD1" i="6"/>
  <c r="V10" i="6"/>
  <c r="W4" i="6"/>
  <c r="AE1" i="6"/>
  <c r="AD9" i="6"/>
  <c r="AC3" i="6"/>
  <c r="AC9" i="6"/>
  <c r="W10" i="6"/>
  <c r="X4" i="6"/>
  <c r="AF1" i="6"/>
  <c r="AE9" i="6"/>
  <c r="AD3" i="6"/>
  <c r="X10" i="6"/>
  <c r="Y4" i="6"/>
  <c r="AF3" i="6"/>
  <c r="AG1" i="6"/>
  <c r="AF9" i="6"/>
  <c r="AE3" i="6"/>
  <c r="Y10" i="6"/>
  <c r="Z4" i="6"/>
  <c r="AH1" i="6"/>
  <c r="Z10" i="6"/>
  <c r="AA4" i="6"/>
  <c r="AI1" i="6"/>
  <c r="AH9" i="6"/>
  <c r="AG9" i="6"/>
  <c r="AG3" i="6"/>
  <c r="AA10" i="6"/>
  <c r="AB4" i="6"/>
  <c r="AJ1" i="6"/>
  <c r="AI9" i="6"/>
  <c r="AH3" i="6"/>
  <c r="AB10" i="6"/>
  <c r="AC4" i="6"/>
  <c r="AJ3" i="6"/>
  <c r="AK1" i="6"/>
  <c r="AI3" i="6"/>
  <c r="AC10" i="6"/>
  <c r="AD4" i="6"/>
  <c r="AL1" i="6"/>
  <c r="AK3" i="6"/>
  <c r="AK9" i="6"/>
  <c r="AJ9" i="6"/>
  <c r="AD10" i="6"/>
  <c r="AE4" i="6"/>
  <c r="AM1" i="6"/>
  <c r="AL3" i="6"/>
  <c r="AL9" i="6"/>
  <c r="AE10" i="6"/>
  <c r="AF4" i="6"/>
  <c r="AN1" i="6"/>
  <c r="AF10" i="6"/>
  <c r="AG4" i="6"/>
  <c r="AO1" i="6"/>
  <c r="AN3" i="6"/>
  <c r="AN9" i="6"/>
  <c r="AM9" i="6"/>
  <c r="AM3" i="6"/>
  <c r="AG10" i="6"/>
  <c r="AH4" i="6"/>
  <c r="AP1" i="6"/>
  <c r="AO9" i="6"/>
  <c r="AH10" i="6"/>
  <c r="AI4" i="6"/>
  <c r="AQ1" i="6"/>
  <c r="AP9" i="6"/>
  <c r="AO3" i="6"/>
  <c r="AI10" i="6"/>
  <c r="AJ4" i="6"/>
  <c r="AQ3" i="6"/>
  <c r="AR1" i="6"/>
  <c r="AP3" i="6"/>
  <c r="AJ10" i="6"/>
  <c r="AK4" i="6"/>
  <c r="AS1" i="6"/>
  <c r="AR9" i="6"/>
  <c r="AR3" i="6"/>
  <c r="AQ9" i="6"/>
  <c r="AK10" i="6"/>
  <c r="AL4" i="6"/>
  <c r="AT1" i="6"/>
  <c r="AS9" i="6"/>
  <c r="AL10" i="6"/>
  <c r="AM4" i="6"/>
  <c r="AU1" i="6"/>
  <c r="AS3" i="6"/>
  <c r="AM10" i="6"/>
  <c r="AN4" i="6"/>
  <c r="AV1" i="6"/>
  <c r="AU9" i="6"/>
  <c r="AU3" i="6"/>
  <c r="AT3" i="6"/>
  <c r="AN10" i="6"/>
  <c r="AO4" i="6"/>
  <c r="AW1" i="6"/>
  <c r="AV3" i="6"/>
  <c r="AV9" i="6"/>
  <c r="AT9" i="6"/>
  <c r="AO10" i="6"/>
  <c r="AP4" i="6"/>
  <c r="AX1" i="6"/>
  <c r="AP10" i="6"/>
  <c r="AQ4" i="6"/>
  <c r="AY1" i="6"/>
  <c r="AX9" i="6"/>
  <c r="AW9" i="6"/>
  <c r="AW3" i="6"/>
  <c r="AQ10" i="6"/>
  <c r="AR4" i="6"/>
  <c r="AZ1" i="6"/>
  <c r="AY3" i="6"/>
  <c r="AY9" i="6"/>
  <c r="AX3" i="6"/>
  <c r="AR10" i="6"/>
  <c r="AS4" i="6"/>
  <c r="AZ3" i="6"/>
  <c r="BA1" i="6"/>
  <c r="AZ9" i="6"/>
  <c r="AS10" i="6"/>
  <c r="AT4" i="6"/>
  <c r="BB1" i="6"/>
  <c r="AT10" i="6"/>
  <c r="AU4" i="6"/>
  <c r="BC1" i="6"/>
  <c r="BB9" i="6"/>
  <c r="BA9" i="6"/>
  <c r="BA3" i="6"/>
  <c r="AU10" i="6"/>
  <c r="AV4" i="6"/>
  <c r="BD1" i="6"/>
  <c r="BC3" i="6"/>
  <c r="BC9" i="6"/>
  <c r="BB3" i="6"/>
  <c r="AV10" i="6"/>
  <c r="AW4" i="6"/>
  <c r="BE1" i="6"/>
  <c r="BD3" i="6"/>
  <c r="BD9" i="6"/>
  <c r="AW10" i="6"/>
  <c r="AX4" i="6"/>
  <c r="BF1" i="6"/>
  <c r="BE3" i="6"/>
  <c r="AX10" i="6"/>
  <c r="AY4" i="6"/>
  <c r="BG1" i="6"/>
  <c r="BF3" i="6"/>
  <c r="BF9" i="6"/>
  <c r="BE9" i="6"/>
  <c r="AY10" i="6"/>
  <c r="AZ4" i="6"/>
  <c r="BH1" i="6"/>
  <c r="BG3" i="6"/>
  <c r="BG9" i="6"/>
  <c r="AZ10" i="6"/>
  <c r="BA4" i="6"/>
  <c r="BI1" i="6"/>
  <c r="BH3" i="6"/>
  <c r="BA10" i="6"/>
  <c r="BB4" i="6"/>
  <c r="BJ1" i="6"/>
  <c r="BI9" i="6"/>
  <c r="BH9" i="6"/>
  <c r="BB10" i="6"/>
  <c r="BC4" i="6"/>
  <c r="BK1" i="6"/>
  <c r="BJ9" i="6"/>
  <c r="BI3" i="6"/>
  <c r="BC10" i="6"/>
  <c r="BD4" i="6"/>
  <c r="BL1" i="6"/>
  <c r="BJ3" i="6"/>
  <c r="BD10" i="6"/>
  <c r="BE4" i="6"/>
  <c r="BM1" i="6"/>
  <c r="BL3" i="6"/>
  <c r="BL9" i="6"/>
  <c r="BK9" i="6"/>
  <c r="BK3" i="6"/>
  <c r="BE10" i="6"/>
  <c r="BF4" i="6"/>
  <c r="BN1" i="6"/>
  <c r="BM3" i="6"/>
  <c r="BM9" i="6"/>
  <c r="BF10" i="6"/>
  <c r="BG4" i="6"/>
  <c r="BN3" i="6"/>
  <c r="BO1" i="6"/>
  <c r="BN9" i="6"/>
  <c r="BG10" i="6"/>
  <c r="BH4" i="6"/>
  <c r="BP1" i="6"/>
  <c r="BO9" i="6"/>
  <c r="BH10" i="6"/>
  <c r="BI4" i="6"/>
  <c r="BQ1" i="6"/>
  <c r="BP3" i="6"/>
  <c r="BP9" i="6"/>
  <c r="BO3" i="6"/>
  <c r="BI10" i="6"/>
  <c r="BJ4" i="6"/>
  <c r="BR1" i="6"/>
  <c r="BQ9" i="6"/>
  <c r="BJ10" i="6"/>
  <c r="BK4" i="6"/>
  <c r="BS1" i="6"/>
  <c r="BR3" i="6"/>
  <c r="BR9" i="6"/>
  <c r="BQ3" i="6"/>
  <c r="BK10" i="6"/>
  <c r="BL4" i="6"/>
  <c r="BT1" i="6"/>
  <c r="BS3" i="6"/>
  <c r="BS9" i="6"/>
  <c r="BL10" i="6"/>
  <c r="BM4" i="6"/>
  <c r="BU1" i="6"/>
  <c r="BT3" i="6"/>
  <c r="BT9" i="6"/>
  <c r="BM10" i="6"/>
  <c r="BN4" i="6"/>
  <c r="BV1" i="6"/>
  <c r="BU3" i="6"/>
  <c r="BU9" i="6"/>
  <c r="BN10" i="6"/>
  <c r="BO4" i="6"/>
  <c r="BW1" i="6"/>
  <c r="BV9" i="6"/>
  <c r="BO10" i="6"/>
  <c r="BP4" i="6"/>
  <c r="BX1" i="6"/>
  <c r="BW3" i="6"/>
  <c r="BW9" i="6"/>
  <c r="BV3" i="6"/>
  <c r="BP10" i="6"/>
  <c r="BQ4" i="6"/>
  <c r="BY1" i="6"/>
  <c r="BX3" i="6"/>
  <c r="BX9" i="6"/>
  <c r="BQ10" i="6"/>
  <c r="BR4" i="6"/>
  <c r="BZ1" i="6"/>
  <c r="BY3" i="6"/>
  <c r="BY9" i="6"/>
  <c r="BR10" i="6"/>
  <c r="BS4" i="6"/>
  <c r="CA1" i="6"/>
  <c r="BZ3" i="6"/>
  <c r="BZ9" i="6"/>
  <c r="BS10" i="6"/>
  <c r="BT4" i="6"/>
  <c r="CB1" i="6"/>
  <c r="CA3" i="6"/>
  <c r="BT10" i="6"/>
  <c r="BU4" i="6"/>
  <c r="CA9" i="6"/>
  <c r="CC1" i="6"/>
  <c r="CB9" i="6"/>
  <c r="BU10" i="6"/>
  <c r="BV4" i="6"/>
  <c r="CD1" i="6"/>
  <c r="CC3" i="6"/>
  <c r="CC9" i="6"/>
  <c r="CB3" i="6"/>
  <c r="BV10" i="6"/>
  <c r="BW4" i="6"/>
  <c r="CE1" i="6"/>
  <c r="CD3" i="6"/>
  <c r="BW10" i="6"/>
  <c r="BX4" i="6"/>
  <c r="CD9" i="6"/>
  <c r="CF1" i="6"/>
  <c r="CE9" i="6"/>
  <c r="BX10" i="6"/>
  <c r="BY4" i="6"/>
  <c r="CG1" i="6"/>
  <c r="CF3" i="6"/>
  <c r="CE3" i="6"/>
  <c r="BY10" i="6"/>
  <c r="BZ4" i="6"/>
  <c r="CF9" i="6"/>
  <c r="CH1" i="6"/>
  <c r="CG9" i="6"/>
  <c r="BZ10" i="6"/>
  <c r="CA4" i="6"/>
  <c r="CI1" i="6"/>
  <c r="CH3" i="6"/>
  <c r="CH9" i="6"/>
  <c r="CG3" i="6"/>
  <c r="CA10" i="6"/>
  <c r="CB4" i="6"/>
  <c r="CJ1" i="6"/>
  <c r="CI3" i="6"/>
  <c r="CI9" i="6"/>
  <c r="CB10" i="6"/>
  <c r="CC4" i="6"/>
  <c r="CK1" i="6"/>
  <c r="CJ9" i="6"/>
  <c r="CC10" i="6"/>
  <c r="CD4" i="6"/>
  <c r="CL1" i="6"/>
  <c r="CJ3" i="6"/>
  <c r="CD10" i="6"/>
  <c r="CE4" i="6"/>
  <c r="CM1" i="6"/>
  <c r="CL3" i="6"/>
  <c r="CL9" i="6"/>
  <c r="CK9" i="6"/>
  <c r="CK3" i="6"/>
  <c r="CE10" i="6"/>
  <c r="CF4" i="6"/>
  <c r="CN1" i="6"/>
  <c r="CF10" i="6"/>
  <c r="CG4" i="6"/>
  <c r="CO1" i="6"/>
  <c r="CN3" i="6"/>
  <c r="CN9" i="6"/>
  <c r="CM9" i="6"/>
  <c r="CM3" i="6"/>
  <c r="CG10" i="6"/>
  <c r="CH4" i="6"/>
  <c r="CP1" i="6"/>
  <c r="CO3" i="6"/>
  <c r="CH10" i="6"/>
  <c r="CI4" i="6"/>
  <c r="CQ1" i="6"/>
  <c r="CP3" i="6"/>
  <c r="CP9" i="6"/>
  <c r="CO9" i="6"/>
  <c r="CI10" i="6"/>
  <c r="CJ4" i="6"/>
  <c r="CR1" i="6"/>
  <c r="CJ10" i="6"/>
  <c r="CK4" i="6"/>
  <c r="CS1" i="6"/>
  <c r="CR9" i="6"/>
  <c r="CQ9" i="6"/>
  <c r="CQ3" i="6"/>
  <c r="CK10" i="6"/>
  <c r="CL4" i="6"/>
  <c r="CT1" i="6"/>
  <c r="CS3" i="6"/>
  <c r="CS9" i="6"/>
  <c r="CR3" i="6"/>
  <c r="CL10" i="6"/>
  <c r="CM4" i="6"/>
  <c r="CU1" i="6"/>
  <c r="CT9" i="6"/>
  <c r="CM10" i="6"/>
  <c r="CN4" i="6"/>
  <c r="CV1" i="6"/>
  <c r="CU3" i="6"/>
  <c r="CU9" i="6"/>
  <c r="CT3" i="6"/>
  <c r="CN10" i="6"/>
  <c r="CO4" i="6"/>
  <c r="CW1" i="6"/>
  <c r="CV3" i="6"/>
  <c r="CV9" i="6"/>
  <c r="CO10" i="6"/>
  <c r="CP4" i="6"/>
  <c r="CX1" i="6"/>
  <c r="CW9" i="6"/>
  <c r="CP10" i="6"/>
  <c r="CQ4" i="6"/>
  <c r="CX3" i="6"/>
  <c r="CY1" i="6"/>
  <c r="CX9" i="6"/>
  <c r="CW3" i="6"/>
  <c r="CQ10" i="6"/>
  <c r="CR4" i="6"/>
  <c r="CY3" i="6"/>
  <c r="CZ1" i="6"/>
  <c r="CY9" i="6"/>
  <c r="CR10" i="6"/>
  <c r="CS4" i="6"/>
  <c r="DA1" i="6"/>
  <c r="CZ9" i="6"/>
  <c r="CS10" i="6"/>
  <c r="CT4" i="6"/>
  <c r="DB1" i="6"/>
  <c r="DA9" i="6"/>
  <c r="CZ3" i="6"/>
  <c r="CT10" i="6"/>
  <c r="CU4" i="6"/>
  <c r="DC1" i="6"/>
  <c r="DB9" i="6"/>
  <c r="DA3" i="6"/>
  <c r="CU10" i="6"/>
  <c r="CV4" i="6"/>
  <c r="DD1" i="6"/>
  <c r="DC3" i="6"/>
  <c r="DC9" i="6"/>
  <c r="DB3" i="6"/>
  <c r="CV10" i="6"/>
  <c r="CW4" i="6"/>
  <c r="DE1" i="6"/>
  <c r="DD9" i="6"/>
  <c r="CW10" i="6"/>
  <c r="CX4" i="6"/>
  <c r="DF1" i="6"/>
  <c r="DE9" i="6"/>
  <c r="DD3" i="6"/>
  <c r="CX10" i="6"/>
  <c r="CY4" i="6"/>
  <c r="DG1" i="6"/>
  <c r="DF3" i="6"/>
  <c r="DF9" i="6"/>
  <c r="DE3" i="6"/>
  <c r="CY10" i="6"/>
  <c r="CZ4" i="6"/>
  <c r="DH1" i="6"/>
  <c r="DG3" i="6"/>
  <c r="DG9" i="6"/>
  <c r="CZ10" i="6"/>
  <c r="DA4" i="6"/>
  <c r="DI1" i="6"/>
  <c r="DH3" i="6"/>
  <c r="DH9" i="6"/>
  <c r="DA10" i="6"/>
  <c r="DB4" i="6"/>
  <c r="DJ1" i="6"/>
  <c r="DI3" i="6"/>
  <c r="DI9" i="6"/>
  <c r="DB10" i="6"/>
  <c r="DC4" i="6"/>
  <c r="DK1" i="6"/>
  <c r="DJ3" i="6"/>
  <c r="DJ9" i="6"/>
  <c r="DC10" i="6"/>
  <c r="DD4" i="6"/>
  <c r="DL1" i="6"/>
  <c r="DK3" i="6"/>
  <c r="DK9" i="6"/>
  <c r="DD10" i="6"/>
  <c r="DE4" i="6"/>
  <c r="DM1" i="6"/>
  <c r="DL3" i="6"/>
  <c r="DL9" i="6"/>
  <c r="DE10" i="6"/>
  <c r="DF4" i="6"/>
  <c r="DN1" i="6"/>
  <c r="DM3" i="6"/>
  <c r="DM9" i="6"/>
  <c r="DF10" i="6"/>
  <c r="DG4" i="6"/>
  <c r="DO1" i="6"/>
  <c r="DN3" i="6"/>
  <c r="DN9" i="6"/>
  <c r="DG10" i="6"/>
  <c r="DH4" i="6"/>
  <c r="DP1" i="6"/>
  <c r="DO9" i="6"/>
  <c r="DH10" i="6"/>
  <c r="DI4" i="6"/>
  <c r="DQ1" i="6"/>
  <c r="DP9" i="6"/>
  <c r="DO3" i="6"/>
  <c r="DI10" i="6"/>
  <c r="DJ4" i="6"/>
  <c r="DR1" i="6"/>
  <c r="DQ9" i="6"/>
  <c r="DP3" i="6"/>
  <c r="DJ10" i="6"/>
  <c r="DK4" i="6"/>
  <c r="DS1" i="6"/>
  <c r="DR9" i="6"/>
  <c r="DQ3" i="6"/>
  <c r="DK10" i="6"/>
  <c r="DL4" i="6"/>
  <c r="DT1" i="6"/>
  <c r="DS3" i="6"/>
  <c r="DR3" i="6"/>
  <c r="DL10" i="6"/>
  <c r="DM4" i="6"/>
  <c r="DS9" i="6"/>
  <c r="DU1" i="6"/>
  <c r="DT9" i="6"/>
  <c r="DM10" i="6"/>
  <c r="DN4" i="6"/>
  <c r="DV1" i="6"/>
  <c r="DU3" i="6"/>
  <c r="DT3" i="6"/>
  <c r="DN10" i="6"/>
  <c r="DO4" i="6"/>
  <c r="DU9" i="6"/>
  <c r="DW1" i="6"/>
  <c r="DV9" i="6"/>
  <c r="DO10" i="6"/>
  <c r="DP4" i="6"/>
  <c r="DX1" i="6"/>
  <c r="DW3" i="6"/>
  <c r="DV3" i="6"/>
  <c r="DP10" i="6"/>
  <c r="DQ4" i="6"/>
  <c r="DW9" i="6"/>
  <c r="DY1" i="6"/>
  <c r="DX9" i="6"/>
  <c r="DQ10" i="6"/>
  <c r="DR4" i="6"/>
  <c r="DZ1" i="6"/>
  <c r="DY3" i="6"/>
  <c r="DY9" i="6"/>
  <c r="DX3" i="6"/>
  <c r="DR10" i="6"/>
  <c r="DS4" i="6"/>
  <c r="EA1" i="6"/>
  <c r="DZ3" i="6"/>
  <c r="DZ9" i="6"/>
  <c r="DS10" i="6"/>
  <c r="DT4" i="6"/>
  <c r="EB1" i="6"/>
  <c r="EA3" i="6"/>
  <c r="EA9" i="6"/>
  <c r="DT10" i="6"/>
  <c r="DU4" i="6"/>
  <c r="EC1" i="6"/>
  <c r="EB3" i="6"/>
  <c r="EB9" i="6"/>
  <c r="DU10" i="6"/>
  <c r="DV4" i="6"/>
  <c r="ED1" i="6"/>
  <c r="EC3" i="6"/>
  <c r="EC9" i="6"/>
  <c r="DV10" i="6"/>
  <c r="DW4" i="6"/>
  <c r="EE1" i="6"/>
  <c r="ED9" i="6"/>
  <c r="DW10" i="6"/>
  <c r="DX4" i="6"/>
  <c r="EF1" i="6"/>
  <c r="EE3" i="6"/>
  <c r="EE9" i="6"/>
  <c r="ED3" i="6"/>
  <c r="DX10" i="6"/>
  <c r="DY4" i="6"/>
  <c r="EG1" i="6"/>
  <c r="EF3" i="6"/>
  <c r="EF9" i="6"/>
  <c r="DY10" i="6"/>
  <c r="DZ4" i="6"/>
  <c r="EH1" i="6"/>
  <c r="EG3" i="6"/>
  <c r="EG9" i="6"/>
  <c r="DZ10" i="6"/>
  <c r="EA4" i="6"/>
  <c r="EI1" i="6"/>
  <c r="EH3" i="6"/>
  <c r="EH9" i="6"/>
  <c r="EA10" i="6"/>
  <c r="EB4" i="6"/>
  <c r="EJ1" i="6"/>
  <c r="EI3" i="6"/>
  <c r="EI9" i="6"/>
  <c r="EB10" i="6"/>
  <c r="EC4" i="6"/>
  <c r="EK1" i="6"/>
  <c r="EJ3" i="6"/>
  <c r="EJ9" i="6"/>
  <c r="EC10" i="6"/>
  <c r="ED4" i="6"/>
  <c r="EL1" i="6"/>
  <c r="ED10" i="6"/>
  <c r="EE4" i="6"/>
  <c r="EM1" i="6"/>
  <c r="EL3" i="6"/>
  <c r="EK9" i="6"/>
  <c r="EK3" i="6"/>
  <c r="EE10" i="6"/>
  <c r="EF4" i="6"/>
  <c r="EL9" i="6"/>
  <c r="EN1" i="6"/>
  <c r="EM9" i="6"/>
  <c r="EF10" i="6"/>
  <c r="EG4" i="6"/>
  <c r="EO1" i="6"/>
  <c r="EM3" i="6"/>
  <c r="EG10" i="6"/>
  <c r="EH4" i="6"/>
  <c r="EP1" i="6"/>
  <c r="EN9" i="6"/>
  <c r="EN3" i="6"/>
  <c r="EH10" i="6"/>
  <c r="EI4" i="6"/>
  <c r="EQ1" i="6"/>
  <c r="EO9" i="6"/>
  <c r="EO3" i="6"/>
  <c r="EI10" i="6"/>
  <c r="EJ4" i="6"/>
  <c r="ER1" i="6"/>
  <c r="EQ9" i="6"/>
  <c r="EP9" i="6"/>
  <c r="EP3" i="6"/>
  <c r="EJ10" i="6"/>
  <c r="EK4" i="6"/>
  <c r="ES1" i="6"/>
  <c r="ER9" i="6"/>
  <c r="EQ3" i="6"/>
  <c r="EK10" i="6"/>
  <c r="EL4" i="6"/>
  <c r="ET1" i="6"/>
  <c r="ES9" i="6"/>
  <c r="ER3" i="6"/>
  <c r="EL10" i="6"/>
  <c r="EM4" i="6"/>
  <c r="EU1" i="6"/>
  <c r="ET9" i="6"/>
  <c r="ES3" i="6"/>
  <c r="EM10" i="6"/>
  <c r="EN4" i="6"/>
  <c r="EV1" i="6"/>
  <c r="EU9" i="6"/>
  <c r="ET3" i="6"/>
  <c r="EN10" i="6"/>
  <c r="EO4" i="6"/>
  <c r="EW1" i="6"/>
  <c r="EV9" i="6"/>
  <c r="EU3" i="6"/>
  <c r="EO10" i="6"/>
  <c r="EP4" i="6"/>
  <c r="EX1" i="6"/>
  <c r="EW3" i="6"/>
  <c r="EW9" i="6"/>
  <c r="EV3" i="6"/>
  <c r="EP10" i="6"/>
  <c r="EQ4" i="6"/>
  <c r="EY1" i="6"/>
  <c r="EQ10" i="6"/>
  <c r="ER4" i="6"/>
  <c r="EZ1" i="6"/>
  <c r="EY3" i="6"/>
  <c r="EY9" i="6"/>
  <c r="EX9" i="6"/>
  <c r="EX3" i="6"/>
  <c r="ER10" i="6"/>
  <c r="ES4" i="6"/>
  <c r="FA1" i="6"/>
  <c r="EZ3" i="6"/>
  <c r="EZ9" i="6"/>
  <c r="ES10" i="6"/>
  <c r="ET4" i="6"/>
  <c r="FB1" i="6"/>
  <c r="FA3" i="6"/>
  <c r="FA9" i="6"/>
  <c r="ET10" i="6"/>
  <c r="EU4" i="6"/>
  <c r="FC1" i="6"/>
  <c r="FB3" i="6"/>
  <c r="FB9" i="6"/>
  <c r="EU10" i="6"/>
  <c r="EV4" i="6"/>
  <c r="FD1" i="6"/>
  <c r="FC3" i="6"/>
  <c r="FC9" i="6"/>
  <c r="EV10" i="6"/>
  <c r="EW4" i="6"/>
  <c r="FE1" i="6"/>
  <c r="FD3" i="6"/>
  <c r="FD9" i="6"/>
  <c r="EW10" i="6"/>
  <c r="EX4" i="6"/>
  <c r="FF1" i="6"/>
  <c r="FE3" i="6"/>
  <c r="FE9" i="6"/>
  <c r="EX10" i="6"/>
  <c r="EY4" i="6"/>
  <c r="FG1" i="6"/>
  <c r="FF3" i="6"/>
  <c r="FF9" i="6"/>
  <c r="EY10" i="6"/>
  <c r="EZ4" i="6"/>
  <c r="FH1" i="6"/>
  <c r="FG3" i="6"/>
  <c r="EZ10" i="6"/>
  <c r="FA4" i="6"/>
  <c r="FG9" i="6"/>
  <c r="FI1" i="6"/>
  <c r="FH9" i="6"/>
  <c r="FA10" i="6"/>
  <c r="FB4" i="6"/>
  <c r="FJ1" i="6"/>
  <c r="FI9" i="6"/>
  <c r="FH3" i="6"/>
  <c r="FB10" i="6"/>
  <c r="FC4" i="6"/>
  <c r="FK1" i="6"/>
  <c r="FJ3" i="6"/>
  <c r="FI3" i="6"/>
  <c r="FC10" i="6"/>
  <c r="FD4" i="6"/>
  <c r="FJ9" i="6"/>
  <c r="FL1" i="6"/>
  <c r="FK9" i="6"/>
  <c r="FD10" i="6"/>
  <c r="FE4" i="6"/>
  <c r="FM1" i="6"/>
  <c r="FK3" i="6"/>
  <c r="FE10" i="6"/>
  <c r="FF4" i="6"/>
  <c r="FN1" i="6"/>
  <c r="FL9" i="6"/>
  <c r="FL3" i="6"/>
  <c r="FF10" i="6"/>
  <c r="FG4" i="6"/>
  <c r="FO1" i="6"/>
  <c r="FN3" i="6"/>
  <c r="FM9" i="6"/>
  <c r="FM3" i="6"/>
  <c r="FG10" i="6"/>
  <c r="FH4" i="6"/>
  <c r="FN9" i="6"/>
  <c r="FP1" i="6"/>
  <c r="FO9" i="6"/>
  <c r="FH10" i="6"/>
  <c r="FI4" i="6"/>
  <c r="FQ1" i="6"/>
  <c r="FO3" i="6"/>
  <c r="FI10" i="6"/>
  <c r="FJ4" i="6"/>
  <c r="FR1" i="6"/>
  <c r="FQ3" i="6"/>
  <c r="FQ9" i="6"/>
  <c r="FP9" i="6"/>
  <c r="FP3" i="6"/>
  <c r="FJ10" i="6"/>
  <c r="FK4" i="6"/>
  <c r="FS1" i="6"/>
  <c r="FR3" i="6"/>
  <c r="FR9" i="6"/>
  <c r="FK10" i="6"/>
  <c r="FL4" i="6"/>
  <c r="FT1" i="6"/>
  <c r="FS3" i="6"/>
  <c r="FL10" i="6"/>
  <c r="FM4" i="6"/>
  <c r="FS9" i="6"/>
  <c r="FU1" i="6"/>
  <c r="FT3" i="6"/>
  <c r="FT9" i="6"/>
  <c r="FM10" i="6"/>
  <c r="FN4" i="6"/>
  <c r="FV1" i="6"/>
  <c r="FU9" i="6"/>
  <c r="FU3" i="6"/>
  <c r="FN10" i="6"/>
  <c r="FO4" i="6"/>
  <c r="FW1" i="6"/>
  <c r="FV3" i="6"/>
  <c r="FV9" i="6"/>
  <c r="FO10" i="6"/>
  <c r="FP4" i="6"/>
  <c r="FX1" i="6"/>
  <c r="FW9" i="6"/>
  <c r="FW3" i="6"/>
  <c r="FP10" i="6"/>
  <c r="FQ4" i="6"/>
  <c r="FY1" i="6"/>
  <c r="FX3" i="6"/>
  <c r="FX9" i="6"/>
  <c r="FQ10" i="6"/>
  <c r="FR4" i="6"/>
  <c r="FZ1" i="6"/>
  <c r="FY3" i="6"/>
  <c r="FY9" i="6"/>
  <c r="FR10" i="6"/>
  <c r="FS4" i="6"/>
  <c r="GA1" i="6"/>
  <c r="FZ3" i="6"/>
  <c r="FZ9" i="6"/>
  <c r="FS10" i="6"/>
  <c r="FT4" i="6"/>
  <c r="GB1" i="6"/>
  <c r="GA3" i="6"/>
  <c r="GA9" i="6"/>
  <c r="FT10" i="6"/>
  <c r="FU4" i="6"/>
  <c r="GC1" i="6"/>
  <c r="GB3" i="6"/>
  <c r="GB9" i="6"/>
  <c r="FU10" i="6"/>
  <c r="FV4" i="6"/>
  <c r="GD1" i="6"/>
  <c r="GC9" i="6"/>
  <c r="FV10" i="6"/>
  <c r="FW4" i="6"/>
  <c r="GE1" i="6"/>
  <c r="GD9" i="6"/>
  <c r="GC3" i="6"/>
  <c r="FW10" i="6"/>
  <c r="FX4" i="6"/>
  <c r="GF1" i="6"/>
  <c r="GE9" i="6"/>
  <c r="GD3" i="6"/>
  <c r="FX10" i="6"/>
  <c r="FY4" i="6"/>
  <c r="GG1" i="6"/>
  <c r="GE3" i="6"/>
  <c r="FY10" i="6"/>
  <c r="FZ4" i="6"/>
  <c r="GH1" i="6"/>
  <c r="GG9" i="6"/>
  <c r="GF9" i="6"/>
  <c r="GF3" i="6"/>
  <c r="FZ10" i="6"/>
  <c r="GA4" i="6"/>
  <c r="GH3" i="6"/>
  <c r="GI1" i="6"/>
  <c r="GH9" i="6"/>
  <c r="GG3" i="6"/>
  <c r="GA10" i="6"/>
  <c r="GB4" i="6"/>
  <c r="GI3" i="6"/>
  <c r="GJ1" i="6"/>
  <c r="GI9" i="6"/>
  <c r="GB10" i="6"/>
  <c r="GC4" i="6"/>
  <c r="GK1" i="6"/>
  <c r="GJ9" i="6"/>
  <c r="GC10" i="6"/>
  <c r="GD4" i="6"/>
  <c r="GL1" i="6"/>
  <c r="GK9" i="6"/>
  <c r="GJ3" i="6"/>
  <c r="GD10" i="6"/>
  <c r="GE4" i="6"/>
  <c r="GM1" i="6"/>
  <c r="GL3" i="6"/>
  <c r="GL9" i="6"/>
  <c r="GK3" i="6"/>
  <c r="GE10" i="6"/>
  <c r="GF4" i="6"/>
  <c r="GN1" i="6"/>
  <c r="GM3" i="6"/>
  <c r="GM9" i="6"/>
  <c r="GF10" i="6"/>
  <c r="GG4" i="6"/>
  <c r="GO1" i="6"/>
  <c r="GG10" i="6"/>
  <c r="GH4" i="6"/>
  <c r="GP1" i="6"/>
  <c r="GO9" i="6"/>
  <c r="GN9" i="6"/>
  <c r="GN3" i="6"/>
  <c r="GH10" i="6"/>
  <c r="GI4" i="6"/>
  <c r="GQ1" i="6"/>
  <c r="GP3" i="6"/>
  <c r="GP9" i="6"/>
  <c r="GO3" i="6"/>
  <c r="GI10" i="6"/>
  <c r="GJ4" i="6"/>
  <c r="GR1" i="6"/>
  <c r="GQ3" i="6"/>
  <c r="GQ9" i="6"/>
  <c r="GJ10" i="6"/>
  <c r="GK4" i="6"/>
  <c r="GS1" i="6"/>
  <c r="GR3" i="6"/>
  <c r="GR9" i="6"/>
  <c r="GK10" i="6"/>
  <c r="GL4" i="6"/>
  <c r="GT1" i="6"/>
  <c r="GS3" i="6"/>
  <c r="GS9" i="6"/>
  <c r="GL10" i="6"/>
  <c r="GM4" i="6"/>
  <c r="GU1" i="6"/>
  <c r="GT3" i="6"/>
  <c r="GT9" i="6"/>
  <c r="GM10" i="6"/>
  <c r="GN4" i="6"/>
  <c r="GV1" i="6"/>
  <c r="GU3" i="6"/>
  <c r="GU9" i="6"/>
  <c r="GN10" i="6"/>
  <c r="GO4" i="6"/>
  <c r="GW1" i="6"/>
  <c r="GV3" i="6"/>
  <c r="GV9" i="6"/>
  <c r="GO10" i="6"/>
  <c r="GP4" i="6"/>
  <c r="GX1" i="6"/>
  <c r="GW3" i="6"/>
  <c r="GW9" i="6"/>
  <c r="GP10" i="6"/>
  <c r="GQ4" i="6"/>
  <c r="GY1" i="6"/>
  <c r="GX3" i="6"/>
  <c r="GX9" i="6"/>
  <c r="GQ10" i="6"/>
  <c r="GR4" i="6"/>
  <c r="GZ1" i="6"/>
  <c r="GY9" i="6"/>
  <c r="GR10" i="6"/>
  <c r="GS4" i="6"/>
  <c r="HA1" i="6"/>
  <c r="GZ9" i="6"/>
  <c r="GY3" i="6"/>
  <c r="GS10" i="6"/>
  <c r="GT4" i="6"/>
  <c r="HB1" i="6"/>
  <c r="HA9" i="6"/>
  <c r="GZ3" i="6"/>
  <c r="GT10" i="6"/>
  <c r="GU4" i="6"/>
  <c r="HC1" i="6"/>
  <c r="HB3" i="6"/>
  <c r="HA3" i="6"/>
  <c r="GU10" i="6"/>
  <c r="GV4" i="6"/>
  <c r="HB9" i="6"/>
  <c r="HD1" i="6"/>
  <c r="HC9" i="6"/>
  <c r="GV10" i="6"/>
  <c r="GW4" i="6"/>
  <c r="HE1" i="6"/>
  <c r="HD9" i="6"/>
  <c r="HC3" i="6"/>
  <c r="GW10" i="6"/>
  <c r="GX4" i="6"/>
  <c r="HF1" i="6"/>
  <c r="HD3" i="6"/>
  <c r="GX10" i="6"/>
  <c r="GY4" i="6"/>
  <c r="HG1" i="6"/>
  <c r="HF9" i="6"/>
  <c r="HE9" i="6"/>
  <c r="HE3" i="6"/>
  <c r="GY10" i="6"/>
  <c r="GZ4" i="6"/>
  <c r="HH1" i="6"/>
  <c r="HF3" i="6"/>
  <c r="GZ10" i="6"/>
  <c r="HA4" i="6"/>
  <c r="HI1" i="6"/>
  <c r="HH9" i="6"/>
  <c r="HG9" i="6"/>
  <c r="HG3" i="6"/>
  <c r="HA10" i="6"/>
  <c r="HB4" i="6"/>
  <c r="HJ1" i="6"/>
  <c r="HI9" i="6"/>
  <c r="HH3" i="6"/>
  <c r="HB10" i="6"/>
  <c r="HC4" i="6"/>
  <c r="HK1" i="6"/>
  <c r="HJ9" i="6"/>
  <c r="HI3" i="6"/>
  <c r="HC10" i="6"/>
  <c r="HD4" i="6"/>
  <c r="HL1" i="6"/>
  <c r="HK3" i="6"/>
  <c r="HK9" i="6"/>
  <c r="HJ3" i="6"/>
  <c r="HD10" i="6"/>
  <c r="HE4" i="6"/>
  <c r="HM1" i="6"/>
  <c r="HL3" i="6"/>
  <c r="HL9" i="6"/>
  <c r="HE10" i="6"/>
  <c r="HF4" i="6"/>
  <c r="HN1" i="6"/>
  <c r="HM3" i="6"/>
  <c r="HM9" i="6"/>
  <c r="HF10" i="6"/>
  <c r="HG4" i="6"/>
  <c r="HO1" i="6"/>
  <c r="HN9" i="6"/>
  <c r="HG10" i="6"/>
  <c r="HH4" i="6"/>
  <c r="HP1" i="6"/>
  <c r="HO3" i="6"/>
  <c r="HO9" i="6"/>
  <c r="HN3" i="6"/>
  <c r="HH10" i="6"/>
  <c r="HI4" i="6"/>
  <c r="HQ1" i="6"/>
  <c r="HP3" i="6"/>
  <c r="HP9" i="6"/>
  <c r="HI10" i="6"/>
  <c r="HJ4" i="6"/>
  <c r="HR1" i="6"/>
  <c r="HQ3" i="6"/>
  <c r="HQ9" i="6"/>
  <c r="HJ10" i="6"/>
  <c r="HK4" i="6"/>
  <c r="HS1" i="6"/>
  <c r="HR3" i="6"/>
  <c r="HR9" i="6"/>
  <c r="HK10" i="6"/>
  <c r="HL4" i="6"/>
  <c r="HT1" i="6"/>
  <c r="HS3" i="6"/>
  <c r="HS9" i="6"/>
  <c r="HL10" i="6"/>
  <c r="HM4" i="6"/>
  <c r="HU1" i="6"/>
  <c r="HT3" i="6"/>
  <c r="HT9" i="6"/>
  <c r="HM10" i="6"/>
  <c r="HN4" i="6"/>
  <c r="HV1" i="6"/>
  <c r="HN10" i="6"/>
  <c r="HO4" i="6"/>
  <c r="HW1" i="6"/>
  <c r="HV3" i="6"/>
  <c r="HV9" i="6"/>
  <c r="HU9" i="6"/>
  <c r="HU3" i="6"/>
  <c r="HO10" i="6"/>
  <c r="HP4" i="6"/>
  <c r="HX1" i="6"/>
  <c r="HW3" i="6"/>
  <c r="HW9" i="6"/>
  <c r="HP10" i="6"/>
  <c r="HQ4" i="6"/>
  <c r="HY1" i="6"/>
  <c r="HX3" i="6"/>
  <c r="HQ10" i="6"/>
  <c r="HR4" i="6"/>
  <c r="HX9" i="6"/>
  <c r="HZ1" i="6"/>
  <c r="HR10" i="6"/>
  <c r="HS4" i="6"/>
  <c r="IA1" i="6"/>
  <c r="HY9" i="6"/>
  <c r="HY3" i="6"/>
  <c r="HS10" i="6"/>
  <c r="HT4" i="6"/>
  <c r="IB1" i="6"/>
  <c r="HZ9" i="6"/>
  <c r="HZ3" i="6"/>
  <c r="HT10" i="6"/>
  <c r="HU4" i="6"/>
  <c r="IC1" i="6"/>
  <c r="IB3" i="6"/>
  <c r="IB9" i="6"/>
  <c r="IA9" i="6"/>
  <c r="IA3" i="6"/>
  <c r="HU10" i="6"/>
  <c r="HV4" i="6"/>
  <c r="ID1" i="6"/>
  <c r="IC3" i="6"/>
  <c r="IC9" i="6"/>
  <c r="HV10" i="6"/>
  <c r="HW4" i="6"/>
  <c r="IE1" i="6"/>
  <c r="ID3" i="6"/>
  <c r="HW10" i="6"/>
  <c r="HX4" i="6"/>
  <c r="ID9" i="6"/>
  <c r="IF1" i="6"/>
  <c r="HX10" i="6"/>
  <c r="HY4" i="6"/>
  <c r="IG1" i="6"/>
  <c r="IF9" i="6"/>
  <c r="IE9" i="6"/>
  <c r="IE3" i="6"/>
  <c r="HY10" i="6"/>
  <c r="HZ4" i="6"/>
  <c r="IH1" i="6"/>
  <c r="IG9" i="6"/>
  <c r="IF3" i="6"/>
  <c r="HZ10" i="6"/>
  <c r="IA4" i="6"/>
  <c r="II1" i="6"/>
  <c r="IH3" i="6"/>
  <c r="IH9" i="6"/>
  <c r="IG3" i="6"/>
  <c r="IA10" i="6"/>
  <c r="IB4" i="6"/>
  <c r="IJ1" i="6"/>
  <c r="II9" i="6"/>
  <c r="IB10" i="6"/>
  <c r="IC4" i="6"/>
  <c r="IK1" i="6"/>
  <c r="IJ3" i="6"/>
  <c r="IJ9" i="6"/>
  <c r="II3" i="6"/>
  <c r="IC10" i="6"/>
  <c r="ID4" i="6"/>
  <c r="IL1" i="6"/>
  <c r="IK9" i="6"/>
  <c r="ID10" i="6"/>
  <c r="IE4" i="6"/>
  <c r="IM1" i="6"/>
  <c r="IL3" i="6"/>
  <c r="IL9" i="6"/>
  <c r="IK3" i="6"/>
  <c r="IE10" i="6"/>
  <c r="IF4" i="6"/>
  <c r="IN1" i="6"/>
  <c r="IM3" i="6"/>
  <c r="IM9" i="6"/>
  <c r="IF10" i="6"/>
  <c r="IG4" i="6"/>
  <c r="IO1" i="6"/>
  <c r="IN3" i="6"/>
  <c r="IN9" i="6"/>
  <c r="IG10" i="6"/>
  <c r="IH4" i="6"/>
  <c r="IP1" i="6"/>
  <c r="IO9" i="6"/>
  <c r="IH10" i="6"/>
  <c r="II4" i="6"/>
  <c r="IQ1" i="6"/>
  <c r="IP3" i="6"/>
  <c r="IP9" i="6"/>
  <c r="IO3" i="6"/>
  <c r="II10" i="6"/>
  <c r="IJ4" i="6"/>
  <c r="IR1" i="6"/>
  <c r="IJ10" i="6"/>
  <c r="IK4" i="6"/>
  <c r="IS1" i="6"/>
  <c r="IR9" i="6"/>
  <c r="IQ9" i="6"/>
  <c r="IQ3" i="6"/>
  <c r="IK10" i="6"/>
  <c r="IL4" i="6"/>
  <c r="IT1" i="6"/>
  <c r="IR3" i="6"/>
  <c r="IL10" i="6"/>
  <c r="IM4" i="6"/>
  <c r="IU1" i="6"/>
  <c r="IS9" i="6"/>
  <c r="IS3" i="6"/>
  <c r="IM10" i="6"/>
  <c r="IN4" i="6"/>
  <c r="IV1" i="6"/>
  <c r="IT9" i="6"/>
  <c r="IT3" i="6"/>
  <c r="IN10" i="6"/>
  <c r="IO4" i="6"/>
  <c r="IW1" i="6"/>
  <c r="IV3" i="6"/>
  <c r="IV9" i="6"/>
  <c r="IU9" i="6"/>
  <c r="IU3" i="6"/>
  <c r="IO10" i="6"/>
  <c r="IP4" i="6"/>
  <c r="IX1" i="6"/>
  <c r="IW9" i="6"/>
  <c r="IP10" i="6"/>
  <c r="IQ4" i="6"/>
  <c r="IY1" i="6"/>
  <c r="IX9" i="6"/>
  <c r="IW3" i="6"/>
  <c r="IQ10" i="6"/>
  <c r="IR4" i="6"/>
  <c r="IZ1" i="6"/>
  <c r="IY9" i="6"/>
  <c r="IX3" i="6"/>
  <c r="IR10" i="6"/>
  <c r="IS4" i="6"/>
  <c r="JA1" i="6"/>
  <c r="IZ3" i="6"/>
  <c r="IZ9" i="6"/>
  <c r="IY3" i="6"/>
  <c r="IS10" i="6"/>
  <c r="IT4" i="6"/>
  <c r="JB1" i="6"/>
  <c r="IT10" i="6"/>
  <c r="IU4" i="6"/>
  <c r="JC1" i="6"/>
  <c r="JB9" i="6"/>
  <c r="JA9" i="6"/>
  <c r="JA3" i="6"/>
  <c r="IU10" i="6"/>
  <c r="IV4" i="6"/>
  <c r="JD1" i="6"/>
  <c r="JC3" i="6"/>
  <c r="JC9" i="6"/>
  <c r="JB3" i="6"/>
  <c r="IV10" i="6"/>
  <c r="IW4" i="6"/>
  <c r="JE1" i="6"/>
  <c r="IW10" i="6"/>
  <c r="IX4" i="6"/>
  <c r="JF1" i="6"/>
  <c r="JE3" i="6"/>
  <c r="JE9" i="6"/>
  <c r="JD9" i="6"/>
  <c r="JD3" i="6"/>
  <c r="IX10" i="6"/>
  <c r="IY4" i="6"/>
  <c r="JG1" i="6"/>
  <c r="JF3" i="6"/>
  <c r="JF9" i="6"/>
  <c r="IY10" i="6"/>
  <c r="IZ4" i="6"/>
  <c r="JH1" i="6"/>
  <c r="JG3" i="6"/>
  <c r="JG9" i="6"/>
  <c r="IZ10" i="6"/>
  <c r="JA4" i="6"/>
  <c r="JI1" i="6"/>
  <c r="JH3" i="6"/>
  <c r="JH9" i="6"/>
  <c r="JA10" i="6"/>
  <c r="JB4" i="6"/>
  <c r="JJ1" i="6"/>
  <c r="JI3" i="6"/>
  <c r="JI9" i="6"/>
  <c r="JB10" i="6"/>
  <c r="JC4" i="6"/>
  <c r="JK1" i="6"/>
  <c r="JJ3" i="6"/>
  <c r="JJ9" i="6"/>
  <c r="JC10" i="6"/>
  <c r="JD4" i="6"/>
  <c r="JL1" i="6"/>
  <c r="JK3" i="6"/>
  <c r="JK9" i="6"/>
  <c r="JD10" i="6"/>
  <c r="JE4" i="6"/>
  <c r="JM1" i="6"/>
  <c r="JL3" i="6"/>
  <c r="JL9" i="6"/>
  <c r="JE10" i="6"/>
  <c r="JF4" i="6"/>
  <c r="JN1" i="6"/>
  <c r="JM3" i="6"/>
  <c r="JF10" i="6"/>
  <c r="JG4" i="6"/>
  <c r="JM9" i="6"/>
  <c r="JO1" i="6"/>
  <c r="JN9" i="6"/>
  <c r="JG10" i="6"/>
  <c r="JH4" i="6"/>
  <c r="JP1" i="6"/>
  <c r="JO9" i="6"/>
  <c r="JN3" i="6"/>
  <c r="JH10" i="6"/>
  <c r="JI4" i="6"/>
  <c r="JQ1" i="6"/>
  <c r="JP3" i="6"/>
  <c r="JO3" i="6"/>
  <c r="JI10" i="6"/>
  <c r="JJ4" i="6"/>
  <c r="JP9" i="6"/>
  <c r="JR1" i="6"/>
  <c r="JQ9" i="6"/>
  <c r="JJ10" i="6"/>
  <c r="JK4" i="6"/>
  <c r="JS1" i="6"/>
  <c r="JR3" i="6"/>
  <c r="JQ3" i="6"/>
  <c r="JK10" i="6"/>
  <c r="JL4" i="6"/>
  <c r="JR9" i="6"/>
  <c r="JT1" i="6"/>
  <c r="JS9" i="6"/>
  <c r="JL10" i="6"/>
  <c r="JM4" i="6"/>
  <c r="JU1" i="6"/>
  <c r="JT9" i="6"/>
  <c r="JS3" i="6"/>
  <c r="JM10" i="6"/>
  <c r="JN4" i="6"/>
  <c r="JV1" i="6"/>
  <c r="JU3" i="6"/>
  <c r="JU9" i="6"/>
  <c r="JT3" i="6"/>
  <c r="JN10" i="6"/>
  <c r="JO4" i="6"/>
  <c r="JW1" i="6"/>
  <c r="JV9" i="6"/>
  <c r="JO10" i="6"/>
  <c r="JP4" i="6"/>
  <c r="JW3" i="6"/>
  <c r="JX1" i="6"/>
  <c r="JW9" i="6"/>
  <c r="JV3" i="6"/>
  <c r="JP10" i="6"/>
  <c r="JQ4" i="6"/>
  <c r="JY1" i="6"/>
  <c r="JX3" i="6"/>
  <c r="JX9" i="6"/>
  <c r="JQ10" i="6"/>
  <c r="JR4" i="6"/>
  <c r="JZ1" i="6"/>
  <c r="JY3" i="6"/>
  <c r="JY9" i="6"/>
  <c r="JR10" i="6"/>
  <c r="JS4" i="6"/>
  <c r="KA1" i="6"/>
  <c r="JZ3" i="6"/>
  <c r="JZ9" i="6"/>
  <c r="JS10" i="6"/>
  <c r="JT4" i="6"/>
  <c r="KB1" i="6"/>
  <c r="KA3" i="6"/>
  <c r="KA9" i="6"/>
  <c r="JT10" i="6"/>
  <c r="JU4" i="6"/>
  <c r="KC1" i="6"/>
  <c r="KB3" i="6"/>
  <c r="KB9" i="6"/>
  <c r="JU10" i="6"/>
  <c r="JV4" i="6"/>
  <c r="KD1" i="6"/>
  <c r="KC3" i="6"/>
  <c r="KC9" i="6"/>
  <c r="JV10" i="6"/>
  <c r="JW4" i="6"/>
  <c r="KE1" i="6"/>
  <c r="KD3" i="6"/>
  <c r="KD9" i="6"/>
  <c r="JW10" i="6"/>
  <c r="JX4" i="6"/>
  <c r="KF1" i="6"/>
  <c r="JX10" i="6"/>
  <c r="JY4" i="6"/>
  <c r="KG1" i="6"/>
  <c r="KF3" i="6"/>
  <c r="KE9" i="6"/>
  <c r="KE3" i="6"/>
  <c r="JY10" i="6"/>
  <c r="JZ4" i="6"/>
  <c r="KF9" i="6"/>
  <c r="KH1" i="6"/>
  <c r="KG3" i="6"/>
  <c r="KG9" i="6"/>
  <c r="JZ10" i="6"/>
  <c r="KA4" i="6"/>
  <c r="KI1" i="6"/>
  <c r="KH3" i="6"/>
  <c r="KH9" i="6"/>
  <c r="KA10" i="6"/>
  <c r="KB4" i="6"/>
  <c r="KJ1" i="6"/>
  <c r="KI3" i="6"/>
  <c r="KI9" i="6"/>
  <c r="KB10" i="6"/>
  <c r="KC4" i="6"/>
  <c r="KK1" i="6"/>
  <c r="KJ9" i="6"/>
  <c r="KC10" i="6"/>
  <c r="KD4" i="6"/>
  <c r="KL1" i="6"/>
  <c r="KK9" i="6"/>
  <c r="KJ3" i="6"/>
  <c r="KD10" i="6"/>
  <c r="KE4" i="6"/>
  <c r="KM1" i="6"/>
  <c r="KL9" i="6"/>
  <c r="KK3" i="6"/>
  <c r="KE10" i="6"/>
  <c r="KF4" i="6"/>
  <c r="KN1" i="6"/>
  <c r="KM9" i="6"/>
  <c r="KL3" i="6"/>
  <c r="KF10" i="6"/>
  <c r="KG4" i="6"/>
  <c r="KO1" i="6"/>
  <c r="KN9" i="6"/>
  <c r="KM3" i="6"/>
  <c r="KG10" i="6"/>
  <c r="KH4" i="6"/>
  <c r="KP1" i="6"/>
  <c r="KO9" i="6"/>
  <c r="KN3" i="6"/>
  <c r="KH10" i="6"/>
  <c r="KI4" i="6"/>
  <c r="KQ1" i="6"/>
  <c r="KP9" i="6"/>
  <c r="KO3" i="6"/>
  <c r="KI10" i="6"/>
  <c r="KJ4" i="6"/>
  <c r="KR1" i="6"/>
  <c r="KQ9" i="6"/>
  <c r="KP3" i="6"/>
  <c r="KJ10" i="6"/>
  <c r="KK4" i="6"/>
  <c r="KS1" i="6"/>
  <c r="KQ3" i="6"/>
  <c r="KK10" i="6"/>
  <c r="KL4" i="6"/>
  <c r="KT1" i="6"/>
  <c r="KS3" i="6"/>
  <c r="KS9" i="6"/>
  <c r="KR9" i="6"/>
  <c r="KR3" i="6"/>
  <c r="KL10" i="6"/>
  <c r="KM4" i="6"/>
  <c r="KU1" i="6"/>
  <c r="KT3" i="6"/>
  <c r="KT9" i="6"/>
  <c r="KM10" i="6"/>
  <c r="KN4" i="6"/>
  <c r="KV1" i="6"/>
  <c r="KU9" i="6"/>
  <c r="KU3" i="6"/>
  <c r="KN10" i="6"/>
  <c r="KO4" i="6"/>
  <c r="KW1" i="6"/>
  <c r="KV3" i="6"/>
  <c r="KV9" i="6"/>
  <c r="KO10" i="6"/>
  <c r="KP4" i="6"/>
  <c r="KX1" i="6"/>
  <c r="KW3" i="6"/>
  <c r="KW9" i="6"/>
  <c r="KP10" i="6"/>
  <c r="KQ4" i="6"/>
  <c r="KY1" i="6"/>
  <c r="KX3" i="6"/>
  <c r="KX9" i="6"/>
  <c r="KQ10" i="6"/>
  <c r="KR4" i="6"/>
  <c r="KZ1" i="6"/>
  <c r="KY3" i="6"/>
  <c r="KY9" i="6"/>
  <c r="KR10" i="6"/>
  <c r="KS4" i="6"/>
  <c r="LA1" i="6"/>
  <c r="KZ3" i="6"/>
  <c r="KZ9" i="6"/>
  <c r="KS10" i="6"/>
  <c r="KT4" i="6"/>
  <c r="LB1" i="6"/>
  <c r="LA3" i="6"/>
  <c r="LA9" i="6"/>
  <c r="KT10" i="6"/>
  <c r="KU4" i="6"/>
  <c r="LC1" i="6"/>
  <c r="LB9" i="6"/>
  <c r="KU10" i="6"/>
  <c r="KV4" i="6"/>
  <c r="LD1" i="6"/>
  <c r="LC3" i="6"/>
  <c r="LC9" i="6"/>
  <c r="LB3" i="6"/>
  <c r="KV10" i="6"/>
  <c r="KW4" i="6"/>
  <c r="LD3" i="6"/>
  <c r="D3" i="6"/>
  <c r="LD9" i="6"/>
  <c r="D9" i="6"/>
  <c r="KW10" i="6"/>
  <c r="KX4" i="6"/>
  <c r="KX10" i="6"/>
  <c r="KY4" i="6"/>
  <c r="KY10" i="6"/>
  <c r="KZ4" i="6"/>
  <c r="KZ10" i="6"/>
  <c r="LA4" i="6"/>
  <c r="LA10" i="6"/>
  <c r="LB4" i="6"/>
  <c r="LB10" i="6"/>
  <c r="LC4" i="6"/>
  <c r="LC10" i="6"/>
  <c r="LD4" i="6"/>
  <c r="LD10" i="6"/>
  <c r="J40" i="2"/>
  <c r="W66" i="2"/>
  <c r="I48" i="2"/>
  <c r="V68" i="2" s="1"/>
  <c r="K45" i="2"/>
  <c r="K49" i="2"/>
  <c r="I52" i="2" s="1"/>
  <c r="K48" i="2"/>
  <c r="G25" i="14"/>
  <c r="M9" i="2" l="1"/>
  <c r="I44" i="2"/>
  <c r="V67" i="2" s="1"/>
  <c r="K46" i="2"/>
  <c r="I54" i="2" s="1"/>
  <c r="K54" i="2" s="1"/>
  <c r="JW17" i="6"/>
  <c r="U80" i="18"/>
  <c r="U75" i="18"/>
  <c r="U86" i="18"/>
  <c r="U76" i="18"/>
  <c r="GL17" i="6"/>
  <c r="H61" i="18"/>
  <c r="FK5" i="6" s="1"/>
  <c r="HY17" i="6"/>
  <c r="U151" i="18"/>
  <c r="Q100" i="18"/>
  <c r="U4" i="5" s="1"/>
  <c r="Q99" i="18"/>
  <c r="U44" i="18"/>
  <c r="V44" i="18" s="1"/>
  <c r="H57" i="18"/>
  <c r="Q101" i="18"/>
  <c r="H60" i="18"/>
  <c r="J11" i="3"/>
  <c r="Q98" i="18"/>
  <c r="U50" i="18"/>
  <c r="Z22" i="18"/>
  <c r="Z23" i="18" s="1"/>
  <c r="Z24" i="18" s="1"/>
  <c r="X141" i="18"/>
  <c r="U134" i="18"/>
  <c r="V134" i="18" s="1"/>
  <c r="J2" i="18"/>
  <c r="J4" i="18" s="1"/>
  <c r="AD38" i="18"/>
  <c r="AD39" i="18" s="1"/>
  <c r="H36" i="18"/>
  <c r="JX5" i="6" s="1"/>
  <c r="I2" i="18"/>
  <c r="X5" i="6"/>
  <c r="U123" i="18"/>
  <c r="H18" i="3"/>
  <c r="J18" i="3" s="1"/>
  <c r="U116" i="18"/>
  <c r="U118" i="18"/>
  <c r="U121" i="18"/>
  <c r="U122" i="18"/>
  <c r="U128" i="18"/>
  <c r="U107" i="18"/>
  <c r="U117" i="18"/>
  <c r="U110" i="18"/>
  <c r="U109" i="18"/>
  <c r="U108" i="18"/>
  <c r="U125" i="18"/>
  <c r="U129" i="18"/>
  <c r="BH5" i="6"/>
  <c r="Y5" i="6"/>
  <c r="U119" i="18"/>
  <c r="G5" i="6"/>
  <c r="FH17" i="6"/>
  <c r="IK17" i="6"/>
  <c r="HJ17" i="6"/>
  <c r="EB17" i="6"/>
  <c r="HN17" i="6"/>
  <c r="U120" i="18"/>
  <c r="U19" i="18"/>
  <c r="U18" i="18"/>
  <c r="U17" i="18"/>
  <c r="H10" i="3"/>
  <c r="X52" i="18"/>
  <c r="KV5" i="6"/>
  <c r="KF5" i="6"/>
  <c r="JH5" i="6"/>
  <c r="IB5" i="6"/>
  <c r="GE5" i="6"/>
  <c r="GB5" i="6"/>
  <c r="FP5" i="6"/>
  <c r="ER5" i="6"/>
  <c r="EM5" i="6"/>
  <c r="EB5" i="6"/>
  <c r="DL5" i="6"/>
  <c r="CV5" i="6"/>
  <c r="CQ5" i="6"/>
  <c r="BX5" i="6"/>
  <c r="AM5" i="6"/>
  <c r="AI5" i="6"/>
  <c r="JP5" i="6"/>
  <c r="GF5" i="6"/>
  <c r="FH5" i="6"/>
  <c r="EY5" i="6"/>
  <c r="EQ5" i="6"/>
  <c r="DT5" i="6"/>
  <c r="DD5" i="6"/>
  <c r="CN5" i="6"/>
  <c r="CF5" i="6"/>
  <c r="BP5" i="6"/>
  <c r="AJ5" i="6"/>
  <c r="AF5" i="6"/>
  <c r="M5" i="6"/>
  <c r="U92" i="18"/>
  <c r="V75" i="18" s="1"/>
  <c r="IG5" i="6"/>
  <c r="KH5" i="6"/>
  <c r="BU5" i="6"/>
  <c r="FR5" i="6"/>
  <c r="EL5" i="6"/>
  <c r="DN5" i="6"/>
  <c r="BN5" i="6"/>
  <c r="O5" i="6"/>
  <c r="H16" i="3"/>
  <c r="J16" i="3" s="1"/>
  <c r="Q97" i="18"/>
  <c r="X94" i="18" s="1"/>
  <c r="IO5" i="6"/>
  <c r="GK5" i="6"/>
  <c r="AV5" i="6"/>
  <c r="FZ5" i="6"/>
  <c r="CX5" i="6"/>
  <c r="V5" i="6"/>
  <c r="IL5" i="6"/>
  <c r="ET5" i="6"/>
  <c r="N5" i="6"/>
  <c r="J10" i="3"/>
  <c r="J19" i="3"/>
  <c r="KL5" i="6"/>
  <c r="JR5" i="6"/>
  <c r="FJ5" i="6"/>
  <c r="AG5" i="6"/>
  <c r="AA5" i="6"/>
  <c r="KU5" i="6"/>
  <c r="JG5" i="6"/>
  <c r="IY5" i="6"/>
  <c r="IT5" i="6"/>
  <c r="II5" i="6"/>
  <c r="ID5" i="6"/>
  <c r="IA5" i="6"/>
  <c r="HY5" i="6"/>
  <c r="HS5" i="6"/>
  <c r="HK5" i="6"/>
  <c r="HF5" i="6"/>
  <c r="GY5" i="6"/>
  <c r="FW5" i="6"/>
  <c r="EI5" i="6"/>
  <c r="EA5" i="6"/>
  <c r="DK5" i="6"/>
  <c r="CU5" i="6"/>
  <c r="CP5" i="6"/>
  <c r="BW5" i="6"/>
  <c r="BO5" i="6"/>
  <c r="Q38" i="18"/>
  <c r="HT5" i="6"/>
  <c r="FE5" i="6"/>
  <c r="LA5" i="6"/>
  <c r="IW5" i="6"/>
  <c r="HI5" i="6"/>
  <c r="LC5" i="6"/>
  <c r="KR5" i="6"/>
  <c r="KQ5" i="6"/>
  <c r="KI5" i="6"/>
  <c r="JO5" i="6"/>
  <c r="JD5" i="6"/>
  <c r="IQ5" i="6"/>
  <c r="HC5" i="6"/>
  <c r="GA5" i="6"/>
  <c r="FG5" i="6"/>
  <c r="EV5" i="6"/>
  <c r="DS5" i="6"/>
  <c r="DC5" i="6"/>
  <c r="CY5" i="6"/>
  <c r="H5" i="6"/>
  <c r="V6" i="18"/>
  <c r="Q102" i="18"/>
  <c r="IZ5" i="6"/>
  <c r="HD5" i="6"/>
  <c r="FU5" i="6"/>
  <c r="DY5" i="6"/>
  <c r="DI5" i="6"/>
  <c r="JB5" i="6"/>
  <c r="FY5" i="6"/>
  <c r="DA5" i="6"/>
  <c r="CC5" i="6"/>
  <c r="BB5" i="6"/>
  <c r="JJ5" i="6"/>
  <c r="CK5" i="6"/>
  <c r="W5" i="6"/>
  <c r="J20" i="3"/>
  <c r="IR5" i="6"/>
  <c r="GS5" i="6"/>
  <c r="EJ5" i="6"/>
  <c r="BE5" i="6"/>
  <c r="P5" i="6"/>
  <c r="GE17" i="6"/>
  <c r="KO5" i="6"/>
  <c r="JU5" i="6"/>
  <c r="HA5" i="6"/>
  <c r="R5" i="6"/>
  <c r="JZ5" i="6"/>
  <c r="HN5" i="6"/>
  <c r="GX5" i="6"/>
  <c r="ES5" i="6"/>
  <c r="ED5" i="6"/>
  <c r="CH5" i="6"/>
  <c r="BR5" i="6"/>
  <c r="AD5" i="6"/>
  <c r="KB5" i="6"/>
  <c r="HP5" i="6"/>
  <c r="GM5" i="6"/>
  <c r="FT5" i="6"/>
  <c r="EU5" i="6"/>
  <c r="CB5" i="6"/>
  <c r="BL5" i="6"/>
  <c r="BC5" i="6"/>
  <c r="AN5" i="6"/>
  <c r="AE5" i="6"/>
  <c r="T5" i="6"/>
  <c r="I5" i="6"/>
  <c r="LD5" i="6"/>
  <c r="KN5" i="6"/>
  <c r="KE5" i="6"/>
  <c r="JL5" i="6"/>
  <c r="IV5" i="6"/>
  <c r="IN5" i="6"/>
  <c r="IF5" i="6"/>
  <c r="GJ5" i="6"/>
  <c r="GG5" i="6"/>
  <c r="DP5" i="6"/>
  <c r="DE5" i="6"/>
  <c r="CZ5" i="6"/>
  <c r="BD5" i="6"/>
  <c r="AK5" i="6"/>
  <c r="K5" i="6"/>
  <c r="J5" i="6"/>
  <c r="H21" i="3"/>
  <c r="J21" i="3" s="1"/>
  <c r="Q39" i="18"/>
  <c r="CT17" i="6"/>
  <c r="J23" i="3"/>
  <c r="EG5" i="6"/>
  <c r="JM5" i="6"/>
  <c r="HM5" i="6"/>
  <c r="GW5" i="6"/>
  <c r="KX5" i="6"/>
  <c r="HV5" i="6"/>
  <c r="FB5" i="6"/>
  <c r="KZ5" i="6"/>
  <c r="KJ5" i="6"/>
  <c r="JT5" i="6"/>
  <c r="JC5" i="6"/>
  <c r="GR5" i="6"/>
  <c r="FO5" i="6"/>
  <c r="FD5" i="6"/>
  <c r="BT5" i="6"/>
  <c r="AZ5" i="6"/>
  <c r="KW5" i="6"/>
  <c r="KG5" i="6"/>
  <c r="JY5" i="6"/>
  <c r="JI5" i="6"/>
  <c r="IK5" i="6"/>
  <c r="HX5" i="6"/>
  <c r="HU5" i="6"/>
  <c r="GO5" i="6"/>
  <c r="GC5" i="6"/>
  <c r="FQ5" i="6"/>
  <c r="FL5" i="6"/>
  <c r="FA5" i="6"/>
  <c r="CJ5" i="6"/>
  <c r="CG5" i="6"/>
  <c r="BY5" i="6"/>
  <c r="BQ5" i="6"/>
  <c r="BI5" i="6"/>
  <c r="AW5" i="6"/>
  <c r="AB5" i="6"/>
  <c r="GK17" i="6"/>
  <c r="GX17" i="6"/>
  <c r="IA17" i="6"/>
  <c r="GS17" i="6"/>
  <c r="CM17" i="6"/>
  <c r="FM17" i="6"/>
  <c r="AN17" i="6"/>
  <c r="BV17" i="6"/>
  <c r="IN17" i="6"/>
  <c r="GI17" i="6"/>
  <c r="JM17" i="6"/>
  <c r="HK17" i="6"/>
  <c r="HE17" i="6"/>
  <c r="EM17" i="6"/>
  <c r="Q17" i="6"/>
  <c r="FO17" i="6"/>
  <c r="AV17" i="6"/>
  <c r="BC17" i="6"/>
  <c r="BY17" i="6"/>
  <c r="ES17" i="6"/>
  <c r="F17" i="6"/>
  <c r="IZ17" i="6"/>
  <c r="IX17" i="6"/>
  <c r="ER17" i="6"/>
  <c r="HG17" i="6"/>
  <c r="Z17" i="6"/>
  <c r="GP17" i="6"/>
  <c r="KN17" i="6"/>
  <c r="DI17" i="6"/>
  <c r="HZ17" i="6"/>
  <c r="JH17" i="6"/>
  <c r="EL17" i="6"/>
  <c r="KU17" i="6"/>
  <c r="FX17" i="6"/>
  <c r="JJ17" i="6"/>
  <c r="O17" i="6"/>
  <c r="KA17" i="6"/>
  <c r="FD17" i="6"/>
  <c r="EE17" i="6"/>
  <c r="F5" i="3"/>
  <c r="J9" i="3"/>
  <c r="KS17" i="6"/>
  <c r="U17" i="6"/>
  <c r="KR17" i="6"/>
  <c r="FV17" i="6"/>
  <c r="AA17" i="6"/>
  <c r="GF17" i="6"/>
  <c r="L17" i="6"/>
  <c r="GA17" i="6"/>
  <c r="GN17" i="6"/>
  <c r="IC17" i="6"/>
  <c r="AG17" i="6"/>
  <c r="AI17" i="6"/>
  <c r="P17" i="6"/>
  <c r="IQ17" i="6"/>
  <c r="CF17" i="6"/>
  <c r="CI17" i="6"/>
  <c r="AS17" i="6"/>
  <c r="DO17" i="6"/>
  <c r="Q4" i="5"/>
  <c r="GC17" i="6"/>
  <c r="CX17" i="6"/>
  <c r="EC17" i="6"/>
  <c r="IO17" i="6"/>
  <c r="CD17" i="6"/>
  <c r="IY17" i="6"/>
  <c r="BF17" i="6"/>
  <c r="FC17" i="6"/>
  <c r="AY17" i="6"/>
  <c r="FN17" i="6"/>
  <c r="DZ17" i="6"/>
  <c r="BN17" i="6"/>
  <c r="AK17" i="6"/>
  <c r="S17" i="6"/>
  <c r="IB17" i="6"/>
  <c r="JT17" i="6"/>
  <c r="IT17" i="6"/>
  <c r="AL17" i="6"/>
  <c r="ED17" i="6"/>
  <c r="KW17" i="6"/>
  <c r="JP17" i="6"/>
  <c r="HW17" i="6"/>
  <c r="JK17" i="6"/>
  <c r="EK17" i="6"/>
  <c r="JI17" i="6"/>
  <c r="BB17" i="6"/>
  <c r="CU17" i="6"/>
  <c r="HO17" i="6"/>
  <c r="BS17" i="6"/>
  <c r="AU17" i="6"/>
  <c r="AJ17" i="6"/>
  <c r="DG17" i="6"/>
  <c r="W17" i="6"/>
  <c r="CS17" i="6"/>
  <c r="GY17" i="6"/>
  <c r="AW17" i="6"/>
  <c r="AE17" i="6"/>
  <c r="GV17" i="6"/>
  <c r="LC17" i="6"/>
  <c r="BU17" i="6"/>
  <c r="CY17" i="6"/>
  <c r="GW17" i="6"/>
  <c r="BM17" i="6"/>
  <c r="BQ17" i="6"/>
  <c r="DX17" i="6"/>
  <c r="HQ17" i="6"/>
  <c r="DS17" i="6"/>
  <c r="JQ17" i="6"/>
  <c r="X17" i="6"/>
  <c r="EF17" i="6"/>
  <c r="DA17" i="6"/>
  <c r="HH17" i="6"/>
  <c r="IW17" i="6"/>
  <c r="HF17" i="6"/>
  <c r="IE17" i="6"/>
  <c r="GJ17" i="6"/>
  <c r="IG17" i="6"/>
  <c r="DM17" i="6"/>
  <c r="KP17" i="6"/>
  <c r="Y17" i="6"/>
  <c r="T17" i="6"/>
  <c r="HI17" i="6"/>
  <c r="AB17" i="6"/>
  <c r="BI17" i="6"/>
  <c r="CO17" i="6"/>
  <c r="AX17" i="6"/>
  <c r="BJ17" i="6"/>
  <c r="JF17" i="6"/>
  <c r="EA17" i="6"/>
  <c r="ID17" i="6"/>
  <c r="FA17" i="6"/>
  <c r="KH17" i="6"/>
  <c r="JR17" i="6"/>
  <c r="EN17" i="6"/>
  <c r="EG17" i="6"/>
  <c r="JV17" i="6"/>
  <c r="JU17" i="6"/>
  <c r="HR17" i="6"/>
  <c r="AR17" i="6"/>
  <c r="FP17" i="6"/>
  <c r="AF17" i="6"/>
  <c r="HP17" i="6"/>
  <c r="FQ17" i="6"/>
  <c r="BE17" i="6"/>
  <c r="GU17" i="6"/>
  <c r="FJ17" i="6"/>
  <c r="HU17" i="6"/>
  <c r="FI17" i="6"/>
  <c r="AQ17" i="6"/>
  <c r="IH17" i="6"/>
  <c r="FY17" i="6"/>
  <c r="KJ17" i="6"/>
  <c r="IP17" i="6"/>
  <c r="DN17" i="6"/>
  <c r="DJ17" i="6"/>
  <c r="FE17" i="6"/>
  <c r="JX17" i="6"/>
  <c r="JA17" i="6"/>
  <c r="DC17" i="6"/>
  <c r="LA17" i="6"/>
  <c r="GR17" i="6"/>
  <c r="R17" i="6"/>
  <c r="JO17" i="6"/>
  <c r="EO17" i="6"/>
  <c r="KQ17" i="6"/>
  <c r="K17" i="6"/>
  <c r="JG17" i="6"/>
  <c r="FK17" i="6"/>
  <c r="IV17" i="6"/>
  <c r="CG17" i="6"/>
  <c r="DY17" i="6"/>
  <c r="JS17" i="6"/>
  <c r="HB17" i="6"/>
  <c r="DW17" i="6"/>
  <c r="AM17" i="6"/>
  <c r="EV17" i="6"/>
  <c r="FT17" i="6"/>
  <c r="IU17" i="6"/>
  <c r="GG17" i="6"/>
  <c r="KC17" i="6"/>
  <c r="HT17" i="6"/>
  <c r="FB17" i="6"/>
  <c r="HM17" i="6"/>
  <c r="AP17" i="6"/>
  <c r="KF17" i="6"/>
  <c r="EU17" i="6"/>
  <c r="GH17" i="6"/>
  <c r="DD17" i="6"/>
  <c r="KB17" i="6"/>
  <c r="EI17" i="6"/>
  <c r="EY17" i="6"/>
  <c r="IM17" i="6"/>
  <c r="II17" i="6"/>
  <c r="KY17" i="6"/>
  <c r="JL17" i="6"/>
  <c r="JZ17" i="6"/>
  <c r="KI17" i="6"/>
  <c r="KO17" i="6"/>
  <c r="KX17" i="6"/>
  <c r="H17" i="6"/>
  <c r="IS17" i="6"/>
  <c r="CR17" i="6"/>
  <c r="GB17" i="6"/>
  <c r="AC17" i="6"/>
  <c r="CA17" i="6"/>
  <c r="KD17" i="6"/>
  <c r="CB17" i="6"/>
  <c r="LB17" i="6"/>
  <c r="CK17" i="6"/>
  <c r="HS17" i="6"/>
  <c r="IR17" i="6"/>
  <c r="DE17" i="6"/>
  <c r="V17" i="6"/>
  <c r="CQ17" i="6"/>
  <c r="AD17" i="6"/>
  <c r="DT17" i="6"/>
  <c r="DV17" i="6"/>
  <c r="DH17" i="6"/>
  <c r="HX17" i="6"/>
  <c r="EQ17" i="6"/>
  <c r="FZ17" i="6"/>
  <c r="BD17" i="6"/>
  <c r="DB17" i="6"/>
  <c r="EW17" i="6"/>
  <c r="DK17" i="6"/>
  <c r="DR17" i="6"/>
  <c r="KG17" i="6"/>
  <c r="JD17" i="6"/>
  <c r="BR17" i="6"/>
  <c r="BL17" i="6"/>
  <c r="EJ17" i="6"/>
  <c r="HD17" i="6"/>
  <c r="JN17" i="6"/>
  <c r="KL17" i="6"/>
  <c r="G17" i="6"/>
  <c r="FF17" i="6"/>
  <c r="FU17" i="6"/>
  <c r="GD17" i="6"/>
  <c r="JB17" i="6"/>
  <c r="GO17" i="6"/>
  <c r="DF17" i="6"/>
  <c r="HC17" i="6"/>
  <c r="BW17" i="6"/>
  <c r="KM17" i="6"/>
  <c r="KV17" i="6"/>
  <c r="KK17" i="6"/>
  <c r="JE17" i="6"/>
  <c r="AT17" i="6"/>
  <c r="CL17" i="6"/>
  <c r="CC17" i="6"/>
  <c r="EX17" i="6"/>
  <c r="IJ17" i="6"/>
  <c r="FS17" i="6"/>
  <c r="CN17" i="6"/>
  <c r="GM17" i="6"/>
  <c r="DU17" i="6"/>
  <c r="GZ17" i="6"/>
  <c r="DP17" i="6"/>
  <c r="FG17" i="6"/>
  <c r="IF17" i="6"/>
  <c r="BO17" i="6"/>
  <c r="CW17" i="6"/>
  <c r="GQ17" i="6"/>
  <c r="AO17" i="6"/>
  <c r="BH17" i="6"/>
  <c r="BX17" i="6"/>
  <c r="I17" i="6"/>
  <c r="EH17" i="6"/>
  <c r="KZ17" i="6"/>
  <c r="FW17" i="6"/>
  <c r="CP17" i="6"/>
  <c r="N17" i="6"/>
  <c r="BZ17" i="6"/>
  <c r="CJ17" i="6"/>
  <c r="DL17" i="6"/>
  <c r="FL17" i="6"/>
  <c r="IL17" i="6"/>
  <c r="GT17" i="6"/>
  <c r="AZ17" i="6"/>
  <c r="CH17" i="6"/>
  <c r="LD17" i="6"/>
  <c r="P4" i="5"/>
  <c r="JC17" i="6"/>
  <c r="AH17" i="6"/>
  <c r="J17" i="6"/>
  <c r="CV17" i="6"/>
  <c r="KT17" i="6"/>
  <c r="CE17" i="6"/>
  <c r="CZ17" i="6"/>
  <c r="M17" i="6"/>
  <c r="EP17" i="6"/>
  <c r="KE17" i="6"/>
  <c r="FR17" i="6"/>
  <c r="DQ17" i="6"/>
  <c r="EZ17" i="6"/>
  <c r="HA17" i="6"/>
  <c r="JY17" i="6"/>
  <c r="ET17" i="6"/>
  <c r="HV17" i="6"/>
  <c r="BA17" i="6"/>
  <c r="HL17" i="6"/>
  <c r="J13" i="3"/>
  <c r="N18" i="2"/>
  <c r="J48" i="2"/>
  <c r="W68" i="2" s="1"/>
  <c r="N49" i="2"/>
  <c r="N48" i="2" s="1"/>
  <c r="K53" i="2"/>
  <c r="X68" i="2"/>
  <c r="N45" i="2"/>
  <c r="N40" i="2"/>
  <c r="N33" i="2"/>
  <c r="N30" i="2" s="1"/>
  <c r="K30" i="2"/>
  <c r="N23" i="2"/>
  <c r="N11" i="2"/>
  <c r="J9" i="2" l="1"/>
  <c r="K44" i="2"/>
  <c r="X67" i="2" s="1"/>
  <c r="N46" i="2"/>
  <c r="N44" i="2" s="1"/>
  <c r="J44" i="2"/>
  <c r="W67" i="2" s="1"/>
  <c r="W99" i="18"/>
  <c r="W58" i="18" s="1"/>
  <c r="U152" i="18"/>
  <c r="BP17" i="6" s="1"/>
  <c r="U153" i="18"/>
  <c r="BT17" i="6" s="1"/>
  <c r="U154" i="18"/>
  <c r="X28" i="18"/>
  <c r="GN5" i="6"/>
  <c r="EZ5" i="6"/>
  <c r="H22" i="3"/>
  <c r="J22" i="3" s="1"/>
  <c r="V107" i="18"/>
  <c r="IJ5" i="6"/>
  <c r="V13" i="18"/>
  <c r="N54" i="2"/>
  <c r="K55" i="2"/>
  <c r="U41" i="18"/>
  <c r="U42" i="18"/>
  <c r="H12" i="3"/>
  <c r="U31" i="18"/>
  <c r="U40" i="18"/>
  <c r="U30" i="18"/>
  <c r="X2" i="18"/>
  <c r="U103" i="18"/>
  <c r="U105" i="18"/>
  <c r="U98" i="18"/>
  <c r="BK17" i="6" s="1"/>
  <c r="U94" i="18"/>
  <c r="U99" i="18"/>
  <c r="U104" i="18"/>
  <c r="H17" i="3"/>
  <c r="J17" i="3" s="1"/>
  <c r="U100" i="18"/>
  <c r="V141" i="18"/>
  <c r="DM5" i="6"/>
  <c r="CR5" i="6"/>
  <c r="HQ5" i="6"/>
  <c r="GZ5" i="6"/>
  <c r="DX5" i="6"/>
  <c r="CS5" i="6"/>
  <c r="EO5" i="6"/>
  <c r="AQ5" i="6"/>
  <c r="CW5" i="6"/>
  <c r="GI5" i="6"/>
  <c r="BZ5" i="6"/>
  <c r="AR5" i="6"/>
  <c r="AY5" i="6"/>
  <c r="JW5" i="6"/>
  <c r="U102" i="18"/>
  <c r="EN5" i="6"/>
  <c r="DH5" i="6"/>
  <c r="KC5" i="6"/>
  <c r="HH5" i="6"/>
  <c r="EF5" i="6"/>
  <c r="DQ5" i="6"/>
  <c r="GP5" i="6"/>
  <c r="CE5" i="6"/>
  <c r="FM5" i="6"/>
  <c r="GU5" i="6"/>
  <c r="DV5" i="6"/>
  <c r="BM5" i="6"/>
  <c r="BK5" i="6"/>
  <c r="V125" i="18"/>
  <c r="U53" i="18"/>
  <c r="U52" i="18"/>
  <c r="U64" i="18"/>
  <c r="H14" i="3"/>
  <c r="J14" i="3" s="1"/>
  <c r="U63" i="18"/>
  <c r="U62" i="18"/>
  <c r="S4" i="5"/>
  <c r="U101" i="18"/>
  <c r="CM5" i="6"/>
  <c r="HG5" i="6"/>
  <c r="L5" i="6"/>
  <c r="EE5" i="6"/>
  <c r="JK5" i="6"/>
  <c r="KY5" i="6"/>
  <c r="S5" i="6"/>
  <c r="BA5" i="6"/>
  <c r="JN5" i="6"/>
  <c r="BG5" i="6"/>
  <c r="GV5" i="6"/>
  <c r="IE5" i="6"/>
  <c r="KA5" i="6"/>
  <c r="CA5" i="6"/>
  <c r="FX5" i="6"/>
  <c r="Q5" i="6"/>
  <c r="DG5" i="6"/>
  <c r="FS5" i="6"/>
  <c r="IM5" i="6"/>
  <c r="AL5" i="6"/>
  <c r="CL5" i="6"/>
  <c r="FN5" i="6"/>
  <c r="F5" i="6"/>
  <c r="KM5" i="6"/>
  <c r="HZ5" i="6"/>
  <c r="HB5" i="6"/>
  <c r="CI5" i="6"/>
  <c r="DO5" i="6"/>
  <c r="HL5" i="6"/>
  <c r="JS5" i="6"/>
  <c r="BJ5" i="6"/>
  <c r="BS5" i="6"/>
  <c r="HO5" i="6"/>
  <c r="IU5" i="6"/>
  <c r="Z5" i="6"/>
  <c r="CD5" i="6"/>
  <c r="FF5" i="6"/>
  <c r="IX5" i="6"/>
  <c r="HW5" i="6"/>
  <c r="AT5" i="6"/>
  <c r="DF5" i="6"/>
  <c r="GH5" i="6"/>
  <c r="IP5" i="6"/>
  <c r="AP5" i="6"/>
  <c r="DR5" i="6"/>
  <c r="KS5" i="6"/>
  <c r="DW5" i="6"/>
  <c r="FC5" i="6"/>
  <c r="GQ5" i="6"/>
  <c r="KD5" i="6"/>
  <c r="AU5" i="6"/>
  <c r="IH5" i="6"/>
  <c r="KP5" i="6"/>
  <c r="AC5" i="6"/>
  <c r="EK5" i="6"/>
  <c r="GL5" i="6"/>
  <c r="HE5" i="6"/>
  <c r="EP5" i="6"/>
  <c r="EH5" i="6"/>
  <c r="DB5" i="6"/>
  <c r="IS5" i="6"/>
  <c r="JF5" i="6"/>
  <c r="AS5" i="6"/>
  <c r="CT5" i="6"/>
  <c r="JE5" i="6"/>
  <c r="EX5" i="6"/>
  <c r="EW5" i="6"/>
  <c r="LB5" i="6"/>
  <c r="BF5" i="6"/>
  <c r="DU5" i="6"/>
  <c r="HJ5" i="6"/>
  <c r="AX5" i="6"/>
  <c r="JV5" i="6"/>
  <c r="DJ5" i="6"/>
  <c r="HR5" i="6"/>
  <c r="EC5" i="6"/>
  <c r="JA5" i="6"/>
  <c r="DZ5" i="6"/>
  <c r="GD5" i="6"/>
  <c r="KK5" i="6"/>
  <c r="U5" i="6"/>
  <c r="AO5" i="6"/>
  <c r="CO5" i="6"/>
  <c r="AH5" i="6"/>
  <c r="FI5" i="6"/>
  <c r="IC5" i="6"/>
  <c r="KT5" i="6"/>
  <c r="FV5" i="6"/>
  <c r="BV5" i="6"/>
  <c r="JQ5" i="6"/>
  <c r="GT5" i="6"/>
  <c r="F18" i="6"/>
  <c r="F25" i="3"/>
  <c r="D5" i="5"/>
  <c r="W100" i="18"/>
  <c r="I57" i="2"/>
  <c r="W102" i="18"/>
  <c r="W101" i="18"/>
  <c r="N52" i="2"/>
  <c r="N53" i="2"/>
  <c r="W36" i="18"/>
  <c r="J30" i="2"/>
  <c r="W65" i="2" s="1"/>
  <c r="X65" i="2"/>
  <c r="W117" i="18" l="1"/>
  <c r="V52" i="18"/>
  <c r="K56" i="2"/>
  <c r="N56" i="2" s="1"/>
  <c r="N55" i="2"/>
  <c r="V94" i="18"/>
  <c r="BG17" i="6"/>
  <c r="D17" i="6" s="1"/>
  <c r="C17" i="6" s="1"/>
  <c r="R4" i="5"/>
  <c r="T4" i="5"/>
  <c r="F6" i="6"/>
  <c r="D5" i="6"/>
  <c r="V28" i="18"/>
  <c r="J12" i="3"/>
  <c r="J5" i="3" s="1"/>
  <c r="H5" i="3"/>
  <c r="C5" i="6"/>
  <c r="D6" i="5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W38" i="18"/>
  <c r="W60" i="18"/>
  <c r="W119" i="18"/>
  <c r="W39" i="18"/>
  <c r="W120" i="18"/>
  <c r="W61" i="18"/>
  <c r="K57" i="2"/>
  <c r="N57" i="2" s="1"/>
  <c r="I51" i="2"/>
  <c r="V69" i="2" s="1"/>
  <c r="W118" i="18"/>
  <c r="W59" i="18"/>
  <c r="W37" i="18"/>
  <c r="W57" i="18"/>
  <c r="W35" i="18"/>
  <c r="W116" i="18"/>
  <c r="BG18" i="6" l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F7" i="6"/>
  <c r="G6" i="6"/>
  <c r="G6" i="5"/>
  <c r="D7" i="5"/>
  <c r="K51" i="2"/>
  <c r="N51" i="2"/>
  <c r="N9" i="2" s="1"/>
  <c r="KK11" i="6"/>
  <c r="JS11" i="6"/>
  <c r="DM11" i="6"/>
  <c r="KP11" i="6"/>
  <c r="Z11" i="6"/>
  <c r="AX11" i="6"/>
  <c r="HL11" i="6"/>
  <c r="AK11" i="6"/>
  <c r="IR11" i="6"/>
  <c r="GJ11" i="6"/>
  <c r="DP11" i="6"/>
  <c r="JN11" i="6"/>
  <c r="KU11" i="6"/>
  <c r="II11" i="6"/>
  <c r="HO11" i="6"/>
  <c r="CL11" i="6"/>
  <c r="FY11" i="6"/>
  <c r="IK11" i="6"/>
  <c r="BN11" i="6"/>
  <c r="CA11" i="6"/>
  <c r="AO11" i="6"/>
  <c r="AG11" i="6"/>
  <c r="CN11" i="6"/>
  <c r="GY11" i="6"/>
  <c r="ES11" i="6"/>
  <c r="DZ11" i="6"/>
  <c r="EB11" i="6"/>
  <c r="GV11" i="6"/>
  <c r="FM11" i="6"/>
  <c r="AW11" i="6"/>
  <c r="HZ11" i="6"/>
  <c r="HR11" i="6"/>
  <c r="KW11" i="6"/>
  <c r="G11" i="6"/>
  <c r="DC11" i="6"/>
  <c r="CG11" i="6"/>
  <c r="KZ11" i="6"/>
  <c r="FF11" i="6"/>
  <c r="AA11" i="6"/>
  <c r="KN11" i="6"/>
  <c r="AH11" i="6"/>
  <c r="KM11" i="6"/>
  <c r="HV11" i="6"/>
  <c r="FG11" i="6"/>
  <c r="FB11" i="6"/>
  <c r="CZ11" i="6"/>
  <c r="BS11" i="6"/>
  <c r="CR11" i="6"/>
  <c r="HU11" i="6"/>
  <c r="AF11" i="6"/>
  <c r="CQ11" i="6"/>
  <c r="T11" i="6"/>
  <c r="DI11" i="6"/>
  <c r="BO11" i="6"/>
  <c r="AC11" i="6"/>
  <c r="KC11" i="6"/>
  <c r="AZ11" i="6"/>
  <c r="CT11" i="6"/>
  <c r="FV11" i="6"/>
  <c r="EH11" i="6"/>
  <c r="JR11" i="6"/>
  <c r="JK11" i="6"/>
  <c r="KI11" i="6"/>
  <c r="IF11" i="6"/>
  <c r="GL11" i="6"/>
  <c r="FZ11" i="6"/>
  <c r="GP11" i="6"/>
  <c r="ED11" i="6"/>
  <c r="IB11" i="6"/>
  <c r="JM11" i="6"/>
  <c r="IO11" i="6"/>
  <c r="DE11" i="6"/>
  <c r="EC11" i="6"/>
  <c r="CW11" i="6"/>
  <c r="CE11" i="6"/>
  <c r="EU11" i="6"/>
  <c r="CY11" i="6"/>
  <c r="EK11" i="6"/>
  <c r="JY11" i="6"/>
  <c r="GT11" i="6"/>
  <c r="CB11" i="6"/>
  <c r="AD11" i="6"/>
  <c r="GD11" i="6"/>
  <c r="FK11" i="6"/>
  <c r="U11" i="6"/>
  <c r="BF11" i="6"/>
  <c r="BR11" i="6"/>
  <c r="FR11" i="6"/>
  <c r="FA11" i="6"/>
  <c r="F11" i="6"/>
  <c r="CU11" i="6"/>
  <c r="R11" i="6"/>
  <c r="AT11" i="6"/>
  <c r="EX11" i="6"/>
  <c r="HE11" i="6"/>
  <c r="KL11" i="6"/>
  <c r="Y11" i="6"/>
  <c r="BV11" i="6"/>
  <c r="IX11" i="6"/>
  <c r="X11" i="6"/>
  <c r="GZ11" i="6"/>
  <c r="JH11" i="6"/>
  <c r="BL11" i="6"/>
  <c r="BW11" i="6"/>
  <c r="KB11" i="6"/>
  <c r="BD11" i="6"/>
  <c r="HJ11" i="6"/>
  <c r="AU11" i="6"/>
  <c r="JD11" i="6"/>
  <c r="BU11" i="6"/>
  <c r="EL11" i="6"/>
  <c r="GA11" i="6"/>
  <c r="IH11" i="6"/>
  <c r="DU11" i="6"/>
  <c r="L11" i="6"/>
  <c r="DF11" i="6"/>
  <c r="I11" i="6"/>
  <c r="EZ11" i="6"/>
  <c r="DG11" i="6"/>
  <c r="JL11" i="6"/>
  <c r="KE11" i="6"/>
  <c r="EO11" i="6"/>
  <c r="FN11" i="6"/>
  <c r="FH11" i="6"/>
  <c r="AS11" i="6"/>
  <c r="IY11" i="6"/>
  <c r="IZ11" i="6"/>
  <c r="FC11" i="6"/>
  <c r="ID11" i="6"/>
  <c r="AI11" i="6"/>
  <c r="HB11" i="6"/>
  <c r="FU11" i="6"/>
  <c r="BG11" i="6"/>
  <c r="HX11" i="6"/>
  <c r="DA11" i="6"/>
  <c r="GI11" i="6"/>
  <c r="DT11" i="6"/>
  <c r="FQ11" i="6"/>
  <c r="CK11" i="6"/>
  <c r="AB11" i="6"/>
  <c r="FD11" i="6"/>
  <c r="CH11" i="6"/>
  <c r="IU11" i="6"/>
  <c r="BM11" i="6"/>
  <c r="K11" i="6"/>
  <c r="IN11" i="6"/>
  <c r="GM11" i="6"/>
  <c r="BT11" i="6"/>
  <c r="BC11" i="6"/>
  <c r="JF11" i="6"/>
  <c r="GW11" i="6"/>
  <c r="O11" i="6"/>
  <c r="BQ11" i="6"/>
  <c r="EW11" i="6"/>
  <c r="CV11" i="6"/>
  <c r="BI11" i="6"/>
  <c r="LD11" i="6"/>
  <c r="GN11" i="6"/>
  <c r="CJ11" i="6"/>
  <c r="GR11" i="6"/>
  <c r="EA11" i="6"/>
  <c r="EV11" i="6"/>
  <c r="BJ11" i="6"/>
  <c r="GF11" i="6"/>
  <c r="IJ11" i="6"/>
  <c r="JA11" i="6"/>
  <c r="GC11" i="6"/>
  <c r="EI11" i="6"/>
  <c r="FJ11" i="6"/>
  <c r="CO11" i="6"/>
  <c r="EY11" i="6"/>
  <c r="AN11" i="6"/>
  <c r="CF11" i="6"/>
  <c r="DD11" i="6"/>
  <c r="LC11" i="6"/>
  <c r="HC11" i="6"/>
  <c r="DW11" i="6"/>
  <c r="FL11" i="6"/>
  <c r="AV11" i="6"/>
  <c r="JG11" i="6"/>
  <c r="IA11" i="6"/>
  <c r="DJ11" i="6"/>
  <c r="KQ11" i="6"/>
  <c r="FX11" i="6"/>
  <c r="HA11" i="6"/>
  <c r="GO11" i="6"/>
  <c r="KF11" i="6"/>
  <c r="IM11" i="6"/>
  <c r="AL11" i="6"/>
  <c r="HM11" i="6"/>
  <c r="HQ11" i="6"/>
  <c r="JW11" i="6"/>
  <c r="KA11" i="6"/>
  <c r="ET11" i="6"/>
  <c r="HG11" i="6"/>
  <c r="HT11" i="6"/>
  <c r="BK11" i="6"/>
  <c r="GX11" i="6"/>
  <c r="GH11" i="6"/>
  <c r="CM11" i="6"/>
  <c r="DO11" i="6"/>
  <c r="EG11" i="6"/>
  <c r="EF11" i="6"/>
  <c r="GB11" i="6"/>
  <c r="DH11" i="6"/>
  <c r="HY11" i="6"/>
  <c r="KH11" i="6"/>
  <c r="LB11" i="6"/>
  <c r="BP11" i="6"/>
  <c r="HS11" i="6"/>
  <c r="P11" i="6"/>
  <c r="DS11" i="6"/>
  <c r="EJ11" i="6"/>
  <c r="FS11" i="6"/>
  <c r="FW11" i="6"/>
  <c r="ER11" i="6"/>
  <c r="CI11" i="6"/>
  <c r="JV11" i="6"/>
  <c r="GK11" i="6"/>
  <c r="JO11" i="6"/>
  <c r="DV11" i="6"/>
  <c r="BB11" i="6"/>
  <c r="HF11" i="6"/>
  <c r="V11" i="6"/>
  <c r="KV11" i="6"/>
  <c r="IP11" i="6"/>
  <c r="EN11" i="6"/>
  <c r="AP11" i="6"/>
  <c r="DQ11" i="6"/>
  <c r="DN11" i="6"/>
  <c r="FE11" i="6"/>
  <c r="S11" i="6"/>
  <c r="JJ11" i="6"/>
  <c r="IC11" i="6"/>
  <c r="KG11" i="6"/>
  <c r="EE11" i="6"/>
  <c r="N11" i="6"/>
  <c r="EQ11" i="6"/>
  <c r="HN11" i="6"/>
  <c r="JQ11" i="6"/>
  <c r="BH11" i="6"/>
  <c r="HD11" i="6"/>
  <c r="IV11" i="6"/>
  <c r="DR11" i="6"/>
  <c r="JI11" i="6"/>
  <c r="KD11" i="6"/>
  <c r="HK11" i="6"/>
  <c r="GE11" i="6"/>
  <c r="IQ11" i="6"/>
  <c r="KO11" i="6"/>
  <c r="KT11" i="6"/>
  <c r="IL11" i="6"/>
  <c r="AJ11" i="6"/>
  <c r="KS11" i="6"/>
  <c r="GQ11" i="6"/>
  <c r="HW11" i="6"/>
  <c r="JC11" i="6"/>
  <c r="EM11" i="6"/>
  <c r="IG11" i="6"/>
  <c r="JB11" i="6"/>
  <c r="DY11" i="6"/>
  <c r="JP11" i="6"/>
  <c r="CD11" i="6"/>
  <c r="IE11" i="6"/>
  <c r="HH11" i="6"/>
  <c r="BX11" i="6"/>
  <c r="IT11" i="6"/>
  <c r="GU11" i="6"/>
  <c r="DX11" i="6"/>
  <c r="AQ11" i="6"/>
  <c r="J11" i="6"/>
  <c r="GS11" i="6"/>
  <c r="KJ11" i="6"/>
  <c r="EP11" i="6"/>
  <c r="IW11" i="6"/>
  <c r="DL11" i="6"/>
  <c r="FT11" i="6"/>
  <c r="H11" i="6"/>
  <c r="BZ11" i="6"/>
  <c r="AM11" i="6"/>
  <c r="HI11" i="6"/>
  <c r="JE11" i="6"/>
  <c r="LA11" i="6"/>
  <c r="AE11" i="6"/>
  <c r="KX11" i="6"/>
  <c r="JU11" i="6"/>
  <c r="DK11" i="6"/>
  <c r="Q11" i="6"/>
  <c r="FI11" i="6"/>
  <c r="M11" i="6"/>
  <c r="JT11" i="6"/>
  <c r="FP11" i="6"/>
  <c r="BY11" i="6"/>
  <c r="GG11" i="6"/>
  <c r="BA11" i="6"/>
  <c r="KR11" i="6"/>
  <c r="CC11" i="6"/>
  <c r="CX11" i="6"/>
  <c r="IS11" i="6"/>
  <c r="FO11" i="6"/>
  <c r="W11" i="6"/>
  <c r="AR11" i="6"/>
  <c r="HP11" i="6"/>
  <c r="CS11" i="6"/>
  <c r="CP11" i="6"/>
  <c r="JX11" i="6"/>
  <c r="DB11" i="6"/>
  <c r="JZ11" i="6"/>
  <c r="BE11" i="6"/>
  <c r="AY11" i="6"/>
  <c r="KY11" i="6"/>
  <c r="D18" i="6" l="1"/>
  <c r="C18" i="6" s="1"/>
  <c r="G7" i="6"/>
  <c r="H6" i="6"/>
  <c r="F6" i="5"/>
  <c r="F7" i="5" s="1"/>
  <c r="C11" i="6"/>
  <c r="J51" i="2"/>
  <c r="W69" i="2" s="1"/>
  <c r="X69" i="2"/>
  <c r="D11" i="6"/>
  <c r="F12" i="6"/>
  <c r="I6" i="6" l="1"/>
  <c r="H7" i="6"/>
  <c r="G12" i="6"/>
  <c r="F14" i="6"/>
  <c r="J6" i="6" l="1"/>
  <c r="I7" i="6"/>
  <c r="G14" i="6"/>
  <c r="H12" i="6"/>
  <c r="J7" i="6" l="1"/>
  <c r="K6" i="6"/>
  <c r="I12" i="6"/>
  <c r="H14" i="6"/>
  <c r="L6" i="6" l="1"/>
  <c r="K7" i="6"/>
  <c r="J12" i="6"/>
  <c r="I14" i="6"/>
  <c r="M6" i="6" l="1"/>
  <c r="L7" i="6"/>
  <c r="K12" i="6"/>
  <c r="J14" i="6"/>
  <c r="N6" i="6" l="1"/>
  <c r="M7" i="6"/>
  <c r="K14" i="6"/>
  <c r="L12" i="6"/>
  <c r="O6" i="6" l="1"/>
  <c r="N7" i="6"/>
  <c r="M12" i="6"/>
  <c r="L14" i="6"/>
  <c r="P6" i="6" l="1"/>
  <c r="O7" i="6"/>
  <c r="N12" i="6"/>
  <c r="M14" i="6"/>
  <c r="P7" i="6" l="1"/>
  <c r="Q6" i="6"/>
  <c r="O12" i="6"/>
  <c r="N14" i="6"/>
  <c r="Q7" i="6" l="1"/>
  <c r="R6" i="6"/>
  <c r="P12" i="6"/>
  <c r="O14" i="6"/>
  <c r="R7" i="6" l="1"/>
  <c r="S6" i="6"/>
  <c r="P14" i="6"/>
  <c r="Q12" i="6"/>
  <c r="S7" i="6" l="1"/>
  <c r="T6" i="6"/>
  <c r="R12" i="6"/>
  <c r="Q14" i="6"/>
  <c r="T7" i="6" l="1"/>
  <c r="U6" i="6"/>
  <c r="S12" i="6"/>
  <c r="R14" i="6"/>
  <c r="V6" i="6" l="1"/>
  <c r="U7" i="6"/>
  <c r="S14" i="6"/>
  <c r="T12" i="6"/>
  <c r="V7" i="6" l="1"/>
  <c r="W6" i="6"/>
  <c r="U12" i="6"/>
  <c r="T14" i="6"/>
  <c r="W7" i="6" l="1"/>
  <c r="X6" i="6"/>
  <c r="V12" i="6"/>
  <c r="U14" i="6"/>
  <c r="X7" i="6" l="1"/>
  <c r="Y6" i="6"/>
  <c r="W12" i="6"/>
  <c r="V14" i="6"/>
  <c r="Y7" i="6" l="1"/>
  <c r="Z6" i="6"/>
  <c r="X12" i="6"/>
  <c r="W14" i="6"/>
  <c r="AA6" i="6" l="1"/>
  <c r="Z7" i="6"/>
  <c r="Y12" i="6"/>
  <c r="X14" i="6"/>
  <c r="AA7" i="6" l="1"/>
  <c r="AB6" i="6"/>
  <c r="Y14" i="6"/>
  <c r="Z12" i="6"/>
  <c r="AC6" i="6" l="1"/>
  <c r="AB7" i="6"/>
  <c r="AA12" i="6"/>
  <c r="Z14" i="6"/>
  <c r="AD6" i="6" l="1"/>
  <c r="AC7" i="6"/>
  <c r="AA14" i="6"/>
  <c r="AB12" i="6"/>
  <c r="AD7" i="6" l="1"/>
  <c r="AE6" i="6"/>
  <c r="AC12" i="6"/>
  <c r="AB14" i="6"/>
  <c r="AE7" i="6" l="1"/>
  <c r="AF6" i="6"/>
  <c r="AD12" i="6"/>
  <c r="AC14" i="6"/>
  <c r="AF7" i="6" l="1"/>
  <c r="AG6" i="6"/>
  <c r="AD14" i="6"/>
  <c r="AE12" i="6"/>
  <c r="AG7" i="6" l="1"/>
  <c r="AH6" i="6"/>
  <c r="AF12" i="6"/>
  <c r="AE14" i="6"/>
  <c r="AH7" i="6" l="1"/>
  <c r="AI6" i="6"/>
  <c r="AG12" i="6"/>
  <c r="AF14" i="6"/>
  <c r="AJ6" i="6" l="1"/>
  <c r="AI7" i="6"/>
  <c r="AH12" i="6"/>
  <c r="AG14" i="6"/>
  <c r="AJ7" i="6" l="1"/>
  <c r="AK6" i="6"/>
  <c r="AH14" i="6"/>
  <c r="AI12" i="6"/>
  <c r="AK7" i="6" l="1"/>
  <c r="AL6" i="6"/>
  <c r="AI14" i="6"/>
  <c r="AJ12" i="6"/>
  <c r="AL7" i="6" l="1"/>
  <c r="AM6" i="6"/>
  <c r="AK12" i="6"/>
  <c r="AJ14" i="6"/>
  <c r="AN6" i="6" l="1"/>
  <c r="AM7" i="6"/>
  <c r="AL12" i="6"/>
  <c r="AK14" i="6"/>
  <c r="AN7" i="6" l="1"/>
  <c r="AO6" i="6"/>
  <c r="AM12" i="6"/>
  <c r="AL14" i="6"/>
  <c r="AP6" i="6" l="1"/>
  <c r="AO7" i="6"/>
  <c r="AN12" i="6"/>
  <c r="AM14" i="6"/>
  <c r="AP7" i="6" l="1"/>
  <c r="AQ6" i="6"/>
  <c r="AO12" i="6"/>
  <c r="AN14" i="6"/>
  <c r="AR6" i="6" l="1"/>
  <c r="AQ7" i="6"/>
  <c r="AO14" i="6"/>
  <c r="AP12" i="6"/>
  <c r="AR7" i="6" l="1"/>
  <c r="AS6" i="6"/>
  <c r="AQ12" i="6"/>
  <c r="AP14" i="6"/>
  <c r="AS7" i="6" l="1"/>
  <c r="AT6" i="6"/>
  <c r="AQ14" i="6"/>
  <c r="AR12" i="6"/>
  <c r="AT7" i="6" l="1"/>
  <c r="AU6" i="6"/>
  <c r="AS12" i="6"/>
  <c r="AR14" i="6"/>
  <c r="AU7" i="6" l="1"/>
  <c r="AV6" i="6"/>
  <c r="AT12" i="6"/>
  <c r="AS14" i="6"/>
  <c r="AW6" i="6" l="1"/>
  <c r="AV7" i="6"/>
  <c r="AU12" i="6"/>
  <c r="AT14" i="6"/>
  <c r="AX6" i="6" l="1"/>
  <c r="AW7" i="6"/>
  <c r="AV12" i="6"/>
  <c r="AU14" i="6"/>
  <c r="AX7" i="6" l="1"/>
  <c r="AY6" i="6"/>
  <c r="AW12" i="6"/>
  <c r="AV14" i="6"/>
  <c r="AY7" i="6" l="1"/>
  <c r="AZ6" i="6"/>
  <c r="AX12" i="6"/>
  <c r="AW14" i="6"/>
  <c r="BA6" i="6" l="1"/>
  <c r="AZ7" i="6"/>
  <c r="AY12" i="6"/>
  <c r="AX14" i="6"/>
  <c r="BB6" i="6" l="1"/>
  <c r="BA7" i="6"/>
  <c r="AY14" i="6"/>
  <c r="AZ12" i="6"/>
  <c r="BB7" i="6" l="1"/>
  <c r="BC6" i="6"/>
  <c r="BA12" i="6"/>
  <c r="AZ14" i="6"/>
  <c r="BD6" i="6" l="1"/>
  <c r="BC7" i="6"/>
  <c r="BB12" i="6"/>
  <c r="BA14" i="6"/>
  <c r="BD7" i="6" l="1"/>
  <c r="BE6" i="6"/>
  <c r="BC12" i="6"/>
  <c r="BB14" i="6"/>
  <c r="BE7" i="6" l="1"/>
  <c r="BF6" i="6"/>
  <c r="BC14" i="6"/>
  <c r="BD12" i="6"/>
  <c r="BF7" i="6" l="1"/>
  <c r="BG6" i="6"/>
  <c r="BE12" i="6"/>
  <c r="BD14" i="6"/>
  <c r="BH6" i="6" l="1"/>
  <c r="BG7" i="6"/>
  <c r="BF12" i="6"/>
  <c r="BE14" i="6"/>
  <c r="BH7" i="6" l="1"/>
  <c r="BI6" i="6"/>
  <c r="BG12" i="6"/>
  <c r="BF14" i="6"/>
  <c r="BJ6" i="6" l="1"/>
  <c r="BI7" i="6"/>
  <c r="BG14" i="6"/>
  <c r="BH12" i="6"/>
  <c r="BK6" i="6" l="1"/>
  <c r="BJ7" i="6"/>
  <c r="BI12" i="6"/>
  <c r="BH14" i="6"/>
  <c r="BK7" i="6" l="1"/>
  <c r="BL6" i="6"/>
  <c r="BI14" i="6"/>
  <c r="BJ12" i="6"/>
  <c r="BM6" i="6" l="1"/>
  <c r="BL7" i="6"/>
  <c r="BK12" i="6"/>
  <c r="BJ14" i="6"/>
  <c r="BN6" i="6" l="1"/>
  <c r="BM7" i="6"/>
  <c r="BL12" i="6"/>
  <c r="BK14" i="6"/>
  <c r="BO6" i="6" l="1"/>
  <c r="BN7" i="6"/>
  <c r="BM12" i="6"/>
  <c r="BL14" i="6"/>
  <c r="BO7" i="6" l="1"/>
  <c r="BP6" i="6"/>
  <c r="BM14" i="6"/>
  <c r="BN12" i="6"/>
  <c r="BP7" i="6" l="1"/>
  <c r="BQ6" i="6"/>
  <c r="BO12" i="6"/>
  <c r="BN14" i="6"/>
  <c r="BQ7" i="6" l="1"/>
  <c r="BR6" i="6"/>
  <c r="BO14" i="6"/>
  <c r="BP12" i="6"/>
  <c r="BR7" i="6" l="1"/>
  <c r="BS6" i="6"/>
  <c r="BP14" i="6"/>
  <c r="BQ12" i="6"/>
  <c r="BS7" i="6" l="1"/>
  <c r="BT6" i="6"/>
  <c r="BR12" i="6"/>
  <c r="BQ14" i="6"/>
  <c r="BU6" i="6" l="1"/>
  <c r="BT7" i="6"/>
  <c r="BS12" i="6"/>
  <c r="BR14" i="6"/>
  <c r="BU7" i="6" l="1"/>
  <c r="BV6" i="6"/>
  <c r="BT12" i="6"/>
  <c r="BS14" i="6"/>
  <c r="BW6" i="6" l="1"/>
  <c r="BV7" i="6"/>
  <c r="BT14" i="6"/>
  <c r="BU12" i="6"/>
  <c r="BW7" i="6" l="1"/>
  <c r="BX6" i="6"/>
  <c r="BV12" i="6"/>
  <c r="BU14" i="6"/>
  <c r="BY6" i="6" l="1"/>
  <c r="BX7" i="6"/>
  <c r="BW12" i="6"/>
  <c r="BV14" i="6"/>
  <c r="BZ6" i="6" l="1"/>
  <c r="BY7" i="6"/>
  <c r="BW14" i="6"/>
  <c r="BX12" i="6"/>
  <c r="CA6" i="6" l="1"/>
  <c r="BZ7" i="6"/>
  <c r="BX14" i="6"/>
  <c r="BY12" i="6"/>
  <c r="CA7" i="6" l="1"/>
  <c r="CB6" i="6"/>
  <c r="BZ12" i="6"/>
  <c r="BY14" i="6"/>
  <c r="CC6" i="6" l="1"/>
  <c r="CB7" i="6"/>
  <c r="BZ14" i="6"/>
  <c r="CA12" i="6"/>
  <c r="CD6" i="6" l="1"/>
  <c r="CC7" i="6"/>
  <c r="CB12" i="6"/>
  <c r="CA14" i="6"/>
  <c r="CE6" i="6" l="1"/>
  <c r="CD7" i="6"/>
  <c r="CB14" i="6"/>
  <c r="CC12" i="6"/>
  <c r="CE7" i="6" l="1"/>
  <c r="CF6" i="6"/>
  <c r="CD12" i="6"/>
  <c r="CC14" i="6"/>
  <c r="CG6" i="6" l="1"/>
  <c r="CF7" i="6"/>
  <c r="CE12" i="6"/>
  <c r="CD14" i="6"/>
  <c r="CG7" i="6" l="1"/>
  <c r="CH6" i="6"/>
  <c r="CE14" i="6"/>
  <c r="CF12" i="6"/>
  <c r="CH7" i="6" l="1"/>
  <c r="CI6" i="6"/>
  <c r="CF14" i="6"/>
  <c r="CG12" i="6"/>
  <c r="CJ6" i="6" l="1"/>
  <c r="CI7" i="6"/>
  <c r="CH12" i="6"/>
  <c r="CG14" i="6"/>
  <c r="CJ7" i="6" l="1"/>
  <c r="CK6" i="6"/>
  <c r="CI12" i="6"/>
  <c r="CH14" i="6"/>
  <c r="CL6" i="6" l="1"/>
  <c r="CK7" i="6"/>
  <c r="CJ12" i="6"/>
  <c r="CI14" i="6"/>
  <c r="CL7" i="6" l="1"/>
  <c r="CM6" i="6"/>
  <c r="CK12" i="6"/>
  <c r="CJ14" i="6"/>
  <c r="CM7" i="6" l="1"/>
  <c r="CN6" i="6"/>
  <c r="CK14" i="6"/>
  <c r="CL12" i="6"/>
  <c r="CO6" i="6" l="1"/>
  <c r="CN7" i="6"/>
  <c r="CM12" i="6"/>
  <c r="CL14" i="6"/>
  <c r="CP6" i="6" l="1"/>
  <c r="CO7" i="6"/>
  <c r="CM14" i="6"/>
  <c r="CN12" i="6"/>
  <c r="CP7" i="6" l="1"/>
  <c r="CQ6" i="6"/>
  <c r="CO12" i="6"/>
  <c r="CN14" i="6"/>
  <c r="CR6" i="6" l="1"/>
  <c r="CQ7" i="6"/>
  <c r="CP12" i="6"/>
  <c r="CO14" i="6"/>
  <c r="CR7" i="6" l="1"/>
  <c r="CS6" i="6"/>
  <c r="CQ12" i="6"/>
  <c r="CP14" i="6"/>
  <c r="CT6" i="6" l="1"/>
  <c r="CS7" i="6"/>
  <c r="CQ14" i="6"/>
  <c r="CR12" i="6"/>
  <c r="CU6" i="6" l="1"/>
  <c r="CT7" i="6"/>
  <c r="CS12" i="6"/>
  <c r="CR14" i="6"/>
  <c r="CU7" i="6" l="1"/>
  <c r="CV6" i="6"/>
  <c r="CT12" i="6"/>
  <c r="CS14" i="6"/>
  <c r="CW6" i="6" l="1"/>
  <c r="CV7" i="6"/>
  <c r="CU12" i="6"/>
  <c r="CT14" i="6"/>
  <c r="CX6" i="6" l="1"/>
  <c r="CW7" i="6"/>
  <c r="CU14" i="6"/>
  <c r="CV12" i="6"/>
  <c r="CX7" i="6" l="1"/>
  <c r="CY6" i="6"/>
  <c r="CW12" i="6"/>
  <c r="CV14" i="6"/>
  <c r="CZ6" i="6" l="1"/>
  <c r="CY7" i="6"/>
  <c r="CX12" i="6"/>
  <c r="CW14" i="6"/>
  <c r="DA6" i="6" l="1"/>
  <c r="CZ7" i="6"/>
  <c r="CY12" i="6"/>
  <c r="CX14" i="6"/>
  <c r="DB6" i="6" l="1"/>
  <c r="DA7" i="6"/>
  <c r="CZ12" i="6"/>
  <c r="CY14" i="6"/>
  <c r="DC6" i="6" l="1"/>
  <c r="DB7" i="6"/>
  <c r="DA12" i="6"/>
  <c r="CZ14" i="6"/>
  <c r="DD6" i="6" l="1"/>
  <c r="DC7" i="6"/>
  <c r="DB12" i="6"/>
  <c r="DA14" i="6"/>
  <c r="DE6" i="6" l="1"/>
  <c r="DD7" i="6"/>
  <c r="DB14" i="6"/>
  <c r="DC12" i="6"/>
  <c r="DE7" i="6" l="1"/>
  <c r="DF6" i="6"/>
  <c r="DC14" i="6"/>
  <c r="DD12" i="6"/>
  <c r="DG6" i="6" l="1"/>
  <c r="DF7" i="6"/>
  <c r="DE12" i="6"/>
  <c r="DD14" i="6"/>
  <c r="DH6" i="6" l="1"/>
  <c r="DG7" i="6"/>
  <c r="DF12" i="6"/>
  <c r="DE14" i="6"/>
  <c r="DH7" i="6" l="1"/>
  <c r="DI6" i="6"/>
  <c r="DF14" i="6"/>
  <c r="DG12" i="6"/>
  <c r="DI7" i="6" l="1"/>
  <c r="DJ6" i="6"/>
  <c r="DH12" i="6"/>
  <c r="DG14" i="6"/>
  <c r="DJ7" i="6" l="1"/>
  <c r="DK6" i="6"/>
  <c r="DH14" i="6"/>
  <c r="DI12" i="6"/>
  <c r="DL6" i="6" l="1"/>
  <c r="DK7" i="6"/>
  <c r="DJ12" i="6"/>
  <c r="DI14" i="6"/>
  <c r="DM6" i="6" l="1"/>
  <c r="DL7" i="6"/>
  <c r="DK12" i="6"/>
  <c r="DJ14" i="6"/>
  <c r="DN6" i="6" l="1"/>
  <c r="DM7" i="6"/>
  <c r="DK14" i="6"/>
  <c r="DL12" i="6"/>
  <c r="DO6" i="6" l="1"/>
  <c r="DN7" i="6"/>
  <c r="DM12" i="6"/>
  <c r="DL14" i="6"/>
  <c r="DP6" i="6" l="1"/>
  <c r="DO7" i="6"/>
  <c r="DN12" i="6"/>
  <c r="DM14" i="6"/>
  <c r="DP7" i="6" l="1"/>
  <c r="DQ6" i="6"/>
  <c r="DO12" i="6"/>
  <c r="DN14" i="6"/>
  <c r="DR6" i="6" l="1"/>
  <c r="DQ7" i="6"/>
  <c r="DP12" i="6"/>
  <c r="DO14" i="6"/>
  <c r="DS6" i="6" l="1"/>
  <c r="DR7" i="6"/>
  <c r="DP14" i="6"/>
  <c r="DQ12" i="6"/>
  <c r="DT6" i="6" l="1"/>
  <c r="DS7" i="6"/>
  <c r="DR12" i="6"/>
  <c r="DQ14" i="6"/>
  <c r="DT7" i="6" l="1"/>
  <c r="DU6" i="6"/>
  <c r="DS12" i="6"/>
  <c r="DR14" i="6"/>
  <c r="DV6" i="6" l="1"/>
  <c r="DU7" i="6"/>
  <c r="DS14" i="6"/>
  <c r="DT12" i="6"/>
  <c r="DV7" i="6" l="1"/>
  <c r="DW6" i="6"/>
  <c r="DU12" i="6"/>
  <c r="DT14" i="6"/>
  <c r="DX6" i="6" l="1"/>
  <c r="DW7" i="6"/>
  <c r="DV12" i="6"/>
  <c r="DU14" i="6"/>
  <c r="DX7" i="6" l="1"/>
  <c r="DY6" i="6"/>
  <c r="DW12" i="6"/>
  <c r="DV14" i="6"/>
  <c r="DZ6" i="6" l="1"/>
  <c r="DY7" i="6"/>
  <c r="DX12" i="6"/>
  <c r="DW14" i="6"/>
  <c r="DZ7" i="6" l="1"/>
  <c r="EA6" i="6"/>
  <c r="DY12" i="6"/>
  <c r="DX14" i="6"/>
  <c r="EB6" i="6" l="1"/>
  <c r="EA7" i="6"/>
  <c r="DY14" i="6"/>
  <c r="DZ12" i="6"/>
  <c r="EC6" i="6" l="1"/>
  <c r="EB7" i="6"/>
  <c r="EA12" i="6"/>
  <c r="DZ14" i="6"/>
  <c r="ED6" i="6" l="1"/>
  <c r="EC7" i="6"/>
  <c r="EA14" i="6"/>
  <c r="EB12" i="6"/>
  <c r="EE6" i="6" l="1"/>
  <c r="ED7" i="6"/>
  <c r="EB14" i="6"/>
  <c r="EC12" i="6"/>
  <c r="EF6" i="6" l="1"/>
  <c r="EE7" i="6"/>
  <c r="ED12" i="6"/>
  <c r="EC14" i="6"/>
  <c r="EF7" i="6" l="1"/>
  <c r="EG6" i="6"/>
  <c r="EE12" i="6"/>
  <c r="ED14" i="6"/>
  <c r="EH6" i="6" l="1"/>
  <c r="EG7" i="6"/>
  <c r="EF12" i="6"/>
  <c r="EE14" i="6"/>
  <c r="EH7" i="6" l="1"/>
  <c r="EI6" i="6"/>
  <c r="EG12" i="6"/>
  <c r="EF14" i="6"/>
  <c r="EJ6" i="6" l="1"/>
  <c r="EI7" i="6"/>
  <c r="EH12" i="6"/>
  <c r="EG14" i="6"/>
  <c r="EK6" i="6" l="1"/>
  <c r="EJ7" i="6"/>
  <c r="EI12" i="6"/>
  <c r="EH14" i="6"/>
  <c r="EL6" i="6" l="1"/>
  <c r="EK7" i="6"/>
  <c r="EI14" i="6"/>
  <c r="EJ12" i="6"/>
  <c r="EL7" i="6" l="1"/>
  <c r="EM6" i="6"/>
  <c r="EK12" i="6"/>
  <c r="EJ14" i="6"/>
  <c r="EN6" i="6" l="1"/>
  <c r="EM7" i="6"/>
  <c r="EL12" i="6"/>
  <c r="EK14" i="6"/>
  <c r="EN7" i="6" l="1"/>
  <c r="EO6" i="6"/>
  <c r="EL14" i="6"/>
  <c r="EM12" i="6"/>
  <c r="EP6" i="6" l="1"/>
  <c r="EO7" i="6"/>
  <c r="EN12" i="6"/>
  <c r="EM14" i="6"/>
  <c r="EQ6" i="6" l="1"/>
  <c r="EP7" i="6"/>
  <c r="EO12" i="6"/>
  <c r="EN14" i="6"/>
  <c r="ER6" i="6" l="1"/>
  <c r="EQ7" i="6"/>
  <c r="EP12" i="6"/>
  <c r="EO14" i="6"/>
  <c r="ES6" i="6" l="1"/>
  <c r="ER7" i="6"/>
  <c r="EP14" i="6"/>
  <c r="EQ12" i="6"/>
  <c r="ET6" i="6" l="1"/>
  <c r="ES7" i="6"/>
  <c r="EQ14" i="6"/>
  <c r="ER12" i="6"/>
  <c r="EU6" i="6" l="1"/>
  <c r="ET7" i="6"/>
  <c r="ES12" i="6"/>
  <c r="ER14" i="6"/>
  <c r="EV6" i="6" l="1"/>
  <c r="EU7" i="6"/>
  <c r="ES14" i="6"/>
  <c r="ET12" i="6"/>
  <c r="EV7" i="6" l="1"/>
  <c r="EW6" i="6"/>
  <c r="EU12" i="6"/>
  <c r="ET14" i="6"/>
  <c r="EX6" i="6" l="1"/>
  <c r="EW7" i="6"/>
  <c r="EV12" i="6"/>
  <c r="EU14" i="6"/>
  <c r="EY6" i="6" l="1"/>
  <c r="EX7" i="6"/>
  <c r="EV14" i="6"/>
  <c r="EW12" i="6"/>
  <c r="EZ6" i="6" l="1"/>
  <c r="EY7" i="6"/>
  <c r="EX12" i="6"/>
  <c r="EW14" i="6"/>
  <c r="EZ7" i="6" l="1"/>
  <c r="FA6" i="6"/>
  <c r="EY12" i="6"/>
  <c r="EX14" i="6"/>
  <c r="FB6" i="6" l="1"/>
  <c r="FA7" i="6"/>
  <c r="EY14" i="6"/>
  <c r="EZ12" i="6"/>
  <c r="FC6" i="6" l="1"/>
  <c r="FB7" i="6"/>
  <c r="FA12" i="6"/>
  <c r="EZ14" i="6"/>
  <c r="FD6" i="6" l="1"/>
  <c r="FC7" i="6"/>
  <c r="FB12" i="6"/>
  <c r="FA14" i="6"/>
  <c r="FE6" i="6" l="1"/>
  <c r="FD7" i="6"/>
  <c r="FC12" i="6"/>
  <c r="FB14" i="6"/>
  <c r="FE7" i="6" l="1"/>
  <c r="FF6" i="6"/>
  <c r="FD12" i="6"/>
  <c r="FC14" i="6"/>
  <c r="FF7" i="6" l="1"/>
  <c r="FG6" i="6"/>
  <c r="FE12" i="6"/>
  <c r="FD14" i="6"/>
  <c r="FH6" i="6" l="1"/>
  <c r="FG7" i="6"/>
  <c r="FF12" i="6"/>
  <c r="FE14" i="6"/>
  <c r="FH7" i="6" l="1"/>
  <c r="FI6" i="6"/>
  <c r="FF14" i="6"/>
  <c r="FG12" i="6"/>
  <c r="FJ6" i="6" l="1"/>
  <c r="FI7" i="6"/>
  <c r="FG14" i="6"/>
  <c r="FH12" i="6"/>
  <c r="FJ7" i="6" l="1"/>
  <c r="FK6" i="6"/>
  <c r="FI12" i="6"/>
  <c r="FH14" i="6"/>
  <c r="FL6" i="6" l="1"/>
  <c r="FK7" i="6"/>
  <c r="FJ12" i="6"/>
  <c r="FI14" i="6"/>
  <c r="FL7" i="6" l="1"/>
  <c r="FM6" i="6"/>
  <c r="FJ14" i="6"/>
  <c r="FK12" i="6"/>
  <c r="FN6" i="6" l="1"/>
  <c r="FM7" i="6"/>
  <c r="FL12" i="6"/>
  <c r="FK14" i="6"/>
  <c r="FO6" i="6" l="1"/>
  <c r="FN7" i="6"/>
  <c r="FM12" i="6"/>
  <c r="FL14" i="6"/>
  <c r="FP6" i="6" l="1"/>
  <c r="FO7" i="6"/>
  <c r="FN12" i="6"/>
  <c r="FM14" i="6"/>
  <c r="FQ6" i="6" l="1"/>
  <c r="FP7" i="6"/>
  <c r="FO12" i="6"/>
  <c r="FN14" i="6"/>
  <c r="FQ7" i="6" l="1"/>
  <c r="FR6" i="6"/>
  <c r="FO14" i="6"/>
  <c r="FP12" i="6"/>
  <c r="FS6" i="6" l="1"/>
  <c r="FR7" i="6"/>
  <c r="FP14" i="6"/>
  <c r="FQ12" i="6"/>
  <c r="FT6" i="6" l="1"/>
  <c r="FS7" i="6"/>
  <c r="FR12" i="6"/>
  <c r="FQ14" i="6"/>
  <c r="FU6" i="6" l="1"/>
  <c r="FT7" i="6"/>
  <c r="FS12" i="6"/>
  <c r="FR14" i="6"/>
  <c r="FV6" i="6" l="1"/>
  <c r="FU7" i="6"/>
  <c r="FT12" i="6"/>
  <c r="FS14" i="6"/>
  <c r="FV7" i="6" l="1"/>
  <c r="FW6" i="6"/>
  <c r="FU12" i="6"/>
  <c r="FT14" i="6"/>
  <c r="FX6" i="6" l="1"/>
  <c r="FW7" i="6"/>
  <c r="FV12" i="6"/>
  <c r="FU14" i="6"/>
  <c r="FX7" i="6" l="1"/>
  <c r="FY6" i="6"/>
  <c r="FW12" i="6"/>
  <c r="FV14" i="6"/>
  <c r="FZ6" i="6" l="1"/>
  <c r="FY7" i="6"/>
  <c r="FW14" i="6"/>
  <c r="FX12" i="6"/>
  <c r="FZ7" i="6" l="1"/>
  <c r="GA6" i="6"/>
  <c r="FX14" i="6"/>
  <c r="FY12" i="6"/>
  <c r="GB6" i="6" l="1"/>
  <c r="GA7" i="6"/>
  <c r="FZ12" i="6"/>
  <c r="FY14" i="6"/>
  <c r="GB7" i="6" l="1"/>
  <c r="GC6" i="6"/>
  <c r="GA12" i="6"/>
  <c r="FZ14" i="6"/>
  <c r="GD6" i="6" l="1"/>
  <c r="GC7" i="6"/>
  <c r="GA14" i="6"/>
  <c r="GB12" i="6"/>
  <c r="GE6" i="6" l="1"/>
  <c r="GD7" i="6"/>
  <c r="GB14" i="6"/>
  <c r="GC12" i="6"/>
  <c r="GF6" i="6" l="1"/>
  <c r="GE7" i="6"/>
  <c r="GD12" i="6"/>
  <c r="GC14" i="6"/>
  <c r="GF7" i="6" l="1"/>
  <c r="GG6" i="6"/>
  <c r="GE12" i="6"/>
  <c r="GD14" i="6"/>
  <c r="GG7" i="6" l="1"/>
  <c r="GH6" i="6"/>
  <c r="GE14" i="6"/>
  <c r="GF12" i="6"/>
  <c r="GH7" i="6" l="1"/>
  <c r="GI6" i="6"/>
  <c r="GG12" i="6"/>
  <c r="GF14" i="6"/>
  <c r="GJ6" i="6" l="1"/>
  <c r="GI7" i="6"/>
  <c r="GG14" i="6"/>
  <c r="GH12" i="6"/>
  <c r="GJ7" i="6" l="1"/>
  <c r="GK6" i="6"/>
  <c r="GI12" i="6"/>
  <c r="GH14" i="6"/>
  <c r="GL6" i="6" l="1"/>
  <c r="GK7" i="6"/>
  <c r="GI14" i="6"/>
  <c r="GJ12" i="6"/>
  <c r="GM6" i="6" l="1"/>
  <c r="GL7" i="6"/>
  <c r="GK12" i="6"/>
  <c r="GJ14" i="6"/>
  <c r="GM7" i="6" l="1"/>
  <c r="GN6" i="6"/>
  <c r="GL12" i="6"/>
  <c r="GK14" i="6"/>
  <c r="GO6" i="6" l="1"/>
  <c r="GN7" i="6"/>
  <c r="GL14" i="6"/>
  <c r="GM12" i="6"/>
  <c r="GP6" i="6" l="1"/>
  <c r="GO7" i="6"/>
  <c r="GM14" i="6"/>
  <c r="GN12" i="6"/>
  <c r="GQ6" i="6" l="1"/>
  <c r="GP7" i="6"/>
  <c r="GO12" i="6"/>
  <c r="GN14" i="6"/>
  <c r="GR6" i="6" l="1"/>
  <c r="GQ7" i="6"/>
  <c r="GO14" i="6"/>
  <c r="GP12" i="6"/>
  <c r="GS6" i="6" l="1"/>
  <c r="GR7" i="6"/>
  <c r="GQ12" i="6"/>
  <c r="GP14" i="6"/>
  <c r="GT6" i="6" l="1"/>
  <c r="GS7" i="6"/>
  <c r="GR12" i="6"/>
  <c r="GQ14" i="6"/>
  <c r="GU6" i="6" l="1"/>
  <c r="GT7" i="6"/>
  <c r="GR14" i="6"/>
  <c r="GS12" i="6"/>
  <c r="GV6" i="6" l="1"/>
  <c r="GU7" i="6"/>
  <c r="GT12" i="6"/>
  <c r="GS14" i="6"/>
  <c r="GV7" i="6" l="1"/>
  <c r="GW6" i="6"/>
  <c r="GU12" i="6"/>
  <c r="GT14" i="6"/>
  <c r="GX6" i="6" l="1"/>
  <c r="GW7" i="6"/>
  <c r="GU14" i="6"/>
  <c r="GV12" i="6"/>
  <c r="GX7" i="6" l="1"/>
  <c r="GY6" i="6"/>
  <c r="GW12" i="6"/>
  <c r="GV14" i="6"/>
  <c r="GY7" i="6" l="1"/>
  <c r="GZ6" i="6"/>
  <c r="GX12" i="6"/>
  <c r="GW14" i="6"/>
  <c r="GZ7" i="6" l="1"/>
  <c r="HA6" i="6"/>
  <c r="GX14" i="6"/>
  <c r="GY12" i="6"/>
  <c r="HA7" i="6" l="1"/>
  <c r="HB6" i="6"/>
  <c r="GZ12" i="6"/>
  <c r="GY14" i="6"/>
  <c r="HB7" i="6" l="1"/>
  <c r="HC6" i="6"/>
  <c r="HA12" i="6"/>
  <c r="GZ14" i="6"/>
  <c r="HC7" i="6" l="1"/>
  <c r="HD6" i="6"/>
  <c r="HB12" i="6"/>
  <c r="HA14" i="6"/>
  <c r="HE6" i="6" l="1"/>
  <c r="HD7" i="6"/>
  <c r="HC12" i="6"/>
  <c r="HB14" i="6"/>
  <c r="HE7" i="6" l="1"/>
  <c r="HF6" i="6"/>
  <c r="HC14" i="6"/>
  <c r="HD12" i="6"/>
  <c r="HG6" i="6" l="1"/>
  <c r="HF7" i="6"/>
  <c r="HD14" i="6"/>
  <c r="HE12" i="6"/>
  <c r="HG7" i="6" l="1"/>
  <c r="HH6" i="6"/>
  <c r="HF12" i="6"/>
  <c r="HE14" i="6"/>
  <c r="HH7" i="6" l="1"/>
  <c r="HI6" i="6"/>
  <c r="HG12" i="6"/>
  <c r="HF14" i="6"/>
  <c r="HJ6" i="6" l="1"/>
  <c r="HI7" i="6"/>
  <c r="HH12" i="6"/>
  <c r="HG14" i="6"/>
  <c r="HJ7" i="6" l="1"/>
  <c r="HK6" i="6"/>
  <c r="HI12" i="6"/>
  <c r="HH14" i="6"/>
  <c r="HL6" i="6" l="1"/>
  <c r="HK7" i="6"/>
  <c r="HI14" i="6"/>
  <c r="HJ12" i="6"/>
  <c r="HL7" i="6" l="1"/>
  <c r="HM6" i="6"/>
  <c r="HK12" i="6"/>
  <c r="HJ14" i="6"/>
  <c r="HN6" i="6" l="1"/>
  <c r="HM7" i="6"/>
  <c r="HK14" i="6"/>
  <c r="HL12" i="6"/>
  <c r="HN7" i="6" l="1"/>
  <c r="HO6" i="6"/>
  <c r="HM12" i="6"/>
  <c r="HL14" i="6"/>
  <c r="HP6" i="6" l="1"/>
  <c r="HO7" i="6"/>
  <c r="HN12" i="6"/>
  <c r="HM14" i="6"/>
  <c r="HP7" i="6" l="1"/>
  <c r="HQ6" i="6"/>
  <c r="HN14" i="6"/>
  <c r="HO12" i="6"/>
  <c r="HR6" i="6" l="1"/>
  <c r="HQ7" i="6"/>
  <c r="HO14" i="6"/>
  <c r="HP12" i="6"/>
  <c r="HR7" i="6" l="1"/>
  <c r="HS6" i="6"/>
  <c r="HQ12" i="6"/>
  <c r="HP14" i="6"/>
  <c r="HS7" i="6" l="1"/>
  <c r="HT6" i="6"/>
  <c r="HR12" i="6"/>
  <c r="HQ14" i="6"/>
  <c r="HT7" i="6" l="1"/>
  <c r="HU6" i="6"/>
  <c r="HS12" i="6"/>
  <c r="HR14" i="6"/>
  <c r="HV6" i="6" l="1"/>
  <c r="HU7" i="6"/>
  <c r="HS14" i="6"/>
  <c r="HT12" i="6"/>
  <c r="HW6" i="6" l="1"/>
  <c r="HV7" i="6"/>
  <c r="HU12" i="6"/>
  <c r="HT14" i="6"/>
  <c r="HW7" i="6" l="1"/>
  <c r="HX6" i="6"/>
  <c r="HV12" i="6"/>
  <c r="HU14" i="6"/>
  <c r="HX7" i="6" l="1"/>
  <c r="HY6" i="6"/>
  <c r="HW12" i="6"/>
  <c r="HV14" i="6"/>
  <c r="HY7" i="6" l="1"/>
  <c r="HZ6" i="6"/>
  <c r="HX12" i="6"/>
  <c r="HW14" i="6"/>
  <c r="HZ7" i="6" l="1"/>
  <c r="IA6" i="6"/>
  <c r="HY12" i="6"/>
  <c r="HX14" i="6"/>
  <c r="IB6" i="6" l="1"/>
  <c r="IA7" i="6"/>
  <c r="HY14" i="6"/>
  <c r="HZ12" i="6"/>
  <c r="IC6" i="6" l="1"/>
  <c r="IB7" i="6"/>
  <c r="HZ14" i="6"/>
  <c r="IA12" i="6"/>
  <c r="IC7" i="6" l="1"/>
  <c r="ID6" i="6"/>
  <c r="IA14" i="6"/>
  <c r="IB12" i="6"/>
  <c r="ID7" i="6" l="1"/>
  <c r="IE6" i="6"/>
  <c r="IC12" i="6"/>
  <c r="IB14" i="6"/>
  <c r="IF6" i="6" l="1"/>
  <c r="IE7" i="6"/>
  <c r="ID12" i="6"/>
  <c r="IC14" i="6"/>
  <c r="IF7" i="6" l="1"/>
  <c r="IG6" i="6"/>
  <c r="IE12" i="6"/>
  <c r="ID14" i="6"/>
  <c r="IH6" i="6" l="1"/>
  <c r="IG7" i="6"/>
  <c r="IE14" i="6"/>
  <c r="IF12" i="6"/>
  <c r="IH7" i="6" l="1"/>
  <c r="II6" i="6"/>
  <c r="IF14" i="6"/>
  <c r="IG12" i="6"/>
  <c r="IJ6" i="6" l="1"/>
  <c r="II7" i="6"/>
  <c r="IH12" i="6"/>
  <c r="IG14" i="6"/>
  <c r="IJ7" i="6" l="1"/>
  <c r="IK6" i="6"/>
  <c r="II12" i="6"/>
  <c r="IH14" i="6"/>
  <c r="IL6" i="6" l="1"/>
  <c r="IK7" i="6"/>
  <c r="II14" i="6"/>
  <c r="IJ12" i="6"/>
  <c r="IL7" i="6" l="1"/>
  <c r="IM6" i="6"/>
  <c r="IJ14" i="6"/>
  <c r="IK12" i="6"/>
  <c r="IM7" i="6" l="1"/>
  <c r="IN6" i="6"/>
  <c r="IL12" i="6"/>
  <c r="IK14" i="6"/>
  <c r="IN7" i="6" l="1"/>
  <c r="IO6" i="6"/>
  <c r="IM12" i="6"/>
  <c r="IL14" i="6"/>
  <c r="IP6" i="6" l="1"/>
  <c r="IO7" i="6"/>
  <c r="IN12" i="6"/>
  <c r="IM14" i="6"/>
  <c r="IP7" i="6" l="1"/>
  <c r="IQ6" i="6"/>
  <c r="IO12" i="6"/>
  <c r="IN14" i="6"/>
  <c r="IR6" i="6" l="1"/>
  <c r="IQ7" i="6"/>
  <c r="IP12" i="6"/>
  <c r="IO14" i="6"/>
  <c r="IS6" i="6" l="1"/>
  <c r="IR7" i="6"/>
  <c r="IQ12" i="6"/>
  <c r="IP14" i="6"/>
  <c r="IS7" i="6" l="1"/>
  <c r="IT6" i="6"/>
  <c r="IQ14" i="6"/>
  <c r="IR12" i="6"/>
  <c r="IT7" i="6" l="1"/>
  <c r="IU6" i="6"/>
  <c r="IS12" i="6"/>
  <c r="IR14" i="6"/>
  <c r="IV6" i="6" l="1"/>
  <c r="IU7" i="6"/>
  <c r="IT12" i="6"/>
  <c r="IS14" i="6"/>
  <c r="IV7" i="6" l="1"/>
  <c r="IW6" i="6"/>
  <c r="IT14" i="6"/>
  <c r="IU12" i="6"/>
  <c r="IX6" i="6" l="1"/>
  <c r="IW7" i="6"/>
  <c r="IV12" i="6"/>
  <c r="IU14" i="6"/>
  <c r="IX7" i="6" l="1"/>
  <c r="IY6" i="6"/>
  <c r="IW12" i="6"/>
  <c r="IV14" i="6"/>
  <c r="IY7" i="6" l="1"/>
  <c r="IZ6" i="6"/>
  <c r="IW14" i="6"/>
  <c r="IX12" i="6"/>
  <c r="IZ7" i="6" l="1"/>
  <c r="JA6" i="6"/>
  <c r="IY12" i="6"/>
  <c r="IX14" i="6"/>
  <c r="JB6" i="6" l="1"/>
  <c r="JA7" i="6"/>
  <c r="IY14" i="6"/>
  <c r="IZ12" i="6"/>
  <c r="JB7" i="6" l="1"/>
  <c r="JC6" i="6"/>
  <c r="IZ14" i="6"/>
  <c r="JA12" i="6"/>
  <c r="JD6" i="6" l="1"/>
  <c r="JC7" i="6"/>
  <c r="JA14" i="6"/>
  <c r="JB12" i="6"/>
  <c r="JE6" i="6" l="1"/>
  <c r="JD7" i="6"/>
  <c r="JC12" i="6"/>
  <c r="JB14" i="6"/>
  <c r="JF6" i="6" l="1"/>
  <c r="JE7" i="6"/>
  <c r="JD12" i="6"/>
  <c r="JC14" i="6"/>
  <c r="JF7" i="6" l="1"/>
  <c r="JG6" i="6"/>
  <c r="JD14" i="6"/>
  <c r="JE12" i="6"/>
  <c r="JH6" i="6" l="1"/>
  <c r="JG7" i="6"/>
  <c r="JF12" i="6"/>
  <c r="JE14" i="6"/>
  <c r="JI6" i="6" l="1"/>
  <c r="JH7" i="6"/>
  <c r="JG12" i="6"/>
  <c r="JF14" i="6"/>
  <c r="JJ6" i="6" l="1"/>
  <c r="JI7" i="6"/>
  <c r="JG14" i="6"/>
  <c r="JH12" i="6"/>
  <c r="JK6" i="6" l="1"/>
  <c r="JJ7" i="6"/>
  <c r="JH14" i="6"/>
  <c r="JI12" i="6"/>
  <c r="JK7" i="6" l="1"/>
  <c r="JL6" i="6"/>
  <c r="JJ12" i="6"/>
  <c r="JI14" i="6"/>
  <c r="JL7" i="6" l="1"/>
  <c r="JM6" i="6"/>
  <c r="JK12" i="6"/>
  <c r="JJ14" i="6"/>
  <c r="JM7" i="6" l="1"/>
  <c r="JN6" i="6"/>
  <c r="JL12" i="6"/>
  <c r="JK14" i="6"/>
  <c r="JN7" i="6" l="1"/>
  <c r="JO6" i="6"/>
  <c r="JM12" i="6"/>
  <c r="JL14" i="6"/>
  <c r="JP6" i="6" l="1"/>
  <c r="JO7" i="6"/>
  <c r="JN12" i="6"/>
  <c r="JM14" i="6"/>
  <c r="JQ6" i="6" l="1"/>
  <c r="JP7" i="6"/>
  <c r="JN14" i="6"/>
  <c r="JO12" i="6"/>
  <c r="JQ7" i="6" l="1"/>
  <c r="JR6" i="6"/>
  <c r="JO14" i="6"/>
  <c r="JP12" i="6"/>
  <c r="JS6" i="6" l="1"/>
  <c r="JR7" i="6"/>
  <c r="JQ12" i="6"/>
  <c r="JP14" i="6"/>
  <c r="JT6" i="6" l="1"/>
  <c r="JS7" i="6"/>
  <c r="JQ14" i="6"/>
  <c r="JR12" i="6"/>
  <c r="JU6" i="6" l="1"/>
  <c r="JT7" i="6"/>
  <c r="JS12" i="6"/>
  <c r="JR14" i="6"/>
  <c r="JV6" i="6" l="1"/>
  <c r="JU7" i="6"/>
  <c r="JT12" i="6"/>
  <c r="JS14" i="6"/>
  <c r="JW6" i="6" l="1"/>
  <c r="JV7" i="6"/>
  <c r="JU12" i="6"/>
  <c r="JT14" i="6"/>
  <c r="JX6" i="6" l="1"/>
  <c r="JW7" i="6"/>
  <c r="JU14" i="6"/>
  <c r="JV12" i="6"/>
  <c r="JX7" i="6" l="1"/>
  <c r="JY6" i="6"/>
  <c r="JW12" i="6"/>
  <c r="JV14" i="6"/>
  <c r="JZ6" i="6" l="1"/>
  <c r="JY7" i="6"/>
  <c r="JW14" i="6"/>
  <c r="JX12" i="6"/>
  <c r="JZ7" i="6" l="1"/>
  <c r="KA6" i="6"/>
  <c r="JY12" i="6"/>
  <c r="JX14" i="6"/>
  <c r="KA7" i="6" l="1"/>
  <c r="KB6" i="6"/>
  <c r="JZ12" i="6"/>
  <c r="JY14" i="6"/>
  <c r="KB7" i="6" l="1"/>
  <c r="KC6" i="6"/>
  <c r="KA12" i="6"/>
  <c r="JZ14" i="6"/>
  <c r="KD6" i="6" l="1"/>
  <c r="KC7" i="6"/>
  <c r="KB12" i="6"/>
  <c r="KA14" i="6"/>
  <c r="KD7" i="6" l="1"/>
  <c r="KE6" i="6"/>
  <c r="KC12" i="6"/>
  <c r="KB14" i="6"/>
  <c r="KE7" i="6" l="1"/>
  <c r="KF6" i="6"/>
  <c r="KD12" i="6"/>
  <c r="KC14" i="6"/>
  <c r="KG6" i="6" l="1"/>
  <c r="KF7" i="6"/>
  <c r="KE12" i="6"/>
  <c r="KD14" i="6"/>
  <c r="KH6" i="6" l="1"/>
  <c r="KG7" i="6"/>
  <c r="KE14" i="6"/>
  <c r="KF12" i="6"/>
  <c r="KH7" i="6" l="1"/>
  <c r="KI6" i="6"/>
  <c r="KG12" i="6"/>
  <c r="KF14" i="6"/>
  <c r="KJ6" i="6" l="1"/>
  <c r="KI7" i="6"/>
  <c r="KH12" i="6"/>
  <c r="KG14" i="6"/>
  <c r="KK6" i="6" l="1"/>
  <c r="KJ7" i="6"/>
  <c r="KH14" i="6"/>
  <c r="KI12" i="6"/>
  <c r="KL6" i="6" l="1"/>
  <c r="KK7" i="6"/>
  <c r="KJ12" i="6"/>
  <c r="KI14" i="6"/>
  <c r="KM6" i="6" l="1"/>
  <c r="KL7" i="6"/>
  <c r="KJ14" i="6"/>
  <c r="KK12" i="6"/>
  <c r="KN6" i="6" l="1"/>
  <c r="KM7" i="6"/>
  <c r="KL12" i="6"/>
  <c r="KK14" i="6"/>
  <c r="KO6" i="6" l="1"/>
  <c r="KN7" i="6"/>
  <c r="KM12" i="6"/>
  <c r="KL14" i="6"/>
  <c r="KO7" i="6" l="1"/>
  <c r="KP6" i="6"/>
  <c r="KM14" i="6"/>
  <c r="KN12" i="6"/>
  <c r="KQ6" i="6" l="1"/>
  <c r="KP7" i="6"/>
  <c r="KN14" i="6"/>
  <c r="KO12" i="6"/>
  <c r="KR6" i="6" l="1"/>
  <c r="KQ7" i="6"/>
  <c r="KP12" i="6"/>
  <c r="KO14" i="6"/>
  <c r="KS6" i="6" l="1"/>
  <c r="KR7" i="6"/>
  <c r="KQ12" i="6"/>
  <c r="KP14" i="6"/>
  <c r="KT6" i="6" l="1"/>
  <c r="KS7" i="6"/>
  <c r="KR12" i="6"/>
  <c r="KQ14" i="6"/>
  <c r="KT7" i="6" l="1"/>
  <c r="KU6" i="6"/>
  <c r="KS12" i="6"/>
  <c r="KR14" i="6"/>
  <c r="KV6" i="6" l="1"/>
  <c r="KU7" i="6"/>
  <c r="KT12" i="6"/>
  <c r="KS14" i="6"/>
  <c r="KV7" i="6" l="1"/>
  <c r="KW6" i="6"/>
  <c r="KT14" i="6"/>
  <c r="KU12" i="6"/>
  <c r="KX6" i="6" l="1"/>
  <c r="KW7" i="6"/>
  <c r="KU14" i="6"/>
  <c r="KV12" i="6"/>
  <c r="KX7" i="6" l="1"/>
  <c r="KY6" i="6"/>
  <c r="KW12" i="6"/>
  <c r="KV14" i="6"/>
  <c r="KZ6" i="6" l="1"/>
  <c r="KY7" i="6"/>
  <c r="KX12" i="6"/>
  <c r="KW14" i="6"/>
  <c r="KZ7" i="6" l="1"/>
  <c r="LA6" i="6"/>
  <c r="KX14" i="6"/>
  <c r="KY12" i="6"/>
  <c r="LB6" i="6" l="1"/>
  <c r="LA7" i="6"/>
  <c r="KY14" i="6"/>
  <c r="KZ12" i="6"/>
  <c r="LB7" i="6" l="1"/>
  <c r="LC6" i="6"/>
  <c r="LA12" i="6"/>
  <c r="KZ14" i="6"/>
  <c r="LC7" i="6" l="1"/>
  <c r="LD6" i="6"/>
  <c r="LD7" i="6" s="1"/>
  <c r="LB12" i="6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tc={A48F2094-4B7B-4BB3-9296-DF94D4C7936F}</author>
    <author>tc={A1B826AD-EAFA-4C28-8149-A24F0A76AFD0}</author>
  </authors>
  <commentList>
    <comment ref="W97" authorId="0" shapeId="0" xr:uid="{A48F2094-4B7B-4BB3-9296-DF94D4C7936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99" authorId="1" shapeId="0" xr:uid="{A1B826AD-EAFA-4C28-8149-A24F0A76AFD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<sst xmlns="http://schemas.openxmlformats.org/spreadsheetml/2006/main" count="909" uniqueCount="496">
  <si>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</si>
  <si>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</si>
  <si>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</si>
  <si>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</si>
  <si>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</si>
  <si>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</si>
  <si>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</si>
  <si>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</si>
  <si>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</si>
  <si>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</si>
  <si>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</si>
  <si>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</si>
  <si>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</si>
  <si>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</si>
  <si>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</si>
  <si>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</si>
  <si>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</si>
  <si>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</si>
  <si>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</si>
  <si>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</si>
  <si>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</si>
  <si>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</si>
  <si>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</si>
  <si>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</si>
  <si>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</si>
  <si>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</si>
  <si>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</si>
  <si>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</si>
  <si>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</si>
  <si>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</si>
  <si>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</si>
  <si>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</si>
  <si>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</si>
  <si>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</si>
  <si>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</si>
  <si>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</si>
  <si>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</si>
  <si>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</si>
  <si>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</si>
  <si>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</si>
  <si>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</si>
  <si>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</si>
  <si>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</si>
  <si>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</si>
  <si>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</si>
  <si>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</si>
  <si>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</si>
  <si>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</si>
  <si>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</si>
  <si>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</si>
  <si>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</si>
  <si>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</si>
  <si>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</si>
  <si>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</si>
  <si>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</si>
  <si>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</si>
  <si>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</si>
  <si>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</si>
  <si>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Upper East Side Hotel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</si>
  <si>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</si>
  <si>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</si>
  <si>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</si>
  <si>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</si>
  <si>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</si>
  <si>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</si>
  <si>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</si>
  <si>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</si>
  <si>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</si>
  <si>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</si>
  <si>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</si>
  <si>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</si>
  <si>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</si>
  <si>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</si>
  <si>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</si>
  <si>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</si>
  <si>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</si>
  <si>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</si>
  <si>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</si>
  <si>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</si>
  <si>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</si>
  <si>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</si>
  <si>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</si>
  <si>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</si>
  <si>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</si>
  <si>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</si>
  <si>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</si>
  <si>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</si>
  <si>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</si>
  <si>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</si>
  <si>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</si>
  <si>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</si>
  <si>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2.2</t>
  </si>
  <si>
    <t xml:space="preserve">Roof Replacement </t>
  </si>
  <si>
    <t>2.3</t>
  </si>
  <si>
    <t>Anchor Point Install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</si>
  <si>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</si>
  <si>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</si>
  <si>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</si>
  <si>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</si>
  <si>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</si>
  <si>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</si>
  <si>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</si>
  <si>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</si>
  <si>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</si>
  <si>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</si>
  <si>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</si>
  <si>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</si>
  <si>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</si>
  <si>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</si>
  <si>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DC install -1</t>
  </si>
  <si>
    <t>4.3</t>
  </si>
  <si>
    <t>DC install -2</t>
  </si>
  <si>
    <t>4.4</t>
  </si>
  <si>
    <t>DC install -3</t>
  </si>
  <si>
    <t>4.5</t>
  </si>
  <si>
    <t>DC install -4</t>
  </si>
  <si>
    <t>4.6</t>
  </si>
  <si>
    <t>DC Cable delivered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</si>
  <si>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</si>
  <si>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</si>
  <si>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</si>
  <si>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</si>
  <si>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</si>
  <si>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</si>
  <si>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</si>
  <si>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</si>
  <si>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</si>
  <si>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</si>
  <si>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</si>
  <si>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</si>
  <si>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</si>
  <si>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</si>
  <si>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</si>
  <si>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</si>
  <si>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</si>
  <si>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</si>
  <si>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 Description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</si>
  <si>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</si>
  <si>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</si>
  <si>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</si>
  <si>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</si>
  <si>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</si>
  <si>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</si>
  <si>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</si>
  <si>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</si>
  <si>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</si>
  <si>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</si>
  <si>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</si>
  <si>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</si>
  <si>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</si>
  <si>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</si>
  <si>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</si>
  <si>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</si>
  <si>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</si>
  <si>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</si>
  <si>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</si>
  <si>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</si>
  <si>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</si>
  <si>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</si>
  <si>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</si>
  <si>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</si>
  <si>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</si>
  <si>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</si>
  <si>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</si>
  <si>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</si>
  <si>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</si>
  <si>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</si>
  <si>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</si>
  <si>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</si>
  <si>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</si>
  <si>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</si>
  <si>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</si>
  <si>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</si>
  <si>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</si>
  <si>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</si>
  <si>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</si>
  <si>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</si>
  <si>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</si>
  <si>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004723</t>
  </si>
  <si>
    <t>Delivery of Panels</t>
  </si>
  <si>
    <t>Delivery of Inverters</t>
  </si>
  <si>
    <t>Installation Complete</t>
  </si>
  <si>
    <t>Commissioning Complete</t>
  </si>
  <si>
    <t>Additional Roof Revenue</t>
  </si>
  <si>
    <t>004881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</si>
  <si>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</si>
  <si>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</si>
  <si>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</si>
  <si>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</si>
  <si>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</si>
  <si>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</si>
  <si>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</si>
  <si>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</si>
  <si>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</si>
  <si>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</si>
  <si>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</si>
  <si>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</si>
  <si>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</si>
  <si>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</si>
  <si>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</si>
  <si>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</si>
  <si>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</si>
  <si>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</si>
  <si>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</si>
  <si>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</si>
  <si>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</si>
  <si>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</si>
  <si>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</si>
  <si>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</si>
  <si>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</si>
  <si>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</si>
  <si>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</si>
  <si>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</si>
  <si>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</si>
  <si>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</si>
  <si>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Builders Break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</si>
  <si>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</si>
  <si>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</si>
  <si>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</si>
  <si>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</si>
  <si>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</si>
  <si>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</si>
  <si>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</si>
  <si>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</si>
  <si>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</si>
  <si>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</si>
  <si>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</si>
  <si>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</si>
  <si>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</si>
  <si>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</si>
  <si>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</si>
  <si>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</si>
  <si>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</si>
  <si>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</si>
  <si>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</si>
  <si>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</si>
  <si>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</si>
  <si>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</si>
  <si>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</si>
  <si>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</si>
  <si>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</si>
  <si>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</si>
  <si>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</si>
  <si>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</si>
  <si>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</si>
  <si>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</si>
  <si>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590W</t>
  </si>
  <si>
    <t>PO4155-UES-20250723 - RV Approved</t>
  </si>
  <si>
    <t>Menlo INV0003168</t>
  </si>
  <si>
    <t>Delivery Budget</t>
  </si>
  <si>
    <t>Replacement panels</t>
  </si>
  <si>
    <t>MSA Energy INV0003593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</si>
  <si>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</si>
  <si>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</si>
  <si>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</si>
  <si>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</si>
  <si>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</si>
  <si>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</si>
  <si>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</si>
  <si>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SMA Core 2 - 110kVA</t>
  </si>
  <si>
    <t>PO4153-UES-20250723 - RV Approved</t>
  </si>
  <si>
    <t>Krannich INV15-10013383</t>
  </si>
  <si>
    <t>DC Equipment</t>
  </si>
  <si>
    <t>EPR</t>
  </si>
  <si>
    <t>AC Labour</t>
  </si>
  <si>
    <t>Freight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</si>
  <si>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</si>
  <si>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</si>
  <si>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</si>
  <si>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</si>
  <si>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</si>
  <si>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</si>
  <si>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</si>
  <si>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</si>
  <si>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</si>
  <si>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PO4150-UES-20250722 - RV Approved</t>
  </si>
  <si>
    <t>Schletter - INV1994</t>
  </si>
  <si>
    <t>Other</t>
  </si>
  <si>
    <t>Mid Clamps</t>
  </si>
  <si>
    <t>PO4594-UESH-20260129 - RV Approved</t>
  </si>
  <si>
    <t>Less 15%</t>
  </si>
  <si>
    <t>R/Wp</t>
  </si>
  <si>
    <t>ACTUAL Cosmic Sun</t>
  </si>
  <si>
    <t>Installer Price</t>
  </si>
  <si>
    <t>ACTUAL Cosmic Sun AC Only</t>
  </si>
  <si>
    <t>DC Cable Budget</t>
  </si>
  <si>
    <t>4. DC Equipment</t>
  </si>
  <si>
    <t>DC Cable</t>
  </si>
  <si>
    <t>Rubicon INVWCRE-0069676</t>
  </si>
  <si>
    <t>DC Equipment Budget</t>
  </si>
  <si>
    <t>PO4570-UESH-20260122 - RV Approved</t>
  </si>
  <si>
    <t>Rubicon INVRED-0137860</t>
  </si>
  <si>
    <t>Project Kick Off</t>
  </si>
  <si>
    <t>PO4157-UESH-20250724 - RV Approved</t>
  </si>
  <si>
    <t>Cosmic Sun - CS_UES_001</t>
  </si>
  <si>
    <t>Cosmic Sun - CS_UES_002</t>
  </si>
  <si>
    <t>AC Installation Complete</t>
  </si>
  <si>
    <t>Cosmic Sun - CS_UES_003</t>
  </si>
  <si>
    <t>Roof Access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</si>
  <si>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</si>
  <si>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</si>
  <si>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</si>
  <si>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</si>
  <si>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</si>
  <si>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</si>
  <si>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</si>
  <si>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Data Manager</t>
  </si>
  <si>
    <t>PO4261-UESH-20250821 - RV Approved</t>
  </si>
  <si>
    <t>Revenue Metering</t>
  </si>
  <si>
    <t>CTs &amp; Meters</t>
  </si>
  <si>
    <t>PO4061-UES-20250630 - RV Approved</t>
  </si>
  <si>
    <t>AccuEnergy ASAI-005840</t>
  </si>
  <si>
    <t>Techsitter</t>
  </si>
  <si>
    <t>Matriarch - INV-4742</t>
  </si>
  <si>
    <t>APEX</t>
  </si>
  <si>
    <t>PO4076-UES-20250630 - RV Approved</t>
  </si>
  <si>
    <t>Rubicon INVWCRE-0069106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</si>
  <si>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</si>
  <si>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</si>
  <si>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</si>
  <si>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</si>
  <si>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</si>
  <si>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</si>
  <si>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Roof Replacement Budget</t>
  </si>
  <si>
    <t>Roof Replacement - Deposit</t>
  </si>
  <si>
    <t>PO3855-UESH-20250507 - RV Approved</t>
  </si>
  <si>
    <t>WC Ideal Solutions Inv: INV-0398</t>
  </si>
  <si>
    <t>Roof Replacement - Deposit Credit Note</t>
  </si>
  <si>
    <t>WC Ideal Solutions - CN-0400</t>
  </si>
  <si>
    <t>FMS Property - INV21346</t>
  </si>
  <si>
    <t>Roof Replacement - Weekly Completion</t>
  </si>
  <si>
    <t>Roof Replacement - Handover</t>
  </si>
  <si>
    <t>Anchor Points</t>
  </si>
  <si>
    <t>PO4378-UESH-20251017 - RV Approved</t>
  </si>
  <si>
    <t>INV000336</t>
  </si>
  <si>
    <t>Lithium Battery</t>
  </si>
  <si>
    <t>Red Pole - SO-35912</t>
  </si>
  <si>
    <t>Additional Roof Capex</t>
  </si>
  <si>
    <t>FMS Property - INV22455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</si>
  <si>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</si>
  <si>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</si>
  <si>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</si>
  <si>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</si>
  <si>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</si>
  <si>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</si>
  <si>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</si>
  <si>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</si>
  <si>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</si>
  <si>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</si>
  <si>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</si>
  <si>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Investments E041</t>
  </si>
  <si>
    <t>Structural Sign Off</t>
  </si>
  <si>
    <t>PO3799-UES-20250411 - RV Approved</t>
  </si>
  <si>
    <t>L&amp;B Consulting - INV-1963</t>
  </si>
  <si>
    <t>Grid Study</t>
  </si>
  <si>
    <t>PO4381-UESH-20251020 - RV Approved</t>
  </si>
  <si>
    <t>City of Cape Town - 708360339</t>
  </si>
  <si>
    <t>Red Team</t>
  </si>
  <si>
    <t>Matriarch - INV-6571</t>
  </si>
  <si>
    <t>BDP Commission</t>
  </si>
  <si>
    <t>12. BDP Commission</t>
  </si>
  <si>
    <t>Engineering</t>
  </si>
  <si>
    <t>Matriarch Defects Period - 0.8%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</si>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</sst>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66" fontId="5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77" xfId="0" applyNumberFormat="1" applyFont="1" applyFill="1" applyBorder="1" applyAlignment="1" applyProtection="1">
      <alignment horizontal="center"/>
      <protection locked="0"/>
    </xf>
    <xf numFmtId="14" fontId="5" fillId="13" borderId="78" xfId="0" applyNumberFormat="1" applyFont="1" applyFill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13" borderId="2" xfId="0" applyFont="1" applyFill="1" applyBorder="1" applyAlignment="1" applyProtection="1">
      <alignment horizontal="center" vertic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3" borderId="68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0" fontId="5" fillId="6" borderId="2" xfId="0" applyFont="1" applyFill="1" applyBorder="1"/>
    <xf numFmtId="1" fontId="6" fillId="7" borderId="0" xfId="0" applyNumberFormat="1" applyFont="1" applyFill="1" applyProtection="1">
      <protection locked="0"/>
    </xf>
    <xf numFmtId="1" fontId="7" fillId="7" borderId="0" xfId="0" applyNumberFormat="1" applyFont="1" applyFill="1" applyProtection="1"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" fontId="6" fillId="2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Protection="1">
      <protection locked="0"/>
    </xf>
    <xf numFmtId="1" fontId="6" fillId="7" borderId="2" xfId="0" applyNumberFormat="1" applyFont="1" applyFill="1" applyBorder="1" applyProtection="1">
      <protection locked="0"/>
    </xf>
    <xf numFmtId="0" fontId="24" fillId="7" borderId="2" xfId="0" applyFont="1" applyFill="1" applyBorder="1" applyProtection="1"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quotePrefix="1" applyNumberFormat="1" applyFont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0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5" fillId="0" borderId="2" xfId="0" applyFont="1" applyBorder="1"/>
    <xf numFmtId="0" fontId="6" fillId="0" borderId="0" xfId="0" applyFont="1"/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56" xfId="0" applyFont="1" applyFill="1" applyBorder="1" applyAlignment="1" applyProtection="1">
      <alignment horizontal="center" vertical="center"/>
      <protection locked="0"/>
    </xf>
    <xf numFmtId="0" fontId="5" fillId="13" borderId="65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2" fillId="13" borderId="13" xfId="3" applyFont="1" applyFill="1" applyBorder="1" applyAlignment="1" applyProtection="1">
      <alignment horizontal="center" vertical="center"/>
      <protection locked="0"/>
    </xf>
    <xf numFmtId="167" fontId="52" fillId="13" borderId="18" xfId="3" applyFont="1" applyFill="1" applyBorder="1" applyAlignment="1" applyProtection="1">
      <alignment horizontal="center" vertical="center"/>
      <protection locked="0"/>
    </xf>
    <xf numFmtId="167" fontId="52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chartsheet" Target="chartsheets/sheet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Milestone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Plan'!$V$62:$V$69</c:f>
              <c:numCache>
                <c:formatCode>d\-mmm\-yy</c:formatCode>
                <c:ptCount val="8"/>
                <c:pt idx="0">
                  <c:v>45756</c:v>
                </c:pt>
                <c:pt idx="1">
                  <c:v>45867</c:v>
                </c:pt>
                <c:pt idx="2">
                  <c:v>45860</c:v>
                </c:pt>
                <c:pt idx="3">
                  <c:v>45869</c:v>
                </c:pt>
                <c:pt idx="4">
                  <c:v>45966</c:v>
                </c:pt>
                <c:pt idx="5">
                  <c:v>46072</c:v>
                </c:pt>
                <c:pt idx="6">
                  <c:v>46077</c:v>
                </c:pt>
                <c:pt idx="7">
                  <c:v>46073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8-4970-9C32-195F544422C9}"/>
            </c:ext>
          </c:extLst>
        </c:ser>
        <c:ser>
          <c:idx val="1"/>
          <c:order val="1"/>
          <c:tx>
            <c:v>Duration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Plan'!$W$62:$W$69</c:f>
              <c:numCache>
                <c:formatCode>0</c:formatCode>
                <c:ptCount val="8"/>
                <c:pt idx="0">
                  <c:v>111</c:v>
                </c:pt>
                <c:pt idx="1">
                  <c:v>1</c:v>
                </c:pt>
                <c:pt idx="2">
                  <c:v>134</c:v>
                </c:pt>
                <c:pt idx="3">
                  <c:v>202</c:v>
                </c:pt>
                <c:pt idx="4">
                  <c:v>84</c:v>
                </c:pt>
                <c:pt idx="5">
                  <c:v>1</c:v>
                </c:pt>
                <c:pt idx="6">
                  <c:v>1</c:v>
                </c:pt>
                <c:pt idx="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28-4970-9C32-195F54442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564446416"/>
        <c:axId val="1564447856"/>
      </c:barChart>
      <c:catAx>
        <c:axId val="15644464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7856"/>
        <c:crosses val="autoZero"/>
        <c:auto val="1"/>
        <c:lblAlgn val="ctr"/>
        <c:lblOffset val="100"/>
        <c:noMultiLvlLbl val="0"/>
      </c:catAx>
      <c:valAx>
        <c:axId val="1564447856"/>
        <c:scaling>
          <c:orientation val="minMax"/>
          <c:min val="4574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6416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2324104.2579999999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5644253.1979999999</c:v>
                </c:pt>
                <c:pt idx="41">
                  <c:v>5644253.1979999999</c:v>
                </c:pt>
                <c:pt idx="42">
                  <c:v>5644253.1979999999</c:v>
                </c:pt>
                <c:pt idx="43">
                  <c:v>6640297.8799999999</c:v>
                </c:pt>
                <c:pt idx="44">
                  <c:v>8633666.5756521747</c:v>
                </c:pt>
                <c:pt idx="45">
                  <c:v>8633666.5756521747</c:v>
                </c:pt>
                <c:pt idx="46">
                  <c:v>8633666.5756521747</c:v>
                </c:pt>
                <c:pt idx="47">
                  <c:v>8633666.5756521747</c:v>
                </c:pt>
                <c:pt idx="48">
                  <c:v>8633666.5756521747</c:v>
                </c:pt>
                <c:pt idx="49">
                  <c:v>8633666.5756521747</c:v>
                </c:pt>
                <c:pt idx="50">
                  <c:v>8633666.5756521747</c:v>
                </c:pt>
                <c:pt idx="51">
                  <c:v>8633666.5756521747</c:v>
                </c:pt>
                <c:pt idx="52">
                  <c:v>8633666.5756521747</c:v>
                </c:pt>
                <c:pt idx="53">
                  <c:v>8633666.5756521747</c:v>
                </c:pt>
                <c:pt idx="54">
                  <c:v>8633666.5756521747</c:v>
                </c:pt>
                <c:pt idx="55">
                  <c:v>8633666.5756521747</c:v>
                </c:pt>
                <c:pt idx="56">
                  <c:v>8633666.5756521747</c:v>
                </c:pt>
                <c:pt idx="57">
                  <c:v>8633666.5756521747</c:v>
                </c:pt>
                <c:pt idx="58">
                  <c:v>8633666.5756521747</c:v>
                </c:pt>
                <c:pt idx="59">
                  <c:v>8633666.5756521747</c:v>
                </c:pt>
                <c:pt idx="60">
                  <c:v>8633666.5756521747</c:v>
                </c:pt>
                <c:pt idx="61">
                  <c:v>8633666.5756521747</c:v>
                </c:pt>
                <c:pt idx="62">
                  <c:v>8633666.5756521747</c:v>
                </c:pt>
                <c:pt idx="63">
                  <c:v>8633666.5756521747</c:v>
                </c:pt>
                <c:pt idx="64">
                  <c:v>8633666.5756521747</c:v>
                </c:pt>
                <c:pt idx="65">
                  <c:v>8633666.5756521747</c:v>
                </c:pt>
                <c:pt idx="66">
                  <c:v>8633666.5756521747</c:v>
                </c:pt>
                <c:pt idx="67">
                  <c:v>8633666.5756521747</c:v>
                </c:pt>
                <c:pt idx="68">
                  <c:v>8633666.5756521747</c:v>
                </c:pt>
                <c:pt idx="69">
                  <c:v>8633666.5756521747</c:v>
                </c:pt>
                <c:pt idx="70">
                  <c:v>8633666.5756521747</c:v>
                </c:pt>
                <c:pt idx="71">
                  <c:v>8633666.5756521747</c:v>
                </c:pt>
                <c:pt idx="72">
                  <c:v>8633666.5756521747</c:v>
                </c:pt>
                <c:pt idx="73">
                  <c:v>8633666.5756521747</c:v>
                </c:pt>
                <c:pt idx="74">
                  <c:v>8633666.5756521747</c:v>
                </c:pt>
                <c:pt idx="75">
                  <c:v>8633666.5756521747</c:v>
                </c:pt>
                <c:pt idx="76">
                  <c:v>8633666.5756521747</c:v>
                </c:pt>
                <c:pt idx="77">
                  <c:v>8633666.5756521747</c:v>
                </c:pt>
                <c:pt idx="78">
                  <c:v>8633666.5756521747</c:v>
                </c:pt>
                <c:pt idx="79">
                  <c:v>8633666.5756521747</c:v>
                </c:pt>
                <c:pt idx="80">
                  <c:v>8633666.5756521747</c:v>
                </c:pt>
                <c:pt idx="81">
                  <c:v>8633666.5756521747</c:v>
                </c:pt>
                <c:pt idx="82">
                  <c:v>8633666.5756521747</c:v>
                </c:pt>
                <c:pt idx="83">
                  <c:v>8633666.5756521747</c:v>
                </c:pt>
                <c:pt idx="84">
                  <c:v>8633666.5756521747</c:v>
                </c:pt>
                <c:pt idx="85">
                  <c:v>8633666.5756521747</c:v>
                </c:pt>
                <c:pt idx="86">
                  <c:v>8633666.5756521747</c:v>
                </c:pt>
                <c:pt idx="87">
                  <c:v>8633666.5756521747</c:v>
                </c:pt>
                <c:pt idx="88">
                  <c:v>8633666.5756521747</c:v>
                </c:pt>
                <c:pt idx="89">
                  <c:v>8633666.5756521747</c:v>
                </c:pt>
                <c:pt idx="90">
                  <c:v>8633666.5756521747</c:v>
                </c:pt>
                <c:pt idx="91">
                  <c:v>8633666.5756521747</c:v>
                </c:pt>
                <c:pt idx="92">
                  <c:v>8633666.5756521747</c:v>
                </c:pt>
                <c:pt idx="93">
                  <c:v>8633666.5756521747</c:v>
                </c:pt>
                <c:pt idx="94">
                  <c:v>8633666.5756521747</c:v>
                </c:pt>
                <c:pt idx="95">
                  <c:v>8633666.5756521747</c:v>
                </c:pt>
                <c:pt idx="96">
                  <c:v>8633666.5756521747</c:v>
                </c:pt>
                <c:pt idx="97">
                  <c:v>8633666.5756521747</c:v>
                </c:pt>
                <c:pt idx="98">
                  <c:v>8633666.5756521747</c:v>
                </c:pt>
                <c:pt idx="99">
                  <c:v>8633666.5756521747</c:v>
                </c:pt>
                <c:pt idx="100">
                  <c:v>8633666.5756521747</c:v>
                </c:pt>
                <c:pt idx="101">
                  <c:v>8633666.5756521747</c:v>
                </c:pt>
                <c:pt idx="102">
                  <c:v>8633666.5756521747</c:v>
                </c:pt>
                <c:pt idx="103">
                  <c:v>8633666.5756521747</c:v>
                </c:pt>
                <c:pt idx="104">
                  <c:v>8633666.5756521747</c:v>
                </c:pt>
                <c:pt idx="105">
                  <c:v>8633666.5756521747</c:v>
                </c:pt>
                <c:pt idx="106">
                  <c:v>8633666.5756521747</c:v>
                </c:pt>
                <c:pt idx="107">
                  <c:v>8633666.5756521747</c:v>
                </c:pt>
                <c:pt idx="108">
                  <c:v>8633666.5756521747</c:v>
                </c:pt>
                <c:pt idx="109">
                  <c:v>8633666.5756521747</c:v>
                </c:pt>
                <c:pt idx="110">
                  <c:v>8633666.5756521747</c:v>
                </c:pt>
                <c:pt idx="111">
                  <c:v>8633666.5756521747</c:v>
                </c:pt>
                <c:pt idx="112">
                  <c:v>8633666.5756521747</c:v>
                </c:pt>
                <c:pt idx="113">
                  <c:v>8633666.5756521747</c:v>
                </c:pt>
                <c:pt idx="114">
                  <c:v>8633666.5756521747</c:v>
                </c:pt>
                <c:pt idx="115">
                  <c:v>8633666.5756521747</c:v>
                </c:pt>
                <c:pt idx="116">
                  <c:v>8633666.5756521747</c:v>
                </c:pt>
                <c:pt idx="117">
                  <c:v>8633666.5756521747</c:v>
                </c:pt>
                <c:pt idx="118">
                  <c:v>8633666.5756521747</c:v>
                </c:pt>
                <c:pt idx="119">
                  <c:v>8633666.5756521747</c:v>
                </c:pt>
                <c:pt idx="120">
                  <c:v>8633666.5756521747</c:v>
                </c:pt>
                <c:pt idx="121">
                  <c:v>8633666.5756521747</c:v>
                </c:pt>
                <c:pt idx="122">
                  <c:v>8633666.5756521747</c:v>
                </c:pt>
                <c:pt idx="123">
                  <c:v>8633666.5756521747</c:v>
                </c:pt>
                <c:pt idx="124">
                  <c:v>8633666.5756521747</c:v>
                </c:pt>
                <c:pt idx="125">
                  <c:v>8633666.5756521747</c:v>
                </c:pt>
                <c:pt idx="126">
                  <c:v>8633666.5756521747</c:v>
                </c:pt>
                <c:pt idx="127">
                  <c:v>8633666.5756521747</c:v>
                </c:pt>
                <c:pt idx="128">
                  <c:v>8633666.5756521747</c:v>
                </c:pt>
                <c:pt idx="129">
                  <c:v>8633666.5756521747</c:v>
                </c:pt>
                <c:pt idx="130">
                  <c:v>8633666.5756521747</c:v>
                </c:pt>
                <c:pt idx="131">
                  <c:v>8633666.5756521747</c:v>
                </c:pt>
                <c:pt idx="132">
                  <c:v>8633666.5756521747</c:v>
                </c:pt>
                <c:pt idx="133">
                  <c:v>8633666.5756521747</c:v>
                </c:pt>
                <c:pt idx="134">
                  <c:v>8633666.5756521747</c:v>
                </c:pt>
                <c:pt idx="135">
                  <c:v>8633666.5756521747</c:v>
                </c:pt>
                <c:pt idx="136">
                  <c:v>8633666.5756521747</c:v>
                </c:pt>
                <c:pt idx="137">
                  <c:v>8633666.5756521747</c:v>
                </c:pt>
                <c:pt idx="138">
                  <c:v>8633666.5756521747</c:v>
                </c:pt>
                <c:pt idx="139">
                  <c:v>8633666.5756521747</c:v>
                </c:pt>
                <c:pt idx="140">
                  <c:v>8633666.5756521747</c:v>
                </c:pt>
                <c:pt idx="141">
                  <c:v>8633666.5756521747</c:v>
                </c:pt>
                <c:pt idx="142">
                  <c:v>8633666.5756521747</c:v>
                </c:pt>
                <c:pt idx="143">
                  <c:v>8633666.5756521747</c:v>
                </c:pt>
                <c:pt idx="144">
                  <c:v>8633666.5756521747</c:v>
                </c:pt>
                <c:pt idx="145">
                  <c:v>8633666.5756521747</c:v>
                </c:pt>
                <c:pt idx="146">
                  <c:v>8633666.5756521747</c:v>
                </c:pt>
                <c:pt idx="147">
                  <c:v>8633666.5756521747</c:v>
                </c:pt>
                <c:pt idx="148">
                  <c:v>8633666.5756521747</c:v>
                </c:pt>
                <c:pt idx="149">
                  <c:v>8633666.5756521747</c:v>
                </c:pt>
                <c:pt idx="150">
                  <c:v>8633666.5756521747</c:v>
                </c:pt>
                <c:pt idx="151">
                  <c:v>8633666.5756521747</c:v>
                </c:pt>
                <c:pt idx="152">
                  <c:v>8633666.5756521747</c:v>
                </c:pt>
                <c:pt idx="153">
                  <c:v>8633666.5756521747</c:v>
                </c:pt>
                <c:pt idx="154">
                  <c:v>8633666.5756521747</c:v>
                </c:pt>
                <c:pt idx="155">
                  <c:v>8633666.5756521747</c:v>
                </c:pt>
                <c:pt idx="156">
                  <c:v>8633666.5756521747</c:v>
                </c:pt>
                <c:pt idx="157">
                  <c:v>8633666.5756521747</c:v>
                </c:pt>
                <c:pt idx="158">
                  <c:v>8633666.5756521747</c:v>
                </c:pt>
                <c:pt idx="159">
                  <c:v>8633666.5756521747</c:v>
                </c:pt>
                <c:pt idx="160">
                  <c:v>8633666.5756521747</c:v>
                </c:pt>
                <c:pt idx="161">
                  <c:v>8633666.5756521747</c:v>
                </c:pt>
                <c:pt idx="162">
                  <c:v>8633666.5756521747</c:v>
                </c:pt>
                <c:pt idx="163">
                  <c:v>8633666.5756521747</c:v>
                </c:pt>
                <c:pt idx="164">
                  <c:v>8633666.5756521747</c:v>
                </c:pt>
                <c:pt idx="165">
                  <c:v>8633666.5756521747</c:v>
                </c:pt>
                <c:pt idx="166">
                  <c:v>8633666.5756521747</c:v>
                </c:pt>
                <c:pt idx="167">
                  <c:v>8633666.5756521747</c:v>
                </c:pt>
                <c:pt idx="168">
                  <c:v>8633666.5756521747</c:v>
                </c:pt>
                <c:pt idx="169">
                  <c:v>8633666.5756521747</c:v>
                </c:pt>
                <c:pt idx="170">
                  <c:v>8633666.5756521747</c:v>
                </c:pt>
                <c:pt idx="171">
                  <c:v>8633666.5756521747</c:v>
                </c:pt>
                <c:pt idx="172">
                  <c:v>8633666.5756521747</c:v>
                </c:pt>
                <c:pt idx="173">
                  <c:v>8633666.5756521747</c:v>
                </c:pt>
                <c:pt idx="174">
                  <c:v>8633666.5756521747</c:v>
                </c:pt>
                <c:pt idx="175">
                  <c:v>8633666.5756521747</c:v>
                </c:pt>
                <c:pt idx="176">
                  <c:v>8633666.5756521747</c:v>
                </c:pt>
                <c:pt idx="177">
                  <c:v>8633666.5756521747</c:v>
                </c:pt>
                <c:pt idx="178">
                  <c:v>8633666.5756521747</c:v>
                </c:pt>
                <c:pt idx="179">
                  <c:v>8633666.5756521747</c:v>
                </c:pt>
                <c:pt idx="180">
                  <c:v>8633666.5756521747</c:v>
                </c:pt>
                <c:pt idx="181">
                  <c:v>8633666.5756521747</c:v>
                </c:pt>
                <c:pt idx="182">
                  <c:v>8633666.5756521747</c:v>
                </c:pt>
                <c:pt idx="183">
                  <c:v>8633666.5756521747</c:v>
                </c:pt>
                <c:pt idx="184">
                  <c:v>8633666.5756521747</c:v>
                </c:pt>
                <c:pt idx="185">
                  <c:v>8633666.5756521747</c:v>
                </c:pt>
                <c:pt idx="186">
                  <c:v>8633666.5756521747</c:v>
                </c:pt>
                <c:pt idx="187">
                  <c:v>8633666.5756521747</c:v>
                </c:pt>
                <c:pt idx="188">
                  <c:v>8633666.5756521747</c:v>
                </c:pt>
                <c:pt idx="189">
                  <c:v>8633666.5756521747</c:v>
                </c:pt>
                <c:pt idx="190">
                  <c:v>8633666.5756521747</c:v>
                </c:pt>
                <c:pt idx="191">
                  <c:v>8633666.5756521747</c:v>
                </c:pt>
                <c:pt idx="192">
                  <c:v>8633666.5756521747</c:v>
                </c:pt>
                <c:pt idx="193">
                  <c:v>8633666.5756521747</c:v>
                </c:pt>
                <c:pt idx="194">
                  <c:v>8633666.5756521747</c:v>
                </c:pt>
                <c:pt idx="195">
                  <c:v>8633666.5756521747</c:v>
                </c:pt>
                <c:pt idx="196">
                  <c:v>8633666.5756521747</c:v>
                </c:pt>
                <c:pt idx="197">
                  <c:v>8633666.5756521747</c:v>
                </c:pt>
                <c:pt idx="198">
                  <c:v>8633666.5756521747</c:v>
                </c:pt>
                <c:pt idx="199">
                  <c:v>8633666.5756521747</c:v>
                </c:pt>
                <c:pt idx="200">
                  <c:v>8633666.5756521747</c:v>
                </c:pt>
                <c:pt idx="201">
                  <c:v>8633666.5756521747</c:v>
                </c:pt>
                <c:pt idx="202">
                  <c:v>8633666.5756521747</c:v>
                </c:pt>
                <c:pt idx="203">
                  <c:v>8633666.5756521747</c:v>
                </c:pt>
                <c:pt idx="204">
                  <c:v>8633666.5756521747</c:v>
                </c:pt>
                <c:pt idx="205">
                  <c:v>8633666.5756521747</c:v>
                </c:pt>
                <c:pt idx="206">
                  <c:v>8633666.5756521747</c:v>
                </c:pt>
                <c:pt idx="207">
                  <c:v>8633666.5756521747</c:v>
                </c:pt>
                <c:pt idx="208">
                  <c:v>8633666.5756521747</c:v>
                </c:pt>
                <c:pt idx="209">
                  <c:v>8633666.5756521747</c:v>
                </c:pt>
                <c:pt idx="210">
                  <c:v>8633666.5756521747</c:v>
                </c:pt>
                <c:pt idx="211">
                  <c:v>8633666.5756521747</c:v>
                </c:pt>
                <c:pt idx="212">
                  <c:v>8633666.5756521747</c:v>
                </c:pt>
                <c:pt idx="213">
                  <c:v>8633666.5756521747</c:v>
                </c:pt>
                <c:pt idx="214">
                  <c:v>8633666.5756521747</c:v>
                </c:pt>
                <c:pt idx="215">
                  <c:v>8633666.5756521747</c:v>
                </c:pt>
                <c:pt idx="216">
                  <c:v>8633666.5756521747</c:v>
                </c:pt>
                <c:pt idx="217">
                  <c:v>8633666.5756521747</c:v>
                </c:pt>
                <c:pt idx="218">
                  <c:v>8633666.5756521747</c:v>
                </c:pt>
                <c:pt idx="219">
                  <c:v>8633666.5756521747</c:v>
                </c:pt>
                <c:pt idx="220">
                  <c:v>8633666.5756521747</c:v>
                </c:pt>
                <c:pt idx="221">
                  <c:v>8633666.5756521747</c:v>
                </c:pt>
                <c:pt idx="222">
                  <c:v>8633666.5756521747</c:v>
                </c:pt>
                <c:pt idx="223">
                  <c:v>8633666.5756521747</c:v>
                </c:pt>
                <c:pt idx="224">
                  <c:v>8633666.5756521747</c:v>
                </c:pt>
                <c:pt idx="225">
                  <c:v>8633666.5756521747</c:v>
                </c:pt>
                <c:pt idx="226">
                  <c:v>8633666.5756521747</c:v>
                </c:pt>
                <c:pt idx="227">
                  <c:v>8633666.5756521747</c:v>
                </c:pt>
                <c:pt idx="228">
                  <c:v>8633666.5756521747</c:v>
                </c:pt>
                <c:pt idx="229">
                  <c:v>8633666.5756521747</c:v>
                </c:pt>
                <c:pt idx="230">
                  <c:v>8633666.5756521747</c:v>
                </c:pt>
                <c:pt idx="231">
                  <c:v>8633666.5756521747</c:v>
                </c:pt>
                <c:pt idx="232">
                  <c:v>8633666.5756521747</c:v>
                </c:pt>
                <c:pt idx="233">
                  <c:v>8633666.5756521747</c:v>
                </c:pt>
                <c:pt idx="234">
                  <c:v>8633666.5756521747</c:v>
                </c:pt>
                <c:pt idx="235">
                  <c:v>8633666.5756521747</c:v>
                </c:pt>
                <c:pt idx="236">
                  <c:v>8633666.5756521747</c:v>
                </c:pt>
                <c:pt idx="237">
                  <c:v>8633666.5756521747</c:v>
                </c:pt>
                <c:pt idx="238">
                  <c:v>8633666.5756521747</c:v>
                </c:pt>
                <c:pt idx="239">
                  <c:v>8633666.5756521747</c:v>
                </c:pt>
                <c:pt idx="240">
                  <c:v>8633666.5756521747</c:v>
                </c:pt>
                <c:pt idx="241">
                  <c:v>8633666.5756521747</c:v>
                </c:pt>
                <c:pt idx="242">
                  <c:v>8633666.5756521747</c:v>
                </c:pt>
                <c:pt idx="243">
                  <c:v>8633666.5756521747</c:v>
                </c:pt>
                <c:pt idx="244">
                  <c:v>8633666.5756521747</c:v>
                </c:pt>
                <c:pt idx="245">
                  <c:v>8633666.5756521747</c:v>
                </c:pt>
                <c:pt idx="246">
                  <c:v>8633666.5756521747</c:v>
                </c:pt>
                <c:pt idx="247">
                  <c:v>8633666.5756521747</c:v>
                </c:pt>
                <c:pt idx="248">
                  <c:v>8633666.5756521747</c:v>
                </c:pt>
                <c:pt idx="249">
                  <c:v>8633666.5756521747</c:v>
                </c:pt>
                <c:pt idx="250">
                  <c:v>8633666.5756521747</c:v>
                </c:pt>
                <c:pt idx="251">
                  <c:v>8633666.5756521747</c:v>
                </c:pt>
                <c:pt idx="252">
                  <c:v>8633666.5756521747</c:v>
                </c:pt>
                <c:pt idx="253">
                  <c:v>8633666.5756521747</c:v>
                </c:pt>
                <c:pt idx="254">
                  <c:v>8633666.5756521747</c:v>
                </c:pt>
                <c:pt idx="255">
                  <c:v>8633666.5756521747</c:v>
                </c:pt>
                <c:pt idx="256">
                  <c:v>8633666.5756521747</c:v>
                </c:pt>
                <c:pt idx="257">
                  <c:v>8633666.5756521747</c:v>
                </c:pt>
                <c:pt idx="258">
                  <c:v>8633666.5756521747</c:v>
                </c:pt>
                <c:pt idx="259">
                  <c:v>8633666.5756521747</c:v>
                </c:pt>
                <c:pt idx="260">
                  <c:v>8633666.5756521747</c:v>
                </c:pt>
                <c:pt idx="261">
                  <c:v>8633666.5756521747</c:v>
                </c:pt>
                <c:pt idx="262">
                  <c:v>8633666.5756521747</c:v>
                </c:pt>
                <c:pt idx="263">
                  <c:v>8633666.5756521747</c:v>
                </c:pt>
                <c:pt idx="264">
                  <c:v>8633666.5756521747</c:v>
                </c:pt>
                <c:pt idx="265">
                  <c:v>8633666.5756521747</c:v>
                </c:pt>
                <c:pt idx="266">
                  <c:v>8633666.5756521747</c:v>
                </c:pt>
                <c:pt idx="267">
                  <c:v>8633666.5756521747</c:v>
                </c:pt>
                <c:pt idx="268">
                  <c:v>8633666.5756521747</c:v>
                </c:pt>
                <c:pt idx="269">
                  <c:v>8633666.5756521747</c:v>
                </c:pt>
                <c:pt idx="270">
                  <c:v>8633666.5756521747</c:v>
                </c:pt>
                <c:pt idx="271">
                  <c:v>8633666.5756521747</c:v>
                </c:pt>
                <c:pt idx="272">
                  <c:v>8633666.5756521747</c:v>
                </c:pt>
                <c:pt idx="273">
                  <c:v>8633666.5756521747</c:v>
                </c:pt>
                <c:pt idx="274">
                  <c:v>8633666.5756521747</c:v>
                </c:pt>
                <c:pt idx="275">
                  <c:v>8633666.5756521747</c:v>
                </c:pt>
                <c:pt idx="276">
                  <c:v>8633666.5756521747</c:v>
                </c:pt>
                <c:pt idx="277">
                  <c:v>8633666.5756521747</c:v>
                </c:pt>
                <c:pt idx="278">
                  <c:v>8633666.5756521747</c:v>
                </c:pt>
                <c:pt idx="279">
                  <c:v>8633666.5756521747</c:v>
                </c:pt>
                <c:pt idx="280">
                  <c:v>8633666.5756521747</c:v>
                </c:pt>
                <c:pt idx="281">
                  <c:v>8633666.5756521747</c:v>
                </c:pt>
                <c:pt idx="282">
                  <c:v>8633666.5756521747</c:v>
                </c:pt>
                <c:pt idx="283">
                  <c:v>8633666.5756521747</c:v>
                </c:pt>
                <c:pt idx="284">
                  <c:v>8633666.5756521747</c:v>
                </c:pt>
                <c:pt idx="285">
                  <c:v>8633666.5756521747</c:v>
                </c:pt>
                <c:pt idx="286">
                  <c:v>8633666.5756521747</c:v>
                </c:pt>
                <c:pt idx="287">
                  <c:v>8633666.5756521747</c:v>
                </c:pt>
                <c:pt idx="288">
                  <c:v>8633666.5756521747</c:v>
                </c:pt>
                <c:pt idx="289">
                  <c:v>8633666.5756521747</c:v>
                </c:pt>
                <c:pt idx="290">
                  <c:v>8633666.5756521747</c:v>
                </c:pt>
                <c:pt idx="291">
                  <c:v>8633666.5756521747</c:v>
                </c:pt>
                <c:pt idx="292">
                  <c:v>8633666.5756521747</c:v>
                </c:pt>
                <c:pt idx="293">
                  <c:v>8633666.5756521747</c:v>
                </c:pt>
                <c:pt idx="294">
                  <c:v>8633666.5756521747</c:v>
                </c:pt>
                <c:pt idx="295">
                  <c:v>8633666.5756521747</c:v>
                </c:pt>
                <c:pt idx="296">
                  <c:v>8633666.5756521747</c:v>
                </c:pt>
                <c:pt idx="297">
                  <c:v>8633666.5756521747</c:v>
                </c:pt>
                <c:pt idx="298">
                  <c:v>8633666.5756521747</c:v>
                </c:pt>
                <c:pt idx="299">
                  <c:v>8633666.5756521747</c:v>
                </c:pt>
                <c:pt idx="300">
                  <c:v>8633666.5756521747</c:v>
                </c:pt>
                <c:pt idx="301">
                  <c:v>8633666.5756521747</c:v>
                </c:pt>
                <c:pt idx="302">
                  <c:v>8633666.5756521747</c:v>
                </c:pt>
                <c:pt idx="303">
                  <c:v>8633666.5756521747</c:v>
                </c:pt>
                <c:pt idx="304">
                  <c:v>8633666.5756521747</c:v>
                </c:pt>
                <c:pt idx="305">
                  <c:v>8633666.5756521747</c:v>
                </c:pt>
                <c:pt idx="306">
                  <c:v>8633666.5756521747</c:v>
                </c:pt>
                <c:pt idx="307">
                  <c:v>8633666.5756521747</c:v>
                </c:pt>
                <c:pt idx="308">
                  <c:v>8633666.5756521747</c:v>
                </c:pt>
                <c:pt idx="309">
                  <c:v>8633666.5756521747</c:v>
                </c:pt>
                <c:pt idx="310">
                  <c:v>8633666.5756521747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7875</c:v>
                </c:pt>
                <c:pt idx="16">
                  <c:v>2007875</c:v>
                </c:pt>
                <c:pt idx="17">
                  <c:v>2007875</c:v>
                </c:pt>
                <c:pt idx="18">
                  <c:v>2007875</c:v>
                </c:pt>
                <c:pt idx="19">
                  <c:v>2007875</c:v>
                </c:pt>
                <c:pt idx="20">
                  <c:v>2007875</c:v>
                </c:pt>
                <c:pt idx="21">
                  <c:v>2007875</c:v>
                </c:pt>
                <c:pt idx="22">
                  <c:v>2007875</c:v>
                </c:pt>
                <c:pt idx="23">
                  <c:v>2007875</c:v>
                </c:pt>
                <c:pt idx="24">
                  <c:v>2007875</c:v>
                </c:pt>
                <c:pt idx="25">
                  <c:v>2007875</c:v>
                </c:pt>
                <c:pt idx="26">
                  <c:v>2101922</c:v>
                </c:pt>
                <c:pt idx="27">
                  <c:v>2275922</c:v>
                </c:pt>
                <c:pt idx="28">
                  <c:v>2275922</c:v>
                </c:pt>
                <c:pt idx="29">
                  <c:v>2705538.5</c:v>
                </c:pt>
                <c:pt idx="30">
                  <c:v>2705538.5</c:v>
                </c:pt>
                <c:pt idx="31">
                  <c:v>4214291.37</c:v>
                </c:pt>
                <c:pt idx="32">
                  <c:v>4214291.37</c:v>
                </c:pt>
                <c:pt idx="33">
                  <c:v>4214291.37</c:v>
                </c:pt>
                <c:pt idx="34">
                  <c:v>4214291.37</c:v>
                </c:pt>
                <c:pt idx="35">
                  <c:v>5836403.21</c:v>
                </c:pt>
                <c:pt idx="36">
                  <c:v>5836403.21</c:v>
                </c:pt>
                <c:pt idx="37">
                  <c:v>5836403.21</c:v>
                </c:pt>
                <c:pt idx="38">
                  <c:v>5836403.21</c:v>
                </c:pt>
                <c:pt idx="39">
                  <c:v>5836403.21</c:v>
                </c:pt>
                <c:pt idx="40">
                  <c:v>5836403.21</c:v>
                </c:pt>
                <c:pt idx="41">
                  <c:v>5836403.21</c:v>
                </c:pt>
                <c:pt idx="42">
                  <c:v>5836403.21</c:v>
                </c:pt>
                <c:pt idx="43">
                  <c:v>5836403.21</c:v>
                </c:pt>
                <c:pt idx="44">
                  <c:v>5836403.21</c:v>
                </c:pt>
                <c:pt idx="45">
                  <c:v>5836403.21</c:v>
                </c:pt>
                <c:pt idx="46">
                  <c:v>5836403.21</c:v>
                </c:pt>
                <c:pt idx="47">
                  <c:v>5836403.21</c:v>
                </c:pt>
                <c:pt idx="48">
                  <c:v>5836403.21</c:v>
                </c:pt>
                <c:pt idx="49">
                  <c:v>5836403.21</c:v>
                </c:pt>
                <c:pt idx="50">
                  <c:v>5836403.21</c:v>
                </c:pt>
                <c:pt idx="51">
                  <c:v>5836403.21</c:v>
                </c:pt>
                <c:pt idx="52">
                  <c:v>5836403.21</c:v>
                </c:pt>
                <c:pt idx="53">
                  <c:v>5836403.21</c:v>
                </c:pt>
                <c:pt idx="54">
                  <c:v>5836403.21</c:v>
                </c:pt>
                <c:pt idx="55">
                  <c:v>5836403.21</c:v>
                </c:pt>
                <c:pt idx="56">
                  <c:v>5836403.21</c:v>
                </c:pt>
                <c:pt idx="57">
                  <c:v>5836403.21</c:v>
                </c:pt>
                <c:pt idx="58">
                  <c:v>5836403.21</c:v>
                </c:pt>
                <c:pt idx="59">
                  <c:v>5836403.21</c:v>
                </c:pt>
                <c:pt idx="60">
                  <c:v>5836403.21</c:v>
                </c:pt>
                <c:pt idx="61">
                  <c:v>5836403.21</c:v>
                </c:pt>
                <c:pt idx="62">
                  <c:v>5836403.21</c:v>
                </c:pt>
                <c:pt idx="63">
                  <c:v>5836403.21</c:v>
                </c:pt>
                <c:pt idx="64">
                  <c:v>5836403.21</c:v>
                </c:pt>
                <c:pt idx="65">
                  <c:v>5836403.21</c:v>
                </c:pt>
                <c:pt idx="66">
                  <c:v>5836403.21</c:v>
                </c:pt>
                <c:pt idx="67">
                  <c:v>5836403.21</c:v>
                </c:pt>
                <c:pt idx="68">
                  <c:v>5836403.21</c:v>
                </c:pt>
                <c:pt idx="69">
                  <c:v>5836403.21</c:v>
                </c:pt>
                <c:pt idx="70">
                  <c:v>5836403.21</c:v>
                </c:pt>
                <c:pt idx="71">
                  <c:v>5836403.21</c:v>
                </c:pt>
                <c:pt idx="72">
                  <c:v>5836403.21</c:v>
                </c:pt>
                <c:pt idx="73">
                  <c:v>5836403.21</c:v>
                </c:pt>
                <c:pt idx="74">
                  <c:v>5836403.21</c:v>
                </c:pt>
                <c:pt idx="75">
                  <c:v>5836403.21</c:v>
                </c:pt>
                <c:pt idx="76">
                  <c:v>5836403.21</c:v>
                </c:pt>
                <c:pt idx="77">
                  <c:v>5836403.21</c:v>
                </c:pt>
                <c:pt idx="78">
                  <c:v>5836403.21</c:v>
                </c:pt>
                <c:pt idx="79">
                  <c:v>5836403.21</c:v>
                </c:pt>
                <c:pt idx="80">
                  <c:v>5836403.21</c:v>
                </c:pt>
                <c:pt idx="81">
                  <c:v>5836403.21</c:v>
                </c:pt>
                <c:pt idx="82">
                  <c:v>5836403.21</c:v>
                </c:pt>
                <c:pt idx="83">
                  <c:v>5836403.21</c:v>
                </c:pt>
                <c:pt idx="84">
                  <c:v>5836403.21</c:v>
                </c:pt>
                <c:pt idx="85">
                  <c:v>5836403.21</c:v>
                </c:pt>
                <c:pt idx="86">
                  <c:v>5836403.21</c:v>
                </c:pt>
                <c:pt idx="87">
                  <c:v>5836403.21</c:v>
                </c:pt>
                <c:pt idx="88">
                  <c:v>5836403.21</c:v>
                </c:pt>
                <c:pt idx="89">
                  <c:v>5836403.21</c:v>
                </c:pt>
                <c:pt idx="90">
                  <c:v>5836403.21</c:v>
                </c:pt>
                <c:pt idx="91">
                  <c:v>5836403.21</c:v>
                </c:pt>
                <c:pt idx="92">
                  <c:v>5836403.21</c:v>
                </c:pt>
                <c:pt idx="93">
                  <c:v>5836403.21</c:v>
                </c:pt>
                <c:pt idx="94">
                  <c:v>5836403.21</c:v>
                </c:pt>
                <c:pt idx="95">
                  <c:v>5836403.21</c:v>
                </c:pt>
                <c:pt idx="96">
                  <c:v>5836403.21</c:v>
                </c:pt>
                <c:pt idx="97">
                  <c:v>5836403.21</c:v>
                </c:pt>
                <c:pt idx="98">
                  <c:v>5836403.21</c:v>
                </c:pt>
                <c:pt idx="99">
                  <c:v>5836403.21</c:v>
                </c:pt>
                <c:pt idx="100">
                  <c:v>5836403.21</c:v>
                </c:pt>
                <c:pt idx="101">
                  <c:v>5836403.21</c:v>
                </c:pt>
                <c:pt idx="102">
                  <c:v>5836403.21</c:v>
                </c:pt>
                <c:pt idx="103">
                  <c:v>5836403.21</c:v>
                </c:pt>
                <c:pt idx="104">
                  <c:v>5836403.21</c:v>
                </c:pt>
                <c:pt idx="105">
                  <c:v>5836403.21</c:v>
                </c:pt>
                <c:pt idx="106">
                  <c:v>5836403.21</c:v>
                </c:pt>
                <c:pt idx="107">
                  <c:v>5836403.21</c:v>
                </c:pt>
                <c:pt idx="108">
                  <c:v>5836403.21</c:v>
                </c:pt>
                <c:pt idx="109">
                  <c:v>5836403.21</c:v>
                </c:pt>
                <c:pt idx="110">
                  <c:v>5836403.21</c:v>
                </c:pt>
                <c:pt idx="111">
                  <c:v>5836403.21</c:v>
                </c:pt>
                <c:pt idx="112">
                  <c:v>5836403.21</c:v>
                </c:pt>
                <c:pt idx="113">
                  <c:v>5836403.21</c:v>
                </c:pt>
                <c:pt idx="114">
                  <c:v>5836403.21</c:v>
                </c:pt>
                <c:pt idx="115">
                  <c:v>5836403.21</c:v>
                </c:pt>
                <c:pt idx="116">
                  <c:v>5836403.21</c:v>
                </c:pt>
                <c:pt idx="117">
                  <c:v>5836403.21</c:v>
                </c:pt>
                <c:pt idx="118">
                  <c:v>5836403.21</c:v>
                </c:pt>
                <c:pt idx="119">
                  <c:v>5836403.21</c:v>
                </c:pt>
                <c:pt idx="120">
                  <c:v>5836403.21</c:v>
                </c:pt>
                <c:pt idx="121">
                  <c:v>5836403.21</c:v>
                </c:pt>
                <c:pt idx="122">
                  <c:v>5836403.21</c:v>
                </c:pt>
                <c:pt idx="123">
                  <c:v>5836403.21</c:v>
                </c:pt>
                <c:pt idx="124">
                  <c:v>5836403.21</c:v>
                </c:pt>
                <c:pt idx="125">
                  <c:v>5836403.21</c:v>
                </c:pt>
                <c:pt idx="126">
                  <c:v>5836403.21</c:v>
                </c:pt>
                <c:pt idx="127">
                  <c:v>5836403.21</c:v>
                </c:pt>
                <c:pt idx="128">
                  <c:v>5836403.21</c:v>
                </c:pt>
                <c:pt idx="129">
                  <c:v>5836403.21</c:v>
                </c:pt>
                <c:pt idx="130">
                  <c:v>5836403.21</c:v>
                </c:pt>
                <c:pt idx="131">
                  <c:v>5836403.21</c:v>
                </c:pt>
                <c:pt idx="132">
                  <c:v>5836403.21</c:v>
                </c:pt>
                <c:pt idx="133">
                  <c:v>5836403.21</c:v>
                </c:pt>
                <c:pt idx="134">
                  <c:v>5836403.21</c:v>
                </c:pt>
                <c:pt idx="135">
                  <c:v>5836403.21</c:v>
                </c:pt>
                <c:pt idx="136">
                  <c:v>5836403.21</c:v>
                </c:pt>
                <c:pt idx="137">
                  <c:v>5836403.21</c:v>
                </c:pt>
                <c:pt idx="138">
                  <c:v>5836403.21</c:v>
                </c:pt>
                <c:pt idx="139">
                  <c:v>5836403.21</c:v>
                </c:pt>
                <c:pt idx="140">
                  <c:v>5836403.21</c:v>
                </c:pt>
                <c:pt idx="141">
                  <c:v>5836403.21</c:v>
                </c:pt>
                <c:pt idx="142">
                  <c:v>5836403.21</c:v>
                </c:pt>
                <c:pt idx="143">
                  <c:v>5836403.21</c:v>
                </c:pt>
                <c:pt idx="144">
                  <c:v>5836403.21</c:v>
                </c:pt>
                <c:pt idx="145">
                  <c:v>5836403.21</c:v>
                </c:pt>
                <c:pt idx="146">
                  <c:v>5836403.21</c:v>
                </c:pt>
                <c:pt idx="147">
                  <c:v>5836403.21</c:v>
                </c:pt>
                <c:pt idx="148">
                  <c:v>5836403.21</c:v>
                </c:pt>
                <c:pt idx="149">
                  <c:v>5836403.21</c:v>
                </c:pt>
                <c:pt idx="150">
                  <c:v>5836403.21</c:v>
                </c:pt>
                <c:pt idx="151">
                  <c:v>5836403.21</c:v>
                </c:pt>
                <c:pt idx="152">
                  <c:v>5836403.21</c:v>
                </c:pt>
                <c:pt idx="153">
                  <c:v>5836403.21</c:v>
                </c:pt>
                <c:pt idx="154">
                  <c:v>5836403.21</c:v>
                </c:pt>
                <c:pt idx="155">
                  <c:v>5836403.21</c:v>
                </c:pt>
                <c:pt idx="156">
                  <c:v>5836403.21</c:v>
                </c:pt>
                <c:pt idx="157">
                  <c:v>5836403.21</c:v>
                </c:pt>
                <c:pt idx="158">
                  <c:v>5836403.21</c:v>
                </c:pt>
                <c:pt idx="159">
                  <c:v>5836403.21</c:v>
                </c:pt>
                <c:pt idx="160">
                  <c:v>5836403.21</c:v>
                </c:pt>
                <c:pt idx="161">
                  <c:v>5836403.21</c:v>
                </c:pt>
                <c:pt idx="162">
                  <c:v>5836403.21</c:v>
                </c:pt>
                <c:pt idx="163">
                  <c:v>5836403.21</c:v>
                </c:pt>
                <c:pt idx="164">
                  <c:v>5836403.21</c:v>
                </c:pt>
                <c:pt idx="165">
                  <c:v>5836403.21</c:v>
                </c:pt>
                <c:pt idx="166">
                  <c:v>5836403.21</c:v>
                </c:pt>
                <c:pt idx="167">
                  <c:v>5836403.21</c:v>
                </c:pt>
                <c:pt idx="168">
                  <c:v>5836403.21</c:v>
                </c:pt>
                <c:pt idx="169">
                  <c:v>5836403.21</c:v>
                </c:pt>
                <c:pt idx="170">
                  <c:v>5836403.21</c:v>
                </c:pt>
                <c:pt idx="171">
                  <c:v>5836403.21</c:v>
                </c:pt>
                <c:pt idx="172">
                  <c:v>5836403.21</c:v>
                </c:pt>
                <c:pt idx="173">
                  <c:v>5836403.21</c:v>
                </c:pt>
                <c:pt idx="174">
                  <c:v>5836403.21</c:v>
                </c:pt>
                <c:pt idx="175">
                  <c:v>5836403.21</c:v>
                </c:pt>
                <c:pt idx="176">
                  <c:v>5836403.21</c:v>
                </c:pt>
                <c:pt idx="177">
                  <c:v>5836403.21</c:v>
                </c:pt>
                <c:pt idx="178">
                  <c:v>5836403.21</c:v>
                </c:pt>
                <c:pt idx="179">
                  <c:v>5836403.21</c:v>
                </c:pt>
                <c:pt idx="180">
                  <c:v>5836403.21</c:v>
                </c:pt>
                <c:pt idx="181">
                  <c:v>5836403.21</c:v>
                </c:pt>
                <c:pt idx="182">
                  <c:v>5836403.21</c:v>
                </c:pt>
                <c:pt idx="183">
                  <c:v>5836403.21</c:v>
                </c:pt>
                <c:pt idx="184">
                  <c:v>5836403.21</c:v>
                </c:pt>
                <c:pt idx="185">
                  <c:v>5836403.21</c:v>
                </c:pt>
                <c:pt idx="186">
                  <c:v>5836403.21</c:v>
                </c:pt>
                <c:pt idx="187">
                  <c:v>5836403.21</c:v>
                </c:pt>
                <c:pt idx="188">
                  <c:v>5836403.21</c:v>
                </c:pt>
                <c:pt idx="189">
                  <c:v>5836403.21</c:v>
                </c:pt>
                <c:pt idx="190">
                  <c:v>5836403.21</c:v>
                </c:pt>
                <c:pt idx="191">
                  <c:v>5836403.21</c:v>
                </c:pt>
                <c:pt idx="192">
                  <c:v>5836403.21</c:v>
                </c:pt>
                <c:pt idx="193">
                  <c:v>5836403.21</c:v>
                </c:pt>
                <c:pt idx="194">
                  <c:v>5836403.21</c:v>
                </c:pt>
                <c:pt idx="195">
                  <c:v>5836403.21</c:v>
                </c:pt>
                <c:pt idx="196">
                  <c:v>5836403.21</c:v>
                </c:pt>
                <c:pt idx="197">
                  <c:v>5836403.21</c:v>
                </c:pt>
                <c:pt idx="198">
                  <c:v>5836403.21</c:v>
                </c:pt>
                <c:pt idx="199">
                  <c:v>5836403.21</c:v>
                </c:pt>
                <c:pt idx="200">
                  <c:v>5836403.21</c:v>
                </c:pt>
                <c:pt idx="201">
                  <c:v>5836403.21</c:v>
                </c:pt>
                <c:pt idx="202">
                  <c:v>5836403.21</c:v>
                </c:pt>
                <c:pt idx="203">
                  <c:v>5836403.21</c:v>
                </c:pt>
                <c:pt idx="204">
                  <c:v>5836403.21</c:v>
                </c:pt>
                <c:pt idx="205">
                  <c:v>5836403.21</c:v>
                </c:pt>
                <c:pt idx="206">
                  <c:v>5836403.21</c:v>
                </c:pt>
                <c:pt idx="207">
                  <c:v>5836403.21</c:v>
                </c:pt>
                <c:pt idx="208">
                  <c:v>5836403.21</c:v>
                </c:pt>
                <c:pt idx="209">
                  <c:v>5836403.21</c:v>
                </c:pt>
                <c:pt idx="210">
                  <c:v>5836403.21</c:v>
                </c:pt>
                <c:pt idx="211">
                  <c:v>5836403.21</c:v>
                </c:pt>
                <c:pt idx="212">
                  <c:v>5836403.21</c:v>
                </c:pt>
                <c:pt idx="213">
                  <c:v>5836403.21</c:v>
                </c:pt>
                <c:pt idx="214">
                  <c:v>5836403.21</c:v>
                </c:pt>
                <c:pt idx="215">
                  <c:v>5836403.21</c:v>
                </c:pt>
                <c:pt idx="216">
                  <c:v>5836403.21</c:v>
                </c:pt>
                <c:pt idx="217">
                  <c:v>5836403.21</c:v>
                </c:pt>
                <c:pt idx="218">
                  <c:v>5836403.21</c:v>
                </c:pt>
                <c:pt idx="219">
                  <c:v>5836403.21</c:v>
                </c:pt>
                <c:pt idx="220">
                  <c:v>5836403.21</c:v>
                </c:pt>
                <c:pt idx="221">
                  <c:v>5836403.21</c:v>
                </c:pt>
                <c:pt idx="222">
                  <c:v>5836403.21</c:v>
                </c:pt>
                <c:pt idx="223">
                  <c:v>5836403.21</c:v>
                </c:pt>
                <c:pt idx="224">
                  <c:v>5836403.21</c:v>
                </c:pt>
                <c:pt idx="225">
                  <c:v>5836403.21</c:v>
                </c:pt>
                <c:pt idx="226">
                  <c:v>5836403.21</c:v>
                </c:pt>
                <c:pt idx="227">
                  <c:v>5836403.21</c:v>
                </c:pt>
                <c:pt idx="228">
                  <c:v>5836403.21</c:v>
                </c:pt>
                <c:pt idx="229">
                  <c:v>5836403.21</c:v>
                </c:pt>
                <c:pt idx="230">
                  <c:v>5836403.21</c:v>
                </c:pt>
                <c:pt idx="231">
                  <c:v>5836403.21</c:v>
                </c:pt>
                <c:pt idx="232">
                  <c:v>5836403.21</c:v>
                </c:pt>
                <c:pt idx="233">
                  <c:v>5836403.21</c:v>
                </c:pt>
                <c:pt idx="234">
                  <c:v>5836403.21</c:v>
                </c:pt>
                <c:pt idx="235">
                  <c:v>5836403.21</c:v>
                </c:pt>
                <c:pt idx="236">
                  <c:v>5836403.21</c:v>
                </c:pt>
                <c:pt idx="237">
                  <c:v>5836403.21</c:v>
                </c:pt>
                <c:pt idx="238">
                  <c:v>5836403.21</c:v>
                </c:pt>
                <c:pt idx="239">
                  <c:v>5836403.21</c:v>
                </c:pt>
                <c:pt idx="240">
                  <c:v>5836403.21</c:v>
                </c:pt>
                <c:pt idx="241">
                  <c:v>5836403.21</c:v>
                </c:pt>
                <c:pt idx="242">
                  <c:v>5836403.21</c:v>
                </c:pt>
                <c:pt idx="243">
                  <c:v>5836403.21</c:v>
                </c:pt>
                <c:pt idx="244">
                  <c:v>5836403.21</c:v>
                </c:pt>
                <c:pt idx="245">
                  <c:v>5836403.21</c:v>
                </c:pt>
                <c:pt idx="246">
                  <c:v>5836403.21</c:v>
                </c:pt>
                <c:pt idx="247">
                  <c:v>5836403.21</c:v>
                </c:pt>
                <c:pt idx="248">
                  <c:v>5836403.21</c:v>
                </c:pt>
                <c:pt idx="249">
                  <c:v>5836403.21</c:v>
                </c:pt>
                <c:pt idx="250">
                  <c:v>5836403.21</c:v>
                </c:pt>
                <c:pt idx="251">
                  <c:v>5836403.21</c:v>
                </c:pt>
                <c:pt idx="252">
                  <c:v>5836403.21</c:v>
                </c:pt>
                <c:pt idx="253">
                  <c:v>5836403.21</c:v>
                </c:pt>
                <c:pt idx="254">
                  <c:v>5836403.21</c:v>
                </c:pt>
                <c:pt idx="255">
                  <c:v>5836403.21</c:v>
                </c:pt>
                <c:pt idx="256">
                  <c:v>5836403.21</c:v>
                </c:pt>
                <c:pt idx="257">
                  <c:v>5836403.21</c:v>
                </c:pt>
                <c:pt idx="258">
                  <c:v>5836403.21</c:v>
                </c:pt>
                <c:pt idx="259">
                  <c:v>5836403.21</c:v>
                </c:pt>
                <c:pt idx="260">
                  <c:v>5836403.21</c:v>
                </c:pt>
                <c:pt idx="261">
                  <c:v>5836403.21</c:v>
                </c:pt>
                <c:pt idx="262">
                  <c:v>5836403.21</c:v>
                </c:pt>
                <c:pt idx="263">
                  <c:v>5836403.21</c:v>
                </c:pt>
                <c:pt idx="264">
                  <c:v>5836403.21</c:v>
                </c:pt>
                <c:pt idx="265">
                  <c:v>5836403.21</c:v>
                </c:pt>
                <c:pt idx="266">
                  <c:v>5836403.21</c:v>
                </c:pt>
                <c:pt idx="267">
                  <c:v>5836403.21</c:v>
                </c:pt>
                <c:pt idx="268">
                  <c:v>5836403.21</c:v>
                </c:pt>
                <c:pt idx="269">
                  <c:v>5836403.21</c:v>
                </c:pt>
                <c:pt idx="270">
                  <c:v>5836403.21</c:v>
                </c:pt>
                <c:pt idx="271">
                  <c:v>5836403.21</c:v>
                </c:pt>
                <c:pt idx="272">
                  <c:v>5836403.21</c:v>
                </c:pt>
                <c:pt idx="273">
                  <c:v>5836403.21</c:v>
                </c:pt>
                <c:pt idx="274">
                  <c:v>5836403.21</c:v>
                </c:pt>
                <c:pt idx="275">
                  <c:v>5836403.21</c:v>
                </c:pt>
                <c:pt idx="276">
                  <c:v>5836403.21</c:v>
                </c:pt>
                <c:pt idx="277">
                  <c:v>5836403.21</c:v>
                </c:pt>
                <c:pt idx="278">
                  <c:v>5836403.21</c:v>
                </c:pt>
                <c:pt idx="279">
                  <c:v>5836403.21</c:v>
                </c:pt>
                <c:pt idx="280">
                  <c:v>5836403.21</c:v>
                </c:pt>
                <c:pt idx="281">
                  <c:v>5836403.21</c:v>
                </c:pt>
                <c:pt idx="282">
                  <c:v>5836403.21</c:v>
                </c:pt>
                <c:pt idx="283">
                  <c:v>5836403.21</c:v>
                </c:pt>
                <c:pt idx="284">
                  <c:v>5836403.21</c:v>
                </c:pt>
                <c:pt idx="285">
                  <c:v>5836403.21</c:v>
                </c:pt>
                <c:pt idx="286">
                  <c:v>5836403.21</c:v>
                </c:pt>
                <c:pt idx="287">
                  <c:v>5836403.21</c:v>
                </c:pt>
                <c:pt idx="288">
                  <c:v>5836403.21</c:v>
                </c:pt>
                <c:pt idx="289">
                  <c:v>5836403.21</c:v>
                </c:pt>
                <c:pt idx="290">
                  <c:v>5836403.21</c:v>
                </c:pt>
                <c:pt idx="291">
                  <c:v>5836403.21</c:v>
                </c:pt>
                <c:pt idx="292">
                  <c:v>5836403.21</c:v>
                </c:pt>
                <c:pt idx="293">
                  <c:v>5836403.21</c:v>
                </c:pt>
                <c:pt idx="294">
                  <c:v>5836403.21</c:v>
                </c:pt>
                <c:pt idx="295">
                  <c:v>5836403.21</c:v>
                </c:pt>
                <c:pt idx="296">
                  <c:v>5836403.21</c:v>
                </c:pt>
                <c:pt idx="297">
                  <c:v>5836403.21</c:v>
                </c:pt>
                <c:pt idx="298">
                  <c:v>5836403.21</c:v>
                </c:pt>
                <c:pt idx="299">
                  <c:v>5836403.21</c:v>
                </c:pt>
                <c:pt idx="300">
                  <c:v>5836403.21</c:v>
                </c:pt>
                <c:pt idx="301">
                  <c:v>5836403.21</c:v>
                </c:pt>
                <c:pt idx="302">
                  <c:v>5836403.21</c:v>
                </c:pt>
                <c:pt idx="303">
                  <c:v>5836403.21</c:v>
                </c:pt>
                <c:pt idx="304">
                  <c:v>5836403.21</c:v>
                </c:pt>
                <c:pt idx="305">
                  <c:v>5836403.21</c:v>
                </c:pt>
                <c:pt idx="306">
                  <c:v>5836403.21</c:v>
                </c:pt>
                <c:pt idx="307">
                  <c:v>5836403.21</c:v>
                </c:pt>
                <c:pt idx="308">
                  <c:v>5836403.21</c:v>
                </c:pt>
                <c:pt idx="309">
                  <c:v>5836403.21</c:v>
                </c:pt>
                <c:pt idx="310">
                  <c:v>5836403.21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2316229.2579999999</c:v>
                </c:pt>
                <c:pt idx="16">
                  <c:v>316229.25799999991</c:v>
                </c:pt>
                <c:pt idx="17">
                  <c:v>316229.25799999991</c:v>
                </c:pt>
                <c:pt idx="18">
                  <c:v>316229.25799999991</c:v>
                </c:pt>
                <c:pt idx="19">
                  <c:v>316229.25799999991</c:v>
                </c:pt>
                <c:pt idx="20">
                  <c:v>316229.25799999991</c:v>
                </c:pt>
                <c:pt idx="21">
                  <c:v>316229.25799999991</c:v>
                </c:pt>
                <c:pt idx="22">
                  <c:v>316229.25799999991</c:v>
                </c:pt>
                <c:pt idx="23">
                  <c:v>316229.25799999991</c:v>
                </c:pt>
                <c:pt idx="24">
                  <c:v>316229.25799999991</c:v>
                </c:pt>
                <c:pt idx="25">
                  <c:v>316229.25799999991</c:v>
                </c:pt>
                <c:pt idx="26">
                  <c:v>222182.25799999991</c:v>
                </c:pt>
                <c:pt idx="27">
                  <c:v>48182.257999999914</c:v>
                </c:pt>
                <c:pt idx="28">
                  <c:v>48182.257999999914</c:v>
                </c:pt>
                <c:pt idx="29">
                  <c:v>946625.3339999998</c:v>
                </c:pt>
                <c:pt idx="30">
                  <c:v>946625.3339999998</c:v>
                </c:pt>
                <c:pt idx="31">
                  <c:v>-562127.53600000031</c:v>
                </c:pt>
                <c:pt idx="32">
                  <c:v>-562127.53600000031</c:v>
                </c:pt>
                <c:pt idx="33">
                  <c:v>-562127.53600000031</c:v>
                </c:pt>
                <c:pt idx="34">
                  <c:v>-562127.53600000031</c:v>
                </c:pt>
                <c:pt idx="35">
                  <c:v>-2184239.3760000002</c:v>
                </c:pt>
                <c:pt idx="36">
                  <c:v>-2184239.3760000002</c:v>
                </c:pt>
                <c:pt idx="37">
                  <c:v>-2184239.3760000002</c:v>
                </c:pt>
                <c:pt idx="38">
                  <c:v>-2184239.3760000002</c:v>
                </c:pt>
                <c:pt idx="39">
                  <c:v>-2184239.3760000002</c:v>
                </c:pt>
                <c:pt idx="40">
                  <c:v>-192150.0120000001</c:v>
                </c:pt>
                <c:pt idx="41">
                  <c:v>-192150.0120000001</c:v>
                </c:pt>
                <c:pt idx="42">
                  <c:v>-192150.0120000001</c:v>
                </c:pt>
                <c:pt idx="43">
                  <c:v>803894.66999999993</c:v>
                </c:pt>
                <c:pt idx="44">
                  <c:v>2797263.3656521747</c:v>
                </c:pt>
                <c:pt idx="45">
                  <c:v>2797263.3656521747</c:v>
                </c:pt>
                <c:pt idx="46">
                  <c:v>2797263.3656521747</c:v>
                </c:pt>
                <c:pt idx="47">
                  <c:v>2797263.3656521747</c:v>
                </c:pt>
                <c:pt idx="48">
                  <c:v>2797263.3656521747</c:v>
                </c:pt>
                <c:pt idx="49">
                  <c:v>2797263.3656521747</c:v>
                </c:pt>
                <c:pt idx="50">
                  <c:v>2797263.3656521747</c:v>
                </c:pt>
                <c:pt idx="51">
                  <c:v>2797263.3656521747</c:v>
                </c:pt>
                <c:pt idx="52">
                  <c:v>2797263.3656521747</c:v>
                </c:pt>
                <c:pt idx="53">
                  <c:v>2797263.3656521747</c:v>
                </c:pt>
                <c:pt idx="54">
                  <c:v>2797263.3656521747</c:v>
                </c:pt>
                <c:pt idx="55">
                  <c:v>2797263.3656521747</c:v>
                </c:pt>
                <c:pt idx="56">
                  <c:v>2797263.3656521747</c:v>
                </c:pt>
                <c:pt idx="57">
                  <c:v>2797263.3656521747</c:v>
                </c:pt>
                <c:pt idx="58">
                  <c:v>2797263.3656521747</c:v>
                </c:pt>
                <c:pt idx="59">
                  <c:v>2797263.3656521747</c:v>
                </c:pt>
                <c:pt idx="60">
                  <c:v>2797263.3656521747</c:v>
                </c:pt>
                <c:pt idx="61">
                  <c:v>2797263.3656521747</c:v>
                </c:pt>
                <c:pt idx="62">
                  <c:v>2797263.3656521747</c:v>
                </c:pt>
                <c:pt idx="63">
                  <c:v>2797263.3656521747</c:v>
                </c:pt>
                <c:pt idx="64">
                  <c:v>2797263.3656521747</c:v>
                </c:pt>
                <c:pt idx="65">
                  <c:v>2797263.3656521747</c:v>
                </c:pt>
                <c:pt idx="66">
                  <c:v>2797263.3656521747</c:v>
                </c:pt>
                <c:pt idx="67">
                  <c:v>2797263.3656521747</c:v>
                </c:pt>
                <c:pt idx="68">
                  <c:v>2797263.3656521747</c:v>
                </c:pt>
                <c:pt idx="69">
                  <c:v>2797263.3656521747</c:v>
                </c:pt>
                <c:pt idx="70">
                  <c:v>2797263.3656521747</c:v>
                </c:pt>
                <c:pt idx="71">
                  <c:v>2797263.3656521747</c:v>
                </c:pt>
                <c:pt idx="72">
                  <c:v>2797263.3656521747</c:v>
                </c:pt>
                <c:pt idx="73">
                  <c:v>2797263.3656521747</c:v>
                </c:pt>
                <c:pt idx="74">
                  <c:v>2797263.3656521747</c:v>
                </c:pt>
                <c:pt idx="75">
                  <c:v>2797263.3656521747</c:v>
                </c:pt>
                <c:pt idx="76">
                  <c:v>2797263.3656521747</c:v>
                </c:pt>
                <c:pt idx="77">
                  <c:v>2797263.3656521747</c:v>
                </c:pt>
                <c:pt idx="78">
                  <c:v>2797263.3656521747</c:v>
                </c:pt>
                <c:pt idx="79">
                  <c:v>2797263.3656521747</c:v>
                </c:pt>
                <c:pt idx="80">
                  <c:v>2797263.3656521747</c:v>
                </c:pt>
                <c:pt idx="81">
                  <c:v>2797263.3656521747</c:v>
                </c:pt>
                <c:pt idx="82">
                  <c:v>2797263.3656521747</c:v>
                </c:pt>
                <c:pt idx="83">
                  <c:v>2797263.3656521747</c:v>
                </c:pt>
                <c:pt idx="84">
                  <c:v>2797263.3656521747</c:v>
                </c:pt>
                <c:pt idx="85">
                  <c:v>2797263.3656521747</c:v>
                </c:pt>
                <c:pt idx="86">
                  <c:v>2797263.3656521747</c:v>
                </c:pt>
                <c:pt idx="87">
                  <c:v>2797263.3656521747</c:v>
                </c:pt>
                <c:pt idx="88">
                  <c:v>2797263.3656521747</c:v>
                </c:pt>
                <c:pt idx="89">
                  <c:v>2797263.3656521747</c:v>
                </c:pt>
                <c:pt idx="90">
                  <c:v>2797263.3656521747</c:v>
                </c:pt>
                <c:pt idx="91">
                  <c:v>2797263.3656521747</c:v>
                </c:pt>
                <c:pt idx="92">
                  <c:v>2797263.3656521747</c:v>
                </c:pt>
                <c:pt idx="93">
                  <c:v>2797263.3656521747</c:v>
                </c:pt>
                <c:pt idx="94">
                  <c:v>2797263.3656521747</c:v>
                </c:pt>
                <c:pt idx="95">
                  <c:v>2797263.3656521747</c:v>
                </c:pt>
                <c:pt idx="96">
                  <c:v>2797263.3656521747</c:v>
                </c:pt>
                <c:pt idx="97">
                  <c:v>2797263.3656521747</c:v>
                </c:pt>
                <c:pt idx="98">
                  <c:v>2797263.3656521747</c:v>
                </c:pt>
                <c:pt idx="99">
                  <c:v>2797263.3656521747</c:v>
                </c:pt>
                <c:pt idx="100">
                  <c:v>2797263.3656521747</c:v>
                </c:pt>
                <c:pt idx="101">
                  <c:v>2797263.3656521747</c:v>
                </c:pt>
                <c:pt idx="102">
                  <c:v>2797263.3656521747</c:v>
                </c:pt>
                <c:pt idx="103">
                  <c:v>2797263.3656521747</c:v>
                </c:pt>
                <c:pt idx="104">
                  <c:v>2797263.3656521747</c:v>
                </c:pt>
                <c:pt idx="105">
                  <c:v>2797263.3656521747</c:v>
                </c:pt>
                <c:pt idx="106">
                  <c:v>2797263.3656521747</c:v>
                </c:pt>
                <c:pt idx="107">
                  <c:v>2797263.3656521747</c:v>
                </c:pt>
                <c:pt idx="108">
                  <c:v>2797263.3656521747</c:v>
                </c:pt>
                <c:pt idx="109">
                  <c:v>2797263.3656521747</c:v>
                </c:pt>
                <c:pt idx="110">
                  <c:v>2797263.3656521747</c:v>
                </c:pt>
                <c:pt idx="111">
                  <c:v>2797263.3656521747</c:v>
                </c:pt>
                <c:pt idx="112">
                  <c:v>2797263.3656521747</c:v>
                </c:pt>
                <c:pt idx="113">
                  <c:v>2797263.3656521747</c:v>
                </c:pt>
                <c:pt idx="114">
                  <c:v>2797263.3656521747</c:v>
                </c:pt>
                <c:pt idx="115">
                  <c:v>2797263.3656521747</c:v>
                </c:pt>
                <c:pt idx="116">
                  <c:v>2797263.3656521747</c:v>
                </c:pt>
                <c:pt idx="117">
                  <c:v>2797263.3656521747</c:v>
                </c:pt>
                <c:pt idx="118">
                  <c:v>2797263.3656521747</c:v>
                </c:pt>
                <c:pt idx="119">
                  <c:v>2797263.3656521747</c:v>
                </c:pt>
                <c:pt idx="120">
                  <c:v>2797263.3656521747</c:v>
                </c:pt>
                <c:pt idx="121">
                  <c:v>2797263.3656521747</c:v>
                </c:pt>
                <c:pt idx="122">
                  <c:v>2797263.3656521747</c:v>
                </c:pt>
                <c:pt idx="123">
                  <c:v>2797263.3656521747</c:v>
                </c:pt>
                <c:pt idx="124">
                  <c:v>2797263.3656521747</c:v>
                </c:pt>
                <c:pt idx="125">
                  <c:v>2797263.3656521747</c:v>
                </c:pt>
                <c:pt idx="126">
                  <c:v>2797263.3656521747</c:v>
                </c:pt>
                <c:pt idx="127">
                  <c:v>2797263.3656521747</c:v>
                </c:pt>
                <c:pt idx="128">
                  <c:v>2797263.3656521747</c:v>
                </c:pt>
                <c:pt idx="129">
                  <c:v>2797263.3656521747</c:v>
                </c:pt>
                <c:pt idx="130">
                  <c:v>2797263.3656521747</c:v>
                </c:pt>
                <c:pt idx="131">
                  <c:v>2797263.3656521747</c:v>
                </c:pt>
                <c:pt idx="132">
                  <c:v>2797263.3656521747</c:v>
                </c:pt>
                <c:pt idx="133">
                  <c:v>2797263.3656521747</c:v>
                </c:pt>
                <c:pt idx="134">
                  <c:v>2797263.3656521747</c:v>
                </c:pt>
                <c:pt idx="135">
                  <c:v>2797263.3656521747</c:v>
                </c:pt>
                <c:pt idx="136">
                  <c:v>2797263.3656521747</c:v>
                </c:pt>
                <c:pt idx="137">
                  <c:v>2797263.3656521747</c:v>
                </c:pt>
                <c:pt idx="138">
                  <c:v>2797263.3656521747</c:v>
                </c:pt>
                <c:pt idx="139">
                  <c:v>2797263.3656521747</c:v>
                </c:pt>
                <c:pt idx="140">
                  <c:v>2797263.3656521747</c:v>
                </c:pt>
                <c:pt idx="141">
                  <c:v>2797263.3656521747</c:v>
                </c:pt>
                <c:pt idx="142">
                  <c:v>2797263.3656521747</c:v>
                </c:pt>
                <c:pt idx="143">
                  <c:v>2797263.3656521747</c:v>
                </c:pt>
                <c:pt idx="144">
                  <c:v>2797263.3656521747</c:v>
                </c:pt>
                <c:pt idx="145">
                  <c:v>2797263.3656521747</c:v>
                </c:pt>
                <c:pt idx="146">
                  <c:v>2797263.3656521747</c:v>
                </c:pt>
                <c:pt idx="147">
                  <c:v>2797263.3656521747</c:v>
                </c:pt>
                <c:pt idx="148">
                  <c:v>2797263.3656521747</c:v>
                </c:pt>
                <c:pt idx="149">
                  <c:v>2797263.3656521747</c:v>
                </c:pt>
                <c:pt idx="150">
                  <c:v>2797263.3656521747</c:v>
                </c:pt>
                <c:pt idx="151">
                  <c:v>2797263.3656521747</c:v>
                </c:pt>
                <c:pt idx="152">
                  <c:v>2797263.3656521747</c:v>
                </c:pt>
                <c:pt idx="153">
                  <c:v>2797263.3656521747</c:v>
                </c:pt>
                <c:pt idx="154">
                  <c:v>2797263.3656521747</c:v>
                </c:pt>
                <c:pt idx="155">
                  <c:v>2797263.3656521747</c:v>
                </c:pt>
                <c:pt idx="156">
                  <c:v>2797263.3656521747</c:v>
                </c:pt>
                <c:pt idx="157">
                  <c:v>2797263.3656521747</c:v>
                </c:pt>
                <c:pt idx="158">
                  <c:v>2797263.3656521747</c:v>
                </c:pt>
                <c:pt idx="159">
                  <c:v>2797263.3656521747</c:v>
                </c:pt>
                <c:pt idx="160">
                  <c:v>2797263.3656521747</c:v>
                </c:pt>
                <c:pt idx="161">
                  <c:v>2797263.3656521747</c:v>
                </c:pt>
                <c:pt idx="162">
                  <c:v>2797263.3656521747</c:v>
                </c:pt>
                <c:pt idx="163">
                  <c:v>2797263.3656521747</c:v>
                </c:pt>
                <c:pt idx="164">
                  <c:v>2797263.3656521747</c:v>
                </c:pt>
                <c:pt idx="165">
                  <c:v>2797263.3656521747</c:v>
                </c:pt>
                <c:pt idx="166">
                  <c:v>2797263.3656521747</c:v>
                </c:pt>
                <c:pt idx="167">
                  <c:v>2797263.3656521747</c:v>
                </c:pt>
                <c:pt idx="168">
                  <c:v>2797263.3656521747</c:v>
                </c:pt>
                <c:pt idx="169">
                  <c:v>2797263.3656521747</c:v>
                </c:pt>
                <c:pt idx="170">
                  <c:v>2797263.3656521747</c:v>
                </c:pt>
                <c:pt idx="171">
                  <c:v>2797263.3656521747</c:v>
                </c:pt>
                <c:pt idx="172">
                  <c:v>2797263.3656521747</c:v>
                </c:pt>
                <c:pt idx="173">
                  <c:v>2797263.3656521747</c:v>
                </c:pt>
                <c:pt idx="174">
                  <c:v>2797263.3656521747</c:v>
                </c:pt>
                <c:pt idx="175">
                  <c:v>2797263.3656521747</c:v>
                </c:pt>
                <c:pt idx="176">
                  <c:v>2797263.3656521747</c:v>
                </c:pt>
                <c:pt idx="177">
                  <c:v>2797263.3656521747</c:v>
                </c:pt>
                <c:pt idx="178">
                  <c:v>2797263.3656521747</c:v>
                </c:pt>
                <c:pt idx="179">
                  <c:v>2797263.3656521747</c:v>
                </c:pt>
                <c:pt idx="180">
                  <c:v>2797263.3656521747</c:v>
                </c:pt>
                <c:pt idx="181">
                  <c:v>2797263.3656521747</c:v>
                </c:pt>
                <c:pt idx="182">
                  <c:v>2797263.3656521747</c:v>
                </c:pt>
                <c:pt idx="183">
                  <c:v>2797263.3656521747</c:v>
                </c:pt>
                <c:pt idx="184">
                  <c:v>2797263.3656521747</c:v>
                </c:pt>
                <c:pt idx="185">
                  <c:v>2797263.3656521747</c:v>
                </c:pt>
                <c:pt idx="186">
                  <c:v>2797263.3656521747</c:v>
                </c:pt>
                <c:pt idx="187">
                  <c:v>2797263.3656521747</c:v>
                </c:pt>
                <c:pt idx="188">
                  <c:v>2797263.3656521747</c:v>
                </c:pt>
                <c:pt idx="189">
                  <c:v>2797263.3656521747</c:v>
                </c:pt>
                <c:pt idx="190">
                  <c:v>2797263.3656521747</c:v>
                </c:pt>
                <c:pt idx="191">
                  <c:v>2797263.3656521747</c:v>
                </c:pt>
                <c:pt idx="192">
                  <c:v>2797263.3656521747</c:v>
                </c:pt>
                <c:pt idx="193">
                  <c:v>2797263.3656521747</c:v>
                </c:pt>
                <c:pt idx="194">
                  <c:v>2797263.3656521747</c:v>
                </c:pt>
                <c:pt idx="195">
                  <c:v>2797263.3656521747</c:v>
                </c:pt>
                <c:pt idx="196">
                  <c:v>2797263.3656521747</c:v>
                </c:pt>
                <c:pt idx="197">
                  <c:v>2797263.3656521747</c:v>
                </c:pt>
                <c:pt idx="198">
                  <c:v>2797263.3656521747</c:v>
                </c:pt>
                <c:pt idx="199">
                  <c:v>2797263.3656521747</c:v>
                </c:pt>
                <c:pt idx="200">
                  <c:v>2797263.3656521747</c:v>
                </c:pt>
                <c:pt idx="201">
                  <c:v>2797263.3656521747</c:v>
                </c:pt>
                <c:pt idx="202">
                  <c:v>2797263.3656521747</c:v>
                </c:pt>
                <c:pt idx="203">
                  <c:v>2797263.3656521747</c:v>
                </c:pt>
                <c:pt idx="204">
                  <c:v>2797263.3656521747</c:v>
                </c:pt>
                <c:pt idx="205">
                  <c:v>2797263.3656521747</c:v>
                </c:pt>
                <c:pt idx="206">
                  <c:v>2797263.3656521747</c:v>
                </c:pt>
                <c:pt idx="207">
                  <c:v>2797263.3656521747</c:v>
                </c:pt>
                <c:pt idx="208">
                  <c:v>2797263.3656521747</c:v>
                </c:pt>
                <c:pt idx="209">
                  <c:v>2797263.3656521747</c:v>
                </c:pt>
                <c:pt idx="210">
                  <c:v>2797263.3656521747</c:v>
                </c:pt>
                <c:pt idx="211">
                  <c:v>2797263.3656521747</c:v>
                </c:pt>
                <c:pt idx="212">
                  <c:v>2797263.3656521747</c:v>
                </c:pt>
                <c:pt idx="213">
                  <c:v>2797263.3656521747</c:v>
                </c:pt>
                <c:pt idx="214">
                  <c:v>2797263.3656521747</c:v>
                </c:pt>
                <c:pt idx="215">
                  <c:v>2797263.3656521747</c:v>
                </c:pt>
                <c:pt idx="216">
                  <c:v>2797263.3656521747</c:v>
                </c:pt>
                <c:pt idx="217">
                  <c:v>2797263.3656521747</c:v>
                </c:pt>
                <c:pt idx="218">
                  <c:v>2797263.3656521747</c:v>
                </c:pt>
                <c:pt idx="219">
                  <c:v>2797263.3656521747</c:v>
                </c:pt>
                <c:pt idx="220">
                  <c:v>2797263.3656521747</c:v>
                </c:pt>
                <c:pt idx="221">
                  <c:v>2797263.3656521747</c:v>
                </c:pt>
                <c:pt idx="222">
                  <c:v>2797263.3656521747</c:v>
                </c:pt>
                <c:pt idx="223">
                  <c:v>2797263.3656521747</c:v>
                </c:pt>
                <c:pt idx="224">
                  <c:v>2797263.3656521747</c:v>
                </c:pt>
                <c:pt idx="225">
                  <c:v>2797263.3656521747</c:v>
                </c:pt>
                <c:pt idx="226">
                  <c:v>2797263.3656521747</c:v>
                </c:pt>
                <c:pt idx="227">
                  <c:v>2797263.3656521747</c:v>
                </c:pt>
                <c:pt idx="228">
                  <c:v>2797263.3656521747</c:v>
                </c:pt>
                <c:pt idx="229">
                  <c:v>2797263.3656521747</c:v>
                </c:pt>
                <c:pt idx="230">
                  <c:v>2797263.3656521747</c:v>
                </c:pt>
                <c:pt idx="231">
                  <c:v>2797263.3656521747</c:v>
                </c:pt>
                <c:pt idx="232">
                  <c:v>2797263.3656521747</c:v>
                </c:pt>
                <c:pt idx="233">
                  <c:v>2797263.3656521747</c:v>
                </c:pt>
                <c:pt idx="234">
                  <c:v>2797263.3656521747</c:v>
                </c:pt>
                <c:pt idx="235">
                  <c:v>2797263.3656521747</c:v>
                </c:pt>
                <c:pt idx="236">
                  <c:v>2797263.3656521747</c:v>
                </c:pt>
                <c:pt idx="237">
                  <c:v>2797263.3656521747</c:v>
                </c:pt>
                <c:pt idx="238">
                  <c:v>2797263.3656521747</c:v>
                </c:pt>
                <c:pt idx="239">
                  <c:v>2797263.3656521747</c:v>
                </c:pt>
                <c:pt idx="240">
                  <c:v>2797263.3656521747</c:v>
                </c:pt>
                <c:pt idx="241">
                  <c:v>2797263.3656521747</c:v>
                </c:pt>
                <c:pt idx="242">
                  <c:v>2797263.3656521747</c:v>
                </c:pt>
                <c:pt idx="243">
                  <c:v>2797263.3656521747</c:v>
                </c:pt>
                <c:pt idx="244">
                  <c:v>2797263.3656521747</c:v>
                </c:pt>
                <c:pt idx="245">
                  <c:v>2797263.3656521747</c:v>
                </c:pt>
                <c:pt idx="246">
                  <c:v>2797263.3656521747</c:v>
                </c:pt>
                <c:pt idx="247">
                  <c:v>2797263.3656521747</c:v>
                </c:pt>
                <c:pt idx="248">
                  <c:v>2797263.3656521747</c:v>
                </c:pt>
                <c:pt idx="249">
                  <c:v>2797263.3656521747</c:v>
                </c:pt>
                <c:pt idx="250">
                  <c:v>2797263.3656521747</c:v>
                </c:pt>
                <c:pt idx="251">
                  <c:v>2797263.3656521747</c:v>
                </c:pt>
                <c:pt idx="252">
                  <c:v>2797263.3656521747</c:v>
                </c:pt>
                <c:pt idx="253">
                  <c:v>2797263.3656521747</c:v>
                </c:pt>
                <c:pt idx="254">
                  <c:v>2797263.3656521747</c:v>
                </c:pt>
                <c:pt idx="255">
                  <c:v>2797263.3656521747</c:v>
                </c:pt>
                <c:pt idx="256">
                  <c:v>2797263.3656521747</c:v>
                </c:pt>
                <c:pt idx="257">
                  <c:v>2797263.3656521747</c:v>
                </c:pt>
                <c:pt idx="258">
                  <c:v>2797263.3656521747</c:v>
                </c:pt>
                <c:pt idx="259">
                  <c:v>2797263.3656521747</c:v>
                </c:pt>
                <c:pt idx="260">
                  <c:v>2797263.3656521747</c:v>
                </c:pt>
                <c:pt idx="261">
                  <c:v>2797263.3656521747</c:v>
                </c:pt>
                <c:pt idx="262">
                  <c:v>2797263.3656521747</c:v>
                </c:pt>
                <c:pt idx="263">
                  <c:v>2797263.3656521747</c:v>
                </c:pt>
                <c:pt idx="264">
                  <c:v>2797263.3656521747</c:v>
                </c:pt>
                <c:pt idx="265">
                  <c:v>2797263.3656521747</c:v>
                </c:pt>
                <c:pt idx="266">
                  <c:v>2797263.3656521747</c:v>
                </c:pt>
                <c:pt idx="267">
                  <c:v>2797263.3656521747</c:v>
                </c:pt>
                <c:pt idx="268">
                  <c:v>2797263.3656521747</c:v>
                </c:pt>
                <c:pt idx="269">
                  <c:v>2797263.3656521747</c:v>
                </c:pt>
                <c:pt idx="270">
                  <c:v>2797263.3656521747</c:v>
                </c:pt>
                <c:pt idx="271">
                  <c:v>2797263.3656521747</c:v>
                </c:pt>
                <c:pt idx="272">
                  <c:v>2797263.3656521747</c:v>
                </c:pt>
                <c:pt idx="273">
                  <c:v>2797263.3656521747</c:v>
                </c:pt>
                <c:pt idx="274">
                  <c:v>2797263.3656521747</c:v>
                </c:pt>
                <c:pt idx="275">
                  <c:v>2797263.3656521747</c:v>
                </c:pt>
                <c:pt idx="276">
                  <c:v>2797263.3656521747</c:v>
                </c:pt>
                <c:pt idx="277">
                  <c:v>2797263.3656521747</c:v>
                </c:pt>
                <c:pt idx="278">
                  <c:v>2797263.3656521747</c:v>
                </c:pt>
                <c:pt idx="279">
                  <c:v>2797263.3656521747</c:v>
                </c:pt>
                <c:pt idx="280">
                  <c:v>2797263.3656521747</c:v>
                </c:pt>
                <c:pt idx="281">
                  <c:v>2797263.3656521747</c:v>
                </c:pt>
                <c:pt idx="282">
                  <c:v>2797263.3656521747</c:v>
                </c:pt>
                <c:pt idx="283">
                  <c:v>2797263.3656521747</c:v>
                </c:pt>
                <c:pt idx="284">
                  <c:v>2797263.3656521747</c:v>
                </c:pt>
                <c:pt idx="285">
                  <c:v>2797263.3656521747</c:v>
                </c:pt>
                <c:pt idx="286">
                  <c:v>2797263.3656521747</c:v>
                </c:pt>
                <c:pt idx="287">
                  <c:v>2797263.3656521747</c:v>
                </c:pt>
                <c:pt idx="288">
                  <c:v>2797263.3656521747</c:v>
                </c:pt>
                <c:pt idx="289">
                  <c:v>2797263.3656521747</c:v>
                </c:pt>
                <c:pt idx="290">
                  <c:v>2797263.3656521747</c:v>
                </c:pt>
                <c:pt idx="291">
                  <c:v>2797263.3656521747</c:v>
                </c:pt>
                <c:pt idx="292">
                  <c:v>2797263.3656521747</c:v>
                </c:pt>
                <c:pt idx="293">
                  <c:v>2797263.3656521747</c:v>
                </c:pt>
                <c:pt idx="294">
                  <c:v>2797263.3656521747</c:v>
                </c:pt>
                <c:pt idx="295">
                  <c:v>2797263.3656521747</c:v>
                </c:pt>
                <c:pt idx="296">
                  <c:v>2797263.3656521747</c:v>
                </c:pt>
                <c:pt idx="297">
                  <c:v>2797263.3656521747</c:v>
                </c:pt>
                <c:pt idx="298">
                  <c:v>2797263.3656521747</c:v>
                </c:pt>
                <c:pt idx="299">
                  <c:v>2797263.3656521747</c:v>
                </c:pt>
                <c:pt idx="300">
                  <c:v>2797263.3656521747</c:v>
                </c:pt>
                <c:pt idx="301">
                  <c:v>2797263.3656521747</c:v>
                </c:pt>
                <c:pt idx="302">
                  <c:v>2797263.3656521747</c:v>
                </c:pt>
                <c:pt idx="303">
                  <c:v>2797263.3656521747</c:v>
                </c:pt>
                <c:pt idx="304">
                  <c:v>2797263.3656521747</c:v>
                </c:pt>
                <c:pt idx="305">
                  <c:v>2797263.3656521747</c:v>
                </c:pt>
                <c:pt idx="306">
                  <c:v>2797263.3656521747</c:v>
                </c:pt>
                <c:pt idx="307">
                  <c:v>2797263.3656521747</c:v>
                </c:pt>
                <c:pt idx="308">
                  <c:v>2797263.3656521747</c:v>
                </c:pt>
                <c:pt idx="309">
                  <c:v>2797263.3656521747</c:v>
                </c:pt>
                <c:pt idx="310">
                  <c:v>2797263.3656521747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3652163.8339999998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6640297.879999999</c:v>
                </c:pt>
                <c:pt idx="41">
                  <c:v>6640297.879999999</c:v>
                </c:pt>
                <c:pt idx="42">
                  <c:v>9628431.925999999</c:v>
                </c:pt>
                <c:pt idx="43">
                  <c:v>9628431.925999999</c:v>
                </c:pt>
                <c:pt idx="44">
                  <c:v>9628431.925999999</c:v>
                </c:pt>
                <c:pt idx="45">
                  <c:v>9628431.925999999</c:v>
                </c:pt>
                <c:pt idx="46">
                  <c:v>9628431.925999999</c:v>
                </c:pt>
                <c:pt idx="47">
                  <c:v>11621800.621652173</c:v>
                </c:pt>
                <c:pt idx="48">
                  <c:v>11621800.621652173</c:v>
                </c:pt>
                <c:pt idx="49">
                  <c:v>11621800.621652173</c:v>
                </c:pt>
                <c:pt idx="50">
                  <c:v>11621800.621652173</c:v>
                </c:pt>
                <c:pt idx="51">
                  <c:v>11621800.621652173</c:v>
                </c:pt>
                <c:pt idx="52">
                  <c:v>11621800.621652173</c:v>
                </c:pt>
                <c:pt idx="53">
                  <c:v>11621800.621652173</c:v>
                </c:pt>
                <c:pt idx="54">
                  <c:v>11621800.621652173</c:v>
                </c:pt>
                <c:pt idx="55">
                  <c:v>11621800.621652173</c:v>
                </c:pt>
                <c:pt idx="56">
                  <c:v>11621800.621652173</c:v>
                </c:pt>
                <c:pt idx="57">
                  <c:v>11621800.621652173</c:v>
                </c:pt>
                <c:pt idx="58">
                  <c:v>11621800.621652173</c:v>
                </c:pt>
                <c:pt idx="59">
                  <c:v>11621800.621652173</c:v>
                </c:pt>
                <c:pt idx="60">
                  <c:v>11621800.621652173</c:v>
                </c:pt>
                <c:pt idx="61">
                  <c:v>11621800.621652173</c:v>
                </c:pt>
                <c:pt idx="62">
                  <c:v>11621800.621652173</c:v>
                </c:pt>
                <c:pt idx="63">
                  <c:v>11621800.621652173</c:v>
                </c:pt>
                <c:pt idx="64">
                  <c:v>11621800.621652173</c:v>
                </c:pt>
                <c:pt idx="65">
                  <c:v>11621800.621652173</c:v>
                </c:pt>
                <c:pt idx="66">
                  <c:v>11621800.621652173</c:v>
                </c:pt>
                <c:pt idx="67">
                  <c:v>11621800.621652173</c:v>
                </c:pt>
                <c:pt idx="68">
                  <c:v>11621800.621652173</c:v>
                </c:pt>
                <c:pt idx="69">
                  <c:v>11621800.621652173</c:v>
                </c:pt>
                <c:pt idx="70">
                  <c:v>11621800.621652173</c:v>
                </c:pt>
                <c:pt idx="71">
                  <c:v>11621800.621652173</c:v>
                </c:pt>
                <c:pt idx="72">
                  <c:v>11621800.621652173</c:v>
                </c:pt>
                <c:pt idx="73">
                  <c:v>11621800.621652173</c:v>
                </c:pt>
                <c:pt idx="74">
                  <c:v>11621800.621652173</c:v>
                </c:pt>
                <c:pt idx="75">
                  <c:v>11621800.621652173</c:v>
                </c:pt>
                <c:pt idx="76">
                  <c:v>11621800.621652173</c:v>
                </c:pt>
                <c:pt idx="77">
                  <c:v>11621800.621652173</c:v>
                </c:pt>
                <c:pt idx="78">
                  <c:v>11621800.621652173</c:v>
                </c:pt>
                <c:pt idx="79">
                  <c:v>11621800.621652173</c:v>
                </c:pt>
                <c:pt idx="80">
                  <c:v>11621800.621652173</c:v>
                </c:pt>
                <c:pt idx="81">
                  <c:v>11621800.621652173</c:v>
                </c:pt>
                <c:pt idx="82">
                  <c:v>11621800.621652173</c:v>
                </c:pt>
                <c:pt idx="83">
                  <c:v>11621800.621652173</c:v>
                </c:pt>
                <c:pt idx="84">
                  <c:v>11621800.621652173</c:v>
                </c:pt>
                <c:pt idx="85">
                  <c:v>11621800.621652173</c:v>
                </c:pt>
                <c:pt idx="86">
                  <c:v>11621800.621652173</c:v>
                </c:pt>
                <c:pt idx="87">
                  <c:v>11621800.621652173</c:v>
                </c:pt>
                <c:pt idx="88">
                  <c:v>11621800.621652173</c:v>
                </c:pt>
                <c:pt idx="89">
                  <c:v>11621800.621652173</c:v>
                </c:pt>
                <c:pt idx="90">
                  <c:v>11621800.621652173</c:v>
                </c:pt>
                <c:pt idx="91">
                  <c:v>11621800.621652173</c:v>
                </c:pt>
                <c:pt idx="92">
                  <c:v>11621800.621652173</c:v>
                </c:pt>
                <c:pt idx="93">
                  <c:v>11621800.621652173</c:v>
                </c:pt>
                <c:pt idx="94">
                  <c:v>11621800.621652173</c:v>
                </c:pt>
                <c:pt idx="95">
                  <c:v>11621800.621652173</c:v>
                </c:pt>
                <c:pt idx="96">
                  <c:v>11621800.621652173</c:v>
                </c:pt>
                <c:pt idx="97">
                  <c:v>11621800.621652173</c:v>
                </c:pt>
                <c:pt idx="98">
                  <c:v>11621800.621652173</c:v>
                </c:pt>
                <c:pt idx="99">
                  <c:v>11621800.621652173</c:v>
                </c:pt>
                <c:pt idx="100">
                  <c:v>11621800.621652173</c:v>
                </c:pt>
                <c:pt idx="101">
                  <c:v>11621800.621652173</c:v>
                </c:pt>
                <c:pt idx="102">
                  <c:v>11621800.621652173</c:v>
                </c:pt>
                <c:pt idx="103">
                  <c:v>11621800.621652173</c:v>
                </c:pt>
                <c:pt idx="104">
                  <c:v>11621800.621652173</c:v>
                </c:pt>
                <c:pt idx="105">
                  <c:v>11621800.621652173</c:v>
                </c:pt>
                <c:pt idx="106">
                  <c:v>11621800.621652173</c:v>
                </c:pt>
                <c:pt idx="107">
                  <c:v>11621800.621652173</c:v>
                </c:pt>
                <c:pt idx="108">
                  <c:v>11621800.621652173</c:v>
                </c:pt>
                <c:pt idx="109">
                  <c:v>11621800.621652173</c:v>
                </c:pt>
                <c:pt idx="110">
                  <c:v>11621800.621652173</c:v>
                </c:pt>
                <c:pt idx="111">
                  <c:v>11621800.621652173</c:v>
                </c:pt>
                <c:pt idx="112">
                  <c:v>11621800.621652173</c:v>
                </c:pt>
                <c:pt idx="113">
                  <c:v>11621800.621652173</c:v>
                </c:pt>
                <c:pt idx="114">
                  <c:v>11621800.621652173</c:v>
                </c:pt>
                <c:pt idx="115">
                  <c:v>11621800.621652173</c:v>
                </c:pt>
                <c:pt idx="116">
                  <c:v>11621800.621652173</c:v>
                </c:pt>
                <c:pt idx="117">
                  <c:v>11621800.621652173</c:v>
                </c:pt>
                <c:pt idx="118">
                  <c:v>11621800.621652173</c:v>
                </c:pt>
                <c:pt idx="119">
                  <c:v>11621800.621652173</c:v>
                </c:pt>
                <c:pt idx="120">
                  <c:v>11621800.621652173</c:v>
                </c:pt>
                <c:pt idx="121">
                  <c:v>11621800.621652173</c:v>
                </c:pt>
                <c:pt idx="122">
                  <c:v>11621800.621652173</c:v>
                </c:pt>
                <c:pt idx="123">
                  <c:v>11621800.621652173</c:v>
                </c:pt>
                <c:pt idx="124">
                  <c:v>11621800.621652173</c:v>
                </c:pt>
                <c:pt idx="125">
                  <c:v>11621800.621652173</c:v>
                </c:pt>
                <c:pt idx="126">
                  <c:v>11621800.621652173</c:v>
                </c:pt>
                <c:pt idx="127">
                  <c:v>11621800.621652173</c:v>
                </c:pt>
                <c:pt idx="128">
                  <c:v>11621800.621652173</c:v>
                </c:pt>
                <c:pt idx="129">
                  <c:v>11621800.621652173</c:v>
                </c:pt>
                <c:pt idx="130">
                  <c:v>11621800.621652173</c:v>
                </c:pt>
                <c:pt idx="131">
                  <c:v>11621800.621652173</c:v>
                </c:pt>
                <c:pt idx="132">
                  <c:v>11621800.621652173</c:v>
                </c:pt>
                <c:pt idx="133">
                  <c:v>11621800.621652173</c:v>
                </c:pt>
                <c:pt idx="134">
                  <c:v>11621800.621652173</c:v>
                </c:pt>
                <c:pt idx="135">
                  <c:v>11621800.621652173</c:v>
                </c:pt>
                <c:pt idx="136">
                  <c:v>11621800.621652173</c:v>
                </c:pt>
                <c:pt idx="137">
                  <c:v>11621800.621652173</c:v>
                </c:pt>
                <c:pt idx="138">
                  <c:v>11621800.621652173</c:v>
                </c:pt>
                <c:pt idx="139">
                  <c:v>11621800.621652173</c:v>
                </c:pt>
                <c:pt idx="140">
                  <c:v>11621800.621652173</c:v>
                </c:pt>
                <c:pt idx="141">
                  <c:v>11621800.621652173</c:v>
                </c:pt>
                <c:pt idx="142">
                  <c:v>11621800.621652173</c:v>
                </c:pt>
                <c:pt idx="143">
                  <c:v>11621800.621652173</c:v>
                </c:pt>
                <c:pt idx="144">
                  <c:v>11621800.621652173</c:v>
                </c:pt>
                <c:pt idx="145">
                  <c:v>11621800.621652173</c:v>
                </c:pt>
                <c:pt idx="146">
                  <c:v>11621800.621652173</c:v>
                </c:pt>
                <c:pt idx="147">
                  <c:v>11621800.621652173</c:v>
                </c:pt>
                <c:pt idx="148">
                  <c:v>11621800.621652173</c:v>
                </c:pt>
                <c:pt idx="149">
                  <c:v>11621800.621652173</c:v>
                </c:pt>
                <c:pt idx="150">
                  <c:v>11621800.621652173</c:v>
                </c:pt>
                <c:pt idx="151">
                  <c:v>11621800.621652173</c:v>
                </c:pt>
                <c:pt idx="152">
                  <c:v>11621800.621652173</c:v>
                </c:pt>
                <c:pt idx="153">
                  <c:v>11621800.621652173</c:v>
                </c:pt>
                <c:pt idx="154">
                  <c:v>11621800.621652173</c:v>
                </c:pt>
                <c:pt idx="155">
                  <c:v>11621800.621652173</c:v>
                </c:pt>
                <c:pt idx="156">
                  <c:v>11621800.621652173</c:v>
                </c:pt>
                <c:pt idx="157">
                  <c:v>11621800.621652173</c:v>
                </c:pt>
                <c:pt idx="158">
                  <c:v>11621800.621652173</c:v>
                </c:pt>
                <c:pt idx="159">
                  <c:v>11621800.621652173</c:v>
                </c:pt>
                <c:pt idx="160">
                  <c:v>11621800.621652173</c:v>
                </c:pt>
                <c:pt idx="161">
                  <c:v>11621800.621652173</c:v>
                </c:pt>
                <c:pt idx="162">
                  <c:v>11621800.621652173</c:v>
                </c:pt>
                <c:pt idx="163">
                  <c:v>11621800.621652173</c:v>
                </c:pt>
                <c:pt idx="164">
                  <c:v>11621800.621652173</c:v>
                </c:pt>
                <c:pt idx="165">
                  <c:v>11621800.621652173</c:v>
                </c:pt>
                <c:pt idx="166">
                  <c:v>11621800.621652173</c:v>
                </c:pt>
                <c:pt idx="167">
                  <c:v>11621800.621652173</c:v>
                </c:pt>
                <c:pt idx="168">
                  <c:v>11621800.621652173</c:v>
                </c:pt>
                <c:pt idx="169">
                  <c:v>11621800.621652173</c:v>
                </c:pt>
                <c:pt idx="170">
                  <c:v>11621800.621652173</c:v>
                </c:pt>
                <c:pt idx="171">
                  <c:v>11621800.621652173</c:v>
                </c:pt>
                <c:pt idx="172">
                  <c:v>11621800.621652173</c:v>
                </c:pt>
                <c:pt idx="173">
                  <c:v>11621800.621652173</c:v>
                </c:pt>
                <c:pt idx="174">
                  <c:v>11621800.621652173</c:v>
                </c:pt>
                <c:pt idx="175">
                  <c:v>11621800.621652173</c:v>
                </c:pt>
                <c:pt idx="176">
                  <c:v>11621800.621652173</c:v>
                </c:pt>
                <c:pt idx="177">
                  <c:v>11621800.621652173</c:v>
                </c:pt>
                <c:pt idx="178">
                  <c:v>11621800.621652173</c:v>
                </c:pt>
                <c:pt idx="179">
                  <c:v>11621800.621652173</c:v>
                </c:pt>
                <c:pt idx="180">
                  <c:v>11621800.621652173</c:v>
                </c:pt>
                <c:pt idx="181">
                  <c:v>11621800.621652173</c:v>
                </c:pt>
                <c:pt idx="182">
                  <c:v>11621800.621652173</c:v>
                </c:pt>
                <c:pt idx="183">
                  <c:v>11621800.621652173</c:v>
                </c:pt>
                <c:pt idx="184">
                  <c:v>11621800.621652173</c:v>
                </c:pt>
                <c:pt idx="185">
                  <c:v>11621800.621652173</c:v>
                </c:pt>
                <c:pt idx="186">
                  <c:v>11621800.621652173</c:v>
                </c:pt>
                <c:pt idx="187">
                  <c:v>11621800.621652173</c:v>
                </c:pt>
                <c:pt idx="188">
                  <c:v>11621800.621652173</c:v>
                </c:pt>
                <c:pt idx="189">
                  <c:v>11621800.621652173</c:v>
                </c:pt>
                <c:pt idx="190">
                  <c:v>11621800.621652173</c:v>
                </c:pt>
                <c:pt idx="191">
                  <c:v>11621800.621652173</c:v>
                </c:pt>
                <c:pt idx="192">
                  <c:v>11621800.621652173</c:v>
                </c:pt>
                <c:pt idx="193">
                  <c:v>11621800.621652173</c:v>
                </c:pt>
                <c:pt idx="194">
                  <c:v>11621800.621652173</c:v>
                </c:pt>
                <c:pt idx="195">
                  <c:v>11621800.621652173</c:v>
                </c:pt>
                <c:pt idx="196">
                  <c:v>11621800.621652173</c:v>
                </c:pt>
                <c:pt idx="197">
                  <c:v>11621800.621652173</c:v>
                </c:pt>
                <c:pt idx="198">
                  <c:v>11621800.621652173</c:v>
                </c:pt>
                <c:pt idx="199">
                  <c:v>11621800.621652173</c:v>
                </c:pt>
                <c:pt idx="200">
                  <c:v>11621800.621652173</c:v>
                </c:pt>
                <c:pt idx="201">
                  <c:v>11621800.621652173</c:v>
                </c:pt>
                <c:pt idx="202">
                  <c:v>11621800.621652173</c:v>
                </c:pt>
                <c:pt idx="203">
                  <c:v>11621800.621652173</c:v>
                </c:pt>
                <c:pt idx="204">
                  <c:v>11621800.621652173</c:v>
                </c:pt>
                <c:pt idx="205">
                  <c:v>11621800.621652173</c:v>
                </c:pt>
                <c:pt idx="206">
                  <c:v>11621800.621652173</c:v>
                </c:pt>
                <c:pt idx="207">
                  <c:v>11621800.621652173</c:v>
                </c:pt>
                <c:pt idx="208">
                  <c:v>11621800.621652173</c:v>
                </c:pt>
                <c:pt idx="209">
                  <c:v>11621800.621652173</c:v>
                </c:pt>
                <c:pt idx="210">
                  <c:v>11621800.621652173</c:v>
                </c:pt>
                <c:pt idx="211">
                  <c:v>11621800.621652173</c:v>
                </c:pt>
                <c:pt idx="212">
                  <c:v>11621800.621652173</c:v>
                </c:pt>
                <c:pt idx="213">
                  <c:v>11621800.621652173</c:v>
                </c:pt>
                <c:pt idx="214">
                  <c:v>11621800.621652173</c:v>
                </c:pt>
                <c:pt idx="215">
                  <c:v>11621800.621652173</c:v>
                </c:pt>
                <c:pt idx="216">
                  <c:v>11621800.621652173</c:v>
                </c:pt>
                <c:pt idx="217">
                  <c:v>11621800.621652173</c:v>
                </c:pt>
                <c:pt idx="218">
                  <c:v>11621800.621652173</c:v>
                </c:pt>
                <c:pt idx="219">
                  <c:v>11621800.621652173</c:v>
                </c:pt>
                <c:pt idx="220">
                  <c:v>11621800.621652173</c:v>
                </c:pt>
                <c:pt idx="221">
                  <c:v>11621800.621652173</c:v>
                </c:pt>
                <c:pt idx="222">
                  <c:v>11621800.621652173</c:v>
                </c:pt>
                <c:pt idx="223">
                  <c:v>11621800.621652173</c:v>
                </c:pt>
                <c:pt idx="224">
                  <c:v>11621800.621652173</c:v>
                </c:pt>
                <c:pt idx="225">
                  <c:v>11621800.621652173</c:v>
                </c:pt>
                <c:pt idx="226">
                  <c:v>11621800.621652173</c:v>
                </c:pt>
                <c:pt idx="227">
                  <c:v>11621800.621652173</c:v>
                </c:pt>
                <c:pt idx="228">
                  <c:v>11621800.621652173</c:v>
                </c:pt>
                <c:pt idx="229">
                  <c:v>11621800.621652173</c:v>
                </c:pt>
                <c:pt idx="230">
                  <c:v>11621800.621652173</c:v>
                </c:pt>
                <c:pt idx="231">
                  <c:v>11621800.621652173</c:v>
                </c:pt>
                <c:pt idx="232">
                  <c:v>11621800.621652173</c:v>
                </c:pt>
                <c:pt idx="233">
                  <c:v>11621800.621652173</c:v>
                </c:pt>
                <c:pt idx="234">
                  <c:v>11621800.621652173</c:v>
                </c:pt>
                <c:pt idx="235">
                  <c:v>11621800.621652173</c:v>
                </c:pt>
                <c:pt idx="236">
                  <c:v>11621800.621652173</c:v>
                </c:pt>
                <c:pt idx="237">
                  <c:v>11621800.621652173</c:v>
                </c:pt>
                <c:pt idx="238">
                  <c:v>11621800.621652173</c:v>
                </c:pt>
                <c:pt idx="239">
                  <c:v>11621800.621652173</c:v>
                </c:pt>
                <c:pt idx="240">
                  <c:v>11621800.621652173</c:v>
                </c:pt>
                <c:pt idx="241">
                  <c:v>11621800.621652173</c:v>
                </c:pt>
                <c:pt idx="242">
                  <c:v>11621800.621652173</c:v>
                </c:pt>
                <c:pt idx="243">
                  <c:v>11621800.621652173</c:v>
                </c:pt>
                <c:pt idx="244">
                  <c:v>11621800.621652173</c:v>
                </c:pt>
                <c:pt idx="245">
                  <c:v>11621800.621652173</c:v>
                </c:pt>
                <c:pt idx="246">
                  <c:v>11621800.621652173</c:v>
                </c:pt>
                <c:pt idx="247">
                  <c:v>11621800.621652173</c:v>
                </c:pt>
                <c:pt idx="248">
                  <c:v>11621800.621652173</c:v>
                </c:pt>
                <c:pt idx="249">
                  <c:v>11621800.621652173</c:v>
                </c:pt>
                <c:pt idx="250">
                  <c:v>11621800.621652173</c:v>
                </c:pt>
                <c:pt idx="251">
                  <c:v>11621800.621652173</c:v>
                </c:pt>
                <c:pt idx="252">
                  <c:v>11621800.621652173</c:v>
                </c:pt>
                <c:pt idx="253">
                  <c:v>11621800.621652173</c:v>
                </c:pt>
                <c:pt idx="254">
                  <c:v>11621800.621652173</c:v>
                </c:pt>
                <c:pt idx="255">
                  <c:v>11621800.621652173</c:v>
                </c:pt>
                <c:pt idx="256">
                  <c:v>11621800.621652173</c:v>
                </c:pt>
                <c:pt idx="257">
                  <c:v>11621800.621652173</c:v>
                </c:pt>
                <c:pt idx="258">
                  <c:v>11621800.621652173</c:v>
                </c:pt>
                <c:pt idx="259">
                  <c:v>11621800.621652173</c:v>
                </c:pt>
                <c:pt idx="260">
                  <c:v>11621800.621652173</c:v>
                </c:pt>
                <c:pt idx="261">
                  <c:v>11621800.621652173</c:v>
                </c:pt>
                <c:pt idx="262">
                  <c:v>11621800.621652173</c:v>
                </c:pt>
                <c:pt idx="263">
                  <c:v>11621800.621652173</c:v>
                </c:pt>
                <c:pt idx="264">
                  <c:v>11621800.621652173</c:v>
                </c:pt>
                <c:pt idx="265">
                  <c:v>11621800.621652173</c:v>
                </c:pt>
                <c:pt idx="266">
                  <c:v>11621800.621652173</c:v>
                </c:pt>
                <c:pt idx="267">
                  <c:v>11621800.621652173</c:v>
                </c:pt>
                <c:pt idx="268">
                  <c:v>11621800.621652173</c:v>
                </c:pt>
                <c:pt idx="269">
                  <c:v>11621800.621652173</c:v>
                </c:pt>
                <c:pt idx="270">
                  <c:v>11621800.621652173</c:v>
                </c:pt>
                <c:pt idx="271">
                  <c:v>11621800.621652173</c:v>
                </c:pt>
                <c:pt idx="272">
                  <c:v>11621800.621652173</c:v>
                </c:pt>
                <c:pt idx="273">
                  <c:v>11621800.621652173</c:v>
                </c:pt>
                <c:pt idx="274">
                  <c:v>11621800.621652173</c:v>
                </c:pt>
                <c:pt idx="275">
                  <c:v>11621800.621652173</c:v>
                </c:pt>
                <c:pt idx="276">
                  <c:v>11621800.621652173</c:v>
                </c:pt>
                <c:pt idx="277">
                  <c:v>11621800.621652173</c:v>
                </c:pt>
                <c:pt idx="278">
                  <c:v>11621800.621652173</c:v>
                </c:pt>
                <c:pt idx="279">
                  <c:v>11621800.621652173</c:v>
                </c:pt>
                <c:pt idx="280">
                  <c:v>11621800.621652173</c:v>
                </c:pt>
                <c:pt idx="281">
                  <c:v>11621800.621652173</c:v>
                </c:pt>
                <c:pt idx="282">
                  <c:v>11621800.621652173</c:v>
                </c:pt>
                <c:pt idx="283">
                  <c:v>11621800.621652173</c:v>
                </c:pt>
                <c:pt idx="284">
                  <c:v>11621800.621652173</c:v>
                </c:pt>
                <c:pt idx="285">
                  <c:v>11621800.621652173</c:v>
                </c:pt>
                <c:pt idx="286">
                  <c:v>11621800.621652173</c:v>
                </c:pt>
                <c:pt idx="287">
                  <c:v>11621800.621652173</c:v>
                </c:pt>
                <c:pt idx="288">
                  <c:v>11621800.621652173</c:v>
                </c:pt>
                <c:pt idx="289">
                  <c:v>11621800.621652173</c:v>
                </c:pt>
                <c:pt idx="290">
                  <c:v>11621800.621652173</c:v>
                </c:pt>
                <c:pt idx="291">
                  <c:v>11621800.621652173</c:v>
                </c:pt>
                <c:pt idx="292">
                  <c:v>11621800.621652173</c:v>
                </c:pt>
                <c:pt idx="293">
                  <c:v>11621800.621652173</c:v>
                </c:pt>
                <c:pt idx="294">
                  <c:v>11621800.621652173</c:v>
                </c:pt>
                <c:pt idx="295">
                  <c:v>11621800.621652173</c:v>
                </c:pt>
                <c:pt idx="296">
                  <c:v>11621800.621652173</c:v>
                </c:pt>
                <c:pt idx="297">
                  <c:v>11621800.621652173</c:v>
                </c:pt>
                <c:pt idx="298">
                  <c:v>11621800.621652173</c:v>
                </c:pt>
                <c:pt idx="299">
                  <c:v>11621800.621652173</c:v>
                </c:pt>
                <c:pt idx="300">
                  <c:v>11621800.621652173</c:v>
                </c:pt>
                <c:pt idx="301">
                  <c:v>11621800.621652173</c:v>
                </c:pt>
                <c:pt idx="302">
                  <c:v>11621800.621652173</c:v>
                </c:pt>
                <c:pt idx="303">
                  <c:v>11621800.621652173</c:v>
                </c:pt>
                <c:pt idx="304">
                  <c:v>11621800.621652173</c:v>
                </c:pt>
                <c:pt idx="305">
                  <c:v>11621800.621652173</c:v>
                </c:pt>
                <c:pt idx="306">
                  <c:v>11621800.621652173</c:v>
                </c:pt>
                <c:pt idx="307">
                  <c:v>11621800.621652173</c:v>
                </c:pt>
                <c:pt idx="308">
                  <c:v>11621800.621652173</c:v>
                </c:pt>
                <c:pt idx="309">
                  <c:v>11621800.621652173</c:v>
                </c:pt>
                <c:pt idx="310">
                  <c:v>11621800.621652173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119</c:v>
                </c:pt>
                <c:pt idx="16">
                  <c:v>1329869</c:v>
                </c:pt>
                <c:pt idx="17">
                  <c:v>1329869</c:v>
                </c:pt>
                <c:pt idx="18">
                  <c:v>119</c:v>
                </c:pt>
                <c:pt idx="19">
                  <c:v>119</c:v>
                </c:pt>
                <c:pt idx="20">
                  <c:v>318.91999999996273</c:v>
                </c:pt>
                <c:pt idx="21">
                  <c:v>318.91999999996273</c:v>
                </c:pt>
                <c:pt idx="22">
                  <c:v>318.91999999996273</c:v>
                </c:pt>
                <c:pt idx="23">
                  <c:v>318.91999999996273</c:v>
                </c:pt>
                <c:pt idx="24">
                  <c:v>318.91999999996273</c:v>
                </c:pt>
                <c:pt idx="25">
                  <c:v>318.91999999996273</c:v>
                </c:pt>
                <c:pt idx="26">
                  <c:v>10968.919999999962</c:v>
                </c:pt>
                <c:pt idx="27">
                  <c:v>2713679.8449999997</c:v>
                </c:pt>
                <c:pt idx="28">
                  <c:v>2713913.085</c:v>
                </c:pt>
                <c:pt idx="29">
                  <c:v>2826429.0350000001</c:v>
                </c:pt>
                <c:pt idx="30">
                  <c:v>2826429.0350000001</c:v>
                </c:pt>
                <c:pt idx="31">
                  <c:v>3245469.5150000001</c:v>
                </c:pt>
                <c:pt idx="32">
                  <c:v>3245469.5150000001</c:v>
                </c:pt>
                <c:pt idx="33">
                  <c:v>3245469.5150000001</c:v>
                </c:pt>
                <c:pt idx="34">
                  <c:v>3245469.5150000001</c:v>
                </c:pt>
                <c:pt idx="35">
                  <c:v>3461890.625</c:v>
                </c:pt>
                <c:pt idx="36">
                  <c:v>3461890.625</c:v>
                </c:pt>
                <c:pt idx="37">
                  <c:v>3462865.625</c:v>
                </c:pt>
                <c:pt idx="38">
                  <c:v>3462865.625</c:v>
                </c:pt>
                <c:pt idx="39">
                  <c:v>4444261.4350000005</c:v>
                </c:pt>
                <c:pt idx="40">
                  <c:v>4444261.4350000005</c:v>
                </c:pt>
                <c:pt idx="41">
                  <c:v>4504458.3150000004</c:v>
                </c:pt>
                <c:pt idx="42">
                  <c:v>4504458.3150000004</c:v>
                </c:pt>
                <c:pt idx="43">
                  <c:v>4504458.3150000004</c:v>
                </c:pt>
                <c:pt idx="44">
                  <c:v>4504458.3150000004</c:v>
                </c:pt>
                <c:pt idx="45">
                  <c:v>4504458.3150000004</c:v>
                </c:pt>
                <c:pt idx="46">
                  <c:v>4504458.3150000004</c:v>
                </c:pt>
                <c:pt idx="47">
                  <c:v>7021864.2149999999</c:v>
                </c:pt>
                <c:pt idx="48">
                  <c:v>7021864.2149999999</c:v>
                </c:pt>
                <c:pt idx="49">
                  <c:v>7021864.2149999999</c:v>
                </c:pt>
                <c:pt idx="50">
                  <c:v>7021968.9349999996</c:v>
                </c:pt>
                <c:pt idx="51">
                  <c:v>7021968.9349999996</c:v>
                </c:pt>
                <c:pt idx="52">
                  <c:v>7021968.9349999996</c:v>
                </c:pt>
                <c:pt idx="53">
                  <c:v>7021968.9349999996</c:v>
                </c:pt>
                <c:pt idx="54">
                  <c:v>7021968.9349999996</c:v>
                </c:pt>
                <c:pt idx="55">
                  <c:v>7021968.9349999996</c:v>
                </c:pt>
                <c:pt idx="56">
                  <c:v>7021968.9349999996</c:v>
                </c:pt>
                <c:pt idx="57">
                  <c:v>7541774.7599999998</c:v>
                </c:pt>
                <c:pt idx="58">
                  <c:v>7542554.7599999998</c:v>
                </c:pt>
                <c:pt idx="59">
                  <c:v>7719203.6849999996</c:v>
                </c:pt>
                <c:pt idx="60">
                  <c:v>7719203.6849999996</c:v>
                </c:pt>
                <c:pt idx="61">
                  <c:v>7719203.6849999996</c:v>
                </c:pt>
                <c:pt idx="62">
                  <c:v>7879089.8234999999</c:v>
                </c:pt>
                <c:pt idx="63">
                  <c:v>7882570.8234999999</c:v>
                </c:pt>
                <c:pt idx="64">
                  <c:v>7882570.8234999999</c:v>
                </c:pt>
                <c:pt idx="65">
                  <c:v>7882570.8234999999</c:v>
                </c:pt>
                <c:pt idx="66">
                  <c:v>7882570.8234999999</c:v>
                </c:pt>
                <c:pt idx="67">
                  <c:v>7883350.8234999999</c:v>
                </c:pt>
                <c:pt idx="68">
                  <c:v>7883350.8234999999</c:v>
                </c:pt>
                <c:pt idx="69">
                  <c:v>7883350.8234999999</c:v>
                </c:pt>
                <c:pt idx="70">
                  <c:v>7883350.8234999999</c:v>
                </c:pt>
                <c:pt idx="71">
                  <c:v>7883350.8234999999</c:v>
                </c:pt>
                <c:pt idx="72">
                  <c:v>7883350.8234999999</c:v>
                </c:pt>
                <c:pt idx="73">
                  <c:v>7883350.8234999999</c:v>
                </c:pt>
                <c:pt idx="74">
                  <c:v>7883350.8234999999</c:v>
                </c:pt>
                <c:pt idx="75">
                  <c:v>7883350.8234999999</c:v>
                </c:pt>
                <c:pt idx="76">
                  <c:v>7883350.8234999999</c:v>
                </c:pt>
                <c:pt idx="77">
                  <c:v>7883350.8234999999</c:v>
                </c:pt>
                <c:pt idx="78">
                  <c:v>7883350.8234999999</c:v>
                </c:pt>
                <c:pt idx="79">
                  <c:v>7883350.8234999999</c:v>
                </c:pt>
                <c:pt idx="80">
                  <c:v>7883350.8234999999</c:v>
                </c:pt>
                <c:pt idx="81">
                  <c:v>7883350.8234999999</c:v>
                </c:pt>
                <c:pt idx="82">
                  <c:v>7883350.8234999999</c:v>
                </c:pt>
                <c:pt idx="83">
                  <c:v>7883350.8234999999</c:v>
                </c:pt>
                <c:pt idx="84">
                  <c:v>7883350.8234999999</c:v>
                </c:pt>
                <c:pt idx="85">
                  <c:v>7883350.8234999999</c:v>
                </c:pt>
                <c:pt idx="86">
                  <c:v>7883350.8234999999</c:v>
                </c:pt>
                <c:pt idx="87">
                  <c:v>7883350.8234999999</c:v>
                </c:pt>
                <c:pt idx="88">
                  <c:v>7883350.8234999999</c:v>
                </c:pt>
                <c:pt idx="89">
                  <c:v>7883350.8234999999</c:v>
                </c:pt>
                <c:pt idx="90">
                  <c:v>7883350.8234999999</c:v>
                </c:pt>
                <c:pt idx="91">
                  <c:v>7883350.8234999999</c:v>
                </c:pt>
                <c:pt idx="92">
                  <c:v>7883350.8234999999</c:v>
                </c:pt>
                <c:pt idx="93">
                  <c:v>7883350.8234999999</c:v>
                </c:pt>
                <c:pt idx="94">
                  <c:v>7883350.8234999999</c:v>
                </c:pt>
                <c:pt idx="95">
                  <c:v>7883350.8234999999</c:v>
                </c:pt>
                <c:pt idx="96">
                  <c:v>7883350.8234999999</c:v>
                </c:pt>
                <c:pt idx="97">
                  <c:v>7883350.8234999999</c:v>
                </c:pt>
                <c:pt idx="98">
                  <c:v>7883350.8234999999</c:v>
                </c:pt>
                <c:pt idx="99">
                  <c:v>7883350.8234999999</c:v>
                </c:pt>
                <c:pt idx="100">
                  <c:v>7883350.8234999999</c:v>
                </c:pt>
                <c:pt idx="101">
                  <c:v>7883350.8234999999</c:v>
                </c:pt>
                <c:pt idx="102">
                  <c:v>7883350.8234999999</c:v>
                </c:pt>
                <c:pt idx="103">
                  <c:v>7883350.8234999999</c:v>
                </c:pt>
                <c:pt idx="104">
                  <c:v>7883350.8234999999</c:v>
                </c:pt>
                <c:pt idx="105">
                  <c:v>7883350.8234999999</c:v>
                </c:pt>
                <c:pt idx="106">
                  <c:v>7883350.8234999999</c:v>
                </c:pt>
                <c:pt idx="107">
                  <c:v>7883350.8234999999</c:v>
                </c:pt>
                <c:pt idx="108">
                  <c:v>7883350.8234999999</c:v>
                </c:pt>
                <c:pt idx="109">
                  <c:v>7883350.8234999999</c:v>
                </c:pt>
                <c:pt idx="110">
                  <c:v>7883350.8234999999</c:v>
                </c:pt>
                <c:pt idx="111">
                  <c:v>7883350.8234999999</c:v>
                </c:pt>
                <c:pt idx="112">
                  <c:v>7883350.8234999999</c:v>
                </c:pt>
                <c:pt idx="113">
                  <c:v>7883350.8234999999</c:v>
                </c:pt>
                <c:pt idx="114">
                  <c:v>7883350.8234999999</c:v>
                </c:pt>
                <c:pt idx="115">
                  <c:v>7883350.8234999999</c:v>
                </c:pt>
                <c:pt idx="116">
                  <c:v>7883350.8234999999</c:v>
                </c:pt>
                <c:pt idx="117">
                  <c:v>7883350.8234999999</c:v>
                </c:pt>
                <c:pt idx="118">
                  <c:v>7883350.8234999999</c:v>
                </c:pt>
                <c:pt idx="119">
                  <c:v>7883350.8234999999</c:v>
                </c:pt>
                <c:pt idx="120">
                  <c:v>7883350.8234999999</c:v>
                </c:pt>
                <c:pt idx="121">
                  <c:v>7883350.8234999999</c:v>
                </c:pt>
                <c:pt idx="122">
                  <c:v>7883350.8234999999</c:v>
                </c:pt>
                <c:pt idx="123">
                  <c:v>7883350.8234999999</c:v>
                </c:pt>
                <c:pt idx="124">
                  <c:v>7883350.8234999999</c:v>
                </c:pt>
                <c:pt idx="125">
                  <c:v>7883350.8234999999</c:v>
                </c:pt>
                <c:pt idx="126">
                  <c:v>7883350.8234999999</c:v>
                </c:pt>
                <c:pt idx="127">
                  <c:v>7883350.8234999999</c:v>
                </c:pt>
                <c:pt idx="128">
                  <c:v>7883350.8234999999</c:v>
                </c:pt>
                <c:pt idx="129">
                  <c:v>7883350.8234999999</c:v>
                </c:pt>
                <c:pt idx="130">
                  <c:v>7883350.8234999999</c:v>
                </c:pt>
                <c:pt idx="131">
                  <c:v>7883350.8234999999</c:v>
                </c:pt>
                <c:pt idx="132">
                  <c:v>7883350.8234999999</c:v>
                </c:pt>
                <c:pt idx="133">
                  <c:v>7883350.8234999999</c:v>
                </c:pt>
                <c:pt idx="134">
                  <c:v>7883350.8234999999</c:v>
                </c:pt>
                <c:pt idx="135">
                  <c:v>7883350.8234999999</c:v>
                </c:pt>
                <c:pt idx="136">
                  <c:v>7883350.8234999999</c:v>
                </c:pt>
                <c:pt idx="137">
                  <c:v>7883350.8234999999</c:v>
                </c:pt>
                <c:pt idx="138">
                  <c:v>7883350.8234999999</c:v>
                </c:pt>
                <c:pt idx="139">
                  <c:v>7883350.8234999999</c:v>
                </c:pt>
                <c:pt idx="140">
                  <c:v>7883350.8234999999</c:v>
                </c:pt>
                <c:pt idx="141">
                  <c:v>7883350.8234999999</c:v>
                </c:pt>
                <c:pt idx="142">
                  <c:v>7883350.8234999999</c:v>
                </c:pt>
                <c:pt idx="143">
                  <c:v>7883350.8234999999</c:v>
                </c:pt>
                <c:pt idx="144">
                  <c:v>7883350.8234999999</c:v>
                </c:pt>
                <c:pt idx="145">
                  <c:v>7883350.8234999999</c:v>
                </c:pt>
                <c:pt idx="146">
                  <c:v>7883350.8234999999</c:v>
                </c:pt>
                <c:pt idx="147">
                  <c:v>7883350.8234999999</c:v>
                </c:pt>
                <c:pt idx="148">
                  <c:v>7883350.8234999999</c:v>
                </c:pt>
                <c:pt idx="149">
                  <c:v>7883350.8234999999</c:v>
                </c:pt>
                <c:pt idx="150">
                  <c:v>7883350.8234999999</c:v>
                </c:pt>
                <c:pt idx="151">
                  <c:v>7883350.8234999999</c:v>
                </c:pt>
                <c:pt idx="152">
                  <c:v>7883350.8234999999</c:v>
                </c:pt>
                <c:pt idx="153">
                  <c:v>7883350.8234999999</c:v>
                </c:pt>
                <c:pt idx="154">
                  <c:v>7883350.8234999999</c:v>
                </c:pt>
                <c:pt idx="155">
                  <c:v>7883350.8234999999</c:v>
                </c:pt>
                <c:pt idx="156">
                  <c:v>7883350.8234999999</c:v>
                </c:pt>
                <c:pt idx="157">
                  <c:v>7883350.8234999999</c:v>
                </c:pt>
                <c:pt idx="158">
                  <c:v>7883350.8234999999</c:v>
                </c:pt>
                <c:pt idx="159">
                  <c:v>7883350.8234999999</c:v>
                </c:pt>
                <c:pt idx="160">
                  <c:v>7883350.8234999999</c:v>
                </c:pt>
                <c:pt idx="161">
                  <c:v>7883350.8234999999</c:v>
                </c:pt>
                <c:pt idx="162">
                  <c:v>7883350.8234999999</c:v>
                </c:pt>
                <c:pt idx="163">
                  <c:v>7883350.8234999999</c:v>
                </c:pt>
                <c:pt idx="164">
                  <c:v>7883350.8234999999</c:v>
                </c:pt>
                <c:pt idx="165">
                  <c:v>7883350.8234999999</c:v>
                </c:pt>
                <c:pt idx="166">
                  <c:v>7883350.8234999999</c:v>
                </c:pt>
                <c:pt idx="167">
                  <c:v>7883350.8234999999</c:v>
                </c:pt>
                <c:pt idx="168">
                  <c:v>7883350.8234999999</c:v>
                </c:pt>
                <c:pt idx="169">
                  <c:v>7883350.8234999999</c:v>
                </c:pt>
                <c:pt idx="170">
                  <c:v>7883350.8234999999</c:v>
                </c:pt>
                <c:pt idx="171">
                  <c:v>7883350.8234999999</c:v>
                </c:pt>
                <c:pt idx="172">
                  <c:v>7883350.8234999999</c:v>
                </c:pt>
                <c:pt idx="173">
                  <c:v>7883350.8234999999</c:v>
                </c:pt>
                <c:pt idx="174">
                  <c:v>7883350.8234999999</c:v>
                </c:pt>
                <c:pt idx="175">
                  <c:v>7883350.8234999999</c:v>
                </c:pt>
                <c:pt idx="176">
                  <c:v>7883350.8234999999</c:v>
                </c:pt>
                <c:pt idx="177">
                  <c:v>7883350.8234999999</c:v>
                </c:pt>
                <c:pt idx="178">
                  <c:v>7883350.8234999999</c:v>
                </c:pt>
                <c:pt idx="179">
                  <c:v>7883350.8234999999</c:v>
                </c:pt>
                <c:pt idx="180">
                  <c:v>7883350.8234999999</c:v>
                </c:pt>
                <c:pt idx="181">
                  <c:v>7883350.8234999999</c:v>
                </c:pt>
                <c:pt idx="182">
                  <c:v>7883350.8234999999</c:v>
                </c:pt>
                <c:pt idx="183">
                  <c:v>7883350.8234999999</c:v>
                </c:pt>
                <c:pt idx="184">
                  <c:v>7883350.8234999999</c:v>
                </c:pt>
                <c:pt idx="185">
                  <c:v>7883350.8234999999</c:v>
                </c:pt>
                <c:pt idx="186">
                  <c:v>7883350.8234999999</c:v>
                </c:pt>
                <c:pt idx="187">
                  <c:v>7883350.8234999999</c:v>
                </c:pt>
                <c:pt idx="188">
                  <c:v>7883350.8234999999</c:v>
                </c:pt>
                <c:pt idx="189">
                  <c:v>7883350.8234999999</c:v>
                </c:pt>
                <c:pt idx="190">
                  <c:v>7883350.8234999999</c:v>
                </c:pt>
                <c:pt idx="191">
                  <c:v>7883350.8234999999</c:v>
                </c:pt>
                <c:pt idx="192">
                  <c:v>7883350.8234999999</c:v>
                </c:pt>
                <c:pt idx="193">
                  <c:v>7883350.8234999999</c:v>
                </c:pt>
                <c:pt idx="194">
                  <c:v>7883350.8234999999</c:v>
                </c:pt>
                <c:pt idx="195">
                  <c:v>7883350.8234999999</c:v>
                </c:pt>
                <c:pt idx="196">
                  <c:v>7883350.8234999999</c:v>
                </c:pt>
                <c:pt idx="197">
                  <c:v>7883350.8234999999</c:v>
                </c:pt>
                <c:pt idx="198">
                  <c:v>7883350.8234999999</c:v>
                </c:pt>
                <c:pt idx="199">
                  <c:v>7883350.8234999999</c:v>
                </c:pt>
                <c:pt idx="200">
                  <c:v>7883350.8234999999</c:v>
                </c:pt>
                <c:pt idx="201">
                  <c:v>7883350.8234999999</c:v>
                </c:pt>
                <c:pt idx="202">
                  <c:v>7883350.8234999999</c:v>
                </c:pt>
                <c:pt idx="203">
                  <c:v>7883350.8234999999</c:v>
                </c:pt>
                <c:pt idx="204">
                  <c:v>7883350.8234999999</c:v>
                </c:pt>
                <c:pt idx="205">
                  <c:v>7883350.8234999999</c:v>
                </c:pt>
                <c:pt idx="206">
                  <c:v>7883350.8234999999</c:v>
                </c:pt>
                <c:pt idx="207">
                  <c:v>7883350.8234999999</c:v>
                </c:pt>
                <c:pt idx="208">
                  <c:v>7883350.8234999999</c:v>
                </c:pt>
                <c:pt idx="209">
                  <c:v>7883350.8234999999</c:v>
                </c:pt>
                <c:pt idx="210">
                  <c:v>7883350.8234999999</c:v>
                </c:pt>
                <c:pt idx="211">
                  <c:v>7883350.8234999999</c:v>
                </c:pt>
                <c:pt idx="212">
                  <c:v>7883350.8234999999</c:v>
                </c:pt>
                <c:pt idx="213">
                  <c:v>7883350.8234999999</c:v>
                </c:pt>
                <c:pt idx="214">
                  <c:v>7883350.8234999999</c:v>
                </c:pt>
                <c:pt idx="215">
                  <c:v>7883350.8234999999</c:v>
                </c:pt>
                <c:pt idx="216">
                  <c:v>7883350.8234999999</c:v>
                </c:pt>
                <c:pt idx="217">
                  <c:v>7883350.8234999999</c:v>
                </c:pt>
                <c:pt idx="218">
                  <c:v>7883350.8234999999</c:v>
                </c:pt>
                <c:pt idx="219">
                  <c:v>7883350.8234999999</c:v>
                </c:pt>
                <c:pt idx="220">
                  <c:v>7883350.8234999999</c:v>
                </c:pt>
                <c:pt idx="221">
                  <c:v>7883350.8234999999</c:v>
                </c:pt>
                <c:pt idx="222">
                  <c:v>7883350.8234999999</c:v>
                </c:pt>
                <c:pt idx="223">
                  <c:v>7883350.8234999999</c:v>
                </c:pt>
                <c:pt idx="224">
                  <c:v>7883350.8234999999</c:v>
                </c:pt>
                <c:pt idx="225">
                  <c:v>7883350.8234999999</c:v>
                </c:pt>
                <c:pt idx="226">
                  <c:v>7883350.8234999999</c:v>
                </c:pt>
                <c:pt idx="227">
                  <c:v>7883350.8234999999</c:v>
                </c:pt>
                <c:pt idx="228">
                  <c:v>7883350.8234999999</c:v>
                </c:pt>
                <c:pt idx="229">
                  <c:v>7883350.8234999999</c:v>
                </c:pt>
                <c:pt idx="230">
                  <c:v>7883350.8234999999</c:v>
                </c:pt>
                <c:pt idx="231">
                  <c:v>7883350.8234999999</c:v>
                </c:pt>
                <c:pt idx="232">
                  <c:v>7883350.8234999999</c:v>
                </c:pt>
                <c:pt idx="233">
                  <c:v>7883350.8234999999</c:v>
                </c:pt>
                <c:pt idx="234">
                  <c:v>7883350.8234999999</c:v>
                </c:pt>
                <c:pt idx="235">
                  <c:v>7883350.8234999999</c:v>
                </c:pt>
                <c:pt idx="236">
                  <c:v>7883350.8234999999</c:v>
                </c:pt>
                <c:pt idx="237">
                  <c:v>7883350.8234999999</c:v>
                </c:pt>
                <c:pt idx="238">
                  <c:v>7883350.8234999999</c:v>
                </c:pt>
                <c:pt idx="239">
                  <c:v>7883350.8234999999</c:v>
                </c:pt>
                <c:pt idx="240">
                  <c:v>7883350.8234999999</c:v>
                </c:pt>
                <c:pt idx="241">
                  <c:v>7883350.8234999999</c:v>
                </c:pt>
                <c:pt idx="242">
                  <c:v>7883350.8234999999</c:v>
                </c:pt>
                <c:pt idx="243">
                  <c:v>7883350.8234999999</c:v>
                </c:pt>
                <c:pt idx="244">
                  <c:v>7883350.8234999999</c:v>
                </c:pt>
                <c:pt idx="245">
                  <c:v>7883350.8234999999</c:v>
                </c:pt>
                <c:pt idx="246">
                  <c:v>7883350.8234999999</c:v>
                </c:pt>
                <c:pt idx="247">
                  <c:v>7883350.8234999999</c:v>
                </c:pt>
                <c:pt idx="248">
                  <c:v>7883350.8234999999</c:v>
                </c:pt>
                <c:pt idx="249">
                  <c:v>7883350.8234999999</c:v>
                </c:pt>
                <c:pt idx="250">
                  <c:v>7883350.8234999999</c:v>
                </c:pt>
                <c:pt idx="251">
                  <c:v>7883350.8234999999</c:v>
                </c:pt>
                <c:pt idx="252">
                  <c:v>7883350.8234999999</c:v>
                </c:pt>
                <c:pt idx="253">
                  <c:v>7883350.8234999999</c:v>
                </c:pt>
                <c:pt idx="254">
                  <c:v>7883350.8234999999</c:v>
                </c:pt>
                <c:pt idx="255">
                  <c:v>7883350.8234999999</c:v>
                </c:pt>
                <c:pt idx="256">
                  <c:v>7883350.8234999999</c:v>
                </c:pt>
                <c:pt idx="257">
                  <c:v>7883350.8234999999</c:v>
                </c:pt>
                <c:pt idx="258">
                  <c:v>7883350.8234999999</c:v>
                </c:pt>
                <c:pt idx="259">
                  <c:v>7883350.8234999999</c:v>
                </c:pt>
                <c:pt idx="260">
                  <c:v>7883350.8234999999</c:v>
                </c:pt>
                <c:pt idx="261">
                  <c:v>7883350.8234999999</c:v>
                </c:pt>
                <c:pt idx="262">
                  <c:v>7883350.8234999999</c:v>
                </c:pt>
                <c:pt idx="263">
                  <c:v>7883350.8234999999</c:v>
                </c:pt>
                <c:pt idx="264">
                  <c:v>7883350.8234999999</c:v>
                </c:pt>
                <c:pt idx="265">
                  <c:v>7883350.8234999999</c:v>
                </c:pt>
                <c:pt idx="266">
                  <c:v>7883350.8234999999</c:v>
                </c:pt>
                <c:pt idx="267">
                  <c:v>7883350.8234999999</c:v>
                </c:pt>
                <c:pt idx="268">
                  <c:v>7883350.8234999999</c:v>
                </c:pt>
                <c:pt idx="269">
                  <c:v>7883350.8234999999</c:v>
                </c:pt>
                <c:pt idx="270">
                  <c:v>7883350.8234999999</c:v>
                </c:pt>
                <c:pt idx="271">
                  <c:v>7883350.8234999999</c:v>
                </c:pt>
                <c:pt idx="272">
                  <c:v>7883350.8234999999</c:v>
                </c:pt>
                <c:pt idx="273">
                  <c:v>7883350.8234999999</c:v>
                </c:pt>
                <c:pt idx="274">
                  <c:v>7883350.8234999999</c:v>
                </c:pt>
                <c:pt idx="275">
                  <c:v>7883350.8234999999</c:v>
                </c:pt>
                <c:pt idx="276">
                  <c:v>7883350.8234999999</c:v>
                </c:pt>
                <c:pt idx="277">
                  <c:v>7883350.8234999999</c:v>
                </c:pt>
                <c:pt idx="278">
                  <c:v>7883350.8234999999</c:v>
                </c:pt>
                <c:pt idx="279">
                  <c:v>7883350.8234999999</c:v>
                </c:pt>
                <c:pt idx="280">
                  <c:v>7883350.8234999999</c:v>
                </c:pt>
                <c:pt idx="281">
                  <c:v>7883350.8234999999</c:v>
                </c:pt>
                <c:pt idx="282">
                  <c:v>7883350.8234999999</c:v>
                </c:pt>
                <c:pt idx="283">
                  <c:v>7883350.8234999999</c:v>
                </c:pt>
                <c:pt idx="284">
                  <c:v>7883350.8234999999</c:v>
                </c:pt>
                <c:pt idx="285">
                  <c:v>7883350.8234999999</c:v>
                </c:pt>
                <c:pt idx="286">
                  <c:v>7883350.8234999999</c:v>
                </c:pt>
                <c:pt idx="287">
                  <c:v>7883350.8234999999</c:v>
                </c:pt>
                <c:pt idx="288">
                  <c:v>7883350.8234999999</c:v>
                </c:pt>
                <c:pt idx="289">
                  <c:v>7883350.8234999999</c:v>
                </c:pt>
                <c:pt idx="290">
                  <c:v>7883350.8234999999</c:v>
                </c:pt>
                <c:pt idx="291">
                  <c:v>7883350.8234999999</c:v>
                </c:pt>
                <c:pt idx="292">
                  <c:v>7883350.8234999999</c:v>
                </c:pt>
                <c:pt idx="293">
                  <c:v>7883350.8234999999</c:v>
                </c:pt>
                <c:pt idx="294">
                  <c:v>7883350.8234999999</c:v>
                </c:pt>
                <c:pt idx="295">
                  <c:v>7883350.8234999999</c:v>
                </c:pt>
                <c:pt idx="296">
                  <c:v>7883350.8234999999</c:v>
                </c:pt>
                <c:pt idx="297">
                  <c:v>7883350.8234999999</c:v>
                </c:pt>
                <c:pt idx="298">
                  <c:v>7883350.8234999999</c:v>
                </c:pt>
                <c:pt idx="299">
                  <c:v>7883350.8234999999</c:v>
                </c:pt>
                <c:pt idx="300">
                  <c:v>7883350.8234999999</c:v>
                </c:pt>
                <c:pt idx="301">
                  <c:v>7883350.8234999999</c:v>
                </c:pt>
                <c:pt idx="302">
                  <c:v>7883350.8234999999</c:v>
                </c:pt>
                <c:pt idx="303">
                  <c:v>7883350.8234999999</c:v>
                </c:pt>
                <c:pt idx="304">
                  <c:v>7883350.8234999999</c:v>
                </c:pt>
                <c:pt idx="305">
                  <c:v>7883350.8234999999</c:v>
                </c:pt>
                <c:pt idx="306">
                  <c:v>7883350.8234999999</c:v>
                </c:pt>
                <c:pt idx="307">
                  <c:v>7883350.8234999999</c:v>
                </c:pt>
                <c:pt idx="308">
                  <c:v>7883350.8234999999</c:v>
                </c:pt>
                <c:pt idx="309">
                  <c:v>7883350.8234999999</c:v>
                </c:pt>
                <c:pt idx="310">
                  <c:v>7883350.8234999999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2323985.2579999999</c:v>
                </c:pt>
                <c:pt idx="16">
                  <c:v>994235.25799999991</c:v>
                </c:pt>
                <c:pt idx="17">
                  <c:v>994235.25799999991</c:v>
                </c:pt>
                <c:pt idx="18">
                  <c:v>2323985.2579999999</c:v>
                </c:pt>
                <c:pt idx="19">
                  <c:v>2323985.2579999999</c:v>
                </c:pt>
                <c:pt idx="20">
                  <c:v>2323785.338</c:v>
                </c:pt>
                <c:pt idx="21">
                  <c:v>2323785.338</c:v>
                </c:pt>
                <c:pt idx="22">
                  <c:v>2323785.338</c:v>
                </c:pt>
                <c:pt idx="23">
                  <c:v>2323785.338</c:v>
                </c:pt>
                <c:pt idx="24">
                  <c:v>2323785.338</c:v>
                </c:pt>
                <c:pt idx="25">
                  <c:v>2323785.338</c:v>
                </c:pt>
                <c:pt idx="26">
                  <c:v>2313135.338</c:v>
                </c:pt>
                <c:pt idx="27">
                  <c:v>-389575.58699999982</c:v>
                </c:pt>
                <c:pt idx="28">
                  <c:v>938250.74899999984</c:v>
                </c:pt>
                <c:pt idx="29">
                  <c:v>825734.79899999965</c:v>
                </c:pt>
                <c:pt idx="30">
                  <c:v>825734.79899999965</c:v>
                </c:pt>
                <c:pt idx="31">
                  <c:v>406694.31899999967</c:v>
                </c:pt>
                <c:pt idx="32">
                  <c:v>406694.31899999967</c:v>
                </c:pt>
                <c:pt idx="33">
                  <c:v>406694.31899999967</c:v>
                </c:pt>
                <c:pt idx="34">
                  <c:v>406694.31899999967</c:v>
                </c:pt>
                <c:pt idx="35">
                  <c:v>190273.2089999998</c:v>
                </c:pt>
                <c:pt idx="36">
                  <c:v>190273.2089999998</c:v>
                </c:pt>
                <c:pt idx="37">
                  <c:v>189298.2089999998</c:v>
                </c:pt>
                <c:pt idx="38">
                  <c:v>189298.2089999998</c:v>
                </c:pt>
                <c:pt idx="39">
                  <c:v>-792097.60100000072</c:v>
                </c:pt>
                <c:pt idx="40">
                  <c:v>2196036.4449999984</c:v>
                </c:pt>
                <c:pt idx="41">
                  <c:v>2135839.5649999985</c:v>
                </c:pt>
                <c:pt idx="42">
                  <c:v>5123973.6109999986</c:v>
                </c:pt>
                <c:pt idx="43">
                  <c:v>5123973.6109999986</c:v>
                </c:pt>
                <c:pt idx="44">
                  <c:v>5123973.6109999986</c:v>
                </c:pt>
                <c:pt idx="45">
                  <c:v>5123973.6109999986</c:v>
                </c:pt>
                <c:pt idx="46">
                  <c:v>5123973.6109999986</c:v>
                </c:pt>
                <c:pt idx="47">
                  <c:v>4599936.406652173</c:v>
                </c:pt>
                <c:pt idx="48">
                  <c:v>4599936.406652173</c:v>
                </c:pt>
                <c:pt idx="49">
                  <c:v>4599936.406652173</c:v>
                </c:pt>
                <c:pt idx="50">
                  <c:v>4599831.6866521733</c:v>
                </c:pt>
                <c:pt idx="51">
                  <c:v>4599831.6866521733</c:v>
                </c:pt>
                <c:pt idx="52">
                  <c:v>4599831.6866521733</c:v>
                </c:pt>
                <c:pt idx="53">
                  <c:v>4599831.6866521733</c:v>
                </c:pt>
                <c:pt idx="54">
                  <c:v>4599831.6866521733</c:v>
                </c:pt>
                <c:pt idx="55">
                  <c:v>4599831.6866521733</c:v>
                </c:pt>
                <c:pt idx="56">
                  <c:v>4599831.6866521733</c:v>
                </c:pt>
                <c:pt idx="57">
                  <c:v>4080025.8616521731</c:v>
                </c:pt>
                <c:pt idx="58">
                  <c:v>4079245.8616521731</c:v>
                </c:pt>
                <c:pt idx="59">
                  <c:v>3902596.9366521733</c:v>
                </c:pt>
                <c:pt idx="60">
                  <c:v>3902596.9366521733</c:v>
                </c:pt>
                <c:pt idx="61">
                  <c:v>3902596.9366521733</c:v>
                </c:pt>
                <c:pt idx="62">
                  <c:v>3742710.7981521729</c:v>
                </c:pt>
                <c:pt idx="63">
                  <c:v>3739229.7981521729</c:v>
                </c:pt>
                <c:pt idx="64">
                  <c:v>3739229.7981521729</c:v>
                </c:pt>
                <c:pt idx="65">
                  <c:v>3739229.7981521729</c:v>
                </c:pt>
                <c:pt idx="66">
                  <c:v>3739229.7981521729</c:v>
                </c:pt>
                <c:pt idx="67">
                  <c:v>3738449.7981521729</c:v>
                </c:pt>
                <c:pt idx="68">
                  <c:v>3738449.7981521729</c:v>
                </c:pt>
                <c:pt idx="69">
                  <c:v>3738449.7981521729</c:v>
                </c:pt>
                <c:pt idx="70">
                  <c:v>3738449.7981521729</c:v>
                </c:pt>
                <c:pt idx="71">
                  <c:v>3738449.7981521729</c:v>
                </c:pt>
                <c:pt idx="72">
                  <c:v>3738449.7981521729</c:v>
                </c:pt>
                <c:pt idx="73">
                  <c:v>3738449.7981521729</c:v>
                </c:pt>
                <c:pt idx="74">
                  <c:v>3738449.7981521729</c:v>
                </c:pt>
                <c:pt idx="75">
                  <c:v>3738449.7981521729</c:v>
                </c:pt>
                <c:pt idx="76">
                  <c:v>3738449.7981521729</c:v>
                </c:pt>
                <c:pt idx="77">
                  <c:v>3738449.7981521729</c:v>
                </c:pt>
                <c:pt idx="78">
                  <c:v>3738449.7981521729</c:v>
                </c:pt>
                <c:pt idx="79">
                  <c:v>3738449.7981521729</c:v>
                </c:pt>
                <c:pt idx="80">
                  <c:v>3738449.7981521729</c:v>
                </c:pt>
                <c:pt idx="81">
                  <c:v>3738449.7981521729</c:v>
                </c:pt>
                <c:pt idx="82">
                  <c:v>3738449.7981521729</c:v>
                </c:pt>
                <c:pt idx="83">
                  <c:v>3738449.7981521729</c:v>
                </c:pt>
                <c:pt idx="84">
                  <c:v>3738449.7981521729</c:v>
                </c:pt>
                <c:pt idx="85">
                  <c:v>3738449.7981521729</c:v>
                </c:pt>
                <c:pt idx="86">
                  <c:v>3738449.7981521729</c:v>
                </c:pt>
                <c:pt idx="87">
                  <c:v>3738449.7981521729</c:v>
                </c:pt>
                <c:pt idx="88">
                  <c:v>3738449.7981521729</c:v>
                </c:pt>
                <c:pt idx="89">
                  <c:v>3738449.7981521729</c:v>
                </c:pt>
                <c:pt idx="90">
                  <c:v>3738449.7981521729</c:v>
                </c:pt>
                <c:pt idx="91">
                  <c:v>3738449.7981521729</c:v>
                </c:pt>
                <c:pt idx="92">
                  <c:v>3738449.7981521729</c:v>
                </c:pt>
                <c:pt idx="93">
                  <c:v>3738449.7981521729</c:v>
                </c:pt>
                <c:pt idx="94">
                  <c:v>3738449.7981521729</c:v>
                </c:pt>
                <c:pt idx="95">
                  <c:v>3738449.7981521729</c:v>
                </c:pt>
                <c:pt idx="96">
                  <c:v>3738449.7981521729</c:v>
                </c:pt>
                <c:pt idx="97">
                  <c:v>3738449.7981521729</c:v>
                </c:pt>
                <c:pt idx="98">
                  <c:v>3738449.7981521729</c:v>
                </c:pt>
                <c:pt idx="99">
                  <c:v>3738449.7981521729</c:v>
                </c:pt>
                <c:pt idx="100">
                  <c:v>3738449.7981521729</c:v>
                </c:pt>
                <c:pt idx="101">
                  <c:v>3738449.7981521729</c:v>
                </c:pt>
                <c:pt idx="102">
                  <c:v>3738449.7981521729</c:v>
                </c:pt>
                <c:pt idx="103">
                  <c:v>3738449.7981521729</c:v>
                </c:pt>
                <c:pt idx="104">
                  <c:v>3738449.7981521729</c:v>
                </c:pt>
                <c:pt idx="105">
                  <c:v>3738449.7981521729</c:v>
                </c:pt>
                <c:pt idx="106">
                  <c:v>3738449.7981521729</c:v>
                </c:pt>
                <c:pt idx="107">
                  <c:v>3738449.7981521729</c:v>
                </c:pt>
                <c:pt idx="108">
                  <c:v>3738449.7981521729</c:v>
                </c:pt>
                <c:pt idx="109">
                  <c:v>3738449.7981521729</c:v>
                </c:pt>
                <c:pt idx="110">
                  <c:v>3738449.7981521729</c:v>
                </c:pt>
                <c:pt idx="111">
                  <c:v>3738449.7981521729</c:v>
                </c:pt>
                <c:pt idx="112">
                  <c:v>3738449.7981521729</c:v>
                </c:pt>
                <c:pt idx="113">
                  <c:v>3738449.7981521729</c:v>
                </c:pt>
                <c:pt idx="114">
                  <c:v>3738449.7981521729</c:v>
                </c:pt>
                <c:pt idx="115">
                  <c:v>3738449.7981521729</c:v>
                </c:pt>
                <c:pt idx="116">
                  <c:v>3738449.7981521729</c:v>
                </c:pt>
                <c:pt idx="117">
                  <c:v>3738449.7981521729</c:v>
                </c:pt>
                <c:pt idx="118">
                  <c:v>3738449.7981521729</c:v>
                </c:pt>
                <c:pt idx="119">
                  <c:v>3738449.7981521729</c:v>
                </c:pt>
                <c:pt idx="120">
                  <c:v>3738449.7981521729</c:v>
                </c:pt>
                <c:pt idx="121">
                  <c:v>3738449.7981521729</c:v>
                </c:pt>
                <c:pt idx="122">
                  <c:v>3738449.7981521729</c:v>
                </c:pt>
                <c:pt idx="123">
                  <c:v>3738449.7981521729</c:v>
                </c:pt>
                <c:pt idx="124">
                  <c:v>3738449.7981521729</c:v>
                </c:pt>
                <c:pt idx="125">
                  <c:v>3738449.7981521729</c:v>
                </c:pt>
                <c:pt idx="126">
                  <c:v>3738449.7981521729</c:v>
                </c:pt>
                <c:pt idx="127">
                  <c:v>3738449.7981521729</c:v>
                </c:pt>
                <c:pt idx="128">
                  <c:v>3738449.7981521729</c:v>
                </c:pt>
                <c:pt idx="129">
                  <c:v>3738449.7981521729</c:v>
                </c:pt>
                <c:pt idx="130">
                  <c:v>3738449.7981521729</c:v>
                </c:pt>
                <c:pt idx="131">
                  <c:v>3738449.7981521729</c:v>
                </c:pt>
                <c:pt idx="132">
                  <c:v>3738449.7981521729</c:v>
                </c:pt>
                <c:pt idx="133">
                  <c:v>3738449.7981521729</c:v>
                </c:pt>
                <c:pt idx="134">
                  <c:v>3738449.7981521729</c:v>
                </c:pt>
                <c:pt idx="135">
                  <c:v>3738449.7981521729</c:v>
                </c:pt>
                <c:pt idx="136">
                  <c:v>3738449.7981521729</c:v>
                </c:pt>
                <c:pt idx="137">
                  <c:v>3738449.7981521729</c:v>
                </c:pt>
                <c:pt idx="138">
                  <c:v>3738449.7981521729</c:v>
                </c:pt>
                <c:pt idx="139">
                  <c:v>3738449.7981521729</c:v>
                </c:pt>
                <c:pt idx="140">
                  <c:v>3738449.7981521729</c:v>
                </c:pt>
                <c:pt idx="141">
                  <c:v>3738449.7981521729</c:v>
                </c:pt>
                <c:pt idx="142">
                  <c:v>3738449.7981521729</c:v>
                </c:pt>
                <c:pt idx="143">
                  <c:v>3738449.7981521729</c:v>
                </c:pt>
                <c:pt idx="144">
                  <c:v>3738449.7981521729</c:v>
                </c:pt>
                <c:pt idx="145">
                  <c:v>3738449.7981521729</c:v>
                </c:pt>
                <c:pt idx="146">
                  <c:v>3738449.7981521729</c:v>
                </c:pt>
                <c:pt idx="147">
                  <c:v>3738449.7981521729</c:v>
                </c:pt>
                <c:pt idx="148">
                  <c:v>3738449.7981521729</c:v>
                </c:pt>
                <c:pt idx="149">
                  <c:v>3738449.7981521729</c:v>
                </c:pt>
                <c:pt idx="150">
                  <c:v>3738449.7981521729</c:v>
                </c:pt>
                <c:pt idx="151">
                  <c:v>3738449.7981521729</c:v>
                </c:pt>
                <c:pt idx="152">
                  <c:v>3738449.7981521729</c:v>
                </c:pt>
                <c:pt idx="153">
                  <c:v>3738449.7981521729</c:v>
                </c:pt>
                <c:pt idx="154">
                  <c:v>3738449.7981521729</c:v>
                </c:pt>
                <c:pt idx="155">
                  <c:v>3738449.7981521729</c:v>
                </c:pt>
                <c:pt idx="156">
                  <c:v>3738449.7981521729</c:v>
                </c:pt>
                <c:pt idx="157">
                  <c:v>3738449.7981521729</c:v>
                </c:pt>
                <c:pt idx="158">
                  <c:v>3738449.7981521729</c:v>
                </c:pt>
                <c:pt idx="159">
                  <c:v>3738449.7981521729</c:v>
                </c:pt>
                <c:pt idx="160">
                  <c:v>3738449.7981521729</c:v>
                </c:pt>
                <c:pt idx="161">
                  <c:v>3738449.7981521729</c:v>
                </c:pt>
                <c:pt idx="162">
                  <c:v>3738449.7981521729</c:v>
                </c:pt>
                <c:pt idx="163">
                  <c:v>3738449.7981521729</c:v>
                </c:pt>
                <c:pt idx="164">
                  <c:v>3738449.7981521729</c:v>
                </c:pt>
                <c:pt idx="165">
                  <c:v>3738449.7981521729</c:v>
                </c:pt>
                <c:pt idx="166">
                  <c:v>3738449.7981521729</c:v>
                </c:pt>
                <c:pt idx="167">
                  <c:v>3738449.7981521729</c:v>
                </c:pt>
                <c:pt idx="168">
                  <c:v>3738449.7981521729</c:v>
                </c:pt>
                <c:pt idx="169">
                  <c:v>3738449.7981521729</c:v>
                </c:pt>
                <c:pt idx="170">
                  <c:v>3738449.7981521729</c:v>
                </c:pt>
                <c:pt idx="171">
                  <c:v>3738449.7981521729</c:v>
                </c:pt>
                <c:pt idx="172">
                  <c:v>3738449.7981521729</c:v>
                </c:pt>
                <c:pt idx="173">
                  <c:v>3738449.7981521729</c:v>
                </c:pt>
                <c:pt idx="174">
                  <c:v>3738449.7981521729</c:v>
                </c:pt>
                <c:pt idx="175">
                  <c:v>3738449.7981521729</c:v>
                </c:pt>
                <c:pt idx="176">
                  <c:v>3738449.7981521729</c:v>
                </c:pt>
                <c:pt idx="177">
                  <c:v>3738449.7981521729</c:v>
                </c:pt>
                <c:pt idx="178">
                  <c:v>3738449.7981521729</c:v>
                </c:pt>
                <c:pt idx="179">
                  <c:v>3738449.7981521729</c:v>
                </c:pt>
                <c:pt idx="180">
                  <c:v>3738449.7981521729</c:v>
                </c:pt>
                <c:pt idx="181">
                  <c:v>3738449.7981521729</c:v>
                </c:pt>
                <c:pt idx="182">
                  <c:v>3738449.7981521729</c:v>
                </c:pt>
                <c:pt idx="183">
                  <c:v>3738449.7981521729</c:v>
                </c:pt>
                <c:pt idx="184">
                  <c:v>3738449.7981521729</c:v>
                </c:pt>
                <c:pt idx="185">
                  <c:v>3738449.7981521729</c:v>
                </c:pt>
                <c:pt idx="186">
                  <c:v>3738449.7981521729</c:v>
                </c:pt>
                <c:pt idx="187">
                  <c:v>3738449.7981521729</c:v>
                </c:pt>
                <c:pt idx="188">
                  <c:v>3738449.7981521729</c:v>
                </c:pt>
                <c:pt idx="189">
                  <c:v>3738449.7981521729</c:v>
                </c:pt>
                <c:pt idx="190">
                  <c:v>3738449.7981521729</c:v>
                </c:pt>
                <c:pt idx="191">
                  <c:v>3738449.7981521729</c:v>
                </c:pt>
                <c:pt idx="192">
                  <c:v>3738449.7981521729</c:v>
                </c:pt>
                <c:pt idx="193">
                  <c:v>3738449.7981521729</c:v>
                </c:pt>
                <c:pt idx="194">
                  <c:v>3738449.7981521729</c:v>
                </c:pt>
                <c:pt idx="195">
                  <c:v>3738449.7981521729</c:v>
                </c:pt>
                <c:pt idx="196">
                  <c:v>3738449.7981521729</c:v>
                </c:pt>
                <c:pt idx="197">
                  <c:v>3738449.7981521729</c:v>
                </c:pt>
                <c:pt idx="198">
                  <c:v>3738449.7981521729</c:v>
                </c:pt>
                <c:pt idx="199">
                  <c:v>3738449.7981521729</c:v>
                </c:pt>
                <c:pt idx="200">
                  <c:v>3738449.7981521729</c:v>
                </c:pt>
                <c:pt idx="201">
                  <c:v>3738449.7981521729</c:v>
                </c:pt>
                <c:pt idx="202">
                  <c:v>3738449.7981521729</c:v>
                </c:pt>
                <c:pt idx="203">
                  <c:v>3738449.7981521729</c:v>
                </c:pt>
                <c:pt idx="204">
                  <c:v>3738449.7981521729</c:v>
                </c:pt>
                <c:pt idx="205">
                  <c:v>3738449.7981521729</c:v>
                </c:pt>
                <c:pt idx="206">
                  <c:v>3738449.7981521729</c:v>
                </c:pt>
                <c:pt idx="207">
                  <c:v>3738449.7981521729</c:v>
                </c:pt>
                <c:pt idx="208">
                  <c:v>3738449.7981521729</c:v>
                </c:pt>
                <c:pt idx="209">
                  <c:v>3738449.7981521729</c:v>
                </c:pt>
                <c:pt idx="210">
                  <c:v>3738449.7981521729</c:v>
                </c:pt>
                <c:pt idx="211">
                  <c:v>3738449.7981521729</c:v>
                </c:pt>
                <c:pt idx="212">
                  <c:v>3738449.7981521729</c:v>
                </c:pt>
                <c:pt idx="213">
                  <c:v>3738449.7981521729</c:v>
                </c:pt>
                <c:pt idx="214">
                  <c:v>3738449.7981521729</c:v>
                </c:pt>
                <c:pt idx="215">
                  <c:v>3738449.7981521729</c:v>
                </c:pt>
                <c:pt idx="216">
                  <c:v>3738449.7981521729</c:v>
                </c:pt>
                <c:pt idx="217">
                  <c:v>3738449.7981521729</c:v>
                </c:pt>
                <c:pt idx="218">
                  <c:v>3738449.7981521729</c:v>
                </c:pt>
                <c:pt idx="219">
                  <c:v>3738449.7981521729</c:v>
                </c:pt>
                <c:pt idx="220">
                  <c:v>3738449.7981521729</c:v>
                </c:pt>
                <c:pt idx="221">
                  <c:v>3738449.7981521729</c:v>
                </c:pt>
                <c:pt idx="222">
                  <c:v>3738449.7981521729</c:v>
                </c:pt>
                <c:pt idx="223">
                  <c:v>3738449.7981521729</c:v>
                </c:pt>
                <c:pt idx="224">
                  <c:v>3738449.7981521729</c:v>
                </c:pt>
                <c:pt idx="225">
                  <c:v>3738449.7981521729</c:v>
                </c:pt>
                <c:pt idx="226">
                  <c:v>3738449.7981521729</c:v>
                </c:pt>
                <c:pt idx="227">
                  <c:v>3738449.7981521729</c:v>
                </c:pt>
                <c:pt idx="228">
                  <c:v>3738449.7981521729</c:v>
                </c:pt>
                <c:pt idx="229">
                  <c:v>3738449.7981521729</c:v>
                </c:pt>
                <c:pt idx="230">
                  <c:v>3738449.7981521729</c:v>
                </c:pt>
                <c:pt idx="231">
                  <c:v>3738449.7981521729</c:v>
                </c:pt>
                <c:pt idx="232">
                  <c:v>3738449.7981521729</c:v>
                </c:pt>
                <c:pt idx="233">
                  <c:v>3738449.7981521729</c:v>
                </c:pt>
                <c:pt idx="234">
                  <c:v>3738449.7981521729</c:v>
                </c:pt>
                <c:pt idx="235">
                  <c:v>3738449.7981521729</c:v>
                </c:pt>
                <c:pt idx="236">
                  <c:v>3738449.7981521729</c:v>
                </c:pt>
                <c:pt idx="237">
                  <c:v>3738449.7981521729</c:v>
                </c:pt>
                <c:pt idx="238">
                  <c:v>3738449.7981521729</c:v>
                </c:pt>
                <c:pt idx="239">
                  <c:v>3738449.7981521729</c:v>
                </c:pt>
                <c:pt idx="240">
                  <c:v>3738449.7981521729</c:v>
                </c:pt>
                <c:pt idx="241">
                  <c:v>3738449.7981521729</c:v>
                </c:pt>
                <c:pt idx="242">
                  <c:v>3738449.7981521729</c:v>
                </c:pt>
                <c:pt idx="243">
                  <c:v>3738449.7981521729</c:v>
                </c:pt>
                <c:pt idx="244">
                  <c:v>3738449.7981521729</c:v>
                </c:pt>
                <c:pt idx="245">
                  <c:v>3738449.7981521729</c:v>
                </c:pt>
                <c:pt idx="246">
                  <c:v>3738449.7981521729</c:v>
                </c:pt>
                <c:pt idx="247">
                  <c:v>3738449.7981521729</c:v>
                </c:pt>
                <c:pt idx="248">
                  <c:v>3738449.7981521729</c:v>
                </c:pt>
                <c:pt idx="249">
                  <c:v>3738449.7981521729</c:v>
                </c:pt>
                <c:pt idx="250">
                  <c:v>3738449.7981521729</c:v>
                </c:pt>
                <c:pt idx="251">
                  <c:v>3738449.7981521729</c:v>
                </c:pt>
                <c:pt idx="252">
                  <c:v>3738449.7981521729</c:v>
                </c:pt>
                <c:pt idx="253">
                  <c:v>3738449.7981521729</c:v>
                </c:pt>
                <c:pt idx="254">
                  <c:v>3738449.7981521729</c:v>
                </c:pt>
                <c:pt idx="255">
                  <c:v>3738449.7981521729</c:v>
                </c:pt>
                <c:pt idx="256">
                  <c:v>3738449.7981521729</c:v>
                </c:pt>
                <c:pt idx="257">
                  <c:v>3738449.7981521729</c:v>
                </c:pt>
                <c:pt idx="258">
                  <c:v>3738449.7981521729</c:v>
                </c:pt>
                <c:pt idx="259">
                  <c:v>3738449.7981521729</c:v>
                </c:pt>
                <c:pt idx="260">
                  <c:v>3738449.7981521729</c:v>
                </c:pt>
                <c:pt idx="261">
                  <c:v>3738449.7981521729</c:v>
                </c:pt>
                <c:pt idx="262">
                  <c:v>3738449.7981521729</c:v>
                </c:pt>
                <c:pt idx="263">
                  <c:v>3738449.7981521729</c:v>
                </c:pt>
                <c:pt idx="264">
                  <c:v>3738449.7981521729</c:v>
                </c:pt>
                <c:pt idx="265">
                  <c:v>3738449.7981521729</c:v>
                </c:pt>
                <c:pt idx="266">
                  <c:v>3738449.7981521729</c:v>
                </c:pt>
                <c:pt idx="267">
                  <c:v>3738449.7981521729</c:v>
                </c:pt>
                <c:pt idx="268">
                  <c:v>3738449.7981521729</c:v>
                </c:pt>
                <c:pt idx="269">
                  <c:v>3738449.7981521729</c:v>
                </c:pt>
                <c:pt idx="270">
                  <c:v>3738449.7981521729</c:v>
                </c:pt>
                <c:pt idx="271">
                  <c:v>3738449.7981521729</c:v>
                </c:pt>
                <c:pt idx="272">
                  <c:v>3738449.7981521729</c:v>
                </c:pt>
                <c:pt idx="273">
                  <c:v>3738449.7981521729</c:v>
                </c:pt>
                <c:pt idx="274">
                  <c:v>3738449.7981521729</c:v>
                </c:pt>
                <c:pt idx="275">
                  <c:v>3738449.7981521729</c:v>
                </c:pt>
                <c:pt idx="276">
                  <c:v>3738449.7981521729</c:v>
                </c:pt>
                <c:pt idx="277">
                  <c:v>3738449.7981521729</c:v>
                </c:pt>
                <c:pt idx="278">
                  <c:v>3738449.7981521729</c:v>
                </c:pt>
                <c:pt idx="279">
                  <c:v>3738449.7981521729</c:v>
                </c:pt>
                <c:pt idx="280">
                  <c:v>3738449.7981521729</c:v>
                </c:pt>
                <c:pt idx="281">
                  <c:v>3738449.7981521729</c:v>
                </c:pt>
                <c:pt idx="282">
                  <c:v>3738449.7981521729</c:v>
                </c:pt>
                <c:pt idx="283">
                  <c:v>3738449.7981521729</c:v>
                </c:pt>
                <c:pt idx="284">
                  <c:v>3738449.7981521729</c:v>
                </c:pt>
                <c:pt idx="285">
                  <c:v>3738449.7981521729</c:v>
                </c:pt>
                <c:pt idx="286">
                  <c:v>3738449.7981521729</c:v>
                </c:pt>
                <c:pt idx="287">
                  <c:v>3738449.7981521729</c:v>
                </c:pt>
                <c:pt idx="288">
                  <c:v>3738449.7981521729</c:v>
                </c:pt>
                <c:pt idx="289">
                  <c:v>3738449.7981521729</c:v>
                </c:pt>
                <c:pt idx="290">
                  <c:v>3738449.7981521729</c:v>
                </c:pt>
                <c:pt idx="291">
                  <c:v>3738449.7981521729</c:v>
                </c:pt>
                <c:pt idx="292">
                  <c:v>3738449.7981521729</c:v>
                </c:pt>
                <c:pt idx="293">
                  <c:v>3738449.7981521729</c:v>
                </c:pt>
                <c:pt idx="294">
                  <c:v>3738449.7981521729</c:v>
                </c:pt>
                <c:pt idx="295">
                  <c:v>3738449.7981521729</c:v>
                </c:pt>
                <c:pt idx="296">
                  <c:v>3738449.7981521729</c:v>
                </c:pt>
                <c:pt idx="297">
                  <c:v>3738449.7981521729</c:v>
                </c:pt>
                <c:pt idx="298">
                  <c:v>3738449.7981521729</c:v>
                </c:pt>
                <c:pt idx="299">
                  <c:v>3738449.7981521729</c:v>
                </c:pt>
                <c:pt idx="300">
                  <c:v>3738449.7981521729</c:v>
                </c:pt>
                <c:pt idx="301">
                  <c:v>3738449.7981521729</c:v>
                </c:pt>
                <c:pt idx="302">
                  <c:v>3738449.7981521729</c:v>
                </c:pt>
                <c:pt idx="303">
                  <c:v>3738449.7981521729</c:v>
                </c:pt>
                <c:pt idx="304">
                  <c:v>3738449.7981521729</c:v>
                </c:pt>
                <c:pt idx="305">
                  <c:v>3738449.7981521729</c:v>
                </c:pt>
                <c:pt idx="306">
                  <c:v>3738449.7981521729</c:v>
                </c:pt>
                <c:pt idx="307">
                  <c:v>3738449.7981521729</c:v>
                </c:pt>
                <c:pt idx="308">
                  <c:v>3738449.7981521729</c:v>
                </c:pt>
                <c:pt idx="309">
                  <c:v>3738449.7981521729</c:v>
                </c:pt>
                <c:pt idx="310">
                  <c:v>3738449.7981521729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17993.849051229146</c:v>
                </c:pt>
                <c:pt idx="15">
                  <c:v>17993.849051229146</c:v>
                </c:pt>
                <c:pt idx="16">
                  <c:v>17993.849051229146</c:v>
                </c:pt>
                <c:pt idx="17">
                  <c:v>17993.849051229146</c:v>
                </c:pt>
                <c:pt idx="18">
                  <c:v>18276.243103897741</c:v>
                </c:pt>
                <c:pt idx="19">
                  <c:v>18276.243103897741</c:v>
                </c:pt>
                <c:pt idx="20">
                  <c:v>18276.243103897741</c:v>
                </c:pt>
                <c:pt idx="21">
                  <c:v>18276.243103897741</c:v>
                </c:pt>
                <c:pt idx="22">
                  <c:v>18276.243103897741</c:v>
                </c:pt>
                <c:pt idx="23">
                  <c:v>60162.758908990058</c:v>
                </c:pt>
                <c:pt idx="24">
                  <c:v>60162.758908990058</c:v>
                </c:pt>
                <c:pt idx="25">
                  <c:v>60162.758908990058</c:v>
                </c:pt>
                <c:pt idx="26">
                  <c:v>60162.758908990058</c:v>
                </c:pt>
                <c:pt idx="27">
                  <c:v>2055905.8079910355</c:v>
                </c:pt>
                <c:pt idx="28">
                  <c:v>2055905.8079910355</c:v>
                </c:pt>
                <c:pt idx="29">
                  <c:v>2055905.8079910355</c:v>
                </c:pt>
                <c:pt idx="30">
                  <c:v>2055905.8079910355</c:v>
                </c:pt>
                <c:pt idx="31">
                  <c:v>5845601.4059818555</c:v>
                </c:pt>
                <c:pt idx="32">
                  <c:v>5845601.4059818555</c:v>
                </c:pt>
                <c:pt idx="33">
                  <c:v>5845601.4059818555</c:v>
                </c:pt>
                <c:pt idx="34">
                  <c:v>5845601.4059818555</c:v>
                </c:pt>
                <c:pt idx="35">
                  <c:v>5845601.4059818555</c:v>
                </c:pt>
                <c:pt idx="36">
                  <c:v>5845601.4059818555</c:v>
                </c:pt>
                <c:pt idx="37">
                  <c:v>5845601.4059818555</c:v>
                </c:pt>
                <c:pt idx="38">
                  <c:v>5845601.4059818555</c:v>
                </c:pt>
                <c:pt idx="39">
                  <c:v>5845601.4059818555</c:v>
                </c:pt>
                <c:pt idx="40">
                  <c:v>5912611.6374520659</c:v>
                </c:pt>
                <c:pt idx="41">
                  <c:v>5912611.6374520659</c:v>
                </c:pt>
                <c:pt idx="42">
                  <c:v>5912611.6374520659</c:v>
                </c:pt>
                <c:pt idx="43">
                  <c:v>5912611.6374520659</c:v>
                </c:pt>
                <c:pt idx="44">
                  <c:v>8007066.5602215473</c:v>
                </c:pt>
                <c:pt idx="45">
                  <c:v>8007066.5602215473</c:v>
                </c:pt>
                <c:pt idx="46">
                  <c:v>8007066.5602215473</c:v>
                </c:pt>
                <c:pt idx="47">
                  <c:v>8007066.5602215473</c:v>
                </c:pt>
                <c:pt idx="48">
                  <c:v>8007066.5602215473</c:v>
                </c:pt>
                <c:pt idx="49">
                  <c:v>8007486.182379934</c:v>
                </c:pt>
                <c:pt idx="50">
                  <c:v>8007486.182379934</c:v>
                </c:pt>
                <c:pt idx="51">
                  <c:v>8007486.182379934</c:v>
                </c:pt>
                <c:pt idx="52">
                  <c:v>8007486.182379934</c:v>
                </c:pt>
                <c:pt idx="53">
                  <c:v>8007486.182379934</c:v>
                </c:pt>
                <c:pt idx="54">
                  <c:v>8007486.182379934</c:v>
                </c:pt>
                <c:pt idx="55">
                  <c:v>8007486.182379934</c:v>
                </c:pt>
                <c:pt idx="56">
                  <c:v>8007486.182379934</c:v>
                </c:pt>
                <c:pt idx="57">
                  <c:v>8359781.1499355063</c:v>
                </c:pt>
                <c:pt idx="58">
                  <c:v>8359781.1499355063</c:v>
                </c:pt>
                <c:pt idx="59">
                  <c:v>8359781.1499355063</c:v>
                </c:pt>
                <c:pt idx="60">
                  <c:v>8359781.1499355063</c:v>
                </c:pt>
                <c:pt idx="61">
                  <c:v>8359781.1499355063</c:v>
                </c:pt>
                <c:pt idx="62">
                  <c:v>8628175.0333691165</c:v>
                </c:pt>
                <c:pt idx="63">
                  <c:v>8628175.0333691165</c:v>
                </c:pt>
                <c:pt idx="64">
                  <c:v>8628175.0333691165</c:v>
                </c:pt>
                <c:pt idx="65">
                  <c:v>8628175.0333691165</c:v>
                </c:pt>
                <c:pt idx="66">
                  <c:v>8630512.1238027271</c:v>
                </c:pt>
                <c:pt idx="67">
                  <c:v>8630512.1238027271</c:v>
                </c:pt>
                <c:pt idx="68">
                  <c:v>8630512.1238027271</c:v>
                </c:pt>
                <c:pt idx="69">
                  <c:v>8630512.1238027271</c:v>
                </c:pt>
                <c:pt idx="70">
                  <c:v>8630512.1238027271</c:v>
                </c:pt>
                <c:pt idx="71">
                  <c:v>8630512.1238027271</c:v>
                </c:pt>
                <c:pt idx="72">
                  <c:v>8630512.1238027271</c:v>
                </c:pt>
                <c:pt idx="73">
                  <c:v>8630512.1238027271</c:v>
                </c:pt>
                <c:pt idx="74">
                  <c:v>8630512.1238027271</c:v>
                </c:pt>
                <c:pt idx="75">
                  <c:v>8630512.1238027271</c:v>
                </c:pt>
                <c:pt idx="76">
                  <c:v>8630512.1238027271</c:v>
                </c:pt>
                <c:pt idx="77">
                  <c:v>8630512.1238027271</c:v>
                </c:pt>
                <c:pt idx="78">
                  <c:v>8630512.1238027271</c:v>
                </c:pt>
                <c:pt idx="79">
                  <c:v>8630512.1238027271</c:v>
                </c:pt>
                <c:pt idx="80">
                  <c:v>8630512.1238027271</c:v>
                </c:pt>
                <c:pt idx="81">
                  <c:v>8630512.1238027271</c:v>
                </c:pt>
                <c:pt idx="82">
                  <c:v>8630512.1238027271</c:v>
                </c:pt>
                <c:pt idx="83">
                  <c:v>8630512.1238027271</c:v>
                </c:pt>
                <c:pt idx="84">
                  <c:v>8630512.1238027271</c:v>
                </c:pt>
                <c:pt idx="85">
                  <c:v>8630512.1238027271</c:v>
                </c:pt>
                <c:pt idx="86">
                  <c:v>8630512.1238027271</c:v>
                </c:pt>
                <c:pt idx="87">
                  <c:v>8630512.1238027271</c:v>
                </c:pt>
                <c:pt idx="88">
                  <c:v>8630512.1238027271</c:v>
                </c:pt>
                <c:pt idx="89">
                  <c:v>8630512.1238027271</c:v>
                </c:pt>
                <c:pt idx="90">
                  <c:v>8630512.1238027271</c:v>
                </c:pt>
                <c:pt idx="91">
                  <c:v>8630512.1238027271</c:v>
                </c:pt>
                <c:pt idx="92">
                  <c:v>8630512.1238027271</c:v>
                </c:pt>
                <c:pt idx="93">
                  <c:v>8630512.1238027271</c:v>
                </c:pt>
                <c:pt idx="94">
                  <c:v>8630512.1238027271</c:v>
                </c:pt>
                <c:pt idx="95">
                  <c:v>8630512.1238027271</c:v>
                </c:pt>
                <c:pt idx="96">
                  <c:v>8630512.1238027271</c:v>
                </c:pt>
                <c:pt idx="97">
                  <c:v>8630512.1238027271</c:v>
                </c:pt>
                <c:pt idx="98">
                  <c:v>8630512.1238027271</c:v>
                </c:pt>
                <c:pt idx="99">
                  <c:v>8630512.1238027271</c:v>
                </c:pt>
                <c:pt idx="100">
                  <c:v>8630512.1238027271</c:v>
                </c:pt>
                <c:pt idx="101">
                  <c:v>8630512.1238027271</c:v>
                </c:pt>
                <c:pt idx="102">
                  <c:v>8630512.1238027271</c:v>
                </c:pt>
                <c:pt idx="103">
                  <c:v>8630512.1238027271</c:v>
                </c:pt>
                <c:pt idx="104">
                  <c:v>8630512.1238027271</c:v>
                </c:pt>
                <c:pt idx="105">
                  <c:v>8630512.1238027271</c:v>
                </c:pt>
                <c:pt idx="106">
                  <c:v>8630512.1238027271</c:v>
                </c:pt>
                <c:pt idx="107">
                  <c:v>8630512.1238027271</c:v>
                </c:pt>
                <c:pt idx="108">
                  <c:v>8630512.1238027271</c:v>
                </c:pt>
                <c:pt idx="109">
                  <c:v>8630512.1238027271</c:v>
                </c:pt>
                <c:pt idx="110">
                  <c:v>8630512.1238027271</c:v>
                </c:pt>
                <c:pt idx="111">
                  <c:v>8630512.1238027271</c:v>
                </c:pt>
                <c:pt idx="112">
                  <c:v>8630512.1238027271</c:v>
                </c:pt>
                <c:pt idx="113">
                  <c:v>8630512.1238027271</c:v>
                </c:pt>
                <c:pt idx="114">
                  <c:v>8630512.1238027271</c:v>
                </c:pt>
                <c:pt idx="115">
                  <c:v>8630512.1238027271</c:v>
                </c:pt>
                <c:pt idx="116">
                  <c:v>8630512.1238027271</c:v>
                </c:pt>
                <c:pt idx="117">
                  <c:v>8630512.1238027271</c:v>
                </c:pt>
                <c:pt idx="118">
                  <c:v>8630512.1238027271</c:v>
                </c:pt>
                <c:pt idx="119">
                  <c:v>8630512.1238027271</c:v>
                </c:pt>
                <c:pt idx="120">
                  <c:v>8630512.1238027271</c:v>
                </c:pt>
                <c:pt idx="121">
                  <c:v>8630512.1238027271</c:v>
                </c:pt>
                <c:pt idx="122">
                  <c:v>8630512.1238027271</c:v>
                </c:pt>
                <c:pt idx="123">
                  <c:v>8630512.1238027271</c:v>
                </c:pt>
                <c:pt idx="124">
                  <c:v>8630512.1238027271</c:v>
                </c:pt>
                <c:pt idx="125">
                  <c:v>8630512.1238027271</c:v>
                </c:pt>
                <c:pt idx="126">
                  <c:v>8630512.1238027271</c:v>
                </c:pt>
                <c:pt idx="127">
                  <c:v>8630512.1238027271</c:v>
                </c:pt>
                <c:pt idx="128">
                  <c:v>8630512.1238027271</c:v>
                </c:pt>
                <c:pt idx="129">
                  <c:v>8630512.1238027271</c:v>
                </c:pt>
                <c:pt idx="130">
                  <c:v>8630512.1238027271</c:v>
                </c:pt>
                <c:pt idx="131">
                  <c:v>8630512.1238027271</c:v>
                </c:pt>
                <c:pt idx="132">
                  <c:v>8630512.1238027271</c:v>
                </c:pt>
                <c:pt idx="133">
                  <c:v>8630512.1238027271</c:v>
                </c:pt>
                <c:pt idx="134">
                  <c:v>8630512.1238027271</c:v>
                </c:pt>
                <c:pt idx="135">
                  <c:v>8630512.1238027271</c:v>
                </c:pt>
                <c:pt idx="136">
                  <c:v>8630512.1238027271</c:v>
                </c:pt>
                <c:pt idx="137">
                  <c:v>8630512.1238027271</c:v>
                </c:pt>
                <c:pt idx="138">
                  <c:v>8630512.1238027271</c:v>
                </c:pt>
                <c:pt idx="139">
                  <c:v>8630512.1238027271</c:v>
                </c:pt>
                <c:pt idx="140">
                  <c:v>8630512.1238027271</c:v>
                </c:pt>
                <c:pt idx="141">
                  <c:v>8630512.1238027271</c:v>
                </c:pt>
                <c:pt idx="142">
                  <c:v>8630512.1238027271</c:v>
                </c:pt>
                <c:pt idx="143">
                  <c:v>8630512.1238027271</c:v>
                </c:pt>
                <c:pt idx="144">
                  <c:v>8630512.1238027271</c:v>
                </c:pt>
                <c:pt idx="145">
                  <c:v>8630512.1238027271</c:v>
                </c:pt>
                <c:pt idx="146">
                  <c:v>8630512.1238027271</c:v>
                </c:pt>
                <c:pt idx="147">
                  <c:v>8630512.1238027271</c:v>
                </c:pt>
                <c:pt idx="148">
                  <c:v>8630512.1238027271</c:v>
                </c:pt>
                <c:pt idx="149">
                  <c:v>8630512.1238027271</c:v>
                </c:pt>
                <c:pt idx="150">
                  <c:v>8630512.1238027271</c:v>
                </c:pt>
                <c:pt idx="151">
                  <c:v>8630512.1238027271</c:v>
                </c:pt>
                <c:pt idx="152">
                  <c:v>8630512.1238027271</c:v>
                </c:pt>
                <c:pt idx="153">
                  <c:v>8630512.1238027271</c:v>
                </c:pt>
                <c:pt idx="154">
                  <c:v>8630512.1238027271</c:v>
                </c:pt>
                <c:pt idx="155">
                  <c:v>8630512.1238027271</c:v>
                </c:pt>
                <c:pt idx="156">
                  <c:v>8630512.1238027271</c:v>
                </c:pt>
                <c:pt idx="157">
                  <c:v>8630512.1238027271</c:v>
                </c:pt>
                <c:pt idx="158">
                  <c:v>8630512.1238027271</c:v>
                </c:pt>
                <c:pt idx="159">
                  <c:v>8630512.1238027271</c:v>
                </c:pt>
                <c:pt idx="160">
                  <c:v>8630512.1238027271</c:v>
                </c:pt>
                <c:pt idx="161">
                  <c:v>8630512.1238027271</c:v>
                </c:pt>
                <c:pt idx="162">
                  <c:v>8630512.1238027271</c:v>
                </c:pt>
                <c:pt idx="163">
                  <c:v>8630512.1238027271</c:v>
                </c:pt>
                <c:pt idx="164">
                  <c:v>8630512.1238027271</c:v>
                </c:pt>
                <c:pt idx="165">
                  <c:v>8630512.1238027271</c:v>
                </c:pt>
                <c:pt idx="166">
                  <c:v>8630512.1238027271</c:v>
                </c:pt>
                <c:pt idx="167">
                  <c:v>8630512.1238027271</c:v>
                </c:pt>
                <c:pt idx="168">
                  <c:v>8630512.1238027271</c:v>
                </c:pt>
                <c:pt idx="169">
                  <c:v>8630512.1238027271</c:v>
                </c:pt>
                <c:pt idx="170">
                  <c:v>8630512.1238027271</c:v>
                </c:pt>
                <c:pt idx="171">
                  <c:v>8630512.1238027271</c:v>
                </c:pt>
                <c:pt idx="172">
                  <c:v>8630512.1238027271</c:v>
                </c:pt>
                <c:pt idx="173">
                  <c:v>8630512.1238027271</c:v>
                </c:pt>
                <c:pt idx="174">
                  <c:v>8630512.1238027271</c:v>
                </c:pt>
                <c:pt idx="175">
                  <c:v>8630512.1238027271</c:v>
                </c:pt>
                <c:pt idx="176">
                  <c:v>8630512.1238027271</c:v>
                </c:pt>
                <c:pt idx="177">
                  <c:v>8630512.1238027271</c:v>
                </c:pt>
                <c:pt idx="178">
                  <c:v>8630512.1238027271</c:v>
                </c:pt>
                <c:pt idx="179">
                  <c:v>8630512.1238027271</c:v>
                </c:pt>
                <c:pt idx="180">
                  <c:v>8630512.1238027271</c:v>
                </c:pt>
                <c:pt idx="181">
                  <c:v>8630512.1238027271</c:v>
                </c:pt>
                <c:pt idx="182">
                  <c:v>8630512.1238027271</c:v>
                </c:pt>
                <c:pt idx="183">
                  <c:v>8630512.1238027271</c:v>
                </c:pt>
                <c:pt idx="184">
                  <c:v>8630512.1238027271</c:v>
                </c:pt>
                <c:pt idx="185">
                  <c:v>8630512.1238027271</c:v>
                </c:pt>
                <c:pt idx="186">
                  <c:v>8630512.1238027271</c:v>
                </c:pt>
                <c:pt idx="187">
                  <c:v>8630512.1238027271</c:v>
                </c:pt>
                <c:pt idx="188">
                  <c:v>8630512.1238027271</c:v>
                </c:pt>
                <c:pt idx="189">
                  <c:v>8630512.1238027271</c:v>
                </c:pt>
                <c:pt idx="190">
                  <c:v>8630512.1238027271</c:v>
                </c:pt>
                <c:pt idx="191">
                  <c:v>8630512.1238027271</c:v>
                </c:pt>
                <c:pt idx="192">
                  <c:v>8630512.1238027271</c:v>
                </c:pt>
                <c:pt idx="193">
                  <c:v>8630512.1238027271</c:v>
                </c:pt>
                <c:pt idx="194">
                  <c:v>8630512.1238027271</c:v>
                </c:pt>
                <c:pt idx="195">
                  <c:v>8630512.1238027271</c:v>
                </c:pt>
                <c:pt idx="196">
                  <c:v>8630512.1238027271</c:v>
                </c:pt>
                <c:pt idx="197">
                  <c:v>8630512.1238027271</c:v>
                </c:pt>
                <c:pt idx="198">
                  <c:v>8630512.1238027271</c:v>
                </c:pt>
                <c:pt idx="199">
                  <c:v>8630512.1238027271</c:v>
                </c:pt>
                <c:pt idx="200">
                  <c:v>8630512.1238027271</c:v>
                </c:pt>
                <c:pt idx="201">
                  <c:v>8630512.1238027271</c:v>
                </c:pt>
                <c:pt idx="202">
                  <c:v>8630512.1238027271</c:v>
                </c:pt>
                <c:pt idx="203">
                  <c:v>8630512.1238027271</c:v>
                </c:pt>
                <c:pt idx="204">
                  <c:v>8630512.1238027271</c:v>
                </c:pt>
                <c:pt idx="205">
                  <c:v>8630512.1238027271</c:v>
                </c:pt>
                <c:pt idx="206">
                  <c:v>8630512.1238027271</c:v>
                </c:pt>
                <c:pt idx="207">
                  <c:v>8630512.1238027271</c:v>
                </c:pt>
                <c:pt idx="208">
                  <c:v>8630512.1238027271</c:v>
                </c:pt>
                <c:pt idx="209">
                  <c:v>8630512.1238027271</c:v>
                </c:pt>
                <c:pt idx="210">
                  <c:v>8630512.1238027271</c:v>
                </c:pt>
                <c:pt idx="211">
                  <c:v>8630512.1238027271</c:v>
                </c:pt>
                <c:pt idx="212">
                  <c:v>8630512.1238027271</c:v>
                </c:pt>
                <c:pt idx="213">
                  <c:v>8630512.1238027271</c:v>
                </c:pt>
                <c:pt idx="214">
                  <c:v>8630512.1238027271</c:v>
                </c:pt>
                <c:pt idx="215">
                  <c:v>8630512.1238027271</c:v>
                </c:pt>
                <c:pt idx="216">
                  <c:v>8630512.1238027271</c:v>
                </c:pt>
                <c:pt idx="217">
                  <c:v>8630512.1238027271</c:v>
                </c:pt>
                <c:pt idx="218">
                  <c:v>8630512.1238027271</c:v>
                </c:pt>
                <c:pt idx="219">
                  <c:v>8630512.1238027271</c:v>
                </c:pt>
                <c:pt idx="220">
                  <c:v>8630512.1238027271</c:v>
                </c:pt>
                <c:pt idx="221">
                  <c:v>8630512.1238027271</c:v>
                </c:pt>
                <c:pt idx="222">
                  <c:v>8630512.1238027271</c:v>
                </c:pt>
                <c:pt idx="223">
                  <c:v>8630512.1238027271</c:v>
                </c:pt>
                <c:pt idx="224">
                  <c:v>8630512.1238027271</c:v>
                </c:pt>
                <c:pt idx="225">
                  <c:v>8630512.1238027271</c:v>
                </c:pt>
                <c:pt idx="226">
                  <c:v>8630512.1238027271</c:v>
                </c:pt>
                <c:pt idx="227">
                  <c:v>8630512.1238027271</c:v>
                </c:pt>
                <c:pt idx="228">
                  <c:v>8630512.1238027271</c:v>
                </c:pt>
                <c:pt idx="229">
                  <c:v>8630512.1238027271</c:v>
                </c:pt>
                <c:pt idx="230">
                  <c:v>8630512.1238027271</c:v>
                </c:pt>
                <c:pt idx="231">
                  <c:v>8630512.1238027271</c:v>
                </c:pt>
                <c:pt idx="232">
                  <c:v>8630512.1238027271</c:v>
                </c:pt>
                <c:pt idx="233">
                  <c:v>8630512.1238027271</c:v>
                </c:pt>
                <c:pt idx="234">
                  <c:v>8630512.1238027271</c:v>
                </c:pt>
                <c:pt idx="235">
                  <c:v>8630512.1238027271</c:v>
                </c:pt>
                <c:pt idx="236">
                  <c:v>8630512.1238027271</c:v>
                </c:pt>
                <c:pt idx="237">
                  <c:v>8630512.1238027271</c:v>
                </c:pt>
                <c:pt idx="238">
                  <c:v>8630512.1238027271</c:v>
                </c:pt>
                <c:pt idx="239">
                  <c:v>8630512.1238027271</c:v>
                </c:pt>
                <c:pt idx="240">
                  <c:v>8630512.1238027271</c:v>
                </c:pt>
                <c:pt idx="241">
                  <c:v>8630512.1238027271</c:v>
                </c:pt>
                <c:pt idx="242">
                  <c:v>8630512.1238027271</c:v>
                </c:pt>
                <c:pt idx="243">
                  <c:v>8630512.1238027271</c:v>
                </c:pt>
                <c:pt idx="244">
                  <c:v>8630512.1238027271</c:v>
                </c:pt>
                <c:pt idx="245">
                  <c:v>8630512.1238027271</c:v>
                </c:pt>
                <c:pt idx="246">
                  <c:v>8630512.1238027271</c:v>
                </c:pt>
                <c:pt idx="247">
                  <c:v>8630512.1238027271</c:v>
                </c:pt>
                <c:pt idx="248">
                  <c:v>8630512.1238027271</c:v>
                </c:pt>
                <c:pt idx="249">
                  <c:v>8630512.1238027271</c:v>
                </c:pt>
                <c:pt idx="250">
                  <c:v>8630512.1238027271</c:v>
                </c:pt>
                <c:pt idx="251">
                  <c:v>8630512.1238027271</c:v>
                </c:pt>
                <c:pt idx="252">
                  <c:v>8630512.1238027271</c:v>
                </c:pt>
                <c:pt idx="253">
                  <c:v>8630512.1238027271</c:v>
                </c:pt>
                <c:pt idx="254">
                  <c:v>8630512.1238027271</c:v>
                </c:pt>
                <c:pt idx="255">
                  <c:v>8630512.1238027271</c:v>
                </c:pt>
                <c:pt idx="256">
                  <c:v>8630512.1238027271</c:v>
                </c:pt>
                <c:pt idx="257">
                  <c:v>8630512.1238027271</c:v>
                </c:pt>
                <c:pt idx="258">
                  <c:v>8630512.1238027271</c:v>
                </c:pt>
                <c:pt idx="259">
                  <c:v>8630512.1238027271</c:v>
                </c:pt>
                <c:pt idx="260">
                  <c:v>8630512.1238027271</c:v>
                </c:pt>
                <c:pt idx="261">
                  <c:v>8630512.1238027271</c:v>
                </c:pt>
                <c:pt idx="262">
                  <c:v>8630512.1238027271</c:v>
                </c:pt>
                <c:pt idx="263">
                  <c:v>8630512.1238027271</c:v>
                </c:pt>
                <c:pt idx="264">
                  <c:v>8630512.1238027271</c:v>
                </c:pt>
                <c:pt idx="265">
                  <c:v>8630512.1238027271</c:v>
                </c:pt>
                <c:pt idx="266">
                  <c:v>8630512.1238027271</c:v>
                </c:pt>
                <c:pt idx="267">
                  <c:v>8630512.1238027271</c:v>
                </c:pt>
                <c:pt idx="268">
                  <c:v>8630512.1238027271</c:v>
                </c:pt>
                <c:pt idx="269">
                  <c:v>8630512.1238027271</c:v>
                </c:pt>
                <c:pt idx="270">
                  <c:v>8630512.1238027271</c:v>
                </c:pt>
                <c:pt idx="271">
                  <c:v>8630512.1238027271</c:v>
                </c:pt>
                <c:pt idx="272">
                  <c:v>8630512.1238027271</c:v>
                </c:pt>
                <c:pt idx="273">
                  <c:v>8630512.1238027271</c:v>
                </c:pt>
                <c:pt idx="274">
                  <c:v>8630512.1238027271</c:v>
                </c:pt>
                <c:pt idx="275">
                  <c:v>8630512.1238027271</c:v>
                </c:pt>
                <c:pt idx="276">
                  <c:v>8630512.1238027271</c:v>
                </c:pt>
                <c:pt idx="277">
                  <c:v>8630512.1238027271</c:v>
                </c:pt>
                <c:pt idx="278">
                  <c:v>8630512.1238027271</c:v>
                </c:pt>
                <c:pt idx="279">
                  <c:v>8630512.1238027271</c:v>
                </c:pt>
                <c:pt idx="280">
                  <c:v>8630512.1238027271</c:v>
                </c:pt>
                <c:pt idx="281">
                  <c:v>8630512.1238027271</c:v>
                </c:pt>
                <c:pt idx="282">
                  <c:v>8630512.1238027271</c:v>
                </c:pt>
                <c:pt idx="283">
                  <c:v>8630512.1238027271</c:v>
                </c:pt>
                <c:pt idx="284">
                  <c:v>8630512.1238027271</c:v>
                </c:pt>
                <c:pt idx="285">
                  <c:v>8630512.1238027271</c:v>
                </c:pt>
                <c:pt idx="286">
                  <c:v>8630512.1238027271</c:v>
                </c:pt>
                <c:pt idx="287">
                  <c:v>8630512.1238027271</c:v>
                </c:pt>
                <c:pt idx="288">
                  <c:v>8630512.1238027271</c:v>
                </c:pt>
                <c:pt idx="289">
                  <c:v>8630512.1238027271</c:v>
                </c:pt>
                <c:pt idx="290">
                  <c:v>8630512.1238027271</c:v>
                </c:pt>
                <c:pt idx="291">
                  <c:v>8630512.1238027271</c:v>
                </c:pt>
                <c:pt idx="292">
                  <c:v>8630512.1238027271</c:v>
                </c:pt>
                <c:pt idx="293">
                  <c:v>8630512.1238027271</c:v>
                </c:pt>
                <c:pt idx="294">
                  <c:v>8630512.1238027271</c:v>
                </c:pt>
                <c:pt idx="295">
                  <c:v>8630512.1238027271</c:v>
                </c:pt>
                <c:pt idx="296">
                  <c:v>8630512.1238027271</c:v>
                </c:pt>
                <c:pt idx="297">
                  <c:v>8630512.1238027271</c:v>
                </c:pt>
                <c:pt idx="298">
                  <c:v>8630512.1238027271</c:v>
                </c:pt>
                <c:pt idx="299">
                  <c:v>8630512.1238027271</c:v>
                </c:pt>
                <c:pt idx="300">
                  <c:v>8630512.1238027271</c:v>
                </c:pt>
                <c:pt idx="301">
                  <c:v>8630512.1238027271</c:v>
                </c:pt>
                <c:pt idx="302">
                  <c:v>8630512.1238027271</c:v>
                </c:pt>
                <c:pt idx="303">
                  <c:v>8630512.1238027271</c:v>
                </c:pt>
                <c:pt idx="304">
                  <c:v>8630512.1238027271</c:v>
                </c:pt>
                <c:pt idx="305">
                  <c:v>8630512.1238027271</c:v>
                </c:pt>
                <c:pt idx="306">
                  <c:v>8630512.1238027271</c:v>
                </c:pt>
                <c:pt idx="307">
                  <c:v>8630512.1238027271</c:v>
                </c:pt>
                <c:pt idx="308">
                  <c:v>8630512.1238027271</c:v>
                </c:pt>
                <c:pt idx="309">
                  <c:v>8630512.1238027271</c:v>
                </c:pt>
                <c:pt idx="310">
                  <c:v>8630512.1238027271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042B835-F355-4F30-8397-85A1F32818CE}">
    <Anchor>
      <Comment id="{A48F2094-4B7B-4BB3-9296-DF94D4C7936F}"/>
    </Anchor>
    <History>
      <Event time="2025-10-29T13:14:03.59" id="{45F2B072-9161-4D9D-9EC4-CC6A32E548B0}">
        <Attribution userId="S::tasneema@emergy.co.za::9a0cc615-e4de-4e2f-ae82-9f40753a7d8a" userName="Tasneema van Harte" userProvider="AD"/>
        <Anchor>
          <Comment id="{A48F2094-4B7B-4BB3-9296-DF94D4C7936F}"/>
        </Anchor>
        <Create/>
      </Event>
      <Event time="2025-10-29T13:14:03.59" id="{9BE2899B-0377-4F51-BF76-4899A75BEDD2}">
        <Attribution userId="S::tasneema@emergy.co.za::9a0cc615-e4de-4e2f-ae82-9f40753a7d8a" userName="Tasneema van Harte" userProvider="AD"/>
        <Anchor>
          <Comment id="{A48F2094-4B7B-4BB3-9296-DF94D4C7936F}"/>
        </Anchor>
        <Assign userId="S::mizelda@emergentenergy.co.za::3a5c2ad2-993e-4fe1-a333-48e19c6adda8" userName="Mizelda Isaacs" userProvider="AD"/>
      </Event>
      <Event time="2025-10-29T13:14:03.59" id="{C9BE92A8-2DCC-4CCF-9CBB-24DE8162CDED}">
        <Attribution userId="S::tasneema@emergy.co.za::9a0cc615-e4de-4e2f-ae82-9f40753a7d8a" userName="Tasneema van Harte" userProvider="AD"/>
        <Anchor>
          <Comment id="{A48F2094-4B7B-4BB3-9296-DF94D4C7936F}"/>
        </Anchor>
        <SetTitle title="@Mizelda Isaacs please update the payment date"/>
      </Event>
    </History>
  </Task>
  <Task id="{0418BB4C-7D1B-4D4F-A83F-4728DDDDEFC4}">
    <Anchor>
      <Comment id="{A1B826AD-EAFA-4C28-8149-A24F0A76AFD0}"/>
    </Anchor>
    <History>
      <Event time="2025-10-29T13:14:23.26" id="{53A6EB9F-659E-4FDD-BCDC-01B54AE447E5}">
        <Attribution userId="S::tasneema@emergy.co.za::9a0cc615-e4de-4e2f-ae82-9f40753a7d8a" userName="Tasneema van Harte" userProvider="AD"/>
        <Anchor>
          <Comment id="{A1B826AD-EAFA-4C28-8149-A24F0A76AFD0}"/>
        </Anchor>
        <Create/>
      </Event>
      <Event time="2025-10-29T13:14:23.26" id="{961CE9CB-3EB1-4C59-9591-7EB6B24B961A}">
        <Attribution userId="S::tasneema@emergy.co.za::9a0cc615-e4de-4e2f-ae82-9f40753a7d8a" userName="Tasneema van Harte" userProvider="AD"/>
        <Anchor>
          <Comment id="{A1B826AD-EAFA-4C28-8149-A24F0A76AFD0}"/>
        </Anchor>
        <Assign userId="S::mizelda@emergentenergy.co.za::3a5c2ad2-993e-4fe1-a333-48e19c6adda8" userName="Mizelda Isaacs" userProvider="AD"/>
      </Event>
      <Event time="2025-10-29T13:14:23.26" id="{F9447812-D238-4B35-A63F-D509FA8AABC4}">
        <Attribution userId="S::tasneema@emergy.co.za::9a0cc615-e4de-4e2f-ae82-9f40753a7d8a" userName="Tasneema van Harte" userProvider="AD"/>
        <Anchor>
          <Comment id="{A1B826AD-EAFA-4C28-8149-A24F0A76AFD0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571500</xdr:colOff>
      <xdr:row>4</xdr:row>
      <xdr:rowOff>180973</xdr:rowOff>
    </xdr:from>
    <xdr:to>
      <xdr:col>42</xdr:col>
      <xdr:colOff>142875</xdr:colOff>
      <xdr:row>43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A3492-F8C5-11E8-88E2-7B709A415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EE035BF1-7253-436D-91D7-70368C38EA22}" userId="mizelda@emergentenergy.co.za" providerId="PeoplePicker"/>
  <person displayName="Tasneema van Harte" id="{46CEFA72-7CD5-4B3F-B4FD-685ADDFEF63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7158912036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2500000"/>
    </cacheField>
    <cacheField name="Rate / Unit" numFmtId="0">
      <sharedItems containsString="0" containsBlank="1" containsNumber="1" minValue="0.05" maxValue="2642000"/>
    </cacheField>
    <cacheField name="Actual Total " numFmtId="0">
      <sharedItems containsString="0" containsBlank="1" containsNumber="1" minValue="-1329750" maxValue="229237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5-01T00:00:00" count="18">
        <m/>
        <d v="2025-08-31T00:00:00"/>
        <d v="2026-02-28T00:00:00"/>
        <s v=""/>
        <d v="2025-07-31T00:00:00"/>
        <d v="2026-01-31T00:00:00"/>
        <d v="2025-06-30T00:00:00"/>
        <d v="2025-05-31T00:00:00"/>
        <d v="2025-10-31T00:00:00"/>
        <d v="2025-09-30T00:00:00"/>
        <d v="2025-11-30T00:00:00"/>
        <d v="2025-04-30T00:00:00"/>
        <d v="2025-12-31T00:00:00"/>
        <d v="2026-03-31T00:00:00"/>
        <d v="2026-04-30T00:00:00"/>
        <d v="2025-12-30T00:00:00" u="1"/>
        <d v="2025-10-30T00:00:00" u="1"/>
        <d v="2025-03-31T00:00:00" u="1"/>
      </sharedItems>
    </cacheField>
    <cacheField name="REVENUE RECOGNITION AMOUNT" numFmtId="0">
      <sharedItems containsString="0" containsBlank="1" containsNumber="1" minValue="-1027779.9272249884" maxValue="1993368.6956521741"/>
    </cacheField>
    <cacheField name="CHECK" numFmtId="0">
      <sharedItems containsString="0" containsBlank="1" containsNumber="1" minValue="-1993368.6954089673" maxValue="1021.3366127788613"/>
    </cacheField>
    <cacheField name="FINANCE PAYMENT DATE" numFmtId="0">
      <sharedItems containsNonDate="0" containsDate="1" containsString="0" containsBlank="1" minDate="2025-05-08T00:00:00" maxDate="2026-05-08T00:00:00"/>
    </cacheField>
    <cacheField name="Total COS" numFmtId="0">
      <sharedItems containsString="0" containsBlank="1" containsNumber="1" minValue="0" maxValue="4913552.36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Jinko 590W"/>
    <n v="770"/>
    <n v="1150.5"/>
    <n v="885885"/>
    <s v="PO4155-UES-20250723 - RV Approved"/>
    <s v="Menlo INV0003168"/>
    <x v="1"/>
    <n v="1492013.321"/>
    <n v="0"/>
    <d v="2025-10-24T00:00:00"/>
    <n v="888586"/>
  </r>
  <r>
    <n v="1"/>
    <x v="1"/>
    <s v="Replacement panels"/>
    <n v="2"/>
    <n v="1150.5"/>
    <n v="2301"/>
    <m/>
    <s v="MSA Energy INV0003593"/>
    <x v="2"/>
    <n v="0"/>
    <m/>
    <d v="2026-04-06T00:00:00"/>
    <m/>
  </r>
  <r>
    <n v="1"/>
    <x v="1"/>
    <s v="Transport"/>
    <m/>
    <m/>
    <n v="400"/>
    <m/>
    <s v="MSA Energy INV0003593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SMA Core 2 - 110kVA"/>
    <n v="4"/>
    <n v="53700.89"/>
    <n v="214803.56"/>
    <s v="PO4153-UES-20250723 - RV Approved"/>
    <s v="Krannich INV15-10013383"/>
    <x v="4"/>
    <n v="484689.4815102109"/>
    <n v="0"/>
    <d v="2025-09-26T00:00:00"/>
    <n v="216421.11"/>
  </r>
  <r>
    <n v="2"/>
    <x v="2"/>
    <s v="EPR"/>
    <m/>
    <m/>
    <n v="396.44"/>
    <m/>
    <s v="Krannich INV15-10013383"/>
    <x v="4"/>
    <n v="894.53963449166304"/>
    <m/>
    <d v="2025-09-26T00:00:00"/>
    <m/>
  </r>
  <r>
    <n v="2"/>
    <x v="2"/>
    <s v="Freight"/>
    <m/>
    <m/>
    <n v="1221.1099999999999"/>
    <m/>
    <s v="Krannich INV15-10013383"/>
    <x v="4"/>
    <n v="2755.3508552974336"/>
    <m/>
    <d v="2025-09-26T00:00:00"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122040.5"/>
    <s v="PO4150-UES-20250722 - RV Approved"/>
    <s v="Schletter - INV1994"/>
    <x v="4"/>
    <n v="221686.54130000001"/>
    <n v="0"/>
    <d v="2025-08-30T00:00:00"/>
    <n v="123340.5"/>
  </r>
  <r>
    <n v="3"/>
    <x v="3"/>
    <m/>
    <m/>
    <m/>
    <m/>
    <m/>
    <m/>
    <x v="3"/>
    <n v="0"/>
    <m/>
    <m/>
    <m/>
  </r>
  <r>
    <n v="3"/>
    <x v="3"/>
    <s v="Mid Clamps"/>
    <m/>
    <m/>
    <n v="1300"/>
    <s v="PO4594-UESH-20260129 - RV Approved"/>
    <m/>
    <x v="2"/>
    <n v="0"/>
    <m/>
    <d v="2026-02-28T00:00:00"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18000"/>
    <n v="13.5"/>
    <n v="243000"/>
    <m/>
    <s v="Rubicon INVWCRE-0069676"/>
    <x v="4"/>
    <n v="308594.28851123527"/>
    <n v="0"/>
    <d v="2025-08-31T00:00:00"/>
    <n v="631371.99999999988"/>
  </r>
  <r>
    <n v="4"/>
    <x v="4"/>
    <s v="DC Cable"/>
    <n v="9000"/>
    <n v="14"/>
    <n v="126000"/>
    <s v="PO4570-UESH-20260122 - RV Approved"/>
    <s v="Rubicon INVRED-0137860"/>
    <x v="5"/>
    <n v="0"/>
    <m/>
    <d v="2026-02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262372"/>
    <n v="0.1"/>
    <n v="26237.200000000001"/>
    <s v="PO4157-UESH-20250724 - RV Approved"/>
    <s v="Cosmic Sun - CS_UES_001"/>
    <x v="4"/>
    <n v="33319.547598876474"/>
    <m/>
    <d v="2025-08-14T00:00:00"/>
    <m/>
  </r>
  <r>
    <n v="4"/>
    <x v="4"/>
    <s v="Site Establishment"/>
    <m/>
    <n v="0.15"/>
    <n v="39355.799999999996"/>
    <m/>
    <s v="Cosmic Sun - CS_UES_002"/>
    <x v="4"/>
    <n v="49979.321398314707"/>
    <m/>
    <d v="2025-07-31T00:00:00"/>
    <m/>
  </r>
  <r>
    <n v="4"/>
    <x v="4"/>
    <s v="AC Installation Complete"/>
    <m/>
    <n v="0.2"/>
    <n v="52474.400000000001"/>
    <m/>
    <s v="Cosmic Sun - CS_UES_003"/>
    <x v="1"/>
    <n v="66639.095197752948"/>
    <m/>
    <d v="2025-12-18T00:00:00"/>
    <m/>
  </r>
  <r>
    <n v="4"/>
    <x v="4"/>
    <s v="DC Installation Complete"/>
    <m/>
    <n v="0.25"/>
    <n v="65593"/>
    <m/>
    <s v="Cosmic Sun - CS_UES_003"/>
    <x v="1"/>
    <n v="83298.868997191181"/>
    <m/>
    <d v="2026-02-27T00:00:00"/>
    <m/>
  </r>
  <r>
    <n v="4"/>
    <x v="4"/>
    <s v="Commissioning Complete"/>
    <m/>
    <n v="0.1"/>
    <n v="26237.200000000001"/>
    <m/>
    <s v="Cosmic Sun - CS_UES_003"/>
    <x v="1"/>
    <n v="33319.547598876474"/>
    <m/>
    <d v="2026-03-04T00:00:00"/>
    <m/>
  </r>
  <r>
    <n v="4"/>
    <x v="4"/>
    <s v="Site De-establisment"/>
    <m/>
    <n v="0.1"/>
    <n v="26237.200000000001"/>
    <m/>
    <s v="Cosmic Sun - CS_UES_003"/>
    <x v="1"/>
    <n v="33319.547598876474"/>
    <m/>
    <d v="2026-03-09T00:00:00"/>
    <m/>
  </r>
  <r>
    <n v="4"/>
    <x v="4"/>
    <s v="Handover Document Complete"/>
    <m/>
    <n v="0.05"/>
    <n v="13118.6"/>
    <m/>
    <s v="Cosmic Sun - CS_UES_003"/>
    <x v="1"/>
    <n v="16659.773799438237"/>
    <m/>
    <d v="2026-03-09T00:00:00"/>
    <m/>
  </r>
  <r>
    <n v="4"/>
    <x v="4"/>
    <s v="End of Defects Period"/>
    <m/>
    <n v="0.05"/>
    <n v="13118.6"/>
    <m/>
    <s v="Cosmic Sun - CS_UES_003"/>
    <x v="1"/>
    <n v="16659.773799438237"/>
    <m/>
    <d v="2026-04-01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Data Manager"/>
    <m/>
    <m/>
    <n v="36324.44"/>
    <s v="PO4261-UESH-20250821 - RV Approved"/>
    <m/>
    <x v="2"/>
    <n v="47453.8580247629"/>
    <n v="1021.3366127788613"/>
    <d v="2026-03-30T00:00:00"/>
    <n v="124261.44"/>
  </r>
  <r>
    <n v="5"/>
    <x v="5"/>
    <s v="CTs &amp; Meters"/>
    <m/>
    <m/>
    <n v="22768"/>
    <s v="PO4061-UES-20250630 - RV Approved"/>
    <s v="AccuEnergy ASAI-005840"/>
    <x v="6"/>
    <n v="41886.51580509232"/>
    <m/>
    <d v="2025-07-29T00:00:00"/>
    <m/>
  </r>
  <r>
    <n v="5"/>
    <x v="5"/>
    <s v="Techsitter"/>
    <m/>
    <m/>
    <n v="11169"/>
    <m/>
    <s v="Matriarch - INV-4742"/>
    <x v="4"/>
    <n v="20823.825129055531"/>
    <m/>
    <d v="2025-07-31T00:00:00"/>
    <m/>
  </r>
  <r>
    <n v="5"/>
    <x v="5"/>
    <s v="APEX"/>
    <m/>
    <m/>
    <n v="54000"/>
    <s v="PO4076-UES-20250630 - RV Approved"/>
    <s v="Rubicon INVWCRE-0069106"/>
    <x v="4"/>
    <n v="101242.09122831037"/>
    <m/>
    <d v="2025-08-31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35040"/>
  </r>
  <r>
    <n v="6"/>
    <x v="6"/>
    <m/>
    <m/>
    <m/>
    <m/>
    <m/>
    <m/>
    <x v="3"/>
    <n v="0"/>
    <m/>
    <m/>
    <m/>
  </r>
  <r>
    <n v="6"/>
    <x v="6"/>
    <s v="Project Kick Off"/>
    <n v="235040"/>
    <n v="0.1"/>
    <n v="23504"/>
    <m/>
    <s v="Cosmic Sun - CS_UES_001"/>
    <x v="4"/>
    <n v="69264.504460000011"/>
    <m/>
    <d v="2025-08-14T00:00:00"/>
    <m/>
  </r>
  <r>
    <n v="6"/>
    <x v="6"/>
    <s v="Site Establishment"/>
    <m/>
    <n v="0.15"/>
    <n v="35256"/>
    <m/>
    <s v="Cosmic Sun - CS_UES_002"/>
    <x v="4"/>
    <n v="103896.75668999999"/>
    <m/>
    <d v="2025-07-31T00:00:00"/>
    <m/>
  </r>
  <r>
    <n v="6"/>
    <x v="6"/>
    <s v="AC Installation Complete"/>
    <m/>
    <n v="0.2"/>
    <n v="47008"/>
    <m/>
    <s v="Cosmic Sun - CS_UES_003"/>
    <x v="1"/>
    <n v="138529.00892000002"/>
    <m/>
    <d v="2025-12-18T00:00:00"/>
    <m/>
  </r>
  <r>
    <n v="6"/>
    <x v="6"/>
    <s v="DC Installation Complete"/>
    <m/>
    <n v="0.25"/>
    <n v="58760"/>
    <m/>
    <s v="Cosmic Sun - CS_UES_003"/>
    <x v="1"/>
    <n v="173161.26115000001"/>
    <m/>
    <d v="2026-02-27T00:00:00"/>
    <m/>
  </r>
  <r>
    <n v="6"/>
    <x v="6"/>
    <s v="Commissioning Complete"/>
    <m/>
    <n v="0.1"/>
    <n v="23504"/>
    <m/>
    <s v="Cosmic Sun - CS_UES_003"/>
    <x v="1"/>
    <n v="69264.504460000011"/>
    <m/>
    <d v="2026-03-04T00:00:00"/>
    <m/>
  </r>
  <r>
    <n v="6"/>
    <x v="6"/>
    <s v="Site De-establisment"/>
    <m/>
    <n v="0.1"/>
    <n v="23504"/>
    <m/>
    <s v="Cosmic Sun - CS_UES_003"/>
    <x v="1"/>
    <n v="69264.504460000011"/>
    <m/>
    <d v="2026-03-09T00:00:00"/>
    <m/>
  </r>
  <r>
    <n v="6"/>
    <x v="6"/>
    <s v="Handover Document Complete"/>
    <m/>
    <n v="0.05"/>
    <n v="11752"/>
    <m/>
    <s v="Cosmic Sun - CS_UES_003"/>
    <x v="1"/>
    <n v="34632.252230000006"/>
    <m/>
    <d v="2026-03-09T00:00:00"/>
    <m/>
  </r>
  <r>
    <n v="6"/>
    <x v="6"/>
    <s v="End of Defects Period"/>
    <m/>
    <n v="0.05"/>
    <n v="11752"/>
    <m/>
    <s v="Cosmic Sun - CS_UES_003"/>
    <x v="1"/>
    <n v="34632.252230000006"/>
    <m/>
    <d v="2026-04-01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n v="0"/>
    <n v="-1993368.6954089673"/>
    <m/>
    <n v="4913552.3600000003"/>
  </r>
  <r>
    <n v="8"/>
    <x v="8"/>
    <m/>
    <m/>
    <m/>
    <m/>
    <m/>
    <m/>
    <x v="3"/>
    <n v="0"/>
    <m/>
    <m/>
    <m/>
  </r>
  <r>
    <n v="8"/>
    <x v="8"/>
    <s v="Roof Replacement - Deposit"/>
    <m/>
    <n v="2642000"/>
    <n v="1329750"/>
    <s v="PO3855-UESH-20250507 - RV Approved"/>
    <s v="WC Ideal Solutions Inv: INV-0398"/>
    <x v="7"/>
    <n v="1027779.9272249884"/>
    <m/>
    <d v="2025-05-15T00:00:00"/>
    <m/>
  </r>
  <r>
    <n v="8"/>
    <x v="8"/>
    <m/>
    <m/>
    <m/>
    <m/>
    <m/>
    <m/>
    <x v="0"/>
    <n v="0"/>
    <m/>
    <m/>
    <m/>
  </r>
  <r>
    <n v="8"/>
    <x v="8"/>
    <s v="Roof Replacement - Deposit Credit Note"/>
    <m/>
    <m/>
    <n v="-1329750"/>
    <m/>
    <s v="WC Ideal Solutions - CN-0400"/>
    <x v="7"/>
    <n v="-1027779.9272249884"/>
    <m/>
    <d v="2025-05-28T00:00:00"/>
    <m/>
  </r>
  <r>
    <n v="8"/>
    <x v="8"/>
    <m/>
    <m/>
    <m/>
    <m/>
    <m/>
    <m/>
    <x v="3"/>
    <n v="0"/>
    <m/>
    <m/>
    <m/>
  </r>
  <r>
    <n v="8"/>
    <x v="8"/>
    <s v="Roof Replacement - Deposit"/>
    <n v="2500000"/>
    <n v="0.25"/>
    <n v="625000"/>
    <m/>
    <s v="FMS Property - INV21346"/>
    <x v="4"/>
    <n v="471698.11320754717"/>
    <m/>
    <d v="2025-07-31T00:00:00"/>
    <m/>
  </r>
  <r>
    <n v="8"/>
    <x v="8"/>
    <s v="Roof Replacement - Weekly Completion"/>
    <m/>
    <n v="0.15"/>
    <n v="375000"/>
    <m/>
    <s v="FMS Property - INV21346"/>
    <x v="1"/>
    <n v="341245.41130984924"/>
    <m/>
    <d v="2025-07-31T00:00:00"/>
    <m/>
  </r>
  <r>
    <n v="8"/>
    <x v="8"/>
    <s v="Roof Replacement - Weekly Completion"/>
    <m/>
    <n v="0.15"/>
    <n v="375000"/>
    <m/>
    <s v="FMS Property - INV21346"/>
    <x v="1"/>
    <n v="341045.40130984923"/>
    <m/>
    <d v="2025-07-31T00:00:00"/>
    <m/>
  </r>
  <r>
    <n v="8"/>
    <x v="8"/>
    <s v="Roof Replacement - Weekly Completion"/>
    <m/>
    <n v="0.15"/>
    <n v="375000"/>
    <m/>
    <s v="FMS Property - INV21346"/>
    <x v="1"/>
    <n v="163720.25130984926"/>
    <m/>
    <d v="2025-07-31T00:00:00"/>
    <m/>
  </r>
  <r>
    <n v="8"/>
    <x v="8"/>
    <s v="Roof Replacement - Handover"/>
    <m/>
    <n v="0.3"/>
    <n v="750000"/>
    <m/>
    <s v="FMS Property - INV21346"/>
    <x v="1"/>
    <n v="682290.82261969848"/>
    <m/>
    <d v="2025-07-31T00:00:00"/>
    <m/>
  </r>
  <r>
    <n v="8"/>
    <x v="8"/>
    <m/>
    <m/>
    <m/>
    <m/>
    <m/>
    <m/>
    <x v="3"/>
    <n v="0"/>
    <m/>
    <m/>
    <m/>
  </r>
  <r>
    <n v="8"/>
    <x v="8"/>
    <s v="Anchor Points"/>
    <n v="120203.36"/>
    <n v="0.5"/>
    <n v="60101.68"/>
    <s v="PO4378-UESH-20251017 - RV Approved"/>
    <s v="INV000336"/>
    <x v="8"/>
    <n v="0"/>
    <m/>
    <d v="2025-10-24T00:00:00"/>
    <m/>
  </r>
  <r>
    <n v="8"/>
    <x v="8"/>
    <m/>
    <m/>
    <n v="0.5"/>
    <n v="60101.68"/>
    <m/>
    <s v="INV000336"/>
    <x v="8"/>
    <n v="0"/>
    <m/>
    <d v="2025-11-07T00:00:00"/>
    <m/>
  </r>
  <r>
    <n v="8"/>
    <x v="8"/>
    <s v="Lithium Battery"/>
    <m/>
    <m/>
    <n v="975"/>
    <m/>
    <s v="Red Pole - SO-35912"/>
    <x v="9"/>
    <n v="0"/>
    <m/>
    <d v="2025-10-09T00:00:00"/>
    <m/>
  </r>
  <r>
    <n v="8"/>
    <x v="8"/>
    <s v="Additional Roof Capex"/>
    <m/>
    <m/>
    <m/>
    <m/>
    <m/>
    <x v="10"/>
    <m/>
    <m/>
    <d v="2025-11-30T00:00:00"/>
    <m/>
  </r>
  <r>
    <n v="8"/>
    <x v="8"/>
    <m/>
    <m/>
    <m/>
    <n v="2292374"/>
    <m/>
    <s v="FMS Property - INV22455"/>
    <x v="10"/>
    <n v="1993368.6956521741"/>
    <m/>
    <d v="2025-12-18T00:00:00"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476700"/>
  </r>
  <r>
    <n v="9"/>
    <x v="9"/>
    <s v="Project Kick Off"/>
    <n v="476700"/>
    <n v="0.1"/>
    <n v="47670"/>
    <m/>
    <s v="Cosmic Sun - CS_UES_001"/>
    <x v="4"/>
    <n v="43707.058830000002"/>
    <m/>
    <d v="2025-08-14T00:00:00"/>
    <m/>
  </r>
  <r>
    <n v="9"/>
    <x v="9"/>
    <s v="Site Establishment"/>
    <m/>
    <n v="0.15"/>
    <n v="71505"/>
    <m/>
    <s v="Cosmic Sun - CS_UES_002"/>
    <x v="4"/>
    <n v="65560.588244999992"/>
    <m/>
    <d v="2025-07-31T00:00:00"/>
    <m/>
  </r>
  <r>
    <n v="9"/>
    <x v="9"/>
    <s v="AC Installation Complete"/>
    <m/>
    <n v="0.2"/>
    <n v="95340"/>
    <m/>
    <s v="Cosmic Sun - CS_UES_003"/>
    <x v="10"/>
    <n v="87414.117660000004"/>
    <m/>
    <d v="2025-12-18T00:00:00"/>
    <m/>
  </r>
  <r>
    <n v="9"/>
    <x v="9"/>
    <s v="DC Installation Complete"/>
    <m/>
    <n v="0.25"/>
    <n v="119175"/>
    <m/>
    <s v="Cosmic Sun - CS_UES_003"/>
    <x v="2"/>
    <n v="109267.647075"/>
    <m/>
    <d v="2026-02-27T00:00:00"/>
    <m/>
  </r>
  <r>
    <n v="9"/>
    <x v="9"/>
    <s v="Commissioning Complete"/>
    <m/>
    <n v="0.1"/>
    <n v="47670"/>
    <m/>
    <s v="Cosmic Sun - CS_UES_003"/>
    <x v="2"/>
    <n v="43707.058830000002"/>
    <m/>
    <d v="2026-03-04T00:00:00"/>
    <m/>
  </r>
  <r>
    <n v="9"/>
    <x v="9"/>
    <s v="Site De-establisment"/>
    <m/>
    <n v="0.1"/>
    <n v="47670"/>
    <m/>
    <s v="Cosmic Sun - CS_UES_003"/>
    <x v="2"/>
    <n v="43707.058830000002"/>
    <m/>
    <d v="2026-03-09T00:00:00"/>
    <m/>
  </r>
  <r>
    <n v="9"/>
    <x v="9"/>
    <s v="Handover Document Complete"/>
    <m/>
    <n v="0.05"/>
    <n v="23835"/>
    <m/>
    <s v="Cosmic Sun - CS_UES_003"/>
    <x v="2"/>
    <n v="21853.529415000001"/>
    <m/>
    <d v="2026-03-09T00:00:00"/>
    <m/>
  </r>
  <r>
    <n v="9"/>
    <x v="9"/>
    <s v="End of Defects Period"/>
    <m/>
    <n v="0.05"/>
    <n v="23835"/>
    <m/>
    <s v="Cosmic Sun - CS_UES_003"/>
    <x v="2"/>
    <n v="21853.529415000001"/>
    <m/>
    <d v="2026-04-01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3.211347691831179E-3"/>
    <m/>
    <n v="151047.47999999998"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151047.5"/>
    <n v="0.1"/>
    <n v="15104.75"/>
    <m/>
    <s v="Cosmic Sun - CS_UES_001"/>
    <x v="4"/>
    <n v="6836.0588235000005"/>
    <m/>
    <d v="2025-08-14T00:00:00"/>
    <m/>
  </r>
  <r>
    <n v="10"/>
    <x v="10"/>
    <s v="Site Establishment"/>
    <m/>
    <n v="0.15"/>
    <n v="22657.125"/>
    <m/>
    <s v="Cosmic Sun - CS_UES_002"/>
    <x v="4"/>
    <n v="10254.088235249999"/>
    <m/>
    <d v="2025-07-31T00:00:00"/>
    <m/>
  </r>
  <r>
    <n v="10"/>
    <x v="10"/>
    <m/>
    <m/>
    <m/>
    <n v="-0.01"/>
    <m/>
    <s v="Cosmic Sun - CS_UES_002"/>
    <x v="1"/>
    <n v="0"/>
    <m/>
    <d v="2025-08-31T00:00:00"/>
    <m/>
  </r>
  <r>
    <n v="10"/>
    <x v="10"/>
    <s v="AC Installation Complete"/>
    <m/>
    <n v="0.2"/>
    <n v="30209.5"/>
    <m/>
    <s v="Cosmic Sun - CS_UES_003"/>
    <x v="10"/>
    <n v="13672.109457307282"/>
    <m/>
    <d v="2025-12-18T00:00:00"/>
    <m/>
  </r>
  <r>
    <n v="10"/>
    <x v="10"/>
    <m/>
    <m/>
    <m/>
    <n v="-0.01"/>
    <m/>
    <s v="Cosmic Sun - CS_UES_003"/>
    <x v="1"/>
    <n v="0"/>
    <m/>
    <d v="2025-08-31T00:00:00"/>
    <m/>
  </r>
  <r>
    <n v="10"/>
    <x v="10"/>
    <s v="DC Installation Complete"/>
    <m/>
    <n v="0.25"/>
    <n v="37761.875"/>
    <m/>
    <s v="Cosmic Sun - CS_UES_003"/>
    <x v="2"/>
    <n v="17090.149321634108"/>
    <m/>
    <d v="2026-02-27T00:00:00"/>
    <m/>
  </r>
  <r>
    <n v="10"/>
    <x v="10"/>
    <s v="Commissioning Complete"/>
    <m/>
    <n v="0.1"/>
    <n v="15104.75"/>
    <m/>
    <s v="Cosmic Sun - CS_UES_003"/>
    <x v="2"/>
    <n v="6836.0597286536413"/>
    <m/>
    <d v="2026-03-04T00:00:00"/>
    <m/>
  </r>
  <r>
    <n v="10"/>
    <x v="10"/>
    <s v="Site De-establisment"/>
    <m/>
    <n v="0.1"/>
    <n v="15104.75"/>
    <m/>
    <s v="Cosmic Sun - CS_UES_003"/>
    <x v="2"/>
    <n v="6836.0597286536413"/>
    <m/>
    <d v="2026-03-09T00:00:00"/>
    <m/>
  </r>
  <r>
    <n v="10"/>
    <x v="10"/>
    <s v="Handover Document Complete"/>
    <m/>
    <n v="0.05"/>
    <n v="7552.375"/>
    <m/>
    <s v="Cosmic Sun - CS_UES_003"/>
    <x v="2"/>
    <n v="3418.0298643268206"/>
    <m/>
    <d v="2026-03-09T00:00:00"/>
    <m/>
  </r>
  <r>
    <n v="10"/>
    <x v="10"/>
    <s v="End of Defects Period"/>
    <m/>
    <n v="0.05"/>
    <n v="7552.375"/>
    <m/>
    <s v="Cosmic Sun - CS_UES_003"/>
    <x v="2"/>
    <n v="3418.0298643268206"/>
    <m/>
    <d v="2026-04-01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1349"/>
    <m/>
    <m/>
    <x v="2"/>
    <n v="22468.504335258127"/>
    <n v="3.3737495396053419E-3"/>
    <d v="2026-02-28T00:00:00"/>
    <n v="65408.13"/>
  </r>
  <r>
    <n v="11"/>
    <x v="11"/>
    <s v="Structural Sign Off"/>
    <m/>
    <m/>
    <n v="10650"/>
    <s v="PO3799-UES-20250411 - RV Approved"/>
    <s v="L&amp;B Consulting - INV-1963"/>
    <x v="11"/>
    <n v="17839.415657202251"/>
    <m/>
    <d v="2025-07-24T00:00:00"/>
    <m/>
  </r>
  <r>
    <n v="11"/>
    <x v="11"/>
    <s v="Grid Study"/>
    <m/>
    <m/>
    <n v="35409.129999999997"/>
    <s v="PO4381-UESH-20251020 - RV Approved"/>
    <s v="City of Cape Town - 708360339"/>
    <x v="8"/>
    <n v="66714.991470210472"/>
    <m/>
    <d v="2025-10-24T00:00:00"/>
    <m/>
  </r>
  <r>
    <n v="11"/>
    <x v="11"/>
    <s v="Red Team"/>
    <m/>
    <m/>
    <n v="8000"/>
    <m/>
    <m/>
    <x v="2"/>
    <n v="3620.6145635796111"/>
    <m/>
    <d v="2026-02-28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003.7235"/>
    <m/>
    <m/>
    <x v="2"/>
    <n v="62427.395663677111"/>
    <n v="0"/>
    <d v="2026-02-28T00:00:00"/>
    <n v="247203.72349999999"/>
  </r>
  <r>
    <n v="13"/>
    <x v="13"/>
    <s v="Management"/>
    <m/>
    <m/>
    <n v="32000"/>
    <m/>
    <m/>
    <x v="2"/>
    <n v="34440.490035741714"/>
    <m/>
    <d v="2026-02-28T00:00:00"/>
    <m/>
  </r>
  <r>
    <n v="13"/>
    <x v="13"/>
    <s v="Project manager "/>
    <m/>
    <m/>
    <n v="81600"/>
    <m/>
    <m/>
    <x v="2"/>
    <n v="87823.249591141372"/>
    <m/>
    <d v="2026-02-28T00:00:00"/>
    <m/>
  </r>
  <r>
    <n v="13"/>
    <x v="13"/>
    <s v="Planner time"/>
    <m/>
    <m/>
    <n v="41600"/>
    <m/>
    <m/>
    <x v="2"/>
    <n v="44772.637046464231"/>
    <m/>
    <d v="2026-02-28T00:00:00"/>
    <m/>
  </r>
  <r>
    <n v="13"/>
    <x v="13"/>
    <s v="De Snagging"/>
    <m/>
    <m/>
    <n v="34000"/>
    <m/>
    <m/>
    <x v="2"/>
    <n v="36593.02066297557"/>
    <m/>
    <d v="2026-02-28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19"/>
    <m/>
    <s v="Expense Claim"/>
    <x v="11"/>
    <n v="154.43339402689452"/>
    <n v="560.85155112850225"/>
    <d v="2025-05-08T00:00:00"/>
    <n v="3092.0799999999626"/>
  </r>
  <r>
    <n v="14"/>
    <x v="14"/>
    <s v="Travel"/>
    <m/>
    <m/>
    <n v="199.91999999996273"/>
    <m/>
    <s v="Expense Claim"/>
    <x v="7"/>
    <n v="282.39405266859563"/>
    <m/>
    <d v="2025-06-09T00:00:00"/>
    <m/>
  </r>
  <r>
    <n v="14"/>
    <x v="14"/>
    <s v="Travel"/>
    <m/>
    <m/>
    <n v="0"/>
    <m/>
    <s v="Expense Claim"/>
    <x v="6"/>
    <n v="0"/>
    <m/>
    <d v="2025-06-30T00:00:00"/>
    <m/>
  </r>
  <r>
    <n v="14"/>
    <x v="14"/>
    <s v="Travel"/>
    <m/>
    <m/>
    <n v="233.24"/>
    <m/>
    <s v="Expense Claim"/>
    <x v="4"/>
    <n v="540.89342495598294"/>
    <m/>
    <d v="2025-08-07T00:00:00"/>
    <m/>
  </r>
  <r>
    <n v="14"/>
    <x v="14"/>
    <s v="Travel"/>
    <m/>
    <m/>
    <n v="0"/>
    <m/>
    <s v="Expense Claim"/>
    <x v="1"/>
    <n v="0"/>
    <m/>
    <d v="2025-08-31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95.2"/>
    <m/>
    <s v="Expense Claim"/>
    <x v="8"/>
    <n v="295.24"/>
    <m/>
    <d v="2025-11-06T00:00:00"/>
    <m/>
  </r>
  <r>
    <n v="14"/>
    <x v="14"/>
    <s v="Travel"/>
    <m/>
    <m/>
    <n v="0"/>
    <m/>
    <s v="Expense Claim"/>
    <x v="10"/>
    <n v="0"/>
    <m/>
    <d v="2025-11-30T00:00:00"/>
    <m/>
  </r>
  <r>
    <n v="14"/>
    <x v="14"/>
    <s v="Travel"/>
    <m/>
    <m/>
    <n v="104.72"/>
    <m/>
    <s v="Expense Claim"/>
    <x v="12"/>
    <n v="419.6221583868446"/>
    <m/>
    <d v="2026-01-08T00:00:00"/>
    <m/>
  </r>
  <r>
    <n v="14"/>
    <x v="14"/>
    <s v="Travel"/>
    <m/>
    <m/>
    <n v="0"/>
    <m/>
    <s v="Expense Claim"/>
    <x v="5"/>
    <n v="0"/>
    <m/>
    <d v="2026-02-05T00:00:00"/>
    <m/>
  </r>
  <r>
    <n v="14"/>
    <x v="14"/>
    <s v="Travel"/>
    <m/>
    <m/>
    <n v="780"/>
    <m/>
    <m/>
    <x v="2"/>
    <n v="2337.0904336110602"/>
    <m/>
    <d v="2026-03-07T00:00:00"/>
    <m/>
  </r>
  <r>
    <n v="14"/>
    <x v="14"/>
    <s v="Travel"/>
    <m/>
    <m/>
    <n v="780"/>
    <m/>
    <m/>
    <x v="13"/>
    <n v="2337.0904336110602"/>
    <m/>
    <d v="2026-04-09T00:00:00"/>
    <m/>
  </r>
  <r>
    <n v="14"/>
    <x v="14"/>
    <s v="Travel"/>
    <m/>
    <m/>
    <n v="780"/>
    <m/>
    <m/>
    <x v="14"/>
    <n v="2337.0904336110602"/>
    <m/>
    <d v="2026-05-07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x="11"/>
        <item x="7"/>
        <item x="6"/>
        <item x="4"/>
        <item x="1"/>
        <item x="9"/>
        <item x="8"/>
        <item x="10"/>
        <item x="12"/>
        <item x="3"/>
        <item m="1" x="17"/>
        <item x="5"/>
        <item m="1" x="16"/>
        <item m="1" x="15"/>
        <item x="2"/>
        <item x="13"/>
        <item x="1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x="11"/>
        <item x="7"/>
        <item x="6"/>
        <item x="4"/>
        <item x="1"/>
        <item x="9"/>
        <item x="8"/>
        <item x="10"/>
        <item x="12"/>
        <item x="3"/>
        <item m="1" x="17"/>
        <item x="5"/>
        <item m="1" x="16"/>
        <item m="1" x="15"/>
        <item x="2"/>
        <item x="13"/>
        <item x="1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7" dT="2025-10-29T13:14:04.27" personId="{46CEFA72-7CD5-4B3F-B4FD-685ADDFEF63A}" id="{A48F2094-4B7B-4BB3-9296-DF94D4C7936F}">
    <text>@Mizelda Isaacs please update the payment date</text>
    <mentions>
      <mention mentionpersonId="{EE035BF1-7253-436D-91D7-70368C38EA22}" mentionId="{4149DF94-4E6C-4AFC-9A5B-03916322FB60}" startIndex="0" length="15"/>
    </mentions>
  </threadedComment>
  <threadedComment ref="W99" dT="2025-10-29T13:14:23.92" personId="{46CEFA72-7CD5-4B3F-B4FD-685ADDFEF63A}" id="{A1B826AD-EAFA-4C28-8149-A24F0A76AFD0}">
    <text>@Mizelda Isaacs please update the payment date</text>
    <mentions>
      <mention mentionpersonId="{EE035BF1-7253-436D-91D7-70368C38EA22}" mentionId="{222DFE80-3EF8-4457-BE3F-B5ED1999AEEA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" style="24" customWidth="1"/>
    <col min="10" max="10" width="47.44140625" style="24" bestFit="1" customWidth="1"/>
    <col min="11" max="11" width="6.44140625" style="3" customWidth="1"/>
    <col min="12" max="12" width="14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82" t="s">
        <v>57</v>
      </c>
      <c r="E47" s="782"/>
      <c r="F47" s="783"/>
      <c r="G47" s="67"/>
      <c r="I47" s="68"/>
      <c r="J47" s="68"/>
    </row>
    <row r="48" spans="1:49" ht="14.4" thickBot="1">
      <c r="C48" s="69">
        <v>44014</v>
      </c>
      <c r="D48" s="784"/>
      <c r="E48" s="784"/>
      <c r="F48" s="78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opLeftCell="A33" zoomScaleNormal="100" workbookViewId="0">
      <selection activeCell="I56" sqref="I56"/>
    </sheetView>
  </sheetViews>
  <sheetFormatPr defaultColWidth="8.44140625" defaultRowHeight="13.8"/>
  <cols>
    <col min="1" max="1" width="1.44140625" style="111" customWidth="1"/>
    <col min="2" max="2" width="6.44140625" style="170" bestFit="1" customWidth="1"/>
    <col min="3" max="3" width="50.5546875" style="24" bestFit="1" customWidth="1"/>
    <col min="4" max="4" width="3" style="111" customWidth="1"/>
    <col min="5" max="5" width="14.5546875" style="24" customWidth="1"/>
    <col min="6" max="6" width="10" style="167" customWidth="1"/>
    <col min="7" max="7" width="13.5546875" style="64" customWidth="1"/>
    <col min="8" max="8" width="5" style="111" customWidth="1"/>
    <col min="9" max="9" width="13.44140625" style="111" customWidth="1"/>
    <col min="10" max="10" width="11.44140625" style="112" customWidth="1"/>
    <col min="11" max="11" width="14.5546875" style="111" customWidth="1"/>
    <col min="12" max="12" width="2.44140625" style="111" customWidth="1"/>
    <col min="13" max="13" width="12.5546875" style="111" customWidth="1"/>
    <col min="14" max="14" width="11" style="111" bestFit="1" customWidth="1"/>
    <col min="15" max="15" width="39.44140625" style="111" bestFit="1" customWidth="1"/>
    <col min="16" max="16" width="1.44140625" style="111" customWidth="1"/>
    <col min="17" max="17" width="5.5546875" style="3" customWidth="1"/>
    <col min="18" max="20" width="8.44140625" style="111"/>
    <col min="21" max="22" width="19" style="111" customWidth="1"/>
    <col min="23" max="23" width="19" style="690" customWidth="1"/>
    <col min="24" max="24" width="19" style="111" customWidth="1"/>
    <col min="25" max="25" width="8.44140625" style="111"/>
    <col min="26" max="16384" width="8.441406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46083</v>
      </c>
      <c r="O1" s="404">
        <f ca="1">TODAY()</f>
        <v>46083</v>
      </c>
      <c r="Q1" s="3"/>
      <c r="W1" s="690"/>
    </row>
    <row r="2" spans="2:28">
      <c r="B2" s="175"/>
      <c r="C2" s="176" t="s">
        <v>0</v>
      </c>
      <c r="D2" s="177"/>
      <c r="E2" s="789" t="s">
        <v>58</v>
      </c>
      <c r="F2" s="790"/>
      <c r="G2" s="790"/>
      <c r="H2" s="791"/>
      <c r="N2" s="405">
        <v>0</v>
      </c>
      <c r="O2" s="405">
        <v>1</v>
      </c>
    </row>
    <row r="3" spans="2:28" s="111" customFormat="1">
      <c r="B3" s="178"/>
      <c r="C3" s="179" t="s">
        <v>59</v>
      </c>
      <c r="D3" s="177"/>
      <c r="E3" s="412">
        <v>454</v>
      </c>
      <c r="F3" s="180"/>
      <c r="G3" s="181"/>
      <c r="H3" s="182"/>
      <c r="J3" s="112"/>
      <c r="Q3" s="3"/>
      <c r="W3" s="690"/>
    </row>
    <row r="4" spans="2:28" s="111" customFormat="1">
      <c r="B4" s="178"/>
      <c r="C4" s="179" t="s">
        <v>60</v>
      </c>
      <c r="D4" s="177"/>
      <c r="E4" s="792" t="s">
        <v>61</v>
      </c>
      <c r="F4" s="793"/>
      <c r="G4" s="793"/>
      <c r="H4" s="794"/>
      <c r="J4" s="112"/>
      <c r="Q4" s="3"/>
      <c r="W4" s="690"/>
    </row>
    <row r="5" spans="2:28" s="111" customFormat="1">
      <c r="B5" s="178"/>
      <c r="C5" s="179" t="s">
        <v>62</v>
      </c>
      <c r="D5" s="177"/>
      <c r="E5" s="792" t="s">
        <v>63</v>
      </c>
      <c r="F5" s="793"/>
      <c r="G5" s="793"/>
      <c r="H5" s="794"/>
      <c r="J5" s="112"/>
      <c r="Q5" s="3"/>
      <c r="W5" s="690"/>
    </row>
    <row r="6" spans="2:28">
      <c r="B6" s="183"/>
      <c r="C6" s="184" t="s">
        <v>64</v>
      </c>
      <c r="D6" s="177"/>
      <c r="E6" s="795">
        <v>6640297.8799999999</v>
      </c>
      <c r="F6" s="796"/>
      <c r="G6" s="796"/>
      <c r="H6" s="797"/>
    </row>
    <row r="7" spans="2:28" s="111" customFormat="1">
      <c r="B7" s="166"/>
      <c r="C7" s="721" t="s">
        <v>65</v>
      </c>
      <c r="E7" s="711" t="s">
        <v>66</v>
      </c>
      <c r="F7" s="167"/>
      <c r="G7" s="185"/>
      <c r="J7" s="112"/>
      <c r="Q7" s="3"/>
      <c r="W7" s="690"/>
    </row>
    <row r="8" spans="2:28" ht="30" customHeight="1">
      <c r="B8" s="786" t="s">
        <v>67</v>
      </c>
      <c r="C8" s="787" t="s">
        <v>68</v>
      </c>
      <c r="D8" s="214"/>
      <c r="E8" s="788" t="s">
        <v>69</v>
      </c>
      <c r="F8" s="236" t="s">
        <v>70</v>
      </c>
      <c r="G8" s="788" t="s">
        <v>71</v>
      </c>
      <c r="H8" s="237"/>
      <c r="I8" s="788" t="s">
        <v>72</v>
      </c>
      <c r="J8" s="236" t="s">
        <v>70</v>
      </c>
      <c r="K8" s="788" t="s">
        <v>73</v>
      </c>
      <c r="M8" s="411" t="s">
        <v>74</v>
      </c>
      <c r="N8" s="675" t="s">
        <v>75</v>
      </c>
      <c r="O8" s="798" t="s">
        <v>76</v>
      </c>
      <c r="Z8" s="111"/>
      <c r="AA8" s="111"/>
      <c r="AB8" s="111"/>
    </row>
    <row r="9" spans="2:28">
      <c r="B9" s="786"/>
      <c r="C9" s="787"/>
      <c r="D9" s="214"/>
      <c r="E9" s="788"/>
      <c r="F9" s="125">
        <f>G46-E19</f>
        <v>101</v>
      </c>
      <c r="G9" s="788"/>
      <c r="H9" s="237"/>
      <c r="I9" s="788"/>
      <c r="J9" s="126">
        <f>K46-I19</f>
        <v>206</v>
      </c>
      <c r="K9" s="788"/>
      <c r="M9" s="361">
        <f>AVERAGE(M11,M18,M23,M30,M40,M44,M51,M48)</f>
        <v>0.78874999999999995</v>
      </c>
      <c r="N9" s="361">
        <f ca="1">AVERAGE(N11,N18,N23,N30,N40,N44,N51,N48)</f>
        <v>0.94716619343132824</v>
      </c>
      <c r="O9" s="799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W10" s="690"/>
    </row>
    <row r="11" spans="2:28" s="113" customFormat="1">
      <c r="B11" s="243">
        <v>1</v>
      </c>
      <c r="C11" s="244" t="s">
        <v>77</v>
      </c>
      <c r="D11" s="218"/>
      <c r="E11" s="245">
        <f>MIN(E12:E16)</f>
        <v>45756</v>
      </c>
      <c r="F11" s="246">
        <f>G11-E11</f>
        <v>111</v>
      </c>
      <c r="G11" s="245">
        <f>MAX(G12:G16)</f>
        <v>45867</v>
      </c>
      <c r="H11" s="219"/>
      <c r="I11" s="245">
        <f>MIN(I12:I16)</f>
        <v>45756</v>
      </c>
      <c r="J11" s="246">
        <f>K11-I11</f>
        <v>111</v>
      </c>
      <c r="K11" s="245">
        <f>MAX(K12:K16)</f>
        <v>45867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8"/>
      <c r="P11" s="111"/>
      <c r="Q11" s="119"/>
      <c r="W11" s="691"/>
    </row>
    <row r="12" spans="2:28" s="111" customFormat="1">
      <c r="B12" s="247" t="s">
        <v>78</v>
      </c>
      <c r="C12" s="248" t="s">
        <v>79</v>
      </c>
      <c r="D12" s="214"/>
      <c r="E12" s="249">
        <v>45756</v>
      </c>
      <c r="F12" s="250">
        <v>1</v>
      </c>
      <c r="G12" s="249">
        <f>WORKDAY.INTL(E12,F12,1,Data!$C$3:$C$41)</f>
        <v>45757</v>
      </c>
      <c r="H12" s="237"/>
      <c r="I12" s="249">
        <v>45756</v>
      </c>
      <c r="J12" s="250">
        <v>1</v>
      </c>
      <c r="K12" s="249">
        <f>WORKDAY.INTL(I12,J12,1,Data!$C$3:$C$41)</f>
        <v>45757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  <c r="W12" s="690"/>
    </row>
    <row r="13" spans="2:28" s="111" customFormat="1">
      <c r="B13" s="247" t="s">
        <v>80</v>
      </c>
      <c r="C13" s="248" t="s">
        <v>81</v>
      </c>
      <c r="D13" s="214"/>
      <c r="E13" s="249">
        <v>45860</v>
      </c>
      <c r="F13" s="250">
        <v>1</v>
      </c>
      <c r="G13" s="249">
        <f>WORKDAY.INTL(E13,F13,1,Data!$C$3:$C$41)</f>
        <v>45861</v>
      </c>
      <c r="H13" s="237"/>
      <c r="I13" s="249">
        <v>45860</v>
      </c>
      <c r="J13" s="250">
        <v>1</v>
      </c>
      <c r="K13" s="249">
        <f>WORKDAY.INTL(I13,J13,1,Data!$C$3:$C$41)</f>
        <v>45861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  <c r="W13" s="690"/>
    </row>
    <row r="14" spans="2:28" s="111" customFormat="1">
      <c r="B14" s="247" t="s">
        <v>82</v>
      </c>
      <c r="C14" s="248" t="s">
        <v>83</v>
      </c>
      <c r="D14" s="214"/>
      <c r="E14" s="249">
        <f>E13-7</f>
        <v>45853</v>
      </c>
      <c r="F14" s="250">
        <v>10</v>
      </c>
      <c r="G14" s="249">
        <f>WORKDAY.INTL(E14,F14,1,Data!$C$3:$C$41)</f>
        <v>45867</v>
      </c>
      <c r="H14" s="237"/>
      <c r="I14" s="249">
        <f>I13-7</f>
        <v>45853</v>
      </c>
      <c r="J14" s="250">
        <v>10</v>
      </c>
      <c r="K14" s="249">
        <f>WORKDAY.INTL(I14,J14,1,Data!$C$3:$C$41)</f>
        <v>45867</v>
      </c>
      <c r="M14" s="253">
        <v>1</v>
      </c>
      <c r="N14" s="253">
        <f t="shared" ca="1" si="0"/>
        <v>1</v>
      </c>
      <c r="O14" s="121"/>
      <c r="Q14" s="3"/>
      <c r="W14" s="690"/>
    </row>
    <row r="15" spans="2:28" s="111" customFormat="1">
      <c r="B15" s="247" t="s">
        <v>84</v>
      </c>
      <c r="C15" s="248" t="s">
        <v>85</v>
      </c>
      <c r="D15" s="214"/>
      <c r="E15" s="249">
        <v>45855</v>
      </c>
      <c r="F15" s="250">
        <v>1</v>
      </c>
      <c r="G15" s="249">
        <f>WORKDAY.INTL(E15,F15,1,Data!$C$3:$C$41)</f>
        <v>45856</v>
      </c>
      <c r="H15" s="237"/>
      <c r="I15" s="249">
        <v>45855</v>
      </c>
      <c r="J15" s="250">
        <v>1</v>
      </c>
      <c r="K15" s="249">
        <f>WORKDAY.INTL(I15,J15,1,Data!$C$3:$C$41)</f>
        <v>45856</v>
      </c>
      <c r="M15" s="253">
        <v>1</v>
      </c>
      <c r="N15" s="253">
        <f t="shared" ca="1" si="0"/>
        <v>1</v>
      </c>
      <c r="O15" s="121"/>
      <c r="Q15" s="3"/>
      <c r="W15" s="690"/>
    </row>
    <row r="16" spans="2:28" s="111" customFormat="1">
      <c r="B16" s="247" t="s">
        <v>86</v>
      </c>
      <c r="C16" s="248" t="s">
        <v>87</v>
      </c>
      <c r="D16" s="214"/>
      <c r="E16" s="249">
        <v>45860</v>
      </c>
      <c r="F16" s="250">
        <v>1</v>
      </c>
      <c r="G16" s="249">
        <f>WORKDAY.INTL(E16,F16,1,Data!$C$3:$C$41)</f>
        <v>45861</v>
      </c>
      <c r="H16" s="237"/>
      <c r="I16" s="249">
        <v>45860</v>
      </c>
      <c r="J16" s="250">
        <v>1</v>
      </c>
      <c r="K16" s="249">
        <f>WORKDAY.INTL(I16,J16,1,Data!$C$3:$C$41)</f>
        <v>45861</v>
      </c>
      <c r="M16" s="253">
        <v>1</v>
      </c>
      <c r="N16" s="253">
        <f t="shared" ca="1" si="0"/>
        <v>1</v>
      </c>
      <c r="O16" s="121"/>
      <c r="Q16" s="3"/>
      <c r="W16" s="690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W17" s="690"/>
    </row>
    <row r="18" spans="2:28" s="113" customFormat="1">
      <c r="B18" s="243">
        <v>2</v>
      </c>
      <c r="C18" s="244" t="s">
        <v>88</v>
      </c>
      <c r="D18" s="218"/>
      <c r="E18" s="245">
        <f>MIN(E19:E22)</f>
        <v>45867</v>
      </c>
      <c r="F18" s="246">
        <f>G18-E18</f>
        <v>1</v>
      </c>
      <c r="G18" s="245">
        <f>MAX(G19)</f>
        <v>45868</v>
      </c>
      <c r="H18" s="219"/>
      <c r="I18" s="245">
        <f>MIN(I19:I22)</f>
        <v>45867</v>
      </c>
      <c r="J18" s="246">
        <f>K18-I18</f>
        <v>1</v>
      </c>
      <c r="K18" s="245">
        <f>MAX(K19)</f>
        <v>45868</v>
      </c>
      <c r="M18" s="360">
        <f>(J19*M19+J20*M20)/SUM(J19:J20)</f>
        <v>1</v>
      </c>
      <c r="N18" s="360">
        <f ca="1">(K19*N19+K20*N20)/SUM(K19:K20)</f>
        <v>1</v>
      </c>
      <c r="O18" s="118"/>
      <c r="P18" s="111"/>
      <c r="Q18" s="122"/>
      <c r="R18" s="117"/>
      <c r="S18" s="117"/>
      <c r="T18" s="117"/>
      <c r="U18" s="117"/>
      <c r="W18" s="692"/>
      <c r="X18" s="117"/>
      <c r="Y18" s="120"/>
      <c r="Z18" s="117"/>
      <c r="AA18" s="117"/>
      <c r="AB18" s="117"/>
    </row>
    <row r="19" spans="2:28" s="111" customFormat="1">
      <c r="B19" s="247" t="s">
        <v>89</v>
      </c>
      <c r="C19" s="248" t="s">
        <v>90</v>
      </c>
      <c r="D19" s="214"/>
      <c r="E19" s="414">
        <v>45867</v>
      </c>
      <c r="F19" s="250">
        <v>1</v>
      </c>
      <c r="G19" s="249">
        <f>E19+F19</f>
        <v>45868</v>
      </c>
      <c r="H19" s="237"/>
      <c r="I19" s="414">
        <v>45867</v>
      </c>
      <c r="J19" s="250">
        <v>1</v>
      </c>
      <c r="K19" s="249">
        <f>I19+J19</f>
        <v>45868</v>
      </c>
      <c r="M19" s="253">
        <v>1</v>
      </c>
      <c r="N19" s="253">
        <f t="shared" ref="N19:N21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/>
      <c r="T19" s="120"/>
      <c r="U19" s="120"/>
      <c r="V19" s="120"/>
      <c r="W19" s="693"/>
      <c r="X19" s="120"/>
      <c r="Z19" s="120"/>
      <c r="AA19" s="120"/>
      <c r="AB19" s="120"/>
    </row>
    <row r="20" spans="2:28" s="111" customFormat="1">
      <c r="B20" s="247" t="s">
        <v>91</v>
      </c>
      <c r="C20" s="248" t="s">
        <v>92</v>
      </c>
      <c r="D20" s="214"/>
      <c r="E20" s="414">
        <v>45869</v>
      </c>
      <c r="F20" s="250">
        <v>60</v>
      </c>
      <c r="G20" s="249">
        <f>WORKDAY.INTL(E20,F20,1,Data!$C$3:$C$41)</f>
        <v>45954</v>
      </c>
      <c r="H20" s="237"/>
      <c r="I20" s="414">
        <v>45869</v>
      </c>
      <c r="J20" s="250">
        <v>76</v>
      </c>
      <c r="K20" s="249">
        <f>WORKDAY.INTL(I20,J20,1,Data!$C$3:$C$41)</f>
        <v>45978</v>
      </c>
      <c r="M20" s="253">
        <v>1</v>
      </c>
      <c r="N20" s="253">
        <f t="shared" ca="1" si="1"/>
        <v>1</v>
      </c>
      <c r="O20" s="121"/>
      <c r="Q20" s="123"/>
      <c r="R20" s="120"/>
      <c r="S20" s="120"/>
      <c r="T20" s="120"/>
      <c r="U20" s="120"/>
      <c r="V20" s="120"/>
      <c r="W20" s="693"/>
      <c r="X20" s="120"/>
      <c r="Z20" s="120"/>
      <c r="AA20" s="120"/>
      <c r="AB20" s="120"/>
    </row>
    <row r="21" spans="2:28" s="111" customFormat="1">
      <c r="B21" s="247" t="s">
        <v>93</v>
      </c>
      <c r="C21" s="689" t="s">
        <v>94</v>
      </c>
      <c r="D21" s="214"/>
      <c r="E21" s="414"/>
      <c r="F21" s="250"/>
      <c r="G21" s="249"/>
      <c r="H21" s="237"/>
      <c r="I21" s="688">
        <f>K20</f>
        <v>45978</v>
      </c>
      <c r="J21" s="250">
        <v>2</v>
      </c>
      <c r="K21" s="249">
        <f>WORKDAY.INTL(I21,J21,1,Data!$C$3:$C$41)</f>
        <v>45980</v>
      </c>
      <c r="M21" s="253">
        <v>1</v>
      </c>
      <c r="N21" s="253">
        <f t="shared" ca="1" si="1"/>
        <v>1</v>
      </c>
      <c r="O21" s="121"/>
      <c r="Q21" s="123"/>
      <c r="R21" s="120"/>
      <c r="S21" s="120"/>
      <c r="T21" s="120"/>
      <c r="U21" s="120"/>
      <c r="V21" s="120"/>
      <c r="W21" s="693"/>
      <c r="X21" s="120"/>
      <c r="Z21" s="120"/>
      <c r="AA21" s="120"/>
      <c r="AB21" s="120"/>
    </row>
    <row r="22" spans="2:28" s="111" customFormat="1" ht="4.5" customHeight="1">
      <c r="B22" s="238"/>
      <c r="C22" s="214"/>
      <c r="D22" s="214"/>
      <c r="E22" s="239"/>
      <c r="F22" s="239"/>
      <c r="G22" s="240"/>
      <c r="H22" s="237"/>
      <c r="I22" s="239"/>
      <c r="J22" s="239"/>
      <c r="K22" s="240"/>
      <c r="M22" s="121"/>
      <c r="N22" s="121"/>
      <c r="O22" s="121"/>
      <c r="Q22" s="3"/>
      <c r="W22" s="690"/>
    </row>
    <row r="23" spans="2:28" s="113" customFormat="1">
      <c r="B23" s="243">
        <v>3</v>
      </c>
      <c r="C23" s="244" t="s">
        <v>95</v>
      </c>
      <c r="D23" s="218"/>
      <c r="E23" s="245">
        <f>MIN(E24:E28)</f>
        <v>45860</v>
      </c>
      <c r="F23" s="246">
        <f>G23-E23</f>
        <v>37</v>
      </c>
      <c r="G23" s="245">
        <f>MAX(G24:G28)</f>
        <v>45897</v>
      </c>
      <c r="H23" s="251"/>
      <c r="I23" s="245">
        <f>MIN(I24:I28)</f>
        <v>45860</v>
      </c>
      <c r="J23" s="246">
        <f>K23-I23</f>
        <v>134</v>
      </c>
      <c r="K23" s="245">
        <f>MAX(K24:K28)</f>
        <v>45994</v>
      </c>
      <c r="M23" s="360">
        <f>(J24*M24+J25*M25+J26*M26+J27*M27+J28*M28)/SUM(J24:J28)</f>
        <v>1</v>
      </c>
      <c r="N23" s="360">
        <f ca="1">(K24*N24+K25*N25+K26*N26+K27*N27+K28*N28)/SUM(K24:K28)</f>
        <v>1</v>
      </c>
      <c r="O23" s="118"/>
      <c r="P23" s="111"/>
      <c r="Q23" s="122"/>
      <c r="R23" s="117"/>
      <c r="S23" s="120"/>
      <c r="T23" s="120"/>
      <c r="U23" s="117"/>
      <c r="V23" s="117"/>
      <c r="W23" s="692"/>
      <c r="X23" s="117"/>
      <c r="Y23" s="117"/>
      <c r="Z23" s="117"/>
      <c r="AA23" s="117"/>
      <c r="AB23" s="117"/>
    </row>
    <row r="24" spans="2:28" s="111" customFormat="1">
      <c r="B24" s="247" t="s">
        <v>96</v>
      </c>
      <c r="C24" s="248" t="s">
        <v>97</v>
      </c>
      <c r="D24" s="214"/>
      <c r="E24" s="249">
        <f>WORKDAY.INTL(G19,0,1,Data!$C$3:$C$41)</f>
        <v>45868</v>
      </c>
      <c r="F24" s="250">
        <v>1</v>
      </c>
      <c r="G24" s="249">
        <f>WORKDAY.INTL(E24,F24,1,Data!$C$3:$C$41)</f>
        <v>45869</v>
      </c>
      <c r="H24" s="237"/>
      <c r="I24" s="249">
        <f>WORKDAY.INTL(K19,0,1,Data!$C$3:$C$41)</f>
        <v>45868</v>
      </c>
      <c r="J24" s="250">
        <v>1</v>
      </c>
      <c r="K24" s="249">
        <f>WORKDAY.INTL(I24,J24,1,Data!$C$3:$C$41)</f>
        <v>45869</v>
      </c>
      <c r="M24" s="253">
        <v>1</v>
      </c>
      <c r="N24" s="253">
        <f t="shared" ref="N24:N28" ca="1" si="2">_xlfn.LET(
  _xlpm.s,VALUE($I24),
  _xlpm.e,VALUE($K24),
  IF(OR(_xlpm.s="",_xlpm.e=""),"", IF(_xlpm.e&lt;=_xlpm.s, IF(TODAY()&gt;=_xlpm.e,1,0), MAX(0,MIN(1,(TODAY()-_xlpm.s)/(_xlpm.e-_xlpm.s)))))
)</f>
        <v>1</v>
      </c>
      <c r="O24" s="121"/>
      <c r="Q24" s="123"/>
      <c r="R24" s="120"/>
      <c r="S24" s="117"/>
      <c r="T24" s="117"/>
      <c r="U24" s="120"/>
      <c r="V24" s="120"/>
      <c r="W24" s="693"/>
      <c r="X24" s="120"/>
      <c r="Y24" s="120"/>
      <c r="Z24" s="120"/>
      <c r="AA24" s="120"/>
      <c r="AB24" s="120"/>
    </row>
    <row r="25" spans="2:28" s="111" customFormat="1">
      <c r="B25" s="247" t="s">
        <v>98</v>
      </c>
      <c r="C25" s="248" t="s">
        <v>99</v>
      </c>
      <c r="D25" s="214"/>
      <c r="E25" s="249">
        <f>WORKDAY.INTL(G24,0,1,Data!$C$3:$C$41)</f>
        <v>45869</v>
      </c>
      <c r="F25" s="250">
        <v>1</v>
      </c>
      <c r="G25" s="249">
        <f>WORKDAY.INTL(E25,F25,1,Data!$C$3:$C$41)</f>
        <v>45870</v>
      </c>
      <c r="H25" s="237"/>
      <c r="I25" s="249">
        <v>45875</v>
      </c>
      <c r="J25" s="250">
        <v>1</v>
      </c>
      <c r="K25" s="249">
        <f>WORKDAY.INTL(I25,J25,1,Data!$C$3:$C$41)</f>
        <v>45876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693"/>
      <c r="X25" s="120"/>
      <c r="Y25" s="120"/>
      <c r="Z25" s="120"/>
      <c r="AA25" s="120"/>
      <c r="AB25" s="120"/>
    </row>
    <row r="26" spans="2:28" s="111" customFormat="1">
      <c r="B26" s="247" t="s">
        <v>100</v>
      </c>
      <c r="C26" s="248" t="s">
        <v>101</v>
      </c>
      <c r="D26" s="214"/>
      <c r="E26" s="249">
        <f>WORKDAY.INTL(E19,0,1,Data!$C$3:$C$41)-7</f>
        <v>45860</v>
      </c>
      <c r="F26" s="250">
        <v>20</v>
      </c>
      <c r="G26" s="249">
        <f>WORKDAY.INTL(E26,F26,1,Data!$C$3:$C$41)</f>
        <v>45888</v>
      </c>
      <c r="H26" s="237"/>
      <c r="I26" s="249">
        <f>WORKDAY.INTL(I19,0,1,Data!$C$3:$C$41)-7</f>
        <v>45860</v>
      </c>
      <c r="J26" s="250">
        <v>70</v>
      </c>
      <c r="K26" s="249">
        <f>WORKDAY.INTL(I26,J26,1,Data!$C$3:$C$41)</f>
        <v>45959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693"/>
      <c r="X26" s="120"/>
      <c r="Y26" s="120"/>
      <c r="Z26" s="120"/>
      <c r="AA26" s="120"/>
      <c r="AB26" s="120"/>
    </row>
    <row r="27" spans="2:28" s="111" customFormat="1">
      <c r="B27" s="247" t="s">
        <v>102</v>
      </c>
      <c r="C27" s="248" t="s">
        <v>40</v>
      </c>
      <c r="D27" s="214"/>
      <c r="E27" s="249">
        <f>WORKDAY.INTL(G26,0,1,Data!$C$3:$C$41)</f>
        <v>45888</v>
      </c>
      <c r="F27" s="250">
        <v>7</v>
      </c>
      <c r="G27" s="249">
        <f>WORKDAY.INTL(E27,F27,1,Data!$C$3:$C$41)</f>
        <v>45897</v>
      </c>
      <c r="H27" s="237"/>
      <c r="I27" s="249">
        <v>45983</v>
      </c>
      <c r="J27" s="250">
        <v>7</v>
      </c>
      <c r="K27" s="249">
        <f>WORKDAY.INTL(I27,J27,1,Data!$C$3:$C$41)</f>
        <v>45993</v>
      </c>
      <c r="M27" s="253">
        <v>1</v>
      </c>
      <c r="N27" s="253">
        <f t="shared" ca="1" si="2"/>
        <v>1</v>
      </c>
      <c r="O27" s="121"/>
      <c r="Q27" s="123"/>
      <c r="R27" s="120"/>
      <c r="S27" s="120"/>
      <c r="T27" s="120"/>
      <c r="U27" s="120"/>
      <c r="V27" s="120"/>
      <c r="W27" s="693"/>
      <c r="X27" s="120"/>
      <c r="Y27" s="120"/>
      <c r="Z27" s="120"/>
      <c r="AA27" s="120"/>
      <c r="AB27" s="120"/>
    </row>
    <row r="28" spans="2:28" s="111" customFormat="1">
      <c r="B28" s="247" t="s">
        <v>103</v>
      </c>
      <c r="C28" s="248" t="s">
        <v>104</v>
      </c>
      <c r="D28" s="214"/>
      <c r="E28" s="249">
        <f>WORKDAY.INTL(E27,0,1,Data!$C$3:$C$41)</f>
        <v>45888</v>
      </c>
      <c r="F28" s="250">
        <v>3</v>
      </c>
      <c r="G28" s="249">
        <f>WORKDAY.INTL(E28,F28,1,Data!$C$3:$C$41)</f>
        <v>45891</v>
      </c>
      <c r="H28" s="237"/>
      <c r="I28" s="249">
        <v>45989</v>
      </c>
      <c r="J28" s="250">
        <v>3</v>
      </c>
      <c r="K28" s="249">
        <f>WORKDAY.INTL(I28,J28,1,Data!$C$3:$C$41)</f>
        <v>45994</v>
      </c>
      <c r="M28" s="253">
        <v>1</v>
      </c>
      <c r="N28" s="253">
        <f t="shared" ca="1" si="2"/>
        <v>1</v>
      </c>
      <c r="O28" s="121"/>
      <c r="Q28" s="123"/>
      <c r="R28" s="120"/>
      <c r="S28" s="120"/>
      <c r="T28" s="120"/>
      <c r="U28" s="120"/>
      <c r="V28" s="120"/>
      <c r="W28" s="693"/>
      <c r="X28" s="120"/>
      <c r="Y28" s="120"/>
      <c r="Z28" s="120"/>
      <c r="AA28" s="120"/>
      <c r="AB28" s="120"/>
    </row>
    <row r="29" spans="2:28" s="111" customFormat="1" ht="4.5" customHeight="1">
      <c r="B29" s="238"/>
      <c r="C29" s="214"/>
      <c r="D29" s="214"/>
      <c r="E29" s="239"/>
      <c r="F29" s="239"/>
      <c r="G29" s="240"/>
      <c r="H29" s="237"/>
      <c r="I29" s="239"/>
      <c r="J29" s="239"/>
      <c r="K29" s="240"/>
      <c r="Q29" s="3"/>
      <c r="W29" s="690"/>
    </row>
    <row r="30" spans="2:28" s="111" customFormat="1">
      <c r="B30" s="243">
        <v>4</v>
      </c>
      <c r="C30" s="244" t="s">
        <v>34</v>
      </c>
      <c r="D30" s="218"/>
      <c r="E30" s="245">
        <f>MIN(E32:E38)</f>
        <v>45868</v>
      </c>
      <c r="F30" s="246">
        <f>G30-E30</f>
        <v>93</v>
      </c>
      <c r="G30" s="245">
        <f>MAX(G32:G38)</f>
        <v>45961</v>
      </c>
      <c r="H30" s="251"/>
      <c r="I30" s="245">
        <f>MIN(I32:I38)</f>
        <v>45869</v>
      </c>
      <c r="J30" s="246">
        <f>K30-I30</f>
        <v>202</v>
      </c>
      <c r="K30" s="245">
        <f>MAX(K32:K38)</f>
        <v>46071</v>
      </c>
      <c r="L30" s="113"/>
      <c r="M30" s="360">
        <f>(J32*M32+J33*M33+J34*M34+J35*M35+J36*M36+J37*M37)/SUM(J32:J37)</f>
        <v>1</v>
      </c>
      <c r="N30" s="360">
        <f ca="1">(J32*N32+J33*N33+J34*N34+J35*N35+J36*N36+J37*N37)/SUM(J32:J37)</f>
        <v>1</v>
      </c>
      <c r="O30" s="121"/>
      <c r="Q30" s="123"/>
      <c r="R30" s="120"/>
      <c r="S30" s="120"/>
      <c r="T30" s="120"/>
      <c r="U30" s="120"/>
      <c r="V30" s="120"/>
      <c r="W30" s="693"/>
      <c r="X30" s="120"/>
      <c r="Y30" s="120"/>
      <c r="Z30" s="120"/>
      <c r="AA30" s="120"/>
      <c r="AB30" s="120"/>
    </row>
    <row r="31" spans="2:28" s="111" customFormat="1" hidden="1">
      <c r="B31" s="247" t="s">
        <v>105</v>
      </c>
      <c r="C31" s="248" t="s">
        <v>106</v>
      </c>
      <c r="D31" s="214"/>
      <c r="E31" s="249"/>
      <c r="F31" s="250"/>
      <c r="G31" s="249"/>
      <c r="H31" s="237"/>
      <c r="I31" s="249"/>
      <c r="J31" s="250"/>
      <c r="K31" s="249"/>
      <c r="M31" s="253">
        <v>0</v>
      </c>
      <c r="N31" s="253">
        <v>0</v>
      </c>
      <c r="O31" s="121"/>
      <c r="Q31" s="123"/>
      <c r="R31" s="120"/>
      <c r="S31" s="120"/>
      <c r="T31" s="120"/>
      <c r="U31" s="120"/>
      <c r="V31" s="120"/>
      <c r="W31" s="693"/>
      <c r="X31" s="120"/>
      <c r="Y31" s="120"/>
      <c r="Z31" s="120"/>
      <c r="AA31" s="120"/>
      <c r="AB31" s="120"/>
    </row>
    <row r="32" spans="2:28" s="111" customFormat="1">
      <c r="B32" s="247" t="s">
        <v>105</v>
      </c>
      <c r="C32" s="248" t="s">
        <v>107</v>
      </c>
      <c r="D32" s="214"/>
      <c r="E32" s="249">
        <f>E24</f>
        <v>45868</v>
      </c>
      <c r="F32" s="250">
        <v>1</v>
      </c>
      <c r="G32" s="249">
        <f>WORKDAY.INTL(E32,F32,1,Data!$C$3:$C$41)</f>
        <v>45869</v>
      </c>
      <c r="H32" s="237"/>
      <c r="I32" s="249">
        <f>I37</f>
        <v>45869</v>
      </c>
      <c r="J32" s="250">
        <v>1</v>
      </c>
      <c r="K32" s="249">
        <f>WORKDAY.INTL(I32,J32,1,Data!$C$3:$C$41)</f>
        <v>45870</v>
      </c>
      <c r="M32" s="253">
        <v>1</v>
      </c>
      <c r="N32" s="253">
        <f t="shared" ref="N32:N37" ca="1" si="3">_xlfn.LET(
  _xlpm.s,VALUE($I32),
  _xlpm.e,VALUE($K32),
  IF(OR(_xlpm.s="",_xlpm.e=""),"", IF(_xlpm.e&lt;=_xlpm.s, IF(TODAY()&gt;=_xlpm.e,1,0), MAX(0,MIN(1,(TODAY()-_xlpm.s)/(_xlpm.e-_xlpm.s)))))
)</f>
        <v>1</v>
      </c>
      <c r="O32" s="121"/>
      <c r="Q32" s="123"/>
      <c r="R32" s="120"/>
      <c r="S32" s="120"/>
      <c r="T32" s="120"/>
      <c r="U32" s="120"/>
      <c r="V32" s="120"/>
      <c r="W32" s="693"/>
      <c r="X32" s="120"/>
      <c r="Y32" s="120"/>
      <c r="Z32" s="120"/>
      <c r="AA32" s="120"/>
      <c r="AB32" s="120"/>
    </row>
    <row r="33" spans="2:28" s="111" customFormat="1">
      <c r="B33" s="247" t="s">
        <v>108</v>
      </c>
      <c r="C33" s="722" t="s">
        <v>109</v>
      </c>
      <c r="D33" s="723"/>
      <c r="E33" s="688">
        <f>G20-14</f>
        <v>45940</v>
      </c>
      <c r="F33" s="724">
        <v>15</v>
      </c>
      <c r="G33" s="688">
        <f>WORKDAY.INTL(E33,F33,1,Data!$C$3:$C$41)</f>
        <v>45961</v>
      </c>
      <c r="H33" s="725"/>
      <c r="I33" s="688">
        <v>46034</v>
      </c>
      <c r="J33" s="724">
        <v>27</v>
      </c>
      <c r="K33" s="688">
        <f>WORKDAY.INTL(I33,J33,1,Data!$C$3:$C$41)</f>
        <v>46071</v>
      </c>
      <c r="M33" s="253">
        <v>1</v>
      </c>
      <c r="N33" s="253">
        <f t="shared" ca="1" si="3"/>
        <v>1</v>
      </c>
      <c r="O33" s="121"/>
      <c r="Q33" s="123"/>
      <c r="R33" s="120"/>
      <c r="S33" s="120"/>
      <c r="T33" s="120"/>
      <c r="U33" s="120"/>
      <c r="V33" s="120"/>
      <c r="W33" s="693"/>
      <c r="X33" s="120"/>
      <c r="Y33" s="120"/>
      <c r="Z33" s="120"/>
      <c r="AA33" s="120"/>
      <c r="AB33" s="120"/>
    </row>
    <row r="34" spans="2:28" s="111" customFormat="1">
      <c r="B34" s="247" t="s">
        <v>110</v>
      </c>
      <c r="C34" s="248" t="s">
        <v>111</v>
      </c>
      <c r="D34" s="214"/>
      <c r="E34" s="249"/>
      <c r="F34" s="250"/>
      <c r="G34" s="249"/>
      <c r="H34" s="237"/>
      <c r="I34" s="249">
        <v>46034</v>
      </c>
      <c r="J34" s="250">
        <v>12</v>
      </c>
      <c r="K34" s="249">
        <f>WORKDAY.INTL(I34,J34,1,Data!$C$3:$C$41)</f>
        <v>46050</v>
      </c>
      <c r="M34" s="253">
        <v>1</v>
      </c>
      <c r="N34" s="253">
        <f t="shared" ca="1" si="3"/>
        <v>1</v>
      </c>
      <c r="O34" s="121"/>
      <c r="Q34" s="123"/>
      <c r="R34" s="120"/>
      <c r="S34" s="120"/>
      <c r="T34" s="120"/>
      <c r="U34" s="120"/>
      <c r="V34" s="120"/>
      <c r="W34" s="693"/>
      <c r="X34" s="120"/>
      <c r="Y34" s="120"/>
      <c r="Z34" s="120"/>
      <c r="AA34" s="120"/>
      <c r="AB34" s="120"/>
    </row>
    <row r="35" spans="2:28" s="111" customFormat="1">
      <c r="B35" s="247" t="s">
        <v>112</v>
      </c>
      <c r="C35" s="248" t="s">
        <v>113</v>
      </c>
      <c r="D35" s="214"/>
      <c r="E35" s="249"/>
      <c r="F35" s="250"/>
      <c r="G35" s="249"/>
      <c r="H35" s="237"/>
      <c r="I35" s="249">
        <v>45971</v>
      </c>
      <c r="J35" s="250">
        <v>35</v>
      </c>
      <c r="K35" s="249">
        <f>WORKDAY.INTL(I35,J35,1,Data!$C$3:$C$41)</f>
        <v>46048</v>
      </c>
      <c r="M35" s="253">
        <v>1</v>
      </c>
      <c r="N35" s="253">
        <f t="shared" ca="1" si="3"/>
        <v>1</v>
      </c>
      <c r="O35" s="121"/>
      <c r="Q35" s="123"/>
      <c r="R35" s="120"/>
      <c r="S35" s="120"/>
      <c r="T35" s="120"/>
      <c r="U35" s="120"/>
      <c r="V35" s="120"/>
      <c r="W35" s="693"/>
      <c r="X35" s="120"/>
      <c r="Y35" s="120"/>
      <c r="Z35" s="120"/>
      <c r="AA35" s="120"/>
      <c r="AB35" s="120"/>
    </row>
    <row r="36" spans="2:28" s="111" customFormat="1">
      <c r="B36" s="247" t="s">
        <v>114</v>
      </c>
      <c r="C36" s="248" t="s">
        <v>115</v>
      </c>
      <c r="D36" s="214"/>
      <c r="E36" s="249"/>
      <c r="F36" s="250"/>
      <c r="G36" s="249"/>
      <c r="H36" s="237"/>
      <c r="I36" s="249">
        <v>45964</v>
      </c>
      <c r="J36" s="250">
        <v>35</v>
      </c>
      <c r="K36" s="249">
        <f>WORKDAY.INTL(I36,J36,1,Data!$C$3:$C$41)</f>
        <v>46041</v>
      </c>
      <c r="M36" s="253">
        <v>1</v>
      </c>
      <c r="N36" s="253">
        <f t="shared" ca="1" si="3"/>
        <v>1</v>
      </c>
      <c r="O36" s="121"/>
      <c r="Q36" s="123"/>
      <c r="R36" s="120"/>
      <c r="S36" s="120"/>
      <c r="T36" s="120"/>
      <c r="U36" s="120"/>
      <c r="V36" s="120"/>
      <c r="W36" s="693"/>
      <c r="X36" s="120"/>
      <c r="Y36" s="120"/>
      <c r="Z36" s="120"/>
      <c r="AA36" s="120"/>
      <c r="AB36" s="120"/>
    </row>
    <row r="37" spans="2:28" s="111" customFormat="1">
      <c r="B37" s="247" t="s">
        <v>116</v>
      </c>
      <c r="C37" s="248" t="s">
        <v>117</v>
      </c>
      <c r="D37" s="214"/>
      <c r="E37" s="249">
        <f>E32</f>
        <v>45868</v>
      </c>
      <c r="F37" s="250">
        <v>1</v>
      </c>
      <c r="G37" s="249">
        <f>WORKDAY.INTL(E37,F37,1,Data!$C$3:$C$41)</f>
        <v>45869</v>
      </c>
      <c r="H37" s="237"/>
      <c r="I37" s="249">
        <v>45869</v>
      </c>
      <c r="J37" s="250">
        <v>1</v>
      </c>
      <c r="K37" s="249">
        <f>WORKDAY.INTL(I37,J37,1,Data!$C$3:$C$41)</f>
        <v>45870</v>
      </c>
      <c r="M37" s="253">
        <v>1</v>
      </c>
      <c r="N37" s="253">
        <f t="shared" ca="1" si="3"/>
        <v>1</v>
      </c>
      <c r="O37" s="121"/>
      <c r="Q37" s="123"/>
      <c r="R37" s="120"/>
      <c r="S37" s="120"/>
      <c r="T37" s="120"/>
      <c r="U37" s="120"/>
      <c r="V37" s="120"/>
      <c r="W37" s="693"/>
      <c r="X37" s="120"/>
      <c r="Y37" s="120"/>
      <c r="Z37" s="120"/>
      <c r="AA37" s="120"/>
      <c r="AB37" s="120"/>
    </row>
    <row r="38" spans="2:28" hidden="1">
      <c r="B38" s="247"/>
      <c r="C38" s="242"/>
      <c r="D38" s="214"/>
      <c r="E38" s="252"/>
      <c r="F38" s="250"/>
      <c r="G38" s="252"/>
      <c r="H38" s="237"/>
      <c r="I38" s="252"/>
      <c r="J38" s="250"/>
      <c r="K38" s="252"/>
      <c r="M38" s="253"/>
      <c r="N38" s="253"/>
      <c r="O38" s="121"/>
      <c r="Y38" s="24"/>
    </row>
    <row r="39" spans="2:28" s="111" customFormat="1" ht="4.5" customHeight="1">
      <c r="B39" s="238"/>
      <c r="C39" s="214"/>
      <c r="D39" s="214"/>
      <c r="E39" s="239"/>
      <c r="F39" s="239"/>
      <c r="G39" s="240"/>
      <c r="H39" s="237"/>
      <c r="I39" s="239"/>
      <c r="J39" s="239"/>
      <c r="K39" s="240"/>
      <c r="Q39" s="3"/>
      <c r="W39" s="690"/>
    </row>
    <row r="40" spans="2:28" s="111" customFormat="1">
      <c r="B40" s="243">
        <v>5</v>
      </c>
      <c r="C40" s="244" t="s">
        <v>118</v>
      </c>
      <c r="D40" s="218"/>
      <c r="E40" s="245">
        <f>MIN(E41:E42)</f>
        <v>45945</v>
      </c>
      <c r="F40" s="246">
        <f>G40-E40</f>
        <v>21</v>
      </c>
      <c r="G40" s="245">
        <f>MAX(G41:G42)</f>
        <v>45966</v>
      </c>
      <c r="H40" s="219"/>
      <c r="I40" s="245">
        <f>MIN(I41:I42)</f>
        <v>45966</v>
      </c>
      <c r="J40" s="246">
        <f>K40-I40</f>
        <v>84</v>
      </c>
      <c r="K40" s="245">
        <f>MAX(K41:K42)</f>
        <v>46050</v>
      </c>
      <c r="L40" s="113"/>
      <c r="M40" s="360">
        <f>(J41*M41+J42*M42)/SUM(J41:J42)</f>
        <v>1</v>
      </c>
      <c r="N40" s="360">
        <f ca="1">(K41*N41+K42*N42)/SUM(K41:K42)</f>
        <v>1</v>
      </c>
      <c r="O40" s="121"/>
      <c r="Q40" s="123"/>
      <c r="R40" s="120"/>
      <c r="S40" s="120"/>
      <c r="T40" s="120"/>
      <c r="U40" s="120"/>
      <c r="V40" s="120"/>
      <c r="W40" s="693"/>
      <c r="X40" s="120"/>
      <c r="Y40" s="120"/>
      <c r="Z40" s="120"/>
      <c r="AA40" s="120"/>
      <c r="AB40" s="120"/>
    </row>
    <row r="41" spans="2:28" s="111" customFormat="1">
      <c r="B41" s="247" t="s">
        <v>119</v>
      </c>
      <c r="C41" s="248" t="s">
        <v>120</v>
      </c>
      <c r="D41" s="214"/>
      <c r="E41" s="252">
        <f>WORKDAY.INTL(E33,0,1,Data!$C$3:$C$41)+7</f>
        <v>45947</v>
      </c>
      <c r="F41" s="250">
        <v>1</v>
      </c>
      <c r="G41" s="249">
        <f>WORKDAY.INTL(E41,F41,1,Data!$C$3:$C$41)</f>
        <v>45950</v>
      </c>
      <c r="H41" s="237"/>
      <c r="I41" s="252">
        <f>I36+2</f>
        <v>45966</v>
      </c>
      <c r="J41" s="250">
        <v>1</v>
      </c>
      <c r="K41" s="249">
        <f>WORKDAY.INTL(I41,J41,1,Data!$C$3:$C$41)</f>
        <v>45967</v>
      </c>
      <c r="M41" s="253">
        <v>1</v>
      </c>
      <c r="N41" s="253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1"/>
      <c r="Q41" s="123"/>
      <c r="R41" s="120"/>
      <c r="S41" s="120"/>
      <c r="T41" s="120"/>
      <c r="U41" s="120"/>
      <c r="V41" s="120"/>
      <c r="W41" s="693"/>
      <c r="X41" s="120"/>
      <c r="Y41" s="120"/>
      <c r="Z41" s="120"/>
      <c r="AA41" s="120"/>
      <c r="AB41" s="120"/>
    </row>
    <row r="42" spans="2:28" s="111" customFormat="1">
      <c r="B42" s="247" t="s">
        <v>121</v>
      </c>
      <c r="C42" s="248" t="s">
        <v>122</v>
      </c>
      <c r="D42" s="214"/>
      <c r="E42" s="252">
        <f>E33+5</f>
        <v>45945</v>
      </c>
      <c r="F42" s="250">
        <v>15</v>
      </c>
      <c r="G42" s="249">
        <f>WORKDAY.INTL(E42,F42,1,Data!$C$3:$C$41)</f>
        <v>45966</v>
      </c>
      <c r="H42" s="237"/>
      <c r="I42" s="252">
        <f>K41</f>
        <v>45967</v>
      </c>
      <c r="J42" s="250">
        <v>39</v>
      </c>
      <c r="K42" s="249">
        <f>WORKDAY.INTL(I42,J42,1,Data!$C$3:$C$41)</f>
        <v>46050</v>
      </c>
      <c r="M42" s="253">
        <v>1</v>
      </c>
      <c r="N42" s="253">
        <f t="shared" ca="1" si="4"/>
        <v>1</v>
      </c>
      <c r="O42" s="121"/>
      <c r="Q42" s="123"/>
      <c r="R42" s="120"/>
      <c r="S42" s="120"/>
      <c r="T42" s="120"/>
      <c r="U42" s="120"/>
      <c r="V42" s="120"/>
      <c r="W42" s="693"/>
      <c r="X42" s="120"/>
      <c r="Y42" s="120"/>
      <c r="Z42" s="120"/>
      <c r="AA42" s="120"/>
      <c r="AB42" s="120"/>
    </row>
    <row r="43" spans="2:28" s="111" customFormat="1" ht="4.5" customHeight="1">
      <c r="B43" s="238"/>
      <c r="C43" s="214"/>
      <c r="D43" s="214"/>
      <c r="E43" s="239"/>
      <c r="F43" s="239"/>
      <c r="G43" s="240"/>
      <c r="H43" s="237"/>
      <c r="I43" s="239"/>
      <c r="J43" s="239"/>
      <c r="K43" s="240"/>
      <c r="Q43" s="3"/>
      <c r="W43" s="690"/>
    </row>
    <row r="44" spans="2:28" s="111" customFormat="1">
      <c r="B44" s="243">
        <v>6</v>
      </c>
      <c r="C44" s="244" t="s">
        <v>123</v>
      </c>
      <c r="D44" s="218"/>
      <c r="E44" s="245">
        <f>MIN(E45:E46)</f>
        <v>45966</v>
      </c>
      <c r="F44" s="246">
        <f>G44-E44</f>
        <v>2</v>
      </c>
      <c r="G44" s="245">
        <f>MAX(G45:G46)</f>
        <v>45968</v>
      </c>
      <c r="H44" s="219"/>
      <c r="I44" s="245">
        <f>MIN(I45:I46)</f>
        <v>46072</v>
      </c>
      <c r="J44" s="246">
        <f>K44-I44</f>
        <v>1</v>
      </c>
      <c r="K44" s="245">
        <f>MAX(K45:K46)</f>
        <v>46073</v>
      </c>
      <c r="L44" s="113"/>
      <c r="M44" s="360">
        <f>(J45*M45+J46*M46)/SUM(J45:J46)</f>
        <v>1</v>
      </c>
      <c r="N44" s="360">
        <f ca="1">(K45*N45+K46*N46)/SUM(K45:K46)</f>
        <v>1</v>
      </c>
      <c r="O44" s="121"/>
      <c r="Q44" s="123"/>
      <c r="R44" s="120"/>
      <c r="S44" s="120"/>
      <c r="T44" s="120"/>
      <c r="U44" s="120"/>
      <c r="V44" s="120"/>
      <c r="W44" s="693"/>
      <c r="X44" s="120"/>
      <c r="Y44" s="120"/>
      <c r="Z44" s="120"/>
      <c r="AA44" s="120"/>
      <c r="AB44" s="120"/>
    </row>
    <row r="45" spans="2:28">
      <c r="B45" s="247" t="s">
        <v>124</v>
      </c>
      <c r="C45" s="242" t="s">
        <v>123</v>
      </c>
      <c r="D45" s="214"/>
      <c r="E45" s="252">
        <f>WORKDAY.INTL(MAX(G23,G30,G40),0,1,Data!$C$3:$C$41)</f>
        <v>45966</v>
      </c>
      <c r="F45" s="250">
        <v>1</v>
      </c>
      <c r="G45" s="252">
        <f>WORKDAY.INTL(E45,F45,1,Data!$C$3:$C$41)</f>
        <v>45967</v>
      </c>
      <c r="H45" s="237"/>
      <c r="I45" s="252">
        <v>46072</v>
      </c>
      <c r="J45" s="250">
        <v>1</v>
      </c>
      <c r="K45" s="252">
        <f>WORKDAY.INTL(I45,J45,1,Data!$C$3:$C$41)</f>
        <v>46073</v>
      </c>
      <c r="M45" s="253">
        <v>1</v>
      </c>
      <c r="N45" s="253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121"/>
      <c r="Y45" s="24"/>
    </row>
    <row r="46" spans="2:28">
      <c r="B46" s="247" t="s">
        <v>125</v>
      </c>
      <c r="C46" s="242" t="s">
        <v>126</v>
      </c>
      <c r="D46" s="214"/>
      <c r="E46" s="252">
        <f>WORKDAY.INTL(G45,0,1,Data!$C$3:$C$41)</f>
        <v>45967</v>
      </c>
      <c r="F46" s="250">
        <v>1</v>
      </c>
      <c r="G46" s="252">
        <f>WORKDAY.INTL(E46,F46,1,Data!$C$3:$C$41)</f>
        <v>45968</v>
      </c>
      <c r="H46" s="237"/>
      <c r="I46" s="252">
        <v>46072</v>
      </c>
      <c r="J46" s="250">
        <v>1</v>
      </c>
      <c r="K46" s="252">
        <f>WORKDAY.INTL(I46,J46,1,Data!$C$3:$C$41)</f>
        <v>46073</v>
      </c>
      <c r="M46" s="253">
        <v>1</v>
      </c>
      <c r="N46" s="253">
        <f t="shared" ca="1" si="5"/>
        <v>1</v>
      </c>
      <c r="O46" s="121"/>
      <c r="Y46" s="24"/>
    </row>
    <row r="47" spans="2:28" s="111" customFormat="1" ht="4.5" customHeight="1">
      <c r="B47" s="238"/>
      <c r="C47" s="214"/>
      <c r="D47" s="214"/>
      <c r="E47" s="239"/>
      <c r="F47" s="239"/>
      <c r="G47" s="240"/>
      <c r="H47" s="237"/>
      <c r="I47" s="239"/>
      <c r="J47" s="239"/>
      <c r="K47" s="240"/>
      <c r="Q47" s="3"/>
      <c r="W47" s="690"/>
    </row>
    <row r="48" spans="2:28" s="111" customFormat="1">
      <c r="B48" s="243">
        <v>7</v>
      </c>
      <c r="C48" s="244" t="s">
        <v>127</v>
      </c>
      <c r="D48" s="218"/>
      <c r="E48" s="245">
        <f>MIN(E49)</f>
        <v>45968</v>
      </c>
      <c r="F48" s="246">
        <f>G48-E48</f>
        <v>3</v>
      </c>
      <c r="G48" s="245">
        <f>MAX(G49)</f>
        <v>45971</v>
      </c>
      <c r="H48" s="219"/>
      <c r="I48" s="245">
        <f>MIN(I49)</f>
        <v>46077</v>
      </c>
      <c r="J48" s="246">
        <f>K48-I48</f>
        <v>1</v>
      </c>
      <c r="K48" s="245">
        <f>MAX(K49)</f>
        <v>46078</v>
      </c>
      <c r="L48" s="113"/>
      <c r="M48" s="360">
        <f>(J49*M49)/SUM(J49)</f>
        <v>0</v>
      </c>
      <c r="N48" s="360">
        <f ca="1">(K49*N49)/SUM(K49)</f>
        <v>1</v>
      </c>
      <c r="O48" s="121"/>
      <c r="Q48" s="123"/>
      <c r="R48" s="120"/>
      <c r="S48" s="120"/>
      <c r="T48" s="120"/>
      <c r="U48" s="120"/>
      <c r="V48" s="120"/>
      <c r="W48" s="693"/>
      <c r="X48" s="120"/>
      <c r="Y48" s="120"/>
      <c r="Z48" s="120"/>
      <c r="AA48" s="120"/>
      <c r="AB48" s="120"/>
    </row>
    <row r="49" spans="2:28">
      <c r="B49" s="247">
        <v>7.1</v>
      </c>
      <c r="C49" s="242" t="s">
        <v>128</v>
      </c>
      <c r="D49" s="214"/>
      <c r="E49" s="252">
        <f>WORKDAY.INTL(G46,0,1,Data!$C$3:$C$41)</f>
        <v>45968</v>
      </c>
      <c r="F49" s="250">
        <v>1</v>
      </c>
      <c r="G49" s="252">
        <f>WORKDAY.INTL(E49,F49,1,Data!$C$3:$C$41)</f>
        <v>45971</v>
      </c>
      <c r="H49" s="237"/>
      <c r="I49" s="252">
        <v>46077</v>
      </c>
      <c r="J49" s="250">
        <v>1</v>
      </c>
      <c r="K49" s="252">
        <f>WORKDAY.INTL(I49,J49,1,Data!$C$3:$C$41)</f>
        <v>46078</v>
      </c>
      <c r="M49" s="253">
        <v>0</v>
      </c>
      <c r="N49" s="253">
        <f ca="1">_xlfn.LET(
  _xlpm.s,VALUE($I49),
  _xlpm.e,VALUE($K49),
  IF(OR(_xlpm.s="",_xlpm.e=""),"", IF(_xlpm.e&lt;=_xlpm.s, IF(TODAY()&gt;=_xlpm.e,1,0), MAX(0,MIN(1,(TODAY()-_xlpm.s)/(_xlpm.e-_xlpm.s)))))
)</f>
        <v>1</v>
      </c>
      <c r="O49" s="121"/>
      <c r="Y49" s="24"/>
    </row>
    <row r="50" spans="2:28" s="111" customFormat="1" ht="4.5" customHeight="1">
      <c r="B50" s="238"/>
      <c r="C50" s="214"/>
      <c r="D50" s="214"/>
      <c r="E50" s="239"/>
      <c r="F50" s="239"/>
      <c r="G50" s="240"/>
      <c r="H50" s="237"/>
      <c r="I50" s="239"/>
      <c r="J50" s="239"/>
      <c r="K50" s="240"/>
      <c r="Q50" s="3"/>
      <c r="W50" s="690"/>
    </row>
    <row r="51" spans="2:28" s="111" customFormat="1">
      <c r="B51" s="243">
        <v>8</v>
      </c>
      <c r="C51" s="244" t="s">
        <v>129</v>
      </c>
      <c r="D51" s="218"/>
      <c r="E51" s="245">
        <f>MIN(E52:E57)</f>
        <v>45968</v>
      </c>
      <c r="F51" s="246">
        <f>G51-E51</f>
        <v>17</v>
      </c>
      <c r="G51" s="245">
        <f>MAX(G52:G57)</f>
        <v>45985</v>
      </c>
      <c r="H51" s="219"/>
      <c r="I51" s="245">
        <f>MIN(I52:I57)</f>
        <v>46073</v>
      </c>
      <c r="J51" s="246">
        <f>K51-I51</f>
        <v>21</v>
      </c>
      <c r="K51" s="245">
        <f>MAX(K52:K57)</f>
        <v>46094</v>
      </c>
      <c r="L51" s="113"/>
      <c r="M51" s="360">
        <f>(J52*M52+J53*M53+J54*M54+J55*M55+J56*M56+J57*M57)/SUM(J52:J57)</f>
        <v>0.31</v>
      </c>
      <c r="N51" s="360">
        <f ca="1">(K52*N52+K53*N53+K54*N54+K55*N55+K56*N56+K57*N57)/SUM(K52:K57)</f>
        <v>0.57732954745062548</v>
      </c>
      <c r="O51" s="121"/>
      <c r="Q51" s="123"/>
      <c r="R51" s="120"/>
      <c r="S51" s="120"/>
      <c r="T51" s="120"/>
      <c r="U51" s="120"/>
      <c r="V51" s="120"/>
      <c r="W51" s="693"/>
      <c r="X51" s="120"/>
      <c r="Y51" s="120"/>
      <c r="Z51" s="120"/>
      <c r="AA51" s="120"/>
      <c r="AB51" s="120"/>
    </row>
    <row r="52" spans="2:28">
      <c r="B52" s="247">
        <v>8.1</v>
      </c>
      <c r="C52" s="242" t="s">
        <v>130</v>
      </c>
      <c r="D52" s="214"/>
      <c r="E52" s="252">
        <f>G49</f>
        <v>45971</v>
      </c>
      <c r="F52" s="250">
        <v>2</v>
      </c>
      <c r="G52" s="252">
        <f>WORKDAY.INTL(E52,F52,1,Data!$C$3:$C$41)</f>
        <v>45973</v>
      </c>
      <c r="H52" s="237"/>
      <c r="I52" s="252">
        <f>K49</f>
        <v>46078</v>
      </c>
      <c r="J52" s="250">
        <v>2</v>
      </c>
      <c r="K52" s="252">
        <f>WORKDAY.INTL(I52,J52,1,Data!$C$3:$C$41)</f>
        <v>46080</v>
      </c>
      <c r="M52" s="253">
        <v>0.6</v>
      </c>
      <c r="N52" s="253">
        <f t="shared" ref="N52:N57" ca="1" si="6">_xlfn.LET(
  _xlpm.s,VALUE($I52),
  _xlpm.e,VALUE($K52),
  IF(OR(_xlpm.s="",_xlpm.e=""),"", IF(_xlpm.e&lt;=_xlpm.s, IF(TODAY()&gt;=_xlpm.e,1,0), MAX(0,MIN(1,(TODAY()-_xlpm.s)/(_xlpm.e-_xlpm.s)))))
)</f>
        <v>1</v>
      </c>
      <c r="O52" s="121"/>
      <c r="Y52" s="24"/>
    </row>
    <row r="53" spans="2:28">
      <c r="B53" s="247">
        <v>8.1999999999999993</v>
      </c>
      <c r="C53" s="242" t="s">
        <v>131</v>
      </c>
      <c r="D53" s="214"/>
      <c r="E53" s="252">
        <f>G49</f>
        <v>45971</v>
      </c>
      <c r="F53" s="250">
        <v>4</v>
      </c>
      <c r="G53" s="252">
        <f>WORKDAY.INTL(E53,F53,1,Data!$C$3:$C$41)</f>
        <v>45975</v>
      </c>
      <c r="H53" s="237"/>
      <c r="I53" s="252">
        <v>46080</v>
      </c>
      <c r="J53" s="250">
        <v>2</v>
      </c>
      <c r="K53" s="252">
        <f>WORKDAY.INTL(I53,J53,1,Data!$C$3:$C$41)</f>
        <v>46084</v>
      </c>
      <c r="M53" s="253">
        <v>0</v>
      </c>
      <c r="N53" s="253">
        <f t="shared" ca="1" si="6"/>
        <v>0.75</v>
      </c>
      <c r="O53" s="121"/>
      <c r="Y53" s="24"/>
    </row>
    <row r="54" spans="2:28">
      <c r="B54" s="247">
        <v>8.3000000000000007</v>
      </c>
      <c r="C54" s="242" t="s">
        <v>132</v>
      </c>
      <c r="D54" s="214"/>
      <c r="E54" s="252">
        <f>WORKDAY.INTL(G46,0,1,Data!$C$3:$C$41)</f>
        <v>45968</v>
      </c>
      <c r="F54" s="250">
        <v>5</v>
      </c>
      <c r="G54" s="252">
        <f>WORKDAY.INTL(E54,F54,1,Data!$C$3:$C$41)</f>
        <v>45975</v>
      </c>
      <c r="H54" s="237"/>
      <c r="I54" s="252">
        <f>WORKDAY.INTL(K46,0,1,Data!$C$3:$C$41)</f>
        <v>46073</v>
      </c>
      <c r="J54" s="250">
        <v>5</v>
      </c>
      <c r="K54" s="252">
        <f>WORKDAY.INTL(I54,J54,1,Data!$C$3:$C$41)</f>
        <v>46080</v>
      </c>
      <c r="M54" s="253">
        <v>0.8</v>
      </c>
      <c r="N54" s="253">
        <f t="shared" ca="1" si="6"/>
        <v>1</v>
      </c>
      <c r="O54" s="121"/>
      <c r="Y54" s="24"/>
    </row>
    <row r="55" spans="2:28">
      <c r="B55" s="247">
        <v>8.4</v>
      </c>
      <c r="C55" s="242" t="s">
        <v>133</v>
      </c>
      <c r="D55" s="214"/>
      <c r="E55" s="252">
        <f>WORKDAY.INTL(G54,0,1,Data!$C$3:$C$41)</f>
        <v>45975</v>
      </c>
      <c r="F55" s="250">
        <v>5</v>
      </c>
      <c r="G55" s="252">
        <f>WORKDAY.INTL(E55,F55,1,Data!$C$3:$C$41)</f>
        <v>45982</v>
      </c>
      <c r="H55" s="237"/>
      <c r="I55" s="252">
        <v>46078</v>
      </c>
      <c r="J55" s="250">
        <v>5</v>
      </c>
      <c r="K55" s="252">
        <f>WORKDAY.INTL(I55,J55,1,Data!$C$3:$C$41)</f>
        <v>46085</v>
      </c>
      <c r="M55" s="253">
        <v>0.2</v>
      </c>
      <c r="N55" s="253">
        <f t="shared" ca="1" si="6"/>
        <v>0.7142857142857143</v>
      </c>
      <c r="O55" s="121"/>
      <c r="Y55" s="24"/>
    </row>
    <row r="56" spans="2:28">
      <c r="B56" s="247">
        <v>8.5</v>
      </c>
      <c r="C56" s="242" t="s">
        <v>134</v>
      </c>
      <c r="D56" s="214"/>
      <c r="E56" s="252">
        <f>WORKDAY.INTL(G55,0,1,Data!$C$3:$C$41)</f>
        <v>45982</v>
      </c>
      <c r="F56" s="250">
        <v>1</v>
      </c>
      <c r="G56" s="252">
        <f>WORKDAY.INTL(E56,F56,1,Data!$C$3:$C$41)</f>
        <v>45985</v>
      </c>
      <c r="H56" s="237"/>
      <c r="I56" s="252">
        <v>46093</v>
      </c>
      <c r="J56" s="250">
        <v>1</v>
      </c>
      <c r="K56" s="252">
        <f>WORKDAY.INTL(I56,J56,1,Data!$C$3:$C$41)</f>
        <v>46094</v>
      </c>
      <c r="M56" s="253">
        <v>0</v>
      </c>
      <c r="N56" s="253">
        <f t="shared" ca="1" si="6"/>
        <v>0</v>
      </c>
      <c r="O56" s="121"/>
      <c r="Y56" s="24"/>
    </row>
    <row r="57" spans="2:28">
      <c r="B57" s="247">
        <v>8.6</v>
      </c>
      <c r="C57" s="242" t="s">
        <v>135</v>
      </c>
      <c r="D57" s="214"/>
      <c r="E57" s="252">
        <f>WORKDAY.INTL(G53,0,1,Data!$C$3:$C$41)+2</f>
        <v>45977</v>
      </c>
      <c r="F57" s="250">
        <v>5</v>
      </c>
      <c r="G57" s="252">
        <f>WORKDAY.INTL(E57,F57,1,Data!$C$3:$C$41)</f>
        <v>45982</v>
      </c>
      <c r="H57" s="237"/>
      <c r="I57" s="252">
        <f>WORKDAY.INTL(K53,0,1,Data!$C$3:$C$41)+2</f>
        <v>46086</v>
      </c>
      <c r="J57" s="250">
        <v>5</v>
      </c>
      <c r="K57" s="252">
        <f>WORKDAY.INTL(I57,J57,1,Data!$C$3:$C$41)</f>
        <v>46093</v>
      </c>
      <c r="M57" s="253">
        <v>0</v>
      </c>
      <c r="N57" s="253">
        <f t="shared" ca="1" si="6"/>
        <v>0</v>
      </c>
      <c r="O57" s="121"/>
      <c r="Y57" s="24"/>
    </row>
    <row r="58" spans="2:28" s="111" customFormat="1" ht="4.5" customHeight="1">
      <c r="B58" s="238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Q58" s="123"/>
      <c r="R58" s="120"/>
      <c r="S58" s="120"/>
      <c r="T58" s="120"/>
      <c r="U58" s="120"/>
      <c r="V58" s="120"/>
      <c r="W58" s="693"/>
      <c r="X58" s="120"/>
      <c r="Y58" s="120"/>
      <c r="Z58" s="120"/>
      <c r="AA58" s="120"/>
      <c r="AB58" s="120"/>
    </row>
    <row r="59" spans="2:28" s="3" customFormat="1">
      <c r="B59" s="168"/>
      <c r="E59" s="169"/>
      <c r="F59" s="108"/>
      <c r="J59" s="108"/>
      <c r="W59" s="694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  <c r="U62" s="695" t="str">
        <f>C11</f>
        <v>Project Initiation</v>
      </c>
      <c r="V62" s="696">
        <f>I11</f>
        <v>45756</v>
      </c>
      <c r="W62" s="697">
        <f t="shared" ref="W62:X62" si="7">J11</f>
        <v>111</v>
      </c>
      <c r="X62" s="696">
        <f t="shared" si="7"/>
        <v>45867</v>
      </c>
    </row>
    <row r="63" spans="2:28">
      <c r="B63" s="166"/>
      <c r="C63" s="111"/>
      <c r="E63" s="111"/>
      <c r="G63" s="112"/>
      <c r="U63" s="695" t="str">
        <f>C18</f>
        <v>Site Establishment</v>
      </c>
      <c r="V63" s="696">
        <f>I18</f>
        <v>45867</v>
      </c>
      <c r="W63" s="697">
        <f t="shared" ref="W63:X63" si="8">J18</f>
        <v>1</v>
      </c>
      <c r="X63" s="696">
        <f t="shared" si="8"/>
        <v>45868</v>
      </c>
    </row>
    <row r="64" spans="2:28">
      <c r="B64" s="166"/>
      <c r="C64" s="111"/>
      <c r="E64" s="111"/>
      <c r="G64" s="112"/>
      <c r="U64" s="695" t="str">
        <f>C23</f>
        <v>AC Installation</v>
      </c>
      <c r="V64" s="696">
        <f>I23</f>
        <v>45860</v>
      </c>
      <c r="W64" s="697">
        <f t="shared" ref="W64:X64" si="9">J23</f>
        <v>134</v>
      </c>
      <c r="X64" s="696">
        <f t="shared" si="9"/>
        <v>45994</v>
      </c>
    </row>
    <row r="65" spans="2:24">
      <c r="B65" s="166"/>
      <c r="C65" s="111"/>
      <c r="E65" s="111"/>
      <c r="G65" s="112"/>
      <c r="U65" s="695" t="str">
        <f>C30</f>
        <v>DC Works</v>
      </c>
      <c r="V65" s="696">
        <f>I30</f>
        <v>45869</v>
      </c>
      <c r="W65" s="697">
        <f t="shared" ref="W65:X65" si="10">J30</f>
        <v>202</v>
      </c>
      <c r="X65" s="696">
        <f t="shared" si="10"/>
        <v>46071</v>
      </c>
    </row>
    <row r="66" spans="2:24">
      <c r="B66" s="166"/>
      <c r="C66" s="111"/>
      <c r="E66" s="111"/>
      <c r="G66" s="112"/>
      <c r="U66" s="695" t="str">
        <f>C40</f>
        <v>Module installation</v>
      </c>
      <c r="V66" s="696">
        <f>I40</f>
        <v>45966</v>
      </c>
      <c r="W66" s="697">
        <f t="shared" ref="W66:X66" si="11">J40</f>
        <v>84</v>
      </c>
      <c r="X66" s="696">
        <f t="shared" si="11"/>
        <v>46050</v>
      </c>
    </row>
    <row r="67" spans="2:24">
      <c r="B67" s="166"/>
      <c r="C67" s="111"/>
      <c r="E67" s="111"/>
      <c r="G67" s="112"/>
      <c r="U67" s="695" t="str">
        <f>C44</f>
        <v>Commissioning</v>
      </c>
      <c r="V67" s="696">
        <f>I44</f>
        <v>46072</v>
      </c>
      <c r="W67" s="697">
        <f t="shared" ref="W67:X67" si="12">J44</f>
        <v>1</v>
      </c>
      <c r="X67" s="696">
        <f t="shared" si="12"/>
        <v>46073</v>
      </c>
    </row>
    <row r="68" spans="2:24">
      <c r="B68" s="166"/>
      <c r="C68" s="111"/>
      <c r="E68" s="111"/>
      <c r="G68" s="112"/>
      <c r="U68" s="698" t="str">
        <f>C48</f>
        <v>QA Inspections</v>
      </c>
      <c r="V68" s="696">
        <f>I48</f>
        <v>46077</v>
      </c>
      <c r="W68" s="697">
        <f t="shared" ref="W68:X68" si="13">J48</f>
        <v>1</v>
      </c>
      <c r="X68" s="696">
        <f t="shared" si="13"/>
        <v>46078</v>
      </c>
    </row>
    <row r="69" spans="2:24">
      <c r="B69" s="166"/>
      <c r="C69" s="111"/>
      <c r="E69" s="111"/>
      <c r="G69" s="112"/>
      <c r="U69" s="695" t="str">
        <f>C51</f>
        <v>Project Closure</v>
      </c>
      <c r="V69" s="696">
        <f>I51</f>
        <v>46073</v>
      </c>
      <c r="W69" s="697">
        <f t="shared" ref="W69:X69" si="14">J51</f>
        <v>21</v>
      </c>
      <c r="X69" s="696">
        <f t="shared" si="14"/>
        <v>46094</v>
      </c>
    </row>
    <row r="70" spans="2:24">
      <c r="B70" s="166"/>
      <c r="C70" s="111"/>
      <c r="E70" s="111"/>
      <c r="G70" s="112"/>
    </row>
    <row r="71" spans="2:24">
      <c r="B71" s="166"/>
      <c r="C71" s="111"/>
      <c r="E71" s="111"/>
      <c r="G71" s="112"/>
    </row>
    <row r="72" spans="2:24">
      <c r="B72" s="166"/>
      <c r="C72" s="111"/>
      <c r="E72" s="111"/>
      <c r="G72" s="112"/>
    </row>
    <row r="73" spans="2:24">
      <c r="B73" s="166"/>
      <c r="C73" s="111"/>
      <c r="E73" s="111"/>
      <c r="G73" s="112"/>
    </row>
    <row r="74" spans="2:24">
      <c r="B74" s="166"/>
      <c r="C74" s="111"/>
      <c r="E74" s="111"/>
      <c r="G74" s="112"/>
    </row>
    <row r="75" spans="2:24">
      <c r="B75" s="166"/>
      <c r="C75" s="111"/>
      <c r="E75" s="111"/>
      <c r="G75" s="112"/>
    </row>
    <row r="76" spans="2:24">
      <c r="B76" s="166"/>
      <c r="C76" s="111"/>
      <c r="E76" s="111"/>
      <c r="G76" s="112"/>
    </row>
    <row r="77" spans="2:24">
      <c r="B77" s="166"/>
      <c r="C77" s="111"/>
      <c r="E77" s="111"/>
      <c r="G77" s="112"/>
    </row>
    <row r="78" spans="2:24">
      <c r="B78" s="166"/>
      <c r="C78" s="111"/>
      <c r="E78" s="111"/>
      <c r="G78" s="112"/>
    </row>
    <row r="79" spans="2:24">
      <c r="B79" s="166"/>
      <c r="C79" s="111"/>
      <c r="E79" s="111"/>
      <c r="G79" s="112"/>
    </row>
    <row r="80" spans="2:24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  <row r="222" spans="2:7">
      <c r="B222" s="166"/>
      <c r="C222" s="111"/>
      <c r="E222" s="111"/>
      <c r="G222" s="112"/>
    </row>
    <row r="223" spans="2:7">
      <c r="B223" s="166"/>
      <c r="C223" s="111"/>
      <c r="E223" s="111"/>
      <c r="G223" s="112"/>
    </row>
    <row r="224" spans="2:7">
      <c r="B224" s="166"/>
      <c r="C224" s="111"/>
      <c r="E224" s="111"/>
      <c r="G224" s="112"/>
    </row>
    <row r="225" spans="2:7">
      <c r="B225" s="166"/>
      <c r="C225" s="111"/>
      <c r="E225" s="111"/>
      <c r="G225" s="112"/>
    </row>
    <row r="226" spans="2:7">
      <c r="B226" s="166"/>
      <c r="C226" s="111"/>
      <c r="E226" s="111"/>
      <c r="G226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O8:P57 M1:P7" name="Range1"/>
    <protectedRange algorithmName="SHA-512" hashValue="0fHuZEaiYGK5sqlV/38Hfc0T7yH0tOTbdy5iYtX6c3lYp4VF2ar7IMEIVGfLLUnhvJzWsmOZSDZnUiLySCBxdg==" saltValue="oeJbzSFL5Q9rgT2MjiMjew==" spinCount="100000" sqref="M8:N57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41:N42 M24:N28 M52:N57 M49:N49 M45:N46 M12:N16 M19:N21 M31:N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72BF-3E61-481D-9905-1AB388354E31}">
  <sheetPr codeName="Sheet8"/>
  <dimension ref="B1:J28"/>
  <sheetViews>
    <sheetView showGridLines="0" zoomScaleNormal="100" workbookViewId="0">
      <selection activeCell="B14" sqref="B14"/>
    </sheetView>
  </sheetViews>
  <sheetFormatPr defaultColWidth="9.44140625" defaultRowHeight="14.4"/>
  <cols>
    <col min="1" max="1" width="7" customWidth="1"/>
    <col min="2" max="2" width="37.5546875" customWidth="1"/>
    <col min="3" max="3" width="9.44140625" bestFit="1" customWidth="1"/>
    <col min="4" max="4" width="12" bestFit="1" customWidth="1"/>
    <col min="5" max="5" width="10" customWidth="1"/>
    <col min="6" max="6" width="34" customWidth="1"/>
  </cols>
  <sheetData>
    <row r="1" spans="2:10" ht="15" thickBot="1"/>
    <row r="2" spans="2:10" ht="15.6" thickTop="1" thickBot="1">
      <c r="B2" s="800" t="s">
        <v>83</v>
      </c>
      <c r="C2" s="801"/>
      <c r="D2" s="801"/>
      <c r="E2" s="801"/>
      <c r="F2" s="802"/>
      <c r="G2" s="77"/>
      <c r="H2" s="77"/>
      <c r="I2" s="77"/>
      <c r="J2" s="77"/>
    </row>
    <row r="3" spans="2:10" ht="6.75" customHeight="1" thickTop="1"/>
    <row r="4" spans="2:10">
      <c r="B4" s="72" t="s">
        <v>136</v>
      </c>
      <c r="C4" s="78" t="s">
        <v>74</v>
      </c>
      <c r="D4" s="78" t="s">
        <v>137</v>
      </c>
      <c r="E4" s="78" t="s">
        <v>138</v>
      </c>
      <c r="F4" s="78" t="s">
        <v>139</v>
      </c>
    </row>
    <row r="5" spans="2:10">
      <c r="B5" s="74" t="s">
        <v>140</v>
      </c>
      <c r="C5" s="76"/>
      <c r="D5" s="76"/>
      <c r="E5" s="76"/>
      <c r="F5" s="71"/>
    </row>
    <row r="6" spans="2:10">
      <c r="B6" s="74" t="s">
        <v>141</v>
      </c>
      <c r="C6" s="76"/>
      <c r="D6" s="76"/>
      <c r="E6" s="76"/>
      <c r="F6" s="71"/>
    </row>
    <row r="7" spans="2:10">
      <c r="B7" s="74" t="s">
        <v>142</v>
      </c>
      <c r="C7" s="76"/>
      <c r="D7" s="76"/>
      <c r="E7" s="76"/>
      <c r="F7" s="71"/>
    </row>
    <row r="8" spans="2:10">
      <c r="B8" s="74" t="s">
        <v>143</v>
      </c>
      <c r="C8" s="76"/>
      <c r="D8" s="76"/>
      <c r="E8" s="76"/>
      <c r="F8" s="71"/>
    </row>
    <row r="9" spans="2:10">
      <c r="B9" s="75" t="s">
        <v>144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00" t="s">
        <v>145</v>
      </c>
      <c r="C16" s="801"/>
      <c r="D16" s="801"/>
      <c r="E16" s="801"/>
      <c r="F16" s="802"/>
    </row>
    <row r="17" spans="2:6" ht="15" thickTop="1"/>
    <row r="18" spans="2:6">
      <c r="B18" s="72" t="s">
        <v>136</v>
      </c>
      <c r="C18" s="78" t="s">
        <v>74</v>
      </c>
      <c r="D18" s="78" t="s">
        <v>137</v>
      </c>
      <c r="E18" s="78" t="s">
        <v>138</v>
      </c>
      <c r="F18" s="78" t="s">
        <v>139</v>
      </c>
    </row>
    <row r="19" spans="2:6">
      <c r="B19" s="74" t="s">
        <v>146</v>
      </c>
      <c r="C19" s="76"/>
      <c r="D19" s="76"/>
      <c r="E19" s="76"/>
      <c r="F19" s="71"/>
    </row>
    <row r="20" spans="2:6">
      <c r="B20" s="74" t="s">
        <v>147</v>
      </c>
      <c r="C20" s="76"/>
      <c r="D20" s="76"/>
      <c r="E20" s="76"/>
      <c r="F20" s="71"/>
    </row>
    <row r="21" spans="2:6">
      <c r="B21" s="74" t="s">
        <v>148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N31" sqref="N31"/>
    </sheetView>
  </sheetViews>
  <sheetFormatPr defaultColWidth="8.44140625" defaultRowHeight="14.4"/>
  <cols>
    <col min="1" max="1" width="5.5546875" style="92" customWidth="1"/>
    <col min="2" max="2" width="5.5546875" style="129" customWidth="1"/>
    <col min="3" max="4" width="23" style="128" customWidth="1"/>
    <col min="5" max="5" width="6.5546875" style="128" customWidth="1"/>
    <col min="6" max="6" width="16" style="128" customWidth="1"/>
    <col min="7" max="7" width="12" style="128" bestFit="1" customWidth="1"/>
    <col min="8" max="8" width="25" style="128" bestFit="1" customWidth="1"/>
    <col min="9" max="9" width="1.44140625" style="128" customWidth="1"/>
    <col min="10" max="10" width="3" style="92" customWidth="1"/>
    <col min="11" max="11" width="1.44140625" style="174" customWidth="1"/>
    <col min="12" max="12" width="29.44140625" style="92" customWidth="1"/>
    <col min="13" max="13" width="1.44140625" style="128" customWidth="1"/>
    <col min="14" max="14" width="29.44140625" style="128" customWidth="1"/>
    <col min="15" max="15" width="1.44140625" style="92" customWidth="1"/>
    <col min="16" max="16" width="19" style="128" bestFit="1" customWidth="1"/>
    <col min="17" max="17" width="15" style="128" bestFit="1" customWidth="1"/>
    <col min="18" max="18" width="20.44140625" style="128" customWidth="1"/>
    <col min="19" max="19" width="16" style="92" bestFit="1" customWidth="1"/>
    <col min="20" max="20" width="19" style="128" bestFit="1" customWidth="1"/>
    <col min="21" max="21" width="15" style="92" bestFit="1" customWidth="1"/>
    <col min="22" max="23" width="8.44140625" style="92"/>
    <col min="24" max="24" width="5.5546875" style="92" bestFit="1" customWidth="1"/>
    <col min="25" max="25" width="14" style="92" bestFit="1" customWidth="1"/>
    <col min="26" max="26" width="8.44140625" style="92"/>
    <col min="27" max="27" width="14" style="92" bestFit="1" customWidth="1"/>
    <col min="28" max="28" width="8.44140625" style="128"/>
    <col min="29" max="29" width="12.5546875" style="128" bestFit="1" customWidth="1"/>
    <col min="30" max="16384" width="8.441406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149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2">
      <c r="B3" s="116"/>
      <c r="D3" s="124" t="s">
        <v>150</v>
      </c>
      <c r="F3" s="124" t="s">
        <v>151</v>
      </c>
      <c r="J3" s="140"/>
      <c r="L3" s="409" t="s">
        <v>152</v>
      </c>
      <c r="N3" s="409" t="s">
        <v>153</v>
      </c>
      <c r="P3" s="679" t="s">
        <v>154</v>
      </c>
      <c r="Q3" s="679" t="s">
        <v>155</v>
      </c>
      <c r="R3" s="679" t="s">
        <v>156</v>
      </c>
      <c r="S3" s="679" t="s">
        <v>157</v>
      </c>
      <c r="T3" s="679" t="s">
        <v>158</v>
      </c>
      <c r="U3" s="679" t="s">
        <v>159</v>
      </c>
    </row>
    <row r="4" spans="1:21" s="92" customFormat="1" ht="13.2">
      <c r="B4" s="351">
        <v>1</v>
      </c>
      <c r="C4" s="352" t="s">
        <v>160</v>
      </c>
      <c r="D4" s="353">
        <f>'Project Plan'!E6</f>
        <v>6640297.8799999999</v>
      </c>
      <c r="E4" s="354"/>
      <c r="F4" s="353">
        <f>F21</f>
        <v>8633666.5756521747</v>
      </c>
      <c r="J4" s="140"/>
      <c r="L4" s="375"/>
      <c r="N4" s="375" t="s">
        <v>161</v>
      </c>
      <c r="P4" s="680">
        <f>SUMIFS('Expenditure Breakdown'!$U:$U,
        'Expenditure Breakdown'!$T:$T, "&gt;"&amp;DATE(2024,8,31),
        'Expenditure Breakdown'!$T:$T, "&lt;="&amp;DATE(2025,8,31),
        'Expenditure Breakdown'!$S:$S, "&lt;&gt;")</f>
        <v>5845601.4059818555</v>
      </c>
      <c r="Q4" s="680">
        <f>SUMIFS('Expenditure Breakdown'!$Q:$Q,
        'Expenditure Breakdown'!$T:$T, "&gt;"&amp;DATE(2024,8,31),
        'Expenditure Breakdown'!$T:$T, "&lt;="&amp;DATE(2025,8,31),
        'Expenditure Breakdown'!$S:$S, "&lt;&gt;")</f>
        <v>4720834.6250000009</v>
      </c>
      <c r="R4" s="680">
        <f>SUMIFS('Expenditure Breakdown'!$U:$U,
        'Expenditure Breakdown'!$T:$T, "&gt;"&amp;DATE(2025,8,31),
        'Expenditure Breakdown'!$T:$T, "&lt;="&amp;DATE(2026,8,31))</f>
        <v>2784910.7178208749</v>
      </c>
      <c r="S4" s="680">
        <f>SUMIFS('Expenditure Breakdown'!$Q:$Q,
        'Expenditure Breakdown'!$T:$T, "&gt;"&amp;DATE(2025,8,31),
        'Expenditure Breakdown'!$T:$T, "&lt;="&amp;DATE(2026,8,31))</f>
        <v>3162516.1984999999</v>
      </c>
      <c r="T4" s="680">
        <f>SUMIFS('Expenditure Breakdown'!$U:$U,
        'Expenditure Breakdown'!$T:$T, "&gt;"&amp;DATE(2025,8,31),
        'Expenditure Breakdown'!$T:$T, "&lt;="&amp;DATE(2026,8,31),
        'Expenditure Breakdown'!$S:$S, "&lt;&gt;")</f>
        <v>2464388.7954952782</v>
      </c>
      <c r="U4" s="680">
        <f>SUMIFS('Expenditure Breakdown'!$Q:$Q,
        'Expenditure Breakdown'!$T:$T, "&gt;"&amp;DATE(2025,8,31),
        'Expenditure Breakdown'!$T:$T, "&lt;="&amp;DATE(2026,8,31),
        'Expenditure Breakdown'!$S:$S, "&lt;&gt;")</f>
        <v>3064548.0350000001</v>
      </c>
    </row>
    <row r="5" spans="1:21" s="92" customFormat="1" ht="15" customHeight="1">
      <c r="B5" s="351">
        <v>2</v>
      </c>
      <c r="C5" s="352" t="s">
        <v>162</v>
      </c>
      <c r="D5" s="353">
        <f>+'Expenditure Tracking'!F5</f>
        <v>5836403.2100000009</v>
      </c>
      <c r="E5" s="354"/>
      <c r="F5" s="353">
        <f>+'Expenditure Tracking'!H5</f>
        <v>7883350.8235000009</v>
      </c>
      <c r="G5" s="712" t="s">
        <v>163</v>
      </c>
      <c r="H5" s="712" t="s">
        <v>164</v>
      </c>
      <c r="J5" s="140"/>
      <c r="L5" s="375"/>
      <c r="N5" s="410"/>
    </row>
    <row r="6" spans="1:21" s="92" customFormat="1" ht="15" customHeight="1">
      <c r="B6" s="351">
        <v>3</v>
      </c>
      <c r="C6" s="352" t="s">
        <v>165</v>
      </c>
      <c r="D6" s="353">
        <f>+D4-D5</f>
        <v>803894.66999999899</v>
      </c>
      <c r="E6" s="354"/>
      <c r="F6" s="353">
        <f>+F4-F5</f>
        <v>750315.75215217378</v>
      </c>
      <c r="G6" s="713">
        <f>D6*0.05</f>
        <v>40194.733499999951</v>
      </c>
      <c r="H6" s="115">
        <f>SUMIF('Expenditure Breakdown'!N:N,"*VO*",'Expenditure Breakdown'!Q:Q)</f>
        <v>0</v>
      </c>
      <c r="J6" s="140"/>
      <c r="L6" s="375"/>
      <c r="N6" s="375" t="s">
        <v>166</v>
      </c>
    </row>
    <row r="7" spans="1:21" s="92" customFormat="1" ht="15" customHeight="1" thickBot="1">
      <c r="B7" s="351">
        <v>4</v>
      </c>
      <c r="C7" s="352" t="s">
        <v>167</v>
      </c>
      <c r="D7" s="355">
        <f>+D6/D4</f>
        <v>0.12106304333443532</v>
      </c>
      <c r="E7" s="354"/>
      <c r="F7" s="355">
        <f>+F6/F4</f>
        <v>8.6905805960603252E-2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2">
      <c r="B10" s="127" t="s">
        <v>168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4">
      <c r="B12" s="130" t="s">
        <v>67</v>
      </c>
      <c r="C12" s="131" t="s">
        <v>169</v>
      </c>
      <c r="D12" s="132"/>
      <c r="E12" s="130" t="s">
        <v>170</v>
      </c>
      <c r="F12" s="130" t="s">
        <v>171</v>
      </c>
      <c r="H12" s="356" t="s">
        <v>172</v>
      </c>
      <c r="J12" s="140"/>
      <c r="L12" s="165" t="s">
        <v>173</v>
      </c>
      <c r="M12" s="133"/>
      <c r="N12" s="165" t="s">
        <v>174</v>
      </c>
      <c r="O12" s="128"/>
      <c r="P12" s="165" t="s">
        <v>175</v>
      </c>
      <c r="R12" s="378" t="s">
        <v>176</v>
      </c>
    </row>
    <row r="13" spans="1:21" s="92" customFormat="1" ht="13.2">
      <c r="B13" s="351">
        <v>1</v>
      </c>
      <c r="C13" s="803" t="s">
        <v>177</v>
      </c>
      <c r="D13" s="804"/>
      <c r="E13" s="134">
        <v>0.35</v>
      </c>
      <c r="F13" s="135">
        <f>$D$4*E13</f>
        <v>2324104.2579999999</v>
      </c>
      <c r="G13" s="136"/>
      <c r="H13" s="137">
        <v>45777</v>
      </c>
      <c r="J13" s="140"/>
      <c r="L13" s="368" t="s">
        <v>178</v>
      </c>
      <c r="M13" s="367"/>
      <c r="N13" s="137">
        <v>45771</v>
      </c>
      <c r="O13" s="128"/>
      <c r="P13" s="137">
        <v>45772</v>
      </c>
      <c r="R13" s="173"/>
    </row>
    <row r="14" spans="1:21" s="92" customFormat="1" ht="13.2">
      <c r="B14" s="153">
        <v>2</v>
      </c>
      <c r="C14" s="803" t="s">
        <v>179</v>
      </c>
      <c r="D14" s="804"/>
      <c r="E14" s="134">
        <v>0.3</v>
      </c>
      <c r="F14" s="135">
        <f t="shared" ref="F14:F19" si="0">$D$4*E14</f>
        <v>1992089.3639999998</v>
      </c>
      <c r="G14" s="354"/>
      <c r="H14" s="137">
        <f>'Project Plan'!E41+14</f>
        <v>45961</v>
      </c>
      <c r="J14" s="140"/>
      <c r="L14" s="368" t="s">
        <v>178</v>
      </c>
      <c r="N14" s="137">
        <v>45771</v>
      </c>
      <c r="O14" s="128"/>
      <c r="P14" s="137">
        <v>45975</v>
      </c>
      <c r="R14" s="379"/>
    </row>
    <row r="15" spans="1:21" s="92" customFormat="1" ht="13.2">
      <c r="B15" s="351">
        <v>3</v>
      </c>
      <c r="C15" s="803" t="s">
        <v>180</v>
      </c>
      <c r="D15" s="804"/>
      <c r="E15" s="134">
        <v>0.2</v>
      </c>
      <c r="F15" s="135">
        <f t="shared" si="0"/>
        <v>1328059.5760000001</v>
      </c>
      <c r="G15" s="354"/>
      <c r="H15" s="137">
        <f>'Project Plan'!E24+14</f>
        <v>45882</v>
      </c>
      <c r="J15" s="140"/>
      <c r="L15" s="368" t="s">
        <v>178</v>
      </c>
      <c r="N15" s="137">
        <v>45771</v>
      </c>
      <c r="O15" s="128"/>
      <c r="P15" s="137">
        <v>45877</v>
      </c>
      <c r="R15" s="379"/>
    </row>
    <row r="16" spans="1:21" s="92" customFormat="1" ht="13.2">
      <c r="B16" s="351">
        <v>4</v>
      </c>
      <c r="C16" s="803" t="s">
        <v>181</v>
      </c>
      <c r="D16" s="804"/>
      <c r="E16" s="134">
        <v>0.1</v>
      </c>
      <c r="F16" s="135">
        <f t="shared" si="0"/>
        <v>664029.78800000006</v>
      </c>
      <c r="G16" s="354"/>
      <c r="H16" s="137">
        <f>'Project Plan'!E45+14</f>
        <v>45980</v>
      </c>
      <c r="J16" s="140"/>
      <c r="L16" s="368" t="s">
        <v>178</v>
      </c>
      <c r="M16" s="128"/>
      <c r="N16" s="137">
        <v>45771</v>
      </c>
      <c r="O16" s="128"/>
      <c r="P16" s="137">
        <v>45975</v>
      </c>
      <c r="R16" s="379"/>
    </row>
    <row r="17" spans="2:18" s="92" customFormat="1" ht="13.2">
      <c r="B17" s="351">
        <v>5</v>
      </c>
      <c r="C17" s="805" t="s">
        <v>182</v>
      </c>
      <c r="D17" s="806"/>
      <c r="E17" s="134">
        <v>0.05</v>
      </c>
      <c r="F17" s="135">
        <f t="shared" si="0"/>
        <v>332014.89400000003</v>
      </c>
      <c r="G17" s="354"/>
      <c r="H17" s="137">
        <f>'Project Plan'!G46+14</f>
        <v>45982</v>
      </c>
      <c r="J17" s="140"/>
      <c r="L17" s="368" t="s">
        <v>178</v>
      </c>
      <c r="N17" s="137">
        <v>45771</v>
      </c>
      <c r="O17" s="128"/>
      <c r="P17" s="137">
        <v>45975</v>
      </c>
      <c r="R17" s="379"/>
    </row>
    <row r="18" spans="2:18" s="92" customFormat="1" ht="13.2">
      <c r="B18" s="351">
        <v>6</v>
      </c>
      <c r="C18" s="803" t="s">
        <v>183</v>
      </c>
      <c r="D18" s="804"/>
      <c r="E18" s="134">
        <v>0</v>
      </c>
      <c r="F18" s="646">
        <f>2292374/1.15</f>
        <v>1993368.6956521741</v>
      </c>
      <c r="G18" s="354"/>
      <c r="H18" s="137">
        <v>45991</v>
      </c>
      <c r="J18" s="140"/>
      <c r="L18" s="705" t="s">
        <v>184</v>
      </c>
      <c r="M18" s="136"/>
      <c r="N18" s="706">
        <v>45985</v>
      </c>
      <c r="O18" s="128"/>
      <c r="P18" s="706">
        <v>46009</v>
      </c>
      <c r="R18" s="379"/>
    </row>
    <row r="19" spans="2:18" s="92" customFormat="1" ht="13.2">
      <c r="B19" s="351">
        <v>7</v>
      </c>
      <c r="C19" s="803" t="s">
        <v>185</v>
      </c>
      <c r="D19" s="804"/>
      <c r="E19" s="134">
        <v>0</v>
      </c>
      <c r="F19" s="135">
        <f t="shared" si="0"/>
        <v>0</v>
      </c>
      <c r="G19" s="354"/>
      <c r="H19" s="137"/>
      <c r="J19" s="140"/>
      <c r="L19" s="138"/>
      <c r="N19" s="138"/>
      <c r="O19" s="128"/>
      <c r="P19" s="138"/>
      <c r="R19" s="379"/>
    </row>
    <row r="20" spans="2:18" s="92" customFormat="1" ht="9" customHeight="1">
      <c r="B20" s="116"/>
      <c r="E20" s="139"/>
      <c r="F20" s="115"/>
      <c r="H20" s="357"/>
      <c r="J20" s="140"/>
    </row>
    <row r="21" spans="2:18" s="92" customFormat="1" ht="13.2">
      <c r="B21" s="116"/>
      <c r="E21" s="358">
        <f>SUM(E13:E19)</f>
        <v>0.99999999999999989</v>
      </c>
      <c r="F21" s="359">
        <f>SUM(F13:F19)</f>
        <v>8633666.5756521747</v>
      </c>
      <c r="J21" s="140"/>
    </row>
    <row r="22" spans="2:18" s="140" customFormat="1" ht="25.5" customHeight="1">
      <c r="B22" s="141"/>
      <c r="F22" s="142"/>
    </row>
    <row r="23" spans="2:18" s="92" customFormat="1" ht="24.75" customHeight="1">
      <c r="B23" s="143" t="s">
        <v>186</v>
      </c>
      <c r="C23" s="144" t="s">
        <v>187</v>
      </c>
      <c r="D23" s="144"/>
      <c r="F23" s="145"/>
    </row>
    <row r="24" spans="2:18" s="92" customFormat="1" ht="13.2">
      <c r="C24" s="146" t="s">
        <v>188</v>
      </c>
      <c r="D24" s="147"/>
      <c r="F24" s="148"/>
      <c r="L24" s="700"/>
    </row>
    <row r="25" spans="2:18" s="92" customFormat="1" ht="13.2">
      <c r="C25" s="146" t="s">
        <v>189</v>
      </c>
      <c r="D25" s="147"/>
    </row>
    <row r="26" spans="2:18" s="92" customFormat="1" ht="13.2">
      <c r="C26" s="149" t="s">
        <v>190</v>
      </c>
      <c r="D26" s="150"/>
    </row>
    <row r="27" spans="2:18" s="92" customFormat="1" ht="13.2">
      <c r="C27" s="151" t="s">
        <v>191</v>
      </c>
      <c r="D27" s="147"/>
    </row>
    <row r="28" spans="2:18" s="92" customFormat="1" ht="13.2">
      <c r="B28" s="116"/>
      <c r="C28" s="151" t="s">
        <v>192</v>
      </c>
      <c r="D28" s="147"/>
    </row>
    <row r="29" spans="2:18" s="92" customFormat="1" ht="13.2">
      <c r="B29" s="116"/>
      <c r="C29" s="92" t="s">
        <v>193</v>
      </c>
    </row>
    <row r="30" spans="2:18" s="92" customFormat="1" ht="27.75" customHeight="1">
      <c r="B30" s="116"/>
      <c r="C30" s="152" t="s">
        <v>194</v>
      </c>
      <c r="D30" s="152"/>
      <c r="F30" s="148"/>
    </row>
    <row r="31" spans="2:18" s="92" customFormat="1" ht="13.2">
      <c r="B31" s="116"/>
      <c r="F31" s="145"/>
    </row>
    <row r="32" spans="2:18" s="92" customFormat="1" ht="13.2">
      <c r="B32" s="116"/>
      <c r="F32" s="145"/>
    </row>
    <row r="33" spans="2:6" s="92" customFormat="1" ht="13.2">
      <c r="B33" s="116"/>
      <c r="F33" s="145"/>
    </row>
    <row r="34" spans="2:6" s="92" customFormat="1" ht="13.2">
      <c r="B34" s="116"/>
      <c r="F34" s="145"/>
    </row>
    <row r="35" spans="2:6" s="92" customFormat="1" ht="13.2">
      <c r="B35" s="116"/>
    </row>
    <row r="36" spans="2:6" s="92" customFormat="1" ht="13.2">
      <c r="B36" s="116"/>
    </row>
    <row r="37" spans="2:6" s="92" customFormat="1" ht="13.2">
      <c r="B37" s="116"/>
    </row>
    <row r="38" spans="2:6" s="92" customFormat="1" ht="12.75" hidden="1" customHeight="1">
      <c r="B38" s="116"/>
    </row>
    <row r="39" spans="2:6" s="92" customFormat="1" ht="12.75" hidden="1" customHeight="1">
      <c r="B39" s="116"/>
    </row>
    <row r="40" spans="2:6" s="92" customFormat="1" ht="13.5" hidden="1" customHeight="1">
      <c r="B40" s="130" t="s">
        <v>67</v>
      </c>
      <c r="C40" s="131" t="s">
        <v>169</v>
      </c>
      <c r="D40" s="132"/>
      <c r="E40" s="130" t="s">
        <v>170</v>
      </c>
      <c r="F40" s="130" t="s">
        <v>171</v>
      </c>
    </row>
    <row r="41" spans="2:6" s="92" customFormat="1" ht="12.75" hidden="1" customHeight="1">
      <c r="B41" s="153">
        <v>1</v>
      </c>
      <c r="C41" s="154" t="s">
        <v>195</v>
      </c>
      <c r="D41" s="154"/>
      <c r="E41" s="134">
        <v>0.35</v>
      </c>
      <c r="F41" s="135">
        <f>$F$47*E41</f>
        <v>3021783.3014782611</v>
      </c>
    </row>
    <row r="42" spans="2:6" s="92" customFormat="1" ht="12.75" hidden="1" customHeight="1">
      <c r="B42" s="153">
        <v>2</v>
      </c>
      <c r="C42" s="154" t="s">
        <v>179</v>
      </c>
      <c r="D42" s="154"/>
      <c r="E42" s="134">
        <v>0.3</v>
      </c>
      <c r="F42" s="135">
        <f t="shared" ref="F42:F45" si="1">$F$47*E42</f>
        <v>2590099.9726956524</v>
      </c>
    </row>
    <row r="43" spans="2:6" s="92" customFormat="1" ht="12.75" hidden="1" customHeight="1">
      <c r="B43" s="153">
        <v>3</v>
      </c>
      <c r="C43" s="154" t="s">
        <v>180</v>
      </c>
      <c r="D43" s="154"/>
      <c r="E43" s="134">
        <v>0.2</v>
      </c>
      <c r="F43" s="135">
        <f t="shared" si="1"/>
        <v>1726733.3151304349</v>
      </c>
    </row>
    <row r="44" spans="2:6" s="92" customFormat="1" ht="12.75" hidden="1" customHeight="1">
      <c r="B44" s="153">
        <v>4</v>
      </c>
      <c r="C44" s="154" t="s">
        <v>196</v>
      </c>
      <c r="D44" s="154"/>
      <c r="E44" s="134">
        <v>0.1</v>
      </c>
      <c r="F44" s="135">
        <f t="shared" si="1"/>
        <v>863366.65756521747</v>
      </c>
    </row>
    <row r="45" spans="2:6" s="92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>
        <f t="shared" si="1"/>
        <v>431683.32878260873</v>
      </c>
    </row>
    <row r="46" spans="2:6" s="92" customFormat="1" ht="13.5" hidden="1" customHeight="1" thickBot="1">
      <c r="B46" s="159"/>
      <c r="C46" s="160" t="s">
        <v>197</v>
      </c>
      <c r="D46" s="160"/>
      <c r="E46" s="161">
        <f>SUM(E41:E45)</f>
        <v>0.99999999999999989</v>
      </c>
      <c r="F46" s="162">
        <f>SUM(F41:F45)</f>
        <v>8633666.5756521747</v>
      </c>
    </row>
    <row r="47" spans="2:6" s="92" customFormat="1" ht="12.75" hidden="1" customHeight="1">
      <c r="B47" s="116"/>
      <c r="E47" s="139">
        <f>SUM(E41:E45)</f>
        <v>0.99999999999999989</v>
      </c>
      <c r="F47" s="115">
        <f>F21</f>
        <v>8633666.5756521747</v>
      </c>
    </row>
    <row r="48" spans="2:6" s="92" customFormat="1" ht="12.75" hidden="1" customHeight="1">
      <c r="B48" s="116"/>
    </row>
    <row r="49" spans="2:2" s="92" customFormat="1" ht="13.2">
      <c r="B49" s="116"/>
    </row>
    <row r="50" spans="2:2" s="92" customFormat="1" ht="13.2">
      <c r="B50" s="116"/>
    </row>
    <row r="51" spans="2:2" s="92" customFormat="1" ht="13.2">
      <c r="B51" s="116"/>
    </row>
    <row r="52" spans="2:2" s="92" customFormat="1" ht="13.2">
      <c r="B52" s="116"/>
    </row>
    <row r="53" spans="2:2" s="92" customFormat="1" ht="13.2">
      <c r="B53" s="116"/>
    </row>
    <row r="54" spans="2:2" s="92" customFormat="1" ht="13.2">
      <c r="B54" s="116"/>
    </row>
    <row r="55" spans="2:2" s="92" customFormat="1" ht="13.2">
      <c r="B55" s="116"/>
    </row>
    <row r="56" spans="2:2" s="92" customFormat="1" ht="13.2">
      <c r="B56" s="116"/>
    </row>
    <row r="57" spans="2:2" s="92" customFormat="1" ht="13.2">
      <c r="B57" s="116"/>
    </row>
    <row r="58" spans="2:2" s="92" customFormat="1" ht="13.2">
      <c r="B58" s="116"/>
    </row>
    <row r="59" spans="2:2" s="92" customFormat="1" ht="13.2">
      <c r="B59" s="116"/>
    </row>
    <row r="60" spans="2:2" s="92" customFormat="1" ht="13.2">
      <c r="B60" s="116"/>
    </row>
    <row r="61" spans="2:2" s="92" customFormat="1" ht="13.2">
      <c r="B61" s="116"/>
    </row>
    <row r="62" spans="2:2" s="92" customFormat="1" ht="13.2">
      <c r="B62" s="116"/>
    </row>
    <row r="63" spans="2:2" s="92" customFormat="1" ht="13.2">
      <c r="B63" s="116"/>
    </row>
    <row r="64" spans="2:2" s="92" customFormat="1" ht="13.2">
      <c r="B64" s="116"/>
    </row>
    <row r="65" spans="2:2" s="92" customFormat="1" ht="13.2">
      <c r="B65" s="116"/>
    </row>
    <row r="66" spans="2:2" s="92" customFormat="1" ht="13.2">
      <c r="B66" s="116"/>
    </row>
    <row r="67" spans="2:2" s="92" customFormat="1" ht="13.2">
      <c r="B67" s="116"/>
    </row>
    <row r="68" spans="2:2" s="92" customFormat="1" ht="13.2">
      <c r="B68" s="116"/>
    </row>
    <row r="69" spans="2:2" s="92" customFormat="1" ht="13.2">
      <c r="B69" s="116"/>
    </row>
    <row r="70" spans="2:2" s="92" customFormat="1" ht="13.2">
      <c r="B70" s="116"/>
    </row>
    <row r="71" spans="2:2" s="92" customFormat="1" ht="13.2">
      <c r="B71" s="116"/>
    </row>
    <row r="72" spans="2:2" s="92" customFormat="1" ht="13.2">
      <c r="B72" s="116"/>
    </row>
    <row r="73" spans="2:2" s="92" customFormat="1" ht="13.2">
      <c r="B73" s="116"/>
    </row>
    <row r="74" spans="2:2" s="92" customFormat="1" ht="13.2">
      <c r="B74" s="116"/>
    </row>
    <row r="75" spans="2:2" s="92" customFormat="1" ht="13.2">
      <c r="B75" s="116"/>
    </row>
    <row r="76" spans="2:2" s="92" customFormat="1" ht="13.2">
      <c r="B76" s="116"/>
    </row>
    <row r="77" spans="2:2" s="92" customFormat="1" ht="13.2">
      <c r="B77" s="116"/>
    </row>
    <row r="78" spans="2:2" s="92" customFormat="1" ht="13.2">
      <c r="B78" s="116"/>
    </row>
    <row r="79" spans="2:2" s="92" customFormat="1" ht="13.2">
      <c r="B79" s="116"/>
    </row>
    <row r="80" spans="2:2" s="92" customFormat="1" ht="13.2">
      <c r="B80" s="116"/>
    </row>
    <row r="81" spans="2:2" s="92" customFormat="1" ht="13.2">
      <c r="B81" s="116"/>
    </row>
    <row r="82" spans="2:2" s="92" customFormat="1" ht="13.2">
      <c r="B82" s="116"/>
    </row>
    <row r="83" spans="2:2" s="92" customFormat="1" ht="13.2">
      <c r="B83" s="116"/>
    </row>
    <row r="84" spans="2:2" s="92" customFormat="1" ht="13.2">
      <c r="B84" s="116"/>
    </row>
    <row r="85" spans="2:2" s="92" customFormat="1" ht="13.2">
      <c r="B85" s="116"/>
    </row>
    <row r="86" spans="2:2" s="92" customFormat="1" ht="13.2">
      <c r="B86" s="116"/>
    </row>
    <row r="87" spans="2:2" s="92" customFormat="1" ht="13.2">
      <c r="B87" s="116"/>
    </row>
    <row r="88" spans="2:2" s="92" customFormat="1" ht="13.2">
      <c r="B88" s="116"/>
    </row>
    <row r="89" spans="2:2" s="92" customFormat="1" ht="13.2">
      <c r="B89" s="116"/>
    </row>
    <row r="90" spans="2:2" s="92" customFormat="1" ht="13.2">
      <c r="B90" s="116"/>
    </row>
    <row r="91" spans="2:2" s="92" customFormat="1" ht="13.2">
      <c r="B91" s="116"/>
    </row>
    <row r="92" spans="2:2" s="92" customFormat="1" ht="13.2">
      <c r="B92" s="116"/>
    </row>
    <row r="93" spans="2:2" s="92" customFormat="1" ht="13.2">
      <c r="B93" s="116"/>
    </row>
    <row r="94" spans="2:2" s="92" customFormat="1" ht="13.2">
      <c r="B94" s="116"/>
    </row>
    <row r="95" spans="2:2" s="92" customFormat="1" ht="13.2">
      <c r="B95" s="116"/>
    </row>
    <row r="96" spans="2:2" s="92" customFormat="1" ht="13.2">
      <c r="B96" s="116"/>
    </row>
    <row r="97" spans="2:2" s="92" customFormat="1" ht="13.2">
      <c r="B97" s="116"/>
    </row>
    <row r="98" spans="2:2" s="92" customFormat="1" ht="13.2">
      <c r="B98" s="116"/>
    </row>
    <row r="99" spans="2:2" s="92" customFormat="1" ht="13.2">
      <c r="B99" s="116"/>
    </row>
    <row r="100" spans="2:2" s="92" customFormat="1" ht="13.2">
      <c r="B100" s="116"/>
    </row>
    <row r="101" spans="2:2" s="92" customFormat="1" ht="13.2">
      <c r="B101" s="116"/>
    </row>
    <row r="102" spans="2:2" s="92" customFormat="1" ht="13.2">
      <c r="B102" s="116"/>
    </row>
    <row r="103" spans="2:2" s="92" customFormat="1" ht="13.2">
      <c r="B103" s="116"/>
    </row>
    <row r="104" spans="2:2" s="92" customFormat="1" ht="13.2">
      <c r="B104" s="116"/>
    </row>
    <row r="105" spans="2:2" s="92" customFormat="1" ht="13.2">
      <c r="B105" s="116"/>
    </row>
    <row r="106" spans="2:2" s="92" customFormat="1" ht="13.2">
      <c r="B106" s="116"/>
    </row>
    <row r="107" spans="2:2" s="92" customFormat="1" ht="13.2">
      <c r="B107" s="116"/>
    </row>
    <row r="108" spans="2:2" s="92" customFormat="1" ht="13.2">
      <c r="B108" s="116"/>
    </row>
    <row r="109" spans="2:2" s="92" customFormat="1" ht="13.2">
      <c r="B109" s="116"/>
    </row>
    <row r="110" spans="2:2" s="92" customFormat="1" ht="13.2">
      <c r="B110" s="116"/>
    </row>
    <row r="111" spans="2:2" s="92" customFormat="1" ht="13.2">
      <c r="B111" s="116"/>
    </row>
    <row r="112" spans="2:2" s="92" customFormat="1" ht="13.2">
      <c r="B112" s="116"/>
    </row>
    <row r="113" spans="2:2" s="92" customFormat="1" ht="13.2">
      <c r="B113" s="116"/>
    </row>
    <row r="114" spans="2:2" s="92" customFormat="1" ht="13.2">
      <c r="B114" s="116"/>
    </row>
    <row r="115" spans="2:2" s="92" customFormat="1" ht="13.2">
      <c r="B115" s="116"/>
    </row>
    <row r="116" spans="2:2" s="92" customFormat="1" ht="13.2">
      <c r="B116" s="116"/>
    </row>
    <row r="117" spans="2:2" s="92" customFormat="1" ht="13.2">
      <c r="B117" s="116"/>
    </row>
    <row r="118" spans="2:2" s="92" customFormat="1" ht="13.2">
      <c r="B118" s="116"/>
    </row>
    <row r="119" spans="2:2" s="92" customFormat="1" ht="13.2">
      <c r="B119" s="116"/>
    </row>
    <row r="120" spans="2:2" s="92" customFormat="1" ht="13.2">
      <c r="B120" s="116"/>
    </row>
    <row r="121" spans="2:2" s="92" customFormat="1" ht="13.2">
      <c r="B121" s="116"/>
    </row>
    <row r="122" spans="2:2" s="92" customFormat="1" ht="13.2">
      <c r="B122" s="116"/>
    </row>
    <row r="123" spans="2:2" s="92" customFormat="1" ht="13.2">
      <c r="B123" s="116"/>
    </row>
    <row r="124" spans="2:2" s="92" customFormat="1" ht="13.2">
      <c r="B124" s="116"/>
    </row>
    <row r="125" spans="2:2" s="92" customFormat="1" ht="13.2">
      <c r="B125" s="116"/>
    </row>
    <row r="126" spans="2:2" s="92" customFormat="1" ht="13.2">
      <c r="B126" s="116"/>
    </row>
    <row r="127" spans="2:2" s="92" customFormat="1" ht="13.2">
      <c r="B127" s="116"/>
    </row>
    <row r="128" spans="2:2" s="92" customFormat="1" ht="13.2">
      <c r="B128" s="116"/>
    </row>
    <row r="129" spans="2:2" s="92" customFormat="1" ht="13.2">
      <c r="B129" s="116"/>
    </row>
    <row r="130" spans="2:2" s="92" customFormat="1" ht="13.2">
      <c r="B130" s="116"/>
    </row>
    <row r="131" spans="2:2" s="92" customFormat="1" ht="13.2">
      <c r="B131" s="116"/>
    </row>
    <row r="132" spans="2:2" s="92" customFormat="1" ht="13.2">
      <c r="B132" s="116"/>
    </row>
    <row r="133" spans="2:2" s="92" customFormat="1" ht="13.2">
      <c r="B133" s="116"/>
    </row>
    <row r="134" spans="2:2" s="92" customFormat="1" ht="13.2">
      <c r="B134" s="116"/>
    </row>
    <row r="135" spans="2:2" s="92" customFormat="1" ht="13.2">
      <c r="B135" s="116"/>
    </row>
    <row r="136" spans="2:2" s="92" customFormat="1" ht="13.2">
      <c r="B136" s="116"/>
    </row>
    <row r="137" spans="2:2" s="92" customFormat="1" ht="13.2">
      <c r="B137" s="116"/>
    </row>
    <row r="138" spans="2:2" s="92" customFormat="1" ht="13.2">
      <c r="B138" s="116"/>
    </row>
    <row r="139" spans="2:2" s="92" customFormat="1" ht="13.2">
      <c r="B139" s="116"/>
    </row>
    <row r="140" spans="2:2" s="92" customFormat="1" ht="13.2">
      <c r="B140" s="116"/>
    </row>
    <row r="141" spans="2:2" s="92" customFormat="1" ht="13.2">
      <c r="B141" s="116"/>
    </row>
    <row r="142" spans="2:2" s="92" customFormat="1" ht="13.2">
      <c r="B142" s="116"/>
    </row>
    <row r="143" spans="2:2" s="92" customFormat="1" ht="13.2">
      <c r="B143" s="116"/>
    </row>
    <row r="144" spans="2:2" s="92" customFormat="1" ht="13.2">
      <c r="B144" s="116"/>
    </row>
    <row r="145" spans="2:2" s="92" customFormat="1" ht="13.2">
      <c r="B145" s="116"/>
    </row>
    <row r="146" spans="2:2" s="92" customFormat="1" ht="13.2">
      <c r="B146" s="116"/>
    </row>
    <row r="147" spans="2:2" s="92" customFormat="1" ht="13.2">
      <c r="B147" s="116"/>
    </row>
    <row r="148" spans="2:2" s="92" customFormat="1" ht="13.2">
      <c r="B148" s="116"/>
    </row>
    <row r="149" spans="2:2" s="92" customFormat="1" ht="13.2">
      <c r="B149" s="116"/>
    </row>
    <row r="150" spans="2:2" s="92" customFormat="1" ht="13.2">
      <c r="B150" s="116"/>
    </row>
    <row r="151" spans="2:2" s="92" customFormat="1" ht="13.2">
      <c r="B151" s="116"/>
    </row>
    <row r="152" spans="2:2" s="92" customFormat="1" ht="13.2">
      <c r="B152" s="116"/>
    </row>
    <row r="153" spans="2:2" s="92" customFormat="1" ht="13.2">
      <c r="B153" s="116"/>
    </row>
    <row r="154" spans="2:2" s="92" customFormat="1" ht="13.2">
      <c r="B154" s="116"/>
    </row>
    <row r="155" spans="2:2" s="92" customFormat="1" ht="13.2">
      <c r="B155" s="116"/>
    </row>
    <row r="156" spans="2:2" s="92" customFormat="1" ht="13.2">
      <c r="B156" s="116"/>
    </row>
    <row r="157" spans="2:2" s="92" customFormat="1" ht="13.2">
      <c r="B157" s="116"/>
    </row>
    <row r="158" spans="2:2" s="92" customFormat="1" ht="13.2">
      <c r="B158" s="116"/>
    </row>
    <row r="159" spans="2:2" s="92" customFormat="1" ht="13.2">
      <c r="B159" s="116"/>
    </row>
    <row r="160" spans="2:2" s="92" customFormat="1" ht="13.2">
      <c r="B160" s="116"/>
    </row>
    <row r="161" spans="2:2" s="92" customFormat="1" ht="13.2">
      <c r="B161" s="116"/>
    </row>
    <row r="162" spans="2:2" s="92" customFormat="1" ht="13.2">
      <c r="B162" s="116"/>
    </row>
    <row r="163" spans="2:2" s="92" customFormat="1" ht="13.2">
      <c r="B163" s="116"/>
    </row>
    <row r="164" spans="2:2" s="92" customFormat="1" ht="13.2">
      <c r="B164" s="116"/>
    </row>
    <row r="165" spans="2:2" s="92" customFormat="1" ht="13.2">
      <c r="B165" s="116"/>
    </row>
    <row r="166" spans="2:2" s="92" customFormat="1" ht="13.2">
      <c r="B166" s="116"/>
    </row>
    <row r="167" spans="2:2" s="92" customFormat="1" ht="13.2">
      <c r="B167" s="116"/>
    </row>
    <row r="168" spans="2:2" s="92" customFormat="1" ht="13.2">
      <c r="B168" s="116"/>
    </row>
    <row r="169" spans="2:2" s="92" customFormat="1" ht="13.2">
      <c r="B169" s="116"/>
    </row>
    <row r="170" spans="2:2" s="92" customFormat="1" ht="13.2">
      <c r="B170" s="116"/>
    </row>
    <row r="171" spans="2:2" s="92" customFormat="1" ht="13.2">
      <c r="B171" s="116"/>
    </row>
    <row r="172" spans="2:2" s="92" customFormat="1" ht="13.2">
      <c r="B172" s="116"/>
    </row>
    <row r="173" spans="2:2" s="92" customFormat="1" ht="13.2">
      <c r="B173" s="116"/>
    </row>
    <row r="174" spans="2:2" s="92" customFormat="1" ht="13.2">
      <c r="B174" s="116"/>
    </row>
    <row r="175" spans="2:2" s="92" customFormat="1" ht="13.2">
      <c r="B175" s="116"/>
    </row>
    <row r="176" spans="2:2" s="92" customFormat="1" ht="13.2">
      <c r="B176" s="116"/>
    </row>
    <row r="177" spans="2:2" s="92" customFormat="1" ht="13.2">
      <c r="B177" s="116"/>
    </row>
    <row r="178" spans="2:2" s="92" customFormat="1" ht="13.2">
      <c r="B178" s="116"/>
    </row>
    <row r="179" spans="2:2" s="92" customFormat="1" ht="13.2">
      <c r="B179" s="116"/>
    </row>
    <row r="180" spans="2:2" s="92" customFormat="1" ht="13.2">
      <c r="B180" s="116"/>
    </row>
    <row r="181" spans="2:2" s="92" customFormat="1" ht="13.2">
      <c r="B181" s="116"/>
    </row>
    <row r="182" spans="2:2" s="92" customFormat="1" ht="13.2">
      <c r="B182" s="116"/>
    </row>
    <row r="183" spans="2:2" s="92" customFormat="1" ht="13.2">
      <c r="B183" s="116"/>
    </row>
    <row r="184" spans="2:2" s="92" customFormat="1" ht="13.2">
      <c r="B184" s="116"/>
    </row>
    <row r="185" spans="2:2" s="92" customFormat="1" ht="13.2">
      <c r="B185" s="116"/>
    </row>
    <row r="186" spans="2:2" s="92" customFormat="1" ht="13.2">
      <c r="B186" s="116"/>
    </row>
    <row r="187" spans="2:2" s="92" customFormat="1" ht="13.2">
      <c r="B187" s="116"/>
    </row>
    <row r="188" spans="2:2" s="92" customFormat="1" ht="13.2">
      <c r="B188" s="116"/>
    </row>
    <row r="189" spans="2:2" s="92" customFormat="1" ht="13.2">
      <c r="B189" s="116"/>
    </row>
    <row r="190" spans="2:2" s="92" customFormat="1" ht="13.2">
      <c r="B190" s="116"/>
    </row>
    <row r="191" spans="2:2" s="92" customFormat="1" ht="13.2">
      <c r="B191" s="116"/>
    </row>
    <row r="192" spans="2:2" s="92" customFormat="1" ht="13.2">
      <c r="B192" s="116"/>
    </row>
    <row r="193" spans="2:2" s="92" customFormat="1" ht="13.2">
      <c r="B193" s="116"/>
    </row>
    <row r="194" spans="2:2" s="92" customFormat="1" ht="13.2">
      <c r="B194" s="116"/>
    </row>
    <row r="195" spans="2:2" s="92" customFormat="1" ht="13.2">
      <c r="B195" s="116"/>
    </row>
    <row r="196" spans="2:2" s="92" customFormat="1" ht="13.2">
      <c r="B196" s="116"/>
    </row>
    <row r="197" spans="2:2" s="92" customFormat="1" ht="13.2">
      <c r="B197" s="116"/>
    </row>
    <row r="198" spans="2:2" s="92" customFormat="1" ht="13.2">
      <c r="B198" s="116"/>
    </row>
    <row r="199" spans="2:2" s="92" customFormat="1" ht="13.2">
      <c r="B199" s="116"/>
    </row>
    <row r="200" spans="2:2" s="92" customFormat="1" ht="13.2">
      <c r="B200" s="116"/>
    </row>
    <row r="201" spans="2:2" s="92" customFormat="1" ht="13.2">
      <c r="B201" s="116"/>
    </row>
    <row r="202" spans="2:2" s="92" customFormat="1" ht="13.2">
      <c r="B202" s="116"/>
    </row>
    <row r="203" spans="2:2" s="92" customFormat="1" ht="13.2">
      <c r="B203" s="116"/>
    </row>
    <row r="204" spans="2:2" s="92" customFormat="1" ht="13.2">
      <c r="B204" s="116"/>
    </row>
    <row r="205" spans="2:2" s="92" customFormat="1" ht="13.2">
      <c r="B205" s="116"/>
    </row>
    <row r="206" spans="2:2" s="92" customFormat="1" ht="13.2">
      <c r="B206" s="116"/>
    </row>
    <row r="207" spans="2:2" s="92" customFormat="1" ht="13.2">
      <c r="B207" s="116"/>
    </row>
    <row r="208" spans="2:2" s="92" customFormat="1" ht="13.2">
      <c r="B208" s="116"/>
    </row>
    <row r="209" spans="2:2" s="92" customFormat="1" ht="13.2">
      <c r="B209" s="116"/>
    </row>
    <row r="210" spans="2:2" s="92" customFormat="1" ht="13.2">
      <c r="B210" s="116"/>
    </row>
    <row r="211" spans="2:2" s="92" customFormat="1" ht="13.2">
      <c r="B211" s="116"/>
    </row>
    <row r="212" spans="2:2" s="92" customFormat="1" ht="13.2">
      <c r="B212" s="116"/>
    </row>
    <row r="213" spans="2:2" s="92" customFormat="1" ht="13.2">
      <c r="B213" s="116"/>
    </row>
    <row r="214" spans="2:2" s="92" customFormat="1" ht="13.2">
      <c r="B214" s="116"/>
    </row>
    <row r="215" spans="2:2" s="92" customFormat="1" ht="13.2">
      <c r="B215" s="116"/>
    </row>
    <row r="216" spans="2:2" s="92" customFormat="1" ht="13.2">
      <c r="B216" s="116"/>
    </row>
    <row r="217" spans="2:2" s="92" customFormat="1" ht="13.2">
      <c r="B217" s="116"/>
    </row>
    <row r="218" spans="2:2" s="92" customFormat="1" ht="13.2">
      <c r="B218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42"/>
  <sheetViews>
    <sheetView showGridLines="0" topLeftCell="A9" workbookViewId="0">
      <selection activeCell="F30" sqref="F30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6" ht="13.8" thickBot="1"/>
    <row r="2" spans="3:6" ht="13.8" thickBot="1">
      <c r="C2" s="83" t="s">
        <v>198</v>
      </c>
      <c r="F2" s="83" t="s">
        <v>199</v>
      </c>
    </row>
    <row r="3" spans="3:6">
      <c r="C3" s="79">
        <v>45658</v>
      </c>
      <c r="D3" s="73" t="s">
        <v>200</v>
      </c>
      <c r="F3" s="81" t="s">
        <v>201</v>
      </c>
    </row>
    <row r="4" spans="3:6">
      <c r="C4" s="79">
        <v>45737</v>
      </c>
      <c r="D4" s="73" t="s">
        <v>202</v>
      </c>
      <c r="F4" s="81" t="s">
        <v>203</v>
      </c>
    </row>
    <row r="5" spans="3:6">
      <c r="C5" s="79">
        <v>45765</v>
      </c>
      <c r="D5" s="73" t="s">
        <v>204</v>
      </c>
      <c r="F5" s="81" t="s">
        <v>205</v>
      </c>
    </row>
    <row r="6" spans="3:6" ht="13.8" thickBot="1">
      <c r="C6" s="79">
        <v>45768</v>
      </c>
      <c r="D6" s="73" t="s">
        <v>206</v>
      </c>
      <c r="F6" s="82" t="s">
        <v>207</v>
      </c>
    </row>
    <row r="7" spans="3:6">
      <c r="C7" s="79">
        <v>45774</v>
      </c>
      <c r="D7" s="73" t="s">
        <v>208</v>
      </c>
    </row>
    <row r="8" spans="3:6">
      <c r="C8" s="79">
        <v>45765</v>
      </c>
      <c r="D8" s="73" t="s">
        <v>209</v>
      </c>
    </row>
    <row r="9" spans="3:6">
      <c r="C9" s="79">
        <v>45778</v>
      </c>
      <c r="D9" s="73" t="s">
        <v>210</v>
      </c>
    </row>
    <row r="10" spans="3:6">
      <c r="C10" s="79">
        <v>45824</v>
      </c>
      <c r="D10" s="73" t="s">
        <v>211</v>
      </c>
    </row>
    <row r="11" spans="3:6">
      <c r="C11" s="79">
        <v>45878</v>
      </c>
      <c r="D11" s="73" t="s">
        <v>212</v>
      </c>
    </row>
    <row r="12" spans="3:6">
      <c r="C12" s="79">
        <v>45924</v>
      </c>
      <c r="D12" s="73" t="s">
        <v>213</v>
      </c>
    </row>
    <row r="13" spans="3:6">
      <c r="C13" s="79">
        <v>46007</v>
      </c>
      <c r="D13" s="73" t="s">
        <v>214</v>
      </c>
    </row>
    <row r="14" spans="3:6">
      <c r="C14" s="79">
        <v>46008</v>
      </c>
      <c r="D14" s="73" t="s">
        <v>215</v>
      </c>
    </row>
    <row r="15" spans="3:6">
      <c r="C15" s="79">
        <v>46009</v>
      </c>
      <c r="D15" s="73" t="s">
        <v>215</v>
      </c>
    </row>
    <row r="16" spans="3:6">
      <c r="C16" s="79">
        <v>46010</v>
      </c>
      <c r="D16" s="73" t="s">
        <v>215</v>
      </c>
    </row>
    <row r="17" spans="3:4">
      <c r="C17" s="79">
        <v>46011</v>
      </c>
      <c r="D17" s="73" t="s">
        <v>215</v>
      </c>
    </row>
    <row r="18" spans="3:4">
      <c r="C18" s="79">
        <v>46012</v>
      </c>
      <c r="D18" s="73" t="s">
        <v>215</v>
      </c>
    </row>
    <row r="19" spans="3:4">
      <c r="C19" s="79">
        <v>46013</v>
      </c>
      <c r="D19" s="73" t="s">
        <v>215</v>
      </c>
    </row>
    <row r="20" spans="3:4">
      <c r="C20" s="79">
        <v>46014</v>
      </c>
      <c r="D20" s="73" t="s">
        <v>215</v>
      </c>
    </row>
    <row r="21" spans="3:4">
      <c r="C21" s="79">
        <v>46015</v>
      </c>
      <c r="D21" s="73" t="s">
        <v>215</v>
      </c>
    </row>
    <row r="22" spans="3:4">
      <c r="C22" s="79">
        <v>46016</v>
      </c>
      <c r="D22" s="73" t="s">
        <v>215</v>
      </c>
    </row>
    <row r="23" spans="3:4">
      <c r="C23" s="79">
        <v>46017</v>
      </c>
      <c r="D23" s="73" t="s">
        <v>215</v>
      </c>
    </row>
    <row r="24" spans="3:4">
      <c r="C24" s="79">
        <v>46018</v>
      </c>
      <c r="D24" s="73" t="s">
        <v>215</v>
      </c>
    </row>
    <row r="25" spans="3:4">
      <c r="C25" s="79">
        <v>46019</v>
      </c>
      <c r="D25" s="73" t="s">
        <v>215</v>
      </c>
    </row>
    <row r="26" spans="3:4">
      <c r="C26" s="79">
        <v>46020</v>
      </c>
      <c r="D26" s="73" t="s">
        <v>215</v>
      </c>
    </row>
    <row r="27" spans="3:4">
      <c r="C27" s="79">
        <v>46021</v>
      </c>
      <c r="D27" s="73" t="s">
        <v>215</v>
      </c>
    </row>
    <row r="28" spans="3:4">
      <c r="C28" s="79">
        <v>46022</v>
      </c>
      <c r="D28" s="73" t="s">
        <v>215</v>
      </c>
    </row>
    <row r="29" spans="3:4">
      <c r="C29" s="79">
        <v>46023</v>
      </c>
      <c r="D29" s="73" t="s">
        <v>215</v>
      </c>
    </row>
    <row r="30" spans="3:4">
      <c r="C30" s="79">
        <v>46024</v>
      </c>
      <c r="D30" s="73" t="s">
        <v>215</v>
      </c>
    </row>
    <row r="31" spans="3:4">
      <c r="C31" s="79">
        <v>46025</v>
      </c>
      <c r="D31" s="73" t="s">
        <v>215</v>
      </c>
    </row>
    <row r="32" spans="3:4">
      <c r="C32" s="79">
        <v>46026</v>
      </c>
      <c r="D32" s="73" t="s">
        <v>215</v>
      </c>
    </row>
    <row r="33" spans="3:4">
      <c r="C33" s="79">
        <v>46027</v>
      </c>
      <c r="D33" s="73" t="s">
        <v>215</v>
      </c>
    </row>
    <row r="34" spans="3:4">
      <c r="C34" s="79">
        <v>46028</v>
      </c>
      <c r="D34" s="73" t="s">
        <v>215</v>
      </c>
    </row>
    <row r="35" spans="3:4">
      <c r="C35" s="79">
        <v>46029</v>
      </c>
      <c r="D35" s="73" t="s">
        <v>215</v>
      </c>
    </row>
    <row r="36" spans="3:4">
      <c r="C36" s="79">
        <v>46030</v>
      </c>
      <c r="D36" s="73" t="s">
        <v>215</v>
      </c>
    </row>
    <row r="37" spans="3:4">
      <c r="C37" s="79">
        <v>46031</v>
      </c>
      <c r="D37" s="73" t="s">
        <v>215</v>
      </c>
    </row>
    <row r="38" spans="3:4">
      <c r="C38" s="79">
        <v>46032</v>
      </c>
      <c r="D38" s="73" t="s">
        <v>215</v>
      </c>
    </row>
    <row r="39" spans="3:4">
      <c r="C39" s="79">
        <v>46033</v>
      </c>
      <c r="D39" s="73" t="s">
        <v>215</v>
      </c>
    </row>
    <row r="40" spans="3:4">
      <c r="C40" s="79">
        <v>46034</v>
      </c>
      <c r="D40" s="73" t="s">
        <v>215</v>
      </c>
    </row>
    <row r="41" spans="3:4">
      <c r="C41" s="79">
        <v>46016</v>
      </c>
      <c r="D41" s="73" t="s">
        <v>216</v>
      </c>
    </row>
    <row r="42" spans="3:4" ht="13.8" thickBot="1">
      <c r="C42" s="80">
        <v>46017</v>
      </c>
      <c r="D42" s="73" t="s">
        <v>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H28" sqref="H28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" style="24" customWidth="1"/>
    <col min="10" max="10" width="21.5546875" style="24" customWidth="1"/>
    <col min="11" max="11" width="2" style="24" customWidth="1"/>
    <col min="12" max="12" width="53" style="24" customWidth="1"/>
    <col min="13" max="16384" width="8.44140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>
      <c r="A2" s="214"/>
      <c r="B2" s="218" t="s">
        <v>218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4" thickBot="1">
      <c r="A4" s="214"/>
      <c r="B4" s="807"/>
      <c r="C4" s="807"/>
      <c r="D4" s="807"/>
      <c r="E4" s="413"/>
      <c r="F4" s="219" t="s">
        <v>150</v>
      </c>
      <c r="G4" s="214"/>
      <c r="H4" s="219" t="s">
        <v>151</v>
      </c>
      <c r="I4" s="214"/>
      <c r="J4" s="220" t="s">
        <v>219</v>
      </c>
      <c r="K4" s="111"/>
      <c r="L4" s="111"/>
    </row>
    <row r="5" spans="1:12" ht="14.4" thickBot="1">
      <c r="A5" s="214"/>
      <c r="B5" s="808" t="s">
        <v>220</v>
      </c>
      <c r="C5" s="808"/>
      <c r="D5" s="808"/>
      <c r="E5" s="413"/>
      <c r="F5" s="221">
        <f>SUM(F9:F23)</f>
        <v>5836403.2100000009</v>
      </c>
      <c r="G5" s="216"/>
      <c r="H5" s="221">
        <f>SUM(H9:H23)</f>
        <v>7883350.8235000009</v>
      </c>
      <c r="I5" s="214"/>
      <c r="J5" s="222">
        <f>SUM(J9:J23)</f>
        <v>-2046947.6135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7" thickBot="1">
      <c r="A7" s="214"/>
      <c r="B7" s="224" t="s">
        <v>67</v>
      </c>
      <c r="C7" s="225"/>
      <c r="D7" s="224" t="s">
        <v>221</v>
      </c>
      <c r="E7" s="225"/>
      <c r="F7" s="226" t="s">
        <v>222</v>
      </c>
      <c r="G7" s="227"/>
      <c r="H7" s="226" t="s">
        <v>223</v>
      </c>
      <c r="I7" s="227"/>
      <c r="J7" s="226" t="s">
        <v>224</v>
      </c>
      <c r="K7" s="171"/>
      <c r="L7" s="114" t="s">
        <v>225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1222111.8400000001</v>
      </c>
      <c r="G9" s="85"/>
      <c r="H9" s="230">
        <f>'Expenditure Breakdown'!X6</f>
        <v>888586</v>
      </c>
      <c r="I9" s="88"/>
      <c r="J9" s="231">
        <f t="shared" ref="J9:J23" si="0">F9-H9</f>
        <v>333525.84000000008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400000</v>
      </c>
      <c r="G10" s="85"/>
      <c r="H10" s="230">
        <f>'Expenditure Breakdown'!X13</f>
        <v>216421.11</v>
      </c>
      <c r="I10" s="88"/>
      <c r="J10" s="231">
        <f t="shared" si="0"/>
        <v>183578.89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181584</v>
      </c>
      <c r="G11" s="85"/>
      <c r="H11" s="230">
        <f>'Expenditure Breakdown'!X21</f>
        <v>123340.5</v>
      </c>
      <c r="I11" s="88"/>
      <c r="J11" s="231">
        <f t="shared" si="0"/>
        <v>58243.5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525691.6</v>
      </c>
      <c r="G12" s="85"/>
      <c r="H12" s="230">
        <f>'Expenditure Breakdown'!X28</f>
        <v>631371.99999999988</v>
      </c>
      <c r="I12" s="88"/>
      <c r="J12" s="231">
        <f t="shared" si="0"/>
        <v>-105680.39999999991</v>
      </c>
      <c r="K12" s="172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174000</v>
      </c>
      <c r="G13" s="85"/>
      <c r="H13" s="230">
        <f>'Expenditure Breakdown'!X44</f>
        <v>124261.44</v>
      </c>
      <c r="I13" s="88"/>
      <c r="J13" s="231">
        <f t="shared" si="0"/>
        <v>49738.559999999998</v>
      </c>
      <c r="K13" s="172"/>
      <c r="L13" s="254"/>
    </row>
    <row r="14" spans="1:12">
      <c r="A14" s="214"/>
      <c r="B14" s="228">
        <f>'Expenditure Breakdown'!L52</f>
        <v>6</v>
      </c>
      <c r="C14" s="217"/>
      <c r="D14" s="229" t="str">
        <f>'Expenditure Breakdown'!M52</f>
        <v>6. AC Equipment</v>
      </c>
      <c r="E14" s="232"/>
      <c r="F14" s="230">
        <f>'Expenditure Breakdown'!I52</f>
        <v>567347.29</v>
      </c>
      <c r="G14" s="85"/>
      <c r="H14" s="230">
        <f>'Expenditure Breakdown'!X52</f>
        <v>235040</v>
      </c>
      <c r="I14" s="88"/>
      <c r="J14" s="231">
        <f t="shared" si="0"/>
        <v>332307.29000000004</v>
      </c>
      <c r="K14" s="172"/>
      <c r="L14" s="254"/>
    </row>
    <row r="15" spans="1:12">
      <c r="A15" s="214"/>
      <c r="B15" s="228">
        <f>'Expenditure Breakdown'!L66</f>
        <v>7</v>
      </c>
      <c r="C15" s="217"/>
      <c r="D15" s="229" t="str">
        <f>'Expenditure Breakdown'!M66</f>
        <v>7.BESS</v>
      </c>
      <c r="E15" s="232"/>
      <c r="F15" s="230">
        <f>'Expenditure Breakdown'!I66</f>
        <v>0</v>
      </c>
      <c r="G15" s="85"/>
      <c r="H15" s="230">
        <f>'Expenditure Breakdown'!X66</f>
        <v>0</v>
      </c>
      <c r="I15" s="88"/>
      <c r="J15" s="231">
        <f t="shared" si="0"/>
        <v>0</v>
      </c>
      <c r="K15" s="172"/>
      <c r="L15" s="254"/>
    </row>
    <row r="16" spans="1:12">
      <c r="A16" s="214"/>
      <c r="B16" s="228">
        <f>'Expenditure Breakdown'!L75</f>
        <v>8</v>
      </c>
      <c r="C16" s="217"/>
      <c r="D16" s="229" t="str">
        <f>'Expenditure Breakdown'!M75</f>
        <v xml:space="preserve">8. Product Add On </v>
      </c>
      <c r="E16" s="232"/>
      <c r="F16" s="230">
        <f>'Expenditure Breakdown'!I75</f>
        <v>2000000</v>
      </c>
      <c r="G16" s="85"/>
      <c r="H16" s="230">
        <f>'Expenditure Breakdown'!X75</f>
        <v>4913552.3600000003</v>
      </c>
      <c r="I16" s="88"/>
      <c r="J16" s="231">
        <f t="shared" si="0"/>
        <v>-2913552.3600000003</v>
      </c>
      <c r="K16" s="172"/>
      <c r="L16" s="254"/>
    </row>
    <row r="17" spans="1:12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371510</v>
      </c>
      <c r="G17" s="85"/>
      <c r="H17" s="230">
        <f>'Expenditure Breakdown'!X94</f>
        <v>476700</v>
      </c>
      <c r="I17" s="88"/>
      <c r="J17" s="231">
        <f t="shared" si="0"/>
        <v>-105190</v>
      </c>
      <c r="K17" s="172"/>
      <c r="L17" s="254"/>
    </row>
    <row r="18" spans="1:12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58106.5</v>
      </c>
      <c r="G18" s="85"/>
      <c r="H18" s="230">
        <f>'Expenditure Breakdown'!X107</f>
        <v>151047.47999999998</v>
      </c>
      <c r="I18" s="88"/>
      <c r="J18" s="231">
        <f t="shared" si="0"/>
        <v>-92940.979999999981</v>
      </c>
      <c r="K18" s="172"/>
      <c r="L18" s="254"/>
    </row>
    <row r="19" spans="1:12">
      <c r="A19" s="214"/>
      <c r="B19" s="228">
        <f>'Expenditure Breakdown'!L125</f>
        <v>11</v>
      </c>
      <c r="C19" s="217"/>
      <c r="D19" s="229" t="str">
        <f>'Expenditure Breakdown'!M125</f>
        <v>11. Due Dilligence</v>
      </c>
      <c r="E19" s="85"/>
      <c r="F19" s="230">
        <f>'Expenditure Breakdown'!I125</f>
        <v>94047</v>
      </c>
      <c r="G19" s="85"/>
      <c r="H19" s="230">
        <f>'Expenditure Breakdown'!X125</f>
        <v>61934.13</v>
      </c>
      <c r="I19" s="88"/>
      <c r="J19" s="231">
        <f t="shared" si="0"/>
        <v>32112.870000000003</v>
      </c>
      <c r="K19" s="172"/>
      <c r="L19" s="254"/>
    </row>
    <row r="20" spans="1:12">
      <c r="A20" s="214"/>
      <c r="B20" s="228">
        <f>'Expenditure Breakdown'!L131</f>
        <v>12</v>
      </c>
      <c r="C20" s="217"/>
      <c r="D20" s="229" t="str">
        <f>'Expenditure Breakdown'!M131</f>
        <v>12. BDP Commission</v>
      </c>
      <c r="E20" s="85"/>
      <c r="F20" s="230">
        <f>'Expenditure Breakdown'!I131</f>
        <v>0</v>
      </c>
      <c r="G20" s="85"/>
      <c r="H20" s="230">
        <f>'Expenditure Breakdown'!X131</f>
        <v>0</v>
      </c>
      <c r="I20" s="88"/>
      <c r="J20" s="231">
        <f t="shared" si="0"/>
        <v>0</v>
      </c>
      <c r="K20" s="172"/>
      <c r="L20" s="254"/>
    </row>
    <row r="21" spans="1:12">
      <c r="A21" s="214"/>
      <c r="B21" s="228">
        <f>'Expenditure Breakdown'!L134</f>
        <v>13</v>
      </c>
      <c r="C21" s="217"/>
      <c r="D21" s="229" t="str">
        <f>'Expenditure Breakdown'!M135</f>
        <v>13. Engineering</v>
      </c>
      <c r="E21" s="85"/>
      <c r="F21" s="230">
        <f>'Expenditure Breakdown'!I134</f>
        <v>234129.98</v>
      </c>
      <c r="G21" s="85"/>
      <c r="H21" s="230">
        <f>'Expenditure Breakdown'!X134</f>
        <v>58003.7235</v>
      </c>
      <c r="I21" s="88"/>
      <c r="J21" s="231">
        <f t="shared" si="0"/>
        <v>176126.25650000002</v>
      </c>
      <c r="K21" s="172"/>
      <c r="L21" s="254"/>
    </row>
    <row r="22" spans="1:12">
      <c r="A22" s="214"/>
      <c r="B22" s="228">
        <f>'Expenditure Breakdown'!L141</f>
        <v>14</v>
      </c>
      <c r="C22" s="217"/>
      <c r="D22" s="229" t="str">
        <f>'Expenditure Breakdown'!M141</f>
        <v>14. General Expenses</v>
      </c>
      <c r="E22" s="85"/>
      <c r="F22" s="230">
        <f>'Expenditure Breakdown'!I141</f>
        <v>7875</v>
      </c>
      <c r="G22" s="85"/>
      <c r="H22" s="230">
        <f>'Expenditure Breakdown'!X141</f>
        <v>3092.0799999999626</v>
      </c>
      <c r="I22" s="88"/>
      <c r="J22" s="231">
        <f t="shared" si="0"/>
        <v>4782.9200000000374</v>
      </c>
      <c r="K22" s="172"/>
      <c r="L22" s="254"/>
    </row>
    <row r="23" spans="1:12">
      <c r="A23" s="214"/>
      <c r="B23" s="228">
        <f>'Expenditure Breakdown'!L156</f>
        <v>15</v>
      </c>
      <c r="C23" s="217"/>
      <c r="D23" s="229" t="str">
        <f>'Expenditure Breakdown'!M156</f>
        <v>15. Service Add On</v>
      </c>
      <c r="E23" s="85"/>
      <c r="F23" s="230">
        <f>'Expenditure Breakdown'!I156</f>
        <v>0</v>
      </c>
      <c r="G23" s="85"/>
      <c r="H23" s="230">
        <f>'Expenditure Breakdown'!X156</f>
        <v>0</v>
      </c>
      <c r="I23" s="88"/>
      <c r="J23" s="231">
        <f t="shared" si="0"/>
        <v>0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226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abSelected="1" topLeftCell="M1" zoomScale="80" zoomScaleNormal="80" workbookViewId="0">
      <pane ySplit="4" topLeftCell="A10" activePane="bottomLeft" state="frozen"/>
      <selection activeCell="X33" sqref="X33"/>
      <selection pane="bottomLeft" activeCell="T21" sqref="T21"/>
    </sheetView>
  </sheetViews>
  <sheetFormatPr defaultColWidth="9.44140625" defaultRowHeight="13.8"/>
  <cols>
    <col min="1" max="1" width="2.44140625" style="111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8.44140625" style="70" hidden="1" customWidth="1"/>
    <col min="6" max="6" width="16.5546875" style="474" hidden="1" customWidth="1"/>
    <col min="7" max="7" width="17.44140625" style="24" hidden="1" customWidth="1"/>
    <col min="8" max="8" width="13" style="111" hidden="1" customWidth="1"/>
    <col min="9" max="9" width="22.44140625" style="349" hidden="1" customWidth="1"/>
    <col min="10" max="10" width="22.44140625" style="349" bestFit="1" customWidth="1"/>
    <col min="11" max="12" width="5.5546875" style="111" customWidth="1"/>
    <col min="13" max="13" width="25.5546875" style="111" customWidth="1"/>
    <col min="14" max="14" width="48.44140625" style="111" customWidth="1"/>
    <col min="15" max="15" width="16" style="111" bestFit="1" customWidth="1"/>
    <col min="16" max="17" width="17.44140625" style="111" customWidth="1"/>
    <col min="18" max="18" width="42" style="111" bestFit="1" customWidth="1"/>
    <col min="19" max="19" width="32.5546875" style="111" bestFit="1" customWidth="1"/>
    <col min="20" max="22" width="17.44140625" style="111" customWidth="1"/>
    <col min="23" max="23" width="15.5546875" style="111" customWidth="1"/>
    <col min="24" max="24" width="21" style="111" bestFit="1" customWidth="1"/>
    <col min="25" max="25" width="29.44140625" style="111" bestFit="1" customWidth="1"/>
    <col min="26" max="26" width="24.44140625" style="111" bestFit="1" customWidth="1"/>
    <col min="27" max="27" width="17.44140625" style="111" customWidth="1"/>
    <col min="28" max="28" width="7" style="111" customWidth="1"/>
    <col min="29" max="29" width="29.33203125" style="111" customWidth="1"/>
    <col min="30" max="76" width="17.44140625" style="111" customWidth="1"/>
    <col min="77" max="16384" width="9.441406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38" t="s">
        <v>227</v>
      </c>
      <c r="C2" s="739"/>
      <c r="D2" s="739"/>
      <c r="E2" s="739"/>
      <c r="F2" s="739"/>
      <c r="G2" s="739"/>
      <c r="H2" s="674"/>
      <c r="I2" s="257">
        <f>SUM(I6:I168)</f>
        <v>5836403.2100000009</v>
      </c>
      <c r="J2" s="257">
        <f>SUM(J6:J168)</f>
        <v>6640297.8750170004</v>
      </c>
      <c r="L2" s="740" t="s">
        <v>228</v>
      </c>
      <c r="M2" s="741"/>
      <c r="N2" s="741"/>
      <c r="O2" s="741"/>
      <c r="P2" s="741"/>
      <c r="Q2" s="741"/>
      <c r="R2" s="745" t="s">
        <v>229</v>
      </c>
      <c r="S2" s="746"/>
      <c r="T2" s="746"/>
      <c r="U2" s="746"/>
      <c r="V2" s="746"/>
      <c r="W2" s="747"/>
      <c r="X2" s="478">
        <f>SUM(X6:X168)</f>
        <v>7883350.8235000009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230</v>
      </c>
      <c r="C4" s="259" t="s">
        <v>231</v>
      </c>
      <c r="D4" s="259" t="s">
        <v>232</v>
      </c>
      <c r="E4" s="259" t="s">
        <v>233</v>
      </c>
      <c r="F4" s="465" t="s">
        <v>234</v>
      </c>
      <c r="G4" s="260" t="s">
        <v>235</v>
      </c>
      <c r="H4" s="371" t="s">
        <v>236</v>
      </c>
      <c r="I4" s="261" t="s">
        <v>237</v>
      </c>
      <c r="J4" s="261" t="str">
        <f>IF(J2-'Revenue Tracking'!D4&gt;=0, "Total Revenue", "ERROR on REV" )</f>
        <v>ERROR on REV</v>
      </c>
      <c r="K4" s="164"/>
      <c r="L4" s="258" t="s">
        <v>230</v>
      </c>
      <c r="M4" s="259" t="s">
        <v>238</v>
      </c>
      <c r="N4" s="259" t="s">
        <v>232</v>
      </c>
      <c r="O4" s="259" t="s">
        <v>233</v>
      </c>
      <c r="P4" s="465" t="s">
        <v>234</v>
      </c>
      <c r="Q4" s="373" t="s">
        <v>239</v>
      </c>
      <c r="R4" s="620" t="s">
        <v>240</v>
      </c>
      <c r="S4" s="621" t="s">
        <v>173</v>
      </c>
      <c r="T4" s="371" t="s">
        <v>174</v>
      </c>
      <c r="U4" s="372" t="s">
        <v>241</v>
      </c>
      <c r="V4" s="373" t="s">
        <v>242</v>
      </c>
      <c r="W4" s="371" t="s">
        <v>236</v>
      </c>
      <c r="X4" s="480" t="s">
        <v>237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2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243</v>
      </c>
      <c r="D6" s="281" t="s">
        <v>244</v>
      </c>
      <c r="E6" s="282"/>
      <c r="F6" s="437"/>
      <c r="G6" s="391">
        <v>1222111.8400000001</v>
      </c>
      <c r="H6" s="570">
        <f>H13</f>
        <v>45926</v>
      </c>
      <c r="I6" s="742">
        <f>SUM(G6:G11)</f>
        <v>1222111.8400000001</v>
      </c>
      <c r="J6" s="742">
        <f>D169</f>
        <v>1492013.321</v>
      </c>
      <c r="K6" s="388"/>
      <c r="L6" s="280">
        <v>1</v>
      </c>
      <c r="M6" s="417" t="s">
        <v>245</v>
      </c>
      <c r="N6" s="281" t="s">
        <v>246</v>
      </c>
      <c r="O6" s="547">
        <v>770</v>
      </c>
      <c r="P6" s="437">
        <f>1.95*590</f>
        <v>1150.5</v>
      </c>
      <c r="Q6" s="391">
        <f>O6*P6</f>
        <v>885885</v>
      </c>
      <c r="R6" s="586" t="s">
        <v>247</v>
      </c>
      <c r="S6" s="623" t="s">
        <v>248</v>
      </c>
      <c r="T6" s="669">
        <v>45900</v>
      </c>
      <c r="U6" s="671">
        <v>1492013.321</v>
      </c>
      <c r="V6" s="729">
        <f>J6-SUM(U6:U11)</f>
        <v>0</v>
      </c>
      <c r="W6" s="687">
        <v>45954</v>
      </c>
      <c r="X6" s="726">
        <f>SUM(Q6:Q11)</f>
        <v>888586</v>
      </c>
      <c r="Y6" s="482"/>
    </row>
    <row r="7" spans="1:76" ht="15" customHeight="1">
      <c r="B7" s="310">
        <v>1</v>
      </c>
      <c r="C7" s="418"/>
      <c r="D7" s="389" t="s">
        <v>249</v>
      </c>
      <c r="E7" s="390"/>
      <c r="F7" s="459"/>
      <c r="G7" s="314"/>
      <c r="H7" s="571"/>
      <c r="I7" s="743"/>
      <c r="J7" s="743"/>
      <c r="K7" s="287"/>
      <c r="L7" s="310">
        <v>1</v>
      </c>
      <c r="M7" s="312" t="s">
        <v>245</v>
      </c>
      <c r="N7" s="389" t="s">
        <v>250</v>
      </c>
      <c r="O7" s="548">
        <v>2</v>
      </c>
      <c r="P7" s="444">
        <v>1150.5</v>
      </c>
      <c r="Q7" s="314">
        <f>O7*P7</f>
        <v>2301</v>
      </c>
      <c r="R7" s="587"/>
      <c r="S7" s="624" t="s">
        <v>251</v>
      </c>
      <c r="T7" s="640">
        <v>46081</v>
      </c>
      <c r="U7" s="651">
        <v>0</v>
      </c>
      <c r="V7" s="730"/>
      <c r="W7" s="571">
        <v>46118</v>
      </c>
      <c r="X7" s="727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1"/>
      <c r="I8" s="743"/>
      <c r="J8" s="743"/>
      <c r="K8" s="287"/>
      <c r="L8" s="310">
        <v>1</v>
      </c>
      <c r="M8" s="312" t="s">
        <v>245</v>
      </c>
      <c r="N8" s="485" t="s">
        <v>252</v>
      </c>
      <c r="O8" s="549"/>
      <c r="P8" s="444"/>
      <c r="Q8" s="314">
        <v>400</v>
      </c>
      <c r="R8" s="587"/>
      <c r="S8" s="624" t="s">
        <v>251</v>
      </c>
      <c r="T8" s="640">
        <v>46081</v>
      </c>
      <c r="U8" s="651">
        <v>0</v>
      </c>
      <c r="V8" s="730"/>
      <c r="W8" s="571">
        <v>46118</v>
      </c>
      <c r="X8" s="727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2"/>
      <c r="I9" s="743"/>
      <c r="J9" s="743"/>
      <c r="K9" s="287"/>
      <c r="L9" s="310">
        <v>1</v>
      </c>
      <c r="M9" s="312" t="s">
        <v>245</v>
      </c>
      <c r="N9" s="485"/>
      <c r="O9" s="549"/>
      <c r="P9" s="444"/>
      <c r="Q9" s="386"/>
      <c r="R9" s="588"/>
      <c r="S9" s="625"/>
      <c r="T9" s="519" t="str">
        <f t="shared" ref="T9:T71" si="0">IF(W9&gt;1,EOMONTH(W9,0),"")</f>
        <v/>
      </c>
      <c r="U9" s="667">
        <v>0</v>
      </c>
      <c r="V9" s="730"/>
      <c r="W9" s="572"/>
      <c r="X9" s="727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2"/>
      <c r="I10" s="743"/>
      <c r="J10" s="743"/>
      <c r="K10" s="287"/>
      <c r="L10" s="310">
        <v>1</v>
      </c>
      <c r="M10" s="312" t="s">
        <v>245</v>
      </c>
      <c r="N10" s="485"/>
      <c r="O10" s="549"/>
      <c r="P10" s="444"/>
      <c r="Q10" s="386"/>
      <c r="R10" s="588"/>
      <c r="S10" s="625"/>
      <c r="T10" s="519" t="str">
        <f t="shared" si="0"/>
        <v/>
      </c>
      <c r="U10" s="667">
        <v>0</v>
      </c>
      <c r="V10" s="730"/>
      <c r="W10" s="572"/>
      <c r="X10" s="727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3"/>
      <c r="I11" s="744"/>
      <c r="J11" s="744"/>
      <c r="K11" s="288"/>
      <c r="L11" s="315">
        <v>1</v>
      </c>
      <c r="M11" s="419" t="s">
        <v>245</v>
      </c>
      <c r="N11" s="392"/>
      <c r="O11" s="550"/>
      <c r="P11" s="460"/>
      <c r="Q11" s="329"/>
      <c r="R11" s="589"/>
      <c r="S11" s="626"/>
      <c r="T11" s="520" t="str">
        <f t="shared" si="0"/>
        <v/>
      </c>
      <c r="U11" s="668">
        <v>0</v>
      </c>
      <c r="V11" s="731"/>
      <c r="W11" s="573"/>
      <c r="X11" s="728"/>
      <c r="Y11" s="604" t="s">
        <v>253</v>
      </c>
      <c r="Z11" s="605" t="s">
        <v>254</v>
      </c>
    </row>
    <row r="12" spans="1:76" ht="14.4" thickBot="1">
      <c r="A12" s="24"/>
      <c r="B12" s="275"/>
      <c r="C12" s="276"/>
      <c r="D12" s="277"/>
      <c r="E12" s="290"/>
      <c r="F12" s="456"/>
      <c r="G12" s="278"/>
      <c r="H12" s="574"/>
      <c r="I12" s="279"/>
      <c r="J12" s="279"/>
      <c r="K12" s="24"/>
      <c r="L12" s="275"/>
      <c r="M12" s="403"/>
      <c r="N12" s="277"/>
      <c r="O12" s="551"/>
      <c r="P12" s="456"/>
      <c r="Q12" s="278"/>
      <c r="R12" s="590"/>
      <c r="S12" s="659"/>
      <c r="T12" s="521" t="str">
        <f t="shared" si="0"/>
        <v/>
      </c>
      <c r="U12" s="505"/>
      <c r="V12" s="496"/>
      <c r="W12" s="574"/>
      <c r="X12" s="349"/>
      <c r="Y12" s="606" t="s">
        <v>255</v>
      </c>
      <c r="Z12" s="607">
        <f>G52</f>
        <v>567347.29</v>
      </c>
    </row>
    <row r="13" spans="1:76" ht="14.25" customHeight="1">
      <c r="B13" s="292">
        <v>2</v>
      </c>
      <c r="C13" s="318" t="s">
        <v>256</v>
      </c>
      <c r="D13" s="318" t="s">
        <v>257</v>
      </c>
      <c r="E13" s="364"/>
      <c r="F13" s="457"/>
      <c r="G13" s="295">
        <v>400000</v>
      </c>
      <c r="H13" s="575">
        <v>45926</v>
      </c>
      <c r="I13" s="748">
        <f>SUM(G13:G19)</f>
        <v>400000</v>
      </c>
      <c r="J13" s="748">
        <f>D170</f>
        <v>488339.37199999997</v>
      </c>
      <c r="K13" s="296"/>
      <c r="L13" s="292">
        <v>2</v>
      </c>
      <c r="M13" s="420" t="s">
        <v>258</v>
      </c>
      <c r="N13" s="318" t="s">
        <v>259</v>
      </c>
      <c r="O13" s="552">
        <v>4</v>
      </c>
      <c r="P13" s="457">
        <v>53700.89</v>
      </c>
      <c r="Q13" s="295">
        <f>O13*P13</f>
        <v>214803.56</v>
      </c>
      <c r="R13" s="751" t="s">
        <v>260</v>
      </c>
      <c r="S13" s="660" t="s">
        <v>261</v>
      </c>
      <c r="T13" s="657">
        <v>45869</v>
      </c>
      <c r="U13" s="664">
        <v>484689.4815102109</v>
      </c>
      <c r="V13" s="732">
        <f>J13-SUM(U13:U19)</f>
        <v>0</v>
      </c>
      <c r="W13" s="701">
        <v>45926</v>
      </c>
      <c r="X13" s="735">
        <f>SUM(Q13:Q19)</f>
        <v>216421.11</v>
      </c>
      <c r="Y13" s="606" t="s">
        <v>262</v>
      </c>
      <c r="Z13" s="608">
        <f>G29</f>
        <v>292451.59999999998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6">
        <f>H13</f>
        <v>45926</v>
      </c>
      <c r="I14" s="749"/>
      <c r="J14" s="749"/>
      <c r="K14" s="300"/>
      <c r="L14" s="297">
        <v>2</v>
      </c>
      <c r="M14" s="426" t="s">
        <v>258</v>
      </c>
      <c r="N14" s="408" t="s">
        <v>263</v>
      </c>
      <c r="O14" s="553"/>
      <c r="P14" s="453"/>
      <c r="Q14" s="477">
        <v>396.44</v>
      </c>
      <c r="R14" s="752"/>
      <c r="S14" s="660" t="s">
        <v>261</v>
      </c>
      <c r="T14" s="658">
        <v>45869</v>
      </c>
      <c r="U14" s="665">
        <v>894.53963449166304</v>
      </c>
      <c r="V14" s="733"/>
      <c r="W14" s="702">
        <f>W13</f>
        <v>45926</v>
      </c>
      <c r="X14" s="736"/>
      <c r="Y14" s="606" t="s">
        <v>264</v>
      </c>
      <c r="Z14" s="607">
        <f>G94</f>
        <v>113490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6">
        <v>45926</v>
      </c>
      <c r="I15" s="749"/>
      <c r="J15" s="749"/>
      <c r="K15" s="300"/>
      <c r="L15" s="297">
        <v>2</v>
      </c>
      <c r="M15" s="426" t="s">
        <v>258</v>
      </c>
      <c r="N15" s="408" t="s">
        <v>265</v>
      </c>
      <c r="O15" s="553"/>
      <c r="P15" s="453"/>
      <c r="Q15" s="477">
        <v>1221.1099999999999</v>
      </c>
      <c r="R15" s="592"/>
      <c r="S15" s="660" t="s">
        <v>261</v>
      </c>
      <c r="T15" s="658">
        <v>45869</v>
      </c>
      <c r="U15" s="665">
        <v>2755.3508552974336</v>
      </c>
      <c r="V15" s="733"/>
      <c r="W15" s="702">
        <v>45926</v>
      </c>
      <c r="X15" s="736"/>
      <c r="Y15" s="606" t="s">
        <v>266</v>
      </c>
      <c r="Z15" s="607">
        <f>G95</f>
        <v>258020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6"/>
      <c r="I16" s="749"/>
      <c r="J16" s="749"/>
      <c r="K16" s="300"/>
      <c r="L16" s="297">
        <v>2</v>
      </c>
      <c r="M16" s="426" t="s">
        <v>258</v>
      </c>
      <c r="N16" s="408"/>
      <c r="O16" s="553"/>
      <c r="P16" s="453"/>
      <c r="Q16" s="477"/>
      <c r="R16" s="592"/>
      <c r="S16" s="629"/>
      <c r="T16" s="523" t="str">
        <f t="shared" si="0"/>
        <v/>
      </c>
      <c r="U16" s="507">
        <f>(Q16/$X$13*$J$13)</f>
        <v>0</v>
      </c>
      <c r="V16" s="733"/>
      <c r="W16" s="576"/>
      <c r="X16" s="736"/>
      <c r="Y16" s="606" t="s">
        <v>267</v>
      </c>
      <c r="Z16" s="607">
        <f>G107</f>
        <v>8500</v>
      </c>
    </row>
    <row r="17" spans="1:30" ht="14.25" customHeight="1">
      <c r="B17" s="297">
        <v>2</v>
      </c>
      <c r="C17" s="426"/>
      <c r="D17" s="408"/>
      <c r="E17" s="487"/>
      <c r="F17" s="453"/>
      <c r="G17" s="477"/>
      <c r="H17" s="576"/>
      <c r="I17" s="749"/>
      <c r="J17" s="749"/>
      <c r="K17" s="300"/>
      <c r="L17" s="297">
        <v>2</v>
      </c>
      <c r="M17" s="426" t="s">
        <v>258</v>
      </c>
      <c r="N17" s="408"/>
      <c r="O17" s="553"/>
      <c r="P17" s="453"/>
      <c r="Q17" s="477"/>
      <c r="R17" s="592"/>
      <c r="S17" s="629"/>
      <c r="T17" s="523" t="str">
        <f t="shared" si="0"/>
        <v/>
      </c>
      <c r="U17" s="507">
        <f>(Q17/$X$13*$J$13)</f>
        <v>0</v>
      </c>
      <c r="V17" s="733"/>
      <c r="W17" s="576"/>
      <c r="X17" s="736"/>
      <c r="Y17" s="606" t="s">
        <v>268</v>
      </c>
      <c r="Z17" s="607">
        <f>G108</f>
        <v>44056.5</v>
      </c>
    </row>
    <row r="18" spans="1:30" ht="14.25" customHeight="1">
      <c r="B18" s="297">
        <v>2</v>
      </c>
      <c r="C18" s="426"/>
      <c r="D18" s="408"/>
      <c r="E18" s="487"/>
      <c r="F18" s="453"/>
      <c r="G18" s="477"/>
      <c r="H18" s="576"/>
      <c r="I18" s="749"/>
      <c r="J18" s="749"/>
      <c r="K18" s="300"/>
      <c r="L18" s="297">
        <v>2</v>
      </c>
      <c r="M18" s="426" t="s">
        <v>258</v>
      </c>
      <c r="N18" s="408"/>
      <c r="O18" s="553"/>
      <c r="P18" s="453"/>
      <c r="Q18" s="477"/>
      <c r="R18" s="592"/>
      <c r="S18" s="629"/>
      <c r="T18" s="523" t="str">
        <f t="shared" si="0"/>
        <v/>
      </c>
      <c r="U18" s="507">
        <f>(Q18/$X$13*$J$13)</f>
        <v>0</v>
      </c>
      <c r="V18" s="733"/>
      <c r="W18" s="576"/>
      <c r="X18" s="736"/>
      <c r="Y18" s="606" t="s">
        <v>269</v>
      </c>
      <c r="Z18" s="607" t="e">
        <f>#REF!</f>
        <v>#REF!</v>
      </c>
    </row>
    <row r="19" spans="1:30" ht="15" customHeight="1" thickBot="1">
      <c r="B19" s="395">
        <v>2</v>
      </c>
      <c r="C19" s="396"/>
      <c r="D19" s="396"/>
      <c r="E19" s="397"/>
      <c r="F19" s="467"/>
      <c r="G19" s="398"/>
      <c r="H19" s="577"/>
      <c r="I19" s="750"/>
      <c r="J19" s="750"/>
      <c r="K19" s="305"/>
      <c r="L19" s="395">
        <v>2</v>
      </c>
      <c r="M19" s="421" t="s">
        <v>258</v>
      </c>
      <c r="N19" s="396"/>
      <c r="O19" s="554"/>
      <c r="P19" s="467"/>
      <c r="Q19" s="398"/>
      <c r="R19" s="593"/>
      <c r="S19" s="630"/>
      <c r="T19" s="524" t="str">
        <f t="shared" si="0"/>
        <v/>
      </c>
      <c r="U19" s="508">
        <f>(Q19/$X$13*$J$13)</f>
        <v>0</v>
      </c>
      <c r="V19" s="734"/>
      <c r="W19" s="577"/>
      <c r="X19" s="737"/>
      <c r="Y19" s="606" t="s">
        <v>270</v>
      </c>
      <c r="Z19" s="607">
        <v>0</v>
      </c>
    </row>
    <row r="20" spans="1:30" ht="14.4" thickBot="1">
      <c r="A20" s="24"/>
      <c r="B20" s="289"/>
      <c r="C20" s="276"/>
      <c r="D20" s="276"/>
      <c r="E20" s="290"/>
      <c r="F20" s="456"/>
      <c r="G20" s="291"/>
      <c r="H20" s="574"/>
      <c r="I20" s="279"/>
      <c r="J20" s="279"/>
      <c r="K20" s="24"/>
      <c r="L20" s="289"/>
      <c r="M20" s="276"/>
      <c r="N20" s="276"/>
      <c r="O20" s="551"/>
      <c r="P20" s="456"/>
      <c r="Q20" s="291"/>
      <c r="R20" s="590"/>
      <c r="S20" s="627"/>
      <c r="T20" s="521" t="str">
        <f t="shared" si="0"/>
        <v/>
      </c>
      <c r="U20" s="509"/>
      <c r="V20" s="492"/>
      <c r="W20" s="574"/>
      <c r="X20" s="349"/>
      <c r="Y20" s="606"/>
      <c r="Z20" s="607"/>
    </row>
    <row r="21" spans="1:30" ht="14.25" customHeight="1">
      <c r="B21" s="280">
        <v>3</v>
      </c>
      <c r="C21" s="308" t="s">
        <v>271</v>
      </c>
      <c r="D21" s="326" t="s">
        <v>272</v>
      </c>
      <c r="E21" s="282"/>
      <c r="F21" s="437"/>
      <c r="G21" s="283">
        <v>181584</v>
      </c>
      <c r="H21" s="537">
        <v>45899</v>
      </c>
      <c r="I21" s="742">
        <f>SUM(G21:G26)</f>
        <v>181584</v>
      </c>
      <c r="J21" s="742">
        <f>D171</f>
        <v>221686.54130000001</v>
      </c>
      <c r="K21" s="284"/>
      <c r="L21" s="280">
        <v>3</v>
      </c>
      <c r="M21" s="422" t="s">
        <v>273</v>
      </c>
      <c r="N21" s="326" t="s">
        <v>274</v>
      </c>
      <c r="O21" s="547"/>
      <c r="P21" s="437"/>
      <c r="Q21" s="283">
        <v>122040.5</v>
      </c>
      <c r="R21" s="594" t="s">
        <v>275</v>
      </c>
      <c r="S21" s="631" t="s">
        <v>276</v>
      </c>
      <c r="T21" s="655">
        <v>45869</v>
      </c>
      <c r="U21" s="666">
        <v>221686.54130000001</v>
      </c>
      <c r="V21" s="729">
        <f>J21-SUM(U21:U26)</f>
        <v>0</v>
      </c>
      <c r="W21" s="537">
        <v>45899</v>
      </c>
      <c r="X21" s="726">
        <f>SUM(Q21:Q26)</f>
        <v>123340.5</v>
      </c>
      <c r="Y21" s="606" t="s">
        <v>277</v>
      </c>
      <c r="Z21" s="609">
        <v>0</v>
      </c>
    </row>
    <row r="22" spans="1:30" ht="14.25" customHeight="1">
      <c r="B22" s="310">
        <v>3</v>
      </c>
      <c r="C22" s="311"/>
      <c r="D22" s="327"/>
      <c r="E22" s="313"/>
      <c r="F22" s="459"/>
      <c r="G22" s="314"/>
      <c r="H22" s="571"/>
      <c r="I22" s="743"/>
      <c r="J22" s="743"/>
      <c r="K22" s="287"/>
      <c r="L22" s="310">
        <v>3</v>
      </c>
      <c r="M22" s="423" t="s">
        <v>273</v>
      </c>
      <c r="N22" s="327"/>
      <c r="O22" s="548"/>
      <c r="P22" s="459"/>
      <c r="Q22" s="314"/>
      <c r="R22" s="587"/>
      <c r="S22" s="624"/>
      <c r="T22" s="518" t="str">
        <f t="shared" si="0"/>
        <v/>
      </c>
      <c r="U22" s="651">
        <v>0</v>
      </c>
      <c r="V22" s="730"/>
      <c r="W22" s="571"/>
      <c r="X22" s="727"/>
      <c r="Y22" s="606" t="s">
        <v>197</v>
      </c>
      <c r="Z22" s="607" t="e">
        <f>SUM(Z12:Z21)</f>
        <v>#REF!</v>
      </c>
    </row>
    <row r="23" spans="1:30" ht="14.25" customHeight="1">
      <c r="B23" s="310">
        <v>3</v>
      </c>
      <c r="C23" s="311"/>
      <c r="D23" s="327"/>
      <c r="E23" s="313"/>
      <c r="F23" s="459"/>
      <c r="G23" s="314"/>
      <c r="H23" s="571"/>
      <c r="I23" s="743"/>
      <c r="J23" s="743"/>
      <c r="K23" s="287"/>
      <c r="L23" s="310">
        <v>3</v>
      </c>
      <c r="M23" s="423" t="s">
        <v>273</v>
      </c>
      <c r="N23" s="327" t="s">
        <v>278</v>
      </c>
      <c r="O23" s="548"/>
      <c r="P23" s="459"/>
      <c r="Q23" s="314">
        <v>1300</v>
      </c>
      <c r="R23" s="587" t="s">
        <v>279</v>
      </c>
      <c r="S23" s="624"/>
      <c r="T23" s="518">
        <v>46081</v>
      </c>
      <c r="U23" s="651">
        <v>0</v>
      </c>
      <c r="V23" s="730"/>
      <c r="W23" s="571">
        <v>46112</v>
      </c>
      <c r="X23" s="727"/>
      <c r="Y23" s="606" t="s">
        <v>280</v>
      </c>
      <c r="Z23" s="610" t="e">
        <f>+Z22*0.85</f>
        <v>#REF!</v>
      </c>
    </row>
    <row r="24" spans="1:30" ht="14.25" customHeight="1">
      <c r="B24" s="310">
        <v>3</v>
      </c>
      <c r="C24" s="384"/>
      <c r="D24" s="385"/>
      <c r="E24" s="406"/>
      <c r="F24" s="444"/>
      <c r="G24" s="386"/>
      <c r="H24" s="572"/>
      <c r="I24" s="743"/>
      <c r="J24" s="743"/>
      <c r="K24" s="287"/>
      <c r="L24" s="310">
        <v>3</v>
      </c>
      <c r="M24" s="423" t="s">
        <v>273</v>
      </c>
      <c r="N24" s="385"/>
      <c r="O24" s="549"/>
      <c r="P24" s="444"/>
      <c r="Q24" s="386"/>
      <c r="R24" s="588"/>
      <c r="S24" s="625"/>
      <c r="T24" s="519" t="str">
        <f t="shared" si="0"/>
        <v/>
      </c>
      <c r="U24" s="667">
        <v>0</v>
      </c>
      <c r="V24" s="730"/>
      <c r="W24" s="572"/>
      <c r="X24" s="727"/>
      <c r="Y24" s="611" t="s">
        <v>281</v>
      </c>
      <c r="Z24" s="609" t="e">
        <f>Z23/'Project Plan'!$E$3/1000</f>
        <v>#REF!</v>
      </c>
    </row>
    <row r="25" spans="1:30" ht="14.25" customHeight="1">
      <c r="B25" s="310">
        <v>3</v>
      </c>
      <c r="C25" s="384"/>
      <c r="D25" s="385"/>
      <c r="E25" s="406"/>
      <c r="F25" s="444"/>
      <c r="G25" s="386"/>
      <c r="H25" s="572"/>
      <c r="I25" s="743"/>
      <c r="J25" s="743"/>
      <c r="K25" s="287"/>
      <c r="L25" s="310">
        <v>3</v>
      </c>
      <c r="M25" s="423" t="s">
        <v>273</v>
      </c>
      <c r="N25" s="385"/>
      <c r="O25" s="549"/>
      <c r="P25" s="444"/>
      <c r="Q25" s="386"/>
      <c r="R25" s="588"/>
      <c r="S25" s="625"/>
      <c r="T25" s="519" t="str">
        <f t="shared" si="0"/>
        <v/>
      </c>
      <c r="U25" s="667">
        <v>0</v>
      </c>
      <c r="V25" s="730"/>
      <c r="W25" s="572"/>
      <c r="X25" s="727"/>
    </row>
    <row r="26" spans="1:30" ht="15" customHeight="1" thickBot="1">
      <c r="B26" s="315">
        <v>3</v>
      </c>
      <c r="C26" s="336"/>
      <c r="D26" s="328"/>
      <c r="E26" s="317"/>
      <c r="F26" s="460"/>
      <c r="G26" s="329"/>
      <c r="H26" s="573"/>
      <c r="I26" s="744"/>
      <c r="J26" s="744"/>
      <c r="K26" s="288"/>
      <c r="L26" s="315">
        <v>3</v>
      </c>
      <c r="M26" s="424" t="s">
        <v>273</v>
      </c>
      <c r="N26" s="328"/>
      <c r="O26" s="550"/>
      <c r="P26" s="460"/>
      <c r="Q26" s="329"/>
      <c r="R26" s="589"/>
      <c r="S26" s="626"/>
      <c r="T26" s="520" t="str">
        <f t="shared" si="0"/>
        <v/>
      </c>
      <c r="U26" s="668">
        <v>0</v>
      </c>
      <c r="V26" s="731"/>
      <c r="W26" s="573"/>
      <c r="X26" s="728"/>
      <c r="Y26" s="612" t="s">
        <v>282</v>
      </c>
      <c r="Z26" s="613" t="s">
        <v>283</v>
      </c>
      <c r="AC26" s="612" t="s">
        <v>284</v>
      </c>
      <c r="AD26" s="613" t="s">
        <v>283</v>
      </c>
    </row>
    <row r="27" spans="1:30" ht="14.4" thickBot="1">
      <c r="A27" s="24"/>
      <c r="B27" s="289"/>
      <c r="C27" s="306"/>
      <c r="D27" s="307"/>
      <c r="E27" s="290"/>
      <c r="F27" s="456"/>
      <c r="G27" s="291"/>
      <c r="H27" s="574"/>
      <c r="I27" s="279"/>
      <c r="J27" s="279"/>
      <c r="K27" s="24"/>
      <c r="L27" s="289"/>
      <c r="M27" s="306"/>
      <c r="N27" s="307"/>
      <c r="O27" s="551"/>
      <c r="P27" s="456"/>
      <c r="Q27" s="291"/>
      <c r="R27" s="590"/>
      <c r="S27" s="627"/>
      <c r="T27" s="521" t="str">
        <f t="shared" si="0"/>
        <v/>
      </c>
      <c r="U27" s="509"/>
      <c r="V27" s="492"/>
      <c r="W27" s="574"/>
      <c r="X27" s="349"/>
      <c r="Y27" s="614" t="str">
        <f>Y12</f>
        <v>AC Equipment</v>
      </c>
      <c r="Z27" s="615">
        <v>235040</v>
      </c>
      <c r="AC27" s="614" t="s">
        <v>255</v>
      </c>
      <c r="AD27" s="615">
        <v>267902.5</v>
      </c>
    </row>
    <row r="28" spans="1:30" ht="14.25" customHeight="1">
      <c r="B28" s="292">
        <v>4</v>
      </c>
      <c r="C28" s="293" t="s">
        <v>262</v>
      </c>
      <c r="D28" s="293" t="s">
        <v>285</v>
      </c>
      <c r="E28" s="364"/>
      <c r="F28" s="457"/>
      <c r="G28" s="295">
        <v>233240</v>
      </c>
      <c r="H28" s="575">
        <v>45900</v>
      </c>
      <c r="I28" s="748">
        <f>SUM(G28:G42)</f>
        <v>525691.6</v>
      </c>
      <c r="J28" s="748">
        <f>D172</f>
        <v>641789.76450000005</v>
      </c>
      <c r="K28" s="296"/>
      <c r="L28" s="292">
        <v>4</v>
      </c>
      <c r="M28" s="425" t="s">
        <v>286</v>
      </c>
      <c r="N28" s="293" t="s">
        <v>287</v>
      </c>
      <c r="O28" s="543">
        <v>18000</v>
      </c>
      <c r="P28" s="457">
        <v>13.5</v>
      </c>
      <c r="Q28" s="295">
        <f>O28*P28</f>
        <v>243000</v>
      </c>
      <c r="R28" s="591"/>
      <c r="S28" s="628" t="s">
        <v>288</v>
      </c>
      <c r="T28" s="656">
        <v>45869</v>
      </c>
      <c r="U28" s="664">
        <v>308594.28851123527</v>
      </c>
      <c r="V28" s="732">
        <f>J28-SUM(U28:U42)</f>
        <v>0</v>
      </c>
      <c r="W28" s="701">
        <v>45900</v>
      </c>
      <c r="X28" s="735">
        <f>SUM(Q28:Q42)</f>
        <v>631371.99999999988</v>
      </c>
      <c r="Y28" s="614" t="str">
        <f t="shared" ref="Y28:Y33" si="1">Y13</f>
        <v>DC Equipment</v>
      </c>
      <c r="Z28" s="615">
        <v>262372</v>
      </c>
      <c r="AC28" s="614">
        <f t="shared" ref="AC28" si="2">AC13</f>
        <v>0</v>
      </c>
      <c r="AD28" s="615"/>
    </row>
    <row r="29" spans="1:30" ht="14.25" customHeight="1">
      <c r="B29" s="319">
        <v>4</v>
      </c>
      <c r="C29" s="408"/>
      <c r="D29" s="408" t="s">
        <v>289</v>
      </c>
      <c r="E29" s="394"/>
      <c r="F29" s="453"/>
      <c r="G29" s="545">
        <v>292451.59999999998</v>
      </c>
      <c r="H29" s="575">
        <v>45900</v>
      </c>
      <c r="I29" s="749"/>
      <c r="J29" s="749"/>
      <c r="K29" s="300"/>
      <c r="L29" s="297">
        <v>4</v>
      </c>
      <c r="M29" s="426" t="s">
        <v>286</v>
      </c>
      <c r="N29" s="408" t="s">
        <v>287</v>
      </c>
      <c r="O29" s="544">
        <v>9000</v>
      </c>
      <c r="P29" s="453">
        <v>14</v>
      </c>
      <c r="Q29" s="299">
        <f>O29*P29</f>
        <v>126000</v>
      </c>
      <c r="R29" s="592" t="s">
        <v>290</v>
      </c>
      <c r="S29" s="629" t="s">
        <v>291</v>
      </c>
      <c r="T29" s="645">
        <v>46053</v>
      </c>
      <c r="U29" s="720">
        <v>0</v>
      </c>
      <c r="V29" s="733"/>
      <c r="W29" s="536">
        <v>46081</v>
      </c>
      <c r="X29" s="736"/>
      <c r="Y29" s="614" t="str">
        <f t="shared" si="1"/>
        <v>AC Labour</v>
      </c>
      <c r="Z29" s="615">
        <v>136200</v>
      </c>
      <c r="AC29" s="614" t="s">
        <v>264</v>
      </c>
      <c r="AD29" s="615">
        <v>136200</v>
      </c>
    </row>
    <row r="30" spans="1:30" ht="14.25" customHeight="1">
      <c r="B30" s="319">
        <v>4</v>
      </c>
      <c r="C30" s="408"/>
      <c r="D30" s="408"/>
      <c r="E30" s="394"/>
      <c r="F30" s="453"/>
      <c r="G30" s="299"/>
      <c r="H30" s="576"/>
      <c r="I30" s="749"/>
      <c r="J30" s="749"/>
      <c r="K30" s="300"/>
      <c r="L30" s="297">
        <v>4</v>
      </c>
      <c r="M30" s="426" t="s">
        <v>286</v>
      </c>
      <c r="N30" s="408"/>
      <c r="O30" s="544"/>
      <c r="P30" s="453"/>
      <c r="Q30" s="299"/>
      <c r="R30" s="592"/>
      <c r="S30" s="629"/>
      <c r="T30" s="523" t="str">
        <f t="shared" si="0"/>
        <v/>
      </c>
      <c r="U30" s="507">
        <f>(Q30/$X$28*$J$28)</f>
        <v>0</v>
      </c>
      <c r="V30" s="733"/>
      <c r="W30" s="576"/>
      <c r="X30" s="736"/>
      <c r="Y30" s="614" t="str">
        <f t="shared" si="1"/>
        <v>DC Labour</v>
      </c>
      <c r="Z30" s="615">
        <v>340500</v>
      </c>
      <c r="AC30" s="614">
        <f t="shared" ref="AC30" si="3">AC15</f>
        <v>0</v>
      </c>
      <c r="AD30" s="615"/>
    </row>
    <row r="31" spans="1:30" ht="14.25" customHeight="1">
      <c r="B31" s="319">
        <v>4</v>
      </c>
      <c r="C31" s="408"/>
      <c r="D31" s="408"/>
      <c r="E31" s="394"/>
      <c r="F31" s="453"/>
      <c r="G31" s="299"/>
      <c r="H31" s="576"/>
      <c r="I31" s="749"/>
      <c r="J31" s="749"/>
      <c r="K31" s="300"/>
      <c r="L31" s="297">
        <v>4</v>
      </c>
      <c r="M31" s="426" t="s">
        <v>286</v>
      </c>
      <c r="N31" s="408"/>
      <c r="O31" s="553"/>
      <c r="P31" s="453"/>
      <c r="Q31" s="299"/>
      <c r="R31" s="592"/>
      <c r="S31" s="629"/>
      <c r="T31" s="523" t="str">
        <f t="shared" si="0"/>
        <v/>
      </c>
      <c r="U31" s="507">
        <f>(Q31/$X$28*$J$28)</f>
        <v>0</v>
      </c>
      <c r="V31" s="733"/>
      <c r="W31" s="576"/>
      <c r="X31" s="736"/>
      <c r="Y31" s="614" t="str">
        <f t="shared" si="1"/>
        <v>Offloading</v>
      </c>
      <c r="Z31" s="615">
        <v>8800</v>
      </c>
      <c r="AC31" s="614">
        <f t="shared" ref="AC31" si="4">AC16</f>
        <v>0</v>
      </c>
      <c r="AD31" s="615"/>
    </row>
    <row r="32" spans="1:30" ht="14.25" customHeight="1">
      <c r="B32" s="319">
        <v>4</v>
      </c>
      <c r="C32" s="408"/>
      <c r="D32" s="408"/>
      <c r="E32" s="394"/>
      <c r="F32" s="453"/>
      <c r="G32" s="299"/>
      <c r="H32" s="536">
        <f>H95</f>
        <v>45883</v>
      </c>
      <c r="I32" s="749"/>
      <c r="J32" s="749"/>
      <c r="K32" s="300"/>
      <c r="L32" s="297">
        <v>4</v>
      </c>
      <c r="M32" s="426" t="s">
        <v>286</v>
      </c>
      <c r="N32" s="408" t="s">
        <v>292</v>
      </c>
      <c r="O32" s="564">
        <f>Z28</f>
        <v>262372</v>
      </c>
      <c r="P32" s="565">
        <v>0.1</v>
      </c>
      <c r="Q32" s="299">
        <f>$O$32*P32</f>
        <v>26237.200000000001</v>
      </c>
      <c r="R32" s="753" t="s">
        <v>293</v>
      </c>
      <c r="S32" s="629" t="s">
        <v>294</v>
      </c>
      <c r="T32" s="645">
        <v>45869</v>
      </c>
      <c r="U32" s="665">
        <v>33319.547598876474</v>
      </c>
      <c r="V32" s="733"/>
      <c r="W32" s="536">
        <f>W95</f>
        <v>45883</v>
      </c>
      <c r="X32" s="736"/>
      <c r="Y32" s="614" t="str">
        <f t="shared" si="1"/>
        <v>Scaffolding</v>
      </c>
      <c r="Z32" s="615"/>
      <c r="AC32" s="614">
        <f t="shared" ref="AC32" si="5">AC17</f>
        <v>0</v>
      </c>
      <c r="AD32" s="615"/>
    </row>
    <row r="33" spans="1:30" ht="14.25" customHeight="1">
      <c r="B33" s="319">
        <v>4</v>
      </c>
      <c r="C33" s="408"/>
      <c r="D33" s="408"/>
      <c r="E33" s="394"/>
      <c r="F33" s="453"/>
      <c r="G33" s="299"/>
      <c r="H33" s="536">
        <v>45869</v>
      </c>
      <c r="I33" s="749"/>
      <c r="J33" s="749"/>
      <c r="K33" s="300"/>
      <c r="L33" s="297">
        <v>4</v>
      </c>
      <c r="M33" s="426" t="s">
        <v>286</v>
      </c>
      <c r="N33" s="408" t="s">
        <v>88</v>
      </c>
      <c r="O33" s="553"/>
      <c r="P33" s="565">
        <v>0.15</v>
      </c>
      <c r="Q33" s="299">
        <f t="shared" ref="Q33:Q39" si="6">$O$32*P33</f>
        <v>39355.799999999996</v>
      </c>
      <c r="R33" s="754"/>
      <c r="S33" s="629" t="s">
        <v>295</v>
      </c>
      <c r="T33" s="645">
        <v>45869</v>
      </c>
      <c r="U33" s="665">
        <v>49979.321398314707</v>
      </c>
      <c r="V33" s="733"/>
      <c r="W33" s="536">
        <v>45869</v>
      </c>
      <c r="X33" s="736"/>
      <c r="Y33" s="614" t="str">
        <f t="shared" si="1"/>
        <v>Storage</v>
      </c>
      <c r="Z33" s="615">
        <v>9157.5</v>
      </c>
      <c r="AC33" s="614">
        <f t="shared" ref="AC33" si="7">AC18</f>
        <v>0</v>
      </c>
      <c r="AD33" s="615">
        <f>AD18</f>
        <v>0</v>
      </c>
    </row>
    <row r="34" spans="1:30" ht="14.25" customHeight="1">
      <c r="B34" s="319">
        <v>4</v>
      </c>
      <c r="C34" s="408"/>
      <c r="D34" s="408"/>
      <c r="E34" s="394"/>
      <c r="F34" s="453"/>
      <c r="G34" s="299"/>
      <c r="H34" s="576">
        <f t="shared" ref="H34:H39" si="8">H97</f>
        <v>45918</v>
      </c>
      <c r="I34" s="749"/>
      <c r="J34" s="749"/>
      <c r="K34" s="300"/>
      <c r="L34" s="297">
        <v>4</v>
      </c>
      <c r="M34" s="426" t="s">
        <v>286</v>
      </c>
      <c r="N34" s="408" t="s">
        <v>296</v>
      </c>
      <c r="O34" s="709"/>
      <c r="P34" s="565">
        <v>0.2</v>
      </c>
      <c r="Q34" s="299">
        <f t="shared" si="6"/>
        <v>52474.400000000001</v>
      </c>
      <c r="R34" s="754"/>
      <c r="S34" s="629" t="s">
        <v>297</v>
      </c>
      <c r="T34" s="645">
        <v>45900</v>
      </c>
      <c r="U34" s="665">
        <v>66639.095197752948</v>
      </c>
      <c r="V34" s="733"/>
      <c r="W34" s="702">
        <v>46009</v>
      </c>
      <c r="X34" s="736"/>
      <c r="Y34" s="614" t="s">
        <v>298</v>
      </c>
      <c r="Z34" s="615">
        <v>128590</v>
      </c>
      <c r="AC34" s="614">
        <f t="shared" ref="AC34" si="9">AC19</f>
        <v>0</v>
      </c>
      <c r="AD34" s="615">
        <f>AD19*0.75</f>
        <v>0</v>
      </c>
    </row>
    <row r="35" spans="1:30" ht="14.25" customHeight="1">
      <c r="B35" s="319">
        <v>4</v>
      </c>
      <c r="C35" s="408"/>
      <c r="D35" s="408"/>
      <c r="E35" s="394"/>
      <c r="F35" s="453"/>
      <c r="G35" s="299"/>
      <c r="H35" s="576" t="e">
        <f t="shared" si="8"/>
        <v>#REF!</v>
      </c>
      <c r="I35" s="749"/>
      <c r="J35" s="749"/>
      <c r="K35" s="300"/>
      <c r="L35" s="297">
        <v>4</v>
      </c>
      <c r="M35" s="426" t="s">
        <v>286</v>
      </c>
      <c r="N35" s="408" t="s">
        <v>299</v>
      </c>
      <c r="O35" s="553"/>
      <c r="P35" s="565">
        <v>0.25</v>
      </c>
      <c r="Q35" s="299">
        <f t="shared" si="6"/>
        <v>65593</v>
      </c>
      <c r="R35" s="754"/>
      <c r="S35" s="629" t="s">
        <v>297</v>
      </c>
      <c r="T35" s="645">
        <v>45900</v>
      </c>
      <c r="U35" s="665">
        <v>83298.868997191181</v>
      </c>
      <c r="V35" s="733"/>
      <c r="W35" s="536">
        <f t="shared" ref="W35:W39" si="10">W98</f>
        <v>46079</v>
      </c>
      <c r="X35" s="736"/>
      <c r="Y35" s="614" t="s">
        <v>83</v>
      </c>
      <c r="Z35" s="615">
        <v>4500</v>
      </c>
      <c r="AC35" s="614" t="s">
        <v>83</v>
      </c>
      <c r="AD35" s="615">
        <v>4500</v>
      </c>
    </row>
    <row r="36" spans="1:30" ht="14.25" customHeight="1">
      <c r="B36" s="319">
        <v>4</v>
      </c>
      <c r="C36" s="408"/>
      <c r="D36" s="408"/>
      <c r="E36" s="394"/>
      <c r="F36" s="453"/>
      <c r="G36" s="299"/>
      <c r="H36" s="576">
        <f t="shared" si="8"/>
        <v>45925</v>
      </c>
      <c r="I36" s="749"/>
      <c r="J36" s="749"/>
      <c r="K36" s="300"/>
      <c r="L36" s="297">
        <v>4</v>
      </c>
      <c r="M36" s="426" t="s">
        <v>286</v>
      </c>
      <c r="N36" s="408" t="s">
        <v>182</v>
      </c>
      <c r="O36" s="553"/>
      <c r="P36" s="565">
        <v>0.1</v>
      </c>
      <c r="Q36" s="299">
        <f t="shared" si="6"/>
        <v>26237.200000000001</v>
      </c>
      <c r="R36" s="754"/>
      <c r="S36" s="629" t="s">
        <v>297</v>
      </c>
      <c r="T36" s="645">
        <v>45900</v>
      </c>
      <c r="U36" s="665">
        <v>33319.547598876474</v>
      </c>
      <c r="V36" s="733"/>
      <c r="W36" s="576">
        <f t="shared" si="10"/>
        <v>46080</v>
      </c>
      <c r="X36" s="736"/>
      <c r="Y36" s="614" t="s">
        <v>277</v>
      </c>
      <c r="Z36" s="615">
        <v>0</v>
      </c>
      <c r="AC36" s="614" t="s">
        <v>277</v>
      </c>
      <c r="AD36" s="615">
        <v>0</v>
      </c>
    </row>
    <row r="37" spans="1:30" ht="14.25" customHeight="1">
      <c r="B37" s="319">
        <v>4</v>
      </c>
      <c r="C37" s="408"/>
      <c r="D37" s="408"/>
      <c r="E37" s="394"/>
      <c r="F37" s="453"/>
      <c r="G37" s="299"/>
      <c r="H37" s="576" t="e">
        <f t="shared" si="8"/>
        <v>#REF!</v>
      </c>
      <c r="I37" s="749"/>
      <c r="J37" s="749"/>
      <c r="K37" s="300"/>
      <c r="L37" s="297">
        <v>4</v>
      </c>
      <c r="M37" s="426" t="s">
        <v>286</v>
      </c>
      <c r="N37" s="408" t="s">
        <v>300</v>
      </c>
      <c r="O37" s="553"/>
      <c r="P37" s="565">
        <v>0.1</v>
      </c>
      <c r="Q37" s="299">
        <f t="shared" si="6"/>
        <v>26237.200000000001</v>
      </c>
      <c r="R37" s="754"/>
      <c r="S37" s="629" t="s">
        <v>297</v>
      </c>
      <c r="T37" s="645">
        <v>45900</v>
      </c>
      <c r="U37" s="665">
        <v>33319.547598876474</v>
      </c>
      <c r="V37" s="733"/>
      <c r="W37" s="576">
        <f t="shared" si="10"/>
        <v>46091</v>
      </c>
      <c r="X37" s="736"/>
      <c r="Y37" s="614" t="s">
        <v>277</v>
      </c>
      <c r="Z37" s="616">
        <v>0</v>
      </c>
      <c r="AC37" s="614" t="s">
        <v>277</v>
      </c>
      <c r="AD37" s="616">
        <v>0</v>
      </c>
    </row>
    <row r="38" spans="1:30" ht="14.25" customHeight="1">
      <c r="B38" s="319">
        <v>4</v>
      </c>
      <c r="C38" s="408"/>
      <c r="D38" s="408"/>
      <c r="E38" s="394"/>
      <c r="F38" s="453"/>
      <c r="G38" s="299"/>
      <c r="H38" s="576" t="e">
        <f t="shared" si="8"/>
        <v>#REF!</v>
      </c>
      <c r="I38" s="749"/>
      <c r="J38" s="749"/>
      <c r="K38" s="300"/>
      <c r="L38" s="297">
        <v>4</v>
      </c>
      <c r="M38" s="426" t="s">
        <v>286</v>
      </c>
      <c r="N38" s="408" t="s">
        <v>301</v>
      </c>
      <c r="O38" s="553"/>
      <c r="P38" s="565">
        <v>0.05</v>
      </c>
      <c r="Q38" s="299">
        <f t="shared" si="6"/>
        <v>13118.6</v>
      </c>
      <c r="R38" s="754"/>
      <c r="S38" s="629" t="s">
        <v>297</v>
      </c>
      <c r="T38" s="645">
        <v>45900</v>
      </c>
      <c r="U38" s="665">
        <v>16659.773799438237</v>
      </c>
      <c r="V38" s="733"/>
      <c r="W38" s="576">
        <f t="shared" si="10"/>
        <v>46091</v>
      </c>
      <c r="X38" s="736"/>
      <c r="Y38" s="614" t="s">
        <v>197</v>
      </c>
      <c r="Z38" s="615">
        <f>SUM(Z27:Z37)</f>
        <v>1125159.5</v>
      </c>
      <c r="AC38" s="614" t="s">
        <v>197</v>
      </c>
      <c r="AD38" s="615">
        <f>SUM(AD27:AD37)</f>
        <v>408602.5</v>
      </c>
    </row>
    <row r="39" spans="1:30" ht="14.25" customHeight="1">
      <c r="B39" s="319">
        <v>4</v>
      </c>
      <c r="C39" s="408"/>
      <c r="D39" s="408"/>
      <c r="E39" s="394"/>
      <c r="F39" s="453"/>
      <c r="G39" s="299"/>
      <c r="H39" s="576" t="e">
        <f t="shared" si="8"/>
        <v>#REF!</v>
      </c>
      <c r="I39" s="749"/>
      <c r="J39" s="749"/>
      <c r="K39" s="300"/>
      <c r="L39" s="297">
        <v>4</v>
      </c>
      <c r="M39" s="426" t="s">
        <v>286</v>
      </c>
      <c r="N39" s="408" t="s">
        <v>302</v>
      </c>
      <c r="O39" s="553"/>
      <c r="P39" s="565">
        <v>0.05</v>
      </c>
      <c r="Q39" s="299">
        <f t="shared" si="6"/>
        <v>13118.6</v>
      </c>
      <c r="R39" s="755"/>
      <c r="S39" s="629" t="s">
        <v>297</v>
      </c>
      <c r="T39" s="645">
        <v>45900</v>
      </c>
      <c r="U39" s="665">
        <v>16659.773799438237</v>
      </c>
      <c r="V39" s="733"/>
      <c r="W39" s="576">
        <f t="shared" si="10"/>
        <v>46114</v>
      </c>
      <c r="X39" s="736"/>
      <c r="Y39" s="617" t="s">
        <v>281</v>
      </c>
      <c r="Z39" s="616">
        <f>Z38/'Project Plan'!$E$3/1000</f>
        <v>2.4783248898678414</v>
      </c>
      <c r="AC39" s="617" t="s">
        <v>281</v>
      </c>
      <c r="AD39" s="616">
        <f>AD38/'Project Plan'!$E$3/1000</f>
        <v>0.90000550660792955</v>
      </c>
    </row>
    <row r="40" spans="1:30" ht="14.25" customHeight="1">
      <c r="B40" s="319">
        <v>4</v>
      </c>
      <c r="C40" s="408"/>
      <c r="D40" s="408"/>
      <c r="E40" s="394"/>
      <c r="F40" s="453"/>
      <c r="G40" s="299"/>
      <c r="H40" s="576"/>
      <c r="I40" s="749"/>
      <c r="J40" s="749"/>
      <c r="K40" s="300"/>
      <c r="L40" s="297">
        <v>4</v>
      </c>
      <c r="M40" s="426" t="s">
        <v>286</v>
      </c>
      <c r="N40" s="408"/>
      <c r="O40" s="553"/>
      <c r="P40" s="453"/>
      <c r="Q40" s="299"/>
      <c r="R40" s="592"/>
      <c r="S40" s="629"/>
      <c r="T40" s="523" t="str">
        <f t="shared" si="0"/>
        <v/>
      </c>
      <c r="U40" s="507">
        <f>(Q40/$X$28*$J$28)</f>
        <v>0</v>
      </c>
      <c r="V40" s="733"/>
      <c r="W40" s="576"/>
      <c r="X40" s="736"/>
      <c r="Y40" s="482"/>
    </row>
    <row r="41" spans="1:30" ht="14.25" customHeight="1">
      <c r="B41" s="319">
        <v>4</v>
      </c>
      <c r="C41" s="408"/>
      <c r="D41" s="408"/>
      <c r="E41" s="394"/>
      <c r="F41" s="453"/>
      <c r="G41" s="299"/>
      <c r="H41" s="576"/>
      <c r="I41" s="749"/>
      <c r="J41" s="749"/>
      <c r="K41" s="300"/>
      <c r="L41" s="297">
        <v>4</v>
      </c>
      <c r="M41" s="426" t="s">
        <v>286</v>
      </c>
      <c r="N41" s="408"/>
      <c r="O41" s="553"/>
      <c r="P41" s="453"/>
      <c r="Q41" s="299"/>
      <c r="R41" s="592"/>
      <c r="S41" s="629"/>
      <c r="T41" s="523" t="str">
        <f t="shared" si="0"/>
        <v/>
      </c>
      <c r="U41" s="507">
        <f>(Q41/$X$28*$J$28)</f>
        <v>0</v>
      </c>
      <c r="V41" s="733"/>
      <c r="W41" s="576"/>
      <c r="X41" s="736"/>
      <c r="Y41" s="482"/>
    </row>
    <row r="42" spans="1:30" ht="15" customHeight="1" thickBot="1">
      <c r="B42" s="301">
        <v>4</v>
      </c>
      <c r="C42" s="324"/>
      <c r="D42" s="324"/>
      <c r="E42" s="397"/>
      <c r="F42" s="455"/>
      <c r="G42" s="304"/>
      <c r="H42" s="577"/>
      <c r="I42" s="750"/>
      <c r="J42" s="750"/>
      <c r="K42" s="305"/>
      <c r="L42" s="301">
        <v>4</v>
      </c>
      <c r="M42" s="427" t="s">
        <v>286</v>
      </c>
      <c r="N42" s="324"/>
      <c r="O42" s="554"/>
      <c r="P42" s="455"/>
      <c r="Q42" s="304"/>
      <c r="R42" s="593"/>
      <c r="S42" s="630"/>
      <c r="T42" s="524" t="str">
        <f t="shared" si="0"/>
        <v/>
      </c>
      <c r="U42" s="508">
        <f>(Q42/$X$28*$J$28)</f>
        <v>0</v>
      </c>
      <c r="V42" s="734"/>
      <c r="W42" s="577"/>
      <c r="X42" s="737"/>
      <c r="Y42" s="482"/>
      <c r="Z42" s="652"/>
    </row>
    <row r="43" spans="1:30" ht="14.4" thickBot="1">
      <c r="A43" s="24"/>
      <c r="B43" s="275"/>
      <c r="C43" s="276"/>
      <c r="D43" s="307"/>
      <c r="E43" s="290"/>
      <c r="F43" s="456"/>
      <c r="G43" s="291"/>
      <c r="H43" s="574"/>
      <c r="I43" s="279"/>
      <c r="J43" s="279"/>
      <c r="K43" s="24"/>
      <c r="L43" s="275"/>
      <c r="M43" s="276"/>
      <c r="N43" s="307"/>
      <c r="O43" s="551"/>
      <c r="P43" s="456"/>
      <c r="Q43" s="291"/>
      <c r="R43" s="595"/>
      <c r="S43" s="632"/>
      <c r="T43" s="521" t="str">
        <f t="shared" si="0"/>
        <v/>
      </c>
      <c r="U43" s="511"/>
      <c r="V43" s="495"/>
      <c r="W43" s="574"/>
      <c r="X43" s="349"/>
      <c r="Y43" s="482"/>
    </row>
    <row r="44" spans="1:30" ht="14.25" customHeight="1">
      <c r="B44" s="280">
        <v>5</v>
      </c>
      <c r="C44" s="308" t="s">
        <v>303</v>
      </c>
      <c r="D44" s="326" t="s">
        <v>304</v>
      </c>
      <c r="E44" s="282"/>
      <c r="F44" s="437"/>
      <c r="G44" s="283">
        <f>174000-G45</f>
        <v>159000</v>
      </c>
      <c r="H44" s="661">
        <v>45866</v>
      </c>
      <c r="I44" s="742">
        <f>SUM(G44:G50)</f>
        <v>174000</v>
      </c>
      <c r="J44" s="742">
        <f>D174</f>
        <v>212427.6268</v>
      </c>
      <c r="K44" s="284"/>
      <c r="L44" s="280">
        <v>5</v>
      </c>
      <c r="M44" s="422" t="s">
        <v>305</v>
      </c>
      <c r="N44" s="326" t="s">
        <v>306</v>
      </c>
      <c r="O44" s="547"/>
      <c r="P44" s="437"/>
      <c r="Q44" s="283">
        <v>36324.44</v>
      </c>
      <c r="R44" s="594" t="s">
        <v>307</v>
      </c>
      <c r="S44" s="631"/>
      <c r="T44" s="525">
        <v>46081</v>
      </c>
      <c r="U44" s="510">
        <f>(Q44/$X$44*$J$44)-14643.56</f>
        <v>47453.8580247629</v>
      </c>
      <c r="V44" s="729">
        <f>J44-SUM(U44:U50)</f>
        <v>1021.3366127788613</v>
      </c>
      <c r="W44" s="578">
        <f>T44+30</f>
        <v>46111</v>
      </c>
      <c r="X44" s="726">
        <f>SUM(Q44:Q50)</f>
        <v>124261.44</v>
      </c>
      <c r="Y44" s="482"/>
    </row>
    <row r="45" spans="1:30" ht="14.25" customHeight="1">
      <c r="B45" s="285">
        <v>5</v>
      </c>
      <c r="C45" s="309"/>
      <c r="D45" s="312" t="s">
        <v>308</v>
      </c>
      <c r="E45" s="451"/>
      <c r="F45" s="452"/>
      <c r="G45" s="314">
        <v>15000</v>
      </c>
      <c r="H45" s="661">
        <v>45867</v>
      </c>
      <c r="I45" s="743"/>
      <c r="J45" s="743"/>
      <c r="K45" s="287"/>
      <c r="L45" s="285">
        <v>5</v>
      </c>
      <c r="M45" s="428" t="s">
        <v>305</v>
      </c>
      <c r="N45" s="286" t="s">
        <v>309</v>
      </c>
      <c r="O45" s="555"/>
      <c r="P45" s="452"/>
      <c r="Q45" s="314">
        <v>22768</v>
      </c>
      <c r="R45" s="587" t="s">
        <v>310</v>
      </c>
      <c r="S45" s="624" t="s">
        <v>311</v>
      </c>
      <c r="T45" s="640">
        <v>45838</v>
      </c>
      <c r="U45" s="651">
        <v>41886.51580509232</v>
      </c>
      <c r="V45" s="730"/>
      <c r="W45" s="661">
        <v>45867</v>
      </c>
      <c r="X45" s="727"/>
      <c r="Y45" s="482"/>
    </row>
    <row r="46" spans="1:30" ht="14.25" customHeight="1">
      <c r="B46" s="285">
        <v>5</v>
      </c>
      <c r="C46" s="309"/>
      <c r="D46" s="312"/>
      <c r="E46" s="313"/>
      <c r="F46" s="459"/>
      <c r="G46" s="314"/>
      <c r="H46" s="534">
        <v>45869</v>
      </c>
      <c r="I46" s="743"/>
      <c r="J46" s="743"/>
      <c r="K46" s="287"/>
      <c r="L46" s="285">
        <v>5</v>
      </c>
      <c r="M46" s="428" t="s">
        <v>305</v>
      </c>
      <c r="N46" s="312" t="s">
        <v>312</v>
      </c>
      <c r="O46" s="548"/>
      <c r="P46" s="459"/>
      <c r="Q46" s="314">
        <v>11169</v>
      </c>
      <c r="R46" s="587"/>
      <c r="S46" s="624" t="s">
        <v>313</v>
      </c>
      <c r="T46" s="640">
        <v>45869</v>
      </c>
      <c r="U46" s="651">
        <v>20823.825129055531</v>
      </c>
      <c r="V46" s="730"/>
      <c r="W46" s="534">
        <v>45869</v>
      </c>
      <c r="X46" s="727"/>
      <c r="Y46" s="482"/>
    </row>
    <row r="47" spans="1:30" ht="14.25" customHeight="1">
      <c r="B47" s="310">
        <v>5</v>
      </c>
      <c r="C47" s="311"/>
      <c r="D47" s="312"/>
      <c r="E47" s="313"/>
      <c r="F47" s="459"/>
      <c r="G47" s="314"/>
      <c r="H47" s="534">
        <v>45900</v>
      </c>
      <c r="I47" s="743"/>
      <c r="J47" s="743"/>
      <c r="K47" s="287"/>
      <c r="L47" s="310">
        <v>5</v>
      </c>
      <c r="M47" s="428" t="s">
        <v>305</v>
      </c>
      <c r="N47" s="312" t="s">
        <v>314</v>
      </c>
      <c r="O47" s="548"/>
      <c r="P47" s="459"/>
      <c r="Q47" s="314">
        <v>54000</v>
      </c>
      <c r="R47" s="587" t="s">
        <v>315</v>
      </c>
      <c r="S47" s="624" t="s">
        <v>316</v>
      </c>
      <c r="T47" s="640">
        <v>45869</v>
      </c>
      <c r="U47" s="651">
        <v>101242.09122831037</v>
      </c>
      <c r="V47" s="730"/>
      <c r="W47" s="534">
        <v>45900</v>
      </c>
      <c r="X47" s="727"/>
      <c r="Y47" s="482"/>
    </row>
    <row r="48" spans="1:30" ht="14.25" customHeight="1">
      <c r="B48" s="383">
        <v>5</v>
      </c>
      <c r="C48" s="384"/>
      <c r="D48" s="387"/>
      <c r="E48" s="406"/>
      <c r="F48" s="444"/>
      <c r="G48" s="386"/>
      <c r="H48" s="572"/>
      <c r="I48" s="743"/>
      <c r="J48" s="743"/>
      <c r="K48" s="287"/>
      <c r="L48" s="310">
        <v>5</v>
      </c>
      <c r="M48" s="428" t="s">
        <v>305</v>
      </c>
      <c r="N48" s="387"/>
      <c r="O48" s="549"/>
      <c r="P48" s="444"/>
      <c r="Q48" s="386"/>
      <c r="R48" s="588"/>
      <c r="S48" s="625"/>
      <c r="T48" s="707"/>
      <c r="U48" s="503">
        <f>(Q48/$X$44*$J$44)</f>
        <v>0</v>
      </c>
      <c r="V48" s="730"/>
      <c r="W48" s="704"/>
      <c r="X48" s="727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2"/>
      <c r="I49" s="743"/>
      <c r="J49" s="743"/>
      <c r="K49" s="287"/>
      <c r="L49" s="310">
        <v>5</v>
      </c>
      <c r="M49" s="428" t="s">
        <v>305</v>
      </c>
      <c r="N49" s="387"/>
      <c r="O49" s="549"/>
      <c r="P49" s="444"/>
      <c r="Q49" s="386"/>
      <c r="R49" s="588"/>
      <c r="S49" s="625"/>
      <c r="T49" s="519" t="str">
        <f t="shared" si="0"/>
        <v/>
      </c>
      <c r="U49" s="503">
        <f>(Q49/$X$44*$J$44)</f>
        <v>0</v>
      </c>
      <c r="V49" s="730"/>
      <c r="W49" s="572"/>
      <c r="X49" s="727"/>
      <c r="Y49" s="482"/>
    </row>
    <row r="50" spans="1:25" ht="15" customHeight="1" thickBot="1">
      <c r="B50" s="315">
        <v>5</v>
      </c>
      <c r="C50" s="336"/>
      <c r="D50" s="316"/>
      <c r="E50" s="317"/>
      <c r="F50" s="460"/>
      <c r="G50" s="329"/>
      <c r="H50" s="573"/>
      <c r="I50" s="744"/>
      <c r="J50" s="744"/>
      <c r="K50" s="288"/>
      <c r="L50" s="315">
        <v>5</v>
      </c>
      <c r="M50" s="424" t="s">
        <v>305</v>
      </c>
      <c r="N50" s="316"/>
      <c r="O50" s="550"/>
      <c r="P50" s="460"/>
      <c r="Q50" s="329"/>
      <c r="R50" s="589"/>
      <c r="S50" s="626"/>
      <c r="T50" s="520" t="str">
        <f t="shared" si="0"/>
        <v/>
      </c>
      <c r="U50" s="504">
        <f>(Q50/$X$44*$J$44)</f>
        <v>0</v>
      </c>
      <c r="V50" s="731"/>
      <c r="W50" s="573"/>
      <c r="X50" s="728"/>
      <c r="Y50" s="482"/>
    </row>
    <row r="51" spans="1:25" ht="14.4" thickBot="1">
      <c r="A51" s="24"/>
      <c r="B51" s="289"/>
      <c r="C51" s="306"/>
      <c r="D51" s="277"/>
      <c r="E51" s="290"/>
      <c r="F51" s="456"/>
      <c r="G51" s="291"/>
      <c r="H51" s="574"/>
      <c r="I51" s="325"/>
      <c r="J51" s="325"/>
      <c r="K51" s="24"/>
      <c r="L51" s="289"/>
      <c r="M51" s="306"/>
      <c r="N51" s="277"/>
      <c r="O51" s="551"/>
      <c r="P51" s="456"/>
      <c r="Q51" s="291"/>
      <c r="R51" s="590"/>
      <c r="S51" s="627"/>
      <c r="T51" s="521" t="str">
        <f t="shared" si="0"/>
        <v/>
      </c>
      <c r="U51" s="509"/>
      <c r="V51" s="492"/>
      <c r="W51" s="574"/>
      <c r="X51" s="483"/>
      <c r="Y51" s="482"/>
    </row>
    <row r="52" spans="1:25" ht="14.25" customHeight="1">
      <c r="B52" s="292">
        <v>6</v>
      </c>
      <c r="C52" s="293" t="s">
        <v>255</v>
      </c>
      <c r="D52" s="294" t="s">
        <v>317</v>
      </c>
      <c r="E52" s="475"/>
      <c r="F52" s="457"/>
      <c r="G52" s="295">
        <v>567347.29</v>
      </c>
      <c r="H52" s="575">
        <v>45900</v>
      </c>
      <c r="I52" s="748">
        <f>SUM(G52:G64)</f>
        <v>567347.29</v>
      </c>
      <c r="J52" s="748">
        <f>D173</f>
        <v>692645.04460000002</v>
      </c>
      <c r="K52" s="296"/>
      <c r="L52" s="292">
        <v>6</v>
      </c>
      <c r="M52" s="431" t="s">
        <v>318</v>
      </c>
      <c r="N52" s="294"/>
      <c r="O52" s="542"/>
      <c r="P52" s="457"/>
      <c r="Q52" s="295"/>
      <c r="R52" s="591"/>
      <c r="S52" s="628"/>
      <c r="T52" s="522" t="str">
        <f t="shared" si="0"/>
        <v/>
      </c>
      <c r="U52" s="506">
        <f>(Q52/$X$52*$J$52)</f>
        <v>0</v>
      </c>
      <c r="V52" s="732">
        <f>J52-SUM(U52:U64)</f>
        <v>0</v>
      </c>
      <c r="W52" s="575"/>
      <c r="X52" s="735">
        <f>SUM(Q52:Q64)</f>
        <v>235040</v>
      </c>
      <c r="Y52" s="482"/>
    </row>
    <row r="53" spans="1:25" ht="14.25" customHeight="1">
      <c r="B53" s="297">
        <v>6</v>
      </c>
      <c r="C53" s="408"/>
      <c r="D53" s="443"/>
      <c r="E53" s="394"/>
      <c r="F53" s="453"/>
      <c r="G53" s="320"/>
      <c r="H53" s="576"/>
      <c r="I53" s="749"/>
      <c r="J53" s="749"/>
      <c r="K53" s="300"/>
      <c r="L53" s="297">
        <v>6</v>
      </c>
      <c r="M53" s="429" t="s">
        <v>318</v>
      </c>
      <c r="N53" s="443"/>
      <c r="O53" s="553"/>
      <c r="P53" s="453"/>
      <c r="Q53" s="320"/>
      <c r="R53" s="592"/>
      <c r="S53" s="629"/>
      <c r="T53" s="523" t="str">
        <f t="shared" si="0"/>
        <v/>
      </c>
      <c r="U53" s="507">
        <f>(Q53/$X$52*$J$52)</f>
        <v>0</v>
      </c>
      <c r="V53" s="733"/>
      <c r="W53" s="576"/>
      <c r="X53" s="736"/>
      <c r="Y53" s="482"/>
    </row>
    <row r="54" spans="1:25" ht="14.25" customHeight="1">
      <c r="B54" s="297">
        <v>6</v>
      </c>
      <c r="C54" s="450"/>
      <c r="D54" s="298"/>
      <c r="E54" s="399"/>
      <c r="F54" s="454"/>
      <c r="G54" s="320"/>
      <c r="H54" s="536">
        <f>H95</f>
        <v>45883</v>
      </c>
      <c r="I54" s="749"/>
      <c r="J54" s="749"/>
      <c r="K54" s="300"/>
      <c r="L54" s="297">
        <v>6</v>
      </c>
      <c r="M54" s="429" t="s">
        <v>318</v>
      </c>
      <c r="N54" s="408" t="s">
        <v>292</v>
      </c>
      <c r="O54" s="564">
        <f>Z27</f>
        <v>235040</v>
      </c>
      <c r="P54" s="565">
        <v>0.1</v>
      </c>
      <c r="Q54" s="299">
        <f>$O$54*P54</f>
        <v>23504</v>
      </c>
      <c r="R54" s="753"/>
      <c r="S54" s="629" t="s">
        <v>294</v>
      </c>
      <c r="T54" s="645">
        <f t="shared" ref="T54:T61" si="11">T32</f>
        <v>45869</v>
      </c>
      <c r="U54" s="665">
        <v>69264.504460000011</v>
      </c>
      <c r="V54" s="733"/>
      <c r="W54" s="536">
        <f>W95</f>
        <v>45883</v>
      </c>
      <c r="X54" s="736"/>
      <c r="Y54" s="482"/>
    </row>
    <row r="55" spans="1:25" ht="14.25" customHeight="1">
      <c r="B55" s="297">
        <v>6</v>
      </c>
      <c r="C55" s="400"/>
      <c r="D55" s="298"/>
      <c r="E55" s="399"/>
      <c r="F55" s="454"/>
      <c r="G55" s="320"/>
      <c r="H55" s="536">
        <f t="shared" ref="H55:H61" si="12">H96</f>
        <v>45869</v>
      </c>
      <c r="I55" s="749"/>
      <c r="J55" s="749"/>
      <c r="K55" s="300"/>
      <c r="L55" s="297">
        <v>6</v>
      </c>
      <c r="M55" s="430" t="s">
        <v>318</v>
      </c>
      <c r="N55" s="408" t="s">
        <v>88</v>
      </c>
      <c r="O55" s="553"/>
      <c r="P55" s="565">
        <v>0.15</v>
      </c>
      <c r="Q55" s="299">
        <f t="shared" ref="Q55:Q61" si="13">$O$54*P55</f>
        <v>35256</v>
      </c>
      <c r="R55" s="754"/>
      <c r="S55" s="629" t="s">
        <v>295</v>
      </c>
      <c r="T55" s="645">
        <f>T33</f>
        <v>45869</v>
      </c>
      <c r="U55" s="665">
        <v>103896.75668999999</v>
      </c>
      <c r="V55" s="733"/>
      <c r="W55" s="536">
        <f t="shared" ref="W55:W61" si="14">W96</f>
        <v>45869</v>
      </c>
      <c r="X55" s="736"/>
      <c r="Y55" s="482"/>
    </row>
    <row r="56" spans="1:25" ht="14.25" customHeight="1">
      <c r="B56" s="297">
        <v>6</v>
      </c>
      <c r="C56" s="400"/>
      <c r="D56" s="298"/>
      <c r="E56" s="399"/>
      <c r="F56" s="454"/>
      <c r="G56" s="320"/>
      <c r="H56" s="576">
        <f>H97</f>
        <v>45918</v>
      </c>
      <c r="I56" s="749"/>
      <c r="J56" s="749"/>
      <c r="K56" s="300"/>
      <c r="L56" s="297">
        <v>6</v>
      </c>
      <c r="M56" s="430" t="s">
        <v>318</v>
      </c>
      <c r="N56" s="408" t="s">
        <v>296</v>
      </c>
      <c r="O56" s="553"/>
      <c r="P56" s="565">
        <v>0.2</v>
      </c>
      <c r="Q56" s="299">
        <f t="shared" si="13"/>
        <v>47008</v>
      </c>
      <c r="R56" s="754"/>
      <c r="S56" s="629" t="s">
        <v>297</v>
      </c>
      <c r="T56" s="645">
        <f t="shared" si="11"/>
        <v>45900</v>
      </c>
      <c r="U56" s="665">
        <v>138529.00892000002</v>
      </c>
      <c r="V56" s="733"/>
      <c r="W56" s="702">
        <v>46009</v>
      </c>
      <c r="X56" s="736"/>
      <c r="Y56" s="482"/>
    </row>
    <row r="57" spans="1:25" ht="14.25" customHeight="1">
      <c r="B57" s="297">
        <v>6</v>
      </c>
      <c r="C57" s="400"/>
      <c r="D57" s="298"/>
      <c r="E57" s="399"/>
      <c r="F57" s="454"/>
      <c r="G57" s="320"/>
      <c r="H57" s="576" t="e">
        <f t="shared" si="12"/>
        <v>#REF!</v>
      </c>
      <c r="I57" s="749"/>
      <c r="J57" s="749"/>
      <c r="K57" s="300"/>
      <c r="L57" s="297">
        <v>6</v>
      </c>
      <c r="M57" s="430" t="s">
        <v>318</v>
      </c>
      <c r="N57" s="408" t="s">
        <v>299</v>
      </c>
      <c r="O57" s="553"/>
      <c r="P57" s="565">
        <v>0.25</v>
      </c>
      <c r="Q57" s="299">
        <f t="shared" si="13"/>
        <v>58760</v>
      </c>
      <c r="R57" s="754"/>
      <c r="S57" s="629" t="s">
        <v>297</v>
      </c>
      <c r="T57" s="645">
        <f t="shared" si="11"/>
        <v>45900</v>
      </c>
      <c r="U57" s="665">
        <v>173161.26115000001</v>
      </c>
      <c r="V57" s="733"/>
      <c r="W57" s="536">
        <f t="shared" si="14"/>
        <v>46079</v>
      </c>
      <c r="X57" s="736"/>
      <c r="Y57" s="482"/>
    </row>
    <row r="58" spans="1:25" ht="14.25" customHeight="1">
      <c r="B58" s="297">
        <v>6</v>
      </c>
      <c r="C58" s="400"/>
      <c r="D58" s="298"/>
      <c r="E58" s="399"/>
      <c r="F58" s="454"/>
      <c r="G58" s="320"/>
      <c r="H58" s="576">
        <f t="shared" si="12"/>
        <v>45925</v>
      </c>
      <c r="I58" s="749"/>
      <c r="J58" s="749"/>
      <c r="K58" s="300"/>
      <c r="L58" s="297">
        <v>6</v>
      </c>
      <c r="M58" s="430" t="s">
        <v>318</v>
      </c>
      <c r="N58" s="408" t="s">
        <v>182</v>
      </c>
      <c r="O58" s="553"/>
      <c r="P58" s="565">
        <v>0.1</v>
      </c>
      <c r="Q58" s="299">
        <f t="shared" si="13"/>
        <v>23504</v>
      </c>
      <c r="R58" s="754"/>
      <c r="S58" s="629" t="s">
        <v>297</v>
      </c>
      <c r="T58" s="645">
        <f t="shared" si="11"/>
        <v>45900</v>
      </c>
      <c r="U58" s="665">
        <v>69264.504460000011</v>
      </c>
      <c r="V58" s="733"/>
      <c r="W58" s="576">
        <f t="shared" si="14"/>
        <v>46080</v>
      </c>
      <c r="X58" s="736"/>
      <c r="Y58" s="482"/>
    </row>
    <row r="59" spans="1:25" ht="14.25" customHeight="1">
      <c r="B59" s="297">
        <v>6</v>
      </c>
      <c r="C59" s="499"/>
      <c r="D59" s="334"/>
      <c r="E59" s="415"/>
      <c r="F59" s="461"/>
      <c r="G59" s="320"/>
      <c r="H59" s="576" t="e">
        <f t="shared" si="12"/>
        <v>#REF!</v>
      </c>
      <c r="I59" s="749"/>
      <c r="J59" s="749"/>
      <c r="K59" s="300"/>
      <c r="L59" s="297">
        <v>6</v>
      </c>
      <c r="M59" s="430" t="s">
        <v>318</v>
      </c>
      <c r="N59" s="408" t="s">
        <v>300</v>
      </c>
      <c r="O59" s="553"/>
      <c r="P59" s="565">
        <v>0.1</v>
      </c>
      <c r="Q59" s="299">
        <f t="shared" si="13"/>
        <v>23504</v>
      </c>
      <c r="R59" s="754"/>
      <c r="S59" s="633" t="s">
        <v>297</v>
      </c>
      <c r="T59" s="645">
        <f t="shared" si="11"/>
        <v>45900</v>
      </c>
      <c r="U59" s="672">
        <v>69264.504460000011</v>
      </c>
      <c r="V59" s="733"/>
      <c r="W59" s="576">
        <f t="shared" si="14"/>
        <v>46091</v>
      </c>
      <c r="X59" s="736"/>
      <c r="Y59" s="482"/>
    </row>
    <row r="60" spans="1:25" ht="14.25" customHeight="1">
      <c r="B60" s="297">
        <v>6</v>
      </c>
      <c r="C60" s="499"/>
      <c r="D60" s="334"/>
      <c r="E60" s="415"/>
      <c r="F60" s="461"/>
      <c r="G60" s="320"/>
      <c r="H60" s="576" t="e">
        <f t="shared" si="12"/>
        <v>#REF!</v>
      </c>
      <c r="I60" s="749"/>
      <c r="J60" s="749"/>
      <c r="K60" s="300"/>
      <c r="L60" s="297">
        <v>6</v>
      </c>
      <c r="M60" s="430" t="s">
        <v>318</v>
      </c>
      <c r="N60" s="408" t="s">
        <v>301</v>
      </c>
      <c r="O60" s="553"/>
      <c r="P60" s="565">
        <v>0.05</v>
      </c>
      <c r="Q60" s="299">
        <f t="shared" si="13"/>
        <v>11752</v>
      </c>
      <c r="R60" s="754"/>
      <c r="S60" s="633" t="s">
        <v>297</v>
      </c>
      <c r="T60" s="645">
        <f t="shared" si="11"/>
        <v>45900</v>
      </c>
      <c r="U60" s="672">
        <v>34632.252230000006</v>
      </c>
      <c r="V60" s="733"/>
      <c r="W60" s="576">
        <f t="shared" si="14"/>
        <v>46091</v>
      </c>
      <c r="X60" s="736"/>
      <c r="Y60" s="482"/>
    </row>
    <row r="61" spans="1:25" ht="14.25" customHeight="1">
      <c r="B61" s="297">
        <v>6</v>
      </c>
      <c r="C61" s="499"/>
      <c r="D61" s="334"/>
      <c r="E61" s="415"/>
      <c r="F61" s="461"/>
      <c r="G61" s="320"/>
      <c r="H61" s="576" t="e">
        <f t="shared" si="12"/>
        <v>#REF!</v>
      </c>
      <c r="I61" s="749"/>
      <c r="J61" s="749"/>
      <c r="K61" s="300"/>
      <c r="L61" s="297">
        <v>6</v>
      </c>
      <c r="M61" s="430" t="s">
        <v>318</v>
      </c>
      <c r="N61" s="408" t="s">
        <v>302</v>
      </c>
      <c r="O61" s="553"/>
      <c r="P61" s="565">
        <v>0.05</v>
      </c>
      <c r="Q61" s="299">
        <f t="shared" si="13"/>
        <v>11752</v>
      </c>
      <c r="R61" s="755"/>
      <c r="S61" s="633" t="s">
        <v>297</v>
      </c>
      <c r="T61" s="645">
        <f t="shared" si="11"/>
        <v>45900</v>
      </c>
      <c r="U61" s="672">
        <v>34632.252230000006</v>
      </c>
      <c r="V61" s="733"/>
      <c r="W61" s="576">
        <f t="shared" si="14"/>
        <v>46114</v>
      </c>
      <c r="X61" s="736"/>
      <c r="Y61" s="482"/>
    </row>
    <row r="62" spans="1:25" ht="14.25" customHeight="1">
      <c r="B62" s="297">
        <v>6</v>
      </c>
      <c r="C62" s="499"/>
      <c r="D62" s="334"/>
      <c r="E62" s="415"/>
      <c r="F62" s="461"/>
      <c r="G62" s="320"/>
      <c r="H62" s="579"/>
      <c r="I62" s="749"/>
      <c r="J62" s="749"/>
      <c r="K62" s="300"/>
      <c r="L62" s="297">
        <v>6</v>
      </c>
      <c r="M62" s="430" t="s">
        <v>318</v>
      </c>
      <c r="N62" s="408"/>
      <c r="O62" s="553"/>
      <c r="P62" s="565"/>
      <c r="Q62" s="299"/>
      <c r="R62" s="596"/>
      <c r="S62" s="633"/>
      <c r="T62" s="526" t="str">
        <f t="shared" si="0"/>
        <v/>
      </c>
      <c r="U62" s="512">
        <f>(Q62/$X$52*$J$52)</f>
        <v>0</v>
      </c>
      <c r="V62" s="733"/>
      <c r="W62" s="579"/>
      <c r="X62" s="736"/>
      <c r="Y62" s="482"/>
    </row>
    <row r="63" spans="1:25" ht="14.25" customHeight="1">
      <c r="B63" s="297">
        <v>6</v>
      </c>
      <c r="C63" s="499"/>
      <c r="D63" s="334"/>
      <c r="E63" s="415"/>
      <c r="F63" s="461"/>
      <c r="G63" s="320"/>
      <c r="H63" s="579"/>
      <c r="I63" s="749"/>
      <c r="J63" s="749"/>
      <c r="K63" s="300"/>
      <c r="L63" s="297">
        <v>6</v>
      </c>
      <c r="M63" s="430" t="s">
        <v>318</v>
      </c>
      <c r="N63" s="408"/>
      <c r="O63" s="553"/>
      <c r="P63" s="565"/>
      <c r="Q63" s="299"/>
      <c r="R63" s="596"/>
      <c r="S63" s="633"/>
      <c r="T63" s="526" t="str">
        <f t="shared" si="0"/>
        <v/>
      </c>
      <c r="U63" s="512">
        <f>(Q63/$X$52*$J$52)</f>
        <v>0</v>
      </c>
      <c r="V63" s="733"/>
      <c r="W63" s="579"/>
      <c r="X63" s="736"/>
      <c r="Y63" s="482"/>
    </row>
    <row r="64" spans="1:25" ht="15" customHeight="1" thickBot="1">
      <c r="B64" s="301">
        <v>6</v>
      </c>
      <c r="C64" s="401"/>
      <c r="D64" s="303"/>
      <c r="E64" s="458"/>
      <c r="F64" s="455"/>
      <c r="G64" s="304"/>
      <c r="H64" s="577"/>
      <c r="I64" s="750"/>
      <c r="J64" s="750"/>
      <c r="K64" s="305"/>
      <c r="L64" s="301">
        <v>6</v>
      </c>
      <c r="M64" s="432" t="s">
        <v>318</v>
      </c>
      <c r="N64" s="303"/>
      <c r="O64" s="557"/>
      <c r="P64" s="455"/>
      <c r="Q64" s="304"/>
      <c r="R64" s="593"/>
      <c r="S64" s="630"/>
      <c r="T64" s="524" t="str">
        <f t="shared" si="0"/>
        <v/>
      </c>
      <c r="U64" s="508">
        <f>(Q64/$X$52*$J$52)</f>
        <v>0</v>
      </c>
      <c r="V64" s="734"/>
      <c r="W64" s="577"/>
      <c r="X64" s="737"/>
      <c r="Y64" s="482"/>
    </row>
    <row r="65" spans="1:25" ht="14.4" thickBot="1">
      <c r="A65" s="24"/>
      <c r="B65" s="289"/>
      <c r="C65" s="330"/>
      <c r="D65" s="307"/>
      <c r="E65" s="290"/>
      <c r="F65" s="456"/>
      <c r="G65" s="291"/>
      <c r="H65" s="580"/>
      <c r="I65" s="279"/>
      <c r="J65" s="279"/>
      <c r="K65" s="24"/>
      <c r="L65" s="289"/>
      <c r="M65" s="330"/>
      <c r="N65" s="307"/>
      <c r="O65" s="551"/>
      <c r="P65" s="456"/>
      <c r="Q65" s="291"/>
      <c r="R65" s="597"/>
      <c r="S65" s="634"/>
      <c r="T65" s="527" t="str">
        <f t="shared" si="0"/>
        <v/>
      </c>
      <c r="U65" s="513"/>
      <c r="V65" s="488"/>
      <c r="W65" s="580"/>
      <c r="X65" s="349"/>
      <c r="Y65" s="482"/>
    </row>
    <row r="66" spans="1:25" ht="14.25" customHeight="1">
      <c r="B66" s="380">
        <v>7</v>
      </c>
      <c r="C66" s="308" t="s">
        <v>319</v>
      </c>
      <c r="D66" s="381"/>
      <c r="E66" s="462"/>
      <c r="F66" s="468"/>
      <c r="G66" s="382"/>
      <c r="H66" s="581"/>
      <c r="I66" s="742">
        <f>SUM(G66:G73)</f>
        <v>0</v>
      </c>
      <c r="J66" s="742">
        <v>0</v>
      </c>
      <c r="K66" s="284"/>
      <c r="L66" s="380">
        <v>7</v>
      </c>
      <c r="M66" s="308" t="s">
        <v>320</v>
      </c>
      <c r="N66" s="381"/>
      <c r="O66" s="558"/>
      <c r="P66" s="468"/>
      <c r="Q66" s="382"/>
      <c r="R66" s="598"/>
      <c r="S66" s="635"/>
      <c r="T66" s="528" t="str">
        <f t="shared" si="0"/>
        <v/>
      </c>
      <c r="U66" s="541"/>
      <c r="V66" s="756">
        <f>J66-SUM(U66:U73)</f>
        <v>0</v>
      </c>
      <c r="W66" s="581"/>
      <c r="X66" s="726">
        <f>SUM(Q66:Q73)</f>
        <v>0</v>
      </c>
      <c r="Y66" s="482"/>
    </row>
    <row r="67" spans="1:25" ht="14.25" customHeight="1">
      <c r="B67" s="383">
        <v>7</v>
      </c>
      <c r="C67" s="384"/>
      <c r="D67" s="385"/>
      <c r="E67" s="406"/>
      <c r="F67" s="444"/>
      <c r="G67" s="386"/>
      <c r="H67" s="572"/>
      <c r="I67" s="743"/>
      <c r="J67" s="743"/>
      <c r="K67" s="287"/>
      <c r="L67" s="383">
        <v>7</v>
      </c>
      <c r="M67" s="384" t="s">
        <v>320</v>
      </c>
      <c r="N67" s="385"/>
      <c r="O67" s="549"/>
      <c r="P67" s="444"/>
      <c r="Q67" s="386"/>
      <c r="R67" s="588"/>
      <c r="S67" s="625"/>
      <c r="T67" s="519" t="str">
        <f t="shared" si="0"/>
        <v/>
      </c>
      <c r="U67" s="503"/>
      <c r="V67" s="757"/>
      <c r="W67" s="572"/>
      <c r="X67" s="727"/>
      <c r="Y67" s="482"/>
    </row>
    <row r="68" spans="1:25" ht="14.25" customHeight="1">
      <c r="B68" s="383">
        <v>7</v>
      </c>
      <c r="C68" s="384"/>
      <c r="D68" s="385"/>
      <c r="E68" s="406"/>
      <c r="F68" s="444"/>
      <c r="G68" s="386"/>
      <c r="H68" s="572"/>
      <c r="I68" s="743"/>
      <c r="J68" s="743"/>
      <c r="K68" s="287"/>
      <c r="L68" s="383">
        <v>7</v>
      </c>
      <c r="M68" s="384" t="s">
        <v>320</v>
      </c>
      <c r="N68" s="385"/>
      <c r="O68" s="549"/>
      <c r="P68" s="444"/>
      <c r="Q68" s="386"/>
      <c r="R68" s="588"/>
      <c r="S68" s="625"/>
      <c r="T68" s="519" t="str">
        <f t="shared" si="0"/>
        <v/>
      </c>
      <c r="U68" s="503"/>
      <c r="V68" s="757"/>
      <c r="W68" s="572"/>
      <c r="X68" s="727"/>
      <c r="Y68" s="482"/>
    </row>
    <row r="69" spans="1:25" ht="14.25" customHeight="1">
      <c r="B69" s="383">
        <v>7</v>
      </c>
      <c r="C69" s="384"/>
      <c r="D69" s="385"/>
      <c r="E69" s="406"/>
      <c r="F69" s="444"/>
      <c r="G69" s="386"/>
      <c r="H69" s="572"/>
      <c r="I69" s="743"/>
      <c r="J69" s="743"/>
      <c r="K69" s="287"/>
      <c r="L69" s="383">
        <v>7</v>
      </c>
      <c r="M69" s="384" t="s">
        <v>320</v>
      </c>
      <c r="N69" s="385"/>
      <c r="O69" s="549"/>
      <c r="P69" s="444"/>
      <c r="Q69" s="386"/>
      <c r="R69" s="588"/>
      <c r="S69" s="625"/>
      <c r="T69" s="519" t="str">
        <f t="shared" si="0"/>
        <v/>
      </c>
      <c r="U69" s="503"/>
      <c r="V69" s="757"/>
      <c r="W69" s="572"/>
      <c r="X69" s="727"/>
      <c r="Y69" s="482"/>
    </row>
    <row r="70" spans="1:25" ht="14.25" customHeight="1">
      <c r="B70" s="383">
        <v>7</v>
      </c>
      <c r="C70" s="384"/>
      <c r="D70" s="385"/>
      <c r="E70" s="406"/>
      <c r="F70" s="444"/>
      <c r="G70" s="386"/>
      <c r="H70" s="572"/>
      <c r="I70" s="743"/>
      <c r="J70" s="743"/>
      <c r="K70" s="287"/>
      <c r="L70" s="383">
        <v>7</v>
      </c>
      <c r="M70" s="384" t="s">
        <v>320</v>
      </c>
      <c r="N70" s="385"/>
      <c r="O70" s="549"/>
      <c r="P70" s="444"/>
      <c r="Q70" s="386"/>
      <c r="R70" s="588"/>
      <c r="S70" s="625"/>
      <c r="T70" s="519" t="str">
        <f t="shared" si="0"/>
        <v/>
      </c>
      <c r="U70" s="503"/>
      <c r="V70" s="757"/>
      <c r="W70" s="572"/>
      <c r="X70" s="727"/>
      <c r="Y70" s="482"/>
    </row>
    <row r="71" spans="1:25" ht="14.25" customHeight="1">
      <c r="B71" s="383">
        <v>7</v>
      </c>
      <c r="C71" s="384"/>
      <c r="D71" s="385"/>
      <c r="E71" s="406"/>
      <c r="F71" s="444"/>
      <c r="G71" s="386"/>
      <c r="H71" s="572"/>
      <c r="I71" s="743"/>
      <c r="J71" s="743"/>
      <c r="K71" s="287"/>
      <c r="L71" s="383">
        <v>7</v>
      </c>
      <c r="M71" s="384" t="s">
        <v>320</v>
      </c>
      <c r="N71" s="385"/>
      <c r="O71" s="549"/>
      <c r="P71" s="444"/>
      <c r="Q71" s="386"/>
      <c r="R71" s="588"/>
      <c r="S71" s="625"/>
      <c r="T71" s="519" t="str">
        <f t="shared" si="0"/>
        <v/>
      </c>
      <c r="U71" s="503"/>
      <c r="V71" s="757"/>
      <c r="W71" s="572"/>
      <c r="X71" s="727"/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2"/>
      <c r="I72" s="743"/>
      <c r="J72" s="743"/>
      <c r="K72" s="287"/>
      <c r="L72" s="383">
        <v>7</v>
      </c>
      <c r="M72" s="384" t="s">
        <v>320</v>
      </c>
      <c r="N72" s="385"/>
      <c r="O72" s="549"/>
      <c r="P72" s="444"/>
      <c r="Q72" s="386"/>
      <c r="R72" s="588"/>
      <c r="S72" s="625"/>
      <c r="T72" s="519" t="str">
        <f t="shared" ref="T72:T167" si="15">IF(W72&gt;1,EOMONTH(W72,0),"")</f>
        <v/>
      </c>
      <c r="U72" s="503"/>
      <c r="V72" s="757"/>
      <c r="W72" s="572"/>
      <c r="X72" s="727"/>
      <c r="Y72" s="482"/>
    </row>
    <row r="73" spans="1:25" ht="15" customHeight="1" thickBot="1">
      <c r="B73" s="315">
        <v>7</v>
      </c>
      <c r="C73" s="336"/>
      <c r="D73" s="328"/>
      <c r="E73" s="317"/>
      <c r="F73" s="460"/>
      <c r="G73" s="329"/>
      <c r="H73" s="573"/>
      <c r="I73" s="744"/>
      <c r="J73" s="744"/>
      <c r="K73" s="288"/>
      <c r="L73" s="315">
        <v>7</v>
      </c>
      <c r="M73" s="336" t="s">
        <v>320</v>
      </c>
      <c r="N73" s="328"/>
      <c r="O73" s="550"/>
      <c r="P73" s="460"/>
      <c r="Q73" s="329"/>
      <c r="R73" s="589"/>
      <c r="S73" s="626"/>
      <c r="T73" s="520" t="str">
        <f t="shared" si="15"/>
        <v/>
      </c>
      <c r="U73" s="504"/>
      <c r="V73" s="758"/>
      <c r="W73" s="573"/>
      <c r="X73" s="728"/>
      <c r="Y73" s="482"/>
    </row>
    <row r="74" spans="1:25" ht="14.4" thickBot="1">
      <c r="A74" s="24"/>
      <c r="B74" s="289"/>
      <c r="C74" s="330"/>
      <c r="D74" s="307"/>
      <c r="E74" s="290"/>
      <c r="F74" s="456"/>
      <c r="G74" s="291"/>
      <c r="H74" s="574"/>
      <c r="I74" s="279"/>
      <c r="J74" s="279"/>
      <c r="K74" s="24"/>
      <c r="L74" s="289"/>
      <c r="M74" s="330"/>
      <c r="N74" s="307"/>
      <c r="O74" s="551"/>
      <c r="P74" s="456"/>
      <c r="Q74" s="291"/>
      <c r="R74" s="590"/>
      <c r="S74" s="627"/>
      <c r="T74" s="521" t="str">
        <f t="shared" si="15"/>
        <v/>
      </c>
      <c r="U74" s="509"/>
      <c r="V74" s="492"/>
      <c r="W74" s="574"/>
      <c r="X74" s="349"/>
      <c r="Y74" s="482"/>
    </row>
    <row r="75" spans="1:25" ht="14.25" customHeight="1">
      <c r="B75" s="331">
        <v>8</v>
      </c>
      <c r="C75" s="293" t="s">
        <v>321</v>
      </c>
      <c r="D75" s="332"/>
      <c r="E75" s="463"/>
      <c r="F75" s="416"/>
      <c r="G75" s="333"/>
      <c r="H75" s="575"/>
      <c r="I75" s="748">
        <f>SUM(G75:G92)</f>
        <v>2000000</v>
      </c>
      <c r="J75" s="748">
        <v>2000000</v>
      </c>
      <c r="K75" s="296"/>
      <c r="L75" s="331">
        <v>8</v>
      </c>
      <c r="M75" s="425" t="s">
        <v>322</v>
      </c>
      <c r="N75" s="332"/>
      <c r="O75" s="559"/>
      <c r="P75" s="416"/>
      <c r="Q75" s="333"/>
      <c r="R75" s="591"/>
      <c r="S75" s="628"/>
      <c r="T75" s="522" t="str">
        <f t="shared" si="15"/>
        <v/>
      </c>
      <c r="U75" s="506">
        <f>(Q75/$X$75*$J$75)</f>
        <v>0</v>
      </c>
      <c r="V75" s="774">
        <f>J75-SUM(U75:U92)</f>
        <v>-1993368.6954089673</v>
      </c>
      <c r="W75" s="575"/>
      <c r="X75" s="735">
        <f>SUM(Q75:Q92)</f>
        <v>4913552.3600000003</v>
      </c>
      <c r="Y75" s="482"/>
    </row>
    <row r="76" spans="1:25" ht="14.25" customHeight="1">
      <c r="B76" s="321">
        <v>8</v>
      </c>
      <c r="C76" s="322"/>
      <c r="D76" s="334"/>
      <c r="E76" s="415"/>
      <c r="F76" s="461"/>
      <c r="G76" s="323"/>
      <c r="H76" s="576"/>
      <c r="I76" s="749"/>
      <c r="J76" s="749"/>
      <c r="K76" s="300"/>
      <c r="L76" s="321">
        <v>8</v>
      </c>
      <c r="M76" s="433" t="s">
        <v>322</v>
      </c>
      <c r="N76" s="334"/>
      <c r="O76" s="556"/>
      <c r="P76" s="461"/>
      <c r="Q76" s="323"/>
      <c r="R76" s="592"/>
      <c r="S76" s="629"/>
      <c r="T76" s="523" t="str">
        <f t="shared" si="15"/>
        <v/>
      </c>
      <c r="U76" s="507">
        <f>(Q76/$X$75*$J$75)</f>
        <v>0</v>
      </c>
      <c r="V76" s="775"/>
      <c r="W76" s="576"/>
      <c r="X76" s="736"/>
      <c r="Y76" s="482"/>
    </row>
    <row r="77" spans="1:25" ht="14.25" customHeight="1">
      <c r="B77" s="321">
        <v>8</v>
      </c>
      <c r="C77" s="322"/>
      <c r="D77" s="334" t="s">
        <v>323</v>
      </c>
      <c r="E77" s="415"/>
      <c r="F77" s="461"/>
      <c r="G77" s="323">
        <v>2000000</v>
      </c>
      <c r="H77" s="536">
        <v>45792</v>
      </c>
      <c r="I77" s="749"/>
      <c r="J77" s="749"/>
      <c r="K77" s="300"/>
      <c r="L77" s="321">
        <v>8</v>
      </c>
      <c r="M77" s="433" t="s">
        <v>322</v>
      </c>
      <c r="N77" s="334" t="s">
        <v>324</v>
      </c>
      <c r="O77" s="556"/>
      <c r="P77" s="461">
        <v>2642000</v>
      </c>
      <c r="Q77" s="323">
        <v>1329750</v>
      </c>
      <c r="R77" s="753" t="s">
        <v>325</v>
      </c>
      <c r="S77" s="629" t="s">
        <v>326</v>
      </c>
      <c r="T77" s="645">
        <v>45808</v>
      </c>
      <c r="U77" s="665">
        <v>1027779.9272249884</v>
      </c>
      <c r="V77" s="775"/>
      <c r="W77" s="536">
        <v>45792</v>
      </c>
      <c r="X77" s="736"/>
      <c r="Y77" s="482"/>
    </row>
    <row r="78" spans="1:25" ht="14.25" customHeight="1">
      <c r="B78" s="321">
        <v>8</v>
      </c>
      <c r="C78" s="322"/>
      <c r="D78" s="334"/>
      <c r="E78" s="415"/>
      <c r="F78" s="461"/>
      <c r="G78" s="323"/>
      <c r="H78" s="576"/>
      <c r="I78" s="749"/>
      <c r="J78" s="749"/>
      <c r="K78" s="300"/>
      <c r="L78" s="321">
        <v>8</v>
      </c>
      <c r="M78" s="433" t="s">
        <v>322</v>
      </c>
      <c r="N78" s="334"/>
      <c r="O78" s="556"/>
      <c r="P78" s="461"/>
      <c r="Q78" s="323"/>
      <c r="R78" s="755"/>
      <c r="S78" s="629"/>
      <c r="T78" s="523"/>
      <c r="U78" s="665">
        <v>0</v>
      </c>
      <c r="V78" s="775"/>
      <c r="W78" s="576"/>
      <c r="X78" s="736"/>
      <c r="Y78" s="482"/>
    </row>
    <row r="79" spans="1:25" ht="14.25" customHeight="1">
      <c r="B79" s="321">
        <v>8</v>
      </c>
      <c r="C79" s="322"/>
      <c r="D79" s="334"/>
      <c r="E79" s="415"/>
      <c r="F79" s="461"/>
      <c r="G79" s="323"/>
      <c r="H79" s="536">
        <v>45805</v>
      </c>
      <c r="I79" s="749"/>
      <c r="J79" s="749"/>
      <c r="K79" s="300"/>
      <c r="L79" s="321">
        <v>8</v>
      </c>
      <c r="M79" s="433" t="s">
        <v>322</v>
      </c>
      <c r="N79" s="334" t="s">
        <v>327</v>
      </c>
      <c r="O79" s="556"/>
      <c r="P79" s="461"/>
      <c r="Q79" s="323">
        <v>-1329750</v>
      </c>
      <c r="R79" s="592"/>
      <c r="S79" s="629" t="s">
        <v>328</v>
      </c>
      <c r="T79" s="645">
        <v>45808</v>
      </c>
      <c r="U79" s="665">
        <v>-1027779.9272249884</v>
      </c>
      <c r="V79" s="775"/>
      <c r="W79" s="536">
        <v>45805</v>
      </c>
      <c r="X79" s="736"/>
      <c r="Y79" s="482"/>
    </row>
    <row r="80" spans="1:25" ht="14.25" customHeight="1">
      <c r="B80" s="321">
        <v>8</v>
      </c>
      <c r="C80" s="322"/>
      <c r="D80" s="334"/>
      <c r="E80" s="415"/>
      <c r="F80" s="461"/>
      <c r="G80" s="323"/>
      <c r="H80" s="576"/>
      <c r="I80" s="749"/>
      <c r="J80" s="749"/>
      <c r="K80" s="300"/>
      <c r="L80" s="321">
        <v>8</v>
      </c>
      <c r="M80" s="433" t="s">
        <v>322</v>
      </c>
      <c r="N80" s="334"/>
      <c r="O80" s="556"/>
      <c r="P80" s="461"/>
      <c r="Q80" s="323"/>
      <c r="R80" s="592"/>
      <c r="S80" s="629"/>
      <c r="T80" s="523" t="str">
        <f t="shared" si="15"/>
        <v/>
      </c>
      <c r="U80" s="507">
        <f>(Q80/$X$75*$J$75)</f>
        <v>0</v>
      </c>
      <c r="V80" s="775"/>
      <c r="W80" s="576"/>
      <c r="X80" s="736"/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36">
        <v>45869</v>
      </c>
      <c r="I81" s="749"/>
      <c r="J81" s="749"/>
      <c r="K81" s="300"/>
      <c r="L81" s="321">
        <v>8</v>
      </c>
      <c r="M81" s="433" t="s">
        <v>322</v>
      </c>
      <c r="N81" s="334" t="s">
        <v>324</v>
      </c>
      <c r="O81" s="647">
        <v>2500000</v>
      </c>
      <c r="P81" s="648">
        <v>0.25</v>
      </c>
      <c r="Q81" s="323">
        <f>$O$81*P81</f>
        <v>625000</v>
      </c>
      <c r="R81" s="592"/>
      <c r="S81" s="629" t="s">
        <v>329</v>
      </c>
      <c r="T81" s="645">
        <v>45869</v>
      </c>
      <c r="U81" s="665">
        <v>471698.11320754717</v>
      </c>
      <c r="V81" s="775"/>
      <c r="W81" s="536">
        <v>45869</v>
      </c>
      <c r="X81" s="736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49"/>
      <c r="J82" s="749"/>
      <c r="K82" s="300"/>
      <c r="L82" s="321">
        <v>8</v>
      </c>
      <c r="M82" s="433" t="s">
        <v>322</v>
      </c>
      <c r="N82" s="334" t="s">
        <v>330</v>
      </c>
      <c r="O82" s="556"/>
      <c r="P82" s="648">
        <v>0.15</v>
      </c>
      <c r="Q82" s="323">
        <f t="shared" ref="Q82:Q85" si="16">$O$81*P82</f>
        <v>375000</v>
      </c>
      <c r="R82" s="670"/>
      <c r="S82" s="633" t="s">
        <v>329</v>
      </c>
      <c r="T82" s="663">
        <v>45900</v>
      </c>
      <c r="U82" s="672">
        <v>341245.41130984924</v>
      </c>
      <c r="V82" s="775"/>
      <c r="W82" s="538">
        <v>45869</v>
      </c>
      <c r="X82" s="736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38">
        <v>45869</v>
      </c>
      <c r="I83" s="749"/>
      <c r="J83" s="749"/>
      <c r="K83" s="300"/>
      <c r="L83" s="321">
        <v>8</v>
      </c>
      <c r="M83" s="433" t="s">
        <v>322</v>
      </c>
      <c r="N83" s="334" t="s">
        <v>330</v>
      </c>
      <c r="O83" s="556"/>
      <c r="P83" s="648">
        <v>0.15</v>
      </c>
      <c r="Q83" s="323">
        <f t="shared" si="16"/>
        <v>375000</v>
      </c>
      <c r="R83" s="596"/>
      <c r="S83" s="633" t="s">
        <v>329</v>
      </c>
      <c r="T83" s="663">
        <v>45900</v>
      </c>
      <c r="U83" s="672">
        <v>341045.40130984923</v>
      </c>
      <c r="V83" s="775"/>
      <c r="W83" s="538">
        <v>45869</v>
      </c>
      <c r="X83" s="736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38">
        <v>45869</v>
      </c>
      <c r="I84" s="749"/>
      <c r="J84" s="749"/>
      <c r="K84" s="300"/>
      <c r="L84" s="321">
        <v>8</v>
      </c>
      <c r="M84" s="433" t="s">
        <v>322</v>
      </c>
      <c r="N84" s="334" t="s">
        <v>330</v>
      </c>
      <c r="O84" s="556"/>
      <c r="P84" s="648">
        <v>0.15</v>
      </c>
      <c r="Q84" s="323">
        <f t="shared" si="16"/>
        <v>375000</v>
      </c>
      <c r="R84" s="670"/>
      <c r="S84" s="633" t="s">
        <v>329</v>
      </c>
      <c r="T84" s="663">
        <v>45900</v>
      </c>
      <c r="U84" s="672">
        <v>163720.25130984926</v>
      </c>
      <c r="V84" s="775"/>
      <c r="W84" s="538">
        <v>45869</v>
      </c>
      <c r="X84" s="736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38">
        <v>45869</v>
      </c>
      <c r="I85" s="749"/>
      <c r="J85" s="749"/>
      <c r="K85" s="300"/>
      <c r="L85" s="321">
        <v>8</v>
      </c>
      <c r="M85" s="433" t="s">
        <v>322</v>
      </c>
      <c r="N85" s="334" t="s">
        <v>331</v>
      </c>
      <c r="O85" s="556"/>
      <c r="P85" s="648">
        <v>0.3</v>
      </c>
      <c r="Q85" s="323">
        <f t="shared" si="16"/>
        <v>750000</v>
      </c>
      <c r="R85" s="596"/>
      <c r="S85" s="633" t="s">
        <v>329</v>
      </c>
      <c r="T85" s="663">
        <v>45900</v>
      </c>
      <c r="U85" s="672">
        <v>682290.82261969848</v>
      </c>
      <c r="V85" s="775"/>
      <c r="W85" s="538">
        <v>45869</v>
      </c>
      <c r="X85" s="736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9"/>
      <c r="I86" s="749"/>
      <c r="J86" s="749"/>
      <c r="K86" s="300"/>
      <c r="L86" s="321">
        <v>8</v>
      </c>
      <c r="M86" s="433" t="s">
        <v>322</v>
      </c>
      <c r="N86" s="334"/>
      <c r="O86" s="556"/>
      <c r="P86" s="461"/>
      <c r="Q86" s="323"/>
      <c r="R86" s="596"/>
      <c r="S86" s="633"/>
      <c r="T86" s="526" t="str">
        <f t="shared" ref="T86" si="17">IF(W86&gt;1,EOMONTH(W86,0),"")</f>
        <v/>
      </c>
      <c r="U86" s="512">
        <f>(Q86/$X$75*$J$75)</f>
        <v>0</v>
      </c>
      <c r="V86" s="775"/>
      <c r="W86" s="579"/>
      <c r="X86" s="736"/>
      <c r="Y86" s="482"/>
    </row>
    <row r="87" spans="1:25" ht="14.25" customHeight="1">
      <c r="B87" s="321">
        <v>8</v>
      </c>
      <c r="C87" s="322"/>
      <c r="D87" s="334"/>
      <c r="E87" s="415"/>
      <c r="F87" s="461"/>
      <c r="G87" s="323"/>
      <c r="H87" s="579">
        <f>E87</f>
        <v>0</v>
      </c>
      <c r="I87" s="749"/>
      <c r="J87" s="749"/>
      <c r="K87" s="300"/>
      <c r="L87" s="321">
        <v>8</v>
      </c>
      <c r="M87" s="433" t="s">
        <v>322</v>
      </c>
      <c r="N87" s="334" t="s">
        <v>332</v>
      </c>
      <c r="O87" s="653">
        <v>120203.36</v>
      </c>
      <c r="P87" s="654">
        <v>0.5</v>
      </c>
      <c r="Q87" s="323">
        <f>O87*P87</f>
        <v>60101.68</v>
      </c>
      <c r="R87" s="753" t="s">
        <v>333</v>
      </c>
      <c r="S87" s="633" t="s">
        <v>334</v>
      </c>
      <c r="T87" s="673">
        <v>45961</v>
      </c>
      <c r="U87" s="512">
        <v>0</v>
      </c>
      <c r="V87" s="775"/>
      <c r="W87" s="538">
        <v>45954</v>
      </c>
      <c r="X87" s="736"/>
      <c r="Y87" s="482"/>
    </row>
    <row r="88" spans="1:25" ht="14.25" customHeight="1">
      <c r="B88" s="321">
        <v>8</v>
      </c>
      <c r="C88" s="322"/>
      <c r="D88" s="334"/>
      <c r="E88" s="415"/>
      <c r="F88" s="461"/>
      <c r="G88" s="323"/>
      <c r="H88" s="579">
        <f>E88</f>
        <v>0</v>
      </c>
      <c r="I88" s="749"/>
      <c r="J88" s="749"/>
      <c r="K88" s="300"/>
      <c r="L88" s="321">
        <v>8</v>
      </c>
      <c r="M88" s="433" t="s">
        <v>322</v>
      </c>
      <c r="N88" s="334"/>
      <c r="O88" s="556"/>
      <c r="P88" s="648">
        <v>0.5</v>
      </c>
      <c r="Q88" s="323">
        <f>O87*P88</f>
        <v>60101.68</v>
      </c>
      <c r="R88" s="755"/>
      <c r="S88" s="633" t="s">
        <v>334</v>
      </c>
      <c r="T88" s="673">
        <v>45961</v>
      </c>
      <c r="U88" s="512">
        <v>0</v>
      </c>
      <c r="V88" s="775"/>
      <c r="W88" s="703">
        <f>W87+14</f>
        <v>45968</v>
      </c>
      <c r="X88" s="736"/>
      <c r="Y88" s="482"/>
    </row>
    <row r="89" spans="1:25" ht="14.25" customHeight="1">
      <c r="B89" s="321">
        <v>8</v>
      </c>
      <c r="C89" s="322"/>
      <c r="D89" s="334"/>
      <c r="E89" s="415"/>
      <c r="F89" s="461"/>
      <c r="G89" s="323"/>
      <c r="H89" s="579">
        <v>45939</v>
      </c>
      <c r="I89" s="749"/>
      <c r="J89" s="749"/>
      <c r="K89" s="300"/>
      <c r="L89" s="321">
        <v>8</v>
      </c>
      <c r="M89" s="433" t="s">
        <v>322</v>
      </c>
      <c r="N89" s="334" t="s">
        <v>335</v>
      </c>
      <c r="O89" s="556"/>
      <c r="P89" s="461"/>
      <c r="Q89" s="323">
        <v>975</v>
      </c>
      <c r="R89" s="596"/>
      <c r="S89" s="633" t="s">
        <v>336</v>
      </c>
      <c r="T89" s="673">
        <v>45930</v>
      </c>
      <c r="U89" s="512">
        <v>0</v>
      </c>
      <c r="V89" s="775"/>
      <c r="W89" s="703">
        <v>45939</v>
      </c>
      <c r="X89" s="736"/>
      <c r="Y89" s="482"/>
    </row>
    <row r="90" spans="1:25" ht="14.25" customHeight="1">
      <c r="B90" s="321">
        <v>8</v>
      </c>
      <c r="C90" s="322"/>
      <c r="D90" s="334"/>
      <c r="E90" s="415"/>
      <c r="F90" s="461"/>
      <c r="G90" s="323"/>
      <c r="H90" s="579"/>
      <c r="I90" s="749"/>
      <c r="J90" s="749"/>
      <c r="K90" s="300"/>
      <c r="L90" s="321">
        <v>8</v>
      </c>
      <c r="M90" s="433" t="s">
        <v>322</v>
      </c>
      <c r="N90" s="334" t="s">
        <v>337</v>
      </c>
      <c r="O90" s="556"/>
      <c r="P90" s="461"/>
      <c r="Q90" s="323"/>
      <c r="R90" s="596"/>
      <c r="S90" s="633"/>
      <c r="T90" s="663">
        <v>45991</v>
      </c>
      <c r="U90" s="512"/>
      <c r="V90" s="775"/>
      <c r="W90" s="703">
        <v>45991</v>
      </c>
      <c r="X90" s="736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79"/>
      <c r="I91" s="749"/>
      <c r="J91" s="749"/>
      <c r="K91" s="300"/>
      <c r="L91" s="321">
        <v>8</v>
      </c>
      <c r="M91" s="433" t="s">
        <v>322</v>
      </c>
      <c r="N91" s="334"/>
      <c r="O91" s="556"/>
      <c r="P91" s="461"/>
      <c r="Q91" s="323">
        <v>2292374</v>
      </c>
      <c r="R91" s="596"/>
      <c r="S91" s="633" t="s">
        <v>338</v>
      </c>
      <c r="T91" s="663">
        <v>45991</v>
      </c>
      <c r="U91" s="710">
        <v>1993368.6956521741</v>
      </c>
      <c r="V91" s="775"/>
      <c r="W91" s="703">
        <v>46009</v>
      </c>
      <c r="X91" s="736"/>
      <c r="Y91" s="482"/>
    </row>
    <row r="92" spans="1:25" ht="15" customHeight="1">
      <c r="B92" s="321">
        <v>8</v>
      </c>
      <c r="C92" s="302"/>
      <c r="D92" s="303"/>
      <c r="E92" s="458"/>
      <c r="F92" s="455"/>
      <c r="G92" s="304"/>
      <c r="H92" s="577"/>
      <c r="I92" s="750"/>
      <c r="J92" s="750"/>
      <c r="K92" s="305"/>
      <c r="L92" s="301">
        <v>8</v>
      </c>
      <c r="M92" s="432" t="s">
        <v>322</v>
      </c>
      <c r="N92" s="303"/>
      <c r="O92" s="557"/>
      <c r="P92" s="455"/>
      <c r="Q92" s="304"/>
      <c r="R92" s="593"/>
      <c r="S92" s="630"/>
      <c r="T92" s="524" t="str">
        <f t="shared" si="15"/>
        <v/>
      </c>
      <c r="U92" s="508">
        <f>(Q92/$X$75*$J$75)</f>
        <v>0</v>
      </c>
      <c r="V92" s="776"/>
      <c r="W92" s="577"/>
      <c r="X92" s="737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39"/>
      <c r="I93" s="439"/>
      <c r="J93" s="440"/>
      <c r="K93" s="163" t="s">
        <v>339</v>
      </c>
      <c r="L93" s="335"/>
      <c r="M93" s="163"/>
      <c r="N93" s="163"/>
      <c r="O93" s="560"/>
      <c r="P93" s="469"/>
      <c r="Q93" s="163"/>
      <c r="R93" s="599"/>
      <c r="S93" s="335"/>
      <c r="T93" s="529" t="str">
        <f t="shared" si="15"/>
        <v/>
      </c>
      <c r="U93" s="494"/>
      <c r="V93" s="494"/>
      <c r="W93" s="539"/>
      <c r="X93" s="439"/>
      <c r="Y93" s="482"/>
    </row>
    <row r="94" spans="1:25" ht="15" customHeight="1">
      <c r="B94" s="310">
        <v>9</v>
      </c>
      <c r="C94" s="442" t="s">
        <v>340</v>
      </c>
      <c r="D94" s="326" t="s">
        <v>341</v>
      </c>
      <c r="E94" s="313"/>
      <c r="F94" s="437"/>
      <c r="G94" s="619">
        <v>113490</v>
      </c>
      <c r="H94" s="578">
        <v>45883</v>
      </c>
      <c r="I94" s="765">
        <f>SUM(G94:G105)</f>
        <v>371510</v>
      </c>
      <c r="J94" s="742">
        <f>D182+D183</f>
        <v>437070.5883</v>
      </c>
      <c r="K94" s="287"/>
      <c r="L94" s="310">
        <v>9</v>
      </c>
      <c r="M94" s="423" t="s">
        <v>342</v>
      </c>
      <c r="N94" s="326"/>
      <c r="O94" s="548"/>
      <c r="P94" s="437"/>
      <c r="Q94" s="314"/>
      <c r="R94" s="594"/>
      <c r="S94" s="631"/>
      <c r="T94" s="525" t="str">
        <f t="shared" si="15"/>
        <v/>
      </c>
      <c r="U94" s="510">
        <f>(Q94/$X$94*$J$94)</f>
        <v>0</v>
      </c>
      <c r="V94" s="729">
        <f>J94-SUM(U94:U105)</f>
        <v>0</v>
      </c>
      <c r="W94" s="578"/>
      <c r="X94" s="768">
        <f>SUM(Q94:Q105)</f>
        <v>476700</v>
      </c>
      <c r="Y94" s="482"/>
    </row>
    <row r="95" spans="1:25" ht="15" customHeight="1">
      <c r="B95" s="310">
        <v>9</v>
      </c>
      <c r="C95" s="442"/>
      <c r="D95" s="327" t="s">
        <v>343</v>
      </c>
      <c r="E95" s="313"/>
      <c r="F95" s="459"/>
      <c r="G95" s="619">
        <v>258020</v>
      </c>
      <c r="H95" s="534">
        <v>45883</v>
      </c>
      <c r="I95" s="766"/>
      <c r="J95" s="743"/>
      <c r="K95" s="287"/>
      <c r="L95" s="310">
        <v>9</v>
      </c>
      <c r="M95" s="423" t="s">
        <v>342</v>
      </c>
      <c r="N95" s="327" t="s">
        <v>292</v>
      </c>
      <c r="O95" s="567">
        <f>Z30+Z29</f>
        <v>476700</v>
      </c>
      <c r="P95" s="568">
        <v>0.1</v>
      </c>
      <c r="Q95" s="314">
        <f>$O$95*P95</f>
        <v>47670</v>
      </c>
      <c r="R95" s="777"/>
      <c r="S95" s="624" t="s">
        <v>294</v>
      </c>
      <c r="T95" s="640">
        <v>45869</v>
      </c>
      <c r="U95" s="651">
        <v>43707.058830000002</v>
      </c>
      <c r="V95" s="730"/>
      <c r="W95" s="534">
        <v>45883</v>
      </c>
      <c r="X95" s="769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5">
        <v>45869</v>
      </c>
      <c r="I96" s="766"/>
      <c r="J96" s="743"/>
      <c r="K96" s="287"/>
      <c r="L96" s="383">
        <v>9</v>
      </c>
      <c r="M96" s="501" t="s">
        <v>342</v>
      </c>
      <c r="N96" s="385" t="s">
        <v>88</v>
      </c>
      <c r="O96" s="549"/>
      <c r="P96" s="566">
        <v>0.15</v>
      </c>
      <c r="Q96" s="314">
        <f t="shared" ref="Q96:Q102" si="18">$O$95*P96</f>
        <v>71505</v>
      </c>
      <c r="R96" s="778"/>
      <c r="S96" s="625" t="s">
        <v>295</v>
      </c>
      <c r="T96" s="662">
        <v>45869</v>
      </c>
      <c r="U96" s="667">
        <v>65560.588244999992</v>
      </c>
      <c r="V96" s="730"/>
      <c r="W96" s="535">
        <v>45869</v>
      </c>
      <c r="X96" s="769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72">
        <v>45918</v>
      </c>
      <c r="I97" s="766"/>
      <c r="J97" s="743"/>
      <c r="K97" s="287"/>
      <c r="L97" s="383">
        <v>9</v>
      </c>
      <c r="M97" s="501" t="s">
        <v>342</v>
      </c>
      <c r="N97" s="385" t="s">
        <v>296</v>
      </c>
      <c r="O97" s="549"/>
      <c r="P97" s="566">
        <v>0.2</v>
      </c>
      <c r="Q97" s="314">
        <f t="shared" si="18"/>
        <v>95340</v>
      </c>
      <c r="R97" s="778"/>
      <c r="S97" s="625" t="s">
        <v>297</v>
      </c>
      <c r="T97" s="707">
        <v>45991</v>
      </c>
      <c r="U97" s="708">
        <v>87414.117660000004</v>
      </c>
      <c r="V97" s="730"/>
      <c r="W97" s="704">
        <v>46009</v>
      </c>
      <c r="X97" s="769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72" t="e">
        <f>'Project Plan'!#REF!+7</f>
        <v>#REF!</v>
      </c>
      <c r="I98" s="766"/>
      <c r="J98" s="743"/>
      <c r="K98" s="287"/>
      <c r="L98" s="383">
        <v>9</v>
      </c>
      <c r="M98" s="501" t="s">
        <v>342</v>
      </c>
      <c r="N98" s="385" t="s">
        <v>299</v>
      </c>
      <c r="O98" s="549"/>
      <c r="P98" s="566">
        <v>0.25</v>
      </c>
      <c r="Q98" s="314">
        <f t="shared" si="18"/>
        <v>119175</v>
      </c>
      <c r="R98" s="778"/>
      <c r="S98" s="625" t="s">
        <v>297</v>
      </c>
      <c r="T98" s="662">
        <v>46081</v>
      </c>
      <c r="U98" s="503">
        <f t="shared" ref="U98:U105" si="19">(Q98/$X$94*$J$94)</f>
        <v>109267.647075</v>
      </c>
      <c r="V98" s="730"/>
      <c r="W98" s="535">
        <f>'Project Plan'!K30+8</f>
        <v>46079</v>
      </c>
      <c r="X98" s="769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2">
        <f>H97+7</f>
        <v>45925</v>
      </c>
      <c r="I99" s="766"/>
      <c r="J99" s="743"/>
      <c r="K99" s="287"/>
      <c r="L99" s="383">
        <v>9</v>
      </c>
      <c r="M99" s="501" t="s">
        <v>342</v>
      </c>
      <c r="N99" s="385" t="s">
        <v>182</v>
      </c>
      <c r="O99" s="549"/>
      <c r="P99" s="566">
        <v>0.1</v>
      </c>
      <c r="Q99" s="314">
        <f t="shared" si="18"/>
        <v>47670</v>
      </c>
      <c r="R99" s="778"/>
      <c r="S99" s="625" t="s">
        <v>297</v>
      </c>
      <c r="T99" s="662">
        <v>46081</v>
      </c>
      <c r="U99" s="503">
        <f t="shared" si="19"/>
        <v>43707.058830000002</v>
      </c>
      <c r="V99" s="730"/>
      <c r="W99" s="572">
        <f>'Project Plan'!K44+7</f>
        <v>46080</v>
      </c>
      <c r="X99" s="769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2" t="e">
        <f>'Project Plan'!#REF!+7</f>
        <v>#REF!</v>
      </c>
      <c r="I100" s="766"/>
      <c r="J100" s="743"/>
      <c r="K100" s="287"/>
      <c r="L100" s="383">
        <v>9</v>
      </c>
      <c r="M100" s="501" t="s">
        <v>342</v>
      </c>
      <c r="N100" s="385" t="s">
        <v>300</v>
      </c>
      <c r="O100" s="549"/>
      <c r="P100" s="566">
        <v>0.1</v>
      </c>
      <c r="Q100" s="314">
        <f t="shared" si="18"/>
        <v>47670</v>
      </c>
      <c r="R100" s="778"/>
      <c r="S100" s="625" t="s">
        <v>297</v>
      </c>
      <c r="T100" s="662">
        <v>46081</v>
      </c>
      <c r="U100" s="503">
        <f t="shared" si="19"/>
        <v>43707.058830000002</v>
      </c>
      <c r="V100" s="730"/>
      <c r="W100" s="572">
        <f>'Project Plan'!K53+7</f>
        <v>46091</v>
      </c>
      <c r="X100" s="769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2" t="e">
        <f>'Project Plan'!#REF!+7</f>
        <v>#REF!</v>
      </c>
      <c r="I101" s="766"/>
      <c r="J101" s="743"/>
      <c r="K101" s="287"/>
      <c r="L101" s="383">
        <v>9</v>
      </c>
      <c r="M101" s="501" t="s">
        <v>342</v>
      </c>
      <c r="N101" s="385" t="s">
        <v>301</v>
      </c>
      <c r="O101" s="549"/>
      <c r="P101" s="566">
        <v>0.05</v>
      </c>
      <c r="Q101" s="314">
        <f t="shared" si="18"/>
        <v>23835</v>
      </c>
      <c r="R101" s="778"/>
      <c r="S101" s="625" t="s">
        <v>297</v>
      </c>
      <c r="T101" s="662">
        <v>46081</v>
      </c>
      <c r="U101" s="503">
        <f t="shared" si="19"/>
        <v>21853.529415000001</v>
      </c>
      <c r="V101" s="730"/>
      <c r="W101" s="572">
        <f>'Project Plan'!K53+7</f>
        <v>46091</v>
      </c>
      <c r="X101" s="769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2" t="e">
        <f>'Project Plan'!#REF!+30</f>
        <v>#REF!</v>
      </c>
      <c r="I102" s="766"/>
      <c r="J102" s="743"/>
      <c r="K102" s="287"/>
      <c r="L102" s="383">
        <v>9</v>
      </c>
      <c r="M102" s="501" t="s">
        <v>342</v>
      </c>
      <c r="N102" s="385" t="s">
        <v>302</v>
      </c>
      <c r="O102" s="549"/>
      <c r="P102" s="566">
        <v>0.05</v>
      </c>
      <c r="Q102" s="314">
        <f t="shared" si="18"/>
        <v>23835</v>
      </c>
      <c r="R102" s="779"/>
      <c r="S102" s="625" t="s">
        <v>297</v>
      </c>
      <c r="T102" s="662">
        <v>46081</v>
      </c>
      <c r="U102" s="503">
        <f t="shared" si="19"/>
        <v>21853.529415000001</v>
      </c>
      <c r="V102" s="730"/>
      <c r="W102" s="572">
        <f>'Project Plan'!K53+30</f>
        <v>46114</v>
      </c>
      <c r="X102" s="769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2"/>
      <c r="I103" s="766"/>
      <c r="J103" s="743"/>
      <c r="K103" s="287"/>
      <c r="L103" s="383">
        <v>9</v>
      </c>
      <c r="M103" s="501" t="s">
        <v>342</v>
      </c>
      <c r="N103" s="385"/>
      <c r="O103" s="549"/>
      <c r="P103" s="444"/>
      <c r="Q103" s="386"/>
      <c r="R103" s="588"/>
      <c r="S103" s="625"/>
      <c r="T103" s="519" t="str">
        <f t="shared" si="15"/>
        <v/>
      </c>
      <c r="U103" s="503">
        <f t="shared" si="19"/>
        <v>0</v>
      </c>
      <c r="V103" s="730"/>
      <c r="W103" s="572"/>
      <c r="X103" s="769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2"/>
      <c r="I104" s="766"/>
      <c r="J104" s="743"/>
      <c r="K104" s="287"/>
      <c r="L104" s="383">
        <v>9</v>
      </c>
      <c r="M104" s="501" t="s">
        <v>342</v>
      </c>
      <c r="N104" s="385"/>
      <c r="O104" s="549"/>
      <c r="P104" s="444"/>
      <c r="Q104" s="386"/>
      <c r="R104" s="588"/>
      <c r="S104" s="625"/>
      <c r="T104" s="519" t="str">
        <f t="shared" si="15"/>
        <v/>
      </c>
      <c r="U104" s="503">
        <f t="shared" si="19"/>
        <v>0</v>
      </c>
      <c r="V104" s="730"/>
      <c r="W104" s="572"/>
      <c r="X104" s="769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3"/>
      <c r="I105" s="767"/>
      <c r="J105" s="744"/>
      <c r="K105" s="363"/>
      <c r="L105" s="315">
        <v>9</v>
      </c>
      <c r="M105" s="441" t="s">
        <v>342</v>
      </c>
      <c r="N105" s="328"/>
      <c r="O105" s="550"/>
      <c r="P105" s="460"/>
      <c r="Q105" s="329"/>
      <c r="R105" s="589"/>
      <c r="S105" s="626"/>
      <c r="T105" s="520" t="str">
        <f t="shared" si="15"/>
        <v/>
      </c>
      <c r="U105" s="504">
        <f t="shared" si="19"/>
        <v>0</v>
      </c>
      <c r="V105" s="731"/>
      <c r="W105" s="573"/>
      <c r="X105" s="770"/>
      <c r="Y105" s="482"/>
    </row>
    <row r="106" spans="1:25" ht="14.4" thickBot="1">
      <c r="A106" s="24"/>
      <c r="B106" s="289"/>
      <c r="C106" s="306"/>
      <c r="D106" s="307"/>
      <c r="E106" s="290"/>
      <c r="F106" s="456"/>
      <c r="G106" s="291"/>
      <c r="H106" s="574"/>
      <c r="I106" s="279"/>
      <c r="J106" s="402"/>
      <c r="K106" s="24"/>
      <c r="L106" s="289"/>
      <c r="M106" s="306"/>
      <c r="N106" s="307"/>
      <c r="O106" s="551"/>
      <c r="P106" s="456"/>
      <c r="Q106" s="291"/>
      <c r="R106" s="590"/>
      <c r="S106" s="627"/>
      <c r="T106" s="521" t="str">
        <f t="shared" si="15"/>
        <v/>
      </c>
      <c r="U106" s="509"/>
      <c r="V106" s="492"/>
      <c r="W106" s="574"/>
      <c r="X106" s="349"/>
      <c r="Y106" s="482"/>
    </row>
    <row r="107" spans="1:25" ht="14.25" customHeight="1">
      <c r="B107" s="268">
        <v>10</v>
      </c>
      <c r="C107" s="269" t="s">
        <v>344</v>
      </c>
      <c r="D107" s="269" t="s">
        <v>267</v>
      </c>
      <c r="E107" s="270"/>
      <c r="F107" s="470"/>
      <c r="G107" s="337">
        <v>8500</v>
      </c>
      <c r="H107" s="582">
        <v>45883</v>
      </c>
      <c r="I107" s="759">
        <f>SUM(G107:G123)</f>
        <v>58106.5</v>
      </c>
      <c r="J107" s="759">
        <f>D186+D189+D190+D188</f>
        <v>68360.588235000003</v>
      </c>
      <c r="K107" s="338"/>
      <c r="L107" s="268">
        <v>10</v>
      </c>
      <c r="M107" s="434" t="s">
        <v>345</v>
      </c>
      <c r="N107" s="269"/>
      <c r="O107" s="561"/>
      <c r="P107" s="470"/>
      <c r="Q107" s="337"/>
      <c r="R107" s="600"/>
      <c r="S107" s="636"/>
      <c r="T107" s="530" t="str">
        <f t="shared" si="15"/>
        <v/>
      </c>
      <c r="U107" s="514">
        <f>(Q107/$X$107*$J$107)</f>
        <v>0</v>
      </c>
      <c r="V107" s="771">
        <f>J107-SUM(U107:U123)</f>
        <v>3.211347691831179E-3</v>
      </c>
      <c r="W107" s="582"/>
      <c r="X107" s="762">
        <f>SUM(Q107:Q123)</f>
        <v>151047.47999999998</v>
      </c>
      <c r="Y107" s="482"/>
    </row>
    <row r="108" spans="1:25" ht="14.25" customHeight="1">
      <c r="B108" s="339">
        <v>10</v>
      </c>
      <c r="C108" s="340"/>
      <c r="D108" s="340" t="s">
        <v>268</v>
      </c>
      <c r="E108" s="341"/>
      <c r="F108" s="471"/>
      <c r="G108" s="342">
        <v>44056.5</v>
      </c>
      <c r="H108" s="583">
        <v>45883</v>
      </c>
      <c r="I108" s="760"/>
      <c r="J108" s="760"/>
      <c r="K108" s="271"/>
      <c r="L108" s="339">
        <v>10</v>
      </c>
      <c r="M108" s="435" t="s">
        <v>345</v>
      </c>
      <c r="N108" s="340"/>
      <c r="O108" s="562"/>
      <c r="P108" s="471"/>
      <c r="Q108" s="342"/>
      <c r="R108" s="601"/>
      <c r="S108" s="637"/>
      <c r="T108" s="531"/>
      <c r="U108" s="515">
        <f>(Q108/$X$107*$J$107)</f>
        <v>0</v>
      </c>
      <c r="V108" s="772"/>
      <c r="W108" s="583"/>
      <c r="X108" s="763"/>
      <c r="Y108" s="482"/>
    </row>
    <row r="109" spans="1:25" ht="14.25" customHeight="1">
      <c r="B109" s="339">
        <v>10</v>
      </c>
      <c r="C109" s="340"/>
      <c r="D109" s="340" t="s">
        <v>346</v>
      </c>
      <c r="E109" s="341"/>
      <c r="F109" s="471"/>
      <c r="G109" s="342">
        <v>0</v>
      </c>
      <c r="H109" s="583">
        <v>45883</v>
      </c>
      <c r="I109" s="760"/>
      <c r="J109" s="760"/>
      <c r="K109" s="271"/>
      <c r="L109" s="339">
        <v>10</v>
      </c>
      <c r="M109" s="435" t="s">
        <v>345</v>
      </c>
      <c r="N109" s="340"/>
      <c r="O109" s="562"/>
      <c r="P109" s="471"/>
      <c r="Q109" s="342"/>
      <c r="R109" s="601"/>
      <c r="S109" s="637"/>
      <c r="T109" s="531" t="str">
        <f t="shared" si="15"/>
        <v/>
      </c>
      <c r="U109" s="515">
        <f>(Q109/$X$107*$J$107)</f>
        <v>0</v>
      </c>
      <c r="V109" s="772"/>
      <c r="W109" s="583"/>
      <c r="X109" s="763"/>
      <c r="Y109" s="482"/>
    </row>
    <row r="110" spans="1:25" ht="14.25" customHeight="1">
      <c r="B110" s="339">
        <v>10</v>
      </c>
      <c r="C110" s="340"/>
      <c r="D110" s="340" t="s">
        <v>269</v>
      </c>
      <c r="E110" s="341"/>
      <c r="F110" s="471"/>
      <c r="G110" s="342">
        <v>5550</v>
      </c>
      <c r="H110" s="583">
        <v>45883</v>
      </c>
      <c r="I110" s="760"/>
      <c r="J110" s="760"/>
      <c r="K110" s="271"/>
      <c r="L110" s="339">
        <v>10</v>
      </c>
      <c r="M110" s="435" t="s">
        <v>345</v>
      </c>
      <c r="N110" s="340"/>
      <c r="O110" s="562"/>
      <c r="P110" s="471"/>
      <c r="Q110" s="342"/>
      <c r="R110" s="601"/>
      <c r="S110" s="637"/>
      <c r="T110" s="531" t="str">
        <f t="shared" si="15"/>
        <v/>
      </c>
      <c r="U110" s="515">
        <f>(Q110/$X$107*$J$107)</f>
        <v>0</v>
      </c>
      <c r="V110" s="772"/>
      <c r="W110" s="583"/>
      <c r="X110" s="763"/>
      <c r="Y110" s="482"/>
    </row>
    <row r="111" spans="1:25" ht="14.25" customHeight="1">
      <c r="B111" s="339">
        <v>10</v>
      </c>
      <c r="C111" s="340"/>
      <c r="D111" s="340"/>
      <c r="E111" s="341"/>
      <c r="F111" s="471"/>
      <c r="G111" s="342"/>
      <c r="H111" s="540"/>
      <c r="I111" s="760"/>
      <c r="J111" s="760"/>
      <c r="K111" s="271"/>
      <c r="L111" s="339">
        <v>10</v>
      </c>
      <c r="M111" s="435" t="s">
        <v>345</v>
      </c>
      <c r="N111" s="340" t="s">
        <v>292</v>
      </c>
      <c r="O111" s="618">
        <f>SUM(Z31:Z37)</f>
        <v>151047.5</v>
      </c>
      <c r="P111" s="569">
        <v>0.1</v>
      </c>
      <c r="Q111" s="342">
        <f>$O$111*P111</f>
        <v>15104.75</v>
      </c>
      <c r="R111" s="753"/>
      <c r="S111" s="638" t="s">
        <v>294</v>
      </c>
      <c r="T111" s="649">
        <f>T95</f>
        <v>45869</v>
      </c>
      <c r="U111" s="650">
        <v>6836.0588235000005</v>
      </c>
      <c r="V111" s="772"/>
      <c r="W111" s="540">
        <f>W95</f>
        <v>45883</v>
      </c>
      <c r="X111" s="763"/>
      <c r="Y111" s="482"/>
    </row>
    <row r="112" spans="1:25" ht="14.25" customHeight="1">
      <c r="B112" s="339">
        <v>10</v>
      </c>
      <c r="C112" s="340"/>
      <c r="D112" s="340"/>
      <c r="E112" s="341"/>
      <c r="F112" s="471"/>
      <c r="G112" s="342"/>
      <c r="H112" s="540"/>
      <c r="I112" s="760"/>
      <c r="J112" s="760"/>
      <c r="K112" s="271"/>
      <c r="L112" s="339">
        <v>10</v>
      </c>
      <c r="M112" s="435" t="s">
        <v>345</v>
      </c>
      <c r="N112" s="340" t="s">
        <v>88</v>
      </c>
      <c r="O112" s="562"/>
      <c r="P112" s="569">
        <v>0.15</v>
      </c>
      <c r="Q112" s="342">
        <f t="shared" ref="Q112:Q120" si="20">$O$111*P112</f>
        <v>22657.125</v>
      </c>
      <c r="R112" s="754"/>
      <c r="S112" s="638" t="s">
        <v>295</v>
      </c>
      <c r="T112" s="649">
        <f t="shared" ref="T112" si="21">T96</f>
        <v>45869</v>
      </c>
      <c r="U112" s="650">
        <v>10254.088235249999</v>
      </c>
      <c r="V112" s="772"/>
      <c r="W112" s="540">
        <f t="shared" ref="W112" si="22">W96</f>
        <v>45869</v>
      </c>
      <c r="X112" s="763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0"/>
      <c r="I113" s="760"/>
      <c r="J113" s="760"/>
      <c r="K113" s="271"/>
      <c r="L113" s="339">
        <v>10</v>
      </c>
      <c r="M113" s="435" t="s">
        <v>345</v>
      </c>
      <c r="N113" s="340"/>
      <c r="O113" s="562"/>
      <c r="P113" s="569"/>
      <c r="Q113" s="342">
        <v>-0.01</v>
      </c>
      <c r="R113" s="754"/>
      <c r="S113" s="638" t="s">
        <v>295</v>
      </c>
      <c r="T113" s="649">
        <v>45900</v>
      </c>
      <c r="U113" s="650">
        <v>0</v>
      </c>
      <c r="V113" s="772"/>
      <c r="W113" s="540">
        <v>45900</v>
      </c>
      <c r="X113" s="763"/>
      <c r="Y113" s="482"/>
    </row>
    <row r="114" spans="1:25" ht="14.25" customHeight="1">
      <c r="B114" s="339">
        <v>10</v>
      </c>
      <c r="C114" s="340"/>
      <c r="D114" s="340"/>
      <c r="E114" s="341"/>
      <c r="F114" s="471"/>
      <c r="G114" s="342"/>
      <c r="H114" s="584"/>
      <c r="I114" s="760"/>
      <c r="J114" s="760"/>
      <c r="K114" s="271"/>
      <c r="L114" s="339">
        <v>10</v>
      </c>
      <c r="M114" s="435" t="s">
        <v>345</v>
      </c>
      <c r="N114" s="340" t="s">
        <v>296</v>
      </c>
      <c r="O114" s="562"/>
      <c r="P114" s="569">
        <v>0.2</v>
      </c>
      <c r="Q114" s="342">
        <f t="shared" si="20"/>
        <v>30209.5</v>
      </c>
      <c r="R114" s="754"/>
      <c r="S114" s="638" t="s">
        <v>297</v>
      </c>
      <c r="T114" s="676">
        <f>T97</f>
        <v>45991</v>
      </c>
      <c r="U114" s="677">
        <v>13672.109457307282</v>
      </c>
      <c r="V114" s="772"/>
      <c r="W114" s="678">
        <f>W97</f>
        <v>46009</v>
      </c>
      <c r="X114" s="763"/>
      <c r="Y114" s="482"/>
    </row>
    <row r="115" spans="1:25" ht="14.25" customHeight="1">
      <c r="B115" s="339"/>
      <c r="C115" s="340"/>
      <c r="D115" s="340"/>
      <c r="E115" s="341"/>
      <c r="F115" s="471"/>
      <c r="G115" s="342"/>
      <c r="H115" s="540"/>
      <c r="I115" s="760"/>
      <c r="J115" s="760"/>
      <c r="K115" s="271"/>
      <c r="L115" s="339">
        <v>10</v>
      </c>
      <c r="M115" s="435" t="s">
        <v>345</v>
      </c>
      <c r="N115" s="340"/>
      <c r="O115" s="562"/>
      <c r="P115" s="569"/>
      <c r="Q115" s="342">
        <v>-0.01</v>
      </c>
      <c r="R115" s="754"/>
      <c r="S115" s="638" t="s">
        <v>297</v>
      </c>
      <c r="T115" s="649">
        <v>45900</v>
      </c>
      <c r="U115" s="516">
        <v>0</v>
      </c>
      <c r="V115" s="772"/>
      <c r="W115" s="540">
        <v>45900</v>
      </c>
      <c r="X115" s="763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84"/>
      <c r="I116" s="760"/>
      <c r="J116" s="760"/>
      <c r="K116" s="271"/>
      <c r="L116" s="339">
        <v>10</v>
      </c>
      <c r="M116" s="435" t="s">
        <v>345</v>
      </c>
      <c r="N116" s="340" t="s">
        <v>299</v>
      </c>
      <c r="O116" s="562"/>
      <c r="P116" s="569">
        <v>0.25</v>
      </c>
      <c r="Q116" s="342">
        <f t="shared" si="20"/>
        <v>37761.875</v>
      </c>
      <c r="R116" s="754"/>
      <c r="S116" s="638" t="s">
        <v>297</v>
      </c>
      <c r="T116" s="649">
        <v>46081</v>
      </c>
      <c r="U116" s="516">
        <f t="shared" ref="U116:U123" si="23">(Q116/$X$107*$J$107)</f>
        <v>17090.149321634108</v>
      </c>
      <c r="V116" s="772"/>
      <c r="W116" s="540">
        <f>W98</f>
        <v>46079</v>
      </c>
      <c r="X116" s="763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84"/>
      <c r="I117" s="760"/>
      <c r="J117" s="760"/>
      <c r="K117" s="271"/>
      <c r="L117" s="339">
        <v>10</v>
      </c>
      <c r="M117" s="435" t="s">
        <v>345</v>
      </c>
      <c r="N117" s="340" t="s">
        <v>182</v>
      </c>
      <c r="O117" s="562"/>
      <c r="P117" s="569">
        <v>0.1</v>
      </c>
      <c r="Q117" s="342">
        <f t="shared" si="20"/>
        <v>15104.75</v>
      </c>
      <c r="R117" s="754"/>
      <c r="S117" s="638" t="s">
        <v>297</v>
      </c>
      <c r="T117" s="649">
        <v>46081</v>
      </c>
      <c r="U117" s="516">
        <f t="shared" si="23"/>
        <v>6836.0597286536413</v>
      </c>
      <c r="V117" s="772"/>
      <c r="W117" s="584">
        <f>W99</f>
        <v>46080</v>
      </c>
      <c r="X117" s="763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84"/>
      <c r="I118" s="760"/>
      <c r="J118" s="760"/>
      <c r="K118" s="271"/>
      <c r="L118" s="339">
        <v>10</v>
      </c>
      <c r="M118" s="435" t="s">
        <v>345</v>
      </c>
      <c r="N118" s="340" t="s">
        <v>300</v>
      </c>
      <c r="O118" s="562"/>
      <c r="P118" s="569">
        <v>0.1</v>
      </c>
      <c r="Q118" s="342">
        <f t="shared" si="20"/>
        <v>15104.75</v>
      </c>
      <c r="R118" s="754"/>
      <c r="S118" s="638" t="s">
        <v>297</v>
      </c>
      <c r="T118" s="649">
        <v>46081</v>
      </c>
      <c r="U118" s="516">
        <f t="shared" si="23"/>
        <v>6836.0597286536413</v>
      </c>
      <c r="V118" s="772"/>
      <c r="W118" s="584">
        <f>W100</f>
        <v>46091</v>
      </c>
      <c r="X118" s="763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84"/>
      <c r="I119" s="760"/>
      <c r="J119" s="760"/>
      <c r="K119" s="271"/>
      <c r="L119" s="339">
        <v>10</v>
      </c>
      <c r="M119" s="435" t="s">
        <v>345</v>
      </c>
      <c r="N119" s="340" t="s">
        <v>301</v>
      </c>
      <c r="O119" s="562"/>
      <c r="P119" s="569">
        <v>0.05</v>
      </c>
      <c r="Q119" s="342">
        <f t="shared" si="20"/>
        <v>7552.375</v>
      </c>
      <c r="R119" s="754"/>
      <c r="S119" s="638" t="s">
        <v>297</v>
      </c>
      <c r="T119" s="649">
        <v>46081</v>
      </c>
      <c r="U119" s="516">
        <f t="shared" si="23"/>
        <v>3418.0298643268206</v>
      </c>
      <c r="V119" s="772"/>
      <c r="W119" s="584">
        <f>W101</f>
        <v>46091</v>
      </c>
      <c r="X119" s="763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4"/>
      <c r="I120" s="760"/>
      <c r="J120" s="760"/>
      <c r="K120" s="271"/>
      <c r="L120" s="339">
        <v>10</v>
      </c>
      <c r="M120" s="435" t="s">
        <v>345</v>
      </c>
      <c r="N120" s="340" t="s">
        <v>302</v>
      </c>
      <c r="O120" s="562"/>
      <c r="P120" s="569">
        <v>0.05</v>
      </c>
      <c r="Q120" s="342">
        <f t="shared" si="20"/>
        <v>7552.375</v>
      </c>
      <c r="R120" s="755"/>
      <c r="S120" s="638" t="s">
        <v>297</v>
      </c>
      <c r="T120" s="649">
        <v>46081</v>
      </c>
      <c r="U120" s="516">
        <f t="shared" si="23"/>
        <v>3418.0298643268206</v>
      </c>
      <c r="V120" s="772"/>
      <c r="W120" s="584">
        <f>W102</f>
        <v>46114</v>
      </c>
      <c r="X120" s="763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4"/>
      <c r="I121" s="760"/>
      <c r="J121" s="760"/>
      <c r="K121" s="271"/>
      <c r="L121" s="339">
        <v>10</v>
      </c>
      <c r="M121" s="435" t="s">
        <v>345</v>
      </c>
      <c r="N121" s="340"/>
      <c r="O121" s="562"/>
      <c r="P121" s="471"/>
      <c r="Q121" s="342"/>
      <c r="R121" s="602"/>
      <c r="S121" s="638"/>
      <c r="T121" s="532" t="str">
        <f t="shared" si="15"/>
        <v/>
      </c>
      <c r="U121" s="516">
        <f t="shared" si="23"/>
        <v>0</v>
      </c>
      <c r="V121" s="772"/>
      <c r="W121" s="584"/>
      <c r="X121" s="763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4"/>
      <c r="I122" s="760"/>
      <c r="J122" s="760"/>
      <c r="K122" s="271"/>
      <c r="L122" s="339">
        <v>10</v>
      </c>
      <c r="M122" s="435" t="s">
        <v>345</v>
      </c>
      <c r="N122" s="340"/>
      <c r="O122" s="562"/>
      <c r="P122" s="471"/>
      <c r="Q122" s="342"/>
      <c r="R122" s="602"/>
      <c r="S122" s="638"/>
      <c r="T122" s="532" t="str">
        <f t="shared" si="15"/>
        <v/>
      </c>
      <c r="U122" s="516">
        <f t="shared" si="23"/>
        <v>0</v>
      </c>
      <c r="V122" s="772"/>
      <c r="W122" s="584"/>
      <c r="X122" s="763"/>
      <c r="Y122" s="482"/>
    </row>
    <row r="123" spans="1:25" ht="15" customHeight="1" thickBot="1">
      <c r="B123" s="272">
        <v>10</v>
      </c>
      <c r="C123" s="343"/>
      <c r="D123" s="343"/>
      <c r="E123" s="344"/>
      <c r="F123" s="472"/>
      <c r="G123" s="273"/>
      <c r="H123" s="585"/>
      <c r="I123" s="761"/>
      <c r="J123" s="761"/>
      <c r="K123" s="274"/>
      <c r="L123" s="272">
        <v>10</v>
      </c>
      <c r="M123" s="436" t="s">
        <v>345</v>
      </c>
      <c r="N123" s="343"/>
      <c r="O123" s="563"/>
      <c r="P123" s="472"/>
      <c r="Q123" s="273"/>
      <c r="R123" s="603"/>
      <c r="S123" s="639"/>
      <c r="T123" s="533" t="str">
        <f t="shared" si="15"/>
        <v/>
      </c>
      <c r="U123" s="517">
        <f t="shared" si="23"/>
        <v>0</v>
      </c>
      <c r="V123" s="773"/>
      <c r="W123" s="585"/>
      <c r="X123" s="764"/>
      <c r="Y123" s="482"/>
    </row>
    <row r="124" spans="1:25" ht="14.4" thickBot="1">
      <c r="A124" s="24"/>
      <c r="B124" s="275"/>
      <c r="C124" s="276"/>
      <c r="D124" s="276"/>
      <c r="E124" s="290"/>
      <c r="F124" s="456"/>
      <c r="G124" s="278"/>
      <c r="H124" s="574"/>
      <c r="I124" s="279"/>
      <c r="J124" s="402"/>
      <c r="K124" s="24"/>
      <c r="L124" s="275"/>
      <c r="M124" s="276"/>
      <c r="N124" s="276"/>
      <c r="O124" s="551"/>
      <c r="P124" s="456"/>
      <c r="Q124" s="278"/>
      <c r="R124" s="595"/>
      <c r="S124" s="632"/>
      <c r="T124" s="521" t="str">
        <f t="shared" si="15"/>
        <v/>
      </c>
      <c r="U124" s="505"/>
      <c r="V124" s="493"/>
      <c r="W124" s="574"/>
      <c r="X124" s="349"/>
      <c r="Y124" s="482"/>
    </row>
    <row r="125" spans="1:25" ht="14.25" customHeight="1">
      <c r="B125" s="280">
        <v>11</v>
      </c>
      <c r="C125" s="281" t="s">
        <v>347</v>
      </c>
      <c r="D125" s="350" t="s">
        <v>348</v>
      </c>
      <c r="E125" s="282"/>
      <c r="F125" s="437"/>
      <c r="G125" s="283">
        <v>11349</v>
      </c>
      <c r="H125" s="578">
        <v>45862</v>
      </c>
      <c r="I125" s="742">
        <f>SUM(G125:G129)</f>
        <v>94047</v>
      </c>
      <c r="J125" s="742">
        <f>D185</f>
        <v>110643.5294</v>
      </c>
      <c r="K125" s="284"/>
      <c r="L125" s="280">
        <v>11</v>
      </c>
      <c r="M125" s="350" t="s">
        <v>349</v>
      </c>
      <c r="N125" s="350" t="s">
        <v>348</v>
      </c>
      <c r="O125" s="282"/>
      <c r="P125" s="437"/>
      <c r="Q125" s="283">
        <v>7875</v>
      </c>
      <c r="R125" s="594"/>
      <c r="S125" s="631" t="s">
        <v>350</v>
      </c>
      <c r="T125" s="655">
        <v>46081</v>
      </c>
      <c r="U125" s="510">
        <f>(Q125/$X$107*$J$107)+6202.96+11129.25</f>
        <v>20896.25246102368</v>
      </c>
      <c r="V125" s="729">
        <f>J125-SUM(U125:U129)</f>
        <v>1572.2552479839796</v>
      </c>
      <c r="W125" s="578">
        <v>46094</v>
      </c>
      <c r="X125" s="726">
        <f>SUM(Q125:Q129)</f>
        <v>61934.13</v>
      </c>
      <c r="Y125" s="482"/>
    </row>
    <row r="126" spans="1:25" ht="15" customHeight="1">
      <c r="B126" s="310">
        <v>11</v>
      </c>
      <c r="C126" s="312"/>
      <c r="D126" s="312" t="s">
        <v>351</v>
      </c>
      <c r="E126" s="313"/>
      <c r="F126" s="459"/>
      <c r="G126" s="314">
        <v>22698</v>
      </c>
      <c r="H126" s="534">
        <v>45862</v>
      </c>
      <c r="I126" s="743"/>
      <c r="J126" s="743"/>
      <c r="K126" s="287"/>
      <c r="L126" s="310">
        <v>11</v>
      </c>
      <c r="M126" s="389" t="s">
        <v>349</v>
      </c>
      <c r="N126" s="312" t="s">
        <v>351</v>
      </c>
      <c r="O126" s="313"/>
      <c r="P126" s="459"/>
      <c r="Q126" s="314">
        <v>10650</v>
      </c>
      <c r="R126" s="587" t="s">
        <v>352</v>
      </c>
      <c r="S126" s="624" t="s">
        <v>353</v>
      </c>
      <c r="T126" s="640">
        <v>45777</v>
      </c>
      <c r="U126" s="644">
        <v>17839.415657202251</v>
      </c>
      <c r="V126" s="730"/>
      <c r="W126" s="534">
        <v>45862</v>
      </c>
      <c r="X126" s="727"/>
      <c r="Y126" s="482"/>
    </row>
    <row r="127" spans="1:25" ht="15" customHeight="1">
      <c r="B127" s="310">
        <v>11</v>
      </c>
      <c r="C127" s="312"/>
      <c r="D127" s="312" t="s">
        <v>354</v>
      </c>
      <c r="E127" s="313"/>
      <c r="F127" s="459"/>
      <c r="G127" s="314">
        <v>60000</v>
      </c>
      <c r="H127" s="571">
        <v>45862</v>
      </c>
      <c r="I127" s="743"/>
      <c r="J127" s="743"/>
      <c r="K127" s="287"/>
      <c r="L127" s="310">
        <v>11</v>
      </c>
      <c r="M127" s="389" t="s">
        <v>349</v>
      </c>
      <c r="N127" s="312" t="s">
        <v>354</v>
      </c>
      <c r="O127" s="313"/>
      <c r="P127" s="459"/>
      <c r="Q127" s="314">
        <v>35409.129999999997</v>
      </c>
      <c r="R127" s="587" t="s">
        <v>355</v>
      </c>
      <c r="S127" s="624" t="s">
        <v>356</v>
      </c>
      <c r="T127" s="640">
        <v>45961</v>
      </c>
      <c r="U127" s="644">
        <v>66714.991470210472</v>
      </c>
      <c r="V127" s="730"/>
      <c r="W127" s="534">
        <v>45954</v>
      </c>
      <c r="X127" s="727"/>
      <c r="Y127" s="482"/>
    </row>
    <row r="128" spans="1:25" ht="15" customHeight="1">
      <c r="B128" s="310">
        <v>11</v>
      </c>
      <c r="C128" s="387"/>
      <c r="D128" s="387"/>
      <c r="E128" s="406"/>
      <c r="F128" s="444"/>
      <c r="G128" s="386"/>
      <c r="H128" s="572">
        <v>45900</v>
      </c>
      <c r="I128" s="743"/>
      <c r="J128" s="743"/>
      <c r="K128" s="287"/>
      <c r="L128" s="310">
        <v>11</v>
      </c>
      <c r="M128" s="389" t="s">
        <v>349</v>
      </c>
      <c r="N128" s="387" t="s">
        <v>357</v>
      </c>
      <c r="O128" s="549"/>
      <c r="P128" s="444"/>
      <c r="Q128" s="386">
        <v>8000</v>
      </c>
      <c r="R128" s="588"/>
      <c r="S128" s="625" t="s">
        <v>358</v>
      </c>
      <c r="T128" s="640">
        <v>46081</v>
      </c>
      <c r="U128" s="503">
        <f>(Q128/$X$107*$J$107)</f>
        <v>3620.6145635796111</v>
      </c>
      <c r="V128" s="730"/>
      <c r="W128" s="572">
        <v>46112</v>
      </c>
      <c r="X128" s="727"/>
      <c r="Y128" s="482"/>
    </row>
    <row r="129" spans="1:25" ht="15" customHeight="1" thickBot="1">
      <c r="B129" s="315">
        <v>11</v>
      </c>
      <c r="C129" s="316"/>
      <c r="D129" s="316"/>
      <c r="E129" s="317"/>
      <c r="F129" s="460"/>
      <c r="G129" s="329"/>
      <c r="H129" s="573"/>
      <c r="I129" s="744"/>
      <c r="J129" s="744"/>
      <c r="K129" s="288"/>
      <c r="L129" s="315">
        <v>11</v>
      </c>
      <c r="M129" s="419" t="s">
        <v>349</v>
      </c>
      <c r="N129" s="316"/>
      <c r="O129" s="550"/>
      <c r="P129" s="460"/>
      <c r="Q129" s="329"/>
      <c r="R129" s="589"/>
      <c r="S129" s="626"/>
      <c r="T129" s="520" t="str">
        <f t="shared" si="15"/>
        <v/>
      </c>
      <c r="U129" s="504">
        <f>(Q129/$X$107*$J$107)</f>
        <v>0</v>
      </c>
      <c r="V129" s="731"/>
      <c r="W129" s="573"/>
      <c r="X129" s="728"/>
      <c r="Y129" s="482"/>
    </row>
    <row r="130" spans="1:25" ht="15" customHeight="1" thickBot="1">
      <c r="A130" s="24"/>
      <c r="B130" s="289"/>
      <c r="C130" s="276"/>
      <c r="D130" s="276"/>
      <c r="E130" s="290"/>
      <c r="F130" s="456"/>
      <c r="G130" s="291"/>
      <c r="H130" s="574"/>
      <c r="I130" s="279"/>
      <c r="J130" s="279"/>
      <c r="K130" s="24"/>
      <c r="L130" s="289"/>
      <c r="M130" s="276"/>
      <c r="N130" s="276"/>
      <c r="O130" s="551"/>
      <c r="P130" s="456"/>
      <c r="Q130" s="291"/>
      <c r="R130" s="590"/>
      <c r="S130" s="627"/>
      <c r="T130" s="521" t="str">
        <f t="shared" si="15"/>
        <v/>
      </c>
      <c r="U130" s="509"/>
      <c r="V130" s="492"/>
      <c r="W130" s="574"/>
      <c r="X130" s="349"/>
      <c r="Y130" s="482"/>
    </row>
    <row r="131" spans="1:25">
      <c r="B131" s="268">
        <v>12</v>
      </c>
      <c r="C131" s="269" t="s">
        <v>359</v>
      </c>
      <c r="D131" s="269"/>
      <c r="E131" s="270"/>
      <c r="F131" s="470"/>
      <c r="G131" s="337"/>
      <c r="H131" s="582"/>
      <c r="I131" s="759">
        <v>0</v>
      </c>
      <c r="J131" s="759">
        <v>0</v>
      </c>
      <c r="K131" s="780"/>
      <c r="L131" s="268">
        <v>12</v>
      </c>
      <c r="M131" s="269" t="s">
        <v>360</v>
      </c>
      <c r="N131" s="269"/>
      <c r="O131" s="561"/>
      <c r="P131" s="470"/>
      <c r="Q131" s="337"/>
      <c r="R131" s="600"/>
      <c r="S131" s="636"/>
      <c r="T131" s="530" t="str">
        <f t="shared" si="15"/>
        <v/>
      </c>
      <c r="U131" s="514"/>
      <c r="V131" s="491"/>
      <c r="W131" s="582"/>
      <c r="X131" s="762">
        <f>SUM(Q131:Q132)</f>
        <v>0</v>
      </c>
      <c r="Y131" s="482"/>
    </row>
    <row r="132" spans="1:25" ht="15" customHeight="1" thickBot="1">
      <c r="B132" s="272">
        <v>12</v>
      </c>
      <c r="C132" s="343" t="s">
        <v>359</v>
      </c>
      <c r="D132" s="343"/>
      <c r="E132" s="344"/>
      <c r="F132" s="472"/>
      <c r="G132" s="273"/>
      <c r="H132" s="585"/>
      <c r="I132" s="761"/>
      <c r="J132" s="761"/>
      <c r="K132" s="781"/>
      <c r="L132" s="272">
        <v>12</v>
      </c>
      <c r="M132" s="343" t="s">
        <v>360</v>
      </c>
      <c r="N132" s="343"/>
      <c r="O132" s="563"/>
      <c r="P132" s="472"/>
      <c r="Q132" s="273"/>
      <c r="R132" s="603"/>
      <c r="S132" s="639"/>
      <c r="T132" s="533" t="str">
        <f t="shared" si="15"/>
        <v/>
      </c>
      <c r="U132" s="517"/>
      <c r="V132" s="490"/>
      <c r="W132" s="585"/>
      <c r="X132" s="764"/>
      <c r="Y132" s="482"/>
    </row>
    <row r="133" spans="1:25" ht="14.4" thickBot="1">
      <c r="A133" s="24"/>
      <c r="B133" s="289"/>
      <c r="C133" s="276"/>
      <c r="D133" s="276"/>
      <c r="E133" s="290"/>
      <c r="F133" s="456"/>
      <c r="G133" s="291"/>
      <c r="H133" s="574"/>
      <c r="I133" s="325"/>
      <c r="J133" s="325"/>
      <c r="K133" s="24"/>
      <c r="L133" s="289"/>
      <c r="M133" s="276"/>
      <c r="N133" s="276"/>
      <c r="O133" s="551"/>
      <c r="P133" s="456"/>
      <c r="Q133" s="291"/>
      <c r="R133" s="590"/>
      <c r="S133" s="627"/>
      <c r="T133" s="521" t="str">
        <f t="shared" si="15"/>
        <v/>
      </c>
      <c r="U133" s="509"/>
      <c r="V133" s="492"/>
      <c r="W133" s="574"/>
      <c r="X133" s="483"/>
      <c r="Y133" s="482"/>
    </row>
    <row r="134" spans="1:25" ht="15.75" customHeight="1">
      <c r="B134" s="280">
        <v>13</v>
      </c>
      <c r="C134" s="281" t="s">
        <v>361</v>
      </c>
      <c r="D134" s="350" t="s">
        <v>362</v>
      </c>
      <c r="E134" s="282"/>
      <c r="F134" s="437"/>
      <c r="G134" s="283">
        <v>44929.98</v>
      </c>
      <c r="H134" s="578">
        <v>45900</v>
      </c>
      <c r="I134" s="742">
        <f>SUM(G134:G138)</f>
        <v>234129.98</v>
      </c>
      <c r="J134" s="742">
        <f>D184</f>
        <v>266056.79300000001</v>
      </c>
      <c r="K134" s="284"/>
      <c r="L134" s="280">
        <v>13</v>
      </c>
      <c r="M134" s="350" t="s">
        <v>363</v>
      </c>
      <c r="N134" s="350" t="s">
        <v>364</v>
      </c>
      <c r="O134" s="547"/>
      <c r="P134" s="437"/>
      <c r="Q134" s="283">
        <f>('Project Plan'!$E$6-2000000)*1.25%</f>
        <v>58003.7235</v>
      </c>
      <c r="R134" s="594"/>
      <c r="S134" s="631"/>
      <c r="T134" s="525">
        <f t="shared" si="15"/>
        <v>46112</v>
      </c>
      <c r="U134" s="510">
        <f t="shared" ref="U134:U139" si="24">(Q134/$X$134*$J$134)</f>
        <v>266056.79300000001</v>
      </c>
      <c r="V134" s="729">
        <f>J134-SUM(U134:U139)</f>
        <v>0</v>
      </c>
      <c r="W134" s="578">
        <v>46112</v>
      </c>
      <c r="X134" s="726">
        <f>SUM(Q134:Q139)</f>
        <v>58003.7235</v>
      </c>
      <c r="Y134" s="482"/>
    </row>
    <row r="135" spans="1:25" ht="15.75" customHeight="1">
      <c r="B135" s="310">
        <v>13</v>
      </c>
      <c r="C135" s="312"/>
      <c r="D135" s="312" t="s">
        <v>365</v>
      </c>
      <c r="E135" s="313"/>
      <c r="F135" s="459"/>
      <c r="G135" s="314">
        <v>32000</v>
      </c>
      <c r="H135" s="571">
        <v>45900</v>
      </c>
      <c r="I135" s="743"/>
      <c r="J135" s="743"/>
      <c r="K135" s="287"/>
      <c r="L135" s="310">
        <v>13</v>
      </c>
      <c r="M135" s="389" t="s">
        <v>363</v>
      </c>
      <c r="N135" s="312" t="s">
        <v>365</v>
      </c>
      <c r="O135" s="548"/>
      <c r="P135" s="459"/>
      <c r="Q135" s="314">
        <v>0</v>
      </c>
      <c r="R135" s="587"/>
      <c r="S135" s="624"/>
      <c r="T135" s="518">
        <f t="shared" si="15"/>
        <v>46112</v>
      </c>
      <c r="U135" s="502">
        <f t="shared" si="24"/>
        <v>0</v>
      </c>
      <c r="V135" s="730"/>
      <c r="W135" s="571">
        <f>W134</f>
        <v>46112</v>
      </c>
      <c r="X135" s="727"/>
      <c r="Y135" s="482"/>
    </row>
    <row r="136" spans="1:25" ht="15.75" customHeight="1">
      <c r="B136" s="310">
        <v>13</v>
      </c>
      <c r="C136" s="312"/>
      <c r="D136" s="312" t="s">
        <v>366</v>
      </c>
      <c r="E136" s="313"/>
      <c r="F136" s="459"/>
      <c r="G136" s="314">
        <v>81600</v>
      </c>
      <c r="H136" s="571">
        <v>45900</v>
      </c>
      <c r="I136" s="743"/>
      <c r="J136" s="743"/>
      <c r="K136" s="287"/>
      <c r="L136" s="310">
        <v>13</v>
      </c>
      <c r="M136" s="389" t="s">
        <v>363</v>
      </c>
      <c r="N136" s="312" t="s">
        <v>366</v>
      </c>
      <c r="O136" s="548"/>
      <c r="P136" s="459"/>
      <c r="Q136" s="314">
        <v>0</v>
      </c>
      <c r="R136" s="587"/>
      <c r="S136" s="624"/>
      <c r="T136" s="518">
        <f t="shared" si="15"/>
        <v>46112</v>
      </c>
      <c r="U136" s="502">
        <f t="shared" si="24"/>
        <v>0</v>
      </c>
      <c r="V136" s="730"/>
      <c r="W136" s="571">
        <f>W134</f>
        <v>46112</v>
      </c>
      <c r="X136" s="727"/>
      <c r="Y136" s="482"/>
    </row>
    <row r="137" spans="1:25" ht="15.75" customHeight="1">
      <c r="B137" s="310">
        <v>13</v>
      </c>
      <c r="C137" s="312"/>
      <c r="D137" s="312" t="s">
        <v>367</v>
      </c>
      <c r="E137" s="313"/>
      <c r="F137" s="459"/>
      <c r="G137" s="314">
        <v>41600</v>
      </c>
      <c r="H137" s="571">
        <v>45900</v>
      </c>
      <c r="I137" s="743"/>
      <c r="J137" s="743"/>
      <c r="K137" s="287"/>
      <c r="L137" s="310">
        <v>13</v>
      </c>
      <c r="M137" s="389" t="s">
        <v>363</v>
      </c>
      <c r="N137" s="312" t="s">
        <v>367</v>
      </c>
      <c r="O137" s="548"/>
      <c r="P137" s="459"/>
      <c r="Q137" s="314">
        <v>0</v>
      </c>
      <c r="R137" s="587"/>
      <c r="S137" s="624"/>
      <c r="T137" s="518">
        <f t="shared" si="15"/>
        <v>46112</v>
      </c>
      <c r="U137" s="502">
        <f t="shared" si="24"/>
        <v>0</v>
      </c>
      <c r="V137" s="730"/>
      <c r="W137" s="571">
        <f>W134</f>
        <v>46112</v>
      </c>
      <c r="X137" s="727"/>
      <c r="Y137" s="482"/>
    </row>
    <row r="138" spans="1:25" ht="15.75" customHeight="1">
      <c r="B138" s="310">
        <v>13</v>
      </c>
      <c r="C138" s="312"/>
      <c r="D138" s="312" t="s">
        <v>368</v>
      </c>
      <c r="E138" s="313"/>
      <c r="F138" s="459"/>
      <c r="G138" s="314">
        <v>34000</v>
      </c>
      <c r="H138" s="571">
        <v>45900</v>
      </c>
      <c r="I138" s="743"/>
      <c r="J138" s="743"/>
      <c r="K138" s="287"/>
      <c r="L138" s="310">
        <v>13</v>
      </c>
      <c r="M138" s="389" t="s">
        <v>363</v>
      </c>
      <c r="N138" s="312" t="s">
        <v>368</v>
      </c>
      <c r="O138" s="548"/>
      <c r="P138" s="459"/>
      <c r="Q138" s="314">
        <v>0</v>
      </c>
      <c r="R138" s="587"/>
      <c r="S138" s="624"/>
      <c r="T138" s="518">
        <f t="shared" si="15"/>
        <v>46112</v>
      </c>
      <c r="U138" s="502">
        <f t="shared" si="24"/>
        <v>0</v>
      </c>
      <c r="V138" s="730"/>
      <c r="W138" s="571">
        <f>W134</f>
        <v>46112</v>
      </c>
      <c r="X138" s="727"/>
      <c r="Y138" s="482"/>
    </row>
    <row r="139" spans="1:25" ht="15.75" customHeight="1" thickBot="1">
      <c r="B139" s="315">
        <v>13</v>
      </c>
      <c r="C139" s="316"/>
      <c r="D139" s="316"/>
      <c r="E139" s="317"/>
      <c r="F139" s="460"/>
      <c r="G139" s="329"/>
      <c r="H139" s="573"/>
      <c r="I139" s="744"/>
      <c r="J139" s="744"/>
      <c r="K139" s="363"/>
      <c r="L139" s="315">
        <v>13</v>
      </c>
      <c r="M139" s="419" t="s">
        <v>363</v>
      </c>
      <c r="N139" s="316"/>
      <c r="O139" s="550"/>
      <c r="P139" s="460"/>
      <c r="Q139" s="329"/>
      <c r="R139" s="589"/>
      <c r="S139" s="626"/>
      <c r="T139" s="520" t="str">
        <f t="shared" si="15"/>
        <v/>
      </c>
      <c r="U139" s="504">
        <f t="shared" si="24"/>
        <v>0</v>
      </c>
      <c r="V139" s="731"/>
      <c r="W139" s="573"/>
      <c r="X139" s="728"/>
      <c r="Y139" s="482"/>
    </row>
    <row r="140" spans="1:25" ht="14.4" thickBot="1">
      <c r="A140" s="24"/>
      <c r="B140" s="289"/>
      <c r="C140" s="276"/>
      <c r="D140" s="276"/>
      <c r="E140" s="290"/>
      <c r="F140" s="456"/>
      <c r="G140" s="291"/>
      <c r="H140" s="574"/>
      <c r="I140" s="279"/>
      <c r="J140" s="279"/>
      <c r="K140" s="24"/>
      <c r="L140" s="289"/>
      <c r="M140" s="276"/>
      <c r="N140" s="276"/>
      <c r="O140" s="551"/>
      <c r="P140" s="456"/>
      <c r="Q140" s="291"/>
      <c r="R140" s="590"/>
      <c r="S140" s="627"/>
      <c r="T140" s="521" t="str">
        <f t="shared" si="15"/>
        <v/>
      </c>
      <c r="U140" s="509"/>
      <c r="V140" s="492"/>
      <c r="W140" s="574"/>
      <c r="X140" s="483"/>
      <c r="Y140" s="482"/>
    </row>
    <row r="141" spans="1:25" ht="14.25" customHeight="1">
      <c r="B141" s="268">
        <v>14</v>
      </c>
      <c r="C141" s="269" t="s">
        <v>369</v>
      </c>
      <c r="D141" s="269" t="s">
        <v>370</v>
      </c>
      <c r="E141" s="270"/>
      <c r="F141" s="470"/>
      <c r="G141" s="337">
        <v>7875</v>
      </c>
      <c r="H141" s="642">
        <v>45785</v>
      </c>
      <c r="I141" s="759">
        <f>SUM(G141:G154)</f>
        <v>7875</v>
      </c>
      <c r="J141" s="759">
        <f>D195</f>
        <v>9264.7058820000002</v>
      </c>
      <c r="K141" s="338"/>
      <c r="L141" s="268">
        <v>14</v>
      </c>
      <c r="M141" s="434" t="s">
        <v>371</v>
      </c>
      <c r="N141" s="269" t="s">
        <v>372</v>
      </c>
      <c r="O141" s="561"/>
      <c r="P141" s="470"/>
      <c r="Q141" s="337">
        <v>119</v>
      </c>
      <c r="R141" s="600"/>
      <c r="S141" s="636" t="s">
        <v>373</v>
      </c>
      <c r="T141" s="641">
        <v>45777</v>
      </c>
      <c r="U141" s="643">
        <v>154.43339402689452</v>
      </c>
      <c r="V141" s="771">
        <f>J141-SUM(U141:U154)</f>
        <v>560.85155112850225</v>
      </c>
      <c r="W141" s="642">
        <v>45785</v>
      </c>
      <c r="X141" s="762">
        <f>SUM(Q141:Q154)</f>
        <v>3092.0799999999626</v>
      </c>
      <c r="Y141" s="482"/>
    </row>
    <row r="142" spans="1:25" ht="14.25" customHeight="1">
      <c r="B142" s="339">
        <v>14</v>
      </c>
      <c r="C142" s="340"/>
      <c r="D142" s="340"/>
      <c r="E142" s="341"/>
      <c r="F142" s="471"/>
      <c r="G142" s="342"/>
      <c r="H142" s="540">
        <v>45817</v>
      </c>
      <c r="I142" s="760"/>
      <c r="J142" s="760"/>
      <c r="K142" s="271"/>
      <c r="L142" s="339">
        <v>14</v>
      </c>
      <c r="M142" s="435" t="s">
        <v>371</v>
      </c>
      <c r="N142" s="340" t="s">
        <v>372</v>
      </c>
      <c r="O142" s="562"/>
      <c r="P142" s="471"/>
      <c r="Q142" s="342">
        <v>199.91999999996273</v>
      </c>
      <c r="R142" s="602"/>
      <c r="S142" s="636" t="s">
        <v>373</v>
      </c>
      <c r="T142" s="649">
        <v>45808</v>
      </c>
      <c r="U142" s="650">
        <v>282.39405266859563</v>
      </c>
      <c r="V142" s="772"/>
      <c r="W142" s="540">
        <v>45817</v>
      </c>
      <c r="X142" s="763"/>
      <c r="Y142" s="482"/>
    </row>
    <row r="143" spans="1:25" ht="14.25" customHeight="1">
      <c r="B143" s="339">
        <v>14</v>
      </c>
      <c r="C143" s="340"/>
      <c r="D143" s="340"/>
      <c r="E143" s="341"/>
      <c r="F143" s="471"/>
      <c r="G143" s="342"/>
      <c r="H143" s="540">
        <v>45838</v>
      </c>
      <c r="I143" s="760"/>
      <c r="J143" s="760"/>
      <c r="K143" s="271"/>
      <c r="L143" s="339">
        <v>14</v>
      </c>
      <c r="M143" s="435" t="s">
        <v>371</v>
      </c>
      <c r="N143" s="340" t="s">
        <v>372</v>
      </c>
      <c r="O143" s="562"/>
      <c r="P143" s="471"/>
      <c r="Q143" s="342">
        <v>0</v>
      </c>
      <c r="R143" s="602"/>
      <c r="S143" s="636" t="s">
        <v>373</v>
      </c>
      <c r="T143" s="649">
        <f t="shared" ref="T143" si="25">IF(W143&gt;1,EOMONTH(W143,0),"")</f>
        <v>45838</v>
      </c>
      <c r="U143" s="650">
        <v>0</v>
      </c>
      <c r="V143" s="772"/>
      <c r="W143" s="540">
        <v>45838</v>
      </c>
      <c r="X143" s="763"/>
      <c r="Y143" s="482"/>
    </row>
    <row r="144" spans="1:25" ht="14.25" customHeight="1">
      <c r="B144" s="339">
        <v>14</v>
      </c>
      <c r="C144" s="340"/>
      <c r="D144" s="340"/>
      <c r="E144" s="341"/>
      <c r="F144" s="471"/>
      <c r="G144" s="342"/>
      <c r="H144" s="540">
        <v>45876</v>
      </c>
      <c r="I144" s="760"/>
      <c r="J144" s="760"/>
      <c r="K144" s="271"/>
      <c r="L144" s="339">
        <v>14</v>
      </c>
      <c r="M144" s="435" t="s">
        <v>371</v>
      </c>
      <c r="N144" s="340" t="s">
        <v>372</v>
      </c>
      <c r="O144" s="562"/>
      <c r="P144" s="471"/>
      <c r="Q144" s="342">
        <v>233.24</v>
      </c>
      <c r="R144" s="602"/>
      <c r="S144" s="636" t="s">
        <v>373</v>
      </c>
      <c r="T144" s="649">
        <v>45869</v>
      </c>
      <c r="U144" s="650">
        <v>540.89342495598294</v>
      </c>
      <c r="V144" s="772"/>
      <c r="W144" s="540">
        <v>45876</v>
      </c>
      <c r="X144" s="763"/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540">
        <v>45900</v>
      </c>
      <c r="I145" s="760"/>
      <c r="J145" s="760"/>
      <c r="K145" s="271"/>
      <c r="L145" s="339">
        <v>14</v>
      </c>
      <c r="M145" s="435" t="s">
        <v>371</v>
      </c>
      <c r="N145" s="340" t="s">
        <v>372</v>
      </c>
      <c r="O145" s="562"/>
      <c r="P145" s="471"/>
      <c r="Q145" s="342">
        <v>0</v>
      </c>
      <c r="R145" s="602"/>
      <c r="S145" s="636" t="s">
        <v>373</v>
      </c>
      <c r="T145" s="649">
        <v>45900</v>
      </c>
      <c r="U145" s="650">
        <v>0</v>
      </c>
      <c r="V145" s="772"/>
      <c r="W145" s="540">
        <v>45900</v>
      </c>
      <c r="X145" s="763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584">
        <v>45930</v>
      </c>
      <c r="I146" s="760"/>
      <c r="J146" s="760"/>
      <c r="K146" s="271"/>
      <c r="L146" s="339">
        <v>14</v>
      </c>
      <c r="M146" s="435" t="s">
        <v>371</v>
      </c>
      <c r="N146" s="340" t="s">
        <v>372</v>
      </c>
      <c r="O146" s="562"/>
      <c r="P146" s="471"/>
      <c r="Q146" s="342">
        <v>0</v>
      </c>
      <c r="R146" s="602"/>
      <c r="S146" s="636" t="s">
        <v>373</v>
      </c>
      <c r="T146" s="676">
        <v>45930</v>
      </c>
      <c r="U146" s="677">
        <v>0</v>
      </c>
      <c r="V146" s="772"/>
      <c r="W146" s="678">
        <v>45930</v>
      </c>
      <c r="X146" s="763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84">
        <v>45961</v>
      </c>
      <c r="I147" s="760"/>
      <c r="J147" s="760"/>
      <c r="K147" s="271"/>
      <c r="L147" s="339">
        <v>14</v>
      </c>
      <c r="M147" s="435" t="s">
        <v>371</v>
      </c>
      <c r="N147" s="340" t="s">
        <v>372</v>
      </c>
      <c r="O147" s="562"/>
      <c r="P147" s="471"/>
      <c r="Q147" s="342">
        <v>95.2</v>
      </c>
      <c r="R147" s="602"/>
      <c r="S147" s="636" t="s">
        <v>373</v>
      </c>
      <c r="T147" s="676">
        <v>45961</v>
      </c>
      <c r="U147" s="677">
        <v>295.24</v>
      </c>
      <c r="V147" s="772"/>
      <c r="W147" s="678">
        <v>45967</v>
      </c>
      <c r="X147" s="763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84">
        <v>45991</v>
      </c>
      <c r="I148" s="760"/>
      <c r="J148" s="760"/>
      <c r="K148" s="271"/>
      <c r="L148" s="339">
        <v>14</v>
      </c>
      <c r="M148" s="435" t="s">
        <v>371</v>
      </c>
      <c r="N148" s="340" t="s">
        <v>372</v>
      </c>
      <c r="O148" s="562"/>
      <c r="P148" s="471"/>
      <c r="Q148" s="342">
        <v>0</v>
      </c>
      <c r="R148" s="699"/>
      <c r="S148" s="636" t="s">
        <v>373</v>
      </c>
      <c r="T148" s="676">
        <v>45991</v>
      </c>
      <c r="U148" s="677">
        <v>0</v>
      </c>
      <c r="V148" s="772"/>
      <c r="W148" s="678">
        <v>45991</v>
      </c>
      <c r="X148" s="763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4">
        <v>46022</v>
      </c>
      <c r="I149" s="760"/>
      <c r="J149" s="760"/>
      <c r="K149" s="271"/>
      <c r="L149" s="339">
        <v>14</v>
      </c>
      <c r="M149" s="435" t="s">
        <v>371</v>
      </c>
      <c r="N149" s="340" t="s">
        <v>372</v>
      </c>
      <c r="O149" s="562"/>
      <c r="P149" s="471"/>
      <c r="Q149" s="342">
        <v>104.72</v>
      </c>
      <c r="R149" s="602"/>
      <c r="S149" s="636" t="s">
        <v>373</v>
      </c>
      <c r="T149" s="676">
        <v>46022</v>
      </c>
      <c r="U149" s="677">
        <v>419.6221583868446</v>
      </c>
      <c r="V149" s="772"/>
      <c r="W149" s="678">
        <v>46030</v>
      </c>
      <c r="X149" s="763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4">
        <v>46053</v>
      </c>
      <c r="I150" s="760"/>
      <c r="J150" s="760"/>
      <c r="K150" s="271"/>
      <c r="L150" s="339">
        <v>14</v>
      </c>
      <c r="M150" s="435" t="s">
        <v>371</v>
      </c>
      <c r="N150" s="340" t="s">
        <v>372</v>
      </c>
      <c r="O150" s="562"/>
      <c r="P150" s="471"/>
      <c r="Q150" s="342">
        <v>0</v>
      </c>
      <c r="R150" s="602"/>
      <c r="S150" s="636" t="s">
        <v>373</v>
      </c>
      <c r="T150" s="676">
        <v>46053</v>
      </c>
      <c r="U150" s="516">
        <v>0</v>
      </c>
      <c r="V150" s="772"/>
      <c r="W150" s="678">
        <v>46058</v>
      </c>
      <c r="X150" s="763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4"/>
      <c r="I151" s="760"/>
      <c r="J151" s="760"/>
      <c r="K151" s="271"/>
      <c r="L151" s="339">
        <v>14</v>
      </c>
      <c r="M151" s="435" t="s">
        <v>371</v>
      </c>
      <c r="N151" s="340" t="s">
        <v>372</v>
      </c>
      <c r="O151" s="562"/>
      <c r="P151" s="471"/>
      <c r="Q151" s="342">
        <f t="shared" ref="Q151" si="26">7800/10</f>
        <v>780</v>
      </c>
      <c r="R151" s="602"/>
      <c r="S151" s="638"/>
      <c r="T151" s="532">
        <v>46081</v>
      </c>
      <c r="U151" s="516">
        <f>(Q151/$X$141*$J$141)</f>
        <v>2337.0904336110602</v>
      </c>
      <c r="V151" s="772"/>
      <c r="W151" s="584">
        <f>T151+7</f>
        <v>46088</v>
      </c>
      <c r="X151" s="763"/>
      <c r="Y151" s="482"/>
    </row>
    <row r="152" spans="1:25" ht="14.25" customHeight="1">
      <c r="B152" s="714"/>
      <c r="C152" s="715"/>
      <c r="D152" s="715"/>
      <c r="E152" s="716"/>
      <c r="F152" s="717"/>
      <c r="G152" s="718"/>
      <c r="H152" s="584"/>
      <c r="I152" s="760"/>
      <c r="J152" s="760"/>
      <c r="K152" s="271"/>
      <c r="L152" s="339">
        <v>14</v>
      </c>
      <c r="M152" s="435" t="s">
        <v>371</v>
      </c>
      <c r="N152" s="340" t="s">
        <v>372</v>
      </c>
      <c r="O152" s="719"/>
      <c r="P152" s="717"/>
      <c r="Q152" s="342">
        <f>7800/10</f>
        <v>780</v>
      </c>
      <c r="R152" s="602"/>
      <c r="S152" s="638"/>
      <c r="T152" s="532">
        <v>46112</v>
      </c>
      <c r="U152" s="516">
        <f>(Q152/$X$141*$J$141)</f>
        <v>2337.0904336110602</v>
      </c>
      <c r="V152" s="772"/>
      <c r="W152" s="584">
        <v>46121</v>
      </c>
      <c r="X152" s="763"/>
      <c r="Y152" s="482"/>
    </row>
    <row r="153" spans="1:25" ht="14.25" customHeight="1">
      <c r="B153" s="714"/>
      <c r="C153" s="715"/>
      <c r="D153" s="715"/>
      <c r="E153" s="716"/>
      <c r="F153" s="717"/>
      <c r="G153" s="718"/>
      <c r="H153" s="584"/>
      <c r="I153" s="760"/>
      <c r="J153" s="760"/>
      <c r="K153" s="271"/>
      <c r="L153" s="339">
        <v>14</v>
      </c>
      <c r="M153" s="435" t="s">
        <v>371</v>
      </c>
      <c r="N153" s="340" t="s">
        <v>372</v>
      </c>
      <c r="O153" s="719"/>
      <c r="P153" s="717"/>
      <c r="Q153" s="342">
        <f>7800/10</f>
        <v>780</v>
      </c>
      <c r="R153" s="602"/>
      <c r="S153" s="638"/>
      <c r="T153" s="532">
        <v>46142</v>
      </c>
      <c r="U153" s="516">
        <f>(Q153/$X$141*$J$141)</f>
        <v>2337.0904336110602</v>
      </c>
      <c r="V153" s="772"/>
      <c r="W153" s="584">
        <v>46149</v>
      </c>
      <c r="X153" s="763"/>
      <c r="Y153" s="482"/>
    </row>
    <row r="154" spans="1:25" ht="15" customHeight="1" thickBot="1">
      <c r="B154" s="272">
        <v>14</v>
      </c>
      <c r="C154" s="343"/>
      <c r="D154" s="343"/>
      <c r="E154" s="344"/>
      <c r="F154" s="472"/>
      <c r="G154" s="273"/>
      <c r="H154" s="585"/>
      <c r="I154" s="761"/>
      <c r="J154" s="761"/>
      <c r="K154" s="274"/>
      <c r="L154" s="272">
        <v>14</v>
      </c>
      <c r="M154" s="436" t="s">
        <v>371</v>
      </c>
      <c r="N154" s="343"/>
      <c r="O154" s="563"/>
      <c r="P154" s="472"/>
      <c r="Q154" s="273"/>
      <c r="R154" s="603"/>
      <c r="S154" s="639"/>
      <c r="T154" s="533" t="str">
        <f t="shared" si="15"/>
        <v/>
      </c>
      <c r="U154" s="517">
        <f>(Q154/$X$141*$J$141)</f>
        <v>0</v>
      </c>
      <c r="V154" s="773"/>
      <c r="W154" s="585"/>
      <c r="X154" s="764"/>
      <c r="Y154" s="482"/>
    </row>
    <row r="155" spans="1:25" ht="14.4" thickBot="1">
      <c r="A155" s="24"/>
      <c r="B155" s="289"/>
      <c r="C155" s="276"/>
      <c r="D155" s="276"/>
      <c r="E155" s="290"/>
      <c r="F155" s="456"/>
      <c r="G155" s="291"/>
      <c r="H155" s="574"/>
      <c r="I155" s="345"/>
      <c r="J155" s="345"/>
      <c r="K155" s="24"/>
      <c r="L155" s="289"/>
      <c r="M155" s="276"/>
      <c r="N155" s="276"/>
      <c r="O155" s="551"/>
      <c r="P155" s="456"/>
      <c r="Q155" s="291"/>
      <c r="R155" s="590"/>
      <c r="S155" s="627"/>
      <c r="T155" s="521" t="str">
        <f t="shared" si="15"/>
        <v/>
      </c>
      <c r="U155" s="509"/>
      <c r="V155" s="492"/>
      <c r="W155" s="574"/>
      <c r="X155" s="489"/>
      <c r="Y155" s="482"/>
    </row>
    <row r="156" spans="1:25">
      <c r="B156" s="280">
        <v>15</v>
      </c>
      <c r="C156" s="281" t="s">
        <v>374</v>
      </c>
      <c r="D156" s="281"/>
      <c r="E156" s="282"/>
      <c r="F156" s="437"/>
      <c r="G156" s="283"/>
      <c r="H156" s="578"/>
      <c r="I156" s="742">
        <f>SUM(G156:G167)</f>
        <v>0</v>
      </c>
      <c r="J156" s="742">
        <v>0</v>
      </c>
      <c r="K156" s="284"/>
      <c r="L156" s="280">
        <v>15</v>
      </c>
      <c r="M156" s="350" t="s">
        <v>375</v>
      </c>
      <c r="N156" s="281"/>
      <c r="O156" s="547"/>
      <c r="P156" s="437"/>
      <c r="Q156" s="283"/>
      <c r="R156" s="594"/>
      <c r="S156" s="631"/>
      <c r="T156" s="525" t="str">
        <f t="shared" si="15"/>
        <v/>
      </c>
      <c r="U156" s="510"/>
      <c r="V156" s="729">
        <v>0</v>
      </c>
      <c r="W156" s="578"/>
      <c r="X156" s="726">
        <f>SUM(Q156:Q167)</f>
        <v>0</v>
      </c>
      <c r="Y156" s="482"/>
    </row>
    <row r="157" spans="1:25">
      <c r="B157" s="310">
        <v>15</v>
      </c>
      <c r="C157" s="312"/>
      <c r="D157" s="312"/>
      <c r="E157" s="313"/>
      <c r="F157" s="459"/>
      <c r="G157" s="314"/>
      <c r="H157" s="571"/>
      <c r="I157" s="743"/>
      <c r="J157" s="743"/>
      <c r="K157" s="287"/>
      <c r="L157" s="310">
        <v>15</v>
      </c>
      <c r="M157" s="389" t="s">
        <v>375</v>
      </c>
      <c r="N157" s="312"/>
      <c r="O157" s="548"/>
      <c r="P157" s="459"/>
      <c r="Q157" s="314"/>
      <c r="R157" s="587"/>
      <c r="S157" s="624"/>
      <c r="T157" s="518" t="str">
        <f>IF(W157&gt;1,EOMONTH(W157,0),"")</f>
        <v/>
      </c>
      <c r="U157" s="502"/>
      <c r="V157" s="730"/>
      <c r="W157" s="571"/>
      <c r="X157" s="727"/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1"/>
      <c r="I158" s="743"/>
      <c r="J158" s="743"/>
      <c r="K158" s="287"/>
      <c r="L158" s="310">
        <v>15</v>
      </c>
      <c r="M158" s="389" t="s">
        <v>375</v>
      </c>
      <c r="N158" s="312"/>
      <c r="O158" s="548"/>
      <c r="P158" s="459"/>
      <c r="Q158" s="314"/>
      <c r="R158" s="587"/>
      <c r="S158" s="624"/>
      <c r="T158" s="518" t="str">
        <f>IF(W158&gt;1,EOMONTH(W158,0),"")</f>
        <v/>
      </c>
      <c r="U158" s="502"/>
      <c r="V158" s="730"/>
      <c r="W158" s="571"/>
      <c r="X158" s="727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1"/>
      <c r="I159" s="743"/>
      <c r="J159" s="743"/>
      <c r="K159" s="287"/>
      <c r="L159" s="310">
        <v>15</v>
      </c>
      <c r="M159" s="389" t="s">
        <v>375</v>
      </c>
      <c r="N159" s="312"/>
      <c r="O159" s="548"/>
      <c r="P159" s="459"/>
      <c r="Q159" s="314"/>
      <c r="R159" s="587"/>
      <c r="S159" s="624"/>
      <c r="T159" s="518" t="str">
        <f t="shared" ref="T159:T166" si="27">IF(W159&gt;1,EOMONTH(W159,0),"")</f>
        <v/>
      </c>
      <c r="U159" s="502"/>
      <c r="V159" s="730"/>
      <c r="W159" s="571"/>
      <c r="X159" s="727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1"/>
      <c r="I160" s="743"/>
      <c r="J160" s="743"/>
      <c r="K160" s="287"/>
      <c r="L160" s="310">
        <v>15</v>
      </c>
      <c r="M160" s="389" t="s">
        <v>375</v>
      </c>
      <c r="N160" s="312"/>
      <c r="O160" s="548"/>
      <c r="P160" s="459"/>
      <c r="Q160" s="314"/>
      <c r="R160" s="587"/>
      <c r="S160" s="624"/>
      <c r="T160" s="518" t="str">
        <f t="shared" si="27"/>
        <v/>
      </c>
      <c r="U160" s="502"/>
      <c r="V160" s="730"/>
      <c r="W160" s="571"/>
      <c r="X160" s="727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1"/>
      <c r="I161" s="743"/>
      <c r="J161" s="743"/>
      <c r="K161" s="287"/>
      <c r="L161" s="310">
        <v>15</v>
      </c>
      <c r="M161" s="389" t="s">
        <v>375</v>
      </c>
      <c r="N161" s="312"/>
      <c r="O161" s="548"/>
      <c r="P161" s="459"/>
      <c r="Q161" s="314"/>
      <c r="R161" s="587"/>
      <c r="S161" s="624"/>
      <c r="T161" s="518" t="str">
        <f t="shared" si="27"/>
        <v/>
      </c>
      <c r="U161" s="502"/>
      <c r="V161" s="730"/>
      <c r="W161" s="571"/>
      <c r="X161" s="727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1"/>
      <c r="I162" s="743"/>
      <c r="J162" s="743"/>
      <c r="K162" s="287"/>
      <c r="L162" s="310">
        <v>15</v>
      </c>
      <c r="M162" s="389" t="s">
        <v>375</v>
      </c>
      <c r="N162" s="312"/>
      <c r="O162" s="548"/>
      <c r="P162" s="459"/>
      <c r="Q162" s="314"/>
      <c r="R162" s="587"/>
      <c r="S162" s="624"/>
      <c r="T162" s="518" t="str">
        <f t="shared" si="27"/>
        <v/>
      </c>
      <c r="U162" s="502"/>
      <c r="V162" s="730"/>
      <c r="W162" s="571"/>
      <c r="X162" s="727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1"/>
      <c r="I163" s="743"/>
      <c r="J163" s="743"/>
      <c r="K163" s="287"/>
      <c r="L163" s="310">
        <v>15</v>
      </c>
      <c r="M163" s="389" t="s">
        <v>375</v>
      </c>
      <c r="N163" s="312"/>
      <c r="O163" s="548"/>
      <c r="P163" s="459"/>
      <c r="Q163" s="314"/>
      <c r="R163" s="587"/>
      <c r="S163" s="624"/>
      <c r="T163" s="518" t="str">
        <f t="shared" si="27"/>
        <v/>
      </c>
      <c r="U163" s="502"/>
      <c r="V163" s="730"/>
      <c r="W163" s="571"/>
      <c r="X163" s="727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1"/>
      <c r="I164" s="743"/>
      <c r="J164" s="743"/>
      <c r="K164" s="287"/>
      <c r="L164" s="310">
        <v>15</v>
      </c>
      <c r="M164" s="389" t="s">
        <v>375</v>
      </c>
      <c r="N164" s="312"/>
      <c r="O164" s="548"/>
      <c r="P164" s="459"/>
      <c r="Q164" s="314"/>
      <c r="R164" s="587"/>
      <c r="S164" s="624"/>
      <c r="T164" s="518" t="str">
        <f t="shared" si="27"/>
        <v/>
      </c>
      <c r="U164" s="502"/>
      <c r="V164" s="730"/>
      <c r="W164" s="571"/>
      <c r="X164" s="727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1"/>
      <c r="I165" s="743"/>
      <c r="J165" s="743"/>
      <c r="K165" s="287"/>
      <c r="L165" s="310">
        <v>15</v>
      </c>
      <c r="M165" s="389" t="s">
        <v>375</v>
      </c>
      <c r="N165" s="312"/>
      <c r="O165" s="548"/>
      <c r="P165" s="459"/>
      <c r="Q165" s="314"/>
      <c r="R165" s="587"/>
      <c r="S165" s="624"/>
      <c r="T165" s="518" t="str">
        <f t="shared" si="27"/>
        <v/>
      </c>
      <c r="U165" s="502"/>
      <c r="V165" s="730"/>
      <c r="W165" s="571"/>
      <c r="X165" s="727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1"/>
      <c r="I166" s="743"/>
      <c r="J166" s="743"/>
      <c r="K166" s="287"/>
      <c r="L166" s="310">
        <v>15</v>
      </c>
      <c r="M166" s="389" t="s">
        <v>375</v>
      </c>
      <c r="N166" s="312"/>
      <c r="O166" s="548"/>
      <c r="P166" s="459"/>
      <c r="Q166" s="314"/>
      <c r="R166" s="587"/>
      <c r="S166" s="624"/>
      <c r="T166" s="518" t="str">
        <f t="shared" si="27"/>
        <v/>
      </c>
      <c r="U166" s="502"/>
      <c r="V166" s="730"/>
      <c r="W166" s="571"/>
      <c r="X166" s="727"/>
      <c r="Y166" s="482"/>
    </row>
    <row r="167" spans="2:25" ht="15" customHeight="1" thickBot="1">
      <c r="B167" s="315">
        <v>15</v>
      </c>
      <c r="C167" s="316"/>
      <c r="D167" s="316"/>
      <c r="E167" s="317"/>
      <c r="F167" s="460"/>
      <c r="G167" s="329"/>
      <c r="H167" s="573"/>
      <c r="I167" s="744"/>
      <c r="J167" s="744"/>
      <c r="K167" s="288"/>
      <c r="L167" s="315">
        <v>15</v>
      </c>
      <c r="M167" s="419" t="s">
        <v>375</v>
      </c>
      <c r="N167" s="316"/>
      <c r="O167" s="550"/>
      <c r="P167" s="460"/>
      <c r="Q167" s="329"/>
      <c r="R167" s="589"/>
      <c r="S167" s="626"/>
      <c r="T167" s="520" t="str">
        <f t="shared" si="15"/>
        <v/>
      </c>
      <c r="U167" s="504"/>
      <c r="V167" s="731"/>
      <c r="W167" s="573"/>
      <c r="X167" s="728"/>
      <c r="Y167" s="482"/>
    </row>
    <row r="168" spans="2:25" s="3" customFormat="1">
      <c r="B168" s="108"/>
      <c r="E168" s="4"/>
      <c r="F168" s="473"/>
      <c r="G168" s="5"/>
      <c r="H168" s="347"/>
      <c r="I168" s="346"/>
      <c r="J168" s="346"/>
      <c r="L168" s="108"/>
      <c r="O168" s="4"/>
      <c r="P168" s="473"/>
      <c r="Q168" s="347"/>
      <c r="R168" s="347"/>
      <c r="S168" s="347"/>
      <c r="T168" s="347"/>
      <c r="U168" s="347"/>
      <c r="V168" s="347"/>
      <c r="W168" s="347"/>
      <c r="X168" s="347"/>
    </row>
    <row r="169" spans="2:25">
      <c r="B169" s="111"/>
      <c r="C169" s="546" t="s">
        <v>376</v>
      </c>
      <c r="D169" s="546">
        <v>1492013.321</v>
      </c>
      <c r="E169" s="164">
        <v>1492013.3211764772</v>
      </c>
      <c r="F169" s="464">
        <f t="shared" ref="F169:F195" si="28">D169-E169</f>
        <v>-1.7647724598646164E-4</v>
      </c>
      <c r="G169" s="111"/>
      <c r="I169" s="111"/>
      <c r="J169" s="111"/>
    </row>
    <row r="170" spans="2:25">
      <c r="B170" s="111"/>
      <c r="C170" s="546" t="s">
        <v>377</v>
      </c>
      <c r="D170" s="546">
        <v>488339.37199999997</v>
      </c>
      <c r="E170" s="164">
        <v>488339.37200918607</v>
      </c>
      <c r="F170" s="464">
        <f t="shared" si="28"/>
        <v>-9.1861002147197723E-6</v>
      </c>
      <c r="G170" s="111"/>
      <c r="I170" s="255"/>
      <c r="J170" s="255"/>
    </row>
    <row r="171" spans="2:25">
      <c r="B171" s="111"/>
      <c r="C171" s="546" t="s">
        <v>378</v>
      </c>
      <c r="D171" s="546">
        <v>221686.54130000001</v>
      </c>
      <c r="E171" s="164">
        <v>221686.5413172901</v>
      </c>
      <c r="F171" s="464">
        <f t="shared" si="28"/>
        <v>-1.7290090909227729E-5</v>
      </c>
      <c r="G171" s="111"/>
      <c r="I171" s="348"/>
      <c r="J171" s="348"/>
    </row>
    <row r="172" spans="2:25">
      <c r="B172" s="111"/>
      <c r="C172" s="546" t="s">
        <v>289</v>
      </c>
      <c r="D172" s="546">
        <v>641789.76450000005</v>
      </c>
      <c r="E172" s="164">
        <v>641789.76453626063</v>
      </c>
      <c r="F172" s="464">
        <f t="shared" si="28"/>
        <v>-3.6260578781366348E-5</v>
      </c>
      <c r="G172" s="111"/>
      <c r="I172" s="255"/>
      <c r="J172" s="255"/>
    </row>
    <row r="173" spans="2:25">
      <c r="B173" s="111"/>
      <c r="C173" s="546" t="s">
        <v>317</v>
      </c>
      <c r="D173" s="546">
        <v>692645.04460000002</v>
      </c>
      <c r="E173" s="164">
        <v>692645.04455865838</v>
      </c>
      <c r="F173" s="464">
        <f t="shared" si="28"/>
        <v>4.1341641917824745E-5</v>
      </c>
      <c r="G173" s="111"/>
      <c r="I173" s="348"/>
      <c r="J173" s="348"/>
    </row>
    <row r="174" spans="2:25">
      <c r="B174" s="111"/>
      <c r="C174" s="546" t="s">
        <v>304</v>
      </c>
      <c r="D174" s="546">
        <v>212427.6268</v>
      </c>
      <c r="E174" s="164">
        <v>212427.62682399593</v>
      </c>
      <c r="F174" s="464">
        <f t="shared" si="28"/>
        <v>-2.3995933588594198E-5</v>
      </c>
      <c r="G174" s="111"/>
      <c r="I174" s="255"/>
      <c r="J174" s="255"/>
    </row>
    <row r="175" spans="2:25">
      <c r="B175" s="111"/>
      <c r="C175" s="546" t="s">
        <v>379</v>
      </c>
      <c r="D175" s="546">
        <v>0</v>
      </c>
      <c r="E175" s="164">
        <v>0</v>
      </c>
      <c r="F175" s="464">
        <f t="shared" si="28"/>
        <v>0</v>
      </c>
      <c r="G175" s="111"/>
      <c r="I175" s="255"/>
      <c r="J175" s="255"/>
    </row>
    <row r="176" spans="2:25">
      <c r="B176" s="111"/>
      <c r="C176" s="546" t="s">
        <v>380</v>
      </c>
      <c r="D176" s="546">
        <v>0</v>
      </c>
      <c r="E176" s="164">
        <v>0</v>
      </c>
      <c r="F176" s="464">
        <f t="shared" si="28"/>
        <v>0</v>
      </c>
      <c r="G176" s="111"/>
      <c r="I176" s="255"/>
      <c r="J176" s="255"/>
    </row>
    <row r="177" spans="2:10">
      <c r="B177" s="111"/>
      <c r="C177" s="546" t="s">
        <v>381</v>
      </c>
      <c r="D177" s="546">
        <v>2500000</v>
      </c>
      <c r="E177" s="164">
        <v>2000000</v>
      </c>
      <c r="F177" s="464">
        <f t="shared" si="28"/>
        <v>500000</v>
      </c>
      <c r="G177" s="111"/>
      <c r="I177" s="255"/>
      <c r="J177" s="255"/>
    </row>
    <row r="178" spans="2:10">
      <c r="B178" s="111"/>
      <c r="C178" s="546" t="s">
        <v>382</v>
      </c>
      <c r="D178" s="546">
        <v>0</v>
      </c>
      <c r="E178" s="164">
        <v>0</v>
      </c>
      <c r="F178" s="464">
        <f t="shared" si="28"/>
        <v>0</v>
      </c>
      <c r="G178" s="111"/>
      <c r="I178" s="255"/>
      <c r="J178" s="255"/>
    </row>
    <row r="179" spans="2:10">
      <c r="B179" s="111"/>
      <c r="C179" s="546" t="s">
        <v>383</v>
      </c>
      <c r="D179" s="546">
        <v>0</v>
      </c>
      <c r="E179" s="164">
        <v>0</v>
      </c>
      <c r="F179" s="464">
        <f t="shared" si="28"/>
        <v>0</v>
      </c>
      <c r="G179" s="111"/>
      <c r="I179" s="255"/>
      <c r="J179" s="255"/>
    </row>
    <row r="180" spans="2:10">
      <c r="B180" s="111"/>
      <c r="C180" s="546" t="s">
        <v>384</v>
      </c>
      <c r="D180" s="546"/>
      <c r="E180" s="164"/>
      <c r="F180" s="464">
        <f t="shared" si="28"/>
        <v>0</v>
      </c>
      <c r="G180" s="111"/>
      <c r="I180" s="255"/>
      <c r="J180" s="255"/>
    </row>
    <row r="181" spans="2:10">
      <c r="B181" s="111"/>
      <c r="C181" s="546"/>
      <c r="D181" s="546"/>
      <c r="E181" s="164"/>
      <c r="F181" s="464">
        <f t="shared" si="28"/>
        <v>0</v>
      </c>
      <c r="G181" s="111"/>
      <c r="I181" s="255"/>
      <c r="J181" s="255"/>
    </row>
    <row r="182" spans="2:10" s="111" customFormat="1">
      <c r="C182" s="546" t="s">
        <v>385</v>
      </c>
      <c r="D182" s="546">
        <v>133517.6471</v>
      </c>
      <c r="E182" s="164">
        <v>133517.64705882352</v>
      </c>
      <c r="F182" s="464">
        <f t="shared" si="28"/>
        <v>4.1176477679982781E-5</v>
      </c>
      <c r="I182" s="255"/>
      <c r="J182" s="255"/>
    </row>
    <row r="183" spans="2:10" s="111" customFormat="1">
      <c r="C183" s="546" t="s">
        <v>386</v>
      </c>
      <c r="D183" s="546">
        <v>303552.9412</v>
      </c>
      <c r="E183" s="164">
        <v>303552.9411764706</v>
      </c>
      <c r="F183" s="464">
        <f t="shared" si="28"/>
        <v>2.3529399186372757E-5</v>
      </c>
      <c r="I183" s="255"/>
      <c r="J183" s="255"/>
    </row>
    <row r="184" spans="2:10" s="111" customFormat="1">
      <c r="C184" s="546" t="s">
        <v>387</v>
      </c>
      <c r="D184" s="546">
        <v>266056.79300000001</v>
      </c>
      <c r="E184" s="164">
        <v>266056.79299654148</v>
      </c>
      <c r="F184" s="464">
        <f t="shared" si="28"/>
        <v>3.4585245884954929E-6</v>
      </c>
      <c r="I184" s="255"/>
      <c r="J184" s="255"/>
    </row>
    <row r="185" spans="2:10" s="111" customFormat="1">
      <c r="C185" s="546" t="s">
        <v>388</v>
      </c>
      <c r="D185" s="546">
        <v>110643.5294</v>
      </c>
      <c r="E185" s="164">
        <v>110643.5294117647</v>
      </c>
      <c r="F185" s="464">
        <f t="shared" si="28"/>
        <v>-1.1764699593186378E-5</v>
      </c>
      <c r="I185" s="255"/>
      <c r="J185" s="255"/>
    </row>
    <row r="186" spans="2:10" s="111" customFormat="1">
      <c r="C186" s="546" t="s">
        <v>389</v>
      </c>
      <c r="D186" s="546">
        <v>10000</v>
      </c>
      <c r="E186" s="164">
        <v>10000</v>
      </c>
      <c r="F186" s="464">
        <f t="shared" si="28"/>
        <v>0</v>
      </c>
      <c r="I186" s="255"/>
      <c r="J186" s="255"/>
    </row>
    <row r="187" spans="2:10" s="111" customFormat="1">
      <c r="C187" s="546" t="s">
        <v>390</v>
      </c>
      <c r="D187" s="546">
        <v>0</v>
      </c>
      <c r="E187" s="164">
        <v>0</v>
      </c>
      <c r="F187" s="464">
        <f t="shared" si="28"/>
        <v>0</v>
      </c>
      <c r="I187" s="255"/>
      <c r="J187" s="255"/>
    </row>
    <row r="188" spans="2:10" s="111" customFormat="1">
      <c r="C188" s="546" t="s">
        <v>391</v>
      </c>
      <c r="D188" s="546">
        <v>6529.4117649999998</v>
      </c>
      <c r="E188" s="164">
        <v>6529.4117647058829</v>
      </c>
      <c r="F188" s="464">
        <f t="shared" si="28"/>
        <v>2.941169441328384E-7</v>
      </c>
      <c r="I188" s="255"/>
      <c r="J188" s="255"/>
    </row>
    <row r="189" spans="2:10" s="111" customFormat="1">
      <c r="C189" s="546" t="s">
        <v>392</v>
      </c>
      <c r="D189" s="546">
        <v>0</v>
      </c>
      <c r="E189" s="164">
        <v>0</v>
      </c>
      <c r="F189" s="464">
        <f t="shared" si="28"/>
        <v>0</v>
      </c>
      <c r="I189" s="255"/>
      <c r="J189" s="255"/>
    </row>
    <row r="190" spans="2:10" s="111" customFormat="1">
      <c r="C190" s="546" t="s">
        <v>393</v>
      </c>
      <c r="D190" s="546">
        <v>51831.176469999999</v>
      </c>
      <c r="E190" s="164">
        <v>51831.176470588238</v>
      </c>
      <c r="F190" s="464">
        <f t="shared" si="28"/>
        <v>-5.8823934523388743E-7</v>
      </c>
      <c r="I190" s="255"/>
      <c r="J190" s="255"/>
    </row>
    <row r="191" spans="2:10" s="111" customFormat="1">
      <c r="C191" s="546" t="s">
        <v>394</v>
      </c>
      <c r="D191" s="546">
        <v>0</v>
      </c>
      <c r="E191" s="164">
        <v>0</v>
      </c>
      <c r="F191" s="464">
        <f t="shared" si="28"/>
        <v>0</v>
      </c>
      <c r="I191" s="255"/>
      <c r="J191" s="255"/>
    </row>
    <row r="192" spans="2:10" s="111" customFormat="1">
      <c r="C192" s="546" t="s">
        <v>381</v>
      </c>
      <c r="D192" s="546">
        <v>0</v>
      </c>
      <c r="E192" s="164">
        <v>0</v>
      </c>
      <c r="F192" s="464">
        <f t="shared" si="28"/>
        <v>0</v>
      </c>
      <c r="I192" s="255"/>
      <c r="J192" s="255"/>
    </row>
    <row r="193" spans="3:10" s="111" customFormat="1">
      <c r="C193" s="546"/>
      <c r="D193" s="546"/>
      <c r="E193" s="164"/>
      <c r="F193" s="464">
        <f t="shared" si="28"/>
        <v>0</v>
      </c>
      <c r="I193" s="255"/>
      <c r="J193" s="255"/>
    </row>
    <row r="194" spans="3:10" s="111" customFormat="1">
      <c r="C194" s="546" t="s">
        <v>395</v>
      </c>
      <c r="D194" s="546"/>
      <c r="E194" s="164"/>
      <c r="F194" s="464">
        <f t="shared" si="28"/>
        <v>0</v>
      </c>
      <c r="I194" s="255"/>
      <c r="J194" s="255"/>
    </row>
    <row r="195" spans="3:10" s="111" customFormat="1">
      <c r="C195" s="546" t="s">
        <v>396</v>
      </c>
      <c r="D195" s="546">
        <v>9264.7058820000002</v>
      </c>
      <c r="E195" s="164">
        <v>9264.7058823529405</v>
      </c>
      <c r="F195" s="464">
        <f t="shared" si="28"/>
        <v>-3.5294033295940608E-7</v>
      </c>
      <c r="I195" s="255"/>
      <c r="J195" s="255"/>
    </row>
    <row r="196" spans="3:10" s="111" customFormat="1">
      <c r="C196" s="546"/>
      <c r="D196" s="546"/>
      <c r="E196" s="164"/>
      <c r="F196" s="464"/>
      <c r="I196" s="255"/>
      <c r="J196" s="255"/>
    </row>
    <row r="197" spans="3:10" s="111" customFormat="1">
      <c r="E197" s="164"/>
      <c r="F197" s="464"/>
      <c r="I197" s="255"/>
      <c r="J197" s="255"/>
    </row>
    <row r="198" spans="3:10" s="111" customFormat="1">
      <c r="E198" s="164"/>
      <c r="F198" s="464"/>
      <c r="I198" s="255"/>
      <c r="J198" s="255"/>
    </row>
    <row r="199" spans="3:10" s="111" customFormat="1">
      <c r="E199" s="164"/>
      <c r="F199" s="464"/>
      <c r="I199" s="255"/>
      <c r="J199" s="255"/>
    </row>
    <row r="200" spans="3:10" s="111" customFormat="1">
      <c r="E200" s="164"/>
      <c r="F200" s="464"/>
      <c r="I200" s="255"/>
      <c r="J200" s="255"/>
    </row>
    <row r="201" spans="3:10" s="111" customFormat="1">
      <c r="E201" s="164"/>
      <c r="F201" s="464"/>
      <c r="I201" s="255"/>
      <c r="J201" s="255"/>
    </row>
    <row r="202" spans="3:10" s="111" customFormat="1">
      <c r="E202" s="164"/>
      <c r="F202" s="464"/>
      <c r="I202" s="255"/>
      <c r="J202" s="255"/>
    </row>
    <row r="203" spans="3:10" s="111" customFormat="1">
      <c r="E203" s="164"/>
      <c r="F203" s="464"/>
      <c r="I203" s="255"/>
      <c r="J203" s="255"/>
    </row>
    <row r="204" spans="3:10" s="111" customFormat="1">
      <c r="E204" s="164"/>
      <c r="F204" s="464"/>
      <c r="I204" s="255"/>
      <c r="J204" s="255"/>
    </row>
    <row r="205" spans="3:10" s="111" customFormat="1">
      <c r="E205" s="164"/>
      <c r="F205" s="464"/>
      <c r="I205" s="255"/>
      <c r="J205" s="255"/>
    </row>
    <row r="206" spans="3:10" s="111" customFormat="1">
      <c r="E206" s="164"/>
      <c r="F206" s="464"/>
      <c r="I206" s="255"/>
      <c r="J206" s="255"/>
    </row>
    <row r="207" spans="3:10" s="111" customFormat="1">
      <c r="E207" s="164"/>
      <c r="F207" s="464"/>
      <c r="I207" s="255"/>
      <c r="J207" s="255"/>
    </row>
    <row r="208" spans="3:10" s="111" customFormat="1">
      <c r="E208" s="164"/>
      <c r="F208" s="464"/>
      <c r="I208" s="255"/>
      <c r="J208" s="255"/>
    </row>
    <row r="209" spans="5:10" s="111" customFormat="1">
      <c r="E209" s="164"/>
      <c r="F209" s="464"/>
      <c r="I209" s="255"/>
      <c r="J209" s="255"/>
    </row>
    <row r="210" spans="5:10" s="111" customFormat="1">
      <c r="E210" s="164"/>
      <c r="F210" s="464"/>
      <c r="I210" s="255"/>
      <c r="J210" s="255"/>
    </row>
    <row r="211" spans="5:10" s="111" customFormat="1">
      <c r="E211" s="164"/>
      <c r="F211" s="464"/>
      <c r="I211" s="255"/>
      <c r="J211" s="255"/>
    </row>
    <row r="212" spans="5:10" s="111" customFormat="1">
      <c r="E212" s="164"/>
      <c r="F212" s="464"/>
      <c r="I212" s="255"/>
      <c r="J212" s="255"/>
    </row>
    <row r="213" spans="5:10" s="111" customFormat="1">
      <c r="E213" s="164"/>
      <c r="F213" s="464"/>
      <c r="I213" s="255"/>
      <c r="J213" s="255"/>
    </row>
    <row r="214" spans="5:10" s="111" customFormat="1">
      <c r="E214" s="164"/>
      <c r="F214" s="464"/>
      <c r="I214" s="255"/>
      <c r="J214" s="255"/>
    </row>
    <row r="215" spans="5:10" s="111" customFormat="1">
      <c r="E215" s="164"/>
      <c r="F215" s="464"/>
      <c r="I215" s="255"/>
      <c r="J215" s="255"/>
    </row>
    <row r="216" spans="5:10" s="111" customFormat="1">
      <c r="E216" s="164"/>
      <c r="F216" s="464"/>
      <c r="I216" s="255"/>
      <c r="J216" s="255"/>
    </row>
    <row r="217" spans="5:10" s="111" customFormat="1">
      <c r="E217" s="164"/>
      <c r="F217" s="464"/>
      <c r="I217" s="255"/>
      <c r="J217" s="255"/>
    </row>
    <row r="218" spans="5:10" s="111" customFormat="1">
      <c r="E218" s="164"/>
      <c r="F218" s="464"/>
      <c r="I218" s="255"/>
      <c r="J218" s="255"/>
    </row>
    <row r="219" spans="5:10" s="111" customFormat="1">
      <c r="E219" s="164"/>
      <c r="F219" s="464"/>
      <c r="I219" s="255"/>
      <c r="J219" s="255"/>
    </row>
    <row r="220" spans="5:10" s="111" customFormat="1">
      <c r="E220" s="164"/>
      <c r="F220" s="464"/>
      <c r="I220" s="255"/>
      <c r="J220" s="255"/>
    </row>
    <row r="221" spans="5:10" s="111" customFormat="1">
      <c r="E221" s="164"/>
      <c r="F221" s="464"/>
      <c r="I221" s="255"/>
      <c r="J221" s="255"/>
    </row>
    <row r="222" spans="5:10" s="111" customFormat="1">
      <c r="E222" s="164"/>
      <c r="F222" s="464"/>
      <c r="I222" s="255"/>
      <c r="J222" s="255"/>
    </row>
    <row r="223" spans="5:10" s="111" customFormat="1">
      <c r="E223" s="164"/>
      <c r="F223" s="464"/>
      <c r="I223" s="255"/>
      <c r="J223" s="255"/>
    </row>
    <row r="224" spans="5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</sheetData>
  <sheetProtection formatCells="0" formatColumns="0" formatRows="0" insertColumns="0" insertRows="0" insertHyperlinks="0" deleteColumns="0" deleteRows="0" sort="0" autoFilter="0" pivotTables="0"/>
  <mergeCells count="70">
    <mergeCell ref="X44:X50"/>
    <mergeCell ref="X52:X64"/>
    <mergeCell ref="V44:V50"/>
    <mergeCell ref="I156:I167"/>
    <mergeCell ref="J156:J167"/>
    <mergeCell ref="X156:X167"/>
    <mergeCell ref="I134:I139"/>
    <mergeCell ref="J134:J139"/>
    <mergeCell ref="X134:X139"/>
    <mergeCell ref="I141:I154"/>
    <mergeCell ref="J141:J154"/>
    <mergeCell ref="X141:X154"/>
    <mergeCell ref="V134:V139"/>
    <mergeCell ref="V141:V154"/>
    <mergeCell ref="V156:V167"/>
    <mergeCell ref="I125:I129"/>
    <mergeCell ref="J125:J129"/>
    <mergeCell ref="X125:X129"/>
    <mergeCell ref="I131:I132"/>
    <mergeCell ref="J131:J132"/>
    <mergeCell ref="K131:K132"/>
    <mergeCell ref="X131:X132"/>
    <mergeCell ref="V125:V129"/>
    <mergeCell ref="I107:I123"/>
    <mergeCell ref="J107:J123"/>
    <mergeCell ref="X107:X123"/>
    <mergeCell ref="I75:I92"/>
    <mergeCell ref="J75:J92"/>
    <mergeCell ref="X75:X92"/>
    <mergeCell ref="I94:I105"/>
    <mergeCell ref="J94:J105"/>
    <mergeCell ref="X94:X105"/>
    <mergeCell ref="V107:V123"/>
    <mergeCell ref="V75:V92"/>
    <mergeCell ref="V94:V105"/>
    <mergeCell ref="R87:R88"/>
    <mergeCell ref="R111:R120"/>
    <mergeCell ref="R95:R102"/>
    <mergeCell ref="R77:R78"/>
    <mergeCell ref="I66:I73"/>
    <mergeCell ref="X66:X73"/>
    <mergeCell ref="R54:R61"/>
    <mergeCell ref="J66:J73"/>
    <mergeCell ref="V66:V73"/>
    <mergeCell ref="V52:V64"/>
    <mergeCell ref="R32:R39"/>
    <mergeCell ref="I44:I50"/>
    <mergeCell ref="J44:J50"/>
    <mergeCell ref="I52:I64"/>
    <mergeCell ref="J52:J64"/>
    <mergeCell ref="I28:I42"/>
    <mergeCell ref="J28:J42"/>
    <mergeCell ref="I13:I19"/>
    <mergeCell ref="J13:J19"/>
    <mergeCell ref="X13:X19"/>
    <mergeCell ref="I21:I26"/>
    <mergeCell ref="J21:J26"/>
    <mergeCell ref="R13:R14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  <mergeCell ref="X28:X4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S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" customWidth="1"/>
    <col min="5" max="5" width="4.44140625" customWidth="1"/>
    <col min="6" max="6" width="16" bestFit="1" customWidth="1"/>
    <col min="7" max="7" width="20.44140625" customWidth="1"/>
    <col min="8" max="316" width="15.44140625" bestFit="1" customWidth="1"/>
    <col min="317" max="317" width="9.44140625" style="190"/>
  </cols>
  <sheetData>
    <row r="1" spans="1:794">
      <c r="D1" s="186" t="s">
        <v>397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09" t="s">
        <v>398</v>
      </c>
      <c r="B2" s="191"/>
      <c r="C2" s="192" t="s">
        <v>242</v>
      </c>
      <c r="D2" s="192" t="s">
        <v>242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4" t="s">
        <v>160</v>
      </c>
      <c r="C3" s="195">
        <f>'Revenue Tracking'!D4</f>
        <v>6640297.8799999999</v>
      </c>
      <c r="D3" s="195">
        <f>SUM(F3:LD3)</f>
        <v>8633666.5756521747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2324104.2579999999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1328059.5760000001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1992089.3639999998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996044.68200000003</v>
      </c>
      <c r="AX3" s="197">
        <f>SUMIFS('Revenue Tracking'!$F$13:$F$19, 'Revenue Tracking'!$H$13:$H$19, "&gt;="&amp;AX1,'Revenue Tracking'!$H$13:$H$19, "&lt;"&amp;AY1)</f>
        <v>1993368.6956521741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10"/>
      <c r="B4" s="194" t="s">
        <v>399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2324104.2579999999</v>
      </c>
      <c r="U4" s="197">
        <f t="shared" si="5"/>
        <v>2324104.2579999999</v>
      </c>
      <c r="V4" s="197">
        <f t="shared" si="5"/>
        <v>2324104.2579999999</v>
      </c>
      <c r="W4" s="197">
        <f t="shared" si="5"/>
        <v>2324104.2579999999</v>
      </c>
      <c r="X4" s="197">
        <f t="shared" si="5"/>
        <v>2324104.2579999999</v>
      </c>
      <c r="Y4" s="197">
        <f t="shared" si="5"/>
        <v>2324104.2579999999</v>
      </c>
      <c r="Z4" s="197">
        <f t="shared" si="5"/>
        <v>2324104.2579999999</v>
      </c>
      <c r="AA4" s="197">
        <f t="shared" si="5"/>
        <v>2324104.2579999999</v>
      </c>
      <c r="AB4" s="197">
        <f t="shared" si="5"/>
        <v>2324104.2579999999</v>
      </c>
      <c r="AC4" s="197">
        <f t="shared" si="5"/>
        <v>2324104.2579999999</v>
      </c>
      <c r="AD4" s="197">
        <f t="shared" si="5"/>
        <v>2324104.2579999999</v>
      </c>
      <c r="AE4" s="197">
        <f t="shared" si="5"/>
        <v>2324104.2579999999</v>
      </c>
      <c r="AF4" s="197">
        <f t="shared" si="5"/>
        <v>2324104.2579999999</v>
      </c>
      <c r="AG4" s="197">
        <f t="shared" si="5"/>
        <v>2324104.2579999999</v>
      </c>
      <c r="AH4" s="197">
        <f t="shared" si="5"/>
        <v>2324104.2579999999</v>
      </c>
      <c r="AI4" s="197">
        <f t="shared" si="5"/>
        <v>3652163.8339999998</v>
      </c>
      <c r="AJ4" s="197">
        <f t="shared" si="5"/>
        <v>3652163.8339999998</v>
      </c>
      <c r="AK4" s="197">
        <f t="shared" si="5"/>
        <v>3652163.8339999998</v>
      </c>
      <c r="AL4" s="197">
        <f t="shared" si="5"/>
        <v>3652163.8339999998</v>
      </c>
      <c r="AM4" s="197">
        <f t="shared" si="5"/>
        <v>3652163.8339999998</v>
      </c>
      <c r="AN4" s="197">
        <f t="shared" si="5"/>
        <v>3652163.8339999998</v>
      </c>
      <c r="AO4" s="197">
        <f t="shared" si="5"/>
        <v>3652163.8339999998</v>
      </c>
      <c r="AP4" s="197">
        <f t="shared" si="5"/>
        <v>3652163.8339999998</v>
      </c>
      <c r="AQ4" s="197">
        <f t="shared" si="5"/>
        <v>3652163.8339999998</v>
      </c>
      <c r="AR4" s="197">
        <f t="shared" si="5"/>
        <v>3652163.8339999998</v>
      </c>
      <c r="AS4" s="197">
        <f t="shared" si="5"/>
        <v>3652163.8339999998</v>
      </c>
      <c r="AT4" s="197">
        <f t="shared" si="5"/>
        <v>5644253.1979999999</v>
      </c>
      <c r="AU4" s="197">
        <f t="shared" si="5"/>
        <v>5644253.1979999999</v>
      </c>
      <c r="AV4" s="197">
        <f t="shared" si="5"/>
        <v>5644253.1979999999</v>
      </c>
      <c r="AW4" s="197">
        <f t="shared" si="5"/>
        <v>6640297.8799999999</v>
      </c>
      <c r="AX4" s="197">
        <f t="shared" si="5"/>
        <v>8633666.5756521747</v>
      </c>
      <c r="AY4" s="197">
        <f t="shared" si="5"/>
        <v>8633666.5756521747</v>
      </c>
      <c r="AZ4" s="197">
        <f t="shared" si="5"/>
        <v>8633666.5756521747</v>
      </c>
      <c r="BA4" s="197">
        <f t="shared" si="5"/>
        <v>8633666.5756521747</v>
      </c>
      <c r="BB4" s="197">
        <f t="shared" si="5"/>
        <v>8633666.5756521747</v>
      </c>
      <c r="BC4" s="197">
        <f t="shared" si="5"/>
        <v>8633666.5756521747</v>
      </c>
      <c r="BD4" s="197">
        <f t="shared" si="5"/>
        <v>8633666.5756521747</v>
      </c>
      <c r="BE4" s="197">
        <f t="shared" si="5"/>
        <v>8633666.5756521747</v>
      </c>
      <c r="BF4" s="197">
        <f t="shared" si="5"/>
        <v>8633666.5756521747</v>
      </c>
      <c r="BG4" s="197">
        <f t="shared" si="5"/>
        <v>8633666.5756521747</v>
      </c>
      <c r="BH4" s="197">
        <f t="shared" si="5"/>
        <v>8633666.5756521747</v>
      </c>
      <c r="BI4" s="197">
        <f t="shared" si="5"/>
        <v>8633666.5756521747</v>
      </c>
      <c r="BJ4" s="197">
        <f t="shared" si="5"/>
        <v>8633666.5756521747</v>
      </c>
      <c r="BK4" s="197">
        <f t="shared" si="5"/>
        <v>8633666.5756521747</v>
      </c>
      <c r="BL4" s="197">
        <f t="shared" si="5"/>
        <v>8633666.5756521747</v>
      </c>
      <c r="BM4" s="197">
        <f t="shared" si="5"/>
        <v>8633666.5756521747</v>
      </c>
      <c r="BN4" s="197">
        <f t="shared" si="5"/>
        <v>8633666.5756521747</v>
      </c>
      <c r="BO4" s="197">
        <f t="shared" si="5"/>
        <v>8633666.5756521747</v>
      </c>
      <c r="BP4" s="197">
        <f t="shared" si="5"/>
        <v>8633666.5756521747</v>
      </c>
      <c r="BQ4" s="197">
        <f t="shared" si="5"/>
        <v>8633666.5756521747</v>
      </c>
      <c r="BR4" s="197">
        <f t="shared" si="5"/>
        <v>8633666.5756521747</v>
      </c>
      <c r="BS4" s="197">
        <f t="shared" si="5"/>
        <v>8633666.5756521747</v>
      </c>
      <c r="BT4" s="197">
        <f t="shared" si="5"/>
        <v>8633666.5756521747</v>
      </c>
      <c r="BU4" s="197">
        <f t="shared" ref="BU4:EF4" si="6">BT4+BU3</f>
        <v>8633666.5756521747</v>
      </c>
      <c r="BV4" s="197">
        <f t="shared" si="6"/>
        <v>8633666.5756521747</v>
      </c>
      <c r="BW4" s="197">
        <f t="shared" si="6"/>
        <v>8633666.5756521747</v>
      </c>
      <c r="BX4" s="197">
        <f t="shared" si="6"/>
        <v>8633666.5756521747</v>
      </c>
      <c r="BY4" s="197">
        <f t="shared" si="6"/>
        <v>8633666.5756521747</v>
      </c>
      <c r="BZ4" s="197">
        <f t="shared" si="6"/>
        <v>8633666.5756521747</v>
      </c>
      <c r="CA4" s="197">
        <f t="shared" si="6"/>
        <v>8633666.5756521747</v>
      </c>
      <c r="CB4" s="197">
        <f t="shared" si="6"/>
        <v>8633666.5756521747</v>
      </c>
      <c r="CC4" s="197">
        <f t="shared" si="6"/>
        <v>8633666.5756521747</v>
      </c>
      <c r="CD4" s="197">
        <f t="shared" si="6"/>
        <v>8633666.5756521747</v>
      </c>
      <c r="CE4" s="197">
        <f t="shared" si="6"/>
        <v>8633666.5756521747</v>
      </c>
      <c r="CF4" s="197">
        <f t="shared" si="6"/>
        <v>8633666.5756521747</v>
      </c>
      <c r="CG4" s="197">
        <f t="shared" si="6"/>
        <v>8633666.5756521747</v>
      </c>
      <c r="CH4" s="197">
        <f t="shared" si="6"/>
        <v>8633666.5756521747</v>
      </c>
      <c r="CI4" s="197">
        <f t="shared" si="6"/>
        <v>8633666.5756521747</v>
      </c>
      <c r="CJ4" s="197">
        <f t="shared" si="6"/>
        <v>8633666.5756521747</v>
      </c>
      <c r="CK4" s="197">
        <f t="shared" si="6"/>
        <v>8633666.5756521747</v>
      </c>
      <c r="CL4" s="197">
        <f t="shared" si="6"/>
        <v>8633666.5756521747</v>
      </c>
      <c r="CM4" s="197">
        <f t="shared" si="6"/>
        <v>8633666.5756521747</v>
      </c>
      <c r="CN4" s="197">
        <f t="shared" si="6"/>
        <v>8633666.5756521747</v>
      </c>
      <c r="CO4" s="197">
        <f t="shared" si="6"/>
        <v>8633666.5756521747</v>
      </c>
      <c r="CP4" s="197">
        <f t="shared" si="6"/>
        <v>8633666.5756521747</v>
      </c>
      <c r="CQ4" s="197">
        <f t="shared" si="6"/>
        <v>8633666.5756521747</v>
      </c>
      <c r="CR4" s="197">
        <f t="shared" si="6"/>
        <v>8633666.5756521747</v>
      </c>
      <c r="CS4" s="197">
        <f t="shared" si="6"/>
        <v>8633666.5756521747</v>
      </c>
      <c r="CT4" s="197">
        <f t="shared" si="6"/>
        <v>8633666.5756521747</v>
      </c>
      <c r="CU4" s="197">
        <f t="shared" si="6"/>
        <v>8633666.5756521747</v>
      </c>
      <c r="CV4" s="197">
        <f t="shared" si="6"/>
        <v>8633666.5756521747</v>
      </c>
      <c r="CW4" s="197">
        <f t="shared" si="6"/>
        <v>8633666.5756521747</v>
      </c>
      <c r="CX4" s="197">
        <f t="shared" si="6"/>
        <v>8633666.5756521747</v>
      </c>
      <c r="CY4" s="197">
        <f t="shared" si="6"/>
        <v>8633666.5756521747</v>
      </c>
      <c r="CZ4" s="197">
        <f t="shared" si="6"/>
        <v>8633666.5756521747</v>
      </c>
      <c r="DA4" s="197">
        <f t="shared" si="6"/>
        <v>8633666.5756521747</v>
      </c>
      <c r="DB4" s="197">
        <f t="shared" si="6"/>
        <v>8633666.5756521747</v>
      </c>
      <c r="DC4" s="197">
        <f t="shared" si="6"/>
        <v>8633666.5756521747</v>
      </c>
      <c r="DD4" s="197">
        <f t="shared" si="6"/>
        <v>8633666.5756521747</v>
      </c>
      <c r="DE4" s="197">
        <f t="shared" si="6"/>
        <v>8633666.5756521747</v>
      </c>
      <c r="DF4" s="197">
        <f t="shared" si="6"/>
        <v>8633666.5756521747</v>
      </c>
      <c r="DG4" s="197">
        <f t="shared" si="6"/>
        <v>8633666.5756521747</v>
      </c>
      <c r="DH4" s="197">
        <f t="shared" si="6"/>
        <v>8633666.5756521747</v>
      </c>
      <c r="DI4" s="197">
        <f t="shared" si="6"/>
        <v>8633666.5756521747</v>
      </c>
      <c r="DJ4" s="197">
        <f t="shared" si="6"/>
        <v>8633666.5756521747</v>
      </c>
      <c r="DK4" s="197">
        <f t="shared" si="6"/>
        <v>8633666.5756521747</v>
      </c>
      <c r="DL4" s="197">
        <f t="shared" si="6"/>
        <v>8633666.5756521747</v>
      </c>
      <c r="DM4" s="197">
        <f t="shared" si="6"/>
        <v>8633666.5756521747</v>
      </c>
      <c r="DN4" s="197">
        <f t="shared" si="6"/>
        <v>8633666.5756521747</v>
      </c>
      <c r="DO4" s="197">
        <f t="shared" si="6"/>
        <v>8633666.5756521747</v>
      </c>
      <c r="DP4" s="197">
        <f t="shared" si="6"/>
        <v>8633666.5756521747</v>
      </c>
      <c r="DQ4" s="197">
        <f t="shared" si="6"/>
        <v>8633666.5756521747</v>
      </c>
      <c r="DR4" s="197">
        <f t="shared" si="6"/>
        <v>8633666.5756521747</v>
      </c>
      <c r="DS4" s="197">
        <f t="shared" si="6"/>
        <v>8633666.5756521747</v>
      </c>
      <c r="DT4" s="197">
        <f t="shared" si="6"/>
        <v>8633666.5756521747</v>
      </c>
      <c r="DU4" s="197">
        <f t="shared" si="6"/>
        <v>8633666.5756521747</v>
      </c>
      <c r="DV4" s="197">
        <f t="shared" si="6"/>
        <v>8633666.5756521747</v>
      </c>
      <c r="DW4" s="197">
        <f t="shared" si="6"/>
        <v>8633666.5756521747</v>
      </c>
      <c r="DX4" s="197">
        <f t="shared" si="6"/>
        <v>8633666.5756521747</v>
      </c>
      <c r="DY4" s="197">
        <f t="shared" si="6"/>
        <v>8633666.5756521747</v>
      </c>
      <c r="DZ4" s="197">
        <f t="shared" si="6"/>
        <v>8633666.5756521747</v>
      </c>
      <c r="EA4" s="197">
        <f t="shared" si="6"/>
        <v>8633666.5756521747</v>
      </c>
      <c r="EB4" s="197">
        <f t="shared" si="6"/>
        <v>8633666.5756521747</v>
      </c>
      <c r="EC4" s="197">
        <f t="shared" si="6"/>
        <v>8633666.5756521747</v>
      </c>
      <c r="ED4" s="197">
        <f t="shared" si="6"/>
        <v>8633666.5756521747</v>
      </c>
      <c r="EE4" s="197">
        <f t="shared" si="6"/>
        <v>8633666.5756521747</v>
      </c>
      <c r="EF4" s="197">
        <f t="shared" si="6"/>
        <v>8633666.5756521747</v>
      </c>
      <c r="EG4" s="197">
        <f t="shared" ref="EG4:GR4" si="7">EF4+EG3</f>
        <v>8633666.5756521747</v>
      </c>
      <c r="EH4" s="197">
        <f t="shared" si="7"/>
        <v>8633666.5756521747</v>
      </c>
      <c r="EI4" s="197">
        <f t="shared" si="7"/>
        <v>8633666.5756521747</v>
      </c>
      <c r="EJ4" s="197">
        <f t="shared" si="7"/>
        <v>8633666.5756521747</v>
      </c>
      <c r="EK4" s="197">
        <f t="shared" si="7"/>
        <v>8633666.5756521747</v>
      </c>
      <c r="EL4" s="197">
        <f t="shared" si="7"/>
        <v>8633666.5756521747</v>
      </c>
      <c r="EM4" s="197">
        <f t="shared" si="7"/>
        <v>8633666.5756521747</v>
      </c>
      <c r="EN4" s="197">
        <f t="shared" si="7"/>
        <v>8633666.5756521747</v>
      </c>
      <c r="EO4" s="197">
        <f t="shared" si="7"/>
        <v>8633666.5756521747</v>
      </c>
      <c r="EP4" s="197">
        <f t="shared" si="7"/>
        <v>8633666.5756521747</v>
      </c>
      <c r="EQ4" s="197">
        <f t="shared" si="7"/>
        <v>8633666.5756521747</v>
      </c>
      <c r="ER4" s="197">
        <f t="shared" si="7"/>
        <v>8633666.5756521747</v>
      </c>
      <c r="ES4" s="197">
        <f t="shared" si="7"/>
        <v>8633666.5756521747</v>
      </c>
      <c r="ET4" s="197">
        <f t="shared" si="7"/>
        <v>8633666.5756521747</v>
      </c>
      <c r="EU4" s="197">
        <f t="shared" si="7"/>
        <v>8633666.5756521747</v>
      </c>
      <c r="EV4" s="197">
        <f t="shared" si="7"/>
        <v>8633666.5756521747</v>
      </c>
      <c r="EW4" s="197">
        <f t="shared" si="7"/>
        <v>8633666.5756521747</v>
      </c>
      <c r="EX4" s="197">
        <f t="shared" si="7"/>
        <v>8633666.5756521747</v>
      </c>
      <c r="EY4" s="197">
        <f t="shared" si="7"/>
        <v>8633666.5756521747</v>
      </c>
      <c r="EZ4" s="197">
        <f t="shared" si="7"/>
        <v>8633666.5756521747</v>
      </c>
      <c r="FA4" s="197">
        <f t="shared" si="7"/>
        <v>8633666.5756521747</v>
      </c>
      <c r="FB4" s="197">
        <f t="shared" si="7"/>
        <v>8633666.5756521747</v>
      </c>
      <c r="FC4" s="197">
        <f t="shared" si="7"/>
        <v>8633666.5756521747</v>
      </c>
      <c r="FD4" s="197">
        <f t="shared" si="7"/>
        <v>8633666.5756521747</v>
      </c>
      <c r="FE4" s="197">
        <f t="shared" si="7"/>
        <v>8633666.5756521747</v>
      </c>
      <c r="FF4" s="197">
        <f t="shared" si="7"/>
        <v>8633666.5756521747</v>
      </c>
      <c r="FG4" s="197">
        <f t="shared" si="7"/>
        <v>8633666.5756521747</v>
      </c>
      <c r="FH4" s="197">
        <f t="shared" si="7"/>
        <v>8633666.5756521747</v>
      </c>
      <c r="FI4" s="197">
        <f t="shared" si="7"/>
        <v>8633666.5756521747</v>
      </c>
      <c r="FJ4" s="197">
        <f t="shared" si="7"/>
        <v>8633666.5756521747</v>
      </c>
      <c r="FK4" s="197">
        <f t="shared" si="7"/>
        <v>8633666.5756521747</v>
      </c>
      <c r="FL4" s="197">
        <f t="shared" si="7"/>
        <v>8633666.5756521747</v>
      </c>
      <c r="FM4" s="197">
        <f t="shared" si="7"/>
        <v>8633666.5756521747</v>
      </c>
      <c r="FN4" s="197">
        <f t="shared" si="7"/>
        <v>8633666.5756521747</v>
      </c>
      <c r="FO4" s="197">
        <f t="shared" si="7"/>
        <v>8633666.5756521747</v>
      </c>
      <c r="FP4" s="197">
        <f t="shared" si="7"/>
        <v>8633666.5756521747</v>
      </c>
      <c r="FQ4" s="197">
        <f t="shared" si="7"/>
        <v>8633666.5756521747</v>
      </c>
      <c r="FR4" s="197">
        <f t="shared" si="7"/>
        <v>8633666.5756521747</v>
      </c>
      <c r="FS4" s="197">
        <f t="shared" si="7"/>
        <v>8633666.5756521747</v>
      </c>
      <c r="FT4" s="197">
        <f t="shared" si="7"/>
        <v>8633666.5756521747</v>
      </c>
      <c r="FU4" s="197">
        <f t="shared" si="7"/>
        <v>8633666.5756521747</v>
      </c>
      <c r="FV4" s="197">
        <f t="shared" si="7"/>
        <v>8633666.5756521747</v>
      </c>
      <c r="FW4" s="197">
        <f t="shared" si="7"/>
        <v>8633666.5756521747</v>
      </c>
      <c r="FX4" s="197">
        <f t="shared" si="7"/>
        <v>8633666.5756521747</v>
      </c>
      <c r="FY4" s="197">
        <f t="shared" si="7"/>
        <v>8633666.5756521747</v>
      </c>
      <c r="FZ4" s="197">
        <f t="shared" si="7"/>
        <v>8633666.5756521747</v>
      </c>
      <c r="GA4" s="197">
        <f t="shared" si="7"/>
        <v>8633666.5756521747</v>
      </c>
      <c r="GB4" s="197">
        <f t="shared" si="7"/>
        <v>8633666.5756521747</v>
      </c>
      <c r="GC4" s="197">
        <f t="shared" si="7"/>
        <v>8633666.5756521747</v>
      </c>
      <c r="GD4" s="197">
        <f t="shared" si="7"/>
        <v>8633666.5756521747</v>
      </c>
      <c r="GE4" s="197">
        <f t="shared" si="7"/>
        <v>8633666.5756521747</v>
      </c>
      <c r="GF4" s="197">
        <f t="shared" si="7"/>
        <v>8633666.5756521747</v>
      </c>
      <c r="GG4" s="197">
        <f t="shared" si="7"/>
        <v>8633666.5756521747</v>
      </c>
      <c r="GH4" s="197">
        <f t="shared" si="7"/>
        <v>8633666.5756521747</v>
      </c>
      <c r="GI4" s="197">
        <f t="shared" si="7"/>
        <v>8633666.5756521747</v>
      </c>
      <c r="GJ4" s="197">
        <f t="shared" si="7"/>
        <v>8633666.5756521747</v>
      </c>
      <c r="GK4" s="197">
        <f t="shared" si="7"/>
        <v>8633666.5756521747</v>
      </c>
      <c r="GL4" s="197">
        <f t="shared" si="7"/>
        <v>8633666.5756521747</v>
      </c>
      <c r="GM4" s="197">
        <f t="shared" si="7"/>
        <v>8633666.5756521747</v>
      </c>
      <c r="GN4" s="197">
        <f t="shared" si="7"/>
        <v>8633666.5756521747</v>
      </c>
      <c r="GO4" s="197">
        <f t="shared" si="7"/>
        <v>8633666.5756521747</v>
      </c>
      <c r="GP4" s="197">
        <f t="shared" si="7"/>
        <v>8633666.5756521747</v>
      </c>
      <c r="GQ4" s="197">
        <f t="shared" si="7"/>
        <v>8633666.5756521747</v>
      </c>
      <c r="GR4" s="197">
        <f t="shared" si="7"/>
        <v>8633666.5756521747</v>
      </c>
      <c r="GS4" s="197">
        <f t="shared" ref="GS4:JD4" si="8">GR4+GS3</f>
        <v>8633666.5756521747</v>
      </c>
      <c r="GT4" s="197">
        <f t="shared" si="8"/>
        <v>8633666.5756521747</v>
      </c>
      <c r="GU4" s="197">
        <f t="shared" si="8"/>
        <v>8633666.5756521747</v>
      </c>
      <c r="GV4" s="197">
        <f t="shared" si="8"/>
        <v>8633666.5756521747</v>
      </c>
      <c r="GW4" s="197">
        <f t="shared" si="8"/>
        <v>8633666.5756521747</v>
      </c>
      <c r="GX4" s="197">
        <f t="shared" si="8"/>
        <v>8633666.5756521747</v>
      </c>
      <c r="GY4" s="197">
        <f t="shared" si="8"/>
        <v>8633666.5756521747</v>
      </c>
      <c r="GZ4" s="197">
        <f t="shared" si="8"/>
        <v>8633666.5756521747</v>
      </c>
      <c r="HA4" s="197">
        <f t="shared" si="8"/>
        <v>8633666.5756521747</v>
      </c>
      <c r="HB4" s="197">
        <f t="shared" si="8"/>
        <v>8633666.5756521747</v>
      </c>
      <c r="HC4" s="197">
        <f t="shared" si="8"/>
        <v>8633666.5756521747</v>
      </c>
      <c r="HD4" s="197">
        <f t="shared" si="8"/>
        <v>8633666.5756521747</v>
      </c>
      <c r="HE4" s="197">
        <f t="shared" si="8"/>
        <v>8633666.5756521747</v>
      </c>
      <c r="HF4" s="197">
        <f t="shared" si="8"/>
        <v>8633666.5756521747</v>
      </c>
      <c r="HG4" s="197">
        <f t="shared" si="8"/>
        <v>8633666.5756521747</v>
      </c>
      <c r="HH4" s="197">
        <f t="shared" si="8"/>
        <v>8633666.5756521747</v>
      </c>
      <c r="HI4" s="197">
        <f t="shared" si="8"/>
        <v>8633666.5756521747</v>
      </c>
      <c r="HJ4" s="197">
        <f t="shared" si="8"/>
        <v>8633666.5756521747</v>
      </c>
      <c r="HK4" s="197">
        <f t="shared" si="8"/>
        <v>8633666.5756521747</v>
      </c>
      <c r="HL4" s="197">
        <f t="shared" si="8"/>
        <v>8633666.5756521747</v>
      </c>
      <c r="HM4" s="197">
        <f t="shared" si="8"/>
        <v>8633666.5756521747</v>
      </c>
      <c r="HN4" s="197">
        <f t="shared" si="8"/>
        <v>8633666.5756521747</v>
      </c>
      <c r="HO4" s="197">
        <f t="shared" si="8"/>
        <v>8633666.5756521747</v>
      </c>
      <c r="HP4" s="197">
        <f t="shared" si="8"/>
        <v>8633666.5756521747</v>
      </c>
      <c r="HQ4" s="197">
        <f t="shared" si="8"/>
        <v>8633666.5756521747</v>
      </c>
      <c r="HR4" s="197">
        <f t="shared" si="8"/>
        <v>8633666.5756521747</v>
      </c>
      <c r="HS4" s="197">
        <f t="shared" si="8"/>
        <v>8633666.5756521747</v>
      </c>
      <c r="HT4" s="197">
        <f t="shared" si="8"/>
        <v>8633666.5756521747</v>
      </c>
      <c r="HU4" s="197">
        <f t="shared" si="8"/>
        <v>8633666.5756521747</v>
      </c>
      <c r="HV4" s="197">
        <f t="shared" si="8"/>
        <v>8633666.5756521747</v>
      </c>
      <c r="HW4" s="197">
        <f t="shared" si="8"/>
        <v>8633666.5756521747</v>
      </c>
      <c r="HX4" s="197">
        <f t="shared" si="8"/>
        <v>8633666.5756521747</v>
      </c>
      <c r="HY4" s="197">
        <f t="shared" si="8"/>
        <v>8633666.5756521747</v>
      </c>
      <c r="HZ4" s="197">
        <f t="shared" si="8"/>
        <v>8633666.5756521747</v>
      </c>
      <c r="IA4" s="197">
        <f t="shared" si="8"/>
        <v>8633666.5756521747</v>
      </c>
      <c r="IB4" s="197">
        <f t="shared" si="8"/>
        <v>8633666.5756521747</v>
      </c>
      <c r="IC4" s="197">
        <f t="shared" si="8"/>
        <v>8633666.5756521747</v>
      </c>
      <c r="ID4" s="197">
        <f t="shared" si="8"/>
        <v>8633666.5756521747</v>
      </c>
      <c r="IE4" s="197">
        <f t="shared" si="8"/>
        <v>8633666.5756521747</v>
      </c>
      <c r="IF4" s="197">
        <f t="shared" si="8"/>
        <v>8633666.5756521747</v>
      </c>
      <c r="IG4" s="197">
        <f t="shared" si="8"/>
        <v>8633666.5756521747</v>
      </c>
      <c r="IH4" s="197">
        <f t="shared" si="8"/>
        <v>8633666.5756521747</v>
      </c>
      <c r="II4" s="197">
        <f t="shared" si="8"/>
        <v>8633666.5756521747</v>
      </c>
      <c r="IJ4" s="197">
        <f t="shared" si="8"/>
        <v>8633666.5756521747</v>
      </c>
      <c r="IK4" s="197">
        <f t="shared" si="8"/>
        <v>8633666.5756521747</v>
      </c>
      <c r="IL4" s="197">
        <f t="shared" si="8"/>
        <v>8633666.5756521747</v>
      </c>
      <c r="IM4" s="197">
        <f t="shared" si="8"/>
        <v>8633666.5756521747</v>
      </c>
      <c r="IN4" s="197">
        <f t="shared" si="8"/>
        <v>8633666.5756521747</v>
      </c>
      <c r="IO4" s="197">
        <f t="shared" si="8"/>
        <v>8633666.5756521747</v>
      </c>
      <c r="IP4" s="197">
        <f t="shared" si="8"/>
        <v>8633666.5756521747</v>
      </c>
      <c r="IQ4" s="197">
        <f t="shared" si="8"/>
        <v>8633666.5756521747</v>
      </c>
      <c r="IR4" s="197">
        <f t="shared" si="8"/>
        <v>8633666.5756521747</v>
      </c>
      <c r="IS4" s="197">
        <f t="shared" si="8"/>
        <v>8633666.5756521747</v>
      </c>
      <c r="IT4" s="197">
        <f t="shared" si="8"/>
        <v>8633666.5756521747</v>
      </c>
      <c r="IU4" s="197">
        <f t="shared" si="8"/>
        <v>8633666.5756521747</v>
      </c>
      <c r="IV4" s="197">
        <f t="shared" si="8"/>
        <v>8633666.5756521747</v>
      </c>
      <c r="IW4" s="197">
        <f t="shared" si="8"/>
        <v>8633666.5756521747</v>
      </c>
      <c r="IX4" s="197">
        <f t="shared" si="8"/>
        <v>8633666.5756521747</v>
      </c>
      <c r="IY4" s="197">
        <f t="shared" si="8"/>
        <v>8633666.5756521747</v>
      </c>
      <c r="IZ4" s="197">
        <f t="shared" si="8"/>
        <v>8633666.5756521747</v>
      </c>
      <c r="JA4" s="197">
        <f t="shared" si="8"/>
        <v>8633666.5756521747</v>
      </c>
      <c r="JB4" s="197">
        <f t="shared" si="8"/>
        <v>8633666.5756521747</v>
      </c>
      <c r="JC4" s="197">
        <f t="shared" si="8"/>
        <v>8633666.5756521747</v>
      </c>
      <c r="JD4" s="197">
        <f t="shared" si="8"/>
        <v>8633666.5756521747</v>
      </c>
      <c r="JE4" s="197">
        <f t="shared" ref="JE4:LD4" si="9">JD4+JE3</f>
        <v>8633666.5756521747</v>
      </c>
      <c r="JF4" s="197">
        <f t="shared" si="9"/>
        <v>8633666.5756521747</v>
      </c>
      <c r="JG4" s="197">
        <f t="shared" si="9"/>
        <v>8633666.5756521747</v>
      </c>
      <c r="JH4" s="197">
        <f t="shared" si="9"/>
        <v>8633666.5756521747</v>
      </c>
      <c r="JI4" s="197">
        <f t="shared" si="9"/>
        <v>8633666.5756521747</v>
      </c>
      <c r="JJ4" s="197">
        <f t="shared" si="9"/>
        <v>8633666.5756521747</v>
      </c>
      <c r="JK4" s="197">
        <f t="shared" si="9"/>
        <v>8633666.5756521747</v>
      </c>
      <c r="JL4" s="197">
        <f t="shared" si="9"/>
        <v>8633666.5756521747</v>
      </c>
      <c r="JM4" s="197">
        <f t="shared" si="9"/>
        <v>8633666.5756521747</v>
      </c>
      <c r="JN4" s="197">
        <f t="shared" si="9"/>
        <v>8633666.5756521747</v>
      </c>
      <c r="JO4" s="197">
        <f t="shared" si="9"/>
        <v>8633666.5756521747</v>
      </c>
      <c r="JP4" s="197">
        <f t="shared" si="9"/>
        <v>8633666.5756521747</v>
      </c>
      <c r="JQ4" s="197">
        <f t="shared" si="9"/>
        <v>8633666.5756521747</v>
      </c>
      <c r="JR4" s="197">
        <f t="shared" si="9"/>
        <v>8633666.5756521747</v>
      </c>
      <c r="JS4" s="197">
        <f t="shared" si="9"/>
        <v>8633666.5756521747</v>
      </c>
      <c r="JT4" s="197">
        <f t="shared" si="9"/>
        <v>8633666.5756521747</v>
      </c>
      <c r="JU4" s="197">
        <f t="shared" si="9"/>
        <v>8633666.5756521747</v>
      </c>
      <c r="JV4" s="197">
        <f t="shared" si="9"/>
        <v>8633666.5756521747</v>
      </c>
      <c r="JW4" s="197">
        <f t="shared" si="9"/>
        <v>8633666.5756521747</v>
      </c>
      <c r="JX4" s="197">
        <f t="shared" si="9"/>
        <v>8633666.5756521747</v>
      </c>
      <c r="JY4" s="197">
        <f t="shared" si="9"/>
        <v>8633666.5756521747</v>
      </c>
      <c r="JZ4" s="197">
        <f t="shared" si="9"/>
        <v>8633666.5756521747</v>
      </c>
      <c r="KA4" s="197">
        <f t="shared" si="9"/>
        <v>8633666.5756521747</v>
      </c>
      <c r="KB4" s="197">
        <f t="shared" si="9"/>
        <v>8633666.5756521747</v>
      </c>
      <c r="KC4" s="197">
        <f t="shared" si="9"/>
        <v>8633666.5756521747</v>
      </c>
      <c r="KD4" s="197">
        <f t="shared" si="9"/>
        <v>8633666.5756521747</v>
      </c>
      <c r="KE4" s="197">
        <f t="shared" si="9"/>
        <v>8633666.5756521747</v>
      </c>
      <c r="KF4" s="197">
        <f t="shared" si="9"/>
        <v>8633666.5756521747</v>
      </c>
      <c r="KG4" s="197">
        <f t="shared" si="9"/>
        <v>8633666.5756521747</v>
      </c>
      <c r="KH4" s="197">
        <f t="shared" si="9"/>
        <v>8633666.5756521747</v>
      </c>
      <c r="KI4" s="197">
        <f t="shared" si="9"/>
        <v>8633666.5756521747</v>
      </c>
      <c r="KJ4" s="197">
        <f t="shared" si="9"/>
        <v>8633666.5756521747</v>
      </c>
      <c r="KK4" s="197">
        <f t="shared" si="9"/>
        <v>8633666.5756521747</v>
      </c>
      <c r="KL4" s="197">
        <f t="shared" si="9"/>
        <v>8633666.5756521747</v>
      </c>
      <c r="KM4" s="197">
        <f t="shared" si="9"/>
        <v>8633666.5756521747</v>
      </c>
      <c r="KN4" s="197">
        <f t="shared" si="9"/>
        <v>8633666.5756521747</v>
      </c>
      <c r="KO4" s="197">
        <f t="shared" si="9"/>
        <v>8633666.5756521747</v>
      </c>
      <c r="KP4" s="197">
        <f t="shared" si="9"/>
        <v>8633666.5756521747</v>
      </c>
      <c r="KQ4" s="197">
        <f t="shared" si="9"/>
        <v>8633666.5756521747</v>
      </c>
      <c r="KR4" s="197">
        <f t="shared" si="9"/>
        <v>8633666.5756521747</v>
      </c>
      <c r="KS4" s="197">
        <f t="shared" si="9"/>
        <v>8633666.5756521747</v>
      </c>
      <c r="KT4" s="197">
        <f t="shared" si="9"/>
        <v>8633666.5756521747</v>
      </c>
      <c r="KU4" s="197">
        <f t="shared" si="9"/>
        <v>8633666.5756521747</v>
      </c>
      <c r="KV4" s="197">
        <f t="shared" si="9"/>
        <v>8633666.5756521747</v>
      </c>
      <c r="KW4" s="197">
        <f t="shared" si="9"/>
        <v>8633666.5756521747</v>
      </c>
      <c r="KX4" s="197">
        <f t="shared" si="9"/>
        <v>8633666.5756521747</v>
      </c>
      <c r="KY4" s="197">
        <f t="shared" si="9"/>
        <v>8633666.5756521747</v>
      </c>
      <c r="KZ4" s="197">
        <f t="shared" si="9"/>
        <v>8633666.5756521747</v>
      </c>
      <c r="LA4" s="197">
        <f t="shared" si="9"/>
        <v>8633666.5756521747</v>
      </c>
      <c r="LB4" s="197">
        <f t="shared" si="9"/>
        <v>8633666.5756521747</v>
      </c>
      <c r="LC4" s="197">
        <f t="shared" si="9"/>
        <v>8633666.5756521747</v>
      </c>
      <c r="LD4" s="197">
        <f t="shared" si="9"/>
        <v>8633666.5756521747</v>
      </c>
    </row>
    <row r="5" spans="1:794" s="202" customFormat="1">
      <c r="A5" s="810"/>
      <c r="B5" s="198" t="s">
        <v>162</v>
      </c>
      <c r="C5" s="199">
        <f>'Revenue Tracking'!D5</f>
        <v>5836403.2100000009</v>
      </c>
      <c r="D5" s="199">
        <f>SUM(F5:LD5)</f>
        <v>5836403.21</v>
      </c>
      <c r="E5" s="196"/>
      <c r="F5" s="200">
        <f>SUMIFS('Expenditure Breakdown'!$G$6:$G$202, 'Expenditure Breakdown'!$H$6:$H$202, "&gt;="&amp;F1,'Expenditure Breakdown'!$H$6:$H$202, "&lt;"&amp;G1)</f>
        <v>0</v>
      </c>
      <c r="G5" s="200">
        <f>SUMIFS('Expenditure Breakdown'!$G$6:$G$202, 'Expenditure Breakdown'!$H$6:$H$202, "&gt;="&amp;G1,'Expenditure Breakdown'!$H$6:$H$202, "&lt;"&amp;H1)</f>
        <v>0</v>
      </c>
      <c r="H5" s="200">
        <f>SUMIFS('Expenditure Breakdown'!$G$6:$G$202, 'Expenditure Breakdown'!$H$6:$H$202, "&gt;="&amp;H1,'Expenditure Breakdown'!$H$6:$H$202, "&lt;"&amp;I1)</f>
        <v>0</v>
      </c>
      <c r="I5" s="200">
        <f>SUMIFS('Expenditure Breakdown'!$G$6:$G$202, 'Expenditure Breakdown'!$H$6:$H$202, "&gt;="&amp;I1,'Expenditure Breakdown'!$H$6:$H$202, "&lt;"&amp;J1)</f>
        <v>0</v>
      </c>
      <c r="J5" s="200">
        <f>SUMIFS('Expenditure Breakdown'!$G$6:$G$202, 'Expenditure Breakdown'!$H$6:$H$202, "&gt;="&amp;J1,'Expenditure Breakdown'!$H$6:$H$202, "&lt;"&amp;K1)</f>
        <v>0</v>
      </c>
      <c r="K5" s="200">
        <f>SUMIFS('Expenditure Breakdown'!$G$6:$G$202, 'Expenditure Breakdown'!$H$6:$H$202, "&gt;="&amp;K1,'Expenditure Breakdown'!$H$6:$H$202, "&lt;"&amp;L1)</f>
        <v>0</v>
      </c>
      <c r="L5" s="200">
        <f>SUMIFS('Expenditure Breakdown'!$G$6:$G$202, 'Expenditure Breakdown'!$H$6:$H$202, "&gt;="&amp;L1,'Expenditure Breakdown'!$H$6:$H$202, "&lt;"&amp;M1)</f>
        <v>0</v>
      </c>
      <c r="M5" s="200">
        <f>SUMIFS('Expenditure Breakdown'!$G$6:$G$202, 'Expenditure Breakdown'!$H$6:$H$202, "&gt;="&amp;M1,'Expenditure Breakdown'!$H$6:$H$202, "&lt;"&amp;N1)</f>
        <v>0</v>
      </c>
      <c r="N5" s="200">
        <f>SUMIFS('Expenditure Breakdown'!$G$6:$G$202, 'Expenditure Breakdown'!$H$6:$H$202, "&gt;="&amp;N1,'Expenditure Breakdown'!$H$6:$H$202, "&lt;"&amp;O1)</f>
        <v>0</v>
      </c>
      <c r="O5" s="200">
        <f>SUMIFS('Expenditure Breakdown'!$G$6:$G$202, 'Expenditure Breakdown'!$H$6:$H$202, "&gt;="&amp;O1,'Expenditure Breakdown'!$H$6:$H$202, "&lt;"&amp;P1)</f>
        <v>0</v>
      </c>
      <c r="P5" s="200">
        <f>SUMIFS('Expenditure Breakdown'!$G$6:$G$202, 'Expenditure Breakdown'!$H$6:$H$202, "&gt;="&amp;P1,'Expenditure Breakdown'!$H$6:$H$202, "&lt;"&amp;Q1)</f>
        <v>0</v>
      </c>
      <c r="Q5" s="200">
        <f>SUMIFS('Expenditure Breakdown'!$G$6:$G$202, 'Expenditure Breakdown'!$H$6:$H$202, "&gt;="&amp;Q1,'Expenditure Breakdown'!$H$6:$H$202, "&lt;"&amp;R1)</f>
        <v>0</v>
      </c>
      <c r="R5" s="200">
        <f>SUMIFS('Expenditure Breakdown'!$G$6:$G$202, 'Expenditure Breakdown'!$H$6:$H$202, "&gt;="&amp;R1,'Expenditure Breakdown'!$H$6:$H$202, "&lt;"&amp;S1)</f>
        <v>0</v>
      </c>
      <c r="S5" s="200">
        <f>SUMIFS('Expenditure Breakdown'!$G$6:$G$202, 'Expenditure Breakdown'!$H$6:$H$202, "&gt;="&amp;S1,'Expenditure Breakdown'!$H$6:$H$202, "&lt;"&amp;T1)</f>
        <v>0</v>
      </c>
      <c r="T5" s="200">
        <f>SUMIFS('Expenditure Breakdown'!$G$6:$G$202, 'Expenditure Breakdown'!$H$6:$H$202, "&gt;="&amp;T1,'Expenditure Breakdown'!$H$6:$H$202, "&lt;"&amp;U1)</f>
        <v>0</v>
      </c>
      <c r="U5" s="200">
        <f>SUMIFS('Expenditure Breakdown'!$G$6:$G$202, 'Expenditure Breakdown'!$H$6:$H$202, "&gt;="&amp;U1,'Expenditure Breakdown'!$H$6:$H$202, "&lt;"&amp;V1)</f>
        <v>7875</v>
      </c>
      <c r="V5" s="200">
        <f>SUMIFS('Expenditure Breakdown'!$G$6:$G$202, 'Expenditure Breakdown'!$H$6:$H$202, "&gt;="&amp;V1,'Expenditure Breakdown'!$H$6:$H$202, "&lt;"&amp;W1)</f>
        <v>2000000</v>
      </c>
      <c r="W5" s="200">
        <f>SUMIFS('Expenditure Breakdown'!$G$6:$G$202, 'Expenditure Breakdown'!$H$6:$H$202, "&gt;="&amp;W1,'Expenditure Breakdown'!$H$6:$H$202, "&lt;"&amp;X1)</f>
        <v>0</v>
      </c>
      <c r="X5" s="200">
        <f>SUMIFS('Expenditure Breakdown'!$G$6:$G$202, 'Expenditure Breakdown'!$H$6:$H$202, "&gt;="&amp;X1,'Expenditure Breakdown'!$H$6:$H$202, "&lt;"&amp;Y1)</f>
        <v>0</v>
      </c>
      <c r="Y5" s="200">
        <f>SUMIFS('Expenditure Breakdown'!$G$6:$G$202, 'Expenditure Breakdown'!$H$6:$H$202, "&gt;="&amp;Y1,'Expenditure Breakdown'!$H$6:$H$202, "&lt;"&amp;Z1)</f>
        <v>0</v>
      </c>
      <c r="Z5" s="200">
        <f>SUMIFS('Expenditure Breakdown'!$G$6:$G$202, 'Expenditure Breakdown'!$H$6:$H$202, "&gt;="&amp;Z1,'Expenditure Breakdown'!$H$6:$H$202, "&lt;"&amp;AA1)</f>
        <v>0</v>
      </c>
      <c r="AA5" s="200">
        <f>SUMIFS('Expenditure Breakdown'!$G$6:$G$202, 'Expenditure Breakdown'!$H$6:$H$202, "&gt;="&amp;AA1,'Expenditure Breakdown'!$H$6:$H$202, "&lt;"&amp;AB1)</f>
        <v>0</v>
      </c>
      <c r="AB5" s="200">
        <f>SUMIFS('Expenditure Breakdown'!$G$6:$G$202, 'Expenditure Breakdown'!$H$6:$H$202, "&gt;="&amp;AB1,'Expenditure Breakdown'!$H$6:$H$202, "&lt;"&amp;AC1)</f>
        <v>0</v>
      </c>
      <c r="AC5" s="200">
        <f>SUMIFS('Expenditure Breakdown'!$G$6:$G$202, 'Expenditure Breakdown'!$H$6:$H$202, "&gt;="&amp;AC1,'Expenditure Breakdown'!$H$6:$H$202, "&lt;"&amp;AD1)</f>
        <v>0</v>
      </c>
      <c r="AD5" s="200">
        <f>SUMIFS('Expenditure Breakdown'!$G$6:$G$202, 'Expenditure Breakdown'!$H$6:$H$202, "&gt;="&amp;AD1,'Expenditure Breakdown'!$H$6:$H$202, "&lt;"&amp;AE1)</f>
        <v>0</v>
      </c>
      <c r="AE5" s="200">
        <f>SUMIFS('Expenditure Breakdown'!$G$6:$G$202, 'Expenditure Breakdown'!$H$6:$H$202, "&gt;="&amp;AE1,'Expenditure Breakdown'!$H$6:$H$202, "&lt;"&amp;AF1)</f>
        <v>0</v>
      </c>
      <c r="AF5" s="200">
        <f>SUMIFS('Expenditure Breakdown'!$G$6:$G$202, 'Expenditure Breakdown'!$H$6:$H$202, "&gt;="&amp;AF1,'Expenditure Breakdown'!$H$6:$H$202, "&lt;"&amp;AG1)</f>
        <v>94047</v>
      </c>
      <c r="AG5" s="200">
        <f>SUMIFS('Expenditure Breakdown'!$G$6:$G$202, 'Expenditure Breakdown'!$H$6:$H$202, "&gt;="&amp;AG1,'Expenditure Breakdown'!$H$6:$H$202, "&lt;"&amp;AH1)</f>
        <v>174000</v>
      </c>
      <c r="AH5" s="200">
        <f>SUMIFS('Expenditure Breakdown'!$G$6:$G$202, 'Expenditure Breakdown'!$H$6:$H$202, "&gt;="&amp;AH1,'Expenditure Breakdown'!$H$6:$H$202, "&lt;"&amp;AI1)</f>
        <v>0</v>
      </c>
      <c r="AI5" s="200">
        <f>SUMIFS('Expenditure Breakdown'!$G$6:$G$202, 'Expenditure Breakdown'!$H$6:$H$202, "&gt;="&amp;AI1,'Expenditure Breakdown'!$H$6:$H$202, "&lt;"&amp;AJ1)</f>
        <v>429616.5</v>
      </c>
      <c r="AJ5" s="200">
        <f>SUMIFS('Expenditure Breakdown'!$G$6:$G$202, 'Expenditure Breakdown'!$H$6:$H$202, "&gt;="&amp;AJ1,'Expenditure Breakdown'!$H$6:$H$202, "&lt;"&amp;AK1)</f>
        <v>0</v>
      </c>
      <c r="AK5" s="200">
        <f>SUMIFS('Expenditure Breakdown'!$G$6:$G$202, 'Expenditure Breakdown'!$H$6:$H$202, "&gt;="&amp;AK1,'Expenditure Breakdown'!$H$6:$H$202, "&lt;"&amp;AL1)</f>
        <v>1508752.87</v>
      </c>
      <c r="AL5" s="200">
        <f>SUMIFS('Expenditure Breakdown'!$G$6:$G$202, 'Expenditure Breakdown'!$H$6:$H$202, "&gt;="&amp;AL1,'Expenditure Breakdown'!$H$6:$H$202, "&lt;"&amp;AM1)</f>
        <v>0</v>
      </c>
      <c r="AM5" s="200">
        <f>SUMIFS('Expenditure Breakdown'!$G$6:$G$202, 'Expenditure Breakdown'!$H$6:$H$202, "&gt;="&amp;AM1,'Expenditure Breakdown'!$H$6:$H$202, "&lt;"&amp;AN1)</f>
        <v>0</v>
      </c>
      <c r="AN5" s="200">
        <f>SUMIFS('Expenditure Breakdown'!$G$6:$G$202, 'Expenditure Breakdown'!$H$6:$H$202, "&gt;="&amp;AN1,'Expenditure Breakdown'!$H$6:$H$202, "&lt;"&amp;AO1)</f>
        <v>0</v>
      </c>
      <c r="AO5" s="200">
        <f>SUMIFS('Expenditure Breakdown'!$G$6:$G$202, 'Expenditure Breakdown'!$H$6:$H$202, "&gt;="&amp;AO1,'Expenditure Breakdown'!$H$6:$H$202, "&lt;"&amp;AP1)</f>
        <v>1622111.84</v>
      </c>
      <c r="AP5" s="200">
        <f>SUMIFS('Expenditure Breakdown'!$G$6:$G$202, 'Expenditure Breakdown'!$H$6:$H$202, "&gt;="&amp;AP1,'Expenditure Breakdown'!$H$6:$H$202, "&lt;"&amp;AQ1)</f>
        <v>0</v>
      </c>
      <c r="AQ5" s="200">
        <f>SUMIFS('Expenditure Breakdown'!$G$6:$G$202, 'Expenditure Breakdown'!$H$6:$H$202, "&gt;="&amp;AQ1,'Expenditure Breakdown'!$H$6:$H$202, "&lt;"&amp;AR1)</f>
        <v>0</v>
      </c>
      <c r="AR5" s="200">
        <f>SUMIFS('Expenditure Breakdown'!$G$6:$G$202, 'Expenditure Breakdown'!$H$6:$H$202, "&gt;="&amp;AR1,'Expenditure Breakdown'!$H$6:$H$202, "&lt;"&amp;AS1)</f>
        <v>0</v>
      </c>
      <c r="AS5" s="200">
        <f>SUMIFS('Expenditure Breakdown'!$G$6:$G$202, 'Expenditure Breakdown'!$H$6:$H$202, "&gt;="&amp;AS1,'Expenditure Breakdown'!$H$6:$H$202, "&lt;"&amp;AT1)</f>
        <v>0</v>
      </c>
      <c r="AT5" s="200">
        <f>SUMIFS('Expenditure Breakdown'!$G$6:$G$202, 'Expenditure Breakdown'!$H$6:$H$202, "&gt;="&amp;AT1,'Expenditure Breakdown'!$H$6:$H$202, "&lt;"&amp;AU1)</f>
        <v>0</v>
      </c>
      <c r="AU5" s="200">
        <f>SUMIFS('Expenditure Breakdown'!$G$6:$G$202, 'Expenditure Breakdown'!$H$6:$H$202, "&gt;="&amp;AU1,'Expenditure Breakdown'!$H$6:$H$202, "&lt;"&amp;AV1)</f>
        <v>0</v>
      </c>
      <c r="AV5" s="200">
        <f>SUMIFS('Expenditure Breakdown'!$G$6:$G$202, 'Expenditure Breakdown'!$H$6:$H$202, "&gt;="&amp;AV1,'Expenditure Breakdown'!$H$6:$H$202, "&lt;"&amp;AW1)</f>
        <v>0</v>
      </c>
      <c r="AW5" s="200">
        <f>SUMIFS('Expenditure Breakdown'!$G$6:$G$202, 'Expenditure Breakdown'!$H$6:$H$202, "&gt;="&amp;AW1,'Expenditure Breakdown'!$H$6:$H$202, "&lt;"&amp;AX1)</f>
        <v>0</v>
      </c>
      <c r="AX5" s="200">
        <f>SUMIFS('Expenditure Breakdown'!$G$6:$G$202, 'Expenditure Breakdown'!$H$6:$H$202, "&gt;="&amp;AX1,'Expenditure Breakdown'!$H$6:$H$202, "&lt;"&amp;AY1)</f>
        <v>0</v>
      </c>
      <c r="AY5" s="200">
        <f>SUMIFS('Expenditure Breakdown'!$G$6:$G$202, 'Expenditure Breakdown'!$H$6:$H$202, "&gt;="&amp;AY1,'Expenditure Breakdown'!$H$6:$H$202, "&lt;"&amp;AZ1)</f>
        <v>0</v>
      </c>
      <c r="AZ5" s="200">
        <f>SUMIFS('Expenditure Breakdown'!$G$6:$G$202, 'Expenditure Breakdown'!$H$6:$H$202, "&gt;="&amp;AZ1,'Expenditure Breakdown'!$H$6:$H$202, "&lt;"&amp;BA1)</f>
        <v>0</v>
      </c>
      <c r="BA5" s="200">
        <f>SUMIFS('Expenditure Breakdown'!$G$6:$G$202, 'Expenditure Breakdown'!$H$6:$H$202, "&gt;="&amp;BA1,'Expenditure Breakdown'!$H$6:$H$202, "&lt;"&amp;BB1)</f>
        <v>0</v>
      </c>
      <c r="BB5" s="200">
        <f>SUMIFS('Expenditure Breakdown'!$G$6:$G$202, 'Expenditure Breakdown'!$H$6:$H$202, "&gt;="&amp;BB1,'Expenditure Breakdown'!$H$6:$H$202, "&lt;"&amp;BC1)</f>
        <v>0</v>
      </c>
      <c r="BC5" s="200">
        <f>SUMIFS('Expenditure Breakdown'!$G$6:$G$202, 'Expenditure Breakdown'!$H$6:$H$202, "&gt;="&amp;BC1,'Expenditure Breakdown'!$H$6:$H$202, "&lt;"&amp;BD1)</f>
        <v>0</v>
      </c>
      <c r="BD5" s="200">
        <f>SUMIFS('Expenditure Breakdown'!$G$6:$G$202, 'Expenditure Breakdown'!$H$6:$H$202, "&gt;="&amp;BD1,'Expenditure Breakdown'!$H$6:$H$202, "&lt;"&amp;BE1)</f>
        <v>0</v>
      </c>
      <c r="BE5" s="200">
        <f>SUMIFS('Expenditure Breakdown'!$G$6:$G$202, 'Expenditure Breakdown'!$H$6:$H$202, "&gt;="&amp;BE1,'Expenditure Breakdown'!$H$6:$H$202, "&lt;"&amp;BF1)</f>
        <v>0</v>
      </c>
      <c r="BF5" s="200">
        <f>SUMIFS('Expenditure Breakdown'!$G$6:$G$202, 'Expenditure Breakdown'!$H$6:$H$202, "&gt;="&amp;BF1,'Expenditure Breakdown'!$H$6:$H$202, "&lt;"&amp;BG1)</f>
        <v>0</v>
      </c>
      <c r="BG5" s="200">
        <f>SUMIFS('Expenditure Breakdown'!$G$6:$G$202, 'Expenditure Breakdown'!$H$6:$H$202, "&gt;="&amp;BG1,'Expenditure Breakdown'!$H$6:$H$202, "&lt;"&amp;BH1)</f>
        <v>0</v>
      </c>
      <c r="BH5" s="200">
        <f>SUMIFS('Expenditure Breakdown'!$G$6:$G$202, 'Expenditure Breakdown'!$H$6:$H$202, "&gt;="&amp;BH1,'Expenditure Breakdown'!$H$6:$H$202, "&lt;"&amp;BI1)</f>
        <v>0</v>
      </c>
      <c r="BI5" s="200">
        <f>SUMIFS('Expenditure Breakdown'!$G$6:$G$202, 'Expenditure Breakdown'!$H$6:$H$202, "&gt;="&amp;BI1,'Expenditure Breakdown'!$H$6:$H$202, "&lt;"&amp;BJ1)</f>
        <v>0</v>
      </c>
      <c r="BJ5" s="200">
        <f>SUMIFS('Expenditure Breakdown'!$G$6:$G$202, 'Expenditure Breakdown'!$H$6:$H$202, "&gt;="&amp;BJ1,'Expenditure Breakdown'!$H$6:$H$202, "&lt;"&amp;BK1)</f>
        <v>0</v>
      </c>
      <c r="BK5" s="200">
        <f>SUMIFS('Expenditure Breakdown'!$G$6:$G$202, 'Expenditure Breakdown'!$H$6:$H$202, "&gt;="&amp;BK1,'Expenditure Breakdown'!$H$6:$H$202, "&lt;"&amp;BL1)</f>
        <v>0</v>
      </c>
      <c r="BL5" s="200">
        <f>SUMIFS('Expenditure Breakdown'!$G$6:$G$202, 'Expenditure Breakdown'!$H$6:$H$202, "&gt;="&amp;BL1,'Expenditure Breakdown'!$H$6:$H$202, "&lt;"&amp;BM1)</f>
        <v>0</v>
      </c>
      <c r="BM5" s="200">
        <f>SUMIFS('Expenditure Breakdown'!$G$6:$G$202, 'Expenditure Breakdown'!$H$6:$H$202, "&gt;="&amp;BM1,'Expenditure Breakdown'!$H$6:$H$202, "&lt;"&amp;BN1)</f>
        <v>0</v>
      </c>
      <c r="BN5" s="200">
        <f>SUMIFS('Expenditure Breakdown'!$G$6:$G$202, 'Expenditure Breakdown'!$H$6:$H$202, "&gt;="&amp;BN1,'Expenditure Breakdown'!$H$6:$H$202, "&lt;"&amp;BO1)</f>
        <v>0</v>
      </c>
      <c r="BO5" s="200">
        <f>SUMIFS('Expenditure Breakdown'!$G$6:$G$202, 'Expenditure Breakdown'!$H$6:$H$202, "&gt;="&amp;BO1,'Expenditure Breakdown'!$H$6:$H$202, "&lt;"&amp;BP1)</f>
        <v>0</v>
      </c>
      <c r="BP5" s="200">
        <f>SUMIFS('Expenditure Breakdown'!$G$6:$G$202, 'Expenditure Breakdown'!$H$6:$H$202, "&gt;="&amp;BP1,'Expenditure Breakdown'!$H$6:$H$202, "&lt;"&amp;BQ1)</f>
        <v>0</v>
      </c>
      <c r="BQ5" s="200">
        <f>SUMIFS('Expenditure Breakdown'!$G$6:$G$202, 'Expenditure Breakdown'!$H$6:$H$202, "&gt;="&amp;BQ1,'Expenditure Breakdown'!$H$6:$H$202, "&lt;"&amp;BR1)</f>
        <v>0</v>
      </c>
      <c r="BR5" s="200">
        <f>SUMIFS('Expenditure Breakdown'!$G$6:$G$202, 'Expenditure Breakdown'!$H$6:$H$202, "&gt;="&amp;BR1,'Expenditure Breakdown'!$H$6:$H$202, "&lt;"&amp;BS1)</f>
        <v>0</v>
      </c>
      <c r="BS5" s="200">
        <f>SUMIFS('Expenditure Breakdown'!$G$6:$G$202, 'Expenditure Breakdown'!$H$6:$H$202, "&gt;="&amp;BS1,'Expenditure Breakdown'!$H$6:$H$202, "&lt;"&amp;BT1)</f>
        <v>0</v>
      </c>
      <c r="BT5" s="200">
        <f>SUMIFS('Expenditure Breakdown'!$G$6:$G$202, 'Expenditure Breakdown'!$H$6:$H$202, "&gt;="&amp;BT1,'Expenditure Breakdown'!$H$6:$H$202, "&lt;"&amp;BU1)</f>
        <v>0</v>
      </c>
      <c r="BU5" s="200">
        <f>SUMIFS('Expenditure Breakdown'!$G$6:$G$202, 'Expenditure Breakdown'!$H$6:$H$202, "&gt;="&amp;BU1,'Expenditure Breakdown'!$H$6:$H$202, "&lt;"&amp;BV1)</f>
        <v>0</v>
      </c>
      <c r="BV5" s="200">
        <f>SUMIFS('Expenditure Breakdown'!$G$6:$G$202, 'Expenditure Breakdown'!$H$6:$H$202, "&gt;="&amp;BV1,'Expenditure Breakdown'!$H$6:$H$202, "&lt;"&amp;BW1)</f>
        <v>0</v>
      </c>
      <c r="BW5" s="200">
        <f>SUMIFS('Expenditure Breakdown'!$G$6:$G$202, 'Expenditure Breakdown'!$H$6:$H$202, "&gt;="&amp;BW1,'Expenditure Breakdown'!$H$6:$H$202, "&lt;"&amp;BX1)</f>
        <v>0</v>
      </c>
      <c r="BX5" s="200">
        <f>SUMIFS('Expenditure Breakdown'!$G$6:$G$202, 'Expenditure Breakdown'!$H$6:$H$202, "&gt;="&amp;BX1,'Expenditure Breakdown'!$H$6:$H$202, "&lt;"&amp;BY1)</f>
        <v>0</v>
      </c>
      <c r="BY5" s="200">
        <f>SUMIFS('Expenditure Breakdown'!$G$6:$G$202, 'Expenditure Breakdown'!$H$6:$H$202, "&gt;="&amp;BY1,'Expenditure Breakdown'!$H$6:$H$202, "&lt;"&amp;BZ1)</f>
        <v>0</v>
      </c>
      <c r="BZ5" s="200">
        <f>SUMIFS('Expenditure Breakdown'!$G$6:$G$202, 'Expenditure Breakdown'!$H$6:$H$202, "&gt;="&amp;BZ1,'Expenditure Breakdown'!$H$6:$H$202, "&lt;"&amp;CA1)</f>
        <v>0</v>
      </c>
      <c r="CA5" s="200">
        <f>SUMIFS('Expenditure Breakdown'!$G$6:$G$202, 'Expenditure Breakdown'!$H$6:$H$202, "&gt;="&amp;CA1,'Expenditure Breakdown'!$H$6:$H$202, "&lt;"&amp;CB1)</f>
        <v>0</v>
      </c>
      <c r="CB5" s="200">
        <f>SUMIFS('Expenditure Breakdown'!$G$6:$G$202, 'Expenditure Breakdown'!$H$6:$H$202, "&gt;="&amp;CB1,'Expenditure Breakdown'!$H$6:$H$202, "&lt;"&amp;CC1)</f>
        <v>0</v>
      </c>
      <c r="CC5" s="200">
        <f>SUMIFS('Expenditure Breakdown'!$G$6:$G$202, 'Expenditure Breakdown'!$H$6:$H$202, "&gt;="&amp;CC1,'Expenditure Breakdown'!$H$6:$H$202, "&lt;"&amp;CD1)</f>
        <v>0</v>
      </c>
      <c r="CD5" s="200">
        <f>SUMIFS('Expenditure Breakdown'!$G$6:$G$202, 'Expenditure Breakdown'!$H$6:$H$202, "&gt;="&amp;CD1,'Expenditure Breakdown'!$H$6:$H$202, "&lt;"&amp;CE1)</f>
        <v>0</v>
      </c>
      <c r="CE5" s="200">
        <f>SUMIFS('Expenditure Breakdown'!$G$6:$G$202, 'Expenditure Breakdown'!$H$6:$H$202, "&gt;="&amp;CE1,'Expenditure Breakdown'!$H$6:$H$202, "&lt;"&amp;CF1)</f>
        <v>0</v>
      </c>
      <c r="CF5" s="200">
        <f>SUMIFS('Expenditure Breakdown'!$G$6:$G$202, 'Expenditure Breakdown'!$H$6:$H$202, "&gt;="&amp;CF1,'Expenditure Breakdown'!$H$6:$H$202, "&lt;"&amp;CG1)</f>
        <v>0</v>
      </c>
      <c r="CG5" s="200">
        <f>SUMIFS('Expenditure Breakdown'!$G$6:$G$202, 'Expenditure Breakdown'!$H$6:$H$202, "&gt;="&amp;CG1,'Expenditure Breakdown'!$H$6:$H$202, "&lt;"&amp;CH1)</f>
        <v>0</v>
      </c>
      <c r="CH5" s="200">
        <f>SUMIFS('Expenditure Breakdown'!$G$6:$G$202, 'Expenditure Breakdown'!$H$6:$H$202, "&gt;="&amp;CH1,'Expenditure Breakdown'!$H$6:$H$202, "&lt;"&amp;CI1)</f>
        <v>0</v>
      </c>
      <c r="CI5" s="200">
        <f>SUMIFS('Expenditure Breakdown'!$G$6:$G$202, 'Expenditure Breakdown'!$H$6:$H$202, "&gt;="&amp;CI1,'Expenditure Breakdown'!$H$6:$H$202, "&lt;"&amp;CJ1)</f>
        <v>0</v>
      </c>
      <c r="CJ5" s="200">
        <f>SUMIFS('Expenditure Breakdown'!$G$6:$G$202, 'Expenditure Breakdown'!$H$6:$H$202, "&gt;="&amp;CJ1,'Expenditure Breakdown'!$H$6:$H$202, "&lt;"&amp;CK1)</f>
        <v>0</v>
      </c>
      <c r="CK5" s="200">
        <f>SUMIFS('Expenditure Breakdown'!$G$6:$G$202, 'Expenditure Breakdown'!$H$6:$H$202, "&gt;="&amp;CK1,'Expenditure Breakdown'!$H$6:$H$202, "&lt;"&amp;CL1)</f>
        <v>0</v>
      </c>
      <c r="CL5" s="200">
        <f>SUMIFS('Expenditure Breakdown'!$G$6:$G$202, 'Expenditure Breakdown'!$H$6:$H$202, "&gt;="&amp;CL1,'Expenditure Breakdown'!$H$6:$H$202, "&lt;"&amp;CM1)</f>
        <v>0</v>
      </c>
      <c r="CM5" s="200">
        <f>SUMIFS('Expenditure Breakdown'!$G$6:$G$202, 'Expenditure Breakdown'!$H$6:$H$202, "&gt;="&amp;CM1,'Expenditure Breakdown'!$H$6:$H$202, "&lt;"&amp;CN1)</f>
        <v>0</v>
      </c>
      <c r="CN5" s="200">
        <f>SUMIFS('Expenditure Breakdown'!$G$6:$G$202, 'Expenditure Breakdown'!$H$6:$H$202, "&gt;="&amp;CN1,'Expenditure Breakdown'!$H$6:$H$202, "&lt;"&amp;CO1)</f>
        <v>0</v>
      </c>
      <c r="CO5" s="200">
        <f>SUMIFS('Expenditure Breakdown'!$G$6:$G$202, 'Expenditure Breakdown'!$H$6:$H$202, "&gt;="&amp;CO1,'Expenditure Breakdown'!$H$6:$H$202, "&lt;"&amp;CP1)</f>
        <v>0</v>
      </c>
      <c r="CP5" s="200">
        <f>SUMIFS('Expenditure Breakdown'!$G$6:$G$202, 'Expenditure Breakdown'!$H$6:$H$202, "&gt;="&amp;CP1,'Expenditure Breakdown'!$H$6:$H$202, "&lt;"&amp;CQ1)</f>
        <v>0</v>
      </c>
      <c r="CQ5" s="200">
        <f>SUMIFS('Expenditure Breakdown'!$G$6:$G$202, 'Expenditure Breakdown'!$H$6:$H$202, "&gt;="&amp;CQ1,'Expenditure Breakdown'!$H$6:$H$202, "&lt;"&amp;CR1)</f>
        <v>0</v>
      </c>
      <c r="CR5" s="200">
        <f>SUMIFS('Expenditure Breakdown'!$G$6:$G$202, 'Expenditure Breakdown'!$H$6:$H$202, "&gt;="&amp;CR1,'Expenditure Breakdown'!$H$6:$H$202, "&lt;"&amp;CS1)</f>
        <v>0</v>
      </c>
      <c r="CS5" s="200">
        <f>SUMIFS('Expenditure Breakdown'!$G$6:$G$202, 'Expenditure Breakdown'!$H$6:$H$202, "&gt;="&amp;CS1,'Expenditure Breakdown'!$H$6:$H$202, "&lt;"&amp;CT1)</f>
        <v>0</v>
      </c>
      <c r="CT5" s="200">
        <f>SUMIFS('Expenditure Breakdown'!$G$6:$G$202, 'Expenditure Breakdown'!$H$6:$H$202, "&gt;="&amp;CT1,'Expenditure Breakdown'!$H$6:$H$202, "&lt;"&amp;CU1)</f>
        <v>0</v>
      </c>
      <c r="CU5" s="200">
        <f>SUMIFS('Expenditure Breakdown'!$G$6:$G$202, 'Expenditure Breakdown'!$H$6:$H$202, "&gt;="&amp;CU1,'Expenditure Breakdown'!$H$6:$H$202, "&lt;"&amp;CV1)</f>
        <v>0</v>
      </c>
      <c r="CV5" s="200">
        <f>SUMIFS('Expenditure Breakdown'!$G$6:$G$202, 'Expenditure Breakdown'!$H$6:$H$202, "&gt;="&amp;CV1,'Expenditure Breakdown'!$H$6:$H$202, "&lt;"&amp;CW1)</f>
        <v>0</v>
      </c>
      <c r="CW5" s="200">
        <f>SUMIFS('Expenditure Breakdown'!$G$6:$G$202, 'Expenditure Breakdown'!$H$6:$H$202, "&gt;="&amp;CW1,'Expenditure Breakdown'!$H$6:$H$202, "&lt;"&amp;CX1)</f>
        <v>0</v>
      </c>
      <c r="CX5" s="200">
        <f>SUMIFS('Expenditure Breakdown'!$G$6:$G$202, 'Expenditure Breakdown'!$H$6:$H$202, "&gt;="&amp;CX1,'Expenditure Breakdown'!$H$6:$H$202, "&lt;"&amp;CY1)</f>
        <v>0</v>
      </c>
      <c r="CY5" s="200">
        <f>SUMIFS('Expenditure Breakdown'!$G$6:$G$202, 'Expenditure Breakdown'!$H$6:$H$202, "&gt;="&amp;CY1,'Expenditure Breakdown'!$H$6:$H$202, "&lt;"&amp;CZ1)</f>
        <v>0</v>
      </c>
      <c r="CZ5" s="200">
        <f>SUMIFS('Expenditure Breakdown'!$G$6:$G$202, 'Expenditure Breakdown'!$H$6:$H$202, "&gt;="&amp;CZ1,'Expenditure Breakdown'!$H$6:$H$202, "&lt;"&amp;DA1)</f>
        <v>0</v>
      </c>
      <c r="DA5" s="200">
        <f>SUMIFS('Expenditure Breakdown'!$G$6:$G$202, 'Expenditure Breakdown'!$H$6:$H$202, "&gt;="&amp;DA1,'Expenditure Breakdown'!$H$6:$H$202, "&lt;"&amp;DB1)</f>
        <v>0</v>
      </c>
      <c r="DB5" s="200">
        <f>SUMIFS('Expenditure Breakdown'!$G$6:$G$202, 'Expenditure Breakdown'!$H$6:$H$202, "&gt;="&amp;DB1,'Expenditure Breakdown'!$H$6:$H$202, "&lt;"&amp;DC1)</f>
        <v>0</v>
      </c>
      <c r="DC5" s="200">
        <f>SUMIFS('Expenditure Breakdown'!$G$6:$G$202, 'Expenditure Breakdown'!$H$6:$H$202, "&gt;="&amp;DC1,'Expenditure Breakdown'!$H$6:$H$202, "&lt;"&amp;DD1)</f>
        <v>0</v>
      </c>
      <c r="DD5" s="200">
        <f>SUMIFS('Expenditure Breakdown'!$G$6:$G$202, 'Expenditure Breakdown'!$H$6:$H$202, "&gt;="&amp;DD1,'Expenditure Breakdown'!$H$6:$H$202, "&lt;"&amp;DE1)</f>
        <v>0</v>
      </c>
      <c r="DE5" s="200">
        <f>SUMIFS('Expenditure Breakdown'!$G$6:$G$202, 'Expenditure Breakdown'!$H$6:$H$202, "&gt;="&amp;DE1,'Expenditure Breakdown'!$H$6:$H$202, "&lt;"&amp;DF1)</f>
        <v>0</v>
      </c>
      <c r="DF5" s="200">
        <f>SUMIFS('Expenditure Breakdown'!$G$6:$G$202, 'Expenditure Breakdown'!$H$6:$H$202, "&gt;="&amp;DF1,'Expenditure Breakdown'!$H$6:$H$202, "&lt;"&amp;DG1)</f>
        <v>0</v>
      </c>
      <c r="DG5" s="200">
        <f>SUMIFS('Expenditure Breakdown'!$G$6:$G$202, 'Expenditure Breakdown'!$H$6:$H$202, "&gt;="&amp;DG1,'Expenditure Breakdown'!$H$6:$H$202, "&lt;"&amp;DH1)</f>
        <v>0</v>
      </c>
      <c r="DH5" s="200">
        <f>SUMIFS('Expenditure Breakdown'!$G$6:$G$202, 'Expenditure Breakdown'!$H$6:$H$202, "&gt;="&amp;DH1,'Expenditure Breakdown'!$H$6:$H$202, "&lt;"&amp;DI1)</f>
        <v>0</v>
      </c>
      <c r="DI5" s="200">
        <f>SUMIFS('Expenditure Breakdown'!$G$6:$G$202, 'Expenditure Breakdown'!$H$6:$H$202, "&gt;="&amp;DI1,'Expenditure Breakdown'!$H$6:$H$202, "&lt;"&amp;DJ1)</f>
        <v>0</v>
      </c>
      <c r="DJ5" s="200">
        <f>SUMIFS('Expenditure Breakdown'!$G$6:$G$202, 'Expenditure Breakdown'!$H$6:$H$202, "&gt;="&amp;DJ1,'Expenditure Breakdown'!$H$6:$H$202, "&lt;"&amp;DK1)</f>
        <v>0</v>
      </c>
      <c r="DK5" s="200">
        <f>SUMIFS('Expenditure Breakdown'!$G$6:$G$202, 'Expenditure Breakdown'!$H$6:$H$202, "&gt;="&amp;DK1,'Expenditure Breakdown'!$H$6:$H$202, "&lt;"&amp;DL1)</f>
        <v>0</v>
      </c>
      <c r="DL5" s="200">
        <f>SUMIFS('Expenditure Breakdown'!$G$6:$G$202, 'Expenditure Breakdown'!$H$6:$H$202, "&gt;="&amp;DL1,'Expenditure Breakdown'!$H$6:$H$202, "&lt;"&amp;DM1)</f>
        <v>0</v>
      </c>
      <c r="DM5" s="200">
        <f>SUMIFS('Expenditure Breakdown'!$G$6:$G$202, 'Expenditure Breakdown'!$H$6:$H$202, "&gt;="&amp;DM1,'Expenditure Breakdown'!$H$6:$H$202, "&lt;"&amp;DN1)</f>
        <v>0</v>
      </c>
      <c r="DN5" s="200">
        <f>SUMIFS('Expenditure Breakdown'!$G$6:$G$202, 'Expenditure Breakdown'!$H$6:$H$202, "&gt;="&amp;DN1,'Expenditure Breakdown'!$H$6:$H$202, "&lt;"&amp;DO1)</f>
        <v>0</v>
      </c>
      <c r="DO5" s="200">
        <f>SUMIFS('Expenditure Breakdown'!$G$6:$G$202, 'Expenditure Breakdown'!$H$6:$H$202, "&gt;="&amp;DO1,'Expenditure Breakdown'!$H$6:$H$202, "&lt;"&amp;DP1)</f>
        <v>0</v>
      </c>
      <c r="DP5" s="200">
        <f>SUMIFS('Expenditure Breakdown'!$G$6:$G$202, 'Expenditure Breakdown'!$H$6:$H$202, "&gt;="&amp;DP1,'Expenditure Breakdown'!$H$6:$H$202, "&lt;"&amp;DQ1)</f>
        <v>0</v>
      </c>
      <c r="DQ5" s="200">
        <f>SUMIFS('Expenditure Breakdown'!$G$6:$G$202, 'Expenditure Breakdown'!$H$6:$H$202, "&gt;="&amp;DQ1,'Expenditure Breakdown'!$H$6:$H$202, "&lt;"&amp;DR1)</f>
        <v>0</v>
      </c>
      <c r="DR5" s="200">
        <f>SUMIFS('Expenditure Breakdown'!$G$6:$G$202, 'Expenditure Breakdown'!$H$6:$H$202, "&gt;="&amp;DR1,'Expenditure Breakdown'!$H$6:$H$202, "&lt;"&amp;DS1)</f>
        <v>0</v>
      </c>
      <c r="DS5" s="200">
        <f>SUMIFS('Expenditure Breakdown'!$G$6:$G$202, 'Expenditure Breakdown'!$H$6:$H$202, "&gt;="&amp;DS1,'Expenditure Breakdown'!$H$6:$H$202, "&lt;"&amp;DT1)</f>
        <v>0</v>
      </c>
      <c r="DT5" s="200">
        <f>SUMIFS('Expenditure Breakdown'!$G$6:$G$202, 'Expenditure Breakdown'!$H$6:$H$202, "&gt;="&amp;DT1,'Expenditure Breakdown'!$H$6:$H$202, "&lt;"&amp;DU1)</f>
        <v>0</v>
      </c>
      <c r="DU5" s="200">
        <f>SUMIFS('Expenditure Breakdown'!$G$6:$G$202, 'Expenditure Breakdown'!$H$6:$H$202, "&gt;="&amp;DU1,'Expenditure Breakdown'!$H$6:$H$202, "&lt;"&amp;DV1)</f>
        <v>0</v>
      </c>
      <c r="DV5" s="200">
        <f>SUMIFS('Expenditure Breakdown'!$G$6:$G$202, 'Expenditure Breakdown'!$H$6:$H$202, "&gt;="&amp;DV1,'Expenditure Breakdown'!$H$6:$H$202, "&lt;"&amp;DW1)</f>
        <v>0</v>
      </c>
      <c r="DW5" s="200">
        <f>SUMIFS('Expenditure Breakdown'!$G$6:$G$202, 'Expenditure Breakdown'!$H$6:$H$202, "&gt;="&amp;DW1,'Expenditure Breakdown'!$H$6:$H$202, "&lt;"&amp;DX1)</f>
        <v>0</v>
      </c>
      <c r="DX5" s="200">
        <f>SUMIFS('Expenditure Breakdown'!$G$6:$G$202, 'Expenditure Breakdown'!$H$6:$H$202, "&gt;="&amp;DX1,'Expenditure Breakdown'!$H$6:$H$202, "&lt;"&amp;DY1)</f>
        <v>0</v>
      </c>
      <c r="DY5" s="200">
        <f>SUMIFS('Expenditure Breakdown'!$G$6:$G$202, 'Expenditure Breakdown'!$H$6:$H$202, "&gt;="&amp;DY1,'Expenditure Breakdown'!$H$6:$H$202, "&lt;"&amp;DZ1)</f>
        <v>0</v>
      </c>
      <c r="DZ5" s="200">
        <f>SUMIFS('Expenditure Breakdown'!$G$6:$G$202, 'Expenditure Breakdown'!$H$6:$H$202, "&gt;="&amp;DZ1,'Expenditure Breakdown'!$H$6:$H$202, "&lt;"&amp;EA1)</f>
        <v>0</v>
      </c>
      <c r="EA5" s="200">
        <f>SUMIFS('Expenditure Breakdown'!$G$6:$G$202, 'Expenditure Breakdown'!$H$6:$H$202, "&gt;="&amp;EA1,'Expenditure Breakdown'!$H$6:$H$202, "&lt;"&amp;EB1)</f>
        <v>0</v>
      </c>
      <c r="EB5" s="200">
        <f>SUMIFS('Expenditure Breakdown'!$G$6:$G$202, 'Expenditure Breakdown'!$H$6:$H$202, "&gt;="&amp;EB1,'Expenditure Breakdown'!$H$6:$H$202, "&lt;"&amp;EC1)</f>
        <v>0</v>
      </c>
      <c r="EC5" s="200">
        <f>SUMIFS('Expenditure Breakdown'!$G$6:$G$202, 'Expenditure Breakdown'!$H$6:$H$202, "&gt;="&amp;EC1,'Expenditure Breakdown'!$H$6:$H$202, "&lt;"&amp;ED1)</f>
        <v>0</v>
      </c>
      <c r="ED5" s="200">
        <f>SUMIFS('Expenditure Breakdown'!$G$6:$G$202, 'Expenditure Breakdown'!$H$6:$H$202, "&gt;="&amp;ED1,'Expenditure Breakdown'!$H$6:$H$202, "&lt;"&amp;EE1)</f>
        <v>0</v>
      </c>
      <c r="EE5" s="200">
        <f>SUMIFS('Expenditure Breakdown'!$G$6:$G$202, 'Expenditure Breakdown'!$H$6:$H$202, "&gt;="&amp;EE1,'Expenditure Breakdown'!$H$6:$H$202, "&lt;"&amp;EF1)</f>
        <v>0</v>
      </c>
      <c r="EF5" s="200">
        <f>SUMIFS('Expenditure Breakdown'!$G$6:$G$202, 'Expenditure Breakdown'!$H$6:$H$202, "&gt;="&amp;EF1,'Expenditure Breakdown'!$H$6:$H$202, "&lt;"&amp;EG1)</f>
        <v>0</v>
      </c>
      <c r="EG5" s="200">
        <f>SUMIFS('Expenditure Breakdown'!$G$6:$G$202, 'Expenditure Breakdown'!$H$6:$H$202, "&gt;="&amp;EG1,'Expenditure Breakdown'!$H$6:$H$202, "&lt;"&amp;EH1)</f>
        <v>0</v>
      </c>
      <c r="EH5" s="200">
        <f>SUMIFS('Expenditure Breakdown'!$G$6:$G$202, 'Expenditure Breakdown'!$H$6:$H$202, "&gt;="&amp;EH1,'Expenditure Breakdown'!$H$6:$H$202, "&lt;"&amp;EI1)</f>
        <v>0</v>
      </c>
      <c r="EI5" s="200">
        <f>SUMIFS('Expenditure Breakdown'!$G$6:$G$202, 'Expenditure Breakdown'!$H$6:$H$202, "&gt;="&amp;EI1,'Expenditure Breakdown'!$H$6:$H$202, "&lt;"&amp;EJ1)</f>
        <v>0</v>
      </c>
      <c r="EJ5" s="200">
        <f>SUMIFS('Expenditure Breakdown'!$G$6:$G$202, 'Expenditure Breakdown'!$H$6:$H$202, "&gt;="&amp;EJ1,'Expenditure Breakdown'!$H$6:$H$202, "&lt;"&amp;EK1)</f>
        <v>0</v>
      </c>
      <c r="EK5" s="200">
        <f>SUMIFS('Expenditure Breakdown'!$G$6:$G$202, 'Expenditure Breakdown'!$H$6:$H$202, "&gt;="&amp;EK1,'Expenditure Breakdown'!$H$6:$H$202, "&lt;"&amp;EL1)</f>
        <v>0</v>
      </c>
      <c r="EL5" s="200">
        <f>SUMIFS('Expenditure Breakdown'!$G$6:$G$202, 'Expenditure Breakdown'!$H$6:$H$202, "&gt;="&amp;EL1,'Expenditure Breakdown'!$H$6:$H$202, "&lt;"&amp;EM1)</f>
        <v>0</v>
      </c>
      <c r="EM5" s="200">
        <f>SUMIFS('Expenditure Breakdown'!$G$6:$G$202, 'Expenditure Breakdown'!$H$6:$H$202, "&gt;="&amp;EM1,'Expenditure Breakdown'!$H$6:$H$202, "&lt;"&amp;EN1)</f>
        <v>0</v>
      </c>
      <c r="EN5" s="200">
        <f>SUMIFS('Expenditure Breakdown'!$G$6:$G$202, 'Expenditure Breakdown'!$H$6:$H$202, "&gt;="&amp;EN1,'Expenditure Breakdown'!$H$6:$H$202, "&lt;"&amp;EO1)</f>
        <v>0</v>
      </c>
      <c r="EO5" s="200">
        <f>SUMIFS('Expenditure Breakdown'!$G$6:$G$202, 'Expenditure Breakdown'!$H$6:$H$202, "&gt;="&amp;EO1,'Expenditure Breakdown'!$H$6:$H$202, "&lt;"&amp;EP1)</f>
        <v>0</v>
      </c>
      <c r="EP5" s="200">
        <f>SUMIFS('Expenditure Breakdown'!$G$6:$G$202, 'Expenditure Breakdown'!$H$6:$H$202, "&gt;="&amp;EP1,'Expenditure Breakdown'!$H$6:$H$202, "&lt;"&amp;EQ1)</f>
        <v>0</v>
      </c>
      <c r="EQ5" s="200">
        <f>SUMIFS('Expenditure Breakdown'!$G$6:$G$202, 'Expenditure Breakdown'!$H$6:$H$202, "&gt;="&amp;EQ1,'Expenditure Breakdown'!$H$6:$H$202, "&lt;"&amp;ER1)</f>
        <v>0</v>
      </c>
      <c r="ER5" s="200">
        <f>SUMIFS('Expenditure Breakdown'!$G$6:$G$202, 'Expenditure Breakdown'!$H$6:$H$202, "&gt;="&amp;ER1,'Expenditure Breakdown'!$H$6:$H$202, "&lt;"&amp;ES1)</f>
        <v>0</v>
      </c>
      <c r="ES5" s="200">
        <f>SUMIFS('Expenditure Breakdown'!$G$6:$G$202, 'Expenditure Breakdown'!$H$6:$H$202, "&gt;="&amp;ES1,'Expenditure Breakdown'!$H$6:$H$202, "&lt;"&amp;ET1)</f>
        <v>0</v>
      </c>
      <c r="ET5" s="200">
        <f>SUMIFS('Expenditure Breakdown'!$G$6:$G$202, 'Expenditure Breakdown'!$H$6:$H$202, "&gt;="&amp;ET1,'Expenditure Breakdown'!$H$6:$H$202, "&lt;"&amp;EU1)</f>
        <v>0</v>
      </c>
      <c r="EU5" s="200">
        <f>SUMIFS('Expenditure Breakdown'!$G$6:$G$202, 'Expenditure Breakdown'!$H$6:$H$202, "&gt;="&amp;EU1,'Expenditure Breakdown'!$H$6:$H$202, "&lt;"&amp;EV1)</f>
        <v>0</v>
      </c>
      <c r="EV5" s="200">
        <f>SUMIFS('Expenditure Breakdown'!$G$6:$G$202, 'Expenditure Breakdown'!$H$6:$H$202, "&gt;="&amp;EV1,'Expenditure Breakdown'!$H$6:$H$202, "&lt;"&amp;EW1)</f>
        <v>0</v>
      </c>
      <c r="EW5" s="200">
        <f>SUMIFS('Expenditure Breakdown'!$G$6:$G$202, 'Expenditure Breakdown'!$H$6:$H$202, "&gt;="&amp;EW1,'Expenditure Breakdown'!$H$6:$H$202, "&lt;"&amp;EX1)</f>
        <v>0</v>
      </c>
      <c r="EX5" s="200">
        <f>SUMIFS('Expenditure Breakdown'!$G$6:$G$202, 'Expenditure Breakdown'!$H$6:$H$202, "&gt;="&amp;EX1,'Expenditure Breakdown'!$H$6:$H$202, "&lt;"&amp;EY1)</f>
        <v>0</v>
      </c>
      <c r="EY5" s="200">
        <f>SUMIFS('Expenditure Breakdown'!$G$6:$G$202, 'Expenditure Breakdown'!$H$6:$H$202, "&gt;="&amp;EY1,'Expenditure Breakdown'!$H$6:$H$202, "&lt;"&amp;EZ1)</f>
        <v>0</v>
      </c>
      <c r="EZ5" s="200">
        <f>SUMIFS('Expenditure Breakdown'!$G$6:$G$202, 'Expenditure Breakdown'!$H$6:$H$202, "&gt;="&amp;EZ1,'Expenditure Breakdown'!$H$6:$H$202, "&lt;"&amp;FA1)</f>
        <v>0</v>
      </c>
      <c r="FA5" s="200">
        <f>SUMIFS('Expenditure Breakdown'!$G$6:$G$202, 'Expenditure Breakdown'!$H$6:$H$202, "&gt;="&amp;FA1,'Expenditure Breakdown'!$H$6:$H$202, "&lt;"&amp;FB1)</f>
        <v>0</v>
      </c>
      <c r="FB5" s="200">
        <f>SUMIFS('Expenditure Breakdown'!$G$6:$G$202, 'Expenditure Breakdown'!$H$6:$H$202, "&gt;="&amp;FB1,'Expenditure Breakdown'!$H$6:$H$202, "&lt;"&amp;FC1)</f>
        <v>0</v>
      </c>
      <c r="FC5" s="200">
        <f>SUMIFS('Expenditure Breakdown'!$G$6:$G$202, 'Expenditure Breakdown'!$H$6:$H$202, "&gt;="&amp;FC1,'Expenditure Breakdown'!$H$6:$H$202, "&lt;"&amp;FD1)</f>
        <v>0</v>
      </c>
      <c r="FD5" s="200">
        <f>SUMIFS('Expenditure Breakdown'!$G$6:$G$202, 'Expenditure Breakdown'!$H$6:$H$202, "&gt;="&amp;FD1,'Expenditure Breakdown'!$H$6:$H$202, "&lt;"&amp;FE1)</f>
        <v>0</v>
      </c>
      <c r="FE5" s="200">
        <f>SUMIFS('Expenditure Breakdown'!$G$6:$G$202, 'Expenditure Breakdown'!$H$6:$H$202, "&gt;="&amp;FE1,'Expenditure Breakdown'!$H$6:$H$202, "&lt;"&amp;FF1)</f>
        <v>0</v>
      </c>
      <c r="FF5" s="200">
        <f>SUMIFS('Expenditure Breakdown'!$G$6:$G$202, 'Expenditure Breakdown'!$H$6:$H$202, "&gt;="&amp;FF1,'Expenditure Breakdown'!$H$6:$H$202, "&lt;"&amp;FG1)</f>
        <v>0</v>
      </c>
      <c r="FG5" s="200">
        <f>SUMIFS('Expenditure Breakdown'!$G$6:$G$202, 'Expenditure Breakdown'!$H$6:$H$202, "&gt;="&amp;FG1,'Expenditure Breakdown'!$H$6:$H$202, "&lt;"&amp;FH1)</f>
        <v>0</v>
      </c>
      <c r="FH5" s="200">
        <f>SUMIFS('Expenditure Breakdown'!$G$6:$G$202, 'Expenditure Breakdown'!$H$6:$H$202, "&gt;="&amp;FH1,'Expenditure Breakdown'!$H$6:$H$202, "&lt;"&amp;FI1)</f>
        <v>0</v>
      </c>
      <c r="FI5" s="200">
        <f>SUMIFS('Expenditure Breakdown'!$G$6:$G$202, 'Expenditure Breakdown'!$H$6:$H$202, "&gt;="&amp;FI1,'Expenditure Breakdown'!$H$6:$H$202, "&lt;"&amp;FJ1)</f>
        <v>0</v>
      </c>
      <c r="FJ5" s="200">
        <f>SUMIFS('Expenditure Breakdown'!$G$6:$G$202, 'Expenditure Breakdown'!$H$6:$H$202, "&gt;="&amp;FJ1,'Expenditure Breakdown'!$H$6:$H$202, "&lt;"&amp;FK1)</f>
        <v>0</v>
      </c>
      <c r="FK5" s="200">
        <f>SUMIFS('Expenditure Breakdown'!$G$6:$G$202, 'Expenditure Breakdown'!$H$6:$H$202, "&gt;="&amp;FK1,'Expenditure Breakdown'!$H$6:$H$202, "&lt;"&amp;FL1)</f>
        <v>0</v>
      </c>
      <c r="FL5" s="200">
        <f>SUMIFS('Expenditure Breakdown'!$G$6:$G$202, 'Expenditure Breakdown'!$H$6:$H$202, "&gt;="&amp;FL1,'Expenditure Breakdown'!$H$6:$H$202, "&lt;"&amp;FM1)</f>
        <v>0</v>
      </c>
      <c r="FM5" s="200">
        <f>SUMIFS('Expenditure Breakdown'!$G$6:$G$202, 'Expenditure Breakdown'!$H$6:$H$202, "&gt;="&amp;FM1,'Expenditure Breakdown'!$H$6:$H$202, "&lt;"&amp;FN1)</f>
        <v>0</v>
      </c>
      <c r="FN5" s="200">
        <f>SUMIFS('Expenditure Breakdown'!$G$6:$G$202, 'Expenditure Breakdown'!$H$6:$H$202, "&gt;="&amp;FN1,'Expenditure Breakdown'!$H$6:$H$202, "&lt;"&amp;FO1)</f>
        <v>0</v>
      </c>
      <c r="FO5" s="200">
        <f>SUMIFS('Expenditure Breakdown'!$G$6:$G$202, 'Expenditure Breakdown'!$H$6:$H$202, "&gt;="&amp;FO1,'Expenditure Breakdown'!$H$6:$H$202, "&lt;"&amp;FP1)</f>
        <v>0</v>
      </c>
      <c r="FP5" s="200">
        <f>SUMIFS('Expenditure Breakdown'!$G$6:$G$202, 'Expenditure Breakdown'!$H$6:$H$202, "&gt;="&amp;FP1,'Expenditure Breakdown'!$H$6:$H$202, "&lt;"&amp;FQ1)</f>
        <v>0</v>
      </c>
      <c r="FQ5" s="200">
        <f>SUMIFS('Expenditure Breakdown'!$G$6:$G$202, 'Expenditure Breakdown'!$H$6:$H$202, "&gt;="&amp;FQ1,'Expenditure Breakdown'!$H$6:$H$202, "&lt;"&amp;FR1)</f>
        <v>0</v>
      </c>
      <c r="FR5" s="200">
        <f>SUMIFS('Expenditure Breakdown'!$G$6:$G$202, 'Expenditure Breakdown'!$H$6:$H$202, "&gt;="&amp;FR1,'Expenditure Breakdown'!$H$6:$H$202, "&lt;"&amp;FS1)</f>
        <v>0</v>
      </c>
      <c r="FS5" s="200">
        <f>SUMIFS('Expenditure Breakdown'!$G$6:$G$202, 'Expenditure Breakdown'!$H$6:$H$202, "&gt;="&amp;FS1,'Expenditure Breakdown'!$H$6:$H$202, "&lt;"&amp;FT1)</f>
        <v>0</v>
      </c>
      <c r="FT5" s="200">
        <f>SUMIFS('Expenditure Breakdown'!$G$6:$G$202, 'Expenditure Breakdown'!$H$6:$H$202, "&gt;="&amp;FT1,'Expenditure Breakdown'!$H$6:$H$202, "&lt;"&amp;FU1)</f>
        <v>0</v>
      </c>
      <c r="FU5" s="200">
        <f>SUMIFS('Expenditure Breakdown'!$G$6:$G$202, 'Expenditure Breakdown'!$H$6:$H$202, "&gt;="&amp;FU1,'Expenditure Breakdown'!$H$6:$H$202, "&lt;"&amp;FV1)</f>
        <v>0</v>
      </c>
      <c r="FV5" s="200">
        <f>SUMIFS('Expenditure Breakdown'!$G$6:$G$202, 'Expenditure Breakdown'!$H$6:$H$202, "&gt;="&amp;FV1,'Expenditure Breakdown'!$H$6:$H$202, "&lt;"&amp;FW1)</f>
        <v>0</v>
      </c>
      <c r="FW5" s="200">
        <f>SUMIFS('Expenditure Breakdown'!$G$6:$G$202, 'Expenditure Breakdown'!$H$6:$H$202, "&gt;="&amp;FW1,'Expenditure Breakdown'!$H$6:$H$202, "&lt;"&amp;FX1)</f>
        <v>0</v>
      </c>
      <c r="FX5" s="200">
        <f>SUMIFS('Expenditure Breakdown'!$G$6:$G$202, 'Expenditure Breakdown'!$H$6:$H$202, "&gt;="&amp;FX1,'Expenditure Breakdown'!$H$6:$H$202, "&lt;"&amp;FY1)</f>
        <v>0</v>
      </c>
      <c r="FY5" s="200">
        <f>SUMIFS('Expenditure Breakdown'!$G$6:$G$202, 'Expenditure Breakdown'!$H$6:$H$202, "&gt;="&amp;FY1,'Expenditure Breakdown'!$H$6:$H$202, "&lt;"&amp;FZ1)</f>
        <v>0</v>
      </c>
      <c r="FZ5" s="200">
        <f>SUMIFS('Expenditure Breakdown'!$G$6:$G$202, 'Expenditure Breakdown'!$H$6:$H$202, "&gt;="&amp;FZ1,'Expenditure Breakdown'!$H$6:$H$202, "&lt;"&amp;GA1)</f>
        <v>0</v>
      </c>
      <c r="GA5" s="200">
        <f>SUMIFS('Expenditure Breakdown'!$G$6:$G$202, 'Expenditure Breakdown'!$H$6:$H$202, "&gt;="&amp;GA1,'Expenditure Breakdown'!$H$6:$H$202, "&lt;"&amp;GB1)</f>
        <v>0</v>
      </c>
      <c r="GB5" s="200">
        <f>SUMIFS('Expenditure Breakdown'!$G$6:$G$202, 'Expenditure Breakdown'!$H$6:$H$202, "&gt;="&amp;GB1,'Expenditure Breakdown'!$H$6:$H$202, "&lt;"&amp;GC1)</f>
        <v>0</v>
      </c>
      <c r="GC5" s="200">
        <f>SUMIFS('Expenditure Breakdown'!$G$6:$G$202, 'Expenditure Breakdown'!$H$6:$H$202, "&gt;="&amp;GC1,'Expenditure Breakdown'!$H$6:$H$202, "&lt;"&amp;GD1)</f>
        <v>0</v>
      </c>
      <c r="GD5" s="200">
        <f>SUMIFS('Expenditure Breakdown'!$G$6:$G$202, 'Expenditure Breakdown'!$H$6:$H$202, "&gt;="&amp;GD1,'Expenditure Breakdown'!$H$6:$H$202, "&lt;"&amp;GE1)</f>
        <v>0</v>
      </c>
      <c r="GE5" s="200">
        <f>SUMIFS('Expenditure Breakdown'!$G$6:$G$202, 'Expenditure Breakdown'!$H$6:$H$202, "&gt;="&amp;GE1,'Expenditure Breakdown'!$H$6:$H$202, "&lt;"&amp;GF1)</f>
        <v>0</v>
      </c>
      <c r="GF5" s="200">
        <f>SUMIFS('Expenditure Breakdown'!$G$6:$G$202, 'Expenditure Breakdown'!$H$6:$H$202, "&gt;="&amp;GF1,'Expenditure Breakdown'!$H$6:$H$202, "&lt;"&amp;GG1)</f>
        <v>0</v>
      </c>
      <c r="GG5" s="200">
        <f>SUMIFS('Expenditure Breakdown'!$G$6:$G$202, 'Expenditure Breakdown'!$H$6:$H$202, "&gt;="&amp;GG1,'Expenditure Breakdown'!$H$6:$H$202, "&lt;"&amp;GH1)</f>
        <v>0</v>
      </c>
      <c r="GH5" s="200">
        <f>SUMIFS('Expenditure Breakdown'!$G$6:$G$202, 'Expenditure Breakdown'!$H$6:$H$202, "&gt;="&amp;GH1,'Expenditure Breakdown'!$H$6:$H$202, "&lt;"&amp;GI1)</f>
        <v>0</v>
      </c>
      <c r="GI5" s="200">
        <f>SUMIFS('Expenditure Breakdown'!$G$6:$G$202, 'Expenditure Breakdown'!$H$6:$H$202, "&gt;="&amp;GI1,'Expenditure Breakdown'!$H$6:$H$202, "&lt;"&amp;GJ1)</f>
        <v>0</v>
      </c>
      <c r="GJ5" s="200">
        <f>SUMIFS('Expenditure Breakdown'!$G$6:$G$202, 'Expenditure Breakdown'!$H$6:$H$202, "&gt;="&amp;GJ1,'Expenditure Breakdown'!$H$6:$H$202, "&lt;"&amp;GK1)</f>
        <v>0</v>
      </c>
      <c r="GK5" s="200">
        <f>SUMIFS('Expenditure Breakdown'!$G$6:$G$202, 'Expenditure Breakdown'!$H$6:$H$202, "&gt;="&amp;GK1,'Expenditure Breakdown'!$H$6:$H$202, "&lt;"&amp;GL1)</f>
        <v>0</v>
      </c>
      <c r="GL5" s="200">
        <f>SUMIFS('Expenditure Breakdown'!$G$6:$G$202, 'Expenditure Breakdown'!$H$6:$H$202, "&gt;="&amp;GL1,'Expenditure Breakdown'!$H$6:$H$202, "&lt;"&amp;GM1)</f>
        <v>0</v>
      </c>
      <c r="GM5" s="200">
        <f>SUMIFS('Expenditure Breakdown'!$G$6:$G$202, 'Expenditure Breakdown'!$H$6:$H$202, "&gt;="&amp;GM1,'Expenditure Breakdown'!$H$6:$H$202, "&lt;"&amp;GN1)</f>
        <v>0</v>
      </c>
      <c r="GN5" s="200">
        <f>SUMIFS('Expenditure Breakdown'!$G$6:$G$202, 'Expenditure Breakdown'!$H$6:$H$202, "&gt;="&amp;GN1,'Expenditure Breakdown'!$H$6:$H$202, "&lt;"&amp;GO1)</f>
        <v>0</v>
      </c>
      <c r="GO5" s="200">
        <f>SUMIFS('Expenditure Breakdown'!$G$6:$G$202, 'Expenditure Breakdown'!$H$6:$H$202, "&gt;="&amp;GO1,'Expenditure Breakdown'!$H$6:$H$202, "&lt;"&amp;GP1)</f>
        <v>0</v>
      </c>
      <c r="GP5" s="200">
        <f>SUMIFS('Expenditure Breakdown'!$G$6:$G$202, 'Expenditure Breakdown'!$H$6:$H$202, "&gt;="&amp;GP1,'Expenditure Breakdown'!$H$6:$H$202, "&lt;"&amp;GQ1)</f>
        <v>0</v>
      </c>
      <c r="GQ5" s="200">
        <f>SUMIFS('Expenditure Breakdown'!$G$6:$G$202, 'Expenditure Breakdown'!$H$6:$H$202, "&gt;="&amp;GQ1,'Expenditure Breakdown'!$H$6:$H$202, "&lt;"&amp;GR1)</f>
        <v>0</v>
      </c>
      <c r="GR5" s="200">
        <f>SUMIFS('Expenditure Breakdown'!$G$6:$G$202, 'Expenditure Breakdown'!$H$6:$H$202, "&gt;="&amp;GR1,'Expenditure Breakdown'!$H$6:$H$202, "&lt;"&amp;GS1)</f>
        <v>0</v>
      </c>
      <c r="GS5" s="200">
        <f>SUMIFS('Expenditure Breakdown'!$G$6:$G$202, 'Expenditure Breakdown'!$H$6:$H$202, "&gt;="&amp;GS1,'Expenditure Breakdown'!$H$6:$H$202, "&lt;"&amp;GT1)</f>
        <v>0</v>
      </c>
      <c r="GT5" s="200">
        <f>SUMIFS('Expenditure Breakdown'!$G$6:$G$202, 'Expenditure Breakdown'!$H$6:$H$202, "&gt;="&amp;GT1,'Expenditure Breakdown'!$H$6:$H$202, "&lt;"&amp;GU1)</f>
        <v>0</v>
      </c>
      <c r="GU5" s="200">
        <f>SUMIFS('Expenditure Breakdown'!$G$6:$G$202, 'Expenditure Breakdown'!$H$6:$H$202, "&gt;="&amp;GU1,'Expenditure Breakdown'!$H$6:$H$202, "&lt;"&amp;GV1)</f>
        <v>0</v>
      </c>
      <c r="GV5" s="200">
        <f>SUMIFS('Expenditure Breakdown'!$G$6:$G$202, 'Expenditure Breakdown'!$H$6:$H$202, "&gt;="&amp;GV1,'Expenditure Breakdown'!$H$6:$H$202, "&lt;"&amp;GW1)</f>
        <v>0</v>
      </c>
      <c r="GW5" s="200">
        <f>SUMIFS('Expenditure Breakdown'!$G$6:$G$202, 'Expenditure Breakdown'!$H$6:$H$202, "&gt;="&amp;GW1,'Expenditure Breakdown'!$H$6:$H$202, "&lt;"&amp;GX1)</f>
        <v>0</v>
      </c>
      <c r="GX5" s="200">
        <f>SUMIFS('Expenditure Breakdown'!$G$6:$G$202, 'Expenditure Breakdown'!$H$6:$H$202, "&gt;="&amp;GX1,'Expenditure Breakdown'!$H$6:$H$202, "&lt;"&amp;GY1)</f>
        <v>0</v>
      </c>
      <c r="GY5" s="200">
        <f>SUMIFS('Expenditure Breakdown'!$G$6:$G$202, 'Expenditure Breakdown'!$H$6:$H$202, "&gt;="&amp;GY1,'Expenditure Breakdown'!$H$6:$H$202, "&lt;"&amp;GZ1)</f>
        <v>0</v>
      </c>
      <c r="GZ5" s="200">
        <f>SUMIFS('Expenditure Breakdown'!$G$6:$G$202, 'Expenditure Breakdown'!$H$6:$H$202, "&gt;="&amp;GZ1,'Expenditure Breakdown'!$H$6:$H$202, "&lt;"&amp;HA1)</f>
        <v>0</v>
      </c>
      <c r="HA5" s="200">
        <f>SUMIFS('Expenditure Breakdown'!$G$6:$G$202, 'Expenditure Breakdown'!$H$6:$H$202, "&gt;="&amp;HA1,'Expenditure Breakdown'!$H$6:$H$202, "&lt;"&amp;HB1)</f>
        <v>0</v>
      </c>
      <c r="HB5" s="200">
        <f>SUMIFS('Expenditure Breakdown'!$G$6:$G$202, 'Expenditure Breakdown'!$H$6:$H$202, "&gt;="&amp;HB1,'Expenditure Breakdown'!$H$6:$H$202, "&lt;"&amp;HC1)</f>
        <v>0</v>
      </c>
      <c r="HC5" s="200">
        <f>SUMIFS('Expenditure Breakdown'!$G$6:$G$202, 'Expenditure Breakdown'!$H$6:$H$202, "&gt;="&amp;HC1,'Expenditure Breakdown'!$H$6:$H$202, "&lt;"&amp;HD1)</f>
        <v>0</v>
      </c>
      <c r="HD5" s="200">
        <f>SUMIFS('Expenditure Breakdown'!$G$6:$G$202, 'Expenditure Breakdown'!$H$6:$H$202, "&gt;="&amp;HD1,'Expenditure Breakdown'!$H$6:$H$202, "&lt;"&amp;HE1)</f>
        <v>0</v>
      </c>
      <c r="HE5" s="200">
        <f>SUMIFS('Expenditure Breakdown'!$G$6:$G$202, 'Expenditure Breakdown'!$H$6:$H$202, "&gt;="&amp;HE1,'Expenditure Breakdown'!$H$6:$H$202, "&lt;"&amp;HF1)</f>
        <v>0</v>
      </c>
      <c r="HF5" s="200">
        <f>SUMIFS('Expenditure Breakdown'!$G$6:$G$202, 'Expenditure Breakdown'!$H$6:$H$202, "&gt;="&amp;HF1,'Expenditure Breakdown'!$H$6:$H$202, "&lt;"&amp;HG1)</f>
        <v>0</v>
      </c>
      <c r="HG5" s="200">
        <f>SUMIFS('Expenditure Breakdown'!$G$6:$G$202, 'Expenditure Breakdown'!$H$6:$H$202, "&gt;="&amp;HG1,'Expenditure Breakdown'!$H$6:$H$202, "&lt;"&amp;HH1)</f>
        <v>0</v>
      </c>
      <c r="HH5" s="200">
        <f>SUMIFS('Expenditure Breakdown'!$G$6:$G$202, 'Expenditure Breakdown'!$H$6:$H$202, "&gt;="&amp;HH1,'Expenditure Breakdown'!$H$6:$H$202, "&lt;"&amp;HI1)</f>
        <v>0</v>
      </c>
      <c r="HI5" s="200">
        <f>SUMIFS('Expenditure Breakdown'!$G$6:$G$202, 'Expenditure Breakdown'!$H$6:$H$202, "&gt;="&amp;HI1,'Expenditure Breakdown'!$H$6:$H$202, "&lt;"&amp;HJ1)</f>
        <v>0</v>
      </c>
      <c r="HJ5" s="200">
        <f>SUMIFS('Expenditure Breakdown'!$G$6:$G$202, 'Expenditure Breakdown'!$H$6:$H$202, "&gt;="&amp;HJ1,'Expenditure Breakdown'!$H$6:$H$202, "&lt;"&amp;HK1)</f>
        <v>0</v>
      </c>
      <c r="HK5" s="200">
        <f>SUMIFS('Expenditure Breakdown'!$G$6:$G$202, 'Expenditure Breakdown'!$H$6:$H$202, "&gt;="&amp;HK1,'Expenditure Breakdown'!$H$6:$H$202, "&lt;"&amp;HL1)</f>
        <v>0</v>
      </c>
      <c r="HL5" s="200">
        <f>SUMIFS('Expenditure Breakdown'!$G$6:$G$202, 'Expenditure Breakdown'!$H$6:$H$202, "&gt;="&amp;HL1,'Expenditure Breakdown'!$H$6:$H$202, "&lt;"&amp;HM1)</f>
        <v>0</v>
      </c>
      <c r="HM5" s="200">
        <f>SUMIFS('Expenditure Breakdown'!$G$6:$G$202, 'Expenditure Breakdown'!$H$6:$H$202, "&gt;="&amp;HM1,'Expenditure Breakdown'!$H$6:$H$202, "&lt;"&amp;HN1)</f>
        <v>0</v>
      </c>
      <c r="HN5" s="200">
        <f>SUMIFS('Expenditure Breakdown'!$G$6:$G$202, 'Expenditure Breakdown'!$H$6:$H$202, "&gt;="&amp;HN1,'Expenditure Breakdown'!$H$6:$H$202, "&lt;"&amp;HO1)</f>
        <v>0</v>
      </c>
      <c r="HO5" s="200">
        <f>SUMIFS('Expenditure Breakdown'!$G$6:$G$202, 'Expenditure Breakdown'!$H$6:$H$202, "&gt;="&amp;HO1,'Expenditure Breakdown'!$H$6:$H$202, "&lt;"&amp;HP1)</f>
        <v>0</v>
      </c>
      <c r="HP5" s="200">
        <f>SUMIFS('Expenditure Breakdown'!$G$6:$G$202, 'Expenditure Breakdown'!$H$6:$H$202, "&gt;="&amp;HP1,'Expenditure Breakdown'!$H$6:$H$202, "&lt;"&amp;HQ1)</f>
        <v>0</v>
      </c>
      <c r="HQ5" s="200">
        <f>SUMIFS('Expenditure Breakdown'!$G$6:$G$202, 'Expenditure Breakdown'!$H$6:$H$202, "&gt;="&amp;HQ1,'Expenditure Breakdown'!$H$6:$H$202, "&lt;"&amp;HR1)</f>
        <v>0</v>
      </c>
      <c r="HR5" s="200">
        <f>SUMIFS('Expenditure Breakdown'!$G$6:$G$202, 'Expenditure Breakdown'!$H$6:$H$202, "&gt;="&amp;HR1,'Expenditure Breakdown'!$H$6:$H$202, "&lt;"&amp;HS1)</f>
        <v>0</v>
      </c>
      <c r="HS5" s="200">
        <f>SUMIFS('Expenditure Breakdown'!$G$6:$G$202, 'Expenditure Breakdown'!$H$6:$H$202, "&gt;="&amp;HS1,'Expenditure Breakdown'!$H$6:$H$202, "&lt;"&amp;HT1)</f>
        <v>0</v>
      </c>
      <c r="HT5" s="200">
        <f>SUMIFS('Expenditure Breakdown'!$G$6:$G$202, 'Expenditure Breakdown'!$H$6:$H$202, "&gt;="&amp;HT1,'Expenditure Breakdown'!$H$6:$H$202, "&lt;"&amp;HU1)</f>
        <v>0</v>
      </c>
      <c r="HU5" s="200">
        <f>SUMIFS('Expenditure Breakdown'!$G$6:$G$202, 'Expenditure Breakdown'!$H$6:$H$202, "&gt;="&amp;HU1,'Expenditure Breakdown'!$H$6:$H$202, "&lt;"&amp;HV1)</f>
        <v>0</v>
      </c>
      <c r="HV5" s="200">
        <f>SUMIFS('Expenditure Breakdown'!$G$6:$G$202, 'Expenditure Breakdown'!$H$6:$H$202, "&gt;="&amp;HV1,'Expenditure Breakdown'!$H$6:$H$202, "&lt;"&amp;HW1)</f>
        <v>0</v>
      </c>
      <c r="HW5" s="200">
        <f>SUMIFS('Expenditure Breakdown'!$G$6:$G$202, 'Expenditure Breakdown'!$H$6:$H$202, "&gt;="&amp;HW1,'Expenditure Breakdown'!$H$6:$H$202, "&lt;"&amp;HX1)</f>
        <v>0</v>
      </c>
      <c r="HX5" s="200">
        <f>SUMIFS('Expenditure Breakdown'!$G$6:$G$202, 'Expenditure Breakdown'!$H$6:$H$202, "&gt;="&amp;HX1,'Expenditure Breakdown'!$H$6:$H$202, "&lt;"&amp;HY1)</f>
        <v>0</v>
      </c>
      <c r="HY5" s="200">
        <f>SUMIFS('Expenditure Breakdown'!$G$6:$G$202, 'Expenditure Breakdown'!$H$6:$H$202, "&gt;="&amp;HY1,'Expenditure Breakdown'!$H$6:$H$202, "&lt;"&amp;HZ1)</f>
        <v>0</v>
      </c>
      <c r="HZ5" s="200">
        <f>SUMIFS('Expenditure Breakdown'!$G$6:$G$202, 'Expenditure Breakdown'!$H$6:$H$202, "&gt;="&amp;HZ1,'Expenditure Breakdown'!$H$6:$H$202, "&lt;"&amp;IA1)</f>
        <v>0</v>
      </c>
      <c r="IA5" s="200">
        <f>SUMIFS('Expenditure Breakdown'!$G$6:$G$202, 'Expenditure Breakdown'!$H$6:$H$202, "&gt;="&amp;IA1,'Expenditure Breakdown'!$H$6:$H$202, "&lt;"&amp;IB1)</f>
        <v>0</v>
      </c>
      <c r="IB5" s="200">
        <f>SUMIFS('Expenditure Breakdown'!$G$6:$G$202, 'Expenditure Breakdown'!$H$6:$H$202, "&gt;="&amp;IB1,'Expenditure Breakdown'!$H$6:$H$202, "&lt;"&amp;IC1)</f>
        <v>0</v>
      </c>
      <c r="IC5" s="200">
        <f>SUMIFS('Expenditure Breakdown'!$G$6:$G$202, 'Expenditure Breakdown'!$H$6:$H$202, "&gt;="&amp;IC1,'Expenditure Breakdown'!$H$6:$H$202, "&lt;"&amp;ID1)</f>
        <v>0</v>
      </c>
      <c r="ID5" s="200">
        <f>SUMIFS('Expenditure Breakdown'!$G$6:$G$202, 'Expenditure Breakdown'!$H$6:$H$202, "&gt;="&amp;ID1,'Expenditure Breakdown'!$H$6:$H$202, "&lt;"&amp;IE1)</f>
        <v>0</v>
      </c>
      <c r="IE5" s="200">
        <f>SUMIFS('Expenditure Breakdown'!$G$6:$G$202, 'Expenditure Breakdown'!$H$6:$H$202, "&gt;="&amp;IE1,'Expenditure Breakdown'!$H$6:$H$202, "&lt;"&amp;IF1)</f>
        <v>0</v>
      </c>
      <c r="IF5" s="200">
        <f>SUMIFS('Expenditure Breakdown'!$G$6:$G$202, 'Expenditure Breakdown'!$H$6:$H$202, "&gt;="&amp;IF1,'Expenditure Breakdown'!$H$6:$H$202, "&lt;"&amp;IG1)</f>
        <v>0</v>
      </c>
      <c r="IG5" s="200">
        <f>SUMIFS('Expenditure Breakdown'!$G$6:$G$202, 'Expenditure Breakdown'!$H$6:$H$202, "&gt;="&amp;IG1,'Expenditure Breakdown'!$H$6:$H$202, "&lt;"&amp;IH1)</f>
        <v>0</v>
      </c>
      <c r="IH5" s="200">
        <f>SUMIFS('Expenditure Breakdown'!$G$6:$G$202, 'Expenditure Breakdown'!$H$6:$H$202, "&gt;="&amp;IH1,'Expenditure Breakdown'!$H$6:$H$202, "&lt;"&amp;II1)</f>
        <v>0</v>
      </c>
      <c r="II5" s="200">
        <f>SUMIFS('Expenditure Breakdown'!$G$6:$G$202, 'Expenditure Breakdown'!$H$6:$H$202, "&gt;="&amp;II1,'Expenditure Breakdown'!$H$6:$H$202, "&lt;"&amp;IJ1)</f>
        <v>0</v>
      </c>
      <c r="IJ5" s="200">
        <f>SUMIFS('Expenditure Breakdown'!$G$6:$G$202, 'Expenditure Breakdown'!$H$6:$H$202, "&gt;="&amp;IJ1,'Expenditure Breakdown'!$H$6:$H$202, "&lt;"&amp;IK1)</f>
        <v>0</v>
      </c>
      <c r="IK5" s="200">
        <f>SUMIFS('Expenditure Breakdown'!$G$6:$G$202, 'Expenditure Breakdown'!$H$6:$H$202, "&gt;="&amp;IK1,'Expenditure Breakdown'!$H$6:$H$202, "&lt;"&amp;IL1)</f>
        <v>0</v>
      </c>
      <c r="IL5" s="200">
        <f>SUMIFS('Expenditure Breakdown'!$G$6:$G$202, 'Expenditure Breakdown'!$H$6:$H$202, "&gt;="&amp;IL1,'Expenditure Breakdown'!$H$6:$H$202, "&lt;"&amp;IM1)</f>
        <v>0</v>
      </c>
      <c r="IM5" s="200">
        <f>SUMIFS('Expenditure Breakdown'!$G$6:$G$202, 'Expenditure Breakdown'!$H$6:$H$202, "&gt;="&amp;IM1,'Expenditure Breakdown'!$H$6:$H$202, "&lt;"&amp;IN1)</f>
        <v>0</v>
      </c>
      <c r="IN5" s="200">
        <f>SUMIFS('Expenditure Breakdown'!$G$6:$G$202, 'Expenditure Breakdown'!$H$6:$H$202, "&gt;="&amp;IN1,'Expenditure Breakdown'!$H$6:$H$202, "&lt;"&amp;IO1)</f>
        <v>0</v>
      </c>
      <c r="IO5" s="200">
        <f>SUMIFS('Expenditure Breakdown'!$G$6:$G$202, 'Expenditure Breakdown'!$H$6:$H$202, "&gt;="&amp;IO1,'Expenditure Breakdown'!$H$6:$H$202, "&lt;"&amp;IP1)</f>
        <v>0</v>
      </c>
      <c r="IP5" s="200">
        <f>SUMIFS('Expenditure Breakdown'!$G$6:$G$202, 'Expenditure Breakdown'!$H$6:$H$202, "&gt;="&amp;IP1,'Expenditure Breakdown'!$H$6:$H$202, "&lt;"&amp;IQ1)</f>
        <v>0</v>
      </c>
      <c r="IQ5" s="200">
        <f>SUMIFS('Expenditure Breakdown'!$G$6:$G$202, 'Expenditure Breakdown'!$H$6:$H$202, "&gt;="&amp;IQ1,'Expenditure Breakdown'!$H$6:$H$202, "&lt;"&amp;IR1)</f>
        <v>0</v>
      </c>
      <c r="IR5" s="200">
        <f>SUMIFS('Expenditure Breakdown'!$G$6:$G$202, 'Expenditure Breakdown'!$H$6:$H$202, "&gt;="&amp;IR1,'Expenditure Breakdown'!$H$6:$H$202, "&lt;"&amp;IS1)</f>
        <v>0</v>
      </c>
      <c r="IS5" s="200">
        <f>SUMIFS('Expenditure Breakdown'!$G$6:$G$202, 'Expenditure Breakdown'!$H$6:$H$202, "&gt;="&amp;IS1,'Expenditure Breakdown'!$H$6:$H$202, "&lt;"&amp;IT1)</f>
        <v>0</v>
      </c>
      <c r="IT5" s="200">
        <f>SUMIFS('Expenditure Breakdown'!$G$6:$G$202, 'Expenditure Breakdown'!$H$6:$H$202, "&gt;="&amp;IT1,'Expenditure Breakdown'!$H$6:$H$202, "&lt;"&amp;IU1)</f>
        <v>0</v>
      </c>
      <c r="IU5" s="200">
        <f>SUMIFS('Expenditure Breakdown'!$G$6:$G$202, 'Expenditure Breakdown'!$H$6:$H$202, "&gt;="&amp;IU1,'Expenditure Breakdown'!$H$6:$H$202, "&lt;"&amp;IV1)</f>
        <v>0</v>
      </c>
      <c r="IV5" s="200">
        <f>SUMIFS('Expenditure Breakdown'!$G$6:$G$202, 'Expenditure Breakdown'!$H$6:$H$202, "&gt;="&amp;IV1,'Expenditure Breakdown'!$H$6:$H$202, "&lt;"&amp;IW1)</f>
        <v>0</v>
      </c>
      <c r="IW5" s="200">
        <f>SUMIFS('Expenditure Breakdown'!$G$6:$G$202, 'Expenditure Breakdown'!$H$6:$H$202, "&gt;="&amp;IW1,'Expenditure Breakdown'!$H$6:$H$202, "&lt;"&amp;IX1)</f>
        <v>0</v>
      </c>
      <c r="IX5" s="200">
        <f>SUMIFS('Expenditure Breakdown'!$G$6:$G$202, 'Expenditure Breakdown'!$H$6:$H$202, "&gt;="&amp;IX1,'Expenditure Breakdown'!$H$6:$H$202, "&lt;"&amp;IY1)</f>
        <v>0</v>
      </c>
      <c r="IY5" s="200">
        <f>SUMIFS('Expenditure Breakdown'!$G$6:$G$202, 'Expenditure Breakdown'!$H$6:$H$202, "&gt;="&amp;IY1,'Expenditure Breakdown'!$H$6:$H$202, "&lt;"&amp;IZ1)</f>
        <v>0</v>
      </c>
      <c r="IZ5" s="200">
        <f>SUMIFS('Expenditure Breakdown'!$G$6:$G$202, 'Expenditure Breakdown'!$H$6:$H$202, "&gt;="&amp;IZ1,'Expenditure Breakdown'!$H$6:$H$202, "&lt;"&amp;JA1)</f>
        <v>0</v>
      </c>
      <c r="JA5" s="200">
        <f>SUMIFS('Expenditure Breakdown'!$G$6:$G$202, 'Expenditure Breakdown'!$H$6:$H$202, "&gt;="&amp;JA1,'Expenditure Breakdown'!$H$6:$H$202, "&lt;"&amp;JB1)</f>
        <v>0</v>
      </c>
      <c r="JB5" s="200">
        <f>SUMIFS('Expenditure Breakdown'!$G$6:$G$202, 'Expenditure Breakdown'!$H$6:$H$202, "&gt;="&amp;JB1,'Expenditure Breakdown'!$H$6:$H$202, "&lt;"&amp;JC1)</f>
        <v>0</v>
      </c>
      <c r="JC5" s="200">
        <f>SUMIFS('Expenditure Breakdown'!$G$6:$G$202, 'Expenditure Breakdown'!$H$6:$H$202, "&gt;="&amp;JC1,'Expenditure Breakdown'!$H$6:$H$202, "&lt;"&amp;JD1)</f>
        <v>0</v>
      </c>
      <c r="JD5" s="200">
        <f>SUMIFS('Expenditure Breakdown'!$G$6:$G$202, 'Expenditure Breakdown'!$H$6:$H$202, "&gt;="&amp;JD1,'Expenditure Breakdown'!$H$6:$H$202, "&lt;"&amp;JE1)</f>
        <v>0</v>
      </c>
      <c r="JE5" s="200">
        <f>SUMIFS('Expenditure Breakdown'!$G$6:$G$202, 'Expenditure Breakdown'!$H$6:$H$202, "&gt;="&amp;JE1,'Expenditure Breakdown'!$H$6:$H$202, "&lt;"&amp;JF1)</f>
        <v>0</v>
      </c>
      <c r="JF5" s="200">
        <f>SUMIFS('Expenditure Breakdown'!$G$6:$G$202, 'Expenditure Breakdown'!$H$6:$H$202, "&gt;="&amp;JF1,'Expenditure Breakdown'!$H$6:$H$202, "&lt;"&amp;JG1)</f>
        <v>0</v>
      </c>
      <c r="JG5" s="200">
        <f>SUMIFS('Expenditure Breakdown'!$G$6:$G$202, 'Expenditure Breakdown'!$H$6:$H$202, "&gt;="&amp;JG1,'Expenditure Breakdown'!$H$6:$H$202, "&lt;"&amp;JH1)</f>
        <v>0</v>
      </c>
      <c r="JH5" s="200">
        <f>SUMIFS('Expenditure Breakdown'!$G$6:$G$202, 'Expenditure Breakdown'!$H$6:$H$202, "&gt;="&amp;JH1,'Expenditure Breakdown'!$H$6:$H$202, "&lt;"&amp;JI1)</f>
        <v>0</v>
      </c>
      <c r="JI5" s="200">
        <f>SUMIFS('Expenditure Breakdown'!$G$6:$G$202, 'Expenditure Breakdown'!$H$6:$H$202, "&gt;="&amp;JI1,'Expenditure Breakdown'!$H$6:$H$202, "&lt;"&amp;JJ1)</f>
        <v>0</v>
      </c>
      <c r="JJ5" s="200">
        <f>SUMIFS('Expenditure Breakdown'!$G$6:$G$202, 'Expenditure Breakdown'!$H$6:$H$202, "&gt;="&amp;JJ1,'Expenditure Breakdown'!$H$6:$H$202, "&lt;"&amp;JK1)</f>
        <v>0</v>
      </c>
      <c r="JK5" s="200">
        <f>SUMIFS('Expenditure Breakdown'!$G$6:$G$202, 'Expenditure Breakdown'!$H$6:$H$202, "&gt;="&amp;JK1,'Expenditure Breakdown'!$H$6:$H$202, "&lt;"&amp;JL1)</f>
        <v>0</v>
      </c>
      <c r="JL5" s="200">
        <f>SUMIFS('Expenditure Breakdown'!$G$6:$G$202, 'Expenditure Breakdown'!$H$6:$H$202, "&gt;="&amp;JL1,'Expenditure Breakdown'!$H$6:$H$202, "&lt;"&amp;JM1)</f>
        <v>0</v>
      </c>
      <c r="JM5" s="200">
        <f>SUMIFS('Expenditure Breakdown'!$G$6:$G$202, 'Expenditure Breakdown'!$H$6:$H$202, "&gt;="&amp;JM1,'Expenditure Breakdown'!$H$6:$H$202, "&lt;"&amp;JN1)</f>
        <v>0</v>
      </c>
      <c r="JN5" s="200">
        <f>SUMIFS('Expenditure Breakdown'!$G$6:$G$202, 'Expenditure Breakdown'!$H$6:$H$202, "&gt;="&amp;JN1,'Expenditure Breakdown'!$H$6:$H$202, "&lt;"&amp;JO1)</f>
        <v>0</v>
      </c>
      <c r="JO5" s="200">
        <f>SUMIFS('Expenditure Breakdown'!$G$6:$G$202, 'Expenditure Breakdown'!$H$6:$H$202, "&gt;="&amp;JO1,'Expenditure Breakdown'!$H$6:$H$202, "&lt;"&amp;JP1)</f>
        <v>0</v>
      </c>
      <c r="JP5" s="200">
        <f>SUMIFS('Expenditure Breakdown'!$G$6:$G$202, 'Expenditure Breakdown'!$H$6:$H$202, "&gt;="&amp;JP1,'Expenditure Breakdown'!$H$6:$H$202, "&lt;"&amp;JQ1)</f>
        <v>0</v>
      </c>
      <c r="JQ5" s="200">
        <f>SUMIFS('Expenditure Breakdown'!$G$6:$G$202, 'Expenditure Breakdown'!$H$6:$H$202, "&gt;="&amp;JQ1,'Expenditure Breakdown'!$H$6:$H$202, "&lt;"&amp;JR1)</f>
        <v>0</v>
      </c>
      <c r="JR5" s="200">
        <f>SUMIFS('Expenditure Breakdown'!$G$6:$G$202, 'Expenditure Breakdown'!$H$6:$H$202, "&gt;="&amp;JR1,'Expenditure Breakdown'!$H$6:$H$202, "&lt;"&amp;JS1)</f>
        <v>0</v>
      </c>
      <c r="JS5" s="200">
        <f>SUMIFS('Expenditure Breakdown'!$G$6:$G$202, 'Expenditure Breakdown'!$H$6:$H$202, "&gt;="&amp;JS1,'Expenditure Breakdown'!$H$6:$H$202, "&lt;"&amp;JT1)</f>
        <v>0</v>
      </c>
      <c r="JT5" s="200">
        <f>SUMIFS('Expenditure Breakdown'!$G$6:$G$202, 'Expenditure Breakdown'!$H$6:$H$202, "&gt;="&amp;JT1,'Expenditure Breakdown'!$H$6:$H$202, "&lt;"&amp;JU1)</f>
        <v>0</v>
      </c>
      <c r="JU5" s="200">
        <f>SUMIFS('Expenditure Breakdown'!$G$6:$G$202, 'Expenditure Breakdown'!$H$6:$H$202, "&gt;="&amp;JU1,'Expenditure Breakdown'!$H$6:$H$202, "&lt;"&amp;JV1)</f>
        <v>0</v>
      </c>
      <c r="JV5" s="200">
        <f>SUMIFS('Expenditure Breakdown'!$G$6:$G$202, 'Expenditure Breakdown'!$H$6:$H$202, "&gt;="&amp;JV1,'Expenditure Breakdown'!$H$6:$H$202, "&lt;"&amp;JW1)</f>
        <v>0</v>
      </c>
      <c r="JW5" s="200">
        <f>SUMIFS('Expenditure Breakdown'!$G$6:$G$202, 'Expenditure Breakdown'!$H$6:$H$202, "&gt;="&amp;JW1,'Expenditure Breakdown'!$H$6:$H$202, "&lt;"&amp;JX1)</f>
        <v>0</v>
      </c>
      <c r="JX5" s="200">
        <f>SUMIFS('Expenditure Breakdown'!$G$6:$G$202, 'Expenditure Breakdown'!$H$6:$H$202, "&gt;="&amp;JX1,'Expenditure Breakdown'!$H$6:$H$202, "&lt;"&amp;JY1)</f>
        <v>0</v>
      </c>
      <c r="JY5" s="200">
        <f>SUMIFS('Expenditure Breakdown'!$G$6:$G$202, 'Expenditure Breakdown'!$H$6:$H$202, "&gt;="&amp;JY1,'Expenditure Breakdown'!$H$6:$H$202, "&lt;"&amp;JZ1)</f>
        <v>0</v>
      </c>
      <c r="JZ5" s="200">
        <f>SUMIFS('Expenditure Breakdown'!$G$6:$G$202, 'Expenditure Breakdown'!$H$6:$H$202, "&gt;="&amp;JZ1,'Expenditure Breakdown'!$H$6:$H$202, "&lt;"&amp;KA1)</f>
        <v>0</v>
      </c>
      <c r="KA5" s="200">
        <f>SUMIFS('Expenditure Breakdown'!$G$6:$G$202, 'Expenditure Breakdown'!$H$6:$H$202, "&gt;="&amp;KA1,'Expenditure Breakdown'!$H$6:$H$202, "&lt;"&amp;KB1)</f>
        <v>0</v>
      </c>
      <c r="KB5" s="200">
        <f>SUMIFS('Expenditure Breakdown'!$G$6:$G$202, 'Expenditure Breakdown'!$H$6:$H$202, "&gt;="&amp;KB1,'Expenditure Breakdown'!$H$6:$H$202, "&lt;"&amp;KC1)</f>
        <v>0</v>
      </c>
      <c r="KC5" s="200">
        <f>SUMIFS('Expenditure Breakdown'!$G$6:$G$202, 'Expenditure Breakdown'!$H$6:$H$202, "&gt;="&amp;KC1,'Expenditure Breakdown'!$H$6:$H$202, "&lt;"&amp;KD1)</f>
        <v>0</v>
      </c>
      <c r="KD5" s="200">
        <f>SUMIFS('Expenditure Breakdown'!$G$6:$G$202, 'Expenditure Breakdown'!$H$6:$H$202, "&gt;="&amp;KD1,'Expenditure Breakdown'!$H$6:$H$202, "&lt;"&amp;KE1)</f>
        <v>0</v>
      </c>
      <c r="KE5" s="200">
        <f>SUMIFS('Expenditure Breakdown'!$G$6:$G$202, 'Expenditure Breakdown'!$H$6:$H$202, "&gt;="&amp;KE1,'Expenditure Breakdown'!$H$6:$H$202, "&lt;"&amp;KF1)</f>
        <v>0</v>
      </c>
      <c r="KF5" s="200">
        <f>SUMIFS('Expenditure Breakdown'!$G$6:$G$202, 'Expenditure Breakdown'!$H$6:$H$202, "&gt;="&amp;KF1,'Expenditure Breakdown'!$H$6:$H$202, "&lt;"&amp;KG1)</f>
        <v>0</v>
      </c>
      <c r="KG5" s="200">
        <f>SUMIFS('Expenditure Breakdown'!$G$6:$G$202, 'Expenditure Breakdown'!$H$6:$H$202, "&gt;="&amp;KG1,'Expenditure Breakdown'!$H$6:$H$202, "&lt;"&amp;KH1)</f>
        <v>0</v>
      </c>
      <c r="KH5" s="200">
        <f>SUMIFS('Expenditure Breakdown'!$G$6:$G$202, 'Expenditure Breakdown'!$H$6:$H$202, "&gt;="&amp;KH1,'Expenditure Breakdown'!$H$6:$H$202, "&lt;"&amp;KI1)</f>
        <v>0</v>
      </c>
      <c r="KI5" s="200">
        <f>SUMIFS('Expenditure Breakdown'!$G$6:$G$202, 'Expenditure Breakdown'!$H$6:$H$202, "&gt;="&amp;KI1,'Expenditure Breakdown'!$H$6:$H$202, "&lt;"&amp;KJ1)</f>
        <v>0</v>
      </c>
      <c r="KJ5" s="200">
        <f>SUMIFS('Expenditure Breakdown'!$G$6:$G$202, 'Expenditure Breakdown'!$H$6:$H$202, "&gt;="&amp;KJ1,'Expenditure Breakdown'!$H$6:$H$202, "&lt;"&amp;KK1)</f>
        <v>0</v>
      </c>
      <c r="KK5" s="200">
        <f>SUMIFS('Expenditure Breakdown'!$G$6:$G$202, 'Expenditure Breakdown'!$H$6:$H$202, "&gt;="&amp;KK1,'Expenditure Breakdown'!$H$6:$H$202, "&lt;"&amp;KL1)</f>
        <v>0</v>
      </c>
      <c r="KL5" s="200">
        <f>SUMIFS('Expenditure Breakdown'!$G$6:$G$202, 'Expenditure Breakdown'!$H$6:$H$202, "&gt;="&amp;KL1,'Expenditure Breakdown'!$H$6:$H$202, "&lt;"&amp;KM1)</f>
        <v>0</v>
      </c>
      <c r="KM5" s="200">
        <f>SUMIFS('Expenditure Breakdown'!$G$6:$G$202, 'Expenditure Breakdown'!$H$6:$H$202, "&gt;="&amp;KM1,'Expenditure Breakdown'!$H$6:$H$202, "&lt;"&amp;KN1)</f>
        <v>0</v>
      </c>
      <c r="KN5" s="200">
        <f>SUMIFS('Expenditure Breakdown'!$G$6:$G$202, 'Expenditure Breakdown'!$H$6:$H$202, "&gt;="&amp;KN1,'Expenditure Breakdown'!$H$6:$H$202, "&lt;"&amp;KO1)</f>
        <v>0</v>
      </c>
      <c r="KO5" s="200">
        <f>SUMIFS('Expenditure Breakdown'!$G$6:$G$202, 'Expenditure Breakdown'!$H$6:$H$202, "&gt;="&amp;KO1,'Expenditure Breakdown'!$H$6:$H$202, "&lt;"&amp;KP1)</f>
        <v>0</v>
      </c>
      <c r="KP5" s="200">
        <f>SUMIFS('Expenditure Breakdown'!$G$6:$G$202, 'Expenditure Breakdown'!$H$6:$H$202, "&gt;="&amp;KP1,'Expenditure Breakdown'!$H$6:$H$202, "&lt;"&amp;KQ1)</f>
        <v>0</v>
      </c>
      <c r="KQ5" s="200">
        <f>SUMIFS('Expenditure Breakdown'!$G$6:$G$202, 'Expenditure Breakdown'!$H$6:$H$202, "&gt;="&amp;KQ1,'Expenditure Breakdown'!$H$6:$H$202, "&lt;"&amp;KR1)</f>
        <v>0</v>
      </c>
      <c r="KR5" s="200">
        <f>SUMIFS('Expenditure Breakdown'!$G$6:$G$202, 'Expenditure Breakdown'!$H$6:$H$202, "&gt;="&amp;KR1,'Expenditure Breakdown'!$H$6:$H$202, "&lt;"&amp;KS1)</f>
        <v>0</v>
      </c>
      <c r="KS5" s="200">
        <f>SUMIFS('Expenditure Breakdown'!$G$6:$G$202, 'Expenditure Breakdown'!$H$6:$H$202, "&gt;="&amp;KS1,'Expenditure Breakdown'!$H$6:$H$202, "&lt;"&amp;KT1)</f>
        <v>0</v>
      </c>
      <c r="KT5" s="200">
        <f>SUMIFS('Expenditure Breakdown'!$G$6:$G$202, 'Expenditure Breakdown'!$H$6:$H$202, "&gt;="&amp;KT1,'Expenditure Breakdown'!$H$6:$H$202, "&lt;"&amp;KU1)</f>
        <v>0</v>
      </c>
      <c r="KU5" s="200">
        <f>SUMIFS('Expenditure Breakdown'!$G$6:$G$202, 'Expenditure Breakdown'!$H$6:$H$202, "&gt;="&amp;KU1,'Expenditure Breakdown'!$H$6:$H$202, "&lt;"&amp;KV1)</f>
        <v>0</v>
      </c>
      <c r="KV5" s="200">
        <f>SUMIFS('Expenditure Breakdown'!$G$6:$G$202, 'Expenditure Breakdown'!$H$6:$H$202, "&gt;="&amp;KV1,'Expenditure Breakdown'!$H$6:$H$202, "&lt;"&amp;KW1)</f>
        <v>0</v>
      </c>
      <c r="KW5" s="200">
        <f>SUMIFS('Expenditure Breakdown'!$G$6:$G$202, 'Expenditure Breakdown'!$H$6:$H$202, "&gt;="&amp;KW1,'Expenditure Breakdown'!$H$6:$H$202, "&lt;"&amp;KX1)</f>
        <v>0</v>
      </c>
      <c r="KX5" s="200">
        <f>SUMIFS('Expenditure Breakdown'!$G$6:$G$202, 'Expenditure Breakdown'!$H$6:$H$202, "&gt;="&amp;KX1,'Expenditure Breakdown'!$H$6:$H$202, "&lt;"&amp;KY1)</f>
        <v>0</v>
      </c>
      <c r="KY5" s="200">
        <f>SUMIFS('Expenditure Breakdown'!$G$6:$G$202, 'Expenditure Breakdown'!$H$6:$H$202, "&gt;="&amp;KY1,'Expenditure Breakdown'!$H$6:$H$202, "&lt;"&amp;KZ1)</f>
        <v>0</v>
      </c>
      <c r="KZ5" s="200">
        <f>SUMIFS('Expenditure Breakdown'!$G$6:$G$202, 'Expenditure Breakdown'!$H$6:$H$202, "&gt;="&amp;KZ1,'Expenditure Breakdown'!$H$6:$H$202, "&lt;"&amp;LA1)</f>
        <v>0</v>
      </c>
      <c r="LA5" s="200">
        <f>SUMIFS('Expenditure Breakdown'!$G$6:$G$202, 'Expenditure Breakdown'!$H$6:$H$202, "&gt;="&amp;LA1,'Expenditure Breakdown'!$H$6:$H$202, "&lt;"&amp;LB1)</f>
        <v>0</v>
      </c>
      <c r="LB5" s="200">
        <f>SUMIFS('Expenditure Breakdown'!$G$6:$G$202, 'Expenditure Breakdown'!$H$6:$H$202, "&gt;="&amp;LB1,'Expenditure Breakdown'!$H$6:$H$202, "&lt;"&amp;LC1)</f>
        <v>0</v>
      </c>
      <c r="LC5" s="200">
        <f>SUMIFS('Expenditure Breakdown'!$G$6:$G$202, 'Expenditure Breakdown'!$H$6:$H$202, "&gt;="&amp;LC1,'Expenditure Breakdown'!$H$6:$H$202, "&lt;"&amp;LD1)</f>
        <v>0</v>
      </c>
      <c r="LD5" s="200">
        <f>SUMIFS('Expenditure Breakdown'!$G$6:$G$202, 'Expenditure Breakdown'!$H$6:$H$202, "&gt;="&amp;LD1,'Expenditure Breakdown'!$H$6:$H$202, "&lt;"&amp;#REF!)</f>
        <v>0</v>
      </c>
      <c r="LE5" s="190"/>
      <c r="LF5" s="201"/>
      <c r="LG5" s="201"/>
    </row>
    <row r="6" spans="1:794" s="202" customFormat="1">
      <c r="A6" s="810"/>
      <c r="B6" s="198" t="s">
        <v>400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0</v>
      </c>
      <c r="U6" s="200">
        <f t="shared" si="10"/>
        <v>7875</v>
      </c>
      <c r="V6" s="200">
        <f t="shared" si="10"/>
        <v>2007875</v>
      </c>
      <c r="W6" s="200">
        <f t="shared" si="10"/>
        <v>2007875</v>
      </c>
      <c r="X6" s="200">
        <f t="shared" si="10"/>
        <v>2007875</v>
      </c>
      <c r="Y6" s="200">
        <f t="shared" si="10"/>
        <v>2007875</v>
      </c>
      <c r="Z6" s="200">
        <f t="shared" si="10"/>
        <v>2007875</v>
      </c>
      <c r="AA6" s="200">
        <f t="shared" si="10"/>
        <v>2007875</v>
      </c>
      <c r="AB6" s="200">
        <f t="shared" si="10"/>
        <v>2007875</v>
      </c>
      <c r="AC6" s="200">
        <f t="shared" si="10"/>
        <v>2007875</v>
      </c>
      <c r="AD6" s="200">
        <f t="shared" si="10"/>
        <v>2007875</v>
      </c>
      <c r="AE6" s="200">
        <f t="shared" si="10"/>
        <v>2007875</v>
      </c>
      <c r="AF6" s="200">
        <f t="shared" si="10"/>
        <v>2101922</v>
      </c>
      <c r="AG6" s="200">
        <f t="shared" si="10"/>
        <v>2275922</v>
      </c>
      <c r="AH6" s="200">
        <f t="shared" si="10"/>
        <v>2275922</v>
      </c>
      <c r="AI6" s="200">
        <f t="shared" si="10"/>
        <v>2705538.5</v>
      </c>
      <c r="AJ6" s="200">
        <f t="shared" si="10"/>
        <v>2705538.5</v>
      </c>
      <c r="AK6" s="200">
        <f t="shared" si="10"/>
        <v>4214291.37</v>
      </c>
      <c r="AL6" s="200">
        <f t="shared" si="10"/>
        <v>4214291.37</v>
      </c>
      <c r="AM6" s="200">
        <f t="shared" si="10"/>
        <v>4214291.37</v>
      </c>
      <c r="AN6" s="200">
        <f t="shared" si="10"/>
        <v>4214291.37</v>
      </c>
      <c r="AO6" s="200">
        <f t="shared" si="10"/>
        <v>5836403.21</v>
      </c>
      <c r="AP6" s="200">
        <f t="shared" si="10"/>
        <v>5836403.21</v>
      </c>
      <c r="AQ6" s="200">
        <f t="shared" si="10"/>
        <v>5836403.21</v>
      </c>
      <c r="AR6" s="200">
        <f t="shared" si="10"/>
        <v>5836403.21</v>
      </c>
      <c r="AS6" s="200">
        <f t="shared" si="10"/>
        <v>5836403.21</v>
      </c>
      <c r="AT6" s="200">
        <f t="shared" si="10"/>
        <v>5836403.21</v>
      </c>
      <c r="AU6" s="200">
        <f t="shared" si="10"/>
        <v>5836403.21</v>
      </c>
      <c r="AV6" s="200">
        <f t="shared" si="10"/>
        <v>5836403.21</v>
      </c>
      <c r="AW6" s="200">
        <f t="shared" si="10"/>
        <v>5836403.21</v>
      </c>
      <c r="AX6" s="200">
        <f t="shared" si="10"/>
        <v>5836403.21</v>
      </c>
      <c r="AY6" s="200">
        <f t="shared" si="10"/>
        <v>5836403.21</v>
      </c>
      <c r="AZ6" s="200">
        <f t="shared" si="10"/>
        <v>5836403.21</v>
      </c>
      <c r="BA6" s="200">
        <f t="shared" si="10"/>
        <v>5836403.21</v>
      </c>
      <c r="BB6" s="200">
        <f t="shared" si="10"/>
        <v>5836403.21</v>
      </c>
      <c r="BC6" s="200">
        <f t="shared" si="10"/>
        <v>5836403.21</v>
      </c>
      <c r="BD6" s="200">
        <f t="shared" si="10"/>
        <v>5836403.21</v>
      </c>
      <c r="BE6" s="200">
        <f t="shared" si="10"/>
        <v>5836403.21</v>
      </c>
      <c r="BF6" s="200">
        <f t="shared" si="10"/>
        <v>5836403.21</v>
      </c>
      <c r="BG6" s="200">
        <f t="shared" si="10"/>
        <v>5836403.21</v>
      </c>
      <c r="BH6" s="200">
        <f t="shared" si="10"/>
        <v>5836403.21</v>
      </c>
      <c r="BI6" s="200">
        <f t="shared" si="10"/>
        <v>5836403.21</v>
      </c>
      <c r="BJ6" s="200">
        <f t="shared" si="10"/>
        <v>5836403.21</v>
      </c>
      <c r="BK6" s="200">
        <f t="shared" si="10"/>
        <v>5836403.21</v>
      </c>
      <c r="BL6" s="200">
        <f t="shared" si="10"/>
        <v>5836403.21</v>
      </c>
      <c r="BM6" s="200">
        <f t="shared" si="10"/>
        <v>5836403.21</v>
      </c>
      <c r="BN6" s="200">
        <f t="shared" si="10"/>
        <v>5836403.21</v>
      </c>
      <c r="BO6" s="200">
        <f t="shared" si="10"/>
        <v>5836403.21</v>
      </c>
      <c r="BP6" s="200">
        <f t="shared" si="10"/>
        <v>5836403.21</v>
      </c>
      <c r="BQ6" s="200">
        <f t="shared" si="10"/>
        <v>5836403.21</v>
      </c>
      <c r="BR6" s="200">
        <f t="shared" si="10"/>
        <v>5836403.21</v>
      </c>
      <c r="BS6" s="200">
        <f t="shared" si="10"/>
        <v>5836403.21</v>
      </c>
      <c r="BT6" s="200">
        <f t="shared" si="10"/>
        <v>5836403.21</v>
      </c>
      <c r="BU6" s="200">
        <f t="shared" ref="BU6:EF6" si="11">BT6+BU5</f>
        <v>5836403.21</v>
      </c>
      <c r="BV6" s="200">
        <f t="shared" si="11"/>
        <v>5836403.21</v>
      </c>
      <c r="BW6" s="200">
        <f t="shared" si="11"/>
        <v>5836403.21</v>
      </c>
      <c r="BX6" s="200">
        <f t="shared" si="11"/>
        <v>5836403.21</v>
      </c>
      <c r="BY6" s="200">
        <f t="shared" si="11"/>
        <v>5836403.21</v>
      </c>
      <c r="BZ6" s="200">
        <f t="shared" si="11"/>
        <v>5836403.21</v>
      </c>
      <c r="CA6" s="200">
        <f t="shared" si="11"/>
        <v>5836403.21</v>
      </c>
      <c r="CB6" s="200">
        <f t="shared" si="11"/>
        <v>5836403.21</v>
      </c>
      <c r="CC6" s="200">
        <f t="shared" si="11"/>
        <v>5836403.21</v>
      </c>
      <c r="CD6" s="200">
        <f t="shared" si="11"/>
        <v>5836403.21</v>
      </c>
      <c r="CE6" s="200">
        <f t="shared" si="11"/>
        <v>5836403.21</v>
      </c>
      <c r="CF6" s="200">
        <f t="shared" si="11"/>
        <v>5836403.21</v>
      </c>
      <c r="CG6" s="200">
        <f t="shared" si="11"/>
        <v>5836403.21</v>
      </c>
      <c r="CH6" s="200">
        <f t="shared" si="11"/>
        <v>5836403.21</v>
      </c>
      <c r="CI6" s="200">
        <f t="shared" si="11"/>
        <v>5836403.21</v>
      </c>
      <c r="CJ6" s="200">
        <f t="shared" si="11"/>
        <v>5836403.21</v>
      </c>
      <c r="CK6" s="200">
        <f t="shared" si="11"/>
        <v>5836403.21</v>
      </c>
      <c r="CL6" s="200">
        <f t="shared" si="11"/>
        <v>5836403.21</v>
      </c>
      <c r="CM6" s="200">
        <f t="shared" si="11"/>
        <v>5836403.21</v>
      </c>
      <c r="CN6" s="200">
        <f t="shared" si="11"/>
        <v>5836403.21</v>
      </c>
      <c r="CO6" s="200">
        <f t="shared" si="11"/>
        <v>5836403.21</v>
      </c>
      <c r="CP6" s="200">
        <f t="shared" si="11"/>
        <v>5836403.21</v>
      </c>
      <c r="CQ6" s="200">
        <f t="shared" si="11"/>
        <v>5836403.21</v>
      </c>
      <c r="CR6" s="200">
        <f t="shared" si="11"/>
        <v>5836403.21</v>
      </c>
      <c r="CS6" s="200">
        <f t="shared" si="11"/>
        <v>5836403.21</v>
      </c>
      <c r="CT6" s="200">
        <f t="shared" si="11"/>
        <v>5836403.21</v>
      </c>
      <c r="CU6" s="200">
        <f t="shared" si="11"/>
        <v>5836403.21</v>
      </c>
      <c r="CV6" s="200">
        <f t="shared" si="11"/>
        <v>5836403.21</v>
      </c>
      <c r="CW6" s="200">
        <f t="shared" si="11"/>
        <v>5836403.21</v>
      </c>
      <c r="CX6" s="200">
        <f t="shared" si="11"/>
        <v>5836403.21</v>
      </c>
      <c r="CY6" s="200">
        <f t="shared" si="11"/>
        <v>5836403.21</v>
      </c>
      <c r="CZ6" s="200">
        <f t="shared" si="11"/>
        <v>5836403.21</v>
      </c>
      <c r="DA6" s="200">
        <f t="shared" si="11"/>
        <v>5836403.21</v>
      </c>
      <c r="DB6" s="200">
        <f t="shared" si="11"/>
        <v>5836403.21</v>
      </c>
      <c r="DC6" s="200">
        <f t="shared" si="11"/>
        <v>5836403.21</v>
      </c>
      <c r="DD6" s="200">
        <f t="shared" si="11"/>
        <v>5836403.21</v>
      </c>
      <c r="DE6" s="200">
        <f t="shared" si="11"/>
        <v>5836403.21</v>
      </c>
      <c r="DF6" s="200">
        <f t="shared" si="11"/>
        <v>5836403.21</v>
      </c>
      <c r="DG6" s="200">
        <f t="shared" si="11"/>
        <v>5836403.21</v>
      </c>
      <c r="DH6" s="200">
        <f t="shared" si="11"/>
        <v>5836403.21</v>
      </c>
      <c r="DI6" s="200">
        <f t="shared" si="11"/>
        <v>5836403.21</v>
      </c>
      <c r="DJ6" s="200">
        <f t="shared" si="11"/>
        <v>5836403.21</v>
      </c>
      <c r="DK6" s="200">
        <f t="shared" si="11"/>
        <v>5836403.21</v>
      </c>
      <c r="DL6" s="200">
        <f t="shared" si="11"/>
        <v>5836403.21</v>
      </c>
      <c r="DM6" s="200">
        <f t="shared" si="11"/>
        <v>5836403.21</v>
      </c>
      <c r="DN6" s="200">
        <f t="shared" si="11"/>
        <v>5836403.21</v>
      </c>
      <c r="DO6" s="200">
        <f t="shared" si="11"/>
        <v>5836403.21</v>
      </c>
      <c r="DP6" s="200">
        <f t="shared" si="11"/>
        <v>5836403.21</v>
      </c>
      <c r="DQ6" s="200">
        <f t="shared" si="11"/>
        <v>5836403.21</v>
      </c>
      <c r="DR6" s="200">
        <f t="shared" si="11"/>
        <v>5836403.21</v>
      </c>
      <c r="DS6" s="200">
        <f t="shared" si="11"/>
        <v>5836403.21</v>
      </c>
      <c r="DT6" s="200">
        <f t="shared" si="11"/>
        <v>5836403.21</v>
      </c>
      <c r="DU6" s="200">
        <f t="shared" si="11"/>
        <v>5836403.21</v>
      </c>
      <c r="DV6" s="200">
        <f t="shared" si="11"/>
        <v>5836403.21</v>
      </c>
      <c r="DW6" s="200">
        <f t="shared" si="11"/>
        <v>5836403.21</v>
      </c>
      <c r="DX6" s="200">
        <f t="shared" si="11"/>
        <v>5836403.21</v>
      </c>
      <c r="DY6" s="200">
        <f t="shared" si="11"/>
        <v>5836403.21</v>
      </c>
      <c r="DZ6" s="200">
        <f t="shared" si="11"/>
        <v>5836403.21</v>
      </c>
      <c r="EA6" s="200">
        <f t="shared" si="11"/>
        <v>5836403.21</v>
      </c>
      <c r="EB6" s="200">
        <f t="shared" si="11"/>
        <v>5836403.21</v>
      </c>
      <c r="EC6" s="200">
        <f t="shared" si="11"/>
        <v>5836403.21</v>
      </c>
      <c r="ED6" s="200">
        <f t="shared" si="11"/>
        <v>5836403.21</v>
      </c>
      <c r="EE6" s="200">
        <f t="shared" si="11"/>
        <v>5836403.21</v>
      </c>
      <c r="EF6" s="200">
        <f t="shared" si="11"/>
        <v>5836403.21</v>
      </c>
      <c r="EG6" s="200">
        <f t="shared" ref="EG6:GR6" si="12">EF6+EG5</f>
        <v>5836403.21</v>
      </c>
      <c r="EH6" s="200">
        <f t="shared" si="12"/>
        <v>5836403.21</v>
      </c>
      <c r="EI6" s="200">
        <f t="shared" si="12"/>
        <v>5836403.21</v>
      </c>
      <c r="EJ6" s="200">
        <f t="shared" si="12"/>
        <v>5836403.21</v>
      </c>
      <c r="EK6" s="200">
        <f t="shared" si="12"/>
        <v>5836403.21</v>
      </c>
      <c r="EL6" s="200">
        <f t="shared" si="12"/>
        <v>5836403.21</v>
      </c>
      <c r="EM6" s="200">
        <f t="shared" si="12"/>
        <v>5836403.21</v>
      </c>
      <c r="EN6" s="200">
        <f t="shared" si="12"/>
        <v>5836403.21</v>
      </c>
      <c r="EO6" s="200">
        <f t="shared" si="12"/>
        <v>5836403.21</v>
      </c>
      <c r="EP6" s="200">
        <f t="shared" si="12"/>
        <v>5836403.21</v>
      </c>
      <c r="EQ6" s="200">
        <f t="shared" si="12"/>
        <v>5836403.21</v>
      </c>
      <c r="ER6" s="200">
        <f t="shared" si="12"/>
        <v>5836403.21</v>
      </c>
      <c r="ES6" s="200">
        <f t="shared" si="12"/>
        <v>5836403.21</v>
      </c>
      <c r="ET6" s="200">
        <f t="shared" si="12"/>
        <v>5836403.21</v>
      </c>
      <c r="EU6" s="200">
        <f t="shared" si="12"/>
        <v>5836403.21</v>
      </c>
      <c r="EV6" s="200">
        <f t="shared" si="12"/>
        <v>5836403.21</v>
      </c>
      <c r="EW6" s="200">
        <f t="shared" si="12"/>
        <v>5836403.21</v>
      </c>
      <c r="EX6" s="200">
        <f t="shared" si="12"/>
        <v>5836403.21</v>
      </c>
      <c r="EY6" s="200">
        <f t="shared" si="12"/>
        <v>5836403.21</v>
      </c>
      <c r="EZ6" s="200">
        <f t="shared" si="12"/>
        <v>5836403.21</v>
      </c>
      <c r="FA6" s="200">
        <f t="shared" si="12"/>
        <v>5836403.21</v>
      </c>
      <c r="FB6" s="200">
        <f t="shared" si="12"/>
        <v>5836403.21</v>
      </c>
      <c r="FC6" s="200">
        <f t="shared" si="12"/>
        <v>5836403.21</v>
      </c>
      <c r="FD6" s="200">
        <f t="shared" si="12"/>
        <v>5836403.21</v>
      </c>
      <c r="FE6" s="200">
        <f t="shared" si="12"/>
        <v>5836403.21</v>
      </c>
      <c r="FF6" s="200">
        <f t="shared" si="12"/>
        <v>5836403.21</v>
      </c>
      <c r="FG6" s="200">
        <f t="shared" si="12"/>
        <v>5836403.21</v>
      </c>
      <c r="FH6" s="200">
        <f t="shared" si="12"/>
        <v>5836403.21</v>
      </c>
      <c r="FI6" s="200">
        <f t="shared" si="12"/>
        <v>5836403.21</v>
      </c>
      <c r="FJ6" s="200">
        <f t="shared" si="12"/>
        <v>5836403.21</v>
      </c>
      <c r="FK6" s="200">
        <f t="shared" si="12"/>
        <v>5836403.21</v>
      </c>
      <c r="FL6" s="200">
        <f t="shared" si="12"/>
        <v>5836403.21</v>
      </c>
      <c r="FM6" s="200">
        <f t="shared" si="12"/>
        <v>5836403.21</v>
      </c>
      <c r="FN6" s="200">
        <f t="shared" si="12"/>
        <v>5836403.21</v>
      </c>
      <c r="FO6" s="200">
        <f t="shared" si="12"/>
        <v>5836403.21</v>
      </c>
      <c r="FP6" s="200">
        <f t="shared" si="12"/>
        <v>5836403.21</v>
      </c>
      <c r="FQ6" s="200">
        <f t="shared" si="12"/>
        <v>5836403.21</v>
      </c>
      <c r="FR6" s="200">
        <f t="shared" si="12"/>
        <v>5836403.21</v>
      </c>
      <c r="FS6" s="200">
        <f t="shared" si="12"/>
        <v>5836403.21</v>
      </c>
      <c r="FT6" s="200">
        <f t="shared" si="12"/>
        <v>5836403.21</v>
      </c>
      <c r="FU6" s="200">
        <f t="shared" si="12"/>
        <v>5836403.21</v>
      </c>
      <c r="FV6" s="200">
        <f t="shared" si="12"/>
        <v>5836403.21</v>
      </c>
      <c r="FW6" s="200">
        <f t="shared" si="12"/>
        <v>5836403.21</v>
      </c>
      <c r="FX6" s="200">
        <f t="shared" si="12"/>
        <v>5836403.21</v>
      </c>
      <c r="FY6" s="200">
        <f t="shared" si="12"/>
        <v>5836403.21</v>
      </c>
      <c r="FZ6" s="200">
        <f t="shared" si="12"/>
        <v>5836403.21</v>
      </c>
      <c r="GA6" s="200">
        <f t="shared" si="12"/>
        <v>5836403.21</v>
      </c>
      <c r="GB6" s="200">
        <f t="shared" si="12"/>
        <v>5836403.21</v>
      </c>
      <c r="GC6" s="200">
        <f t="shared" si="12"/>
        <v>5836403.21</v>
      </c>
      <c r="GD6" s="200">
        <f t="shared" si="12"/>
        <v>5836403.21</v>
      </c>
      <c r="GE6" s="200">
        <f t="shared" si="12"/>
        <v>5836403.21</v>
      </c>
      <c r="GF6" s="200">
        <f t="shared" si="12"/>
        <v>5836403.21</v>
      </c>
      <c r="GG6" s="200">
        <f t="shared" si="12"/>
        <v>5836403.21</v>
      </c>
      <c r="GH6" s="200">
        <f t="shared" si="12"/>
        <v>5836403.21</v>
      </c>
      <c r="GI6" s="200">
        <f t="shared" si="12"/>
        <v>5836403.21</v>
      </c>
      <c r="GJ6" s="200">
        <f t="shared" si="12"/>
        <v>5836403.21</v>
      </c>
      <c r="GK6" s="200">
        <f t="shared" si="12"/>
        <v>5836403.21</v>
      </c>
      <c r="GL6" s="200">
        <f t="shared" si="12"/>
        <v>5836403.21</v>
      </c>
      <c r="GM6" s="200">
        <f t="shared" si="12"/>
        <v>5836403.21</v>
      </c>
      <c r="GN6" s="200">
        <f t="shared" si="12"/>
        <v>5836403.21</v>
      </c>
      <c r="GO6" s="200">
        <f t="shared" si="12"/>
        <v>5836403.21</v>
      </c>
      <c r="GP6" s="200">
        <f t="shared" si="12"/>
        <v>5836403.21</v>
      </c>
      <c r="GQ6" s="200">
        <f t="shared" si="12"/>
        <v>5836403.21</v>
      </c>
      <c r="GR6" s="200">
        <f t="shared" si="12"/>
        <v>5836403.21</v>
      </c>
      <c r="GS6" s="200">
        <f t="shared" ref="GS6:JD6" si="13">GR6+GS5</f>
        <v>5836403.21</v>
      </c>
      <c r="GT6" s="200">
        <f t="shared" si="13"/>
        <v>5836403.21</v>
      </c>
      <c r="GU6" s="200">
        <f t="shared" si="13"/>
        <v>5836403.21</v>
      </c>
      <c r="GV6" s="200">
        <f t="shared" si="13"/>
        <v>5836403.21</v>
      </c>
      <c r="GW6" s="200">
        <f t="shared" si="13"/>
        <v>5836403.21</v>
      </c>
      <c r="GX6" s="200">
        <f t="shared" si="13"/>
        <v>5836403.21</v>
      </c>
      <c r="GY6" s="200">
        <f t="shared" si="13"/>
        <v>5836403.21</v>
      </c>
      <c r="GZ6" s="200">
        <f t="shared" si="13"/>
        <v>5836403.21</v>
      </c>
      <c r="HA6" s="200">
        <f t="shared" si="13"/>
        <v>5836403.21</v>
      </c>
      <c r="HB6" s="200">
        <f t="shared" si="13"/>
        <v>5836403.21</v>
      </c>
      <c r="HC6" s="200">
        <f t="shared" si="13"/>
        <v>5836403.21</v>
      </c>
      <c r="HD6" s="200">
        <f t="shared" si="13"/>
        <v>5836403.21</v>
      </c>
      <c r="HE6" s="200">
        <f t="shared" si="13"/>
        <v>5836403.21</v>
      </c>
      <c r="HF6" s="200">
        <f t="shared" si="13"/>
        <v>5836403.21</v>
      </c>
      <c r="HG6" s="200">
        <f t="shared" si="13"/>
        <v>5836403.21</v>
      </c>
      <c r="HH6" s="200">
        <f t="shared" si="13"/>
        <v>5836403.21</v>
      </c>
      <c r="HI6" s="200">
        <f t="shared" si="13"/>
        <v>5836403.21</v>
      </c>
      <c r="HJ6" s="200">
        <f t="shared" si="13"/>
        <v>5836403.21</v>
      </c>
      <c r="HK6" s="200">
        <f t="shared" si="13"/>
        <v>5836403.21</v>
      </c>
      <c r="HL6" s="200">
        <f t="shared" si="13"/>
        <v>5836403.21</v>
      </c>
      <c r="HM6" s="200">
        <f t="shared" si="13"/>
        <v>5836403.21</v>
      </c>
      <c r="HN6" s="200">
        <f t="shared" si="13"/>
        <v>5836403.21</v>
      </c>
      <c r="HO6" s="200">
        <f t="shared" si="13"/>
        <v>5836403.21</v>
      </c>
      <c r="HP6" s="200">
        <f t="shared" si="13"/>
        <v>5836403.21</v>
      </c>
      <c r="HQ6" s="200">
        <f t="shared" si="13"/>
        <v>5836403.21</v>
      </c>
      <c r="HR6" s="200">
        <f t="shared" si="13"/>
        <v>5836403.21</v>
      </c>
      <c r="HS6" s="200">
        <f t="shared" si="13"/>
        <v>5836403.21</v>
      </c>
      <c r="HT6" s="200">
        <f t="shared" si="13"/>
        <v>5836403.21</v>
      </c>
      <c r="HU6" s="200">
        <f t="shared" si="13"/>
        <v>5836403.21</v>
      </c>
      <c r="HV6" s="200">
        <f t="shared" si="13"/>
        <v>5836403.21</v>
      </c>
      <c r="HW6" s="200">
        <f t="shared" si="13"/>
        <v>5836403.21</v>
      </c>
      <c r="HX6" s="200">
        <f t="shared" si="13"/>
        <v>5836403.21</v>
      </c>
      <c r="HY6" s="200">
        <f t="shared" si="13"/>
        <v>5836403.21</v>
      </c>
      <c r="HZ6" s="200">
        <f t="shared" si="13"/>
        <v>5836403.21</v>
      </c>
      <c r="IA6" s="200">
        <f t="shared" si="13"/>
        <v>5836403.21</v>
      </c>
      <c r="IB6" s="200">
        <f t="shared" si="13"/>
        <v>5836403.21</v>
      </c>
      <c r="IC6" s="200">
        <f t="shared" si="13"/>
        <v>5836403.21</v>
      </c>
      <c r="ID6" s="200">
        <f t="shared" si="13"/>
        <v>5836403.21</v>
      </c>
      <c r="IE6" s="200">
        <f t="shared" si="13"/>
        <v>5836403.21</v>
      </c>
      <c r="IF6" s="200">
        <f t="shared" si="13"/>
        <v>5836403.21</v>
      </c>
      <c r="IG6" s="200">
        <f t="shared" si="13"/>
        <v>5836403.21</v>
      </c>
      <c r="IH6" s="200">
        <f t="shared" si="13"/>
        <v>5836403.21</v>
      </c>
      <c r="II6" s="200">
        <f t="shared" si="13"/>
        <v>5836403.21</v>
      </c>
      <c r="IJ6" s="200">
        <f t="shared" si="13"/>
        <v>5836403.21</v>
      </c>
      <c r="IK6" s="200">
        <f t="shared" si="13"/>
        <v>5836403.21</v>
      </c>
      <c r="IL6" s="200">
        <f t="shared" si="13"/>
        <v>5836403.21</v>
      </c>
      <c r="IM6" s="200">
        <f t="shared" si="13"/>
        <v>5836403.21</v>
      </c>
      <c r="IN6" s="200">
        <f t="shared" si="13"/>
        <v>5836403.21</v>
      </c>
      <c r="IO6" s="200">
        <f t="shared" si="13"/>
        <v>5836403.21</v>
      </c>
      <c r="IP6" s="200">
        <f t="shared" si="13"/>
        <v>5836403.21</v>
      </c>
      <c r="IQ6" s="200">
        <f t="shared" si="13"/>
        <v>5836403.21</v>
      </c>
      <c r="IR6" s="200">
        <f t="shared" si="13"/>
        <v>5836403.21</v>
      </c>
      <c r="IS6" s="200">
        <f t="shared" si="13"/>
        <v>5836403.21</v>
      </c>
      <c r="IT6" s="200">
        <f t="shared" si="13"/>
        <v>5836403.21</v>
      </c>
      <c r="IU6" s="200">
        <f t="shared" si="13"/>
        <v>5836403.21</v>
      </c>
      <c r="IV6" s="200">
        <f t="shared" si="13"/>
        <v>5836403.21</v>
      </c>
      <c r="IW6" s="200">
        <f t="shared" si="13"/>
        <v>5836403.21</v>
      </c>
      <c r="IX6" s="200">
        <f t="shared" si="13"/>
        <v>5836403.21</v>
      </c>
      <c r="IY6" s="200">
        <f t="shared" si="13"/>
        <v>5836403.21</v>
      </c>
      <c r="IZ6" s="200">
        <f t="shared" si="13"/>
        <v>5836403.21</v>
      </c>
      <c r="JA6" s="200">
        <f t="shared" si="13"/>
        <v>5836403.21</v>
      </c>
      <c r="JB6" s="200">
        <f t="shared" si="13"/>
        <v>5836403.21</v>
      </c>
      <c r="JC6" s="200">
        <f t="shared" si="13"/>
        <v>5836403.21</v>
      </c>
      <c r="JD6" s="200">
        <f t="shared" si="13"/>
        <v>5836403.21</v>
      </c>
      <c r="JE6" s="200">
        <f t="shared" ref="JE6:LD6" si="14">JD6+JE5</f>
        <v>5836403.21</v>
      </c>
      <c r="JF6" s="200">
        <f t="shared" si="14"/>
        <v>5836403.21</v>
      </c>
      <c r="JG6" s="200">
        <f t="shared" si="14"/>
        <v>5836403.21</v>
      </c>
      <c r="JH6" s="200">
        <f t="shared" si="14"/>
        <v>5836403.21</v>
      </c>
      <c r="JI6" s="200">
        <f t="shared" si="14"/>
        <v>5836403.21</v>
      </c>
      <c r="JJ6" s="200">
        <f t="shared" si="14"/>
        <v>5836403.21</v>
      </c>
      <c r="JK6" s="200">
        <f t="shared" si="14"/>
        <v>5836403.21</v>
      </c>
      <c r="JL6" s="200">
        <f t="shared" si="14"/>
        <v>5836403.21</v>
      </c>
      <c r="JM6" s="200">
        <f t="shared" si="14"/>
        <v>5836403.21</v>
      </c>
      <c r="JN6" s="200">
        <f t="shared" si="14"/>
        <v>5836403.21</v>
      </c>
      <c r="JO6" s="200">
        <f t="shared" si="14"/>
        <v>5836403.21</v>
      </c>
      <c r="JP6" s="200">
        <f t="shared" si="14"/>
        <v>5836403.21</v>
      </c>
      <c r="JQ6" s="200">
        <f t="shared" si="14"/>
        <v>5836403.21</v>
      </c>
      <c r="JR6" s="200">
        <f t="shared" si="14"/>
        <v>5836403.21</v>
      </c>
      <c r="JS6" s="200">
        <f t="shared" si="14"/>
        <v>5836403.21</v>
      </c>
      <c r="JT6" s="200">
        <f t="shared" si="14"/>
        <v>5836403.21</v>
      </c>
      <c r="JU6" s="200">
        <f t="shared" si="14"/>
        <v>5836403.21</v>
      </c>
      <c r="JV6" s="200">
        <f t="shared" si="14"/>
        <v>5836403.21</v>
      </c>
      <c r="JW6" s="200">
        <f t="shared" si="14"/>
        <v>5836403.21</v>
      </c>
      <c r="JX6" s="200">
        <f t="shared" si="14"/>
        <v>5836403.21</v>
      </c>
      <c r="JY6" s="200">
        <f t="shared" si="14"/>
        <v>5836403.21</v>
      </c>
      <c r="JZ6" s="200">
        <f t="shared" si="14"/>
        <v>5836403.21</v>
      </c>
      <c r="KA6" s="200">
        <f t="shared" si="14"/>
        <v>5836403.21</v>
      </c>
      <c r="KB6" s="200">
        <f t="shared" si="14"/>
        <v>5836403.21</v>
      </c>
      <c r="KC6" s="200">
        <f t="shared" si="14"/>
        <v>5836403.21</v>
      </c>
      <c r="KD6" s="200">
        <f t="shared" si="14"/>
        <v>5836403.21</v>
      </c>
      <c r="KE6" s="200">
        <f t="shared" si="14"/>
        <v>5836403.21</v>
      </c>
      <c r="KF6" s="200">
        <f t="shared" si="14"/>
        <v>5836403.21</v>
      </c>
      <c r="KG6" s="200">
        <f t="shared" si="14"/>
        <v>5836403.21</v>
      </c>
      <c r="KH6" s="200">
        <f t="shared" si="14"/>
        <v>5836403.21</v>
      </c>
      <c r="KI6" s="200">
        <f t="shared" si="14"/>
        <v>5836403.21</v>
      </c>
      <c r="KJ6" s="200">
        <f t="shared" si="14"/>
        <v>5836403.21</v>
      </c>
      <c r="KK6" s="200">
        <f t="shared" si="14"/>
        <v>5836403.21</v>
      </c>
      <c r="KL6" s="200">
        <f t="shared" si="14"/>
        <v>5836403.21</v>
      </c>
      <c r="KM6" s="200">
        <f t="shared" si="14"/>
        <v>5836403.21</v>
      </c>
      <c r="KN6" s="200">
        <f t="shared" si="14"/>
        <v>5836403.21</v>
      </c>
      <c r="KO6" s="200">
        <f t="shared" si="14"/>
        <v>5836403.21</v>
      </c>
      <c r="KP6" s="200">
        <f t="shared" si="14"/>
        <v>5836403.21</v>
      </c>
      <c r="KQ6" s="200">
        <f t="shared" si="14"/>
        <v>5836403.21</v>
      </c>
      <c r="KR6" s="200">
        <f t="shared" si="14"/>
        <v>5836403.21</v>
      </c>
      <c r="KS6" s="200">
        <f t="shared" si="14"/>
        <v>5836403.21</v>
      </c>
      <c r="KT6" s="200">
        <f t="shared" si="14"/>
        <v>5836403.21</v>
      </c>
      <c r="KU6" s="200">
        <f t="shared" si="14"/>
        <v>5836403.21</v>
      </c>
      <c r="KV6" s="200">
        <f t="shared" si="14"/>
        <v>5836403.21</v>
      </c>
      <c r="KW6" s="200">
        <f t="shared" si="14"/>
        <v>5836403.21</v>
      </c>
      <c r="KX6" s="200">
        <f t="shared" si="14"/>
        <v>5836403.21</v>
      </c>
      <c r="KY6" s="200">
        <f t="shared" si="14"/>
        <v>5836403.21</v>
      </c>
      <c r="KZ6" s="200">
        <f t="shared" si="14"/>
        <v>5836403.21</v>
      </c>
      <c r="LA6" s="200">
        <f t="shared" si="14"/>
        <v>5836403.21</v>
      </c>
      <c r="LB6" s="200">
        <f t="shared" si="14"/>
        <v>5836403.21</v>
      </c>
      <c r="LC6" s="200">
        <f t="shared" si="14"/>
        <v>5836403.21</v>
      </c>
      <c r="LD6" s="200">
        <f t="shared" si="14"/>
        <v>5836403.21</v>
      </c>
      <c r="LE6" s="190"/>
      <c r="LF6" s="201"/>
    </row>
    <row r="7" spans="1:794">
      <c r="A7" s="810"/>
      <c r="B7" s="203" t="s">
        <v>401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2324104.2579999999</v>
      </c>
      <c r="U7" s="206">
        <f t="shared" si="16"/>
        <v>2316229.2579999999</v>
      </c>
      <c r="V7" s="206">
        <f t="shared" si="16"/>
        <v>316229.25799999991</v>
      </c>
      <c r="W7" s="206">
        <f t="shared" si="16"/>
        <v>316229.25799999991</v>
      </c>
      <c r="X7" s="206">
        <f t="shared" si="16"/>
        <v>316229.25799999991</v>
      </c>
      <c r="Y7" s="206">
        <f t="shared" si="16"/>
        <v>316229.25799999991</v>
      </c>
      <c r="Z7" s="206">
        <f t="shared" si="16"/>
        <v>316229.25799999991</v>
      </c>
      <c r="AA7" s="206">
        <f t="shared" si="16"/>
        <v>316229.25799999991</v>
      </c>
      <c r="AB7" s="206">
        <f t="shared" si="16"/>
        <v>316229.25799999991</v>
      </c>
      <c r="AC7" s="206">
        <f t="shared" si="16"/>
        <v>316229.25799999991</v>
      </c>
      <c r="AD7" s="206">
        <f t="shared" si="16"/>
        <v>316229.25799999991</v>
      </c>
      <c r="AE7" s="206">
        <f t="shared" si="16"/>
        <v>316229.25799999991</v>
      </c>
      <c r="AF7" s="206">
        <f t="shared" si="16"/>
        <v>222182.25799999991</v>
      </c>
      <c r="AG7" s="206">
        <f t="shared" si="16"/>
        <v>48182.257999999914</v>
      </c>
      <c r="AH7" s="206">
        <f t="shared" si="16"/>
        <v>48182.257999999914</v>
      </c>
      <c r="AI7" s="206">
        <f t="shared" si="16"/>
        <v>946625.3339999998</v>
      </c>
      <c r="AJ7" s="206">
        <f t="shared" si="16"/>
        <v>946625.3339999998</v>
      </c>
      <c r="AK7" s="206">
        <f t="shared" si="16"/>
        <v>-562127.53600000031</v>
      </c>
      <c r="AL7" s="206">
        <f t="shared" si="16"/>
        <v>-562127.53600000031</v>
      </c>
      <c r="AM7" s="206">
        <f t="shared" si="16"/>
        <v>-562127.53600000031</v>
      </c>
      <c r="AN7" s="206">
        <f t="shared" si="16"/>
        <v>-562127.53600000031</v>
      </c>
      <c r="AO7" s="206">
        <f t="shared" si="16"/>
        <v>-2184239.3760000002</v>
      </c>
      <c r="AP7" s="206">
        <f t="shared" si="16"/>
        <v>-2184239.3760000002</v>
      </c>
      <c r="AQ7" s="206">
        <f t="shared" si="16"/>
        <v>-2184239.3760000002</v>
      </c>
      <c r="AR7" s="206">
        <f t="shared" si="16"/>
        <v>-2184239.3760000002</v>
      </c>
      <c r="AS7" s="206">
        <f t="shared" si="16"/>
        <v>-2184239.3760000002</v>
      </c>
      <c r="AT7" s="206">
        <f t="shared" si="16"/>
        <v>-192150.0120000001</v>
      </c>
      <c r="AU7" s="206">
        <f t="shared" si="16"/>
        <v>-192150.0120000001</v>
      </c>
      <c r="AV7" s="206">
        <f t="shared" si="16"/>
        <v>-192150.0120000001</v>
      </c>
      <c r="AW7" s="206">
        <f t="shared" si="16"/>
        <v>803894.66999999993</v>
      </c>
      <c r="AX7" s="206">
        <f t="shared" si="16"/>
        <v>2797263.3656521747</v>
      </c>
      <c r="AY7" s="206">
        <f t="shared" si="16"/>
        <v>2797263.3656521747</v>
      </c>
      <c r="AZ7" s="206">
        <f t="shared" si="16"/>
        <v>2797263.3656521747</v>
      </c>
      <c r="BA7" s="206">
        <f t="shared" si="16"/>
        <v>2797263.3656521747</v>
      </c>
      <c r="BB7" s="206">
        <f t="shared" si="16"/>
        <v>2797263.3656521747</v>
      </c>
      <c r="BC7" s="206">
        <f t="shared" si="16"/>
        <v>2797263.3656521747</v>
      </c>
      <c r="BD7" s="206">
        <f t="shared" si="16"/>
        <v>2797263.3656521747</v>
      </c>
      <c r="BE7" s="206">
        <f t="shared" si="16"/>
        <v>2797263.3656521747</v>
      </c>
      <c r="BF7" s="206">
        <f t="shared" si="16"/>
        <v>2797263.3656521747</v>
      </c>
      <c r="BG7" s="206">
        <f t="shared" si="16"/>
        <v>2797263.3656521747</v>
      </c>
      <c r="BH7" s="206">
        <f t="shared" si="16"/>
        <v>2797263.3656521747</v>
      </c>
      <c r="BI7" s="206">
        <f t="shared" si="16"/>
        <v>2797263.3656521747</v>
      </c>
      <c r="BJ7" s="206">
        <f t="shared" si="16"/>
        <v>2797263.3656521747</v>
      </c>
      <c r="BK7" s="206">
        <f t="shared" si="16"/>
        <v>2797263.3656521747</v>
      </c>
      <c r="BL7" s="206">
        <f t="shared" si="16"/>
        <v>2797263.3656521747</v>
      </c>
      <c r="BM7" s="206">
        <f t="shared" si="16"/>
        <v>2797263.3656521747</v>
      </c>
      <c r="BN7" s="206">
        <f t="shared" si="16"/>
        <v>2797263.3656521747</v>
      </c>
      <c r="BO7" s="206">
        <f t="shared" si="16"/>
        <v>2797263.3656521747</v>
      </c>
      <c r="BP7" s="206">
        <f t="shared" si="16"/>
        <v>2797263.3656521747</v>
      </c>
      <c r="BQ7" s="206">
        <f t="shared" si="16"/>
        <v>2797263.3656521747</v>
      </c>
      <c r="BR7" s="206">
        <f t="shared" si="16"/>
        <v>2797263.3656521747</v>
      </c>
      <c r="BS7" s="206">
        <f t="shared" si="16"/>
        <v>2797263.3656521747</v>
      </c>
      <c r="BT7" s="206">
        <f t="shared" si="16"/>
        <v>2797263.3656521747</v>
      </c>
      <c r="BU7" s="206">
        <f t="shared" ref="BU7:EF7" si="17">BU4-BU6</f>
        <v>2797263.3656521747</v>
      </c>
      <c r="BV7" s="206">
        <f t="shared" si="17"/>
        <v>2797263.3656521747</v>
      </c>
      <c r="BW7" s="206">
        <f t="shared" si="17"/>
        <v>2797263.3656521747</v>
      </c>
      <c r="BX7" s="206">
        <f t="shared" si="17"/>
        <v>2797263.3656521747</v>
      </c>
      <c r="BY7" s="206">
        <f t="shared" si="17"/>
        <v>2797263.3656521747</v>
      </c>
      <c r="BZ7" s="206">
        <f t="shared" si="17"/>
        <v>2797263.3656521747</v>
      </c>
      <c r="CA7" s="206">
        <f t="shared" si="17"/>
        <v>2797263.3656521747</v>
      </c>
      <c r="CB7" s="206">
        <f t="shared" si="17"/>
        <v>2797263.3656521747</v>
      </c>
      <c r="CC7" s="206">
        <f t="shared" si="17"/>
        <v>2797263.3656521747</v>
      </c>
      <c r="CD7" s="206">
        <f t="shared" si="17"/>
        <v>2797263.3656521747</v>
      </c>
      <c r="CE7" s="206">
        <f t="shared" si="17"/>
        <v>2797263.3656521747</v>
      </c>
      <c r="CF7" s="206">
        <f t="shared" si="17"/>
        <v>2797263.3656521747</v>
      </c>
      <c r="CG7" s="206">
        <f t="shared" si="17"/>
        <v>2797263.3656521747</v>
      </c>
      <c r="CH7" s="206">
        <f t="shared" si="17"/>
        <v>2797263.3656521747</v>
      </c>
      <c r="CI7" s="206">
        <f t="shared" si="17"/>
        <v>2797263.3656521747</v>
      </c>
      <c r="CJ7" s="206">
        <f t="shared" si="17"/>
        <v>2797263.3656521747</v>
      </c>
      <c r="CK7" s="206">
        <f t="shared" si="17"/>
        <v>2797263.3656521747</v>
      </c>
      <c r="CL7" s="206">
        <f t="shared" si="17"/>
        <v>2797263.3656521747</v>
      </c>
      <c r="CM7" s="206">
        <f t="shared" si="17"/>
        <v>2797263.3656521747</v>
      </c>
      <c r="CN7" s="206">
        <f t="shared" si="17"/>
        <v>2797263.3656521747</v>
      </c>
      <c r="CO7" s="206">
        <f t="shared" si="17"/>
        <v>2797263.3656521747</v>
      </c>
      <c r="CP7" s="206">
        <f t="shared" si="17"/>
        <v>2797263.3656521747</v>
      </c>
      <c r="CQ7" s="206">
        <f t="shared" si="17"/>
        <v>2797263.3656521747</v>
      </c>
      <c r="CR7" s="206">
        <f t="shared" si="17"/>
        <v>2797263.3656521747</v>
      </c>
      <c r="CS7" s="206">
        <f t="shared" si="17"/>
        <v>2797263.3656521747</v>
      </c>
      <c r="CT7" s="206">
        <f t="shared" si="17"/>
        <v>2797263.3656521747</v>
      </c>
      <c r="CU7" s="206">
        <f t="shared" si="17"/>
        <v>2797263.3656521747</v>
      </c>
      <c r="CV7" s="206">
        <f t="shared" si="17"/>
        <v>2797263.3656521747</v>
      </c>
      <c r="CW7" s="206">
        <f t="shared" si="17"/>
        <v>2797263.3656521747</v>
      </c>
      <c r="CX7" s="206">
        <f t="shared" si="17"/>
        <v>2797263.3656521747</v>
      </c>
      <c r="CY7" s="206">
        <f t="shared" si="17"/>
        <v>2797263.3656521747</v>
      </c>
      <c r="CZ7" s="206">
        <f t="shared" si="17"/>
        <v>2797263.3656521747</v>
      </c>
      <c r="DA7" s="206">
        <f t="shared" si="17"/>
        <v>2797263.3656521747</v>
      </c>
      <c r="DB7" s="206">
        <f t="shared" si="17"/>
        <v>2797263.3656521747</v>
      </c>
      <c r="DC7" s="206">
        <f t="shared" si="17"/>
        <v>2797263.3656521747</v>
      </c>
      <c r="DD7" s="206">
        <f t="shared" si="17"/>
        <v>2797263.3656521747</v>
      </c>
      <c r="DE7" s="206">
        <f t="shared" si="17"/>
        <v>2797263.3656521747</v>
      </c>
      <c r="DF7" s="206">
        <f t="shared" si="17"/>
        <v>2797263.3656521747</v>
      </c>
      <c r="DG7" s="206">
        <f t="shared" si="17"/>
        <v>2797263.3656521747</v>
      </c>
      <c r="DH7" s="206">
        <f t="shared" si="17"/>
        <v>2797263.3656521747</v>
      </c>
      <c r="DI7" s="206">
        <f t="shared" si="17"/>
        <v>2797263.3656521747</v>
      </c>
      <c r="DJ7" s="206">
        <f t="shared" si="17"/>
        <v>2797263.3656521747</v>
      </c>
      <c r="DK7" s="206">
        <f t="shared" si="17"/>
        <v>2797263.3656521747</v>
      </c>
      <c r="DL7" s="206">
        <f t="shared" si="17"/>
        <v>2797263.3656521747</v>
      </c>
      <c r="DM7" s="206">
        <f t="shared" si="17"/>
        <v>2797263.3656521747</v>
      </c>
      <c r="DN7" s="206">
        <f t="shared" si="17"/>
        <v>2797263.3656521747</v>
      </c>
      <c r="DO7" s="206">
        <f t="shared" si="17"/>
        <v>2797263.3656521747</v>
      </c>
      <c r="DP7" s="206">
        <f t="shared" si="17"/>
        <v>2797263.3656521747</v>
      </c>
      <c r="DQ7" s="206">
        <f t="shared" si="17"/>
        <v>2797263.3656521747</v>
      </c>
      <c r="DR7" s="206">
        <f t="shared" si="17"/>
        <v>2797263.3656521747</v>
      </c>
      <c r="DS7" s="206">
        <f t="shared" si="17"/>
        <v>2797263.3656521747</v>
      </c>
      <c r="DT7" s="206">
        <f t="shared" si="17"/>
        <v>2797263.3656521747</v>
      </c>
      <c r="DU7" s="206">
        <f t="shared" si="17"/>
        <v>2797263.3656521747</v>
      </c>
      <c r="DV7" s="206">
        <f t="shared" si="17"/>
        <v>2797263.3656521747</v>
      </c>
      <c r="DW7" s="206">
        <f t="shared" si="17"/>
        <v>2797263.3656521747</v>
      </c>
      <c r="DX7" s="206">
        <f t="shared" si="17"/>
        <v>2797263.3656521747</v>
      </c>
      <c r="DY7" s="206">
        <f t="shared" si="17"/>
        <v>2797263.3656521747</v>
      </c>
      <c r="DZ7" s="206">
        <f t="shared" si="17"/>
        <v>2797263.3656521747</v>
      </c>
      <c r="EA7" s="206">
        <f t="shared" si="17"/>
        <v>2797263.3656521747</v>
      </c>
      <c r="EB7" s="206">
        <f t="shared" si="17"/>
        <v>2797263.3656521747</v>
      </c>
      <c r="EC7" s="206">
        <f t="shared" si="17"/>
        <v>2797263.3656521747</v>
      </c>
      <c r="ED7" s="206">
        <f t="shared" si="17"/>
        <v>2797263.3656521747</v>
      </c>
      <c r="EE7" s="206">
        <f t="shared" si="17"/>
        <v>2797263.3656521747</v>
      </c>
      <c r="EF7" s="206">
        <f t="shared" si="17"/>
        <v>2797263.3656521747</v>
      </c>
      <c r="EG7" s="206">
        <f t="shared" ref="EG7:GR7" si="18">EG4-EG6</f>
        <v>2797263.3656521747</v>
      </c>
      <c r="EH7" s="206">
        <f t="shared" si="18"/>
        <v>2797263.3656521747</v>
      </c>
      <c r="EI7" s="206">
        <f t="shared" si="18"/>
        <v>2797263.3656521747</v>
      </c>
      <c r="EJ7" s="206">
        <f t="shared" si="18"/>
        <v>2797263.3656521747</v>
      </c>
      <c r="EK7" s="206">
        <f t="shared" si="18"/>
        <v>2797263.3656521747</v>
      </c>
      <c r="EL7" s="206">
        <f t="shared" si="18"/>
        <v>2797263.3656521747</v>
      </c>
      <c r="EM7" s="206">
        <f t="shared" si="18"/>
        <v>2797263.3656521747</v>
      </c>
      <c r="EN7" s="206">
        <f t="shared" si="18"/>
        <v>2797263.3656521747</v>
      </c>
      <c r="EO7" s="206">
        <f t="shared" si="18"/>
        <v>2797263.3656521747</v>
      </c>
      <c r="EP7" s="206">
        <f t="shared" si="18"/>
        <v>2797263.3656521747</v>
      </c>
      <c r="EQ7" s="206">
        <f t="shared" si="18"/>
        <v>2797263.3656521747</v>
      </c>
      <c r="ER7" s="206">
        <f t="shared" si="18"/>
        <v>2797263.3656521747</v>
      </c>
      <c r="ES7" s="206">
        <f t="shared" si="18"/>
        <v>2797263.3656521747</v>
      </c>
      <c r="ET7" s="206">
        <f t="shared" si="18"/>
        <v>2797263.3656521747</v>
      </c>
      <c r="EU7" s="206">
        <f t="shared" si="18"/>
        <v>2797263.3656521747</v>
      </c>
      <c r="EV7" s="206">
        <f t="shared" si="18"/>
        <v>2797263.3656521747</v>
      </c>
      <c r="EW7" s="206">
        <f t="shared" si="18"/>
        <v>2797263.3656521747</v>
      </c>
      <c r="EX7" s="206">
        <f t="shared" si="18"/>
        <v>2797263.3656521747</v>
      </c>
      <c r="EY7" s="206">
        <f t="shared" si="18"/>
        <v>2797263.3656521747</v>
      </c>
      <c r="EZ7" s="206">
        <f t="shared" si="18"/>
        <v>2797263.3656521747</v>
      </c>
      <c r="FA7" s="206">
        <f t="shared" si="18"/>
        <v>2797263.3656521747</v>
      </c>
      <c r="FB7" s="206">
        <f t="shared" si="18"/>
        <v>2797263.3656521747</v>
      </c>
      <c r="FC7" s="206">
        <f t="shared" si="18"/>
        <v>2797263.3656521747</v>
      </c>
      <c r="FD7" s="206">
        <f t="shared" si="18"/>
        <v>2797263.3656521747</v>
      </c>
      <c r="FE7" s="206">
        <f t="shared" si="18"/>
        <v>2797263.3656521747</v>
      </c>
      <c r="FF7" s="206">
        <f t="shared" si="18"/>
        <v>2797263.3656521747</v>
      </c>
      <c r="FG7" s="206">
        <f t="shared" si="18"/>
        <v>2797263.3656521747</v>
      </c>
      <c r="FH7" s="206">
        <f t="shared" si="18"/>
        <v>2797263.3656521747</v>
      </c>
      <c r="FI7" s="206">
        <f t="shared" si="18"/>
        <v>2797263.3656521747</v>
      </c>
      <c r="FJ7" s="206">
        <f t="shared" si="18"/>
        <v>2797263.3656521747</v>
      </c>
      <c r="FK7" s="206">
        <f t="shared" si="18"/>
        <v>2797263.3656521747</v>
      </c>
      <c r="FL7" s="206">
        <f t="shared" si="18"/>
        <v>2797263.3656521747</v>
      </c>
      <c r="FM7" s="206">
        <f t="shared" si="18"/>
        <v>2797263.3656521747</v>
      </c>
      <c r="FN7" s="206">
        <f t="shared" si="18"/>
        <v>2797263.3656521747</v>
      </c>
      <c r="FO7" s="206">
        <f t="shared" si="18"/>
        <v>2797263.3656521747</v>
      </c>
      <c r="FP7" s="206">
        <f t="shared" si="18"/>
        <v>2797263.3656521747</v>
      </c>
      <c r="FQ7" s="206">
        <f t="shared" si="18"/>
        <v>2797263.3656521747</v>
      </c>
      <c r="FR7" s="206">
        <f t="shared" si="18"/>
        <v>2797263.3656521747</v>
      </c>
      <c r="FS7" s="206">
        <f t="shared" si="18"/>
        <v>2797263.3656521747</v>
      </c>
      <c r="FT7" s="206">
        <f t="shared" si="18"/>
        <v>2797263.3656521747</v>
      </c>
      <c r="FU7" s="206">
        <f t="shared" si="18"/>
        <v>2797263.3656521747</v>
      </c>
      <c r="FV7" s="206">
        <f t="shared" si="18"/>
        <v>2797263.3656521747</v>
      </c>
      <c r="FW7" s="206">
        <f t="shared" si="18"/>
        <v>2797263.3656521747</v>
      </c>
      <c r="FX7" s="206">
        <f t="shared" si="18"/>
        <v>2797263.3656521747</v>
      </c>
      <c r="FY7" s="206">
        <f t="shared" si="18"/>
        <v>2797263.3656521747</v>
      </c>
      <c r="FZ7" s="206">
        <f t="shared" si="18"/>
        <v>2797263.3656521747</v>
      </c>
      <c r="GA7" s="206">
        <f t="shared" si="18"/>
        <v>2797263.3656521747</v>
      </c>
      <c r="GB7" s="206">
        <f t="shared" si="18"/>
        <v>2797263.3656521747</v>
      </c>
      <c r="GC7" s="206">
        <f t="shared" si="18"/>
        <v>2797263.3656521747</v>
      </c>
      <c r="GD7" s="206">
        <f t="shared" si="18"/>
        <v>2797263.3656521747</v>
      </c>
      <c r="GE7" s="206">
        <f t="shared" si="18"/>
        <v>2797263.3656521747</v>
      </c>
      <c r="GF7" s="206">
        <f t="shared" si="18"/>
        <v>2797263.3656521747</v>
      </c>
      <c r="GG7" s="206">
        <f t="shared" si="18"/>
        <v>2797263.3656521747</v>
      </c>
      <c r="GH7" s="206">
        <f t="shared" si="18"/>
        <v>2797263.3656521747</v>
      </c>
      <c r="GI7" s="206">
        <f t="shared" si="18"/>
        <v>2797263.3656521747</v>
      </c>
      <c r="GJ7" s="206">
        <f t="shared" si="18"/>
        <v>2797263.3656521747</v>
      </c>
      <c r="GK7" s="206">
        <f t="shared" si="18"/>
        <v>2797263.3656521747</v>
      </c>
      <c r="GL7" s="206">
        <f t="shared" si="18"/>
        <v>2797263.3656521747</v>
      </c>
      <c r="GM7" s="206">
        <f t="shared" si="18"/>
        <v>2797263.3656521747</v>
      </c>
      <c r="GN7" s="206">
        <f t="shared" si="18"/>
        <v>2797263.3656521747</v>
      </c>
      <c r="GO7" s="206">
        <f t="shared" si="18"/>
        <v>2797263.3656521747</v>
      </c>
      <c r="GP7" s="206">
        <f t="shared" si="18"/>
        <v>2797263.3656521747</v>
      </c>
      <c r="GQ7" s="206">
        <f t="shared" si="18"/>
        <v>2797263.3656521747</v>
      </c>
      <c r="GR7" s="206">
        <f t="shared" si="18"/>
        <v>2797263.3656521747</v>
      </c>
      <c r="GS7" s="206">
        <f t="shared" ref="GS7:JD7" si="19">GS4-GS6</f>
        <v>2797263.3656521747</v>
      </c>
      <c r="GT7" s="206">
        <f t="shared" si="19"/>
        <v>2797263.3656521747</v>
      </c>
      <c r="GU7" s="206">
        <f t="shared" si="19"/>
        <v>2797263.3656521747</v>
      </c>
      <c r="GV7" s="206">
        <f t="shared" si="19"/>
        <v>2797263.3656521747</v>
      </c>
      <c r="GW7" s="206">
        <f t="shared" si="19"/>
        <v>2797263.3656521747</v>
      </c>
      <c r="GX7" s="206">
        <f t="shared" si="19"/>
        <v>2797263.3656521747</v>
      </c>
      <c r="GY7" s="206">
        <f t="shared" si="19"/>
        <v>2797263.3656521747</v>
      </c>
      <c r="GZ7" s="206">
        <f t="shared" si="19"/>
        <v>2797263.3656521747</v>
      </c>
      <c r="HA7" s="206">
        <f t="shared" si="19"/>
        <v>2797263.3656521747</v>
      </c>
      <c r="HB7" s="206">
        <f t="shared" si="19"/>
        <v>2797263.3656521747</v>
      </c>
      <c r="HC7" s="206">
        <f t="shared" si="19"/>
        <v>2797263.3656521747</v>
      </c>
      <c r="HD7" s="206">
        <f t="shared" si="19"/>
        <v>2797263.3656521747</v>
      </c>
      <c r="HE7" s="206">
        <f t="shared" si="19"/>
        <v>2797263.3656521747</v>
      </c>
      <c r="HF7" s="206">
        <f t="shared" si="19"/>
        <v>2797263.3656521747</v>
      </c>
      <c r="HG7" s="206">
        <f t="shared" si="19"/>
        <v>2797263.3656521747</v>
      </c>
      <c r="HH7" s="206">
        <f t="shared" si="19"/>
        <v>2797263.3656521747</v>
      </c>
      <c r="HI7" s="206">
        <f t="shared" si="19"/>
        <v>2797263.3656521747</v>
      </c>
      <c r="HJ7" s="206">
        <f t="shared" si="19"/>
        <v>2797263.3656521747</v>
      </c>
      <c r="HK7" s="206">
        <f t="shared" si="19"/>
        <v>2797263.3656521747</v>
      </c>
      <c r="HL7" s="206">
        <f t="shared" si="19"/>
        <v>2797263.3656521747</v>
      </c>
      <c r="HM7" s="206">
        <f t="shared" si="19"/>
        <v>2797263.3656521747</v>
      </c>
      <c r="HN7" s="206">
        <f t="shared" si="19"/>
        <v>2797263.3656521747</v>
      </c>
      <c r="HO7" s="206">
        <f t="shared" si="19"/>
        <v>2797263.3656521747</v>
      </c>
      <c r="HP7" s="206">
        <f t="shared" si="19"/>
        <v>2797263.3656521747</v>
      </c>
      <c r="HQ7" s="206">
        <f t="shared" si="19"/>
        <v>2797263.3656521747</v>
      </c>
      <c r="HR7" s="206">
        <f t="shared" si="19"/>
        <v>2797263.3656521747</v>
      </c>
      <c r="HS7" s="206">
        <f t="shared" si="19"/>
        <v>2797263.3656521747</v>
      </c>
      <c r="HT7" s="206">
        <f t="shared" si="19"/>
        <v>2797263.3656521747</v>
      </c>
      <c r="HU7" s="206">
        <f t="shared" si="19"/>
        <v>2797263.3656521747</v>
      </c>
      <c r="HV7" s="206">
        <f t="shared" si="19"/>
        <v>2797263.3656521747</v>
      </c>
      <c r="HW7" s="206">
        <f t="shared" si="19"/>
        <v>2797263.3656521747</v>
      </c>
      <c r="HX7" s="206">
        <f t="shared" si="19"/>
        <v>2797263.3656521747</v>
      </c>
      <c r="HY7" s="206">
        <f t="shared" si="19"/>
        <v>2797263.3656521747</v>
      </c>
      <c r="HZ7" s="206">
        <f t="shared" si="19"/>
        <v>2797263.3656521747</v>
      </c>
      <c r="IA7" s="206">
        <f t="shared" si="19"/>
        <v>2797263.3656521747</v>
      </c>
      <c r="IB7" s="206">
        <f t="shared" si="19"/>
        <v>2797263.3656521747</v>
      </c>
      <c r="IC7" s="206">
        <f t="shared" si="19"/>
        <v>2797263.3656521747</v>
      </c>
      <c r="ID7" s="206">
        <f t="shared" si="19"/>
        <v>2797263.3656521747</v>
      </c>
      <c r="IE7" s="206">
        <f t="shared" si="19"/>
        <v>2797263.3656521747</v>
      </c>
      <c r="IF7" s="206">
        <f t="shared" si="19"/>
        <v>2797263.3656521747</v>
      </c>
      <c r="IG7" s="206">
        <f t="shared" si="19"/>
        <v>2797263.3656521747</v>
      </c>
      <c r="IH7" s="206">
        <f t="shared" si="19"/>
        <v>2797263.3656521747</v>
      </c>
      <c r="II7" s="206">
        <f t="shared" si="19"/>
        <v>2797263.3656521747</v>
      </c>
      <c r="IJ7" s="206">
        <f t="shared" si="19"/>
        <v>2797263.3656521747</v>
      </c>
      <c r="IK7" s="206">
        <f t="shared" si="19"/>
        <v>2797263.3656521747</v>
      </c>
      <c r="IL7" s="206">
        <f t="shared" si="19"/>
        <v>2797263.3656521747</v>
      </c>
      <c r="IM7" s="206">
        <f t="shared" si="19"/>
        <v>2797263.3656521747</v>
      </c>
      <c r="IN7" s="206">
        <f t="shared" si="19"/>
        <v>2797263.3656521747</v>
      </c>
      <c r="IO7" s="206">
        <f t="shared" si="19"/>
        <v>2797263.3656521747</v>
      </c>
      <c r="IP7" s="206">
        <f t="shared" si="19"/>
        <v>2797263.3656521747</v>
      </c>
      <c r="IQ7" s="206">
        <f t="shared" si="19"/>
        <v>2797263.3656521747</v>
      </c>
      <c r="IR7" s="206">
        <f t="shared" si="19"/>
        <v>2797263.3656521747</v>
      </c>
      <c r="IS7" s="206">
        <f t="shared" si="19"/>
        <v>2797263.3656521747</v>
      </c>
      <c r="IT7" s="206">
        <f t="shared" si="19"/>
        <v>2797263.3656521747</v>
      </c>
      <c r="IU7" s="206">
        <f t="shared" si="19"/>
        <v>2797263.3656521747</v>
      </c>
      <c r="IV7" s="206">
        <f t="shared" si="19"/>
        <v>2797263.3656521747</v>
      </c>
      <c r="IW7" s="206">
        <f t="shared" si="19"/>
        <v>2797263.3656521747</v>
      </c>
      <c r="IX7" s="206">
        <f t="shared" si="19"/>
        <v>2797263.3656521747</v>
      </c>
      <c r="IY7" s="206">
        <f t="shared" si="19"/>
        <v>2797263.3656521747</v>
      </c>
      <c r="IZ7" s="206">
        <f t="shared" si="19"/>
        <v>2797263.3656521747</v>
      </c>
      <c r="JA7" s="206">
        <f t="shared" si="19"/>
        <v>2797263.3656521747</v>
      </c>
      <c r="JB7" s="206">
        <f t="shared" si="19"/>
        <v>2797263.3656521747</v>
      </c>
      <c r="JC7" s="206">
        <f t="shared" si="19"/>
        <v>2797263.3656521747</v>
      </c>
      <c r="JD7" s="206">
        <f t="shared" si="19"/>
        <v>2797263.3656521747</v>
      </c>
      <c r="JE7" s="206">
        <f t="shared" ref="JE7:LD7" si="20">JE4-JE6</f>
        <v>2797263.3656521747</v>
      </c>
      <c r="JF7" s="206">
        <f t="shared" si="20"/>
        <v>2797263.3656521747</v>
      </c>
      <c r="JG7" s="206">
        <f t="shared" si="20"/>
        <v>2797263.3656521747</v>
      </c>
      <c r="JH7" s="206">
        <f t="shared" si="20"/>
        <v>2797263.3656521747</v>
      </c>
      <c r="JI7" s="206">
        <f t="shared" si="20"/>
        <v>2797263.3656521747</v>
      </c>
      <c r="JJ7" s="206">
        <f t="shared" si="20"/>
        <v>2797263.3656521747</v>
      </c>
      <c r="JK7" s="206">
        <f t="shared" si="20"/>
        <v>2797263.3656521747</v>
      </c>
      <c r="JL7" s="206">
        <f t="shared" si="20"/>
        <v>2797263.3656521747</v>
      </c>
      <c r="JM7" s="206">
        <f t="shared" si="20"/>
        <v>2797263.3656521747</v>
      </c>
      <c r="JN7" s="206">
        <f t="shared" si="20"/>
        <v>2797263.3656521747</v>
      </c>
      <c r="JO7" s="206">
        <f t="shared" si="20"/>
        <v>2797263.3656521747</v>
      </c>
      <c r="JP7" s="206">
        <f t="shared" si="20"/>
        <v>2797263.3656521747</v>
      </c>
      <c r="JQ7" s="206">
        <f t="shared" si="20"/>
        <v>2797263.3656521747</v>
      </c>
      <c r="JR7" s="206">
        <f t="shared" si="20"/>
        <v>2797263.3656521747</v>
      </c>
      <c r="JS7" s="206">
        <f t="shared" si="20"/>
        <v>2797263.3656521747</v>
      </c>
      <c r="JT7" s="206">
        <f t="shared" si="20"/>
        <v>2797263.3656521747</v>
      </c>
      <c r="JU7" s="206">
        <f t="shared" si="20"/>
        <v>2797263.3656521747</v>
      </c>
      <c r="JV7" s="206">
        <f t="shared" si="20"/>
        <v>2797263.3656521747</v>
      </c>
      <c r="JW7" s="206">
        <f t="shared" si="20"/>
        <v>2797263.3656521747</v>
      </c>
      <c r="JX7" s="206">
        <f t="shared" si="20"/>
        <v>2797263.3656521747</v>
      </c>
      <c r="JY7" s="206">
        <f t="shared" si="20"/>
        <v>2797263.3656521747</v>
      </c>
      <c r="JZ7" s="206">
        <f t="shared" si="20"/>
        <v>2797263.3656521747</v>
      </c>
      <c r="KA7" s="206">
        <f t="shared" si="20"/>
        <v>2797263.3656521747</v>
      </c>
      <c r="KB7" s="206">
        <f t="shared" si="20"/>
        <v>2797263.3656521747</v>
      </c>
      <c r="KC7" s="206">
        <f t="shared" si="20"/>
        <v>2797263.3656521747</v>
      </c>
      <c r="KD7" s="206">
        <f t="shared" si="20"/>
        <v>2797263.3656521747</v>
      </c>
      <c r="KE7" s="206">
        <f t="shared" si="20"/>
        <v>2797263.3656521747</v>
      </c>
      <c r="KF7" s="206">
        <f t="shared" si="20"/>
        <v>2797263.3656521747</v>
      </c>
      <c r="KG7" s="206">
        <f t="shared" si="20"/>
        <v>2797263.3656521747</v>
      </c>
      <c r="KH7" s="206">
        <f t="shared" si="20"/>
        <v>2797263.3656521747</v>
      </c>
      <c r="KI7" s="206">
        <f t="shared" si="20"/>
        <v>2797263.3656521747</v>
      </c>
      <c r="KJ7" s="206">
        <f t="shared" si="20"/>
        <v>2797263.3656521747</v>
      </c>
      <c r="KK7" s="206">
        <f t="shared" si="20"/>
        <v>2797263.3656521747</v>
      </c>
      <c r="KL7" s="206">
        <f t="shared" si="20"/>
        <v>2797263.3656521747</v>
      </c>
      <c r="KM7" s="206">
        <f t="shared" si="20"/>
        <v>2797263.3656521747</v>
      </c>
      <c r="KN7" s="206">
        <f t="shared" si="20"/>
        <v>2797263.3656521747</v>
      </c>
      <c r="KO7" s="206">
        <f t="shared" si="20"/>
        <v>2797263.3656521747</v>
      </c>
      <c r="KP7" s="206">
        <f t="shared" si="20"/>
        <v>2797263.3656521747</v>
      </c>
      <c r="KQ7" s="206">
        <f t="shared" si="20"/>
        <v>2797263.3656521747</v>
      </c>
      <c r="KR7" s="206">
        <f t="shared" si="20"/>
        <v>2797263.3656521747</v>
      </c>
      <c r="KS7" s="206">
        <f t="shared" si="20"/>
        <v>2797263.3656521747</v>
      </c>
      <c r="KT7" s="206">
        <f t="shared" si="20"/>
        <v>2797263.3656521747</v>
      </c>
      <c r="KU7" s="206">
        <f t="shared" si="20"/>
        <v>2797263.3656521747</v>
      </c>
      <c r="KV7" s="206">
        <f t="shared" si="20"/>
        <v>2797263.3656521747</v>
      </c>
      <c r="KW7" s="206">
        <f t="shared" si="20"/>
        <v>2797263.3656521747</v>
      </c>
      <c r="KX7" s="206">
        <f t="shared" si="20"/>
        <v>2797263.3656521747</v>
      </c>
      <c r="KY7" s="206">
        <f t="shared" si="20"/>
        <v>2797263.3656521747</v>
      </c>
      <c r="KZ7" s="206">
        <f t="shared" si="20"/>
        <v>2797263.3656521747</v>
      </c>
      <c r="LA7" s="206">
        <f t="shared" si="20"/>
        <v>2797263.3656521747</v>
      </c>
      <c r="LB7" s="206">
        <f t="shared" si="20"/>
        <v>2797263.3656521747</v>
      </c>
      <c r="LC7" s="206">
        <f t="shared" si="20"/>
        <v>2797263.3656521747</v>
      </c>
      <c r="LD7" s="206">
        <f t="shared" si="20"/>
        <v>2797263.3656521747</v>
      </c>
    </row>
    <row r="8" spans="1:794" s="190" customFormat="1">
      <c r="A8" s="809" t="s">
        <v>151</v>
      </c>
      <c r="B8" s="191"/>
      <c r="C8" s="192" t="s">
        <v>242</v>
      </c>
      <c r="D8" s="192" t="s">
        <v>242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8" t="s">
        <v>402</v>
      </c>
      <c r="C9" s="209">
        <f>'Revenue Tracking'!F4</f>
        <v>8633666.5756521747</v>
      </c>
      <c r="D9" s="209">
        <f>SUM(F9:LD9)</f>
        <v>11621800.621652173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2324104.2579999999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1328059.5760000001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AV9</f>
        <v>2988134.0459999996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2988134.0459999996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1993368.6956521741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10"/>
      <c r="B10" s="208" t="s">
        <v>403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2324104.2579999999</v>
      </c>
      <c r="T10" s="210">
        <f t="shared" si="21"/>
        <v>2324104.2579999999</v>
      </c>
      <c r="U10" s="210">
        <f t="shared" si="21"/>
        <v>2324104.2579999999</v>
      </c>
      <c r="V10" s="210">
        <f t="shared" si="21"/>
        <v>2324104.2579999999</v>
      </c>
      <c r="W10" s="210">
        <f t="shared" si="21"/>
        <v>2324104.2579999999</v>
      </c>
      <c r="X10" s="210">
        <f t="shared" si="21"/>
        <v>2324104.2579999999</v>
      </c>
      <c r="Y10" s="210">
        <f t="shared" si="21"/>
        <v>2324104.2579999999</v>
      </c>
      <c r="Z10" s="210">
        <f t="shared" si="21"/>
        <v>2324104.2579999999</v>
      </c>
      <c r="AA10" s="210">
        <f t="shared" si="21"/>
        <v>2324104.2579999999</v>
      </c>
      <c r="AB10" s="210">
        <f t="shared" si="21"/>
        <v>2324104.2579999999</v>
      </c>
      <c r="AC10" s="210">
        <f t="shared" si="21"/>
        <v>2324104.2579999999</v>
      </c>
      <c r="AD10" s="210">
        <f t="shared" si="21"/>
        <v>2324104.2579999999</v>
      </c>
      <c r="AE10" s="210">
        <f t="shared" si="21"/>
        <v>2324104.2579999999</v>
      </c>
      <c r="AF10" s="210">
        <f t="shared" si="21"/>
        <v>2324104.2579999999</v>
      </c>
      <c r="AG10" s="210">
        <f t="shared" si="21"/>
        <v>2324104.2579999999</v>
      </c>
      <c r="AH10" s="210">
        <f t="shared" si="21"/>
        <v>3652163.8339999998</v>
      </c>
      <c r="AI10" s="210">
        <f t="shared" si="21"/>
        <v>3652163.8339999998</v>
      </c>
      <c r="AJ10" s="210">
        <f t="shared" si="21"/>
        <v>3652163.8339999998</v>
      </c>
      <c r="AK10" s="210">
        <f t="shared" si="21"/>
        <v>3652163.8339999998</v>
      </c>
      <c r="AL10" s="210">
        <f t="shared" si="21"/>
        <v>3652163.8339999998</v>
      </c>
      <c r="AM10" s="210">
        <f t="shared" si="21"/>
        <v>3652163.8339999998</v>
      </c>
      <c r="AN10" s="210">
        <f t="shared" si="21"/>
        <v>3652163.8339999998</v>
      </c>
      <c r="AO10" s="210">
        <f t="shared" si="21"/>
        <v>3652163.8339999998</v>
      </c>
      <c r="AP10" s="210">
        <f t="shared" si="21"/>
        <v>3652163.8339999998</v>
      </c>
      <c r="AQ10" s="210">
        <f t="shared" si="21"/>
        <v>3652163.8339999998</v>
      </c>
      <c r="AR10" s="210">
        <f t="shared" si="21"/>
        <v>3652163.8339999998</v>
      </c>
      <c r="AS10" s="210">
        <f t="shared" si="21"/>
        <v>3652163.8339999998</v>
      </c>
      <c r="AT10" s="210">
        <f t="shared" si="21"/>
        <v>6640297.879999999</v>
      </c>
      <c r="AU10" s="210">
        <f t="shared" si="21"/>
        <v>6640297.879999999</v>
      </c>
      <c r="AV10" s="210">
        <f t="shared" si="21"/>
        <v>9628431.925999999</v>
      </c>
      <c r="AW10" s="210">
        <f t="shared" si="21"/>
        <v>9628431.925999999</v>
      </c>
      <c r="AX10" s="210">
        <f t="shared" si="21"/>
        <v>9628431.925999999</v>
      </c>
      <c r="AY10" s="210">
        <f t="shared" si="21"/>
        <v>9628431.925999999</v>
      </c>
      <c r="AZ10" s="210">
        <f t="shared" si="21"/>
        <v>9628431.925999999</v>
      </c>
      <c r="BA10" s="210">
        <f t="shared" si="21"/>
        <v>11621800.621652173</v>
      </c>
      <c r="BB10" s="210">
        <f t="shared" si="21"/>
        <v>11621800.621652173</v>
      </c>
      <c r="BC10" s="210">
        <f t="shared" si="21"/>
        <v>11621800.621652173</v>
      </c>
      <c r="BD10" s="210">
        <f t="shared" si="21"/>
        <v>11621800.621652173</v>
      </c>
      <c r="BE10" s="210">
        <f t="shared" si="21"/>
        <v>11621800.621652173</v>
      </c>
      <c r="BF10" s="210">
        <f t="shared" si="21"/>
        <v>11621800.621652173</v>
      </c>
      <c r="BG10" s="210">
        <f t="shared" si="21"/>
        <v>11621800.621652173</v>
      </c>
      <c r="BH10" s="210">
        <f t="shared" si="21"/>
        <v>11621800.621652173</v>
      </c>
      <c r="BI10" s="210">
        <f t="shared" si="21"/>
        <v>11621800.621652173</v>
      </c>
      <c r="BJ10" s="210">
        <f t="shared" si="21"/>
        <v>11621800.621652173</v>
      </c>
      <c r="BK10" s="210">
        <f t="shared" si="21"/>
        <v>11621800.621652173</v>
      </c>
      <c r="BL10" s="210">
        <f t="shared" si="21"/>
        <v>11621800.621652173</v>
      </c>
      <c r="BM10" s="210">
        <f t="shared" si="21"/>
        <v>11621800.621652173</v>
      </c>
      <c r="BN10" s="210">
        <f t="shared" si="21"/>
        <v>11621800.621652173</v>
      </c>
      <c r="BO10" s="210">
        <f t="shared" si="21"/>
        <v>11621800.621652173</v>
      </c>
      <c r="BP10" s="210">
        <f t="shared" si="21"/>
        <v>11621800.621652173</v>
      </c>
      <c r="BQ10" s="210">
        <f t="shared" si="21"/>
        <v>11621800.621652173</v>
      </c>
      <c r="BR10" s="210">
        <f t="shared" si="21"/>
        <v>11621800.621652173</v>
      </c>
      <c r="BS10" s="210">
        <f t="shared" si="21"/>
        <v>11621800.621652173</v>
      </c>
      <c r="BT10" s="210">
        <f t="shared" si="21"/>
        <v>11621800.621652173</v>
      </c>
      <c r="BU10" s="210">
        <f t="shared" ref="BU10:EF10" si="22">BT10+BU9</f>
        <v>11621800.621652173</v>
      </c>
      <c r="BV10" s="210">
        <f t="shared" si="22"/>
        <v>11621800.621652173</v>
      </c>
      <c r="BW10" s="210">
        <f t="shared" si="22"/>
        <v>11621800.621652173</v>
      </c>
      <c r="BX10" s="210">
        <f t="shared" si="22"/>
        <v>11621800.621652173</v>
      </c>
      <c r="BY10" s="210">
        <f t="shared" si="22"/>
        <v>11621800.621652173</v>
      </c>
      <c r="BZ10" s="210">
        <f t="shared" si="22"/>
        <v>11621800.621652173</v>
      </c>
      <c r="CA10" s="210">
        <f t="shared" si="22"/>
        <v>11621800.621652173</v>
      </c>
      <c r="CB10" s="210">
        <f t="shared" si="22"/>
        <v>11621800.621652173</v>
      </c>
      <c r="CC10" s="210">
        <f t="shared" si="22"/>
        <v>11621800.621652173</v>
      </c>
      <c r="CD10" s="210">
        <f t="shared" si="22"/>
        <v>11621800.621652173</v>
      </c>
      <c r="CE10" s="210">
        <f t="shared" si="22"/>
        <v>11621800.621652173</v>
      </c>
      <c r="CF10" s="210">
        <f t="shared" si="22"/>
        <v>11621800.621652173</v>
      </c>
      <c r="CG10" s="210">
        <f t="shared" si="22"/>
        <v>11621800.621652173</v>
      </c>
      <c r="CH10" s="210">
        <f t="shared" si="22"/>
        <v>11621800.621652173</v>
      </c>
      <c r="CI10" s="210">
        <f t="shared" si="22"/>
        <v>11621800.621652173</v>
      </c>
      <c r="CJ10" s="210">
        <f t="shared" si="22"/>
        <v>11621800.621652173</v>
      </c>
      <c r="CK10" s="210">
        <f t="shared" si="22"/>
        <v>11621800.621652173</v>
      </c>
      <c r="CL10" s="210">
        <f t="shared" si="22"/>
        <v>11621800.621652173</v>
      </c>
      <c r="CM10" s="210">
        <f t="shared" si="22"/>
        <v>11621800.621652173</v>
      </c>
      <c r="CN10" s="210">
        <f t="shared" si="22"/>
        <v>11621800.621652173</v>
      </c>
      <c r="CO10" s="210">
        <f t="shared" si="22"/>
        <v>11621800.621652173</v>
      </c>
      <c r="CP10" s="210">
        <f t="shared" si="22"/>
        <v>11621800.621652173</v>
      </c>
      <c r="CQ10" s="210">
        <f t="shared" si="22"/>
        <v>11621800.621652173</v>
      </c>
      <c r="CR10" s="210">
        <f t="shared" si="22"/>
        <v>11621800.621652173</v>
      </c>
      <c r="CS10" s="210">
        <f t="shared" si="22"/>
        <v>11621800.621652173</v>
      </c>
      <c r="CT10" s="210">
        <f t="shared" si="22"/>
        <v>11621800.621652173</v>
      </c>
      <c r="CU10" s="210">
        <f t="shared" si="22"/>
        <v>11621800.621652173</v>
      </c>
      <c r="CV10" s="210">
        <f t="shared" si="22"/>
        <v>11621800.621652173</v>
      </c>
      <c r="CW10" s="210">
        <f t="shared" si="22"/>
        <v>11621800.621652173</v>
      </c>
      <c r="CX10" s="210">
        <f t="shared" si="22"/>
        <v>11621800.621652173</v>
      </c>
      <c r="CY10" s="210">
        <f t="shared" si="22"/>
        <v>11621800.621652173</v>
      </c>
      <c r="CZ10" s="210">
        <f t="shared" si="22"/>
        <v>11621800.621652173</v>
      </c>
      <c r="DA10" s="210">
        <f t="shared" si="22"/>
        <v>11621800.621652173</v>
      </c>
      <c r="DB10" s="210">
        <f t="shared" si="22"/>
        <v>11621800.621652173</v>
      </c>
      <c r="DC10" s="210">
        <f t="shared" si="22"/>
        <v>11621800.621652173</v>
      </c>
      <c r="DD10" s="210">
        <f t="shared" si="22"/>
        <v>11621800.621652173</v>
      </c>
      <c r="DE10" s="210">
        <f t="shared" si="22"/>
        <v>11621800.621652173</v>
      </c>
      <c r="DF10" s="210">
        <f t="shared" si="22"/>
        <v>11621800.621652173</v>
      </c>
      <c r="DG10" s="210">
        <f t="shared" si="22"/>
        <v>11621800.621652173</v>
      </c>
      <c r="DH10" s="210">
        <f t="shared" si="22"/>
        <v>11621800.621652173</v>
      </c>
      <c r="DI10" s="210">
        <f t="shared" si="22"/>
        <v>11621800.621652173</v>
      </c>
      <c r="DJ10" s="210">
        <f t="shared" si="22"/>
        <v>11621800.621652173</v>
      </c>
      <c r="DK10" s="210">
        <f t="shared" si="22"/>
        <v>11621800.621652173</v>
      </c>
      <c r="DL10" s="210">
        <f t="shared" si="22"/>
        <v>11621800.621652173</v>
      </c>
      <c r="DM10" s="210">
        <f t="shared" si="22"/>
        <v>11621800.621652173</v>
      </c>
      <c r="DN10" s="210">
        <f t="shared" si="22"/>
        <v>11621800.621652173</v>
      </c>
      <c r="DO10" s="210">
        <f t="shared" si="22"/>
        <v>11621800.621652173</v>
      </c>
      <c r="DP10" s="210">
        <f t="shared" si="22"/>
        <v>11621800.621652173</v>
      </c>
      <c r="DQ10" s="210">
        <f t="shared" si="22"/>
        <v>11621800.621652173</v>
      </c>
      <c r="DR10" s="210">
        <f t="shared" si="22"/>
        <v>11621800.621652173</v>
      </c>
      <c r="DS10" s="210">
        <f t="shared" si="22"/>
        <v>11621800.621652173</v>
      </c>
      <c r="DT10" s="210">
        <f t="shared" si="22"/>
        <v>11621800.621652173</v>
      </c>
      <c r="DU10" s="210">
        <f t="shared" si="22"/>
        <v>11621800.621652173</v>
      </c>
      <c r="DV10" s="210">
        <f t="shared" si="22"/>
        <v>11621800.621652173</v>
      </c>
      <c r="DW10" s="210">
        <f t="shared" si="22"/>
        <v>11621800.621652173</v>
      </c>
      <c r="DX10" s="210">
        <f t="shared" si="22"/>
        <v>11621800.621652173</v>
      </c>
      <c r="DY10" s="210">
        <f t="shared" si="22"/>
        <v>11621800.621652173</v>
      </c>
      <c r="DZ10" s="210">
        <f t="shared" si="22"/>
        <v>11621800.621652173</v>
      </c>
      <c r="EA10" s="210">
        <f t="shared" si="22"/>
        <v>11621800.621652173</v>
      </c>
      <c r="EB10" s="210">
        <f t="shared" si="22"/>
        <v>11621800.621652173</v>
      </c>
      <c r="EC10" s="210">
        <f t="shared" si="22"/>
        <v>11621800.621652173</v>
      </c>
      <c r="ED10" s="210">
        <f t="shared" si="22"/>
        <v>11621800.621652173</v>
      </c>
      <c r="EE10" s="210">
        <f t="shared" si="22"/>
        <v>11621800.621652173</v>
      </c>
      <c r="EF10" s="210">
        <f t="shared" si="22"/>
        <v>11621800.621652173</v>
      </c>
      <c r="EG10" s="210">
        <f t="shared" ref="EG10:GR10" si="23">EF10+EG9</f>
        <v>11621800.621652173</v>
      </c>
      <c r="EH10" s="210">
        <f t="shared" si="23"/>
        <v>11621800.621652173</v>
      </c>
      <c r="EI10" s="210">
        <f t="shared" si="23"/>
        <v>11621800.621652173</v>
      </c>
      <c r="EJ10" s="210">
        <f t="shared" si="23"/>
        <v>11621800.621652173</v>
      </c>
      <c r="EK10" s="210">
        <f t="shared" si="23"/>
        <v>11621800.621652173</v>
      </c>
      <c r="EL10" s="210">
        <f t="shared" si="23"/>
        <v>11621800.621652173</v>
      </c>
      <c r="EM10" s="210">
        <f t="shared" si="23"/>
        <v>11621800.621652173</v>
      </c>
      <c r="EN10" s="210">
        <f t="shared" si="23"/>
        <v>11621800.621652173</v>
      </c>
      <c r="EO10" s="210">
        <f t="shared" si="23"/>
        <v>11621800.621652173</v>
      </c>
      <c r="EP10" s="210">
        <f t="shared" si="23"/>
        <v>11621800.621652173</v>
      </c>
      <c r="EQ10" s="210">
        <f t="shared" si="23"/>
        <v>11621800.621652173</v>
      </c>
      <c r="ER10" s="210">
        <f t="shared" si="23"/>
        <v>11621800.621652173</v>
      </c>
      <c r="ES10" s="210">
        <f t="shared" si="23"/>
        <v>11621800.621652173</v>
      </c>
      <c r="ET10" s="210">
        <f t="shared" si="23"/>
        <v>11621800.621652173</v>
      </c>
      <c r="EU10" s="210">
        <f t="shared" si="23"/>
        <v>11621800.621652173</v>
      </c>
      <c r="EV10" s="210">
        <f t="shared" si="23"/>
        <v>11621800.621652173</v>
      </c>
      <c r="EW10" s="210">
        <f t="shared" si="23"/>
        <v>11621800.621652173</v>
      </c>
      <c r="EX10" s="210">
        <f t="shared" si="23"/>
        <v>11621800.621652173</v>
      </c>
      <c r="EY10" s="210">
        <f t="shared" si="23"/>
        <v>11621800.621652173</v>
      </c>
      <c r="EZ10" s="210">
        <f t="shared" si="23"/>
        <v>11621800.621652173</v>
      </c>
      <c r="FA10" s="210">
        <f t="shared" si="23"/>
        <v>11621800.621652173</v>
      </c>
      <c r="FB10" s="210">
        <f t="shared" si="23"/>
        <v>11621800.621652173</v>
      </c>
      <c r="FC10" s="210">
        <f t="shared" si="23"/>
        <v>11621800.621652173</v>
      </c>
      <c r="FD10" s="210">
        <f t="shared" si="23"/>
        <v>11621800.621652173</v>
      </c>
      <c r="FE10" s="210">
        <f t="shared" si="23"/>
        <v>11621800.621652173</v>
      </c>
      <c r="FF10" s="210">
        <f t="shared" si="23"/>
        <v>11621800.621652173</v>
      </c>
      <c r="FG10" s="210">
        <f t="shared" si="23"/>
        <v>11621800.621652173</v>
      </c>
      <c r="FH10" s="210">
        <f t="shared" si="23"/>
        <v>11621800.621652173</v>
      </c>
      <c r="FI10" s="210">
        <f t="shared" si="23"/>
        <v>11621800.621652173</v>
      </c>
      <c r="FJ10" s="210">
        <f t="shared" si="23"/>
        <v>11621800.621652173</v>
      </c>
      <c r="FK10" s="210">
        <f t="shared" si="23"/>
        <v>11621800.621652173</v>
      </c>
      <c r="FL10" s="210">
        <f t="shared" si="23"/>
        <v>11621800.621652173</v>
      </c>
      <c r="FM10" s="210">
        <f t="shared" si="23"/>
        <v>11621800.621652173</v>
      </c>
      <c r="FN10" s="210">
        <f t="shared" si="23"/>
        <v>11621800.621652173</v>
      </c>
      <c r="FO10" s="210">
        <f t="shared" si="23"/>
        <v>11621800.621652173</v>
      </c>
      <c r="FP10" s="210">
        <f t="shared" si="23"/>
        <v>11621800.621652173</v>
      </c>
      <c r="FQ10" s="210">
        <f t="shared" si="23"/>
        <v>11621800.621652173</v>
      </c>
      <c r="FR10" s="210">
        <f t="shared" si="23"/>
        <v>11621800.621652173</v>
      </c>
      <c r="FS10" s="210">
        <f t="shared" si="23"/>
        <v>11621800.621652173</v>
      </c>
      <c r="FT10" s="210">
        <f t="shared" si="23"/>
        <v>11621800.621652173</v>
      </c>
      <c r="FU10" s="210">
        <f t="shared" si="23"/>
        <v>11621800.621652173</v>
      </c>
      <c r="FV10" s="210">
        <f t="shared" si="23"/>
        <v>11621800.621652173</v>
      </c>
      <c r="FW10" s="210">
        <f t="shared" si="23"/>
        <v>11621800.621652173</v>
      </c>
      <c r="FX10" s="210">
        <f t="shared" si="23"/>
        <v>11621800.621652173</v>
      </c>
      <c r="FY10" s="210">
        <f t="shared" si="23"/>
        <v>11621800.621652173</v>
      </c>
      <c r="FZ10" s="210">
        <f t="shared" si="23"/>
        <v>11621800.621652173</v>
      </c>
      <c r="GA10" s="210">
        <f t="shared" si="23"/>
        <v>11621800.621652173</v>
      </c>
      <c r="GB10" s="210">
        <f t="shared" si="23"/>
        <v>11621800.621652173</v>
      </c>
      <c r="GC10" s="210">
        <f t="shared" si="23"/>
        <v>11621800.621652173</v>
      </c>
      <c r="GD10" s="210">
        <f t="shared" si="23"/>
        <v>11621800.621652173</v>
      </c>
      <c r="GE10" s="210">
        <f t="shared" si="23"/>
        <v>11621800.621652173</v>
      </c>
      <c r="GF10" s="210">
        <f t="shared" si="23"/>
        <v>11621800.621652173</v>
      </c>
      <c r="GG10" s="210">
        <f t="shared" si="23"/>
        <v>11621800.621652173</v>
      </c>
      <c r="GH10" s="210">
        <f t="shared" si="23"/>
        <v>11621800.621652173</v>
      </c>
      <c r="GI10" s="210">
        <f t="shared" si="23"/>
        <v>11621800.621652173</v>
      </c>
      <c r="GJ10" s="210">
        <f t="shared" si="23"/>
        <v>11621800.621652173</v>
      </c>
      <c r="GK10" s="210">
        <f t="shared" si="23"/>
        <v>11621800.621652173</v>
      </c>
      <c r="GL10" s="210">
        <f t="shared" si="23"/>
        <v>11621800.621652173</v>
      </c>
      <c r="GM10" s="210">
        <f t="shared" si="23"/>
        <v>11621800.621652173</v>
      </c>
      <c r="GN10" s="210">
        <f t="shared" si="23"/>
        <v>11621800.621652173</v>
      </c>
      <c r="GO10" s="210">
        <f t="shared" si="23"/>
        <v>11621800.621652173</v>
      </c>
      <c r="GP10" s="210">
        <f t="shared" si="23"/>
        <v>11621800.621652173</v>
      </c>
      <c r="GQ10" s="210">
        <f t="shared" si="23"/>
        <v>11621800.621652173</v>
      </c>
      <c r="GR10" s="210">
        <f t="shared" si="23"/>
        <v>11621800.621652173</v>
      </c>
      <c r="GS10" s="210">
        <f t="shared" ref="GS10:JD10" si="24">GR10+GS9</f>
        <v>11621800.621652173</v>
      </c>
      <c r="GT10" s="210">
        <f t="shared" si="24"/>
        <v>11621800.621652173</v>
      </c>
      <c r="GU10" s="210">
        <f t="shared" si="24"/>
        <v>11621800.621652173</v>
      </c>
      <c r="GV10" s="210">
        <f t="shared" si="24"/>
        <v>11621800.621652173</v>
      </c>
      <c r="GW10" s="210">
        <f t="shared" si="24"/>
        <v>11621800.621652173</v>
      </c>
      <c r="GX10" s="210">
        <f t="shared" si="24"/>
        <v>11621800.621652173</v>
      </c>
      <c r="GY10" s="210">
        <f t="shared" si="24"/>
        <v>11621800.621652173</v>
      </c>
      <c r="GZ10" s="210">
        <f t="shared" si="24"/>
        <v>11621800.621652173</v>
      </c>
      <c r="HA10" s="210">
        <f t="shared" si="24"/>
        <v>11621800.621652173</v>
      </c>
      <c r="HB10" s="210">
        <f t="shared" si="24"/>
        <v>11621800.621652173</v>
      </c>
      <c r="HC10" s="210">
        <f t="shared" si="24"/>
        <v>11621800.621652173</v>
      </c>
      <c r="HD10" s="210">
        <f t="shared" si="24"/>
        <v>11621800.621652173</v>
      </c>
      <c r="HE10" s="210">
        <f t="shared" si="24"/>
        <v>11621800.621652173</v>
      </c>
      <c r="HF10" s="210">
        <f t="shared" si="24"/>
        <v>11621800.621652173</v>
      </c>
      <c r="HG10" s="210">
        <f t="shared" si="24"/>
        <v>11621800.621652173</v>
      </c>
      <c r="HH10" s="210">
        <f t="shared" si="24"/>
        <v>11621800.621652173</v>
      </c>
      <c r="HI10" s="210">
        <f t="shared" si="24"/>
        <v>11621800.621652173</v>
      </c>
      <c r="HJ10" s="210">
        <f t="shared" si="24"/>
        <v>11621800.621652173</v>
      </c>
      <c r="HK10" s="210">
        <f t="shared" si="24"/>
        <v>11621800.621652173</v>
      </c>
      <c r="HL10" s="210">
        <f t="shared" si="24"/>
        <v>11621800.621652173</v>
      </c>
      <c r="HM10" s="210">
        <f t="shared" si="24"/>
        <v>11621800.621652173</v>
      </c>
      <c r="HN10" s="210">
        <f t="shared" si="24"/>
        <v>11621800.621652173</v>
      </c>
      <c r="HO10" s="210">
        <f t="shared" si="24"/>
        <v>11621800.621652173</v>
      </c>
      <c r="HP10" s="210">
        <f t="shared" si="24"/>
        <v>11621800.621652173</v>
      </c>
      <c r="HQ10" s="210">
        <f t="shared" si="24"/>
        <v>11621800.621652173</v>
      </c>
      <c r="HR10" s="210">
        <f t="shared" si="24"/>
        <v>11621800.621652173</v>
      </c>
      <c r="HS10" s="210">
        <f t="shared" si="24"/>
        <v>11621800.621652173</v>
      </c>
      <c r="HT10" s="210">
        <f t="shared" si="24"/>
        <v>11621800.621652173</v>
      </c>
      <c r="HU10" s="210">
        <f t="shared" si="24"/>
        <v>11621800.621652173</v>
      </c>
      <c r="HV10" s="210">
        <f t="shared" si="24"/>
        <v>11621800.621652173</v>
      </c>
      <c r="HW10" s="210">
        <f t="shared" si="24"/>
        <v>11621800.621652173</v>
      </c>
      <c r="HX10" s="210">
        <f t="shared" si="24"/>
        <v>11621800.621652173</v>
      </c>
      <c r="HY10" s="210">
        <f t="shared" si="24"/>
        <v>11621800.621652173</v>
      </c>
      <c r="HZ10" s="210">
        <f t="shared" si="24"/>
        <v>11621800.621652173</v>
      </c>
      <c r="IA10" s="210">
        <f t="shared" si="24"/>
        <v>11621800.621652173</v>
      </c>
      <c r="IB10" s="210">
        <f t="shared" si="24"/>
        <v>11621800.621652173</v>
      </c>
      <c r="IC10" s="210">
        <f t="shared" si="24"/>
        <v>11621800.621652173</v>
      </c>
      <c r="ID10" s="210">
        <f t="shared" si="24"/>
        <v>11621800.621652173</v>
      </c>
      <c r="IE10" s="210">
        <f t="shared" si="24"/>
        <v>11621800.621652173</v>
      </c>
      <c r="IF10" s="210">
        <f t="shared" si="24"/>
        <v>11621800.621652173</v>
      </c>
      <c r="IG10" s="210">
        <f t="shared" si="24"/>
        <v>11621800.621652173</v>
      </c>
      <c r="IH10" s="210">
        <f t="shared" si="24"/>
        <v>11621800.621652173</v>
      </c>
      <c r="II10" s="210">
        <f t="shared" si="24"/>
        <v>11621800.621652173</v>
      </c>
      <c r="IJ10" s="210">
        <f t="shared" si="24"/>
        <v>11621800.621652173</v>
      </c>
      <c r="IK10" s="210">
        <f t="shared" si="24"/>
        <v>11621800.621652173</v>
      </c>
      <c r="IL10" s="210">
        <f t="shared" si="24"/>
        <v>11621800.621652173</v>
      </c>
      <c r="IM10" s="210">
        <f t="shared" si="24"/>
        <v>11621800.621652173</v>
      </c>
      <c r="IN10" s="210">
        <f t="shared" si="24"/>
        <v>11621800.621652173</v>
      </c>
      <c r="IO10" s="210">
        <f t="shared" si="24"/>
        <v>11621800.621652173</v>
      </c>
      <c r="IP10" s="210">
        <f t="shared" si="24"/>
        <v>11621800.621652173</v>
      </c>
      <c r="IQ10" s="210">
        <f t="shared" si="24"/>
        <v>11621800.621652173</v>
      </c>
      <c r="IR10" s="210">
        <f t="shared" si="24"/>
        <v>11621800.621652173</v>
      </c>
      <c r="IS10" s="210">
        <f t="shared" si="24"/>
        <v>11621800.621652173</v>
      </c>
      <c r="IT10" s="210">
        <f t="shared" si="24"/>
        <v>11621800.621652173</v>
      </c>
      <c r="IU10" s="210">
        <f t="shared" si="24"/>
        <v>11621800.621652173</v>
      </c>
      <c r="IV10" s="210">
        <f t="shared" si="24"/>
        <v>11621800.621652173</v>
      </c>
      <c r="IW10" s="210">
        <f t="shared" si="24"/>
        <v>11621800.621652173</v>
      </c>
      <c r="IX10" s="210">
        <f t="shared" si="24"/>
        <v>11621800.621652173</v>
      </c>
      <c r="IY10" s="210">
        <f t="shared" si="24"/>
        <v>11621800.621652173</v>
      </c>
      <c r="IZ10" s="210">
        <f t="shared" si="24"/>
        <v>11621800.621652173</v>
      </c>
      <c r="JA10" s="210">
        <f t="shared" si="24"/>
        <v>11621800.621652173</v>
      </c>
      <c r="JB10" s="210">
        <f t="shared" si="24"/>
        <v>11621800.621652173</v>
      </c>
      <c r="JC10" s="210">
        <f t="shared" si="24"/>
        <v>11621800.621652173</v>
      </c>
      <c r="JD10" s="210">
        <f t="shared" si="24"/>
        <v>11621800.621652173</v>
      </c>
      <c r="JE10" s="210">
        <f t="shared" ref="JE10:LD10" si="25">JD10+JE9</f>
        <v>11621800.621652173</v>
      </c>
      <c r="JF10" s="210">
        <f t="shared" si="25"/>
        <v>11621800.621652173</v>
      </c>
      <c r="JG10" s="210">
        <f t="shared" si="25"/>
        <v>11621800.621652173</v>
      </c>
      <c r="JH10" s="210">
        <f t="shared" si="25"/>
        <v>11621800.621652173</v>
      </c>
      <c r="JI10" s="210">
        <f t="shared" si="25"/>
        <v>11621800.621652173</v>
      </c>
      <c r="JJ10" s="210">
        <f t="shared" si="25"/>
        <v>11621800.621652173</v>
      </c>
      <c r="JK10" s="210">
        <f t="shared" si="25"/>
        <v>11621800.621652173</v>
      </c>
      <c r="JL10" s="210">
        <f t="shared" si="25"/>
        <v>11621800.621652173</v>
      </c>
      <c r="JM10" s="210">
        <f t="shared" si="25"/>
        <v>11621800.621652173</v>
      </c>
      <c r="JN10" s="210">
        <f t="shared" si="25"/>
        <v>11621800.621652173</v>
      </c>
      <c r="JO10" s="210">
        <f t="shared" si="25"/>
        <v>11621800.621652173</v>
      </c>
      <c r="JP10" s="210">
        <f t="shared" si="25"/>
        <v>11621800.621652173</v>
      </c>
      <c r="JQ10" s="210">
        <f t="shared" si="25"/>
        <v>11621800.621652173</v>
      </c>
      <c r="JR10" s="210">
        <f t="shared" si="25"/>
        <v>11621800.621652173</v>
      </c>
      <c r="JS10" s="210">
        <f t="shared" si="25"/>
        <v>11621800.621652173</v>
      </c>
      <c r="JT10" s="210">
        <f t="shared" si="25"/>
        <v>11621800.621652173</v>
      </c>
      <c r="JU10" s="210">
        <f t="shared" si="25"/>
        <v>11621800.621652173</v>
      </c>
      <c r="JV10" s="210">
        <f t="shared" si="25"/>
        <v>11621800.621652173</v>
      </c>
      <c r="JW10" s="210">
        <f t="shared" si="25"/>
        <v>11621800.621652173</v>
      </c>
      <c r="JX10" s="210">
        <f t="shared" si="25"/>
        <v>11621800.621652173</v>
      </c>
      <c r="JY10" s="210">
        <f t="shared" si="25"/>
        <v>11621800.621652173</v>
      </c>
      <c r="JZ10" s="210">
        <f t="shared" si="25"/>
        <v>11621800.621652173</v>
      </c>
      <c r="KA10" s="210">
        <f t="shared" si="25"/>
        <v>11621800.621652173</v>
      </c>
      <c r="KB10" s="210">
        <f t="shared" si="25"/>
        <v>11621800.621652173</v>
      </c>
      <c r="KC10" s="210">
        <f t="shared" si="25"/>
        <v>11621800.621652173</v>
      </c>
      <c r="KD10" s="210">
        <f t="shared" si="25"/>
        <v>11621800.621652173</v>
      </c>
      <c r="KE10" s="210">
        <f t="shared" si="25"/>
        <v>11621800.621652173</v>
      </c>
      <c r="KF10" s="210">
        <f t="shared" si="25"/>
        <v>11621800.621652173</v>
      </c>
      <c r="KG10" s="210">
        <f t="shared" si="25"/>
        <v>11621800.621652173</v>
      </c>
      <c r="KH10" s="210">
        <f t="shared" si="25"/>
        <v>11621800.621652173</v>
      </c>
      <c r="KI10" s="210">
        <f t="shared" si="25"/>
        <v>11621800.621652173</v>
      </c>
      <c r="KJ10" s="210">
        <f t="shared" si="25"/>
        <v>11621800.621652173</v>
      </c>
      <c r="KK10" s="210">
        <f t="shared" si="25"/>
        <v>11621800.621652173</v>
      </c>
      <c r="KL10" s="210">
        <f t="shared" si="25"/>
        <v>11621800.621652173</v>
      </c>
      <c r="KM10" s="210">
        <f t="shared" si="25"/>
        <v>11621800.621652173</v>
      </c>
      <c r="KN10" s="210">
        <f t="shared" si="25"/>
        <v>11621800.621652173</v>
      </c>
      <c r="KO10" s="210">
        <f t="shared" si="25"/>
        <v>11621800.621652173</v>
      </c>
      <c r="KP10" s="210">
        <f t="shared" si="25"/>
        <v>11621800.621652173</v>
      </c>
      <c r="KQ10" s="210">
        <f t="shared" si="25"/>
        <v>11621800.621652173</v>
      </c>
      <c r="KR10" s="210">
        <f t="shared" si="25"/>
        <v>11621800.621652173</v>
      </c>
      <c r="KS10" s="210">
        <f t="shared" si="25"/>
        <v>11621800.621652173</v>
      </c>
      <c r="KT10" s="210">
        <f t="shared" si="25"/>
        <v>11621800.621652173</v>
      </c>
      <c r="KU10" s="210">
        <f t="shared" si="25"/>
        <v>11621800.621652173</v>
      </c>
      <c r="KV10" s="210">
        <f t="shared" si="25"/>
        <v>11621800.621652173</v>
      </c>
      <c r="KW10" s="210">
        <f t="shared" si="25"/>
        <v>11621800.621652173</v>
      </c>
      <c r="KX10" s="210">
        <f t="shared" si="25"/>
        <v>11621800.621652173</v>
      </c>
      <c r="KY10" s="210">
        <f t="shared" si="25"/>
        <v>11621800.621652173</v>
      </c>
      <c r="KZ10" s="210">
        <f t="shared" si="25"/>
        <v>11621800.621652173</v>
      </c>
      <c r="LA10" s="210">
        <f t="shared" si="25"/>
        <v>11621800.621652173</v>
      </c>
      <c r="LB10" s="210">
        <f t="shared" si="25"/>
        <v>11621800.621652173</v>
      </c>
      <c r="LC10" s="210">
        <f t="shared" si="25"/>
        <v>11621800.621652173</v>
      </c>
      <c r="LD10" s="210">
        <f t="shared" si="25"/>
        <v>11621800.621652173</v>
      </c>
    </row>
    <row r="11" spans="1:794" s="202" customFormat="1">
      <c r="A11" s="810"/>
      <c r="B11" s="211" t="s">
        <v>404</v>
      </c>
      <c r="C11" s="212">
        <f>'Revenue Tracking'!F5</f>
        <v>7883350.8235000009</v>
      </c>
      <c r="D11" s="212">
        <f>SUM(F11:LD11)</f>
        <v>7883350.8234999999</v>
      </c>
      <c r="E11" s="196"/>
      <c r="F11" s="213">
        <f>SUMIFS('Expenditure Breakdown'!$Q$6:$Q$175, 'Expenditure Breakdown'!$W$6:$W$175, "&gt;="&amp;F1,'Expenditure Breakdown'!$W$6:$W$175, "&lt;"&amp;G1)</f>
        <v>0</v>
      </c>
      <c r="G11" s="213">
        <f>SUMIFS('Expenditure Breakdown'!$Q$6:$Q$175, 'Expenditure Breakdown'!$W$6:$W$175, "&gt;="&amp;G1,'Expenditure Breakdown'!$W$6:$W$175, "&lt;"&amp;H1)</f>
        <v>0</v>
      </c>
      <c r="H11" s="213">
        <f>SUMIFS('Expenditure Breakdown'!$Q$6:$Q$175, 'Expenditure Breakdown'!$W$6:$W$175, "&gt;="&amp;H1,'Expenditure Breakdown'!$W$6:$W$175, "&lt;"&amp;I1)</f>
        <v>0</v>
      </c>
      <c r="I11" s="213">
        <f>SUMIFS('Expenditure Breakdown'!$Q$6:$Q$175, 'Expenditure Breakdown'!$W$6:$W$175, "&gt;="&amp;I1,'Expenditure Breakdown'!$W$6:$W$175, "&lt;"&amp;J1)</f>
        <v>0</v>
      </c>
      <c r="J11" s="213">
        <f>SUMIFS('Expenditure Breakdown'!$Q$6:$Q$175, 'Expenditure Breakdown'!$W$6:$W$175, "&gt;="&amp;J1,'Expenditure Breakdown'!$W$6:$W$175, "&lt;"&amp;K1)</f>
        <v>0</v>
      </c>
      <c r="K11" s="213">
        <f>SUMIFS('Expenditure Breakdown'!$Q$6:$Q$175, 'Expenditure Breakdown'!$W$6:$W$175, "&gt;="&amp;K1,'Expenditure Breakdown'!$W$6:$W$175, "&lt;"&amp;L1)</f>
        <v>0</v>
      </c>
      <c r="L11" s="213">
        <f>SUMIFS('Expenditure Breakdown'!$Q$6:$Q$175, 'Expenditure Breakdown'!$W$6:$W$175, "&gt;="&amp;L1,'Expenditure Breakdown'!$W$6:$W$175, "&lt;"&amp;M1)</f>
        <v>0</v>
      </c>
      <c r="M11" s="213">
        <f>SUMIFS('Expenditure Breakdown'!$Q$6:$Q$175, 'Expenditure Breakdown'!$W$6:$W$175, "&gt;="&amp;M1,'Expenditure Breakdown'!$W$6:$W$175, "&lt;"&amp;N1)</f>
        <v>0</v>
      </c>
      <c r="N11" s="213">
        <f>SUMIFS('Expenditure Breakdown'!$Q$6:$Q$175, 'Expenditure Breakdown'!$W$6:$W$175, "&gt;="&amp;N1,'Expenditure Breakdown'!$W$6:$W$175, "&lt;"&amp;O1)</f>
        <v>0</v>
      </c>
      <c r="O11" s="213">
        <f>SUMIFS('Expenditure Breakdown'!$Q$6:$Q$175, 'Expenditure Breakdown'!$W$6:$W$175, "&gt;="&amp;O1,'Expenditure Breakdown'!$W$6:$W$175, "&lt;"&amp;P1)</f>
        <v>0</v>
      </c>
      <c r="P11" s="213">
        <f>SUMIFS('Expenditure Breakdown'!$Q$6:$Q$175, 'Expenditure Breakdown'!$W$6:$W$175, "&gt;="&amp;P1,'Expenditure Breakdown'!$W$6:$W$175, "&lt;"&amp;Q1)</f>
        <v>0</v>
      </c>
      <c r="Q11" s="213">
        <f>SUMIFS('Expenditure Breakdown'!$Q$6:$Q$175, 'Expenditure Breakdown'!$W$6:$W$175, "&gt;="&amp;Q1,'Expenditure Breakdown'!$W$6:$W$175, "&lt;"&amp;R1)</f>
        <v>0</v>
      </c>
      <c r="R11" s="213">
        <f>SUMIFS('Expenditure Breakdown'!$Q$6:$Q$175, 'Expenditure Breakdown'!$W$6:$W$175, "&gt;="&amp;R1,'Expenditure Breakdown'!$W$6:$W$175, "&lt;"&amp;S1)</f>
        <v>0</v>
      </c>
      <c r="S11" s="213">
        <f>SUMIFS('Expenditure Breakdown'!$Q$6:$Q$175, 'Expenditure Breakdown'!$W$6:$W$175, "&gt;="&amp;S1,'Expenditure Breakdown'!$W$6:$W$175, "&lt;"&amp;T1)</f>
        <v>0</v>
      </c>
      <c r="T11" s="213">
        <f>SUMIFS('Expenditure Breakdown'!$Q$6:$Q$175, 'Expenditure Breakdown'!$W$6:$W$175, "&gt;="&amp;T1,'Expenditure Breakdown'!$W$6:$W$175, "&lt;"&amp;U1)</f>
        <v>0</v>
      </c>
      <c r="U11" s="213">
        <f>SUMIFS('Expenditure Breakdown'!$Q$6:$Q$175, 'Expenditure Breakdown'!$W$6:$W$175, "&gt;="&amp;U1,'Expenditure Breakdown'!$W$6:$W$175, "&lt;"&amp;V1)</f>
        <v>119</v>
      </c>
      <c r="V11" s="213">
        <f>SUMIFS('Expenditure Breakdown'!$Q$6:$Q$175, 'Expenditure Breakdown'!$W$6:$W$175, "&gt;="&amp;V1,'Expenditure Breakdown'!$W$6:$W$175, "&lt;"&amp;W1)</f>
        <v>1329750</v>
      </c>
      <c r="W11" s="213">
        <f>SUMIFS('Expenditure Breakdown'!$Q$6:$Q$175, 'Expenditure Breakdown'!$W$6:$W$175, "&gt;="&amp;W1,'Expenditure Breakdown'!$W$6:$W$175, "&lt;"&amp;X1)</f>
        <v>0</v>
      </c>
      <c r="X11" s="213">
        <f>SUMIFS('Expenditure Breakdown'!$Q$6:$Q$175, 'Expenditure Breakdown'!$W$6:$W$175, "&gt;="&amp;X1,'Expenditure Breakdown'!$W$6:$W$175, "&lt;"&amp;Y1)</f>
        <v>-1329750</v>
      </c>
      <c r="Y11" s="213">
        <f>SUMIFS('Expenditure Breakdown'!$Q$6:$Q$175, 'Expenditure Breakdown'!$W$6:$W$175, "&gt;="&amp;Y1,'Expenditure Breakdown'!$W$6:$W$175, "&lt;"&amp;Z1)</f>
        <v>0</v>
      </c>
      <c r="Z11" s="213">
        <f>SUMIFS('Expenditure Breakdown'!$Q$6:$Q$175, 'Expenditure Breakdown'!$W$6:$W$175, "&gt;="&amp;Z1,'Expenditure Breakdown'!$W$6:$W$175, "&lt;"&amp;AA1)</f>
        <v>199.91999999996273</v>
      </c>
      <c r="AA11" s="213">
        <f>SUMIFS('Expenditure Breakdown'!$Q$6:$Q$175, 'Expenditure Breakdown'!$W$6:$W$175, "&gt;="&amp;AA1,'Expenditure Breakdown'!$W$6:$W$175, "&lt;"&amp;AB1)</f>
        <v>0</v>
      </c>
      <c r="AB11" s="213">
        <f>SUMIFS('Expenditure Breakdown'!$Q$6:$Q$175, 'Expenditure Breakdown'!$W$6:$W$175, "&gt;="&amp;AB1,'Expenditure Breakdown'!$W$6:$W$175, "&lt;"&amp;AC1)</f>
        <v>0</v>
      </c>
      <c r="AC11" s="213">
        <f>SUMIFS('Expenditure Breakdown'!$Q$6:$Q$175, 'Expenditure Breakdown'!$W$6:$W$175, "&gt;="&amp;AC1,'Expenditure Breakdown'!$W$6:$W$175, "&lt;"&amp;AD1)</f>
        <v>0</v>
      </c>
      <c r="AD11" s="213">
        <f>SUMIFS('Expenditure Breakdown'!$Q$6:$Q$175, 'Expenditure Breakdown'!$W$6:$W$175, "&gt;="&amp;AD1,'Expenditure Breakdown'!$W$6:$W$175, "&lt;"&amp;AE1)</f>
        <v>0</v>
      </c>
      <c r="AE11" s="213">
        <f>SUMIFS('Expenditure Breakdown'!$Q$6:$Q$175, 'Expenditure Breakdown'!$W$6:$W$175, "&gt;="&amp;AE1,'Expenditure Breakdown'!$W$6:$W$175, "&lt;"&amp;AF1)</f>
        <v>0</v>
      </c>
      <c r="AF11" s="213">
        <f>SUMIFS('Expenditure Breakdown'!$Q$6:$Q$175, 'Expenditure Breakdown'!$W$6:$W$175, "&gt;="&amp;AF1,'Expenditure Breakdown'!$W$6:$W$175, "&lt;"&amp;AG1)</f>
        <v>10650</v>
      </c>
      <c r="AG11" s="213">
        <f>SUMIFS('Expenditure Breakdown'!$Q$6:$Q$175, 'Expenditure Breakdown'!$W$6:$W$175, "&gt;="&amp;AG1,'Expenditure Breakdown'!$W$6:$W$175, "&lt;"&amp;AH1)</f>
        <v>2702710.9249999998</v>
      </c>
      <c r="AH11" s="213">
        <f>SUMIFS('Expenditure Breakdown'!$Q$6:$Q$175, 'Expenditure Breakdown'!$W$6:$W$175, "&gt;="&amp;AH1,'Expenditure Breakdown'!$W$6:$W$175, "&lt;"&amp;AI1)</f>
        <v>233.24</v>
      </c>
      <c r="AI11" s="213">
        <f>SUMIFS('Expenditure Breakdown'!$Q$6:$Q$175, 'Expenditure Breakdown'!$W$6:$W$175, "&gt;="&amp;AI1,'Expenditure Breakdown'!$W$6:$W$175, "&lt;"&amp;AJ1)</f>
        <v>112515.95</v>
      </c>
      <c r="AJ11" s="213">
        <f>SUMIFS('Expenditure Breakdown'!$Q$6:$Q$175, 'Expenditure Breakdown'!$W$6:$W$175, "&gt;="&amp;AJ1,'Expenditure Breakdown'!$W$6:$W$175, "&lt;"&amp;AK1)</f>
        <v>0</v>
      </c>
      <c r="AK11" s="213">
        <f>SUMIFS('Expenditure Breakdown'!$Q$6:$Q$175, 'Expenditure Breakdown'!$W$6:$W$175, "&gt;="&amp;AK1,'Expenditure Breakdown'!$W$6:$W$175, "&lt;"&amp;AL1)</f>
        <v>419040.48</v>
      </c>
      <c r="AL11" s="213">
        <f>SUMIFS('Expenditure Breakdown'!$Q$6:$Q$175, 'Expenditure Breakdown'!$W$6:$W$175, "&gt;="&amp;AL1,'Expenditure Breakdown'!$W$6:$W$175, "&lt;"&amp;AM1)</f>
        <v>0</v>
      </c>
      <c r="AM11" s="213">
        <f>SUMIFS('Expenditure Breakdown'!$Q$6:$Q$175, 'Expenditure Breakdown'!$W$6:$W$175, "&gt;="&amp;AM1,'Expenditure Breakdown'!$W$6:$W$175, "&lt;"&amp;AN1)</f>
        <v>0</v>
      </c>
      <c r="AN11" s="213">
        <f>SUMIFS('Expenditure Breakdown'!$Q$6:$Q$175, 'Expenditure Breakdown'!$W$6:$W$175, "&gt;="&amp;AN1,'Expenditure Breakdown'!$W$6:$W$175, "&lt;"&amp;AO1)</f>
        <v>0</v>
      </c>
      <c r="AO11" s="213">
        <f>SUMIFS('Expenditure Breakdown'!$Q$6:$Q$175, 'Expenditure Breakdown'!$W$6:$W$175, "&gt;="&amp;AO1,'Expenditure Breakdown'!$W$6:$W$175, "&lt;"&amp;AP1)</f>
        <v>216421.11</v>
      </c>
      <c r="AP11" s="213">
        <f>SUMIFS('Expenditure Breakdown'!$Q$6:$Q$175, 'Expenditure Breakdown'!$W$6:$W$175, "&gt;="&amp;AP1,'Expenditure Breakdown'!$W$6:$W$175, "&lt;"&amp;AQ1)</f>
        <v>0</v>
      </c>
      <c r="AQ11" s="213">
        <f>SUMIFS('Expenditure Breakdown'!$Q$6:$Q$175, 'Expenditure Breakdown'!$W$6:$W$175, "&gt;="&amp;AQ1,'Expenditure Breakdown'!$W$6:$W$175, "&lt;"&amp;AR1)</f>
        <v>975</v>
      </c>
      <c r="AR11" s="213">
        <f>SUMIFS('Expenditure Breakdown'!$Q$6:$Q$175, 'Expenditure Breakdown'!$W$6:$W$175, "&gt;="&amp;AR1,'Expenditure Breakdown'!$W$6:$W$175, "&lt;"&amp;AS1)</f>
        <v>0</v>
      </c>
      <c r="AS11" s="213">
        <f>SUMIFS('Expenditure Breakdown'!$Q$6:$Q$175, 'Expenditure Breakdown'!$W$6:$W$175, "&gt;="&amp;AS1,'Expenditure Breakdown'!$W$6:$W$175, "&lt;"&amp;AT1)</f>
        <v>981395.81</v>
      </c>
      <c r="AT11" s="213">
        <f>SUMIFS('Expenditure Breakdown'!$Q$6:$Q$175, 'Expenditure Breakdown'!$W$6:$W$175, "&gt;="&amp;AT1,'Expenditure Breakdown'!$W$6:$W$175, "&lt;"&amp;AU1)</f>
        <v>0</v>
      </c>
      <c r="AU11" s="213">
        <f>SUMIFS('Expenditure Breakdown'!$Q$6:$Q$175, 'Expenditure Breakdown'!$W$6:$W$175, "&gt;="&amp;AU1,'Expenditure Breakdown'!$W$6:$W$175, "&lt;"&amp;AV1)</f>
        <v>60196.88</v>
      </c>
      <c r="AV11" s="213">
        <f>SUMIFS('Expenditure Breakdown'!$Q$6:$Q$175, 'Expenditure Breakdown'!$W$6:$W$175, "&gt;="&amp;AV1,'Expenditure Breakdown'!$W$6:$W$175, "&lt;"&amp;AW1)</f>
        <v>0</v>
      </c>
      <c r="AW11" s="213">
        <f>SUMIFS('Expenditure Breakdown'!$Q$6:$Q$175, 'Expenditure Breakdown'!$W$6:$W$175, "&gt;="&amp;AW1,'Expenditure Breakdown'!$W$6:$W$175, "&lt;"&amp;AX1)</f>
        <v>0</v>
      </c>
      <c r="AX11" s="213">
        <f>SUMIFS('Expenditure Breakdown'!$Q$6:$Q$175, 'Expenditure Breakdown'!$W$6:$W$175, "&gt;="&amp;AX1,'Expenditure Breakdown'!$W$6:$W$175, "&lt;"&amp;AY1)</f>
        <v>0</v>
      </c>
      <c r="AY11" s="213">
        <f>SUMIFS('Expenditure Breakdown'!$Q$6:$Q$175, 'Expenditure Breakdown'!$W$6:$W$175, "&gt;="&amp;AY1,'Expenditure Breakdown'!$W$6:$W$175, "&lt;"&amp;AZ1)</f>
        <v>0</v>
      </c>
      <c r="AZ11" s="213">
        <f>SUMIFS('Expenditure Breakdown'!$Q$6:$Q$175, 'Expenditure Breakdown'!$W$6:$W$175, "&gt;="&amp;AZ1,'Expenditure Breakdown'!$W$6:$W$175, "&lt;"&amp;BA1)</f>
        <v>0</v>
      </c>
      <c r="BA11" s="213">
        <f>SUMIFS('Expenditure Breakdown'!$Q$6:$Q$175, 'Expenditure Breakdown'!$W$6:$W$175, "&gt;="&amp;BA1,'Expenditure Breakdown'!$W$6:$W$175, "&lt;"&amp;BB1)</f>
        <v>2517405.9</v>
      </c>
      <c r="BB11" s="213">
        <f>SUMIFS('Expenditure Breakdown'!$Q$6:$Q$175, 'Expenditure Breakdown'!$W$6:$W$175, "&gt;="&amp;BB1,'Expenditure Breakdown'!$W$6:$W$175, "&lt;"&amp;BC1)</f>
        <v>0</v>
      </c>
      <c r="BC11" s="213">
        <f>SUMIFS('Expenditure Breakdown'!$Q$6:$Q$175, 'Expenditure Breakdown'!$W$6:$W$175, "&gt;="&amp;BC1,'Expenditure Breakdown'!$W$6:$W$175, "&lt;"&amp;BD1)</f>
        <v>0</v>
      </c>
      <c r="BD11" s="213">
        <f>SUMIFS('Expenditure Breakdown'!$Q$6:$Q$175, 'Expenditure Breakdown'!$W$6:$W$175, "&gt;="&amp;BD1,'Expenditure Breakdown'!$W$6:$W$175, "&lt;"&amp;BE1)</f>
        <v>104.72</v>
      </c>
      <c r="BE11" s="213">
        <f>SUMIFS('Expenditure Breakdown'!$Q$6:$Q$175, 'Expenditure Breakdown'!$W$6:$W$175, "&gt;="&amp;BE1,'Expenditure Breakdown'!$W$6:$W$175, "&lt;"&amp;BF1)</f>
        <v>0</v>
      </c>
      <c r="BF11" s="213">
        <f>SUMIFS('Expenditure Breakdown'!$Q$6:$Q$175, 'Expenditure Breakdown'!$W$6:$W$175, "&gt;="&amp;BF1,'Expenditure Breakdown'!$W$6:$W$175, "&lt;"&amp;BG1)</f>
        <v>0</v>
      </c>
      <c r="BG11" s="213">
        <f>SUMIFS('Expenditure Breakdown'!$Q$6:$Q$175, 'Expenditure Breakdown'!$W$6:$W$175, "&gt;="&amp;BG1,'Expenditure Breakdown'!$W$6:$W$175, "&lt;"&amp;BH1)</f>
        <v>0</v>
      </c>
      <c r="BH11" s="213">
        <f>SUMIFS('Expenditure Breakdown'!$Q$6:$Q$175, 'Expenditure Breakdown'!$W$6:$W$175, "&gt;="&amp;BH1,'Expenditure Breakdown'!$W$6:$W$175, "&lt;"&amp;BI1)</f>
        <v>0</v>
      </c>
      <c r="BI11" s="213">
        <f>SUMIFS('Expenditure Breakdown'!$Q$6:$Q$175, 'Expenditure Breakdown'!$W$6:$W$175, "&gt;="&amp;BI1,'Expenditure Breakdown'!$W$6:$W$175, "&lt;"&amp;BJ1)</f>
        <v>0</v>
      </c>
      <c r="BJ11" s="213">
        <f>SUMIFS('Expenditure Breakdown'!$Q$6:$Q$175, 'Expenditure Breakdown'!$W$6:$W$175, "&gt;="&amp;BJ1,'Expenditure Breakdown'!$W$6:$W$175, "&lt;"&amp;BK1)</f>
        <v>0</v>
      </c>
      <c r="BK11" s="213">
        <f>SUMIFS('Expenditure Breakdown'!$Q$6:$Q$175, 'Expenditure Breakdown'!$W$6:$W$175, "&gt;="&amp;BK1,'Expenditure Breakdown'!$W$6:$W$175, "&lt;"&amp;BL1)</f>
        <v>519805.82500000001</v>
      </c>
      <c r="BL11" s="213">
        <f>SUMIFS('Expenditure Breakdown'!$Q$6:$Q$175, 'Expenditure Breakdown'!$W$6:$W$175, "&gt;="&amp;BL1,'Expenditure Breakdown'!$W$6:$W$175, "&lt;"&amp;BM1)</f>
        <v>780</v>
      </c>
      <c r="BM11" s="213">
        <f>SUMIFS('Expenditure Breakdown'!$Q$6:$Q$175, 'Expenditure Breakdown'!$W$6:$W$175, "&gt;="&amp;BM1,'Expenditure Breakdown'!$W$6:$W$175, "&lt;"&amp;BN1)</f>
        <v>176648.92499999999</v>
      </c>
      <c r="BN11" s="213">
        <f>SUMIFS('Expenditure Breakdown'!$Q$6:$Q$175, 'Expenditure Breakdown'!$W$6:$W$175, "&gt;="&amp;BN1,'Expenditure Breakdown'!$W$6:$W$175, "&lt;"&amp;BO1)</f>
        <v>0</v>
      </c>
      <c r="BO11" s="213">
        <f>SUMIFS('Expenditure Breakdown'!$Q$6:$Q$175, 'Expenditure Breakdown'!$W$6:$W$175, "&gt;="&amp;BO1,'Expenditure Breakdown'!$W$6:$W$175, "&lt;"&amp;BP1)</f>
        <v>0</v>
      </c>
      <c r="BP11" s="213">
        <f>SUMIFS('Expenditure Breakdown'!$Q$6:$Q$175, 'Expenditure Breakdown'!$W$6:$W$175, "&gt;="&amp;BP1,'Expenditure Breakdown'!$W$6:$W$175, "&lt;"&amp;BQ1)</f>
        <v>159886.1385</v>
      </c>
      <c r="BQ11" s="213">
        <f>SUMIFS('Expenditure Breakdown'!$Q$6:$Q$175, 'Expenditure Breakdown'!$W$6:$W$175, "&gt;="&amp;BQ1,'Expenditure Breakdown'!$W$6:$W$175, "&lt;"&amp;BR1)</f>
        <v>3481</v>
      </c>
      <c r="BR11" s="213">
        <f>SUMIFS('Expenditure Breakdown'!$Q$6:$Q$175, 'Expenditure Breakdown'!$W$6:$W$175, "&gt;="&amp;BR1,'Expenditure Breakdown'!$W$6:$W$175, "&lt;"&amp;BS1)</f>
        <v>0</v>
      </c>
      <c r="BS11" s="213">
        <f>SUMIFS('Expenditure Breakdown'!$Q$6:$Q$175, 'Expenditure Breakdown'!$W$6:$W$175, "&gt;="&amp;BS1,'Expenditure Breakdown'!$W$6:$W$175, "&lt;"&amp;BT1)</f>
        <v>0</v>
      </c>
      <c r="BT11" s="213">
        <f>SUMIFS('Expenditure Breakdown'!$Q$6:$Q$175, 'Expenditure Breakdown'!$W$6:$W$175, "&gt;="&amp;BT1,'Expenditure Breakdown'!$W$6:$W$175, "&lt;"&amp;BU1)</f>
        <v>0</v>
      </c>
      <c r="BU11" s="213">
        <f>SUMIFS('Expenditure Breakdown'!$Q$6:$Q$175, 'Expenditure Breakdown'!$W$6:$W$175, "&gt;="&amp;BU1,'Expenditure Breakdown'!$W$6:$W$175, "&lt;"&amp;BV1)</f>
        <v>780</v>
      </c>
      <c r="BV11" s="213">
        <f>SUMIFS('Expenditure Breakdown'!$Q$6:$Q$175, 'Expenditure Breakdown'!$W$6:$W$175, "&gt;="&amp;BV1,'Expenditure Breakdown'!$W$6:$W$175, "&lt;"&amp;BW1)</f>
        <v>0</v>
      </c>
      <c r="BW11" s="213">
        <f>SUMIFS('Expenditure Breakdown'!$Q$6:$Q$175, 'Expenditure Breakdown'!$W$6:$W$175, "&gt;="&amp;BW1,'Expenditure Breakdown'!$W$6:$W$175, "&lt;"&amp;BX1)</f>
        <v>0</v>
      </c>
      <c r="BX11" s="213">
        <f>SUMIFS('Expenditure Breakdown'!$Q$6:$Q$175, 'Expenditure Breakdown'!$W$6:$W$175, "&gt;="&amp;BX1,'Expenditure Breakdown'!$W$6:$W$175, "&lt;"&amp;BY1)</f>
        <v>0</v>
      </c>
      <c r="BY11" s="213">
        <f>SUMIFS('Expenditure Breakdown'!$Q$6:$Q$175, 'Expenditure Breakdown'!$W$6:$W$175, "&gt;="&amp;BY1,'Expenditure Breakdown'!$W$6:$W$175, "&lt;"&amp;BZ1)</f>
        <v>0</v>
      </c>
      <c r="BZ11" s="213">
        <f>SUMIFS('Expenditure Breakdown'!$Q$6:$Q$175, 'Expenditure Breakdown'!$W$6:$W$175, "&gt;="&amp;BZ1,'Expenditure Breakdown'!$W$6:$W$175, "&lt;"&amp;CA1)</f>
        <v>0</v>
      </c>
      <c r="CA11" s="213">
        <f>SUMIFS('Expenditure Breakdown'!$Q$6:$Q$175, 'Expenditure Breakdown'!$W$6:$W$175, "&gt;="&amp;CA1,'Expenditure Breakdown'!$W$6:$W$175, "&lt;"&amp;CB1)</f>
        <v>0</v>
      </c>
      <c r="CB11" s="213">
        <f>SUMIFS('Expenditure Breakdown'!$Q$6:$Q$175, 'Expenditure Breakdown'!$W$6:$W$175, "&gt;="&amp;CB1,'Expenditure Breakdown'!$W$6:$W$175, "&lt;"&amp;CC1)</f>
        <v>0</v>
      </c>
      <c r="CC11" s="213">
        <f>SUMIFS('Expenditure Breakdown'!$Q$6:$Q$175, 'Expenditure Breakdown'!$W$6:$W$175, "&gt;="&amp;CC1,'Expenditure Breakdown'!$W$6:$W$175, "&lt;"&amp;CD1)</f>
        <v>0</v>
      </c>
      <c r="CD11" s="213">
        <f>SUMIFS('Expenditure Breakdown'!$Q$6:$Q$175, 'Expenditure Breakdown'!$W$6:$W$175, "&gt;="&amp;CD1,'Expenditure Breakdown'!$W$6:$W$175, "&lt;"&amp;CE1)</f>
        <v>0</v>
      </c>
      <c r="CE11" s="213">
        <f>SUMIFS('Expenditure Breakdown'!$Q$6:$Q$175, 'Expenditure Breakdown'!$W$6:$W$175, "&gt;="&amp;CE1,'Expenditure Breakdown'!$W$6:$W$175, "&lt;"&amp;CF1)</f>
        <v>0</v>
      </c>
      <c r="CF11" s="213">
        <f>SUMIFS('Expenditure Breakdown'!$Q$6:$Q$175, 'Expenditure Breakdown'!$W$6:$W$175, "&gt;="&amp;CF1,'Expenditure Breakdown'!$W$6:$W$175, "&lt;"&amp;CG1)</f>
        <v>0</v>
      </c>
      <c r="CG11" s="213">
        <f>SUMIFS('Expenditure Breakdown'!$Q$6:$Q$175, 'Expenditure Breakdown'!$W$6:$W$175, "&gt;="&amp;CG1,'Expenditure Breakdown'!$W$6:$W$175, "&lt;"&amp;CH1)</f>
        <v>0</v>
      </c>
      <c r="CH11" s="213">
        <f>SUMIFS('Expenditure Breakdown'!$Q$6:$Q$175, 'Expenditure Breakdown'!$W$6:$W$175, "&gt;="&amp;CH1,'Expenditure Breakdown'!$W$6:$W$175, "&lt;"&amp;CI1)</f>
        <v>0</v>
      </c>
      <c r="CI11" s="213">
        <f>SUMIFS('Expenditure Breakdown'!$Q$6:$Q$175, 'Expenditure Breakdown'!$W$6:$W$175, "&gt;="&amp;CI1,'Expenditure Breakdown'!$W$6:$W$175, "&lt;"&amp;CJ1)</f>
        <v>0</v>
      </c>
      <c r="CJ11" s="213">
        <f>SUMIFS('Expenditure Breakdown'!$Q$6:$Q$175, 'Expenditure Breakdown'!$W$6:$W$175, "&gt;="&amp;CJ1,'Expenditure Breakdown'!$W$6:$W$175, "&lt;"&amp;CK1)</f>
        <v>0</v>
      </c>
      <c r="CK11" s="213">
        <f>SUMIFS('Expenditure Breakdown'!$Q$6:$Q$175, 'Expenditure Breakdown'!$W$6:$W$175, "&gt;="&amp;CK1,'Expenditure Breakdown'!$W$6:$W$175, "&lt;"&amp;CL1)</f>
        <v>0</v>
      </c>
      <c r="CL11" s="213">
        <f>SUMIFS('Expenditure Breakdown'!$Q$6:$Q$175, 'Expenditure Breakdown'!$W$6:$W$175, "&gt;="&amp;CL1,'Expenditure Breakdown'!$W$6:$W$175, "&lt;"&amp;CM1)</f>
        <v>0</v>
      </c>
      <c r="CM11" s="213">
        <f>SUMIFS('Expenditure Breakdown'!$Q$6:$Q$175, 'Expenditure Breakdown'!$W$6:$W$175, "&gt;="&amp;CM1,'Expenditure Breakdown'!$W$6:$W$175, "&lt;"&amp;CN1)</f>
        <v>0</v>
      </c>
      <c r="CN11" s="213">
        <f>SUMIFS('Expenditure Breakdown'!$Q$6:$Q$175, 'Expenditure Breakdown'!$W$6:$W$175, "&gt;="&amp;CN1,'Expenditure Breakdown'!$W$6:$W$175, "&lt;"&amp;CO1)</f>
        <v>0</v>
      </c>
      <c r="CO11" s="213">
        <f>SUMIFS('Expenditure Breakdown'!$Q$6:$Q$175, 'Expenditure Breakdown'!$W$6:$W$175, "&gt;="&amp;CO1,'Expenditure Breakdown'!$W$6:$W$175, "&lt;"&amp;CP1)</f>
        <v>0</v>
      </c>
      <c r="CP11" s="213">
        <f>SUMIFS('Expenditure Breakdown'!$Q$6:$Q$175, 'Expenditure Breakdown'!$W$6:$W$175, "&gt;="&amp;CP1,'Expenditure Breakdown'!$W$6:$W$175, "&lt;"&amp;CQ1)</f>
        <v>0</v>
      </c>
      <c r="CQ11" s="213">
        <f>SUMIFS('Expenditure Breakdown'!$Q$6:$Q$175, 'Expenditure Breakdown'!$W$6:$W$175, "&gt;="&amp;CQ1,'Expenditure Breakdown'!$W$6:$W$175, "&lt;"&amp;CR1)</f>
        <v>0</v>
      </c>
      <c r="CR11" s="213">
        <f>SUMIFS('Expenditure Breakdown'!$Q$6:$Q$175, 'Expenditure Breakdown'!$W$6:$W$175, "&gt;="&amp;CR1,'Expenditure Breakdown'!$W$6:$W$175, "&lt;"&amp;CS1)</f>
        <v>0</v>
      </c>
      <c r="CS11" s="213">
        <f>SUMIFS('Expenditure Breakdown'!$Q$6:$Q$175, 'Expenditure Breakdown'!$W$6:$W$175, "&gt;="&amp;CS1,'Expenditure Breakdown'!$W$6:$W$175, "&lt;"&amp;CT1)</f>
        <v>0</v>
      </c>
      <c r="CT11" s="213">
        <f>SUMIFS('Expenditure Breakdown'!$Q$6:$Q$175, 'Expenditure Breakdown'!$W$6:$W$175, "&gt;="&amp;CT1,'Expenditure Breakdown'!$W$6:$W$175, "&lt;"&amp;CU1)</f>
        <v>0</v>
      </c>
      <c r="CU11" s="213">
        <f>SUMIFS('Expenditure Breakdown'!$Q$6:$Q$175, 'Expenditure Breakdown'!$W$6:$W$175, "&gt;="&amp;CU1,'Expenditure Breakdown'!$W$6:$W$175, "&lt;"&amp;CV1)</f>
        <v>0</v>
      </c>
      <c r="CV11" s="213">
        <f>SUMIFS('Expenditure Breakdown'!$Q$6:$Q$175, 'Expenditure Breakdown'!$W$6:$W$175, "&gt;="&amp;CV1,'Expenditure Breakdown'!$W$6:$W$175, "&lt;"&amp;CW1)</f>
        <v>0</v>
      </c>
      <c r="CW11" s="213">
        <f>SUMIFS('Expenditure Breakdown'!$Q$6:$Q$175, 'Expenditure Breakdown'!$W$6:$W$175, "&gt;="&amp;CW1,'Expenditure Breakdown'!$W$6:$W$175, "&lt;"&amp;CX1)</f>
        <v>0</v>
      </c>
      <c r="CX11" s="213">
        <f>SUMIFS('Expenditure Breakdown'!$Q$6:$Q$175, 'Expenditure Breakdown'!$W$6:$W$175, "&gt;="&amp;CX1,'Expenditure Breakdown'!$W$6:$W$175, "&lt;"&amp;CY1)</f>
        <v>0</v>
      </c>
      <c r="CY11" s="213">
        <f>SUMIFS('Expenditure Breakdown'!$Q$6:$Q$175, 'Expenditure Breakdown'!$W$6:$W$175, "&gt;="&amp;CY1,'Expenditure Breakdown'!$W$6:$W$175, "&lt;"&amp;CZ1)</f>
        <v>0</v>
      </c>
      <c r="CZ11" s="213">
        <f>SUMIFS('Expenditure Breakdown'!$Q$6:$Q$175, 'Expenditure Breakdown'!$W$6:$W$175, "&gt;="&amp;CZ1,'Expenditure Breakdown'!$W$6:$W$175, "&lt;"&amp;DA1)</f>
        <v>0</v>
      </c>
      <c r="DA11" s="213">
        <f>SUMIFS('Expenditure Breakdown'!$Q$6:$Q$175, 'Expenditure Breakdown'!$W$6:$W$175, "&gt;="&amp;DA1,'Expenditure Breakdown'!$W$6:$W$175, "&lt;"&amp;DB1)</f>
        <v>0</v>
      </c>
      <c r="DB11" s="213">
        <f>SUMIFS('Expenditure Breakdown'!$Q$6:$Q$175, 'Expenditure Breakdown'!$W$6:$W$175, "&gt;="&amp;DB1,'Expenditure Breakdown'!$W$6:$W$175, "&lt;"&amp;DC1)</f>
        <v>0</v>
      </c>
      <c r="DC11" s="213">
        <f>SUMIFS('Expenditure Breakdown'!$Q$6:$Q$175, 'Expenditure Breakdown'!$W$6:$W$175, "&gt;="&amp;DC1,'Expenditure Breakdown'!$W$6:$W$175, "&lt;"&amp;DD1)</f>
        <v>0</v>
      </c>
      <c r="DD11" s="213">
        <f>SUMIFS('Expenditure Breakdown'!$Q$6:$Q$175, 'Expenditure Breakdown'!$W$6:$W$175, "&gt;="&amp;DD1,'Expenditure Breakdown'!$W$6:$W$175, "&lt;"&amp;DE1)</f>
        <v>0</v>
      </c>
      <c r="DE11" s="213">
        <f>SUMIFS('Expenditure Breakdown'!$Q$6:$Q$175, 'Expenditure Breakdown'!$W$6:$W$175, "&gt;="&amp;DE1,'Expenditure Breakdown'!$W$6:$W$175, "&lt;"&amp;DF1)</f>
        <v>0</v>
      </c>
      <c r="DF11" s="213">
        <f>SUMIFS('Expenditure Breakdown'!$Q$6:$Q$175, 'Expenditure Breakdown'!$W$6:$W$175, "&gt;="&amp;DF1,'Expenditure Breakdown'!$W$6:$W$175, "&lt;"&amp;DG1)</f>
        <v>0</v>
      </c>
      <c r="DG11" s="213">
        <f>SUMIFS('Expenditure Breakdown'!$Q$6:$Q$175, 'Expenditure Breakdown'!$W$6:$W$175, "&gt;="&amp;DG1,'Expenditure Breakdown'!$W$6:$W$175, "&lt;"&amp;DH1)</f>
        <v>0</v>
      </c>
      <c r="DH11" s="213">
        <f>SUMIFS('Expenditure Breakdown'!$Q$6:$Q$175, 'Expenditure Breakdown'!$W$6:$W$175, "&gt;="&amp;DH1,'Expenditure Breakdown'!$W$6:$W$175, "&lt;"&amp;DI1)</f>
        <v>0</v>
      </c>
      <c r="DI11" s="213">
        <f>SUMIFS('Expenditure Breakdown'!$Q$6:$Q$175, 'Expenditure Breakdown'!$W$6:$W$175, "&gt;="&amp;DI1,'Expenditure Breakdown'!$W$6:$W$175, "&lt;"&amp;DJ1)</f>
        <v>0</v>
      </c>
      <c r="DJ11" s="213">
        <f>SUMIFS('Expenditure Breakdown'!$Q$6:$Q$175, 'Expenditure Breakdown'!$W$6:$W$175, "&gt;="&amp;DJ1,'Expenditure Breakdown'!$W$6:$W$175, "&lt;"&amp;DK1)</f>
        <v>0</v>
      </c>
      <c r="DK11" s="213">
        <f>SUMIFS('Expenditure Breakdown'!$Q$6:$Q$175, 'Expenditure Breakdown'!$W$6:$W$175, "&gt;="&amp;DK1,'Expenditure Breakdown'!$W$6:$W$175, "&lt;"&amp;DL1)</f>
        <v>0</v>
      </c>
      <c r="DL11" s="213">
        <f>SUMIFS('Expenditure Breakdown'!$Q$6:$Q$175, 'Expenditure Breakdown'!$W$6:$W$175, "&gt;="&amp;DL1,'Expenditure Breakdown'!$W$6:$W$175, "&lt;"&amp;DM1)</f>
        <v>0</v>
      </c>
      <c r="DM11" s="213">
        <f>SUMIFS('Expenditure Breakdown'!$Q$6:$Q$175, 'Expenditure Breakdown'!$W$6:$W$175, "&gt;="&amp;DM1,'Expenditure Breakdown'!$W$6:$W$175, "&lt;"&amp;DN1)</f>
        <v>0</v>
      </c>
      <c r="DN11" s="213">
        <f>SUMIFS('Expenditure Breakdown'!$Q$6:$Q$175, 'Expenditure Breakdown'!$W$6:$W$175, "&gt;="&amp;DN1,'Expenditure Breakdown'!$W$6:$W$175, "&lt;"&amp;DO1)</f>
        <v>0</v>
      </c>
      <c r="DO11" s="213">
        <f>SUMIFS('Expenditure Breakdown'!$Q$6:$Q$175, 'Expenditure Breakdown'!$W$6:$W$175, "&gt;="&amp;DO1,'Expenditure Breakdown'!$W$6:$W$175, "&lt;"&amp;DP1)</f>
        <v>0</v>
      </c>
      <c r="DP11" s="213">
        <f>SUMIFS('Expenditure Breakdown'!$Q$6:$Q$175, 'Expenditure Breakdown'!$W$6:$W$175, "&gt;="&amp;DP1,'Expenditure Breakdown'!$W$6:$W$175, "&lt;"&amp;DQ1)</f>
        <v>0</v>
      </c>
      <c r="DQ11" s="213">
        <f>SUMIFS('Expenditure Breakdown'!$Q$6:$Q$175, 'Expenditure Breakdown'!$W$6:$W$175, "&gt;="&amp;DQ1,'Expenditure Breakdown'!$W$6:$W$175, "&lt;"&amp;DR1)</f>
        <v>0</v>
      </c>
      <c r="DR11" s="213">
        <f>SUMIFS('Expenditure Breakdown'!$Q$6:$Q$175, 'Expenditure Breakdown'!$W$6:$W$175, "&gt;="&amp;DR1,'Expenditure Breakdown'!$W$6:$W$175, "&lt;"&amp;DS1)</f>
        <v>0</v>
      </c>
      <c r="DS11" s="213">
        <f>SUMIFS('Expenditure Breakdown'!$Q$6:$Q$175, 'Expenditure Breakdown'!$W$6:$W$175, "&gt;="&amp;DS1,'Expenditure Breakdown'!$W$6:$W$175, "&lt;"&amp;DT1)</f>
        <v>0</v>
      </c>
      <c r="DT11" s="213">
        <f>SUMIFS('Expenditure Breakdown'!$Q$6:$Q$175, 'Expenditure Breakdown'!$W$6:$W$175, "&gt;="&amp;DT1,'Expenditure Breakdown'!$W$6:$W$175, "&lt;"&amp;DU1)</f>
        <v>0</v>
      </c>
      <c r="DU11" s="213">
        <f>SUMIFS('Expenditure Breakdown'!$Q$6:$Q$175, 'Expenditure Breakdown'!$W$6:$W$175, "&gt;="&amp;DU1,'Expenditure Breakdown'!$W$6:$W$175, "&lt;"&amp;DV1)</f>
        <v>0</v>
      </c>
      <c r="DV11" s="213">
        <f>SUMIFS('Expenditure Breakdown'!$Q$6:$Q$175, 'Expenditure Breakdown'!$W$6:$W$175, "&gt;="&amp;DV1,'Expenditure Breakdown'!$W$6:$W$175, "&lt;"&amp;DW1)</f>
        <v>0</v>
      </c>
      <c r="DW11" s="213">
        <f>SUMIFS('Expenditure Breakdown'!$Q$6:$Q$175, 'Expenditure Breakdown'!$W$6:$W$175, "&gt;="&amp;DW1,'Expenditure Breakdown'!$W$6:$W$175, "&lt;"&amp;DX1)</f>
        <v>0</v>
      </c>
      <c r="DX11" s="213">
        <f>SUMIFS('Expenditure Breakdown'!$Q$6:$Q$175, 'Expenditure Breakdown'!$W$6:$W$175, "&gt;="&amp;DX1,'Expenditure Breakdown'!$W$6:$W$175, "&lt;"&amp;DY1)</f>
        <v>0</v>
      </c>
      <c r="DY11" s="213">
        <f>SUMIFS('Expenditure Breakdown'!$Q$6:$Q$175, 'Expenditure Breakdown'!$W$6:$W$175, "&gt;="&amp;DY1,'Expenditure Breakdown'!$W$6:$W$175, "&lt;"&amp;DZ1)</f>
        <v>0</v>
      </c>
      <c r="DZ11" s="213">
        <f>SUMIFS('Expenditure Breakdown'!$Q$6:$Q$175, 'Expenditure Breakdown'!$W$6:$W$175, "&gt;="&amp;DZ1,'Expenditure Breakdown'!$W$6:$W$175, "&lt;"&amp;EA1)</f>
        <v>0</v>
      </c>
      <c r="EA11" s="213">
        <f>SUMIFS('Expenditure Breakdown'!$Q$6:$Q$175, 'Expenditure Breakdown'!$W$6:$W$175, "&gt;="&amp;EA1,'Expenditure Breakdown'!$W$6:$W$175, "&lt;"&amp;EB1)</f>
        <v>0</v>
      </c>
      <c r="EB11" s="213">
        <f>SUMIFS('Expenditure Breakdown'!$Q$6:$Q$175, 'Expenditure Breakdown'!$W$6:$W$175, "&gt;="&amp;EB1,'Expenditure Breakdown'!$W$6:$W$175, "&lt;"&amp;EC1)</f>
        <v>0</v>
      </c>
      <c r="EC11" s="213">
        <f>SUMIFS('Expenditure Breakdown'!$Q$6:$Q$175, 'Expenditure Breakdown'!$W$6:$W$175, "&gt;="&amp;EC1,'Expenditure Breakdown'!$W$6:$W$175, "&lt;"&amp;ED1)</f>
        <v>0</v>
      </c>
      <c r="ED11" s="213">
        <f>SUMIFS('Expenditure Breakdown'!$Q$6:$Q$175, 'Expenditure Breakdown'!$W$6:$W$175, "&gt;="&amp;ED1,'Expenditure Breakdown'!$W$6:$W$175, "&lt;"&amp;EE1)</f>
        <v>0</v>
      </c>
      <c r="EE11" s="213">
        <f>SUMIFS('Expenditure Breakdown'!$Q$6:$Q$175, 'Expenditure Breakdown'!$W$6:$W$175, "&gt;="&amp;EE1,'Expenditure Breakdown'!$W$6:$W$175, "&lt;"&amp;EF1)</f>
        <v>0</v>
      </c>
      <c r="EF11" s="213">
        <f>SUMIFS('Expenditure Breakdown'!$Q$6:$Q$175, 'Expenditure Breakdown'!$W$6:$W$175, "&gt;="&amp;EF1,'Expenditure Breakdown'!$W$6:$W$175, "&lt;"&amp;EG1)</f>
        <v>0</v>
      </c>
      <c r="EG11" s="213">
        <f>SUMIFS('Expenditure Breakdown'!$Q$6:$Q$175, 'Expenditure Breakdown'!$W$6:$W$175, "&gt;="&amp;EG1,'Expenditure Breakdown'!$W$6:$W$175, "&lt;"&amp;EH1)</f>
        <v>0</v>
      </c>
      <c r="EH11" s="213">
        <f>SUMIFS('Expenditure Breakdown'!$Q$6:$Q$175, 'Expenditure Breakdown'!$W$6:$W$175, "&gt;="&amp;EH1,'Expenditure Breakdown'!$W$6:$W$175, "&lt;"&amp;EI1)</f>
        <v>0</v>
      </c>
      <c r="EI11" s="213">
        <f>SUMIFS('Expenditure Breakdown'!$Q$6:$Q$175, 'Expenditure Breakdown'!$W$6:$W$175, "&gt;="&amp;EI1,'Expenditure Breakdown'!$W$6:$W$175, "&lt;"&amp;EJ1)</f>
        <v>0</v>
      </c>
      <c r="EJ11" s="213">
        <f>SUMIFS('Expenditure Breakdown'!$Q$6:$Q$175, 'Expenditure Breakdown'!$W$6:$W$175, "&gt;="&amp;EJ1,'Expenditure Breakdown'!$W$6:$W$175, "&lt;"&amp;EK1)</f>
        <v>0</v>
      </c>
      <c r="EK11" s="213">
        <f>SUMIFS('Expenditure Breakdown'!$Q$6:$Q$175, 'Expenditure Breakdown'!$W$6:$W$175, "&gt;="&amp;EK1,'Expenditure Breakdown'!$W$6:$W$175, "&lt;"&amp;EL1)</f>
        <v>0</v>
      </c>
      <c r="EL11" s="213">
        <f>SUMIFS('Expenditure Breakdown'!$Q$6:$Q$175, 'Expenditure Breakdown'!$W$6:$W$175, "&gt;="&amp;EL1,'Expenditure Breakdown'!$W$6:$W$175, "&lt;"&amp;EM1)</f>
        <v>0</v>
      </c>
      <c r="EM11" s="213">
        <f>SUMIFS('Expenditure Breakdown'!$Q$6:$Q$175, 'Expenditure Breakdown'!$W$6:$W$175, "&gt;="&amp;EM1,'Expenditure Breakdown'!$W$6:$W$175, "&lt;"&amp;EN1)</f>
        <v>0</v>
      </c>
      <c r="EN11" s="213">
        <f>SUMIFS('Expenditure Breakdown'!$Q$6:$Q$175, 'Expenditure Breakdown'!$W$6:$W$175, "&gt;="&amp;EN1,'Expenditure Breakdown'!$W$6:$W$175, "&lt;"&amp;EO1)</f>
        <v>0</v>
      </c>
      <c r="EO11" s="213">
        <f>SUMIFS('Expenditure Breakdown'!$Q$6:$Q$175, 'Expenditure Breakdown'!$W$6:$W$175, "&gt;="&amp;EO1,'Expenditure Breakdown'!$W$6:$W$175, "&lt;"&amp;EP1)</f>
        <v>0</v>
      </c>
      <c r="EP11" s="213">
        <f>SUMIFS('Expenditure Breakdown'!$Q$6:$Q$175, 'Expenditure Breakdown'!$W$6:$W$175, "&gt;="&amp;EP1,'Expenditure Breakdown'!$W$6:$W$175, "&lt;"&amp;EQ1)</f>
        <v>0</v>
      </c>
      <c r="EQ11" s="213">
        <f>SUMIFS('Expenditure Breakdown'!$Q$6:$Q$175, 'Expenditure Breakdown'!$W$6:$W$175, "&gt;="&amp;EQ1,'Expenditure Breakdown'!$W$6:$W$175, "&lt;"&amp;ER1)</f>
        <v>0</v>
      </c>
      <c r="ER11" s="213">
        <f>SUMIFS('Expenditure Breakdown'!$Q$6:$Q$175, 'Expenditure Breakdown'!$W$6:$W$175, "&gt;="&amp;ER1,'Expenditure Breakdown'!$W$6:$W$175, "&lt;"&amp;ES1)</f>
        <v>0</v>
      </c>
      <c r="ES11" s="213">
        <f>SUMIFS('Expenditure Breakdown'!$Q$6:$Q$175, 'Expenditure Breakdown'!$W$6:$W$175, "&gt;="&amp;ES1,'Expenditure Breakdown'!$W$6:$W$175, "&lt;"&amp;ET1)</f>
        <v>0</v>
      </c>
      <c r="ET11" s="213">
        <f>SUMIFS('Expenditure Breakdown'!$Q$6:$Q$175, 'Expenditure Breakdown'!$W$6:$W$175, "&gt;="&amp;ET1,'Expenditure Breakdown'!$W$6:$W$175, "&lt;"&amp;EU1)</f>
        <v>0</v>
      </c>
      <c r="EU11" s="213">
        <f>SUMIFS('Expenditure Breakdown'!$Q$6:$Q$175, 'Expenditure Breakdown'!$W$6:$W$175, "&gt;="&amp;EU1,'Expenditure Breakdown'!$W$6:$W$175, "&lt;"&amp;EV1)</f>
        <v>0</v>
      </c>
      <c r="EV11" s="213">
        <f>SUMIFS('Expenditure Breakdown'!$Q$6:$Q$175, 'Expenditure Breakdown'!$W$6:$W$175, "&gt;="&amp;EV1,'Expenditure Breakdown'!$W$6:$W$175, "&lt;"&amp;EW1)</f>
        <v>0</v>
      </c>
      <c r="EW11" s="213">
        <f>SUMIFS('Expenditure Breakdown'!$Q$6:$Q$175, 'Expenditure Breakdown'!$W$6:$W$175, "&gt;="&amp;EW1,'Expenditure Breakdown'!$W$6:$W$175, "&lt;"&amp;EX1)</f>
        <v>0</v>
      </c>
      <c r="EX11" s="213">
        <f>SUMIFS('Expenditure Breakdown'!$Q$6:$Q$175, 'Expenditure Breakdown'!$W$6:$W$175, "&gt;="&amp;EX1,'Expenditure Breakdown'!$W$6:$W$175, "&lt;"&amp;EY1)</f>
        <v>0</v>
      </c>
      <c r="EY11" s="213">
        <f>SUMIFS('Expenditure Breakdown'!$Q$6:$Q$175, 'Expenditure Breakdown'!$W$6:$W$175, "&gt;="&amp;EY1,'Expenditure Breakdown'!$W$6:$W$175, "&lt;"&amp;EZ1)</f>
        <v>0</v>
      </c>
      <c r="EZ11" s="213">
        <f>SUMIFS('Expenditure Breakdown'!$Q$6:$Q$175, 'Expenditure Breakdown'!$W$6:$W$175, "&gt;="&amp;EZ1,'Expenditure Breakdown'!$W$6:$W$175, "&lt;"&amp;FA1)</f>
        <v>0</v>
      </c>
      <c r="FA11" s="213">
        <f>SUMIFS('Expenditure Breakdown'!$Q$6:$Q$175, 'Expenditure Breakdown'!$W$6:$W$175, "&gt;="&amp;FA1,'Expenditure Breakdown'!$W$6:$W$175, "&lt;"&amp;FB1)</f>
        <v>0</v>
      </c>
      <c r="FB11" s="213">
        <f>SUMIFS('Expenditure Breakdown'!$Q$6:$Q$175, 'Expenditure Breakdown'!$W$6:$W$175, "&gt;="&amp;FB1,'Expenditure Breakdown'!$W$6:$W$175, "&lt;"&amp;FC1)</f>
        <v>0</v>
      </c>
      <c r="FC11" s="213">
        <f>SUMIFS('Expenditure Breakdown'!$Q$6:$Q$175, 'Expenditure Breakdown'!$W$6:$W$175, "&gt;="&amp;FC1,'Expenditure Breakdown'!$W$6:$W$175, "&lt;"&amp;FD1)</f>
        <v>0</v>
      </c>
      <c r="FD11" s="213">
        <f>SUMIFS('Expenditure Breakdown'!$Q$6:$Q$175, 'Expenditure Breakdown'!$W$6:$W$175, "&gt;="&amp;FD1,'Expenditure Breakdown'!$W$6:$W$175, "&lt;"&amp;FE1)</f>
        <v>0</v>
      </c>
      <c r="FE11" s="213">
        <f>SUMIFS('Expenditure Breakdown'!$Q$6:$Q$175, 'Expenditure Breakdown'!$W$6:$W$175, "&gt;="&amp;FE1,'Expenditure Breakdown'!$W$6:$W$175, "&lt;"&amp;FF1)</f>
        <v>0</v>
      </c>
      <c r="FF11" s="213">
        <f>SUMIFS('Expenditure Breakdown'!$Q$6:$Q$175, 'Expenditure Breakdown'!$W$6:$W$175, "&gt;="&amp;FF1,'Expenditure Breakdown'!$W$6:$W$175, "&lt;"&amp;FG1)</f>
        <v>0</v>
      </c>
      <c r="FG11" s="213">
        <f>SUMIFS('Expenditure Breakdown'!$Q$6:$Q$175, 'Expenditure Breakdown'!$W$6:$W$175, "&gt;="&amp;FG1,'Expenditure Breakdown'!$W$6:$W$175, "&lt;"&amp;FH1)</f>
        <v>0</v>
      </c>
      <c r="FH11" s="213">
        <f>SUMIFS('Expenditure Breakdown'!$Q$6:$Q$175, 'Expenditure Breakdown'!$W$6:$W$175, "&gt;="&amp;FH1,'Expenditure Breakdown'!$W$6:$W$175, "&lt;"&amp;FI1)</f>
        <v>0</v>
      </c>
      <c r="FI11" s="213">
        <f>SUMIFS('Expenditure Breakdown'!$Q$6:$Q$175, 'Expenditure Breakdown'!$W$6:$W$175, "&gt;="&amp;FI1,'Expenditure Breakdown'!$W$6:$W$175, "&lt;"&amp;FJ1)</f>
        <v>0</v>
      </c>
      <c r="FJ11" s="213">
        <f>SUMIFS('Expenditure Breakdown'!$Q$6:$Q$175, 'Expenditure Breakdown'!$W$6:$W$175, "&gt;="&amp;FJ1,'Expenditure Breakdown'!$W$6:$W$175, "&lt;"&amp;FK1)</f>
        <v>0</v>
      </c>
      <c r="FK11" s="213">
        <f>SUMIFS('Expenditure Breakdown'!$Q$6:$Q$175, 'Expenditure Breakdown'!$W$6:$W$175, "&gt;="&amp;FK1,'Expenditure Breakdown'!$W$6:$W$175, "&lt;"&amp;FL1)</f>
        <v>0</v>
      </c>
      <c r="FL11" s="213">
        <f>SUMIFS('Expenditure Breakdown'!$Q$6:$Q$175, 'Expenditure Breakdown'!$W$6:$W$175, "&gt;="&amp;FL1,'Expenditure Breakdown'!$W$6:$W$175, "&lt;"&amp;FM1)</f>
        <v>0</v>
      </c>
      <c r="FM11" s="213">
        <f>SUMIFS('Expenditure Breakdown'!$Q$6:$Q$175, 'Expenditure Breakdown'!$W$6:$W$175, "&gt;="&amp;FM1,'Expenditure Breakdown'!$W$6:$W$175, "&lt;"&amp;FN1)</f>
        <v>0</v>
      </c>
      <c r="FN11" s="213">
        <f>SUMIFS('Expenditure Breakdown'!$Q$6:$Q$175, 'Expenditure Breakdown'!$W$6:$W$175, "&gt;="&amp;FN1,'Expenditure Breakdown'!$W$6:$W$175, "&lt;"&amp;FO1)</f>
        <v>0</v>
      </c>
      <c r="FO11" s="213">
        <f>SUMIFS('Expenditure Breakdown'!$Q$6:$Q$175, 'Expenditure Breakdown'!$W$6:$W$175, "&gt;="&amp;FO1,'Expenditure Breakdown'!$W$6:$W$175, "&lt;"&amp;FP1)</f>
        <v>0</v>
      </c>
      <c r="FP11" s="213">
        <f>SUMIFS('Expenditure Breakdown'!$Q$6:$Q$175, 'Expenditure Breakdown'!$W$6:$W$175, "&gt;="&amp;FP1,'Expenditure Breakdown'!$W$6:$W$175, "&lt;"&amp;FQ1)</f>
        <v>0</v>
      </c>
      <c r="FQ11" s="213">
        <f>SUMIFS('Expenditure Breakdown'!$Q$6:$Q$175, 'Expenditure Breakdown'!$W$6:$W$175, "&gt;="&amp;FQ1,'Expenditure Breakdown'!$W$6:$W$175, "&lt;"&amp;FR1)</f>
        <v>0</v>
      </c>
      <c r="FR11" s="213">
        <f>SUMIFS('Expenditure Breakdown'!$Q$6:$Q$175, 'Expenditure Breakdown'!$W$6:$W$175, "&gt;="&amp;FR1,'Expenditure Breakdown'!$W$6:$W$175, "&lt;"&amp;FS1)</f>
        <v>0</v>
      </c>
      <c r="FS11" s="213">
        <f>SUMIFS('Expenditure Breakdown'!$Q$6:$Q$175, 'Expenditure Breakdown'!$W$6:$W$175, "&gt;="&amp;FS1,'Expenditure Breakdown'!$W$6:$W$175, "&lt;"&amp;FT1)</f>
        <v>0</v>
      </c>
      <c r="FT11" s="213">
        <f>SUMIFS('Expenditure Breakdown'!$Q$6:$Q$175, 'Expenditure Breakdown'!$W$6:$W$175, "&gt;="&amp;FT1,'Expenditure Breakdown'!$W$6:$W$175, "&lt;"&amp;FU1)</f>
        <v>0</v>
      </c>
      <c r="FU11" s="213">
        <f>SUMIFS('Expenditure Breakdown'!$Q$6:$Q$175, 'Expenditure Breakdown'!$W$6:$W$175, "&gt;="&amp;FU1,'Expenditure Breakdown'!$W$6:$W$175, "&lt;"&amp;FV1)</f>
        <v>0</v>
      </c>
      <c r="FV11" s="213">
        <f>SUMIFS('Expenditure Breakdown'!$Q$6:$Q$175, 'Expenditure Breakdown'!$W$6:$W$175, "&gt;="&amp;FV1,'Expenditure Breakdown'!$W$6:$W$175, "&lt;"&amp;FW1)</f>
        <v>0</v>
      </c>
      <c r="FW11" s="213">
        <f>SUMIFS('Expenditure Breakdown'!$Q$6:$Q$175, 'Expenditure Breakdown'!$W$6:$W$175, "&gt;="&amp;FW1,'Expenditure Breakdown'!$W$6:$W$175, "&lt;"&amp;FX1)</f>
        <v>0</v>
      </c>
      <c r="FX11" s="213">
        <f>SUMIFS('Expenditure Breakdown'!$Q$6:$Q$175, 'Expenditure Breakdown'!$W$6:$W$175, "&gt;="&amp;FX1,'Expenditure Breakdown'!$W$6:$W$175, "&lt;"&amp;FY1)</f>
        <v>0</v>
      </c>
      <c r="FY11" s="213">
        <f>SUMIFS('Expenditure Breakdown'!$Q$6:$Q$175, 'Expenditure Breakdown'!$W$6:$W$175, "&gt;="&amp;FY1,'Expenditure Breakdown'!$W$6:$W$175, "&lt;"&amp;FZ1)</f>
        <v>0</v>
      </c>
      <c r="FZ11" s="213">
        <f>SUMIFS('Expenditure Breakdown'!$Q$6:$Q$175, 'Expenditure Breakdown'!$W$6:$W$175, "&gt;="&amp;FZ1,'Expenditure Breakdown'!$W$6:$W$175, "&lt;"&amp;GA1)</f>
        <v>0</v>
      </c>
      <c r="GA11" s="213">
        <f>SUMIFS('Expenditure Breakdown'!$Q$6:$Q$175, 'Expenditure Breakdown'!$W$6:$W$175, "&gt;="&amp;GA1,'Expenditure Breakdown'!$W$6:$W$175, "&lt;"&amp;GB1)</f>
        <v>0</v>
      </c>
      <c r="GB11" s="213">
        <f>SUMIFS('Expenditure Breakdown'!$Q$6:$Q$175, 'Expenditure Breakdown'!$W$6:$W$175, "&gt;="&amp;GB1,'Expenditure Breakdown'!$W$6:$W$175, "&lt;"&amp;GC1)</f>
        <v>0</v>
      </c>
      <c r="GC11" s="213">
        <f>SUMIFS('Expenditure Breakdown'!$Q$6:$Q$175, 'Expenditure Breakdown'!$W$6:$W$175, "&gt;="&amp;GC1,'Expenditure Breakdown'!$W$6:$W$175, "&lt;"&amp;GD1)</f>
        <v>0</v>
      </c>
      <c r="GD11" s="213">
        <f>SUMIFS('Expenditure Breakdown'!$Q$6:$Q$175, 'Expenditure Breakdown'!$W$6:$W$175, "&gt;="&amp;GD1,'Expenditure Breakdown'!$W$6:$W$175, "&lt;"&amp;GE1)</f>
        <v>0</v>
      </c>
      <c r="GE11" s="213">
        <f>SUMIFS('Expenditure Breakdown'!$Q$6:$Q$175, 'Expenditure Breakdown'!$W$6:$W$175, "&gt;="&amp;GE1,'Expenditure Breakdown'!$W$6:$W$175, "&lt;"&amp;GF1)</f>
        <v>0</v>
      </c>
      <c r="GF11" s="213">
        <f>SUMIFS('Expenditure Breakdown'!$Q$6:$Q$175, 'Expenditure Breakdown'!$W$6:$W$175, "&gt;="&amp;GF1,'Expenditure Breakdown'!$W$6:$W$175, "&lt;"&amp;GG1)</f>
        <v>0</v>
      </c>
      <c r="GG11" s="213">
        <f>SUMIFS('Expenditure Breakdown'!$Q$6:$Q$175, 'Expenditure Breakdown'!$W$6:$W$175, "&gt;="&amp;GG1,'Expenditure Breakdown'!$W$6:$W$175, "&lt;"&amp;GH1)</f>
        <v>0</v>
      </c>
      <c r="GH11" s="213">
        <f>SUMIFS('Expenditure Breakdown'!$Q$6:$Q$175, 'Expenditure Breakdown'!$W$6:$W$175, "&gt;="&amp;GH1,'Expenditure Breakdown'!$W$6:$W$175, "&lt;"&amp;GI1)</f>
        <v>0</v>
      </c>
      <c r="GI11" s="213">
        <f>SUMIFS('Expenditure Breakdown'!$Q$6:$Q$175, 'Expenditure Breakdown'!$W$6:$W$175, "&gt;="&amp;GI1,'Expenditure Breakdown'!$W$6:$W$175, "&lt;"&amp;GJ1)</f>
        <v>0</v>
      </c>
      <c r="GJ11" s="213">
        <f>SUMIFS('Expenditure Breakdown'!$Q$6:$Q$175, 'Expenditure Breakdown'!$W$6:$W$175, "&gt;="&amp;GJ1,'Expenditure Breakdown'!$W$6:$W$175, "&lt;"&amp;GK1)</f>
        <v>0</v>
      </c>
      <c r="GK11" s="213">
        <f>SUMIFS('Expenditure Breakdown'!$Q$6:$Q$175, 'Expenditure Breakdown'!$W$6:$W$175, "&gt;="&amp;GK1,'Expenditure Breakdown'!$W$6:$W$175, "&lt;"&amp;GL1)</f>
        <v>0</v>
      </c>
      <c r="GL11" s="213">
        <f>SUMIFS('Expenditure Breakdown'!$Q$6:$Q$175, 'Expenditure Breakdown'!$W$6:$W$175, "&gt;="&amp;GL1,'Expenditure Breakdown'!$W$6:$W$175, "&lt;"&amp;GM1)</f>
        <v>0</v>
      </c>
      <c r="GM11" s="213">
        <f>SUMIFS('Expenditure Breakdown'!$Q$6:$Q$175, 'Expenditure Breakdown'!$W$6:$W$175, "&gt;="&amp;GM1,'Expenditure Breakdown'!$W$6:$W$175, "&lt;"&amp;GN1)</f>
        <v>0</v>
      </c>
      <c r="GN11" s="213">
        <f>SUMIFS('Expenditure Breakdown'!$Q$6:$Q$175, 'Expenditure Breakdown'!$W$6:$W$175, "&gt;="&amp;GN1,'Expenditure Breakdown'!$W$6:$W$175, "&lt;"&amp;GO1)</f>
        <v>0</v>
      </c>
      <c r="GO11" s="213">
        <f>SUMIFS('Expenditure Breakdown'!$Q$6:$Q$175, 'Expenditure Breakdown'!$W$6:$W$175, "&gt;="&amp;GO1,'Expenditure Breakdown'!$W$6:$W$175, "&lt;"&amp;GP1)</f>
        <v>0</v>
      </c>
      <c r="GP11" s="213">
        <f>SUMIFS('Expenditure Breakdown'!$Q$6:$Q$175, 'Expenditure Breakdown'!$W$6:$W$175, "&gt;="&amp;GP1,'Expenditure Breakdown'!$W$6:$W$175, "&lt;"&amp;GQ1)</f>
        <v>0</v>
      </c>
      <c r="GQ11" s="213">
        <f>SUMIFS('Expenditure Breakdown'!$Q$6:$Q$175, 'Expenditure Breakdown'!$W$6:$W$175, "&gt;="&amp;GQ1,'Expenditure Breakdown'!$W$6:$W$175, "&lt;"&amp;GR1)</f>
        <v>0</v>
      </c>
      <c r="GR11" s="213">
        <f>SUMIFS('Expenditure Breakdown'!$Q$6:$Q$175, 'Expenditure Breakdown'!$W$6:$W$175, "&gt;="&amp;GR1,'Expenditure Breakdown'!$W$6:$W$175, "&lt;"&amp;GS1)</f>
        <v>0</v>
      </c>
      <c r="GS11" s="213">
        <f>SUMIFS('Expenditure Breakdown'!$Q$6:$Q$175, 'Expenditure Breakdown'!$W$6:$W$175, "&gt;="&amp;GS1,'Expenditure Breakdown'!$W$6:$W$175, "&lt;"&amp;GT1)</f>
        <v>0</v>
      </c>
      <c r="GT11" s="213">
        <f>SUMIFS('Expenditure Breakdown'!$Q$6:$Q$175, 'Expenditure Breakdown'!$W$6:$W$175, "&gt;="&amp;GT1,'Expenditure Breakdown'!$W$6:$W$175, "&lt;"&amp;GU1)</f>
        <v>0</v>
      </c>
      <c r="GU11" s="213">
        <f>SUMIFS('Expenditure Breakdown'!$Q$6:$Q$175, 'Expenditure Breakdown'!$W$6:$W$175, "&gt;="&amp;GU1,'Expenditure Breakdown'!$W$6:$W$175, "&lt;"&amp;GV1)</f>
        <v>0</v>
      </c>
      <c r="GV11" s="213">
        <f>SUMIFS('Expenditure Breakdown'!$Q$6:$Q$175, 'Expenditure Breakdown'!$W$6:$W$175, "&gt;="&amp;GV1,'Expenditure Breakdown'!$W$6:$W$175, "&lt;"&amp;GW1)</f>
        <v>0</v>
      </c>
      <c r="GW11" s="213">
        <f>SUMIFS('Expenditure Breakdown'!$Q$6:$Q$175, 'Expenditure Breakdown'!$W$6:$W$175, "&gt;="&amp;GW1,'Expenditure Breakdown'!$W$6:$W$175, "&lt;"&amp;GX1)</f>
        <v>0</v>
      </c>
      <c r="GX11" s="213">
        <f>SUMIFS('Expenditure Breakdown'!$Q$6:$Q$175, 'Expenditure Breakdown'!$W$6:$W$175, "&gt;="&amp;GX1,'Expenditure Breakdown'!$W$6:$W$175, "&lt;"&amp;GY1)</f>
        <v>0</v>
      </c>
      <c r="GY11" s="213">
        <f>SUMIFS('Expenditure Breakdown'!$Q$6:$Q$175, 'Expenditure Breakdown'!$W$6:$W$175, "&gt;="&amp;GY1,'Expenditure Breakdown'!$W$6:$W$175, "&lt;"&amp;GZ1)</f>
        <v>0</v>
      </c>
      <c r="GZ11" s="213">
        <f>SUMIFS('Expenditure Breakdown'!$Q$6:$Q$175, 'Expenditure Breakdown'!$W$6:$W$175, "&gt;="&amp;GZ1,'Expenditure Breakdown'!$W$6:$W$175, "&lt;"&amp;HA1)</f>
        <v>0</v>
      </c>
      <c r="HA11" s="213">
        <f>SUMIFS('Expenditure Breakdown'!$Q$6:$Q$175, 'Expenditure Breakdown'!$W$6:$W$175, "&gt;="&amp;HA1,'Expenditure Breakdown'!$W$6:$W$175, "&lt;"&amp;HB1)</f>
        <v>0</v>
      </c>
      <c r="HB11" s="213">
        <f>SUMIFS('Expenditure Breakdown'!$Q$6:$Q$175, 'Expenditure Breakdown'!$W$6:$W$175, "&gt;="&amp;HB1,'Expenditure Breakdown'!$W$6:$W$175, "&lt;"&amp;HC1)</f>
        <v>0</v>
      </c>
      <c r="HC11" s="213">
        <f>SUMIFS('Expenditure Breakdown'!$Q$6:$Q$175, 'Expenditure Breakdown'!$W$6:$W$175, "&gt;="&amp;HC1,'Expenditure Breakdown'!$W$6:$W$175, "&lt;"&amp;HD1)</f>
        <v>0</v>
      </c>
      <c r="HD11" s="213">
        <f>SUMIFS('Expenditure Breakdown'!$Q$6:$Q$175, 'Expenditure Breakdown'!$W$6:$W$175, "&gt;="&amp;HD1,'Expenditure Breakdown'!$W$6:$W$175, "&lt;"&amp;HE1)</f>
        <v>0</v>
      </c>
      <c r="HE11" s="213">
        <f>SUMIFS('Expenditure Breakdown'!$Q$6:$Q$175, 'Expenditure Breakdown'!$W$6:$W$175, "&gt;="&amp;HE1,'Expenditure Breakdown'!$W$6:$W$175, "&lt;"&amp;HF1)</f>
        <v>0</v>
      </c>
      <c r="HF11" s="213">
        <f>SUMIFS('Expenditure Breakdown'!$Q$6:$Q$175, 'Expenditure Breakdown'!$W$6:$W$175, "&gt;="&amp;HF1,'Expenditure Breakdown'!$W$6:$W$175, "&lt;"&amp;HG1)</f>
        <v>0</v>
      </c>
      <c r="HG11" s="213">
        <f>SUMIFS('Expenditure Breakdown'!$Q$6:$Q$175, 'Expenditure Breakdown'!$W$6:$W$175, "&gt;="&amp;HG1,'Expenditure Breakdown'!$W$6:$W$175, "&lt;"&amp;HH1)</f>
        <v>0</v>
      </c>
      <c r="HH11" s="213">
        <f>SUMIFS('Expenditure Breakdown'!$Q$6:$Q$175, 'Expenditure Breakdown'!$W$6:$W$175, "&gt;="&amp;HH1,'Expenditure Breakdown'!$W$6:$W$175, "&lt;"&amp;HI1)</f>
        <v>0</v>
      </c>
      <c r="HI11" s="213">
        <f>SUMIFS('Expenditure Breakdown'!$Q$6:$Q$175, 'Expenditure Breakdown'!$W$6:$W$175, "&gt;="&amp;HI1,'Expenditure Breakdown'!$W$6:$W$175, "&lt;"&amp;HJ1)</f>
        <v>0</v>
      </c>
      <c r="HJ11" s="213">
        <f>SUMIFS('Expenditure Breakdown'!$Q$6:$Q$175, 'Expenditure Breakdown'!$W$6:$W$175, "&gt;="&amp;HJ1,'Expenditure Breakdown'!$W$6:$W$175, "&lt;"&amp;HK1)</f>
        <v>0</v>
      </c>
      <c r="HK11" s="213">
        <f>SUMIFS('Expenditure Breakdown'!$Q$6:$Q$175, 'Expenditure Breakdown'!$W$6:$W$175, "&gt;="&amp;HK1,'Expenditure Breakdown'!$W$6:$W$175, "&lt;"&amp;HL1)</f>
        <v>0</v>
      </c>
      <c r="HL11" s="213">
        <f>SUMIFS('Expenditure Breakdown'!$Q$6:$Q$175, 'Expenditure Breakdown'!$W$6:$W$175, "&gt;="&amp;HL1,'Expenditure Breakdown'!$W$6:$W$175, "&lt;"&amp;HM1)</f>
        <v>0</v>
      </c>
      <c r="HM11" s="213">
        <f>SUMIFS('Expenditure Breakdown'!$Q$6:$Q$175, 'Expenditure Breakdown'!$W$6:$W$175, "&gt;="&amp;HM1,'Expenditure Breakdown'!$W$6:$W$175, "&lt;"&amp;HN1)</f>
        <v>0</v>
      </c>
      <c r="HN11" s="213">
        <f>SUMIFS('Expenditure Breakdown'!$Q$6:$Q$175, 'Expenditure Breakdown'!$W$6:$W$175, "&gt;="&amp;HN1,'Expenditure Breakdown'!$W$6:$W$175, "&lt;"&amp;HO1)</f>
        <v>0</v>
      </c>
      <c r="HO11" s="213">
        <f>SUMIFS('Expenditure Breakdown'!$Q$6:$Q$175, 'Expenditure Breakdown'!$W$6:$W$175, "&gt;="&amp;HO1,'Expenditure Breakdown'!$W$6:$W$175, "&lt;"&amp;HP1)</f>
        <v>0</v>
      </c>
      <c r="HP11" s="213">
        <f>SUMIFS('Expenditure Breakdown'!$Q$6:$Q$175, 'Expenditure Breakdown'!$W$6:$W$175, "&gt;="&amp;HP1,'Expenditure Breakdown'!$W$6:$W$175, "&lt;"&amp;HQ1)</f>
        <v>0</v>
      </c>
      <c r="HQ11" s="213">
        <f>SUMIFS('Expenditure Breakdown'!$Q$6:$Q$175, 'Expenditure Breakdown'!$W$6:$W$175, "&gt;="&amp;HQ1,'Expenditure Breakdown'!$W$6:$W$175, "&lt;"&amp;HR1)</f>
        <v>0</v>
      </c>
      <c r="HR11" s="213">
        <f>SUMIFS('Expenditure Breakdown'!$Q$6:$Q$175, 'Expenditure Breakdown'!$W$6:$W$175, "&gt;="&amp;HR1,'Expenditure Breakdown'!$W$6:$W$175, "&lt;"&amp;HS1)</f>
        <v>0</v>
      </c>
      <c r="HS11" s="213">
        <f>SUMIFS('Expenditure Breakdown'!$Q$6:$Q$175, 'Expenditure Breakdown'!$W$6:$W$175, "&gt;="&amp;HS1,'Expenditure Breakdown'!$W$6:$W$175, "&lt;"&amp;HT1)</f>
        <v>0</v>
      </c>
      <c r="HT11" s="213">
        <f>SUMIFS('Expenditure Breakdown'!$Q$6:$Q$175, 'Expenditure Breakdown'!$W$6:$W$175, "&gt;="&amp;HT1,'Expenditure Breakdown'!$W$6:$W$175, "&lt;"&amp;HU1)</f>
        <v>0</v>
      </c>
      <c r="HU11" s="213">
        <f>SUMIFS('Expenditure Breakdown'!$Q$6:$Q$175, 'Expenditure Breakdown'!$W$6:$W$175, "&gt;="&amp;HU1,'Expenditure Breakdown'!$W$6:$W$175, "&lt;"&amp;HV1)</f>
        <v>0</v>
      </c>
      <c r="HV11" s="213">
        <f>SUMIFS('Expenditure Breakdown'!$Q$6:$Q$175, 'Expenditure Breakdown'!$W$6:$W$175, "&gt;="&amp;HV1,'Expenditure Breakdown'!$W$6:$W$175, "&lt;"&amp;HW1)</f>
        <v>0</v>
      </c>
      <c r="HW11" s="213">
        <f>SUMIFS('Expenditure Breakdown'!$Q$6:$Q$175, 'Expenditure Breakdown'!$W$6:$W$175, "&gt;="&amp;HW1,'Expenditure Breakdown'!$W$6:$W$175, "&lt;"&amp;HX1)</f>
        <v>0</v>
      </c>
      <c r="HX11" s="213">
        <f>SUMIFS('Expenditure Breakdown'!$Q$6:$Q$175, 'Expenditure Breakdown'!$W$6:$W$175, "&gt;="&amp;HX1,'Expenditure Breakdown'!$W$6:$W$175, "&lt;"&amp;HY1)</f>
        <v>0</v>
      </c>
      <c r="HY11" s="213">
        <f>SUMIFS('Expenditure Breakdown'!$Q$6:$Q$175, 'Expenditure Breakdown'!$W$6:$W$175, "&gt;="&amp;HY1,'Expenditure Breakdown'!$W$6:$W$175, "&lt;"&amp;HZ1)</f>
        <v>0</v>
      </c>
      <c r="HZ11" s="213">
        <f>SUMIFS('Expenditure Breakdown'!$Q$6:$Q$175, 'Expenditure Breakdown'!$W$6:$W$175, "&gt;="&amp;HZ1,'Expenditure Breakdown'!$W$6:$W$175, "&lt;"&amp;IA1)</f>
        <v>0</v>
      </c>
      <c r="IA11" s="213">
        <f>SUMIFS('Expenditure Breakdown'!$Q$6:$Q$175, 'Expenditure Breakdown'!$W$6:$W$175, "&gt;="&amp;IA1,'Expenditure Breakdown'!$W$6:$W$175, "&lt;"&amp;IB1)</f>
        <v>0</v>
      </c>
      <c r="IB11" s="213">
        <f>SUMIFS('Expenditure Breakdown'!$Q$6:$Q$175, 'Expenditure Breakdown'!$W$6:$W$175, "&gt;="&amp;IB1,'Expenditure Breakdown'!$W$6:$W$175, "&lt;"&amp;IC1)</f>
        <v>0</v>
      </c>
      <c r="IC11" s="213">
        <f>SUMIFS('Expenditure Breakdown'!$Q$6:$Q$175, 'Expenditure Breakdown'!$W$6:$W$175, "&gt;="&amp;IC1,'Expenditure Breakdown'!$W$6:$W$175, "&lt;"&amp;ID1)</f>
        <v>0</v>
      </c>
      <c r="ID11" s="213">
        <f>SUMIFS('Expenditure Breakdown'!$Q$6:$Q$175, 'Expenditure Breakdown'!$W$6:$W$175, "&gt;="&amp;ID1,'Expenditure Breakdown'!$W$6:$W$175, "&lt;"&amp;IE1)</f>
        <v>0</v>
      </c>
      <c r="IE11" s="213">
        <f>SUMIFS('Expenditure Breakdown'!$Q$6:$Q$175, 'Expenditure Breakdown'!$W$6:$W$175, "&gt;="&amp;IE1,'Expenditure Breakdown'!$W$6:$W$175, "&lt;"&amp;IF1)</f>
        <v>0</v>
      </c>
      <c r="IF11" s="213">
        <f>SUMIFS('Expenditure Breakdown'!$Q$6:$Q$175, 'Expenditure Breakdown'!$W$6:$W$175, "&gt;="&amp;IF1,'Expenditure Breakdown'!$W$6:$W$175, "&lt;"&amp;IG1)</f>
        <v>0</v>
      </c>
      <c r="IG11" s="213">
        <f>SUMIFS('Expenditure Breakdown'!$Q$6:$Q$175, 'Expenditure Breakdown'!$W$6:$W$175, "&gt;="&amp;IG1,'Expenditure Breakdown'!$W$6:$W$175, "&lt;"&amp;IH1)</f>
        <v>0</v>
      </c>
      <c r="IH11" s="213">
        <f>SUMIFS('Expenditure Breakdown'!$Q$6:$Q$175, 'Expenditure Breakdown'!$W$6:$W$175, "&gt;="&amp;IH1,'Expenditure Breakdown'!$W$6:$W$175, "&lt;"&amp;II1)</f>
        <v>0</v>
      </c>
      <c r="II11" s="213">
        <f>SUMIFS('Expenditure Breakdown'!$Q$6:$Q$175, 'Expenditure Breakdown'!$W$6:$W$175, "&gt;="&amp;II1,'Expenditure Breakdown'!$W$6:$W$175, "&lt;"&amp;IJ1)</f>
        <v>0</v>
      </c>
      <c r="IJ11" s="213">
        <f>SUMIFS('Expenditure Breakdown'!$Q$6:$Q$175, 'Expenditure Breakdown'!$W$6:$W$175, "&gt;="&amp;IJ1,'Expenditure Breakdown'!$W$6:$W$175, "&lt;"&amp;IK1)</f>
        <v>0</v>
      </c>
      <c r="IK11" s="213">
        <f>SUMIFS('Expenditure Breakdown'!$Q$6:$Q$175, 'Expenditure Breakdown'!$W$6:$W$175, "&gt;="&amp;IK1,'Expenditure Breakdown'!$W$6:$W$175, "&lt;"&amp;IL1)</f>
        <v>0</v>
      </c>
      <c r="IL11" s="213">
        <f>SUMIFS('Expenditure Breakdown'!$Q$6:$Q$175, 'Expenditure Breakdown'!$W$6:$W$175, "&gt;="&amp;IL1,'Expenditure Breakdown'!$W$6:$W$175, "&lt;"&amp;IM1)</f>
        <v>0</v>
      </c>
      <c r="IM11" s="213">
        <f>SUMIFS('Expenditure Breakdown'!$Q$6:$Q$175, 'Expenditure Breakdown'!$W$6:$W$175, "&gt;="&amp;IM1,'Expenditure Breakdown'!$W$6:$W$175, "&lt;"&amp;IN1)</f>
        <v>0</v>
      </c>
      <c r="IN11" s="213">
        <f>SUMIFS('Expenditure Breakdown'!$Q$6:$Q$175, 'Expenditure Breakdown'!$W$6:$W$175, "&gt;="&amp;IN1,'Expenditure Breakdown'!$W$6:$W$175, "&lt;"&amp;IO1)</f>
        <v>0</v>
      </c>
      <c r="IO11" s="213">
        <f>SUMIFS('Expenditure Breakdown'!$Q$6:$Q$175, 'Expenditure Breakdown'!$W$6:$W$175, "&gt;="&amp;IO1,'Expenditure Breakdown'!$W$6:$W$175, "&lt;"&amp;IP1)</f>
        <v>0</v>
      </c>
      <c r="IP11" s="213">
        <f>SUMIFS('Expenditure Breakdown'!$Q$6:$Q$175, 'Expenditure Breakdown'!$W$6:$W$175, "&gt;="&amp;IP1,'Expenditure Breakdown'!$W$6:$W$175, "&lt;"&amp;IQ1)</f>
        <v>0</v>
      </c>
      <c r="IQ11" s="213">
        <f>SUMIFS('Expenditure Breakdown'!$Q$6:$Q$175, 'Expenditure Breakdown'!$W$6:$W$175, "&gt;="&amp;IQ1,'Expenditure Breakdown'!$W$6:$W$175, "&lt;"&amp;IR1)</f>
        <v>0</v>
      </c>
      <c r="IR11" s="213">
        <f>SUMIFS('Expenditure Breakdown'!$Q$6:$Q$175, 'Expenditure Breakdown'!$W$6:$W$175, "&gt;="&amp;IR1,'Expenditure Breakdown'!$W$6:$W$175, "&lt;"&amp;IS1)</f>
        <v>0</v>
      </c>
      <c r="IS11" s="213">
        <f>SUMIFS('Expenditure Breakdown'!$Q$6:$Q$175, 'Expenditure Breakdown'!$W$6:$W$175, "&gt;="&amp;IS1,'Expenditure Breakdown'!$W$6:$W$175, "&lt;"&amp;IT1)</f>
        <v>0</v>
      </c>
      <c r="IT11" s="213">
        <f>SUMIFS('Expenditure Breakdown'!$Q$6:$Q$175, 'Expenditure Breakdown'!$W$6:$W$175, "&gt;="&amp;IT1,'Expenditure Breakdown'!$W$6:$W$175, "&lt;"&amp;IU1)</f>
        <v>0</v>
      </c>
      <c r="IU11" s="213">
        <f>SUMIFS('Expenditure Breakdown'!$Q$6:$Q$175, 'Expenditure Breakdown'!$W$6:$W$175, "&gt;="&amp;IU1,'Expenditure Breakdown'!$W$6:$W$175, "&lt;"&amp;IV1)</f>
        <v>0</v>
      </c>
      <c r="IV11" s="213">
        <f>SUMIFS('Expenditure Breakdown'!$Q$6:$Q$175, 'Expenditure Breakdown'!$W$6:$W$175, "&gt;="&amp;IV1,'Expenditure Breakdown'!$W$6:$W$175, "&lt;"&amp;IW1)</f>
        <v>0</v>
      </c>
      <c r="IW11" s="213">
        <f>SUMIFS('Expenditure Breakdown'!$Q$6:$Q$175, 'Expenditure Breakdown'!$W$6:$W$175, "&gt;="&amp;IW1,'Expenditure Breakdown'!$W$6:$W$175, "&lt;"&amp;IX1)</f>
        <v>0</v>
      </c>
      <c r="IX11" s="213">
        <f>SUMIFS('Expenditure Breakdown'!$Q$6:$Q$175, 'Expenditure Breakdown'!$W$6:$W$175, "&gt;="&amp;IX1,'Expenditure Breakdown'!$W$6:$W$175, "&lt;"&amp;IY1)</f>
        <v>0</v>
      </c>
      <c r="IY11" s="213">
        <f>SUMIFS('Expenditure Breakdown'!$Q$6:$Q$175, 'Expenditure Breakdown'!$W$6:$W$175, "&gt;="&amp;IY1,'Expenditure Breakdown'!$W$6:$W$175, "&lt;"&amp;IZ1)</f>
        <v>0</v>
      </c>
      <c r="IZ11" s="213">
        <f>SUMIFS('Expenditure Breakdown'!$Q$6:$Q$175, 'Expenditure Breakdown'!$W$6:$W$175, "&gt;="&amp;IZ1,'Expenditure Breakdown'!$W$6:$W$175, "&lt;"&amp;JA1)</f>
        <v>0</v>
      </c>
      <c r="JA11" s="213">
        <f>SUMIFS('Expenditure Breakdown'!$Q$6:$Q$175, 'Expenditure Breakdown'!$W$6:$W$175, "&gt;="&amp;JA1,'Expenditure Breakdown'!$W$6:$W$175, "&lt;"&amp;JB1)</f>
        <v>0</v>
      </c>
      <c r="JB11" s="213">
        <f>SUMIFS('Expenditure Breakdown'!$Q$6:$Q$175, 'Expenditure Breakdown'!$W$6:$W$175, "&gt;="&amp;JB1,'Expenditure Breakdown'!$W$6:$W$175, "&lt;"&amp;JC1)</f>
        <v>0</v>
      </c>
      <c r="JC11" s="213">
        <f>SUMIFS('Expenditure Breakdown'!$Q$6:$Q$175, 'Expenditure Breakdown'!$W$6:$W$175, "&gt;="&amp;JC1,'Expenditure Breakdown'!$W$6:$W$175, "&lt;"&amp;JD1)</f>
        <v>0</v>
      </c>
      <c r="JD11" s="213">
        <f>SUMIFS('Expenditure Breakdown'!$Q$6:$Q$175, 'Expenditure Breakdown'!$W$6:$W$175, "&gt;="&amp;JD1,'Expenditure Breakdown'!$W$6:$W$175, "&lt;"&amp;JE1)</f>
        <v>0</v>
      </c>
      <c r="JE11" s="213">
        <f>SUMIFS('Expenditure Breakdown'!$Q$6:$Q$175, 'Expenditure Breakdown'!$W$6:$W$175, "&gt;="&amp;JE1,'Expenditure Breakdown'!$W$6:$W$175, "&lt;"&amp;JF1)</f>
        <v>0</v>
      </c>
      <c r="JF11" s="213">
        <f>SUMIFS('Expenditure Breakdown'!$Q$6:$Q$175, 'Expenditure Breakdown'!$W$6:$W$175, "&gt;="&amp;JF1,'Expenditure Breakdown'!$W$6:$W$175, "&lt;"&amp;JG1)</f>
        <v>0</v>
      </c>
      <c r="JG11" s="213">
        <f>SUMIFS('Expenditure Breakdown'!$Q$6:$Q$175, 'Expenditure Breakdown'!$W$6:$W$175, "&gt;="&amp;JG1,'Expenditure Breakdown'!$W$6:$W$175, "&lt;"&amp;JH1)</f>
        <v>0</v>
      </c>
      <c r="JH11" s="213">
        <f>SUMIFS('Expenditure Breakdown'!$Q$6:$Q$175, 'Expenditure Breakdown'!$W$6:$W$175, "&gt;="&amp;JH1,'Expenditure Breakdown'!$W$6:$W$175, "&lt;"&amp;JI1)</f>
        <v>0</v>
      </c>
      <c r="JI11" s="213">
        <f>SUMIFS('Expenditure Breakdown'!$Q$6:$Q$175, 'Expenditure Breakdown'!$W$6:$W$175, "&gt;="&amp;JI1,'Expenditure Breakdown'!$W$6:$W$175, "&lt;"&amp;JJ1)</f>
        <v>0</v>
      </c>
      <c r="JJ11" s="213">
        <f>SUMIFS('Expenditure Breakdown'!$Q$6:$Q$175, 'Expenditure Breakdown'!$W$6:$W$175, "&gt;="&amp;JJ1,'Expenditure Breakdown'!$W$6:$W$175, "&lt;"&amp;JK1)</f>
        <v>0</v>
      </c>
      <c r="JK11" s="213">
        <f>SUMIFS('Expenditure Breakdown'!$Q$6:$Q$175, 'Expenditure Breakdown'!$W$6:$W$175, "&gt;="&amp;JK1,'Expenditure Breakdown'!$W$6:$W$175, "&lt;"&amp;JL1)</f>
        <v>0</v>
      </c>
      <c r="JL11" s="213">
        <f>SUMIFS('Expenditure Breakdown'!$Q$6:$Q$175, 'Expenditure Breakdown'!$W$6:$W$175, "&gt;="&amp;JL1,'Expenditure Breakdown'!$W$6:$W$175, "&lt;"&amp;JM1)</f>
        <v>0</v>
      </c>
      <c r="JM11" s="213">
        <f>SUMIFS('Expenditure Breakdown'!$Q$6:$Q$175, 'Expenditure Breakdown'!$W$6:$W$175, "&gt;="&amp;JM1,'Expenditure Breakdown'!$W$6:$W$175, "&lt;"&amp;JN1)</f>
        <v>0</v>
      </c>
      <c r="JN11" s="213">
        <f>SUMIFS('Expenditure Breakdown'!$Q$6:$Q$175, 'Expenditure Breakdown'!$W$6:$W$175, "&gt;="&amp;JN1,'Expenditure Breakdown'!$W$6:$W$175, "&lt;"&amp;JO1)</f>
        <v>0</v>
      </c>
      <c r="JO11" s="213">
        <f>SUMIFS('Expenditure Breakdown'!$Q$6:$Q$175, 'Expenditure Breakdown'!$W$6:$W$175, "&gt;="&amp;JO1,'Expenditure Breakdown'!$W$6:$W$175, "&lt;"&amp;JP1)</f>
        <v>0</v>
      </c>
      <c r="JP11" s="213">
        <f>SUMIFS('Expenditure Breakdown'!$Q$6:$Q$175, 'Expenditure Breakdown'!$W$6:$W$175, "&gt;="&amp;JP1,'Expenditure Breakdown'!$W$6:$W$175, "&lt;"&amp;JQ1)</f>
        <v>0</v>
      </c>
      <c r="JQ11" s="213">
        <f>SUMIFS('Expenditure Breakdown'!$Q$6:$Q$175, 'Expenditure Breakdown'!$W$6:$W$175, "&gt;="&amp;JQ1,'Expenditure Breakdown'!$W$6:$W$175, "&lt;"&amp;JR1)</f>
        <v>0</v>
      </c>
      <c r="JR11" s="213">
        <f>SUMIFS('Expenditure Breakdown'!$Q$6:$Q$175, 'Expenditure Breakdown'!$W$6:$W$175, "&gt;="&amp;JR1,'Expenditure Breakdown'!$W$6:$W$175, "&lt;"&amp;JS1)</f>
        <v>0</v>
      </c>
      <c r="JS11" s="213">
        <f>SUMIFS('Expenditure Breakdown'!$Q$6:$Q$175, 'Expenditure Breakdown'!$W$6:$W$175, "&gt;="&amp;JS1,'Expenditure Breakdown'!$W$6:$W$175, "&lt;"&amp;JT1)</f>
        <v>0</v>
      </c>
      <c r="JT11" s="213">
        <f>SUMIFS('Expenditure Breakdown'!$Q$6:$Q$175, 'Expenditure Breakdown'!$W$6:$W$175, "&gt;="&amp;JT1,'Expenditure Breakdown'!$W$6:$W$175, "&lt;"&amp;JU1)</f>
        <v>0</v>
      </c>
      <c r="JU11" s="213">
        <f>SUMIFS('Expenditure Breakdown'!$Q$6:$Q$175, 'Expenditure Breakdown'!$W$6:$W$175, "&gt;="&amp;JU1,'Expenditure Breakdown'!$W$6:$W$175, "&lt;"&amp;JV1)</f>
        <v>0</v>
      </c>
      <c r="JV11" s="213">
        <f>SUMIFS('Expenditure Breakdown'!$Q$6:$Q$175, 'Expenditure Breakdown'!$W$6:$W$175, "&gt;="&amp;JV1,'Expenditure Breakdown'!$W$6:$W$175, "&lt;"&amp;JW1)</f>
        <v>0</v>
      </c>
      <c r="JW11" s="213">
        <f>SUMIFS('Expenditure Breakdown'!$Q$6:$Q$175, 'Expenditure Breakdown'!$W$6:$W$175, "&gt;="&amp;JW1,'Expenditure Breakdown'!$W$6:$W$175, "&lt;"&amp;JX1)</f>
        <v>0</v>
      </c>
      <c r="JX11" s="213">
        <f>SUMIFS('Expenditure Breakdown'!$Q$6:$Q$175, 'Expenditure Breakdown'!$W$6:$W$175, "&gt;="&amp;JX1,'Expenditure Breakdown'!$W$6:$W$175, "&lt;"&amp;JY1)</f>
        <v>0</v>
      </c>
      <c r="JY11" s="213">
        <f>SUMIFS('Expenditure Breakdown'!$Q$6:$Q$175, 'Expenditure Breakdown'!$W$6:$W$175, "&gt;="&amp;JY1,'Expenditure Breakdown'!$W$6:$W$175, "&lt;"&amp;JZ1)</f>
        <v>0</v>
      </c>
      <c r="JZ11" s="213">
        <f>SUMIFS('Expenditure Breakdown'!$Q$6:$Q$175, 'Expenditure Breakdown'!$W$6:$W$175, "&gt;="&amp;JZ1,'Expenditure Breakdown'!$W$6:$W$175, "&lt;"&amp;KA1)</f>
        <v>0</v>
      </c>
      <c r="KA11" s="213">
        <f>SUMIFS('Expenditure Breakdown'!$Q$6:$Q$175, 'Expenditure Breakdown'!$W$6:$W$175, "&gt;="&amp;KA1,'Expenditure Breakdown'!$W$6:$W$175, "&lt;"&amp;KB1)</f>
        <v>0</v>
      </c>
      <c r="KB11" s="213">
        <f>SUMIFS('Expenditure Breakdown'!$Q$6:$Q$175, 'Expenditure Breakdown'!$W$6:$W$175, "&gt;="&amp;KB1,'Expenditure Breakdown'!$W$6:$W$175, "&lt;"&amp;KC1)</f>
        <v>0</v>
      </c>
      <c r="KC11" s="213">
        <f>SUMIFS('Expenditure Breakdown'!$Q$6:$Q$175, 'Expenditure Breakdown'!$W$6:$W$175, "&gt;="&amp;KC1,'Expenditure Breakdown'!$W$6:$W$175, "&lt;"&amp;KD1)</f>
        <v>0</v>
      </c>
      <c r="KD11" s="213">
        <f>SUMIFS('Expenditure Breakdown'!$Q$6:$Q$175, 'Expenditure Breakdown'!$W$6:$W$175, "&gt;="&amp;KD1,'Expenditure Breakdown'!$W$6:$W$175, "&lt;"&amp;KE1)</f>
        <v>0</v>
      </c>
      <c r="KE11" s="213">
        <f>SUMIFS('Expenditure Breakdown'!$Q$6:$Q$175, 'Expenditure Breakdown'!$W$6:$W$175, "&gt;="&amp;KE1,'Expenditure Breakdown'!$W$6:$W$175, "&lt;"&amp;KF1)</f>
        <v>0</v>
      </c>
      <c r="KF11" s="213">
        <f>SUMIFS('Expenditure Breakdown'!$Q$6:$Q$175, 'Expenditure Breakdown'!$W$6:$W$175, "&gt;="&amp;KF1,'Expenditure Breakdown'!$W$6:$W$175, "&lt;"&amp;KG1)</f>
        <v>0</v>
      </c>
      <c r="KG11" s="213">
        <f>SUMIFS('Expenditure Breakdown'!$Q$6:$Q$175, 'Expenditure Breakdown'!$W$6:$W$175, "&gt;="&amp;KG1,'Expenditure Breakdown'!$W$6:$W$175, "&lt;"&amp;KH1)</f>
        <v>0</v>
      </c>
      <c r="KH11" s="213">
        <f>SUMIFS('Expenditure Breakdown'!$Q$6:$Q$175, 'Expenditure Breakdown'!$W$6:$W$175, "&gt;="&amp;KH1,'Expenditure Breakdown'!$W$6:$W$175, "&lt;"&amp;KI1)</f>
        <v>0</v>
      </c>
      <c r="KI11" s="213">
        <f>SUMIFS('Expenditure Breakdown'!$Q$6:$Q$175, 'Expenditure Breakdown'!$W$6:$W$175, "&gt;="&amp;KI1,'Expenditure Breakdown'!$W$6:$W$175, "&lt;"&amp;KJ1)</f>
        <v>0</v>
      </c>
      <c r="KJ11" s="213">
        <f>SUMIFS('Expenditure Breakdown'!$Q$6:$Q$175, 'Expenditure Breakdown'!$W$6:$W$175, "&gt;="&amp;KJ1,'Expenditure Breakdown'!$W$6:$W$175, "&lt;"&amp;KK1)</f>
        <v>0</v>
      </c>
      <c r="KK11" s="213">
        <f>SUMIFS('Expenditure Breakdown'!$Q$6:$Q$175, 'Expenditure Breakdown'!$W$6:$W$175, "&gt;="&amp;KK1,'Expenditure Breakdown'!$W$6:$W$175, "&lt;"&amp;KL1)</f>
        <v>0</v>
      </c>
      <c r="KL11" s="213">
        <f>SUMIFS('Expenditure Breakdown'!$Q$6:$Q$175, 'Expenditure Breakdown'!$W$6:$W$175, "&gt;="&amp;KL1,'Expenditure Breakdown'!$W$6:$W$175, "&lt;"&amp;KM1)</f>
        <v>0</v>
      </c>
      <c r="KM11" s="213">
        <f>SUMIFS('Expenditure Breakdown'!$Q$6:$Q$175, 'Expenditure Breakdown'!$W$6:$W$175, "&gt;="&amp;KM1,'Expenditure Breakdown'!$W$6:$W$175, "&lt;"&amp;KN1)</f>
        <v>0</v>
      </c>
      <c r="KN11" s="213">
        <f>SUMIFS('Expenditure Breakdown'!$Q$6:$Q$175, 'Expenditure Breakdown'!$W$6:$W$175, "&gt;="&amp;KN1,'Expenditure Breakdown'!$W$6:$W$175, "&lt;"&amp;KO1)</f>
        <v>0</v>
      </c>
      <c r="KO11" s="213">
        <f>SUMIFS('Expenditure Breakdown'!$Q$6:$Q$175, 'Expenditure Breakdown'!$W$6:$W$175, "&gt;="&amp;KO1,'Expenditure Breakdown'!$W$6:$W$175, "&lt;"&amp;KP1)</f>
        <v>0</v>
      </c>
      <c r="KP11" s="213">
        <f>SUMIFS('Expenditure Breakdown'!$Q$6:$Q$175, 'Expenditure Breakdown'!$W$6:$W$175, "&gt;="&amp;KP1,'Expenditure Breakdown'!$W$6:$W$175, "&lt;"&amp;KQ1)</f>
        <v>0</v>
      </c>
      <c r="KQ11" s="213">
        <f>SUMIFS('Expenditure Breakdown'!$Q$6:$Q$175, 'Expenditure Breakdown'!$W$6:$W$175, "&gt;="&amp;KQ1,'Expenditure Breakdown'!$W$6:$W$175, "&lt;"&amp;KR1)</f>
        <v>0</v>
      </c>
      <c r="KR11" s="213">
        <f>SUMIFS('Expenditure Breakdown'!$Q$6:$Q$175, 'Expenditure Breakdown'!$W$6:$W$175, "&gt;="&amp;KR1,'Expenditure Breakdown'!$W$6:$W$175, "&lt;"&amp;KS1)</f>
        <v>0</v>
      </c>
      <c r="KS11" s="213">
        <f>SUMIFS('Expenditure Breakdown'!$Q$6:$Q$175, 'Expenditure Breakdown'!$W$6:$W$175, "&gt;="&amp;KS1,'Expenditure Breakdown'!$W$6:$W$175, "&lt;"&amp;KT1)</f>
        <v>0</v>
      </c>
      <c r="KT11" s="213">
        <f>SUMIFS('Expenditure Breakdown'!$Q$6:$Q$175, 'Expenditure Breakdown'!$W$6:$W$175, "&gt;="&amp;KT1,'Expenditure Breakdown'!$W$6:$W$175, "&lt;"&amp;KU1)</f>
        <v>0</v>
      </c>
      <c r="KU11" s="213">
        <f>SUMIFS('Expenditure Breakdown'!$Q$6:$Q$175, 'Expenditure Breakdown'!$W$6:$W$175, "&gt;="&amp;KU1,'Expenditure Breakdown'!$W$6:$W$175, "&lt;"&amp;KV1)</f>
        <v>0</v>
      </c>
      <c r="KV11" s="213">
        <f>SUMIFS('Expenditure Breakdown'!$Q$6:$Q$175, 'Expenditure Breakdown'!$W$6:$W$175, "&gt;="&amp;KV1,'Expenditure Breakdown'!$W$6:$W$175, "&lt;"&amp;KW1)</f>
        <v>0</v>
      </c>
      <c r="KW11" s="213">
        <f>SUMIFS('Expenditure Breakdown'!$Q$6:$Q$175, 'Expenditure Breakdown'!$W$6:$W$175, "&gt;="&amp;KW1,'Expenditure Breakdown'!$W$6:$W$175, "&lt;"&amp;KX1)</f>
        <v>0</v>
      </c>
      <c r="KX11" s="213">
        <f>SUMIFS('Expenditure Breakdown'!$Q$6:$Q$175, 'Expenditure Breakdown'!$W$6:$W$175, "&gt;="&amp;KX1,'Expenditure Breakdown'!$W$6:$W$175, "&lt;"&amp;KY1)</f>
        <v>0</v>
      </c>
      <c r="KY11" s="213">
        <f>SUMIFS('Expenditure Breakdown'!$Q$6:$Q$175, 'Expenditure Breakdown'!$W$6:$W$175, "&gt;="&amp;KY1,'Expenditure Breakdown'!$W$6:$W$175, "&lt;"&amp;KZ1)</f>
        <v>0</v>
      </c>
      <c r="KZ11" s="213">
        <f>SUMIFS('Expenditure Breakdown'!$Q$6:$Q$175, 'Expenditure Breakdown'!$W$6:$W$175, "&gt;="&amp;KZ1,'Expenditure Breakdown'!$W$6:$W$175, "&lt;"&amp;LA1)</f>
        <v>0</v>
      </c>
      <c r="LA11" s="213">
        <f>SUMIFS('Expenditure Breakdown'!$Q$6:$Q$175, 'Expenditure Breakdown'!$W$6:$W$175, "&gt;="&amp;LA1,'Expenditure Breakdown'!$W$6:$W$175, "&lt;"&amp;LB1)</f>
        <v>0</v>
      </c>
      <c r="LB11" s="213">
        <f>SUMIFS('Expenditure Breakdown'!$Q$6:$Q$175, 'Expenditure Breakdown'!$W$6:$W$175, "&gt;="&amp;LB1,'Expenditure Breakdown'!$W$6:$W$175, "&lt;"&amp;LC1)</f>
        <v>0</v>
      </c>
      <c r="LC11" s="213">
        <f>SUMIFS('Expenditure Breakdown'!$Q$6:$Q$175, 'Expenditure Breakdown'!$W$6:$W$175, "&gt;="&amp;LC1,'Expenditure Breakdown'!$W$6:$W$175, "&lt;"&amp;LD1)</f>
        <v>0</v>
      </c>
      <c r="LD11" s="213">
        <f>SUMIFS('Expenditure Breakdown'!$Q$6:$Q$175, 'Expenditure Breakdown'!$W$6:$W$175, "&gt;="&amp;LD1,'Expenditure Breakdown'!$W$6:$W$175, "&lt;"&amp;#REF!)</f>
        <v>0</v>
      </c>
      <c r="LE11" s="190"/>
      <c r="LF11" s="201"/>
      <c r="LG11" s="201"/>
    </row>
    <row r="12" spans="1:794" s="202" customFormat="1">
      <c r="A12" s="810"/>
      <c r="B12" s="211" t="s">
        <v>405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0</v>
      </c>
      <c r="R12" s="213">
        <f t="shared" si="26"/>
        <v>0</v>
      </c>
      <c r="S12" s="213">
        <f t="shared" si="26"/>
        <v>0</v>
      </c>
      <c r="T12" s="213">
        <f t="shared" si="26"/>
        <v>0</v>
      </c>
      <c r="U12" s="213">
        <f t="shared" si="26"/>
        <v>119</v>
      </c>
      <c r="V12" s="213">
        <f t="shared" si="26"/>
        <v>1329869</v>
      </c>
      <c r="W12" s="213">
        <f t="shared" si="26"/>
        <v>1329869</v>
      </c>
      <c r="X12" s="213">
        <f t="shared" si="26"/>
        <v>119</v>
      </c>
      <c r="Y12" s="213">
        <f t="shared" si="26"/>
        <v>119</v>
      </c>
      <c r="Z12" s="213">
        <f t="shared" si="26"/>
        <v>318.91999999996273</v>
      </c>
      <c r="AA12" s="213">
        <f t="shared" si="26"/>
        <v>318.91999999996273</v>
      </c>
      <c r="AB12" s="213">
        <f t="shared" si="26"/>
        <v>318.91999999996273</v>
      </c>
      <c r="AC12" s="213">
        <f t="shared" si="26"/>
        <v>318.91999999996273</v>
      </c>
      <c r="AD12" s="213">
        <f t="shared" si="26"/>
        <v>318.91999999996273</v>
      </c>
      <c r="AE12" s="213">
        <f t="shared" si="26"/>
        <v>318.91999999996273</v>
      </c>
      <c r="AF12" s="213">
        <f t="shared" si="26"/>
        <v>10968.919999999962</v>
      </c>
      <c r="AG12" s="213">
        <f t="shared" si="26"/>
        <v>2713679.8449999997</v>
      </c>
      <c r="AH12" s="213">
        <f t="shared" si="26"/>
        <v>2713913.085</v>
      </c>
      <c r="AI12" s="213">
        <f t="shared" si="26"/>
        <v>2826429.0350000001</v>
      </c>
      <c r="AJ12" s="213">
        <f t="shared" si="26"/>
        <v>2826429.0350000001</v>
      </c>
      <c r="AK12" s="213">
        <f t="shared" si="26"/>
        <v>3245469.5150000001</v>
      </c>
      <c r="AL12" s="213">
        <f t="shared" si="26"/>
        <v>3245469.5150000001</v>
      </c>
      <c r="AM12" s="213">
        <f t="shared" si="26"/>
        <v>3245469.5150000001</v>
      </c>
      <c r="AN12" s="213">
        <f t="shared" si="26"/>
        <v>3245469.5150000001</v>
      </c>
      <c r="AO12" s="213">
        <f t="shared" si="26"/>
        <v>3461890.625</v>
      </c>
      <c r="AP12" s="213">
        <f t="shared" si="26"/>
        <v>3461890.625</v>
      </c>
      <c r="AQ12" s="213">
        <f t="shared" si="26"/>
        <v>3462865.625</v>
      </c>
      <c r="AR12" s="213">
        <f t="shared" si="26"/>
        <v>3462865.625</v>
      </c>
      <c r="AS12" s="213">
        <f t="shared" si="26"/>
        <v>4444261.4350000005</v>
      </c>
      <c r="AT12" s="213">
        <f t="shared" si="26"/>
        <v>4444261.4350000005</v>
      </c>
      <c r="AU12" s="213">
        <f t="shared" si="26"/>
        <v>4504458.3150000004</v>
      </c>
      <c r="AV12" s="213">
        <f t="shared" si="26"/>
        <v>4504458.3150000004</v>
      </c>
      <c r="AW12" s="213">
        <f t="shared" si="26"/>
        <v>4504458.3150000004</v>
      </c>
      <c r="AX12" s="213">
        <f t="shared" si="26"/>
        <v>4504458.3150000004</v>
      </c>
      <c r="AY12" s="213">
        <f t="shared" si="26"/>
        <v>4504458.3150000004</v>
      </c>
      <c r="AZ12" s="213">
        <f t="shared" si="26"/>
        <v>4504458.3150000004</v>
      </c>
      <c r="BA12" s="213">
        <f t="shared" si="26"/>
        <v>7021864.2149999999</v>
      </c>
      <c r="BB12" s="213">
        <f t="shared" si="26"/>
        <v>7021864.2149999999</v>
      </c>
      <c r="BC12" s="213">
        <f t="shared" si="26"/>
        <v>7021864.2149999999</v>
      </c>
      <c r="BD12" s="213">
        <f t="shared" si="26"/>
        <v>7021968.9349999996</v>
      </c>
      <c r="BE12" s="213">
        <f t="shared" si="26"/>
        <v>7021968.9349999996</v>
      </c>
      <c r="BF12" s="213">
        <f t="shared" si="26"/>
        <v>7021968.9349999996</v>
      </c>
      <c r="BG12" s="213">
        <f t="shared" si="26"/>
        <v>7021968.9349999996</v>
      </c>
      <c r="BH12" s="213">
        <f t="shared" si="26"/>
        <v>7021968.9349999996</v>
      </c>
      <c r="BI12" s="213">
        <f t="shared" si="26"/>
        <v>7021968.9349999996</v>
      </c>
      <c r="BJ12" s="213">
        <f t="shared" si="26"/>
        <v>7021968.9349999996</v>
      </c>
      <c r="BK12" s="213">
        <f t="shared" si="26"/>
        <v>7541774.7599999998</v>
      </c>
      <c r="BL12" s="213">
        <f t="shared" si="26"/>
        <v>7542554.7599999998</v>
      </c>
      <c r="BM12" s="213">
        <f t="shared" si="26"/>
        <v>7719203.6849999996</v>
      </c>
      <c r="BN12" s="213">
        <f t="shared" si="26"/>
        <v>7719203.6849999996</v>
      </c>
      <c r="BO12" s="213">
        <f t="shared" si="26"/>
        <v>7719203.6849999996</v>
      </c>
      <c r="BP12" s="213">
        <f t="shared" si="26"/>
        <v>7879089.8234999999</v>
      </c>
      <c r="BQ12" s="213">
        <f t="shared" si="26"/>
        <v>7882570.8234999999</v>
      </c>
      <c r="BR12" s="213">
        <f t="shared" si="26"/>
        <v>7882570.8234999999</v>
      </c>
      <c r="BS12" s="213">
        <f t="shared" si="26"/>
        <v>7882570.8234999999</v>
      </c>
      <c r="BT12" s="213">
        <f t="shared" si="26"/>
        <v>7882570.8234999999</v>
      </c>
      <c r="BU12" s="213">
        <f t="shared" ref="BU12:EF12" si="27">BT12+BU11</f>
        <v>7883350.8234999999</v>
      </c>
      <c r="BV12" s="213">
        <f t="shared" si="27"/>
        <v>7883350.8234999999</v>
      </c>
      <c r="BW12" s="213">
        <f t="shared" si="27"/>
        <v>7883350.8234999999</v>
      </c>
      <c r="BX12" s="213">
        <f t="shared" si="27"/>
        <v>7883350.8234999999</v>
      </c>
      <c r="BY12" s="213">
        <f t="shared" si="27"/>
        <v>7883350.8234999999</v>
      </c>
      <c r="BZ12" s="213">
        <f t="shared" si="27"/>
        <v>7883350.8234999999</v>
      </c>
      <c r="CA12" s="213">
        <f t="shared" si="27"/>
        <v>7883350.8234999999</v>
      </c>
      <c r="CB12" s="213">
        <f t="shared" si="27"/>
        <v>7883350.8234999999</v>
      </c>
      <c r="CC12" s="213">
        <f t="shared" si="27"/>
        <v>7883350.8234999999</v>
      </c>
      <c r="CD12" s="213">
        <f t="shared" si="27"/>
        <v>7883350.8234999999</v>
      </c>
      <c r="CE12" s="213">
        <f t="shared" si="27"/>
        <v>7883350.8234999999</v>
      </c>
      <c r="CF12" s="213">
        <f t="shared" si="27"/>
        <v>7883350.8234999999</v>
      </c>
      <c r="CG12" s="213">
        <f t="shared" si="27"/>
        <v>7883350.8234999999</v>
      </c>
      <c r="CH12" s="213">
        <f t="shared" si="27"/>
        <v>7883350.8234999999</v>
      </c>
      <c r="CI12" s="213">
        <f t="shared" si="27"/>
        <v>7883350.8234999999</v>
      </c>
      <c r="CJ12" s="213">
        <f t="shared" si="27"/>
        <v>7883350.8234999999</v>
      </c>
      <c r="CK12" s="213">
        <f t="shared" si="27"/>
        <v>7883350.8234999999</v>
      </c>
      <c r="CL12" s="213">
        <f t="shared" si="27"/>
        <v>7883350.8234999999</v>
      </c>
      <c r="CM12" s="213">
        <f t="shared" si="27"/>
        <v>7883350.8234999999</v>
      </c>
      <c r="CN12" s="213">
        <f t="shared" si="27"/>
        <v>7883350.8234999999</v>
      </c>
      <c r="CO12" s="213">
        <f t="shared" si="27"/>
        <v>7883350.8234999999</v>
      </c>
      <c r="CP12" s="213">
        <f t="shared" si="27"/>
        <v>7883350.8234999999</v>
      </c>
      <c r="CQ12" s="213">
        <f t="shared" si="27"/>
        <v>7883350.8234999999</v>
      </c>
      <c r="CR12" s="213">
        <f t="shared" si="27"/>
        <v>7883350.8234999999</v>
      </c>
      <c r="CS12" s="213">
        <f t="shared" si="27"/>
        <v>7883350.8234999999</v>
      </c>
      <c r="CT12" s="213">
        <f t="shared" si="27"/>
        <v>7883350.8234999999</v>
      </c>
      <c r="CU12" s="213">
        <f t="shared" si="27"/>
        <v>7883350.8234999999</v>
      </c>
      <c r="CV12" s="213">
        <f t="shared" si="27"/>
        <v>7883350.8234999999</v>
      </c>
      <c r="CW12" s="213">
        <f t="shared" si="27"/>
        <v>7883350.8234999999</v>
      </c>
      <c r="CX12" s="213">
        <f t="shared" si="27"/>
        <v>7883350.8234999999</v>
      </c>
      <c r="CY12" s="213">
        <f t="shared" si="27"/>
        <v>7883350.8234999999</v>
      </c>
      <c r="CZ12" s="213">
        <f t="shared" si="27"/>
        <v>7883350.8234999999</v>
      </c>
      <c r="DA12" s="213">
        <f t="shared" si="27"/>
        <v>7883350.8234999999</v>
      </c>
      <c r="DB12" s="213">
        <f t="shared" si="27"/>
        <v>7883350.8234999999</v>
      </c>
      <c r="DC12" s="213">
        <f t="shared" si="27"/>
        <v>7883350.8234999999</v>
      </c>
      <c r="DD12" s="213">
        <f t="shared" si="27"/>
        <v>7883350.8234999999</v>
      </c>
      <c r="DE12" s="213">
        <f t="shared" si="27"/>
        <v>7883350.8234999999</v>
      </c>
      <c r="DF12" s="213">
        <f t="shared" si="27"/>
        <v>7883350.8234999999</v>
      </c>
      <c r="DG12" s="213">
        <f t="shared" si="27"/>
        <v>7883350.8234999999</v>
      </c>
      <c r="DH12" s="213">
        <f t="shared" si="27"/>
        <v>7883350.8234999999</v>
      </c>
      <c r="DI12" s="213">
        <f t="shared" si="27"/>
        <v>7883350.8234999999</v>
      </c>
      <c r="DJ12" s="213">
        <f t="shared" si="27"/>
        <v>7883350.8234999999</v>
      </c>
      <c r="DK12" s="213">
        <f t="shared" si="27"/>
        <v>7883350.8234999999</v>
      </c>
      <c r="DL12" s="213">
        <f t="shared" si="27"/>
        <v>7883350.8234999999</v>
      </c>
      <c r="DM12" s="213">
        <f t="shared" si="27"/>
        <v>7883350.8234999999</v>
      </c>
      <c r="DN12" s="213">
        <f t="shared" si="27"/>
        <v>7883350.8234999999</v>
      </c>
      <c r="DO12" s="213">
        <f t="shared" si="27"/>
        <v>7883350.8234999999</v>
      </c>
      <c r="DP12" s="213">
        <f t="shared" si="27"/>
        <v>7883350.8234999999</v>
      </c>
      <c r="DQ12" s="213">
        <f t="shared" si="27"/>
        <v>7883350.8234999999</v>
      </c>
      <c r="DR12" s="213">
        <f t="shared" si="27"/>
        <v>7883350.8234999999</v>
      </c>
      <c r="DS12" s="213">
        <f t="shared" si="27"/>
        <v>7883350.8234999999</v>
      </c>
      <c r="DT12" s="213">
        <f t="shared" si="27"/>
        <v>7883350.8234999999</v>
      </c>
      <c r="DU12" s="213">
        <f t="shared" si="27"/>
        <v>7883350.8234999999</v>
      </c>
      <c r="DV12" s="213">
        <f t="shared" si="27"/>
        <v>7883350.8234999999</v>
      </c>
      <c r="DW12" s="213">
        <f t="shared" si="27"/>
        <v>7883350.8234999999</v>
      </c>
      <c r="DX12" s="213">
        <f t="shared" si="27"/>
        <v>7883350.8234999999</v>
      </c>
      <c r="DY12" s="213">
        <f t="shared" si="27"/>
        <v>7883350.8234999999</v>
      </c>
      <c r="DZ12" s="213">
        <f t="shared" si="27"/>
        <v>7883350.8234999999</v>
      </c>
      <c r="EA12" s="213">
        <f t="shared" si="27"/>
        <v>7883350.8234999999</v>
      </c>
      <c r="EB12" s="213">
        <f t="shared" si="27"/>
        <v>7883350.8234999999</v>
      </c>
      <c r="EC12" s="213">
        <f t="shared" si="27"/>
        <v>7883350.8234999999</v>
      </c>
      <c r="ED12" s="213">
        <f t="shared" si="27"/>
        <v>7883350.8234999999</v>
      </c>
      <c r="EE12" s="213">
        <f t="shared" si="27"/>
        <v>7883350.8234999999</v>
      </c>
      <c r="EF12" s="213">
        <f t="shared" si="27"/>
        <v>7883350.8234999999</v>
      </c>
      <c r="EG12" s="213">
        <f t="shared" ref="EG12:GR12" si="28">EF12+EG11</f>
        <v>7883350.8234999999</v>
      </c>
      <c r="EH12" s="213">
        <f t="shared" si="28"/>
        <v>7883350.8234999999</v>
      </c>
      <c r="EI12" s="213">
        <f t="shared" si="28"/>
        <v>7883350.8234999999</v>
      </c>
      <c r="EJ12" s="213">
        <f t="shared" si="28"/>
        <v>7883350.8234999999</v>
      </c>
      <c r="EK12" s="213">
        <f t="shared" si="28"/>
        <v>7883350.8234999999</v>
      </c>
      <c r="EL12" s="213">
        <f t="shared" si="28"/>
        <v>7883350.8234999999</v>
      </c>
      <c r="EM12" s="213">
        <f t="shared" si="28"/>
        <v>7883350.8234999999</v>
      </c>
      <c r="EN12" s="213">
        <f t="shared" si="28"/>
        <v>7883350.8234999999</v>
      </c>
      <c r="EO12" s="213">
        <f t="shared" si="28"/>
        <v>7883350.8234999999</v>
      </c>
      <c r="EP12" s="213">
        <f t="shared" si="28"/>
        <v>7883350.8234999999</v>
      </c>
      <c r="EQ12" s="213">
        <f t="shared" si="28"/>
        <v>7883350.8234999999</v>
      </c>
      <c r="ER12" s="213">
        <f t="shared" si="28"/>
        <v>7883350.8234999999</v>
      </c>
      <c r="ES12" s="213">
        <f t="shared" si="28"/>
        <v>7883350.8234999999</v>
      </c>
      <c r="ET12" s="213">
        <f t="shared" si="28"/>
        <v>7883350.8234999999</v>
      </c>
      <c r="EU12" s="213">
        <f t="shared" si="28"/>
        <v>7883350.8234999999</v>
      </c>
      <c r="EV12" s="213">
        <f t="shared" si="28"/>
        <v>7883350.8234999999</v>
      </c>
      <c r="EW12" s="213">
        <f t="shared" si="28"/>
        <v>7883350.8234999999</v>
      </c>
      <c r="EX12" s="213">
        <f t="shared" si="28"/>
        <v>7883350.8234999999</v>
      </c>
      <c r="EY12" s="213">
        <f t="shared" si="28"/>
        <v>7883350.8234999999</v>
      </c>
      <c r="EZ12" s="213">
        <f t="shared" si="28"/>
        <v>7883350.8234999999</v>
      </c>
      <c r="FA12" s="213">
        <f t="shared" si="28"/>
        <v>7883350.8234999999</v>
      </c>
      <c r="FB12" s="213">
        <f t="shared" si="28"/>
        <v>7883350.8234999999</v>
      </c>
      <c r="FC12" s="213">
        <f t="shared" si="28"/>
        <v>7883350.8234999999</v>
      </c>
      <c r="FD12" s="213">
        <f t="shared" si="28"/>
        <v>7883350.8234999999</v>
      </c>
      <c r="FE12" s="213">
        <f t="shared" si="28"/>
        <v>7883350.8234999999</v>
      </c>
      <c r="FF12" s="213">
        <f t="shared" si="28"/>
        <v>7883350.8234999999</v>
      </c>
      <c r="FG12" s="213">
        <f t="shared" si="28"/>
        <v>7883350.8234999999</v>
      </c>
      <c r="FH12" s="213">
        <f t="shared" si="28"/>
        <v>7883350.8234999999</v>
      </c>
      <c r="FI12" s="213">
        <f t="shared" si="28"/>
        <v>7883350.8234999999</v>
      </c>
      <c r="FJ12" s="213">
        <f t="shared" si="28"/>
        <v>7883350.8234999999</v>
      </c>
      <c r="FK12" s="213">
        <f t="shared" si="28"/>
        <v>7883350.8234999999</v>
      </c>
      <c r="FL12" s="213">
        <f t="shared" si="28"/>
        <v>7883350.8234999999</v>
      </c>
      <c r="FM12" s="213">
        <f t="shared" si="28"/>
        <v>7883350.8234999999</v>
      </c>
      <c r="FN12" s="213">
        <f t="shared" si="28"/>
        <v>7883350.8234999999</v>
      </c>
      <c r="FO12" s="213">
        <f t="shared" si="28"/>
        <v>7883350.8234999999</v>
      </c>
      <c r="FP12" s="213">
        <f t="shared" si="28"/>
        <v>7883350.8234999999</v>
      </c>
      <c r="FQ12" s="213">
        <f t="shared" si="28"/>
        <v>7883350.8234999999</v>
      </c>
      <c r="FR12" s="213">
        <f t="shared" si="28"/>
        <v>7883350.8234999999</v>
      </c>
      <c r="FS12" s="213">
        <f t="shared" si="28"/>
        <v>7883350.8234999999</v>
      </c>
      <c r="FT12" s="213">
        <f t="shared" si="28"/>
        <v>7883350.8234999999</v>
      </c>
      <c r="FU12" s="213">
        <f t="shared" si="28"/>
        <v>7883350.8234999999</v>
      </c>
      <c r="FV12" s="213">
        <f t="shared" si="28"/>
        <v>7883350.8234999999</v>
      </c>
      <c r="FW12" s="213">
        <f t="shared" si="28"/>
        <v>7883350.8234999999</v>
      </c>
      <c r="FX12" s="213">
        <f t="shared" si="28"/>
        <v>7883350.8234999999</v>
      </c>
      <c r="FY12" s="213">
        <f t="shared" si="28"/>
        <v>7883350.8234999999</v>
      </c>
      <c r="FZ12" s="213">
        <f t="shared" si="28"/>
        <v>7883350.8234999999</v>
      </c>
      <c r="GA12" s="213">
        <f t="shared" si="28"/>
        <v>7883350.8234999999</v>
      </c>
      <c r="GB12" s="213">
        <f t="shared" si="28"/>
        <v>7883350.8234999999</v>
      </c>
      <c r="GC12" s="213">
        <f t="shared" si="28"/>
        <v>7883350.8234999999</v>
      </c>
      <c r="GD12" s="213">
        <f t="shared" si="28"/>
        <v>7883350.8234999999</v>
      </c>
      <c r="GE12" s="213">
        <f t="shared" si="28"/>
        <v>7883350.8234999999</v>
      </c>
      <c r="GF12" s="213">
        <f t="shared" si="28"/>
        <v>7883350.8234999999</v>
      </c>
      <c r="GG12" s="213">
        <f t="shared" si="28"/>
        <v>7883350.8234999999</v>
      </c>
      <c r="GH12" s="213">
        <f t="shared" si="28"/>
        <v>7883350.8234999999</v>
      </c>
      <c r="GI12" s="213">
        <f t="shared" si="28"/>
        <v>7883350.8234999999</v>
      </c>
      <c r="GJ12" s="213">
        <f t="shared" si="28"/>
        <v>7883350.8234999999</v>
      </c>
      <c r="GK12" s="213">
        <f t="shared" si="28"/>
        <v>7883350.8234999999</v>
      </c>
      <c r="GL12" s="213">
        <f t="shared" si="28"/>
        <v>7883350.8234999999</v>
      </c>
      <c r="GM12" s="213">
        <f t="shared" si="28"/>
        <v>7883350.8234999999</v>
      </c>
      <c r="GN12" s="213">
        <f t="shared" si="28"/>
        <v>7883350.8234999999</v>
      </c>
      <c r="GO12" s="213">
        <f t="shared" si="28"/>
        <v>7883350.8234999999</v>
      </c>
      <c r="GP12" s="213">
        <f t="shared" si="28"/>
        <v>7883350.8234999999</v>
      </c>
      <c r="GQ12" s="213">
        <f t="shared" si="28"/>
        <v>7883350.8234999999</v>
      </c>
      <c r="GR12" s="213">
        <f t="shared" si="28"/>
        <v>7883350.8234999999</v>
      </c>
      <c r="GS12" s="213">
        <f t="shared" ref="GS12:JD12" si="29">GR12+GS11</f>
        <v>7883350.8234999999</v>
      </c>
      <c r="GT12" s="213">
        <f t="shared" si="29"/>
        <v>7883350.8234999999</v>
      </c>
      <c r="GU12" s="213">
        <f t="shared" si="29"/>
        <v>7883350.8234999999</v>
      </c>
      <c r="GV12" s="213">
        <f t="shared" si="29"/>
        <v>7883350.8234999999</v>
      </c>
      <c r="GW12" s="213">
        <f t="shared" si="29"/>
        <v>7883350.8234999999</v>
      </c>
      <c r="GX12" s="213">
        <f t="shared" si="29"/>
        <v>7883350.8234999999</v>
      </c>
      <c r="GY12" s="213">
        <f t="shared" si="29"/>
        <v>7883350.8234999999</v>
      </c>
      <c r="GZ12" s="213">
        <f t="shared" si="29"/>
        <v>7883350.8234999999</v>
      </c>
      <c r="HA12" s="213">
        <f t="shared" si="29"/>
        <v>7883350.8234999999</v>
      </c>
      <c r="HB12" s="213">
        <f t="shared" si="29"/>
        <v>7883350.8234999999</v>
      </c>
      <c r="HC12" s="213">
        <f t="shared" si="29"/>
        <v>7883350.8234999999</v>
      </c>
      <c r="HD12" s="213">
        <f t="shared" si="29"/>
        <v>7883350.8234999999</v>
      </c>
      <c r="HE12" s="213">
        <f t="shared" si="29"/>
        <v>7883350.8234999999</v>
      </c>
      <c r="HF12" s="213">
        <f t="shared" si="29"/>
        <v>7883350.8234999999</v>
      </c>
      <c r="HG12" s="213">
        <f t="shared" si="29"/>
        <v>7883350.8234999999</v>
      </c>
      <c r="HH12" s="213">
        <f t="shared" si="29"/>
        <v>7883350.8234999999</v>
      </c>
      <c r="HI12" s="213">
        <f t="shared" si="29"/>
        <v>7883350.8234999999</v>
      </c>
      <c r="HJ12" s="213">
        <f t="shared" si="29"/>
        <v>7883350.8234999999</v>
      </c>
      <c r="HK12" s="213">
        <f t="shared" si="29"/>
        <v>7883350.8234999999</v>
      </c>
      <c r="HL12" s="213">
        <f t="shared" si="29"/>
        <v>7883350.8234999999</v>
      </c>
      <c r="HM12" s="213">
        <f t="shared" si="29"/>
        <v>7883350.8234999999</v>
      </c>
      <c r="HN12" s="213">
        <f t="shared" si="29"/>
        <v>7883350.8234999999</v>
      </c>
      <c r="HO12" s="213">
        <f t="shared" si="29"/>
        <v>7883350.8234999999</v>
      </c>
      <c r="HP12" s="213">
        <f t="shared" si="29"/>
        <v>7883350.8234999999</v>
      </c>
      <c r="HQ12" s="213">
        <f t="shared" si="29"/>
        <v>7883350.8234999999</v>
      </c>
      <c r="HR12" s="213">
        <f t="shared" si="29"/>
        <v>7883350.8234999999</v>
      </c>
      <c r="HS12" s="213">
        <f t="shared" si="29"/>
        <v>7883350.8234999999</v>
      </c>
      <c r="HT12" s="213">
        <f t="shared" si="29"/>
        <v>7883350.8234999999</v>
      </c>
      <c r="HU12" s="213">
        <f t="shared" si="29"/>
        <v>7883350.8234999999</v>
      </c>
      <c r="HV12" s="213">
        <f t="shared" si="29"/>
        <v>7883350.8234999999</v>
      </c>
      <c r="HW12" s="213">
        <f t="shared" si="29"/>
        <v>7883350.8234999999</v>
      </c>
      <c r="HX12" s="213">
        <f t="shared" si="29"/>
        <v>7883350.8234999999</v>
      </c>
      <c r="HY12" s="213">
        <f t="shared" si="29"/>
        <v>7883350.8234999999</v>
      </c>
      <c r="HZ12" s="213">
        <f t="shared" si="29"/>
        <v>7883350.8234999999</v>
      </c>
      <c r="IA12" s="213">
        <f t="shared" si="29"/>
        <v>7883350.8234999999</v>
      </c>
      <c r="IB12" s="213">
        <f t="shared" si="29"/>
        <v>7883350.8234999999</v>
      </c>
      <c r="IC12" s="213">
        <f t="shared" si="29"/>
        <v>7883350.8234999999</v>
      </c>
      <c r="ID12" s="213">
        <f t="shared" si="29"/>
        <v>7883350.8234999999</v>
      </c>
      <c r="IE12" s="213">
        <f t="shared" si="29"/>
        <v>7883350.8234999999</v>
      </c>
      <c r="IF12" s="213">
        <f t="shared" si="29"/>
        <v>7883350.8234999999</v>
      </c>
      <c r="IG12" s="213">
        <f t="shared" si="29"/>
        <v>7883350.8234999999</v>
      </c>
      <c r="IH12" s="213">
        <f t="shared" si="29"/>
        <v>7883350.8234999999</v>
      </c>
      <c r="II12" s="213">
        <f t="shared" si="29"/>
        <v>7883350.8234999999</v>
      </c>
      <c r="IJ12" s="213">
        <f t="shared" si="29"/>
        <v>7883350.8234999999</v>
      </c>
      <c r="IK12" s="213">
        <f t="shared" si="29"/>
        <v>7883350.8234999999</v>
      </c>
      <c r="IL12" s="213">
        <f t="shared" si="29"/>
        <v>7883350.8234999999</v>
      </c>
      <c r="IM12" s="213">
        <f t="shared" si="29"/>
        <v>7883350.8234999999</v>
      </c>
      <c r="IN12" s="213">
        <f t="shared" si="29"/>
        <v>7883350.8234999999</v>
      </c>
      <c r="IO12" s="213">
        <f t="shared" si="29"/>
        <v>7883350.8234999999</v>
      </c>
      <c r="IP12" s="213">
        <f t="shared" si="29"/>
        <v>7883350.8234999999</v>
      </c>
      <c r="IQ12" s="213">
        <f t="shared" si="29"/>
        <v>7883350.8234999999</v>
      </c>
      <c r="IR12" s="213">
        <f t="shared" si="29"/>
        <v>7883350.8234999999</v>
      </c>
      <c r="IS12" s="213">
        <f t="shared" si="29"/>
        <v>7883350.8234999999</v>
      </c>
      <c r="IT12" s="213">
        <f t="shared" si="29"/>
        <v>7883350.8234999999</v>
      </c>
      <c r="IU12" s="213">
        <f t="shared" si="29"/>
        <v>7883350.8234999999</v>
      </c>
      <c r="IV12" s="213">
        <f t="shared" si="29"/>
        <v>7883350.8234999999</v>
      </c>
      <c r="IW12" s="213">
        <f t="shared" si="29"/>
        <v>7883350.8234999999</v>
      </c>
      <c r="IX12" s="213">
        <f t="shared" si="29"/>
        <v>7883350.8234999999</v>
      </c>
      <c r="IY12" s="213">
        <f t="shared" si="29"/>
        <v>7883350.8234999999</v>
      </c>
      <c r="IZ12" s="213">
        <f t="shared" si="29"/>
        <v>7883350.8234999999</v>
      </c>
      <c r="JA12" s="213">
        <f t="shared" si="29"/>
        <v>7883350.8234999999</v>
      </c>
      <c r="JB12" s="213">
        <f t="shared" si="29"/>
        <v>7883350.8234999999</v>
      </c>
      <c r="JC12" s="213">
        <f t="shared" si="29"/>
        <v>7883350.8234999999</v>
      </c>
      <c r="JD12" s="213">
        <f t="shared" si="29"/>
        <v>7883350.8234999999</v>
      </c>
      <c r="JE12" s="213">
        <f t="shared" ref="JE12:LD12" si="30">JD12+JE11</f>
        <v>7883350.8234999999</v>
      </c>
      <c r="JF12" s="213">
        <f t="shared" si="30"/>
        <v>7883350.8234999999</v>
      </c>
      <c r="JG12" s="213">
        <f t="shared" si="30"/>
        <v>7883350.8234999999</v>
      </c>
      <c r="JH12" s="213">
        <f t="shared" si="30"/>
        <v>7883350.8234999999</v>
      </c>
      <c r="JI12" s="213">
        <f t="shared" si="30"/>
        <v>7883350.8234999999</v>
      </c>
      <c r="JJ12" s="213">
        <f t="shared" si="30"/>
        <v>7883350.8234999999</v>
      </c>
      <c r="JK12" s="213">
        <f t="shared" si="30"/>
        <v>7883350.8234999999</v>
      </c>
      <c r="JL12" s="213">
        <f t="shared" si="30"/>
        <v>7883350.8234999999</v>
      </c>
      <c r="JM12" s="213">
        <f t="shared" si="30"/>
        <v>7883350.8234999999</v>
      </c>
      <c r="JN12" s="213">
        <f t="shared" si="30"/>
        <v>7883350.8234999999</v>
      </c>
      <c r="JO12" s="213">
        <f t="shared" si="30"/>
        <v>7883350.8234999999</v>
      </c>
      <c r="JP12" s="213">
        <f t="shared" si="30"/>
        <v>7883350.8234999999</v>
      </c>
      <c r="JQ12" s="213">
        <f t="shared" si="30"/>
        <v>7883350.8234999999</v>
      </c>
      <c r="JR12" s="213">
        <f t="shared" si="30"/>
        <v>7883350.8234999999</v>
      </c>
      <c r="JS12" s="213">
        <f t="shared" si="30"/>
        <v>7883350.8234999999</v>
      </c>
      <c r="JT12" s="213">
        <f t="shared" si="30"/>
        <v>7883350.8234999999</v>
      </c>
      <c r="JU12" s="213">
        <f t="shared" si="30"/>
        <v>7883350.8234999999</v>
      </c>
      <c r="JV12" s="213">
        <f t="shared" si="30"/>
        <v>7883350.8234999999</v>
      </c>
      <c r="JW12" s="213">
        <f t="shared" si="30"/>
        <v>7883350.8234999999</v>
      </c>
      <c r="JX12" s="213">
        <f t="shared" si="30"/>
        <v>7883350.8234999999</v>
      </c>
      <c r="JY12" s="213">
        <f t="shared" si="30"/>
        <v>7883350.8234999999</v>
      </c>
      <c r="JZ12" s="213">
        <f t="shared" si="30"/>
        <v>7883350.8234999999</v>
      </c>
      <c r="KA12" s="213">
        <f t="shared" si="30"/>
        <v>7883350.8234999999</v>
      </c>
      <c r="KB12" s="213">
        <f t="shared" si="30"/>
        <v>7883350.8234999999</v>
      </c>
      <c r="KC12" s="213">
        <f t="shared" si="30"/>
        <v>7883350.8234999999</v>
      </c>
      <c r="KD12" s="213">
        <f t="shared" si="30"/>
        <v>7883350.8234999999</v>
      </c>
      <c r="KE12" s="213">
        <f t="shared" si="30"/>
        <v>7883350.8234999999</v>
      </c>
      <c r="KF12" s="213">
        <f t="shared" si="30"/>
        <v>7883350.8234999999</v>
      </c>
      <c r="KG12" s="213">
        <f t="shared" si="30"/>
        <v>7883350.8234999999</v>
      </c>
      <c r="KH12" s="213">
        <f t="shared" si="30"/>
        <v>7883350.8234999999</v>
      </c>
      <c r="KI12" s="213">
        <f t="shared" si="30"/>
        <v>7883350.8234999999</v>
      </c>
      <c r="KJ12" s="213">
        <f t="shared" si="30"/>
        <v>7883350.8234999999</v>
      </c>
      <c r="KK12" s="213">
        <f t="shared" si="30"/>
        <v>7883350.8234999999</v>
      </c>
      <c r="KL12" s="213">
        <f t="shared" si="30"/>
        <v>7883350.8234999999</v>
      </c>
      <c r="KM12" s="213">
        <f t="shared" si="30"/>
        <v>7883350.8234999999</v>
      </c>
      <c r="KN12" s="213">
        <f t="shared" si="30"/>
        <v>7883350.8234999999</v>
      </c>
      <c r="KO12" s="213">
        <f t="shared" si="30"/>
        <v>7883350.8234999999</v>
      </c>
      <c r="KP12" s="213">
        <f t="shared" si="30"/>
        <v>7883350.8234999999</v>
      </c>
      <c r="KQ12" s="213">
        <f t="shared" si="30"/>
        <v>7883350.8234999999</v>
      </c>
      <c r="KR12" s="213">
        <f t="shared" si="30"/>
        <v>7883350.8234999999</v>
      </c>
      <c r="KS12" s="213">
        <f t="shared" si="30"/>
        <v>7883350.8234999999</v>
      </c>
      <c r="KT12" s="213">
        <f t="shared" si="30"/>
        <v>7883350.8234999999</v>
      </c>
      <c r="KU12" s="213">
        <f t="shared" si="30"/>
        <v>7883350.8234999999</v>
      </c>
      <c r="KV12" s="213">
        <f t="shared" si="30"/>
        <v>7883350.8234999999</v>
      </c>
      <c r="KW12" s="213">
        <f t="shared" si="30"/>
        <v>7883350.8234999999</v>
      </c>
      <c r="KX12" s="213">
        <f t="shared" si="30"/>
        <v>7883350.8234999999</v>
      </c>
      <c r="KY12" s="213">
        <f t="shared" si="30"/>
        <v>7883350.8234999999</v>
      </c>
      <c r="KZ12" s="213">
        <f t="shared" si="30"/>
        <v>7883350.8234999999</v>
      </c>
      <c r="LA12" s="213">
        <f t="shared" si="30"/>
        <v>7883350.8234999999</v>
      </c>
      <c r="LB12" s="213">
        <f t="shared" si="30"/>
        <v>7883350.8234999999</v>
      </c>
      <c r="LC12" s="213">
        <f t="shared" si="30"/>
        <v>7883350.8234999999</v>
      </c>
      <c r="LD12" s="213">
        <f t="shared" si="30"/>
        <v>7883350.8234999999</v>
      </c>
      <c r="LE12" s="190"/>
      <c r="LF12" s="201"/>
    </row>
    <row r="13" spans="1:794" s="190" customFormat="1">
      <c r="A13" s="810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3" t="s">
        <v>406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0</v>
      </c>
      <c r="R14" s="206">
        <f t="shared" si="32"/>
        <v>0</v>
      </c>
      <c r="S14" s="206">
        <f t="shared" si="32"/>
        <v>2324104.2579999999</v>
      </c>
      <c r="T14" s="206">
        <f t="shared" si="32"/>
        <v>2324104.2579999999</v>
      </c>
      <c r="U14" s="206">
        <f t="shared" si="32"/>
        <v>2323985.2579999999</v>
      </c>
      <c r="V14" s="206">
        <f t="shared" si="32"/>
        <v>994235.25799999991</v>
      </c>
      <c r="W14" s="206">
        <f t="shared" si="32"/>
        <v>994235.25799999991</v>
      </c>
      <c r="X14" s="206">
        <f t="shared" si="32"/>
        <v>2323985.2579999999</v>
      </c>
      <c r="Y14" s="206">
        <f t="shared" si="32"/>
        <v>2323985.2579999999</v>
      </c>
      <c r="Z14" s="206">
        <f t="shared" si="32"/>
        <v>2323785.338</v>
      </c>
      <c r="AA14" s="206">
        <f t="shared" si="32"/>
        <v>2323785.338</v>
      </c>
      <c r="AB14" s="206">
        <f t="shared" si="32"/>
        <v>2323785.338</v>
      </c>
      <c r="AC14" s="206">
        <f t="shared" si="32"/>
        <v>2323785.338</v>
      </c>
      <c r="AD14" s="206">
        <f t="shared" si="32"/>
        <v>2323785.338</v>
      </c>
      <c r="AE14" s="206">
        <f t="shared" si="32"/>
        <v>2323785.338</v>
      </c>
      <c r="AF14" s="206">
        <f t="shared" si="32"/>
        <v>2313135.338</v>
      </c>
      <c r="AG14" s="206">
        <f t="shared" si="32"/>
        <v>-389575.58699999982</v>
      </c>
      <c r="AH14" s="206">
        <f t="shared" si="32"/>
        <v>938250.74899999984</v>
      </c>
      <c r="AI14" s="206">
        <f t="shared" si="32"/>
        <v>825734.79899999965</v>
      </c>
      <c r="AJ14" s="206">
        <f t="shared" si="32"/>
        <v>825734.79899999965</v>
      </c>
      <c r="AK14" s="206">
        <f t="shared" si="32"/>
        <v>406694.31899999967</v>
      </c>
      <c r="AL14" s="206">
        <f t="shared" si="32"/>
        <v>406694.31899999967</v>
      </c>
      <c r="AM14" s="206">
        <f t="shared" si="32"/>
        <v>406694.31899999967</v>
      </c>
      <c r="AN14" s="206">
        <f t="shared" si="32"/>
        <v>406694.31899999967</v>
      </c>
      <c r="AO14" s="206">
        <f t="shared" si="32"/>
        <v>190273.2089999998</v>
      </c>
      <c r="AP14" s="206">
        <f t="shared" si="32"/>
        <v>190273.2089999998</v>
      </c>
      <c r="AQ14" s="206">
        <f t="shared" si="32"/>
        <v>189298.2089999998</v>
      </c>
      <c r="AR14" s="206">
        <f t="shared" si="32"/>
        <v>189298.2089999998</v>
      </c>
      <c r="AS14" s="206">
        <f t="shared" si="32"/>
        <v>-792097.60100000072</v>
      </c>
      <c r="AT14" s="206">
        <f t="shared" si="32"/>
        <v>2196036.4449999984</v>
      </c>
      <c r="AU14" s="206">
        <f t="shared" si="32"/>
        <v>2135839.5649999985</v>
      </c>
      <c r="AV14" s="206">
        <f t="shared" si="32"/>
        <v>5123973.6109999986</v>
      </c>
      <c r="AW14" s="206">
        <f t="shared" si="32"/>
        <v>5123973.6109999986</v>
      </c>
      <c r="AX14" s="206">
        <f t="shared" si="32"/>
        <v>5123973.6109999986</v>
      </c>
      <c r="AY14" s="206">
        <f t="shared" si="32"/>
        <v>5123973.6109999986</v>
      </c>
      <c r="AZ14" s="206">
        <f t="shared" si="32"/>
        <v>5123973.6109999986</v>
      </c>
      <c r="BA14" s="206">
        <f t="shared" si="32"/>
        <v>4599936.406652173</v>
      </c>
      <c r="BB14" s="206">
        <f t="shared" si="32"/>
        <v>4599936.406652173</v>
      </c>
      <c r="BC14" s="206">
        <f t="shared" si="32"/>
        <v>4599936.406652173</v>
      </c>
      <c r="BD14" s="206">
        <f t="shared" si="32"/>
        <v>4599831.6866521733</v>
      </c>
      <c r="BE14" s="206">
        <f t="shared" si="32"/>
        <v>4599831.6866521733</v>
      </c>
      <c r="BF14" s="206">
        <f t="shared" si="32"/>
        <v>4599831.6866521733</v>
      </c>
      <c r="BG14" s="206">
        <f t="shared" si="32"/>
        <v>4599831.6866521733</v>
      </c>
      <c r="BH14" s="206">
        <f t="shared" si="32"/>
        <v>4599831.6866521733</v>
      </c>
      <c r="BI14" s="206">
        <f t="shared" si="32"/>
        <v>4599831.6866521733</v>
      </c>
      <c r="BJ14" s="206">
        <f t="shared" si="32"/>
        <v>4599831.6866521733</v>
      </c>
      <c r="BK14" s="206">
        <f t="shared" si="32"/>
        <v>4080025.8616521731</v>
      </c>
      <c r="BL14" s="206">
        <f t="shared" si="32"/>
        <v>4079245.8616521731</v>
      </c>
      <c r="BM14" s="206">
        <f t="shared" si="32"/>
        <v>3902596.9366521733</v>
      </c>
      <c r="BN14" s="206">
        <f t="shared" si="32"/>
        <v>3902596.9366521733</v>
      </c>
      <c r="BO14" s="206">
        <f t="shared" si="32"/>
        <v>3902596.9366521733</v>
      </c>
      <c r="BP14" s="206">
        <f t="shared" si="32"/>
        <v>3742710.7981521729</v>
      </c>
      <c r="BQ14" s="206">
        <f t="shared" si="32"/>
        <v>3739229.7981521729</v>
      </c>
      <c r="BR14" s="206">
        <f t="shared" si="32"/>
        <v>3739229.7981521729</v>
      </c>
      <c r="BS14" s="206">
        <f t="shared" si="32"/>
        <v>3739229.7981521729</v>
      </c>
      <c r="BT14" s="206">
        <f t="shared" si="32"/>
        <v>3739229.7981521729</v>
      </c>
      <c r="BU14" s="206">
        <f t="shared" ref="BU14:EF14" si="33">BU10-BU12</f>
        <v>3738449.7981521729</v>
      </c>
      <c r="BV14" s="206">
        <f t="shared" si="33"/>
        <v>3738449.7981521729</v>
      </c>
      <c r="BW14" s="206">
        <f t="shared" si="33"/>
        <v>3738449.7981521729</v>
      </c>
      <c r="BX14" s="206">
        <f t="shared" si="33"/>
        <v>3738449.7981521729</v>
      </c>
      <c r="BY14" s="206">
        <f t="shared" si="33"/>
        <v>3738449.7981521729</v>
      </c>
      <c r="BZ14" s="206">
        <f t="shared" si="33"/>
        <v>3738449.7981521729</v>
      </c>
      <c r="CA14" s="206">
        <f t="shared" si="33"/>
        <v>3738449.7981521729</v>
      </c>
      <c r="CB14" s="206">
        <f t="shared" si="33"/>
        <v>3738449.7981521729</v>
      </c>
      <c r="CC14" s="206">
        <f t="shared" si="33"/>
        <v>3738449.7981521729</v>
      </c>
      <c r="CD14" s="206">
        <f t="shared" si="33"/>
        <v>3738449.7981521729</v>
      </c>
      <c r="CE14" s="206">
        <f t="shared" si="33"/>
        <v>3738449.7981521729</v>
      </c>
      <c r="CF14" s="206">
        <f t="shared" si="33"/>
        <v>3738449.7981521729</v>
      </c>
      <c r="CG14" s="206">
        <f t="shared" si="33"/>
        <v>3738449.7981521729</v>
      </c>
      <c r="CH14" s="206">
        <f t="shared" si="33"/>
        <v>3738449.7981521729</v>
      </c>
      <c r="CI14" s="206">
        <f t="shared" si="33"/>
        <v>3738449.7981521729</v>
      </c>
      <c r="CJ14" s="206">
        <f t="shared" si="33"/>
        <v>3738449.7981521729</v>
      </c>
      <c r="CK14" s="206">
        <f t="shared" si="33"/>
        <v>3738449.7981521729</v>
      </c>
      <c r="CL14" s="206">
        <f t="shared" si="33"/>
        <v>3738449.7981521729</v>
      </c>
      <c r="CM14" s="206">
        <f t="shared" si="33"/>
        <v>3738449.7981521729</v>
      </c>
      <c r="CN14" s="206">
        <f t="shared" si="33"/>
        <v>3738449.7981521729</v>
      </c>
      <c r="CO14" s="206">
        <f t="shared" si="33"/>
        <v>3738449.7981521729</v>
      </c>
      <c r="CP14" s="206">
        <f t="shared" si="33"/>
        <v>3738449.7981521729</v>
      </c>
      <c r="CQ14" s="206">
        <f t="shared" si="33"/>
        <v>3738449.7981521729</v>
      </c>
      <c r="CR14" s="206">
        <f t="shared" si="33"/>
        <v>3738449.7981521729</v>
      </c>
      <c r="CS14" s="206">
        <f t="shared" si="33"/>
        <v>3738449.7981521729</v>
      </c>
      <c r="CT14" s="206">
        <f t="shared" si="33"/>
        <v>3738449.7981521729</v>
      </c>
      <c r="CU14" s="206">
        <f t="shared" si="33"/>
        <v>3738449.7981521729</v>
      </c>
      <c r="CV14" s="206">
        <f t="shared" si="33"/>
        <v>3738449.7981521729</v>
      </c>
      <c r="CW14" s="206">
        <f t="shared" si="33"/>
        <v>3738449.7981521729</v>
      </c>
      <c r="CX14" s="206">
        <f t="shared" si="33"/>
        <v>3738449.7981521729</v>
      </c>
      <c r="CY14" s="206">
        <f t="shared" si="33"/>
        <v>3738449.7981521729</v>
      </c>
      <c r="CZ14" s="206">
        <f t="shared" si="33"/>
        <v>3738449.7981521729</v>
      </c>
      <c r="DA14" s="206">
        <f t="shared" si="33"/>
        <v>3738449.7981521729</v>
      </c>
      <c r="DB14" s="206">
        <f t="shared" si="33"/>
        <v>3738449.7981521729</v>
      </c>
      <c r="DC14" s="206">
        <f t="shared" si="33"/>
        <v>3738449.7981521729</v>
      </c>
      <c r="DD14" s="206">
        <f t="shared" si="33"/>
        <v>3738449.7981521729</v>
      </c>
      <c r="DE14" s="206">
        <f t="shared" si="33"/>
        <v>3738449.7981521729</v>
      </c>
      <c r="DF14" s="206">
        <f t="shared" si="33"/>
        <v>3738449.7981521729</v>
      </c>
      <c r="DG14" s="206">
        <f t="shared" si="33"/>
        <v>3738449.7981521729</v>
      </c>
      <c r="DH14" s="206">
        <f t="shared" si="33"/>
        <v>3738449.7981521729</v>
      </c>
      <c r="DI14" s="206">
        <f t="shared" si="33"/>
        <v>3738449.7981521729</v>
      </c>
      <c r="DJ14" s="206">
        <f t="shared" si="33"/>
        <v>3738449.7981521729</v>
      </c>
      <c r="DK14" s="206">
        <f t="shared" si="33"/>
        <v>3738449.7981521729</v>
      </c>
      <c r="DL14" s="206">
        <f t="shared" si="33"/>
        <v>3738449.7981521729</v>
      </c>
      <c r="DM14" s="206">
        <f t="shared" si="33"/>
        <v>3738449.7981521729</v>
      </c>
      <c r="DN14" s="206">
        <f t="shared" si="33"/>
        <v>3738449.7981521729</v>
      </c>
      <c r="DO14" s="206">
        <f t="shared" si="33"/>
        <v>3738449.7981521729</v>
      </c>
      <c r="DP14" s="206">
        <f t="shared" si="33"/>
        <v>3738449.7981521729</v>
      </c>
      <c r="DQ14" s="206">
        <f t="shared" si="33"/>
        <v>3738449.7981521729</v>
      </c>
      <c r="DR14" s="206">
        <f t="shared" si="33"/>
        <v>3738449.7981521729</v>
      </c>
      <c r="DS14" s="206">
        <f t="shared" si="33"/>
        <v>3738449.7981521729</v>
      </c>
      <c r="DT14" s="206">
        <f t="shared" si="33"/>
        <v>3738449.7981521729</v>
      </c>
      <c r="DU14" s="206">
        <f t="shared" si="33"/>
        <v>3738449.7981521729</v>
      </c>
      <c r="DV14" s="206">
        <f t="shared" si="33"/>
        <v>3738449.7981521729</v>
      </c>
      <c r="DW14" s="206">
        <f t="shared" si="33"/>
        <v>3738449.7981521729</v>
      </c>
      <c r="DX14" s="206">
        <f t="shared" si="33"/>
        <v>3738449.7981521729</v>
      </c>
      <c r="DY14" s="206">
        <f t="shared" si="33"/>
        <v>3738449.7981521729</v>
      </c>
      <c r="DZ14" s="206">
        <f t="shared" si="33"/>
        <v>3738449.7981521729</v>
      </c>
      <c r="EA14" s="206">
        <f t="shared" si="33"/>
        <v>3738449.7981521729</v>
      </c>
      <c r="EB14" s="206">
        <f t="shared" si="33"/>
        <v>3738449.7981521729</v>
      </c>
      <c r="EC14" s="206">
        <f t="shared" si="33"/>
        <v>3738449.7981521729</v>
      </c>
      <c r="ED14" s="206">
        <f t="shared" si="33"/>
        <v>3738449.7981521729</v>
      </c>
      <c r="EE14" s="206">
        <f t="shared" si="33"/>
        <v>3738449.7981521729</v>
      </c>
      <c r="EF14" s="206">
        <f t="shared" si="33"/>
        <v>3738449.7981521729</v>
      </c>
      <c r="EG14" s="206">
        <f t="shared" ref="EG14:GR14" si="34">EG10-EG12</f>
        <v>3738449.7981521729</v>
      </c>
      <c r="EH14" s="206">
        <f t="shared" si="34"/>
        <v>3738449.7981521729</v>
      </c>
      <c r="EI14" s="206">
        <f t="shared" si="34"/>
        <v>3738449.7981521729</v>
      </c>
      <c r="EJ14" s="206">
        <f t="shared" si="34"/>
        <v>3738449.7981521729</v>
      </c>
      <c r="EK14" s="206">
        <f t="shared" si="34"/>
        <v>3738449.7981521729</v>
      </c>
      <c r="EL14" s="206">
        <f t="shared" si="34"/>
        <v>3738449.7981521729</v>
      </c>
      <c r="EM14" s="206">
        <f t="shared" si="34"/>
        <v>3738449.7981521729</v>
      </c>
      <c r="EN14" s="206">
        <f t="shared" si="34"/>
        <v>3738449.7981521729</v>
      </c>
      <c r="EO14" s="206">
        <f t="shared" si="34"/>
        <v>3738449.7981521729</v>
      </c>
      <c r="EP14" s="206">
        <f t="shared" si="34"/>
        <v>3738449.7981521729</v>
      </c>
      <c r="EQ14" s="206">
        <f t="shared" si="34"/>
        <v>3738449.7981521729</v>
      </c>
      <c r="ER14" s="206">
        <f t="shared" si="34"/>
        <v>3738449.7981521729</v>
      </c>
      <c r="ES14" s="206">
        <f t="shared" si="34"/>
        <v>3738449.7981521729</v>
      </c>
      <c r="ET14" s="206">
        <f t="shared" si="34"/>
        <v>3738449.7981521729</v>
      </c>
      <c r="EU14" s="206">
        <f t="shared" si="34"/>
        <v>3738449.7981521729</v>
      </c>
      <c r="EV14" s="206">
        <f t="shared" si="34"/>
        <v>3738449.7981521729</v>
      </c>
      <c r="EW14" s="206">
        <f t="shared" si="34"/>
        <v>3738449.7981521729</v>
      </c>
      <c r="EX14" s="206">
        <f t="shared" si="34"/>
        <v>3738449.7981521729</v>
      </c>
      <c r="EY14" s="206">
        <f t="shared" si="34"/>
        <v>3738449.7981521729</v>
      </c>
      <c r="EZ14" s="206">
        <f t="shared" si="34"/>
        <v>3738449.7981521729</v>
      </c>
      <c r="FA14" s="206">
        <f t="shared" si="34"/>
        <v>3738449.7981521729</v>
      </c>
      <c r="FB14" s="206">
        <f t="shared" si="34"/>
        <v>3738449.7981521729</v>
      </c>
      <c r="FC14" s="206">
        <f t="shared" si="34"/>
        <v>3738449.7981521729</v>
      </c>
      <c r="FD14" s="206">
        <f t="shared" si="34"/>
        <v>3738449.7981521729</v>
      </c>
      <c r="FE14" s="206">
        <f t="shared" si="34"/>
        <v>3738449.7981521729</v>
      </c>
      <c r="FF14" s="206">
        <f t="shared" si="34"/>
        <v>3738449.7981521729</v>
      </c>
      <c r="FG14" s="206">
        <f t="shared" si="34"/>
        <v>3738449.7981521729</v>
      </c>
      <c r="FH14" s="206">
        <f t="shared" si="34"/>
        <v>3738449.7981521729</v>
      </c>
      <c r="FI14" s="206">
        <f t="shared" si="34"/>
        <v>3738449.7981521729</v>
      </c>
      <c r="FJ14" s="206">
        <f t="shared" si="34"/>
        <v>3738449.7981521729</v>
      </c>
      <c r="FK14" s="206">
        <f t="shared" si="34"/>
        <v>3738449.7981521729</v>
      </c>
      <c r="FL14" s="206">
        <f t="shared" si="34"/>
        <v>3738449.7981521729</v>
      </c>
      <c r="FM14" s="206">
        <f t="shared" si="34"/>
        <v>3738449.7981521729</v>
      </c>
      <c r="FN14" s="206">
        <f t="shared" si="34"/>
        <v>3738449.7981521729</v>
      </c>
      <c r="FO14" s="206">
        <f t="shared" si="34"/>
        <v>3738449.7981521729</v>
      </c>
      <c r="FP14" s="206">
        <f t="shared" si="34"/>
        <v>3738449.7981521729</v>
      </c>
      <c r="FQ14" s="206">
        <f t="shared" si="34"/>
        <v>3738449.7981521729</v>
      </c>
      <c r="FR14" s="206">
        <f t="shared" si="34"/>
        <v>3738449.7981521729</v>
      </c>
      <c r="FS14" s="206">
        <f t="shared" si="34"/>
        <v>3738449.7981521729</v>
      </c>
      <c r="FT14" s="206">
        <f t="shared" si="34"/>
        <v>3738449.7981521729</v>
      </c>
      <c r="FU14" s="206">
        <f t="shared" si="34"/>
        <v>3738449.7981521729</v>
      </c>
      <c r="FV14" s="206">
        <f t="shared" si="34"/>
        <v>3738449.7981521729</v>
      </c>
      <c r="FW14" s="206">
        <f t="shared" si="34"/>
        <v>3738449.7981521729</v>
      </c>
      <c r="FX14" s="206">
        <f t="shared" si="34"/>
        <v>3738449.7981521729</v>
      </c>
      <c r="FY14" s="206">
        <f t="shared" si="34"/>
        <v>3738449.7981521729</v>
      </c>
      <c r="FZ14" s="206">
        <f t="shared" si="34"/>
        <v>3738449.7981521729</v>
      </c>
      <c r="GA14" s="206">
        <f t="shared" si="34"/>
        <v>3738449.7981521729</v>
      </c>
      <c r="GB14" s="206">
        <f t="shared" si="34"/>
        <v>3738449.7981521729</v>
      </c>
      <c r="GC14" s="206">
        <f t="shared" si="34"/>
        <v>3738449.7981521729</v>
      </c>
      <c r="GD14" s="206">
        <f t="shared" si="34"/>
        <v>3738449.7981521729</v>
      </c>
      <c r="GE14" s="206">
        <f t="shared" si="34"/>
        <v>3738449.7981521729</v>
      </c>
      <c r="GF14" s="206">
        <f t="shared" si="34"/>
        <v>3738449.7981521729</v>
      </c>
      <c r="GG14" s="206">
        <f t="shared" si="34"/>
        <v>3738449.7981521729</v>
      </c>
      <c r="GH14" s="206">
        <f t="shared" si="34"/>
        <v>3738449.7981521729</v>
      </c>
      <c r="GI14" s="206">
        <f t="shared" si="34"/>
        <v>3738449.7981521729</v>
      </c>
      <c r="GJ14" s="206">
        <f t="shared" si="34"/>
        <v>3738449.7981521729</v>
      </c>
      <c r="GK14" s="206">
        <f t="shared" si="34"/>
        <v>3738449.7981521729</v>
      </c>
      <c r="GL14" s="206">
        <f t="shared" si="34"/>
        <v>3738449.7981521729</v>
      </c>
      <c r="GM14" s="206">
        <f t="shared" si="34"/>
        <v>3738449.7981521729</v>
      </c>
      <c r="GN14" s="206">
        <f t="shared" si="34"/>
        <v>3738449.7981521729</v>
      </c>
      <c r="GO14" s="206">
        <f t="shared" si="34"/>
        <v>3738449.7981521729</v>
      </c>
      <c r="GP14" s="206">
        <f t="shared" si="34"/>
        <v>3738449.7981521729</v>
      </c>
      <c r="GQ14" s="206">
        <f t="shared" si="34"/>
        <v>3738449.7981521729</v>
      </c>
      <c r="GR14" s="206">
        <f t="shared" si="34"/>
        <v>3738449.7981521729</v>
      </c>
      <c r="GS14" s="206">
        <f t="shared" ref="GS14:JD14" si="35">GS10-GS12</f>
        <v>3738449.7981521729</v>
      </c>
      <c r="GT14" s="206">
        <f t="shared" si="35"/>
        <v>3738449.7981521729</v>
      </c>
      <c r="GU14" s="206">
        <f t="shared" si="35"/>
        <v>3738449.7981521729</v>
      </c>
      <c r="GV14" s="206">
        <f t="shared" si="35"/>
        <v>3738449.7981521729</v>
      </c>
      <c r="GW14" s="206">
        <f t="shared" si="35"/>
        <v>3738449.7981521729</v>
      </c>
      <c r="GX14" s="206">
        <f t="shared" si="35"/>
        <v>3738449.7981521729</v>
      </c>
      <c r="GY14" s="206">
        <f t="shared" si="35"/>
        <v>3738449.7981521729</v>
      </c>
      <c r="GZ14" s="206">
        <f t="shared" si="35"/>
        <v>3738449.7981521729</v>
      </c>
      <c r="HA14" s="206">
        <f t="shared" si="35"/>
        <v>3738449.7981521729</v>
      </c>
      <c r="HB14" s="206">
        <f t="shared" si="35"/>
        <v>3738449.7981521729</v>
      </c>
      <c r="HC14" s="206">
        <f t="shared" si="35"/>
        <v>3738449.7981521729</v>
      </c>
      <c r="HD14" s="206">
        <f t="shared" si="35"/>
        <v>3738449.7981521729</v>
      </c>
      <c r="HE14" s="206">
        <f t="shared" si="35"/>
        <v>3738449.7981521729</v>
      </c>
      <c r="HF14" s="206">
        <f t="shared" si="35"/>
        <v>3738449.7981521729</v>
      </c>
      <c r="HG14" s="206">
        <f t="shared" si="35"/>
        <v>3738449.7981521729</v>
      </c>
      <c r="HH14" s="206">
        <f t="shared" si="35"/>
        <v>3738449.7981521729</v>
      </c>
      <c r="HI14" s="206">
        <f t="shared" si="35"/>
        <v>3738449.7981521729</v>
      </c>
      <c r="HJ14" s="206">
        <f t="shared" si="35"/>
        <v>3738449.7981521729</v>
      </c>
      <c r="HK14" s="206">
        <f t="shared" si="35"/>
        <v>3738449.7981521729</v>
      </c>
      <c r="HL14" s="206">
        <f t="shared" si="35"/>
        <v>3738449.7981521729</v>
      </c>
      <c r="HM14" s="206">
        <f t="shared" si="35"/>
        <v>3738449.7981521729</v>
      </c>
      <c r="HN14" s="206">
        <f t="shared" si="35"/>
        <v>3738449.7981521729</v>
      </c>
      <c r="HO14" s="206">
        <f t="shared" si="35"/>
        <v>3738449.7981521729</v>
      </c>
      <c r="HP14" s="206">
        <f t="shared" si="35"/>
        <v>3738449.7981521729</v>
      </c>
      <c r="HQ14" s="206">
        <f t="shared" si="35"/>
        <v>3738449.7981521729</v>
      </c>
      <c r="HR14" s="206">
        <f t="shared" si="35"/>
        <v>3738449.7981521729</v>
      </c>
      <c r="HS14" s="206">
        <f t="shared" si="35"/>
        <v>3738449.7981521729</v>
      </c>
      <c r="HT14" s="206">
        <f t="shared" si="35"/>
        <v>3738449.7981521729</v>
      </c>
      <c r="HU14" s="206">
        <f t="shared" si="35"/>
        <v>3738449.7981521729</v>
      </c>
      <c r="HV14" s="206">
        <f t="shared" si="35"/>
        <v>3738449.7981521729</v>
      </c>
      <c r="HW14" s="206">
        <f t="shared" si="35"/>
        <v>3738449.7981521729</v>
      </c>
      <c r="HX14" s="206">
        <f t="shared" si="35"/>
        <v>3738449.7981521729</v>
      </c>
      <c r="HY14" s="206">
        <f t="shared" si="35"/>
        <v>3738449.7981521729</v>
      </c>
      <c r="HZ14" s="206">
        <f t="shared" si="35"/>
        <v>3738449.7981521729</v>
      </c>
      <c r="IA14" s="206">
        <f t="shared" si="35"/>
        <v>3738449.7981521729</v>
      </c>
      <c r="IB14" s="206">
        <f t="shared" si="35"/>
        <v>3738449.7981521729</v>
      </c>
      <c r="IC14" s="206">
        <f t="shared" si="35"/>
        <v>3738449.7981521729</v>
      </c>
      <c r="ID14" s="206">
        <f t="shared" si="35"/>
        <v>3738449.7981521729</v>
      </c>
      <c r="IE14" s="206">
        <f t="shared" si="35"/>
        <v>3738449.7981521729</v>
      </c>
      <c r="IF14" s="206">
        <f t="shared" si="35"/>
        <v>3738449.7981521729</v>
      </c>
      <c r="IG14" s="206">
        <f t="shared" si="35"/>
        <v>3738449.7981521729</v>
      </c>
      <c r="IH14" s="206">
        <f t="shared" si="35"/>
        <v>3738449.7981521729</v>
      </c>
      <c r="II14" s="206">
        <f t="shared" si="35"/>
        <v>3738449.7981521729</v>
      </c>
      <c r="IJ14" s="206">
        <f t="shared" si="35"/>
        <v>3738449.7981521729</v>
      </c>
      <c r="IK14" s="206">
        <f t="shared" si="35"/>
        <v>3738449.7981521729</v>
      </c>
      <c r="IL14" s="206">
        <f t="shared" si="35"/>
        <v>3738449.7981521729</v>
      </c>
      <c r="IM14" s="206">
        <f t="shared" si="35"/>
        <v>3738449.7981521729</v>
      </c>
      <c r="IN14" s="206">
        <f t="shared" si="35"/>
        <v>3738449.7981521729</v>
      </c>
      <c r="IO14" s="206">
        <f t="shared" si="35"/>
        <v>3738449.7981521729</v>
      </c>
      <c r="IP14" s="206">
        <f t="shared" si="35"/>
        <v>3738449.7981521729</v>
      </c>
      <c r="IQ14" s="206">
        <f t="shared" si="35"/>
        <v>3738449.7981521729</v>
      </c>
      <c r="IR14" s="206">
        <f t="shared" si="35"/>
        <v>3738449.7981521729</v>
      </c>
      <c r="IS14" s="206">
        <f t="shared" si="35"/>
        <v>3738449.7981521729</v>
      </c>
      <c r="IT14" s="206">
        <f t="shared" si="35"/>
        <v>3738449.7981521729</v>
      </c>
      <c r="IU14" s="206">
        <f t="shared" si="35"/>
        <v>3738449.7981521729</v>
      </c>
      <c r="IV14" s="206">
        <f t="shared" si="35"/>
        <v>3738449.7981521729</v>
      </c>
      <c r="IW14" s="206">
        <f t="shared" si="35"/>
        <v>3738449.7981521729</v>
      </c>
      <c r="IX14" s="206">
        <f t="shared" si="35"/>
        <v>3738449.7981521729</v>
      </c>
      <c r="IY14" s="206">
        <f t="shared" si="35"/>
        <v>3738449.7981521729</v>
      </c>
      <c r="IZ14" s="206">
        <f t="shared" si="35"/>
        <v>3738449.7981521729</v>
      </c>
      <c r="JA14" s="206">
        <f t="shared" si="35"/>
        <v>3738449.7981521729</v>
      </c>
      <c r="JB14" s="206">
        <f t="shared" si="35"/>
        <v>3738449.7981521729</v>
      </c>
      <c r="JC14" s="206">
        <f t="shared" si="35"/>
        <v>3738449.7981521729</v>
      </c>
      <c r="JD14" s="206">
        <f t="shared" si="35"/>
        <v>3738449.7981521729</v>
      </c>
      <c r="JE14" s="206">
        <f t="shared" ref="JE14:LD14" si="36">JE10-JE12</f>
        <v>3738449.7981521729</v>
      </c>
      <c r="JF14" s="206">
        <f t="shared" si="36"/>
        <v>3738449.7981521729</v>
      </c>
      <c r="JG14" s="206">
        <f t="shared" si="36"/>
        <v>3738449.7981521729</v>
      </c>
      <c r="JH14" s="206">
        <f t="shared" si="36"/>
        <v>3738449.7981521729</v>
      </c>
      <c r="JI14" s="206">
        <f t="shared" si="36"/>
        <v>3738449.7981521729</v>
      </c>
      <c r="JJ14" s="206">
        <f t="shared" si="36"/>
        <v>3738449.7981521729</v>
      </c>
      <c r="JK14" s="206">
        <f t="shared" si="36"/>
        <v>3738449.7981521729</v>
      </c>
      <c r="JL14" s="206">
        <f t="shared" si="36"/>
        <v>3738449.7981521729</v>
      </c>
      <c r="JM14" s="206">
        <f t="shared" si="36"/>
        <v>3738449.7981521729</v>
      </c>
      <c r="JN14" s="206">
        <f t="shared" si="36"/>
        <v>3738449.7981521729</v>
      </c>
      <c r="JO14" s="206">
        <f t="shared" si="36"/>
        <v>3738449.7981521729</v>
      </c>
      <c r="JP14" s="206">
        <f t="shared" si="36"/>
        <v>3738449.7981521729</v>
      </c>
      <c r="JQ14" s="206">
        <f t="shared" si="36"/>
        <v>3738449.7981521729</v>
      </c>
      <c r="JR14" s="206">
        <f t="shared" si="36"/>
        <v>3738449.7981521729</v>
      </c>
      <c r="JS14" s="206">
        <f t="shared" si="36"/>
        <v>3738449.7981521729</v>
      </c>
      <c r="JT14" s="206">
        <f t="shared" si="36"/>
        <v>3738449.7981521729</v>
      </c>
      <c r="JU14" s="206">
        <f t="shared" si="36"/>
        <v>3738449.7981521729</v>
      </c>
      <c r="JV14" s="206">
        <f t="shared" si="36"/>
        <v>3738449.7981521729</v>
      </c>
      <c r="JW14" s="206">
        <f t="shared" si="36"/>
        <v>3738449.7981521729</v>
      </c>
      <c r="JX14" s="206">
        <f t="shared" si="36"/>
        <v>3738449.7981521729</v>
      </c>
      <c r="JY14" s="206">
        <f t="shared" si="36"/>
        <v>3738449.7981521729</v>
      </c>
      <c r="JZ14" s="206">
        <f t="shared" si="36"/>
        <v>3738449.7981521729</v>
      </c>
      <c r="KA14" s="206">
        <f t="shared" si="36"/>
        <v>3738449.7981521729</v>
      </c>
      <c r="KB14" s="206">
        <f t="shared" si="36"/>
        <v>3738449.7981521729</v>
      </c>
      <c r="KC14" s="206">
        <f t="shared" si="36"/>
        <v>3738449.7981521729</v>
      </c>
      <c r="KD14" s="206">
        <f t="shared" si="36"/>
        <v>3738449.7981521729</v>
      </c>
      <c r="KE14" s="206">
        <f t="shared" si="36"/>
        <v>3738449.7981521729</v>
      </c>
      <c r="KF14" s="206">
        <f t="shared" si="36"/>
        <v>3738449.7981521729</v>
      </c>
      <c r="KG14" s="206">
        <f t="shared" si="36"/>
        <v>3738449.7981521729</v>
      </c>
      <c r="KH14" s="206">
        <f t="shared" si="36"/>
        <v>3738449.7981521729</v>
      </c>
      <c r="KI14" s="206">
        <f t="shared" si="36"/>
        <v>3738449.7981521729</v>
      </c>
      <c r="KJ14" s="206">
        <f t="shared" si="36"/>
        <v>3738449.7981521729</v>
      </c>
      <c r="KK14" s="206">
        <f t="shared" si="36"/>
        <v>3738449.7981521729</v>
      </c>
      <c r="KL14" s="206">
        <f t="shared" si="36"/>
        <v>3738449.7981521729</v>
      </c>
      <c r="KM14" s="206">
        <f t="shared" si="36"/>
        <v>3738449.7981521729</v>
      </c>
      <c r="KN14" s="206">
        <f t="shared" si="36"/>
        <v>3738449.7981521729</v>
      </c>
      <c r="KO14" s="206">
        <f t="shared" si="36"/>
        <v>3738449.7981521729</v>
      </c>
      <c r="KP14" s="206">
        <f t="shared" si="36"/>
        <v>3738449.7981521729</v>
      </c>
      <c r="KQ14" s="206">
        <f t="shared" si="36"/>
        <v>3738449.7981521729</v>
      </c>
      <c r="KR14" s="206">
        <f t="shared" si="36"/>
        <v>3738449.7981521729</v>
      </c>
      <c r="KS14" s="206">
        <f t="shared" si="36"/>
        <v>3738449.7981521729</v>
      </c>
      <c r="KT14" s="206">
        <f t="shared" si="36"/>
        <v>3738449.7981521729</v>
      </c>
      <c r="KU14" s="206">
        <f t="shared" si="36"/>
        <v>3738449.7981521729</v>
      </c>
      <c r="KV14" s="206">
        <f t="shared" si="36"/>
        <v>3738449.7981521729</v>
      </c>
      <c r="KW14" s="206">
        <f t="shared" si="36"/>
        <v>3738449.7981521729</v>
      </c>
      <c r="KX14" s="206">
        <f t="shared" si="36"/>
        <v>3738449.7981521729</v>
      </c>
      <c r="KY14" s="206">
        <f t="shared" si="36"/>
        <v>3738449.7981521729</v>
      </c>
      <c r="KZ14" s="206">
        <f t="shared" si="36"/>
        <v>3738449.7981521729</v>
      </c>
      <c r="LA14" s="206">
        <f t="shared" si="36"/>
        <v>3738449.7981521729</v>
      </c>
      <c r="LB14" s="206">
        <f t="shared" si="36"/>
        <v>3738449.7981521729</v>
      </c>
      <c r="LC14" s="206">
        <f t="shared" si="36"/>
        <v>3738449.7981521729</v>
      </c>
      <c r="LD14" s="206">
        <f t="shared" si="36"/>
        <v>3738449.7981521729</v>
      </c>
    </row>
    <row r="15" spans="1:794" s="190" customFormat="1"/>
    <row r="16" spans="1:794" s="190" customFormat="1">
      <c r="C16" s="192" t="s">
        <v>242</v>
      </c>
      <c r="D16" s="192" t="s">
        <v>242</v>
      </c>
    </row>
    <row r="17" spans="1:316">
      <c r="A17" s="811"/>
      <c r="B17" s="194" t="s">
        <v>407</v>
      </c>
      <c r="C17" s="374">
        <f>C3-D17</f>
        <v>-1990214.2438027272</v>
      </c>
      <c r="D17" s="195">
        <f>SUM(F17:LD17)</f>
        <v>8630512.1238027271</v>
      </c>
      <c r="E17" s="205"/>
      <c r="F17" s="213">
        <f>SUMIFS('Expenditure Breakdown'!$U$6:$U$175, 'Expenditure Breakdown'!$T$6:$T$175, "&gt;="&amp;F1,'Expenditure Breakdown'!$T$6:$T$175, "&lt;"&amp;G1)</f>
        <v>0</v>
      </c>
      <c r="G17" s="213">
        <f>SUMIFS('Expenditure Breakdown'!$U$6:$U$175, 'Expenditure Breakdown'!$T$6:$T$175, "&gt;="&amp;G1,'Expenditure Breakdown'!$T$6:$T$175, "&lt;"&amp;H1)</f>
        <v>0</v>
      </c>
      <c r="H17" s="213">
        <f>SUMIFS('Expenditure Breakdown'!$U$6:$U$175, 'Expenditure Breakdown'!$T$6:$T$175, "&gt;="&amp;H1,'Expenditure Breakdown'!$T$6:$T$175, "&lt;"&amp;I1)</f>
        <v>0</v>
      </c>
      <c r="I17" s="213">
        <f>SUMIFS('Expenditure Breakdown'!$U$6:$U$175, 'Expenditure Breakdown'!$T$6:$T$175, "&gt;="&amp;I1,'Expenditure Breakdown'!$T$6:$T$175, "&lt;"&amp;J1)</f>
        <v>0</v>
      </c>
      <c r="J17" s="213">
        <f>SUMIFS('Expenditure Breakdown'!$U$6:$U$175, 'Expenditure Breakdown'!$T$6:$T$175, "&gt;="&amp;J1,'Expenditure Breakdown'!$T$6:$T$175, "&lt;"&amp;K1)</f>
        <v>0</v>
      </c>
      <c r="K17" s="213">
        <f>SUMIFS('Expenditure Breakdown'!$U$6:$U$175, 'Expenditure Breakdown'!$T$6:$T$175, "&gt;="&amp;K1,'Expenditure Breakdown'!$T$6:$T$175, "&lt;"&amp;L1)</f>
        <v>0</v>
      </c>
      <c r="L17" s="213">
        <f>SUMIFS('Expenditure Breakdown'!$U$6:$U$175, 'Expenditure Breakdown'!$T$6:$T$175, "&gt;="&amp;L1,'Expenditure Breakdown'!$T$6:$T$175, "&lt;"&amp;M1)</f>
        <v>0</v>
      </c>
      <c r="M17" s="213">
        <f>SUMIFS('Expenditure Breakdown'!$U$6:$U$175, 'Expenditure Breakdown'!$T$6:$T$175, "&gt;="&amp;M1,'Expenditure Breakdown'!$T$6:$T$175, "&lt;"&amp;N1)</f>
        <v>0</v>
      </c>
      <c r="N17" s="213">
        <f>SUMIFS('Expenditure Breakdown'!$U$6:$U$175, 'Expenditure Breakdown'!$T$6:$T$175, "&gt;="&amp;N1,'Expenditure Breakdown'!$T$6:$T$175, "&lt;"&amp;O1)</f>
        <v>0</v>
      </c>
      <c r="O17" s="213">
        <f>SUMIFS('Expenditure Breakdown'!$U$6:$U$175, 'Expenditure Breakdown'!$T$6:$T$175, "&gt;="&amp;O1,'Expenditure Breakdown'!$T$6:$T$175, "&lt;"&amp;P1)</f>
        <v>0</v>
      </c>
      <c r="P17" s="213">
        <f>SUMIFS('Expenditure Breakdown'!$U$6:$U$175, 'Expenditure Breakdown'!$T$6:$T$175, "&gt;="&amp;P1,'Expenditure Breakdown'!$T$6:$T$175, "&lt;"&amp;Q1)</f>
        <v>0</v>
      </c>
      <c r="Q17" s="213">
        <f>SUMIFS('Expenditure Breakdown'!$U$6:$U$175, 'Expenditure Breakdown'!$T$6:$T$175, "&gt;="&amp;Q1,'Expenditure Breakdown'!$T$6:$T$175, "&lt;"&amp;R1)</f>
        <v>0</v>
      </c>
      <c r="R17" s="213">
        <f>SUMIFS('Expenditure Breakdown'!$U$6:$U$175, 'Expenditure Breakdown'!$T$6:$T$175, "&gt;="&amp;R1,'Expenditure Breakdown'!$T$6:$T$175, "&lt;"&amp;S1)</f>
        <v>0</v>
      </c>
      <c r="S17" s="213">
        <f>SUMIFS('Expenditure Breakdown'!$U$6:$U$175, 'Expenditure Breakdown'!$T$6:$T$175, "&gt;="&amp;S1,'Expenditure Breakdown'!$T$6:$T$175, "&lt;"&amp;T1)</f>
        <v>0</v>
      </c>
      <c r="T17" s="213">
        <f>SUMIFS('Expenditure Breakdown'!$U$6:$U$175, 'Expenditure Breakdown'!$T$6:$T$175, "&gt;="&amp;T1,'Expenditure Breakdown'!$T$6:$T$175, "&lt;"&amp;U1)</f>
        <v>17993.849051229146</v>
      </c>
      <c r="U17" s="213">
        <f>SUMIFS('Expenditure Breakdown'!$U$6:$U$175, 'Expenditure Breakdown'!$T$6:$T$175, "&gt;="&amp;U1,'Expenditure Breakdown'!$T$6:$T$175, "&lt;"&amp;V1)</f>
        <v>0</v>
      </c>
      <c r="V17" s="213">
        <f>SUMIFS('Expenditure Breakdown'!$U$6:$U$175, 'Expenditure Breakdown'!$T$6:$T$175, "&gt;="&amp;V1,'Expenditure Breakdown'!$T$6:$T$175, "&lt;"&amp;W1)</f>
        <v>0</v>
      </c>
      <c r="W17" s="213">
        <f>SUMIFS('Expenditure Breakdown'!$U$6:$U$175, 'Expenditure Breakdown'!$T$6:$T$175, "&gt;="&amp;W1,'Expenditure Breakdown'!$T$6:$T$175, "&lt;"&amp;X1)</f>
        <v>0</v>
      </c>
      <c r="X17" s="213">
        <f>SUMIFS('Expenditure Breakdown'!$U$6:$U$175, 'Expenditure Breakdown'!$T$6:$T$175, "&gt;="&amp;X1,'Expenditure Breakdown'!$T$6:$T$175, "&lt;"&amp;Y1)</f>
        <v>282.39405266859563</v>
      </c>
      <c r="Y17" s="213">
        <f>SUMIFS('Expenditure Breakdown'!$U$6:$U$175, 'Expenditure Breakdown'!$T$6:$T$175, "&gt;="&amp;Y1,'Expenditure Breakdown'!$T$6:$T$175, "&lt;"&amp;Z1)</f>
        <v>0</v>
      </c>
      <c r="Z17" s="213">
        <f>SUMIFS('Expenditure Breakdown'!$U$6:$U$175, 'Expenditure Breakdown'!$T$6:$T$175, "&gt;="&amp;Z1,'Expenditure Breakdown'!$T$6:$T$175, "&lt;"&amp;AA1)</f>
        <v>0</v>
      </c>
      <c r="AA17" s="213">
        <f>SUMIFS('Expenditure Breakdown'!$U$6:$U$175, 'Expenditure Breakdown'!$T$6:$T$175, "&gt;="&amp;AA1,'Expenditure Breakdown'!$T$6:$T$175, "&lt;"&amp;AB1)</f>
        <v>0</v>
      </c>
      <c r="AB17" s="213">
        <f>SUMIFS('Expenditure Breakdown'!$U$6:$U$175, 'Expenditure Breakdown'!$T$6:$T$175, "&gt;="&amp;AB1,'Expenditure Breakdown'!$T$6:$T$175, "&lt;"&amp;AC1)</f>
        <v>0</v>
      </c>
      <c r="AC17" s="213">
        <f>SUMIFS('Expenditure Breakdown'!$U$6:$U$175, 'Expenditure Breakdown'!$T$6:$T$175, "&gt;="&amp;AC1,'Expenditure Breakdown'!$T$6:$T$175, "&lt;"&amp;AD1)</f>
        <v>41886.51580509232</v>
      </c>
      <c r="AD17" s="213">
        <f>SUMIFS('Expenditure Breakdown'!$U$6:$U$175, 'Expenditure Breakdown'!$T$6:$T$175, "&gt;="&amp;AD1,'Expenditure Breakdown'!$T$6:$T$175, "&lt;"&amp;AE1)</f>
        <v>0</v>
      </c>
      <c r="AE17" s="213">
        <f>SUMIFS('Expenditure Breakdown'!$U$6:$U$175, 'Expenditure Breakdown'!$T$6:$T$175, "&gt;="&amp;AE1,'Expenditure Breakdown'!$T$6:$T$175, "&lt;"&amp;AF1)</f>
        <v>0</v>
      </c>
      <c r="AF17" s="213">
        <f>SUMIFS('Expenditure Breakdown'!$U$6:$U$175, 'Expenditure Breakdown'!$T$6:$T$175, "&gt;="&amp;AF1,'Expenditure Breakdown'!$T$6:$T$175, "&lt;"&amp;AG1)</f>
        <v>0</v>
      </c>
      <c r="AG17" s="213">
        <f>SUMIFS('Expenditure Breakdown'!$U$6:$U$175, 'Expenditure Breakdown'!$T$6:$T$175, "&gt;="&amp;AG1,'Expenditure Breakdown'!$T$6:$T$175, "&lt;"&amp;AH1)</f>
        <v>1995743.0490820454</v>
      </c>
      <c r="AH17" s="213">
        <f>SUMIFS('Expenditure Breakdown'!$U$6:$U$175, 'Expenditure Breakdown'!$T$6:$T$175, "&gt;="&amp;AH1,'Expenditure Breakdown'!$T$6:$T$175, "&lt;"&amp;AI1)</f>
        <v>0</v>
      </c>
      <c r="AI17" s="213">
        <f>SUMIFS('Expenditure Breakdown'!$U$6:$U$175, 'Expenditure Breakdown'!$T$6:$T$175, "&gt;="&amp;AI1,'Expenditure Breakdown'!$T$6:$T$175, "&lt;"&amp;AJ1)</f>
        <v>0</v>
      </c>
      <c r="AJ17" s="213">
        <f>SUMIFS('Expenditure Breakdown'!$U$6:$U$175, 'Expenditure Breakdown'!$T$6:$T$175, "&gt;="&amp;AJ1,'Expenditure Breakdown'!$T$6:$T$175, "&lt;"&amp;AK1)</f>
        <v>0</v>
      </c>
      <c r="AK17" s="213">
        <f>SUMIFS('Expenditure Breakdown'!$U$6:$U$175, 'Expenditure Breakdown'!$T$6:$T$175, "&gt;="&amp;AK1,'Expenditure Breakdown'!$T$6:$T$175, "&lt;"&amp;AL1)</f>
        <v>3789695.5979908202</v>
      </c>
      <c r="AL17" s="213">
        <f>SUMIFS('Expenditure Breakdown'!$U$6:$U$175, 'Expenditure Breakdown'!$T$6:$T$175, "&gt;="&amp;AL1,'Expenditure Breakdown'!$T$6:$T$175, "&lt;"&amp;AM1)</f>
        <v>0</v>
      </c>
      <c r="AM17" s="213">
        <f>SUMIFS('Expenditure Breakdown'!$U$6:$U$175, 'Expenditure Breakdown'!$T$6:$T$175, "&gt;="&amp;AM1,'Expenditure Breakdown'!$T$6:$T$175, "&lt;"&amp;AN1)</f>
        <v>0</v>
      </c>
      <c r="AN17" s="213">
        <f>SUMIFS('Expenditure Breakdown'!$U$6:$U$175, 'Expenditure Breakdown'!$T$6:$T$175, "&gt;="&amp;AN1,'Expenditure Breakdown'!$T$6:$T$175, "&lt;"&amp;AO1)</f>
        <v>0</v>
      </c>
      <c r="AO17" s="213">
        <f>SUMIFS('Expenditure Breakdown'!$U$6:$U$175, 'Expenditure Breakdown'!$T$6:$T$175, "&gt;="&amp;AO1,'Expenditure Breakdown'!$T$6:$T$175, "&lt;"&amp;AP1)</f>
        <v>0</v>
      </c>
      <c r="AP17" s="213">
        <f>SUMIFS('Expenditure Breakdown'!$U$6:$U$175, 'Expenditure Breakdown'!$T$6:$T$175, "&gt;="&amp;AP1,'Expenditure Breakdown'!$T$6:$T$175, "&lt;"&amp;AQ1)</f>
        <v>0</v>
      </c>
      <c r="AQ17" s="213">
        <f>SUMIFS('Expenditure Breakdown'!$U$6:$U$175, 'Expenditure Breakdown'!$T$6:$T$175, "&gt;="&amp;AQ1,'Expenditure Breakdown'!$T$6:$T$175, "&lt;"&amp;AR1)</f>
        <v>0</v>
      </c>
      <c r="AR17" s="213">
        <f>SUMIFS('Expenditure Breakdown'!$U$6:$U$175, 'Expenditure Breakdown'!$T$6:$T$175, "&gt;="&amp;AR1,'Expenditure Breakdown'!$T$6:$T$175, "&lt;"&amp;AS1)</f>
        <v>0</v>
      </c>
      <c r="AS17" s="213">
        <f>SUMIFS('Expenditure Breakdown'!$U$6:$U$175, 'Expenditure Breakdown'!$T$6:$T$175, "&gt;="&amp;AS1,'Expenditure Breakdown'!$T$6:$T$175, "&lt;"&amp;AT1)</f>
        <v>0</v>
      </c>
      <c r="AT17" s="213">
        <f>SUMIFS('Expenditure Breakdown'!$U$6:$U$175, 'Expenditure Breakdown'!$T$6:$T$175, "&gt;="&amp;AT1,'Expenditure Breakdown'!$T$6:$T$175, "&lt;"&amp;AU1)</f>
        <v>67010.231470210478</v>
      </c>
      <c r="AU17" s="213">
        <f>SUMIFS('Expenditure Breakdown'!$U$6:$U$175, 'Expenditure Breakdown'!$T$6:$T$175, "&gt;="&amp;AU1,'Expenditure Breakdown'!$T$6:$T$175, "&lt;"&amp;AV1)</f>
        <v>0</v>
      </c>
      <c r="AV17" s="213">
        <f>SUMIFS('Expenditure Breakdown'!$U$6:$U$175, 'Expenditure Breakdown'!$T$6:$T$175, "&gt;="&amp;AV1,'Expenditure Breakdown'!$T$6:$T$175, "&lt;"&amp;AW1)</f>
        <v>0</v>
      </c>
      <c r="AW17" s="213">
        <f>SUMIFS('Expenditure Breakdown'!$U$6:$U$175, 'Expenditure Breakdown'!$T$6:$T$175, "&gt;="&amp;AW1,'Expenditure Breakdown'!$T$6:$T$175, "&lt;"&amp;AX1)</f>
        <v>0</v>
      </c>
      <c r="AX17" s="213">
        <f>SUMIFS('Expenditure Breakdown'!$U$6:$U$175, 'Expenditure Breakdown'!$T$6:$T$175, "&gt;="&amp;AX1,'Expenditure Breakdown'!$T$6:$T$175, "&lt;"&amp;AY1)</f>
        <v>2094454.9227694813</v>
      </c>
      <c r="AY17" s="213">
        <f>SUMIFS('Expenditure Breakdown'!$U$6:$U$175, 'Expenditure Breakdown'!$T$6:$T$175, "&gt;="&amp;AY1,'Expenditure Breakdown'!$T$6:$T$175, "&lt;"&amp;AZ1)</f>
        <v>0</v>
      </c>
      <c r="AZ17" s="213">
        <f>SUMIFS('Expenditure Breakdown'!$U$6:$U$175, 'Expenditure Breakdown'!$T$6:$T$175, "&gt;="&amp;AZ1,'Expenditure Breakdown'!$T$6:$T$175, "&lt;"&amp;BA1)</f>
        <v>0</v>
      </c>
      <c r="BA17" s="213">
        <f>SUMIFS('Expenditure Breakdown'!$U$6:$U$175, 'Expenditure Breakdown'!$T$6:$T$175, "&gt;="&amp;BA1,'Expenditure Breakdown'!$T$6:$T$175, "&lt;"&amp;BB1)</f>
        <v>0</v>
      </c>
      <c r="BB17" s="213">
        <f>SUMIFS('Expenditure Breakdown'!$U$6:$U$175, 'Expenditure Breakdown'!$T$6:$T$175, "&gt;="&amp;BB1,'Expenditure Breakdown'!$T$6:$T$175, "&lt;"&amp;BC1)</f>
        <v>0</v>
      </c>
      <c r="BC17" s="213">
        <f>SUMIFS('Expenditure Breakdown'!$U$6:$U$175, 'Expenditure Breakdown'!$T$6:$T$175, "&gt;="&amp;BC1,'Expenditure Breakdown'!$T$6:$T$175, "&lt;"&amp;BD1)</f>
        <v>419.6221583868446</v>
      </c>
      <c r="BD17" s="213">
        <f>SUMIFS('Expenditure Breakdown'!$U$6:$U$175, 'Expenditure Breakdown'!$T$6:$T$175, "&gt;="&amp;BD1,'Expenditure Breakdown'!$T$6:$T$175, "&lt;"&amp;BE1)</f>
        <v>0</v>
      </c>
      <c r="BE17" s="213">
        <f>SUMIFS('Expenditure Breakdown'!$U$6:$U$175, 'Expenditure Breakdown'!$T$6:$T$175, "&gt;="&amp;BE1,'Expenditure Breakdown'!$T$6:$T$175, "&lt;"&amp;BF1)</f>
        <v>0</v>
      </c>
      <c r="BF17" s="213">
        <f>SUMIFS('Expenditure Breakdown'!$U$6:$U$175, 'Expenditure Breakdown'!$T$6:$T$175, "&gt;="&amp;BF1,'Expenditure Breakdown'!$T$6:$T$175, "&lt;"&amp;BG1)</f>
        <v>0</v>
      </c>
      <c r="BG17" s="213">
        <f>SUMIFS('Expenditure Breakdown'!$U$6:$U$175, 'Expenditure Breakdown'!$T$6:$T$175, "&gt;="&amp;BG1,'Expenditure Breakdown'!$T$6:$T$175, "&lt;"&amp;BH1)</f>
        <v>0</v>
      </c>
      <c r="BH17" s="213">
        <f>SUMIFS('Expenditure Breakdown'!$U$6:$U$175, 'Expenditure Breakdown'!$T$6:$T$175, "&gt;="&amp;BH1,'Expenditure Breakdown'!$T$6:$T$175, "&lt;"&amp;BI1)</f>
        <v>0</v>
      </c>
      <c r="BI17" s="213">
        <f>SUMIFS('Expenditure Breakdown'!$U$6:$U$175, 'Expenditure Breakdown'!$T$6:$T$175, "&gt;="&amp;BI1,'Expenditure Breakdown'!$T$6:$T$175, "&lt;"&amp;BJ1)</f>
        <v>0</v>
      </c>
      <c r="BJ17" s="213">
        <f>SUMIFS('Expenditure Breakdown'!$U$6:$U$175, 'Expenditure Breakdown'!$T$6:$T$175, "&gt;="&amp;BJ1,'Expenditure Breakdown'!$T$6:$T$175, "&lt;"&amp;BK1)</f>
        <v>0</v>
      </c>
      <c r="BK17" s="213">
        <f>SUMIFS('Expenditure Breakdown'!$U$6:$U$175, 'Expenditure Breakdown'!$T$6:$T$175, "&gt;="&amp;BK1,'Expenditure Breakdown'!$T$6:$T$175, "&lt;"&amp;BL1)</f>
        <v>352294.96755557228</v>
      </c>
      <c r="BL17" s="213">
        <f>SUMIFS('Expenditure Breakdown'!$U$6:$U$175, 'Expenditure Breakdown'!$T$6:$T$175, "&gt;="&amp;BL1,'Expenditure Breakdown'!$T$6:$T$175, "&lt;"&amp;BM1)</f>
        <v>0</v>
      </c>
      <c r="BM17" s="213">
        <f>SUMIFS('Expenditure Breakdown'!$U$6:$U$175, 'Expenditure Breakdown'!$T$6:$T$175, "&gt;="&amp;BM1,'Expenditure Breakdown'!$T$6:$T$175, "&lt;"&amp;BN1)</f>
        <v>0</v>
      </c>
      <c r="BN17" s="213">
        <f>SUMIFS('Expenditure Breakdown'!$U$6:$U$175, 'Expenditure Breakdown'!$T$6:$T$175, "&gt;="&amp;BN1,'Expenditure Breakdown'!$T$6:$T$175, "&lt;"&amp;BO1)</f>
        <v>0</v>
      </c>
      <c r="BO17" s="213">
        <f>SUMIFS('Expenditure Breakdown'!$U$6:$U$175, 'Expenditure Breakdown'!$T$6:$T$175, "&gt;="&amp;BO1,'Expenditure Breakdown'!$T$6:$T$175, "&lt;"&amp;BP1)</f>
        <v>0</v>
      </c>
      <c r="BP17" s="213">
        <f>SUMIFS('Expenditure Breakdown'!$U$6:$U$175, 'Expenditure Breakdown'!$T$6:$T$175, "&gt;="&amp;BP1,'Expenditure Breakdown'!$T$6:$T$175, "&lt;"&amp;BQ1)</f>
        <v>268393.88343361107</v>
      </c>
      <c r="BQ17" s="213">
        <f>SUMIFS('Expenditure Breakdown'!$U$6:$U$175, 'Expenditure Breakdown'!$T$6:$T$175, "&gt;="&amp;BQ1,'Expenditure Breakdown'!$T$6:$T$175, "&lt;"&amp;BR1)</f>
        <v>0</v>
      </c>
      <c r="BR17" s="213">
        <f>SUMIFS('Expenditure Breakdown'!$U$6:$U$175, 'Expenditure Breakdown'!$T$6:$T$175, "&gt;="&amp;BR1,'Expenditure Breakdown'!$T$6:$T$175, "&lt;"&amp;BS1)</f>
        <v>0</v>
      </c>
      <c r="BS17" s="213">
        <f>SUMIFS('Expenditure Breakdown'!$U$6:$U$175, 'Expenditure Breakdown'!$T$6:$T$175, "&gt;="&amp;BS1,'Expenditure Breakdown'!$T$6:$T$175, "&lt;"&amp;BT1)</f>
        <v>0</v>
      </c>
      <c r="BT17" s="213">
        <f>SUMIFS('Expenditure Breakdown'!$U$6:$U$175, 'Expenditure Breakdown'!$T$6:$T$175, "&gt;="&amp;BT1,'Expenditure Breakdown'!$T$6:$T$175, "&lt;"&amp;BU1)</f>
        <v>2337.0904336110602</v>
      </c>
      <c r="BU17" s="213">
        <f>SUMIFS('Expenditure Breakdown'!$U$6:$U$175, 'Expenditure Breakdown'!$T$6:$T$175, "&gt;="&amp;BU1,'Expenditure Breakdown'!$T$6:$T$175, "&lt;"&amp;BV1)</f>
        <v>0</v>
      </c>
      <c r="BV17" s="213">
        <f>SUMIFS('Expenditure Breakdown'!$U$6:$U$175, 'Expenditure Breakdown'!$T$6:$T$175, "&gt;="&amp;BV1,'Expenditure Breakdown'!$T$6:$T$175, "&lt;"&amp;BW1)</f>
        <v>0</v>
      </c>
      <c r="BW17" s="213">
        <f>SUMIFS('Expenditure Breakdown'!$U$6:$U$175, 'Expenditure Breakdown'!$T$6:$T$175, "&gt;="&amp;BW1,'Expenditure Breakdown'!$T$6:$T$175, "&lt;"&amp;BX1)</f>
        <v>0</v>
      </c>
      <c r="BX17" s="213">
        <f>SUMIFS('Expenditure Breakdown'!$U$6:$U$175, 'Expenditure Breakdown'!$T$6:$T$175, "&gt;="&amp;BX1,'Expenditure Breakdown'!$T$6:$T$175, "&lt;"&amp;BY1)</f>
        <v>0</v>
      </c>
      <c r="BY17" s="213">
        <f>SUMIFS('Expenditure Breakdown'!$U$6:$U$175, 'Expenditure Breakdown'!$T$6:$T$175, "&gt;="&amp;BY1,'Expenditure Breakdown'!$T$6:$T$175, "&lt;"&amp;BZ1)</f>
        <v>0</v>
      </c>
      <c r="BZ17" s="213">
        <f>SUMIFS('Expenditure Breakdown'!$U$6:$U$175, 'Expenditure Breakdown'!$T$6:$T$175, "&gt;="&amp;BZ1,'Expenditure Breakdown'!$T$6:$T$175, "&lt;"&amp;CA1)</f>
        <v>0</v>
      </c>
      <c r="CA17" s="213">
        <f>SUMIFS('Expenditure Breakdown'!$U$6:$U$175, 'Expenditure Breakdown'!$T$6:$T$175, "&gt;="&amp;CA1,'Expenditure Breakdown'!$T$6:$T$175, "&lt;"&amp;CB1)</f>
        <v>0</v>
      </c>
      <c r="CB17" s="213">
        <f>SUMIFS('Expenditure Breakdown'!$U$6:$U$175, 'Expenditure Breakdown'!$T$6:$T$175, "&gt;="&amp;CB1,'Expenditure Breakdown'!$T$6:$T$175, "&lt;"&amp;CC1)</f>
        <v>0</v>
      </c>
      <c r="CC17" s="213">
        <f>SUMIFS('Expenditure Breakdown'!$U$6:$U$175, 'Expenditure Breakdown'!$T$6:$T$175, "&gt;="&amp;CC1,'Expenditure Breakdown'!$T$6:$T$175, "&lt;"&amp;CD1)</f>
        <v>0</v>
      </c>
      <c r="CD17" s="213">
        <f>SUMIFS('Expenditure Breakdown'!$U$6:$U$175, 'Expenditure Breakdown'!$T$6:$T$175, "&gt;="&amp;CD1,'Expenditure Breakdown'!$T$6:$T$175, "&lt;"&amp;CE1)</f>
        <v>0</v>
      </c>
      <c r="CE17" s="213">
        <f>SUMIFS('Expenditure Breakdown'!$U$6:$U$175, 'Expenditure Breakdown'!$T$6:$T$175, "&gt;="&amp;CE1,'Expenditure Breakdown'!$T$6:$T$175, "&lt;"&amp;CF1)</f>
        <v>0</v>
      </c>
      <c r="CF17" s="213">
        <f>SUMIFS('Expenditure Breakdown'!$U$6:$U$175, 'Expenditure Breakdown'!$T$6:$T$175, "&gt;="&amp;CF1,'Expenditure Breakdown'!$T$6:$T$175, "&lt;"&amp;CG1)</f>
        <v>0</v>
      </c>
      <c r="CG17" s="213">
        <f>SUMIFS('Expenditure Breakdown'!$U$6:$U$175, 'Expenditure Breakdown'!$T$6:$T$175, "&gt;="&amp;CG1,'Expenditure Breakdown'!$T$6:$T$175, "&lt;"&amp;CH1)</f>
        <v>0</v>
      </c>
      <c r="CH17" s="213">
        <f>SUMIFS('Expenditure Breakdown'!$U$6:$U$175, 'Expenditure Breakdown'!$T$6:$T$175, "&gt;="&amp;CH1,'Expenditure Breakdown'!$T$6:$T$175, "&lt;"&amp;CI1)</f>
        <v>0</v>
      </c>
      <c r="CI17" s="213">
        <f>SUMIFS('Expenditure Breakdown'!$U$6:$U$175, 'Expenditure Breakdown'!$T$6:$T$175, "&gt;="&amp;CI1,'Expenditure Breakdown'!$T$6:$T$175, "&lt;"&amp;CJ1)</f>
        <v>0</v>
      </c>
      <c r="CJ17" s="213">
        <f>SUMIFS('Expenditure Breakdown'!$U$6:$U$175, 'Expenditure Breakdown'!$T$6:$T$175, "&gt;="&amp;CJ1,'Expenditure Breakdown'!$T$6:$T$175, "&lt;"&amp;CK1)</f>
        <v>0</v>
      </c>
      <c r="CK17" s="213">
        <f>SUMIFS('Expenditure Breakdown'!$U$6:$U$175, 'Expenditure Breakdown'!$T$6:$T$175, "&gt;="&amp;CK1,'Expenditure Breakdown'!$T$6:$T$175, "&lt;"&amp;CL1)</f>
        <v>0</v>
      </c>
      <c r="CL17" s="213">
        <f>SUMIFS('Expenditure Breakdown'!$U$6:$U$175, 'Expenditure Breakdown'!$T$6:$T$175, "&gt;="&amp;CL1,'Expenditure Breakdown'!$T$6:$T$175, "&lt;"&amp;CM1)</f>
        <v>0</v>
      </c>
      <c r="CM17" s="213">
        <f>SUMIFS('Expenditure Breakdown'!$U$6:$U$175, 'Expenditure Breakdown'!$T$6:$T$175, "&gt;="&amp;CM1,'Expenditure Breakdown'!$T$6:$T$175, "&lt;"&amp;CN1)</f>
        <v>0</v>
      </c>
      <c r="CN17" s="213">
        <f>SUMIFS('Expenditure Breakdown'!$U$6:$U$175, 'Expenditure Breakdown'!$T$6:$T$175, "&gt;="&amp;CN1,'Expenditure Breakdown'!$T$6:$T$175, "&lt;"&amp;CO1)</f>
        <v>0</v>
      </c>
      <c r="CO17" s="213">
        <f>SUMIFS('Expenditure Breakdown'!$U$6:$U$175, 'Expenditure Breakdown'!$T$6:$T$175, "&gt;="&amp;CO1,'Expenditure Breakdown'!$T$6:$T$175, "&lt;"&amp;CP1)</f>
        <v>0</v>
      </c>
      <c r="CP17" s="213">
        <f>SUMIFS('Expenditure Breakdown'!$U$6:$U$175, 'Expenditure Breakdown'!$T$6:$T$175, "&gt;="&amp;CP1,'Expenditure Breakdown'!$T$6:$T$175, "&lt;"&amp;CQ1)</f>
        <v>0</v>
      </c>
      <c r="CQ17" s="213">
        <f>SUMIFS('Expenditure Breakdown'!$U$6:$U$175, 'Expenditure Breakdown'!$T$6:$T$175, "&gt;="&amp;CQ1,'Expenditure Breakdown'!$T$6:$T$175, "&lt;"&amp;CR1)</f>
        <v>0</v>
      </c>
      <c r="CR17" s="213">
        <f>SUMIFS('Expenditure Breakdown'!$U$6:$U$175, 'Expenditure Breakdown'!$T$6:$T$175, "&gt;="&amp;CR1,'Expenditure Breakdown'!$T$6:$T$175, "&lt;"&amp;CS1)</f>
        <v>0</v>
      </c>
      <c r="CS17" s="213">
        <f>SUMIFS('Expenditure Breakdown'!$U$6:$U$175, 'Expenditure Breakdown'!$T$6:$T$175, "&gt;="&amp;CS1,'Expenditure Breakdown'!$T$6:$T$175, "&lt;"&amp;CT1)</f>
        <v>0</v>
      </c>
      <c r="CT17" s="213">
        <f>SUMIFS('Expenditure Breakdown'!$U$6:$U$175, 'Expenditure Breakdown'!$T$6:$T$175, "&gt;="&amp;CT1,'Expenditure Breakdown'!$T$6:$T$175, "&lt;"&amp;CU1)</f>
        <v>0</v>
      </c>
      <c r="CU17" s="213">
        <f>SUMIFS('Expenditure Breakdown'!$U$6:$U$175, 'Expenditure Breakdown'!$T$6:$T$175, "&gt;="&amp;CU1,'Expenditure Breakdown'!$T$6:$T$175, "&lt;"&amp;CV1)</f>
        <v>0</v>
      </c>
      <c r="CV17" s="213">
        <f>SUMIFS('Expenditure Breakdown'!$U$6:$U$175, 'Expenditure Breakdown'!$T$6:$T$175, "&gt;="&amp;CV1,'Expenditure Breakdown'!$T$6:$T$175, "&lt;"&amp;CW1)</f>
        <v>0</v>
      </c>
      <c r="CW17" s="213">
        <f>SUMIFS('Expenditure Breakdown'!$U$6:$U$175, 'Expenditure Breakdown'!$T$6:$T$175, "&gt;="&amp;CW1,'Expenditure Breakdown'!$T$6:$T$175, "&lt;"&amp;CX1)</f>
        <v>0</v>
      </c>
      <c r="CX17" s="213">
        <f>SUMIFS('Expenditure Breakdown'!$U$6:$U$175, 'Expenditure Breakdown'!$T$6:$T$175, "&gt;="&amp;CX1,'Expenditure Breakdown'!$T$6:$T$175, "&lt;"&amp;CY1)</f>
        <v>0</v>
      </c>
      <c r="CY17" s="213">
        <f>SUMIFS('Expenditure Breakdown'!$U$6:$U$175, 'Expenditure Breakdown'!$T$6:$T$175, "&gt;="&amp;CY1,'Expenditure Breakdown'!$T$6:$T$175, "&lt;"&amp;CZ1)</f>
        <v>0</v>
      </c>
      <c r="CZ17" s="213">
        <f>SUMIFS('Expenditure Breakdown'!$U$6:$U$175, 'Expenditure Breakdown'!$T$6:$T$175, "&gt;="&amp;CZ1,'Expenditure Breakdown'!$T$6:$T$175, "&lt;"&amp;DA1)</f>
        <v>0</v>
      </c>
      <c r="DA17" s="213">
        <f>SUMIFS('Expenditure Breakdown'!$U$6:$U$175, 'Expenditure Breakdown'!$T$6:$T$175, "&gt;="&amp;DA1,'Expenditure Breakdown'!$T$6:$T$175, "&lt;"&amp;DB1)</f>
        <v>0</v>
      </c>
      <c r="DB17" s="213">
        <f>SUMIFS('Expenditure Breakdown'!$U$6:$U$175, 'Expenditure Breakdown'!$T$6:$T$175, "&gt;="&amp;DB1,'Expenditure Breakdown'!$T$6:$T$175, "&lt;"&amp;DC1)</f>
        <v>0</v>
      </c>
      <c r="DC17" s="213">
        <f>SUMIFS('Expenditure Breakdown'!$U$6:$U$175, 'Expenditure Breakdown'!$T$6:$T$175, "&gt;="&amp;DC1,'Expenditure Breakdown'!$T$6:$T$175, "&lt;"&amp;DD1)</f>
        <v>0</v>
      </c>
      <c r="DD17" s="213">
        <f>SUMIFS('Expenditure Breakdown'!$U$6:$U$175, 'Expenditure Breakdown'!$T$6:$T$175, "&gt;="&amp;DD1,'Expenditure Breakdown'!$T$6:$T$175, "&lt;"&amp;DE1)</f>
        <v>0</v>
      </c>
      <c r="DE17" s="213">
        <f>SUMIFS('Expenditure Breakdown'!$U$6:$U$175, 'Expenditure Breakdown'!$T$6:$T$175, "&gt;="&amp;DE1,'Expenditure Breakdown'!$T$6:$T$175, "&lt;"&amp;DF1)</f>
        <v>0</v>
      </c>
      <c r="DF17" s="213">
        <f>SUMIFS('Expenditure Breakdown'!$U$6:$U$175, 'Expenditure Breakdown'!$T$6:$T$175, "&gt;="&amp;DF1,'Expenditure Breakdown'!$T$6:$T$175, "&lt;"&amp;DG1)</f>
        <v>0</v>
      </c>
      <c r="DG17" s="213">
        <f>SUMIFS('Expenditure Breakdown'!$U$6:$U$175, 'Expenditure Breakdown'!$T$6:$T$175, "&gt;="&amp;DG1,'Expenditure Breakdown'!$T$6:$T$175, "&lt;"&amp;DH1)</f>
        <v>0</v>
      </c>
      <c r="DH17" s="213">
        <f>SUMIFS('Expenditure Breakdown'!$U$6:$U$175, 'Expenditure Breakdown'!$T$6:$T$175, "&gt;="&amp;DH1,'Expenditure Breakdown'!$T$6:$T$175, "&lt;"&amp;DI1)</f>
        <v>0</v>
      </c>
      <c r="DI17" s="213">
        <f>SUMIFS('Expenditure Breakdown'!$U$6:$U$175, 'Expenditure Breakdown'!$T$6:$T$175, "&gt;="&amp;DI1,'Expenditure Breakdown'!$T$6:$T$175, "&lt;"&amp;DJ1)</f>
        <v>0</v>
      </c>
      <c r="DJ17" s="213">
        <f>SUMIFS('Expenditure Breakdown'!$U$6:$U$175, 'Expenditure Breakdown'!$T$6:$T$175, "&gt;="&amp;DJ1,'Expenditure Breakdown'!$T$6:$T$175, "&lt;"&amp;DK1)</f>
        <v>0</v>
      </c>
      <c r="DK17" s="213">
        <f>SUMIFS('Expenditure Breakdown'!$U$6:$U$175, 'Expenditure Breakdown'!$T$6:$T$175, "&gt;="&amp;DK1,'Expenditure Breakdown'!$T$6:$T$175, "&lt;"&amp;DL1)</f>
        <v>0</v>
      </c>
      <c r="DL17" s="213">
        <f>SUMIFS('Expenditure Breakdown'!$U$6:$U$175, 'Expenditure Breakdown'!$T$6:$T$175, "&gt;="&amp;DL1,'Expenditure Breakdown'!$T$6:$T$175, "&lt;"&amp;DM1)</f>
        <v>0</v>
      </c>
      <c r="DM17" s="213">
        <f>SUMIFS('Expenditure Breakdown'!$U$6:$U$175, 'Expenditure Breakdown'!$T$6:$T$175, "&gt;="&amp;DM1,'Expenditure Breakdown'!$T$6:$T$175, "&lt;"&amp;DN1)</f>
        <v>0</v>
      </c>
      <c r="DN17" s="213">
        <f>SUMIFS('Expenditure Breakdown'!$U$6:$U$175, 'Expenditure Breakdown'!$T$6:$T$175, "&gt;="&amp;DN1,'Expenditure Breakdown'!$T$6:$T$175, "&lt;"&amp;DO1)</f>
        <v>0</v>
      </c>
      <c r="DO17" s="213">
        <f>SUMIFS('Expenditure Breakdown'!$U$6:$U$175, 'Expenditure Breakdown'!$T$6:$T$175, "&gt;="&amp;DO1,'Expenditure Breakdown'!$T$6:$T$175, "&lt;"&amp;DP1)</f>
        <v>0</v>
      </c>
      <c r="DP17" s="213">
        <f>SUMIFS('Expenditure Breakdown'!$U$6:$U$175, 'Expenditure Breakdown'!$T$6:$T$175, "&gt;="&amp;DP1,'Expenditure Breakdown'!$T$6:$T$175, "&lt;"&amp;DQ1)</f>
        <v>0</v>
      </c>
      <c r="DQ17" s="213">
        <f>SUMIFS('Expenditure Breakdown'!$U$6:$U$175, 'Expenditure Breakdown'!$T$6:$T$175, "&gt;="&amp;DQ1,'Expenditure Breakdown'!$T$6:$T$175, "&lt;"&amp;DR1)</f>
        <v>0</v>
      </c>
      <c r="DR17" s="213">
        <f>SUMIFS('Expenditure Breakdown'!$U$6:$U$175, 'Expenditure Breakdown'!$T$6:$T$175, "&gt;="&amp;DR1,'Expenditure Breakdown'!$T$6:$T$175, "&lt;"&amp;DS1)</f>
        <v>0</v>
      </c>
      <c r="DS17" s="213">
        <f>SUMIFS('Expenditure Breakdown'!$U$6:$U$175, 'Expenditure Breakdown'!$T$6:$T$175, "&gt;="&amp;DS1,'Expenditure Breakdown'!$T$6:$T$175, "&lt;"&amp;DT1)</f>
        <v>0</v>
      </c>
      <c r="DT17" s="213">
        <f>SUMIFS('Expenditure Breakdown'!$U$6:$U$175, 'Expenditure Breakdown'!$T$6:$T$175, "&gt;="&amp;DT1,'Expenditure Breakdown'!$T$6:$T$175, "&lt;"&amp;DU1)</f>
        <v>0</v>
      </c>
      <c r="DU17" s="213">
        <f>SUMIFS('Expenditure Breakdown'!$U$6:$U$175, 'Expenditure Breakdown'!$T$6:$T$175, "&gt;="&amp;DU1,'Expenditure Breakdown'!$T$6:$T$175, "&lt;"&amp;DV1)</f>
        <v>0</v>
      </c>
      <c r="DV17" s="213">
        <f>SUMIFS('Expenditure Breakdown'!$U$6:$U$175, 'Expenditure Breakdown'!$T$6:$T$175, "&gt;="&amp;DV1,'Expenditure Breakdown'!$T$6:$T$175, "&lt;"&amp;DW1)</f>
        <v>0</v>
      </c>
      <c r="DW17" s="213">
        <f>SUMIFS('Expenditure Breakdown'!$U$6:$U$175, 'Expenditure Breakdown'!$T$6:$T$175, "&gt;="&amp;DW1,'Expenditure Breakdown'!$T$6:$T$175, "&lt;"&amp;DX1)</f>
        <v>0</v>
      </c>
      <c r="DX17" s="213">
        <f>SUMIFS('Expenditure Breakdown'!$U$6:$U$175, 'Expenditure Breakdown'!$T$6:$T$175, "&gt;="&amp;DX1,'Expenditure Breakdown'!$T$6:$T$175, "&lt;"&amp;DY1)</f>
        <v>0</v>
      </c>
      <c r="DY17" s="213">
        <f>SUMIFS('Expenditure Breakdown'!$U$6:$U$175, 'Expenditure Breakdown'!$T$6:$T$175, "&gt;="&amp;DY1,'Expenditure Breakdown'!$T$6:$T$175, "&lt;"&amp;DZ1)</f>
        <v>0</v>
      </c>
      <c r="DZ17" s="213">
        <f>SUMIFS('Expenditure Breakdown'!$U$6:$U$175, 'Expenditure Breakdown'!$T$6:$T$175, "&gt;="&amp;DZ1,'Expenditure Breakdown'!$T$6:$T$175, "&lt;"&amp;EA1)</f>
        <v>0</v>
      </c>
      <c r="EA17" s="213">
        <f>SUMIFS('Expenditure Breakdown'!$U$6:$U$175, 'Expenditure Breakdown'!$T$6:$T$175, "&gt;="&amp;EA1,'Expenditure Breakdown'!$T$6:$T$175, "&lt;"&amp;EB1)</f>
        <v>0</v>
      </c>
      <c r="EB17" s="213">
        <f>SUMIFS('Expenditure Breakdown'!$U$6:$U$175, 'Expenditure Breakdown'!$T$6:$T$175, "&gt;="&amp;EB1,'Expenditure Breakdown'!$T$6:$T$175, "&lt;"&amp;EC1)</f>
        <v>0</v>
      </c>
      <c r="EC17" s="213">
        <f>SUMIFS('Expenditure Breakdown'!$U$6:$U$175, 'Expenditure Breakdown'!$T$6:$T$175, "&gt;="&amp;EC1,'Expenditure Breakdown'!$T$6:$T$175, "&lt;"&amp;ED1)</f>
        <v>0</v>
      </c>
      <c r="ED17" s="213">
        <f>SUMIFS('Expenditure Breakdown'!$U$6:$U$175, 'Expenditure Breakdown'!$T$6:$T$175, "&gt;="&amp;ED1,'Expenditure Breakdown'!$T$6:$T$175, "&lt;"&amp;EE1)</f>
        <v>0</v>
      </c>
      <c r="EE17" s="213">
        <f>SUMIFS('Expenditure Breakdown'!$U$6:$U$175, 'Expenditure Breakdown'!$T$6:$T$175, "&gt;="&amp;EE1,'Expenditure Breakdown'!$T$6:$T$175, "&lt;"&amp;EF1)</f>
        <v>0</v>
      </c>
      <c r="EF17" s="213">
        <f>SUMIFS('Expenditure Breakdown'!$U$6:$U$175, 'Expenditure Breakdown'!$T$6:$T$175, "&gt;="&amp;EF1,'Expenditure Breakdown'!$T$6:$T$175, "&lt;"&amp;EG1)</f>
        <v>0</v>
      </c>
      <c r="EG17" s="213">
        <f>SUMIFS('Expenditure Breakdown'!$U$6:$U$175, 'Expenditure Breakdown'!$T$6:$T$175, "&gt;="&amp;EG1,'Expenditure Breakdown'!$T$6:$T$175, "&lt;"&amp;EH1)</f>
        <v>0</v>
      </c>
      <c r="EH17" s="213">
        <f>SUMIFS('Expenditure Breakdown'!$U$6:$U$175, 'Expenditure Breakdown'!$T$6:$T$175, "&gt;="&amp;EH1,'Expenditure Breakdown'!$T$6:$T$175, "&lt;"&amp;EI1)</f>
        <v>0</v>
      </c>
      <c r="EI17" s="213">
        <f>SUMIFS('Expenditure Breakdown'!$U$6:$U$175, 'Expenditure Breakdown'!$T$6:$T$175, "&gt;="&amp;EI1,'Expenditure Breakdown'!$T$6:$T$175, "&lt;"&amp;EJ1)</f>
        <v>0</v>
      </c>
      <c r="EJ17" s="213">
        <f>SUMIFS('Expenditure Breakdown'!$U$6:$U$175, 'Expenditure Breakdown'!$T$6:$T$175, "&gt;="&amp;EJ1,'Expenditure Breakdown'!$T$6:$T$175, "&lt;"&amp;EK1)</f>
        <v>0</v>
      </c>
      <c r="EK17" s="213">
        <f>SUMIFS('Expenditure Breakdown'!$U$6:$U$175, 'Expenditure Breakdown'!$T$6:$T$175, "&gt;="&amp;EK1,'Expenditure Breakdown'!$T$6:$T$175, "&lt;"&amp;EL1)</f>
        <v>0</v>
      </c>
      <c r="EL17" s="213">
        <f>SUMIFS('Expenditure Breakdown'!$U$6:$U$175, 'Expenditure Breakdown'!$T$6:$T$175, "&gt;="&amp;EL1,'Expenditure Breakdown'!$T$6:$T$175, "&lt;"&amp;EM1)</f>
        <v>0</v>
      </c>
      <c r="EM17" s="213">
        <f>SUMIFS('Expenditure Breakdown'!$U$6:$U$175, 'Expenditure Breakdown'!$T$6:$T$175, "&gt;="&amp;EM1,'Expenditure Breakdown'!$T$6:$T$175, "&lt;"&amp;EN1)</f>
        <v>0</v>
      </c>
      <c r="EN17" s="213">
        <f>SUMIFS('Expenditure Breakdown'!$U$6:$U$175, 'Expenditure Breakdown'!$T$6:$T$175, "&gt;="&amp;EN1,'Expenditure Breakdown'!$T$6:$T$175, "&lt;"&amp;EO1)</f>
        <v>0</v>
      </c>
      <c r="EO17" s="213">
        <f>SUMIFS('Expenditure Breakdown'!$U$6:$U$175, 'Expenditure Breakdown'!$T$6:$T$175, "&gt;="&amp;EO1,'Expenditure Breakdown'!$T$6:$T$175, "&lt;"&amp;EP1)</f>
        <v>0</v>
      </c>
      <c r="EP17" s="213">
        <f>SUMIFS('Expenditure Breakdown'!$U$6:$U$175, 'Expenditure Breakdown'!$T$6:$T$175, "&gt;="&amp;EP1,'Expenditure Breakdown'!$T$6:$T$175, "&lt;"&amp;EQ1)</f>
        <v>0</v>
      </c>
      <c r="EQ17" s="213">
        <f>SUMIFS('Expenditure Breakdown'!$U$6:$U$175, 'Expenditure Breakdown'!$T$6:$T$175, "&gt;="&amp;EQ1,'Expenditure Breakdown'!$T$6:$T$175, "&lt;"&amp;ER1)</f>
        <v>0</v>
      </c>
      <c r="ER17" s="213">
        <f>SUMIFS('Expenditure Breakdown'!$U$6:$U$175, 'Expenditure Breakdown'!$T$6:$T$175, "&gt;="&amp;ER1,'Expenditure Breakdown'!$T$6:$T$175, "&lt;"&amp;ES1)</f>
        <v>0</v>
      </c>
      <c r="ES17" s="213">
        <f>SUMIFS('Expenditure Breakdown'!$U$6:$U$175, 'Expenditure Breakdown'!$T$6:$T$175, "&gt;="&amp;ES1,'Expenditure Breakdown'!$T$6:$T$175, "&lt;"&amp;ET1)</f>
        <v>0</v>
      </c>
      <c r="ET17" s="213">
        <f>SUMIFS('Expenditure Breakdown'!$U$6:$U$175, 'Expenditure Breakdown'!$T$6:$T$175, "&gt;="&amp;ET1,'Expenditure Breakdown'!$T$6:$T$175, "&lt;"&amp;EU1)</f>
        <v>0</v>
      </c>
      <c r="EU17" s="213">
        <f>SUMIFS('Expenditure Breakdown'!$U$6:$U$175, 'Expenditure Breakdown'!$T$6:$T$175, "&gt;="&amp;EU1,'Expenditure Breakdown'!$T$6:$T$175, "&lt;"&amp;EV1)</f>
        <v>0</v>
      </c>
      <c r="EV17" s="213">
        <f>SUMIFS('Expenditure Breakdown'!$U$6:$U$175, 'Expenditure Breakdown'!$T$6:$T$175, "&gt;="&amp;EV1,'Expenditure Breakdown'!$T$6:$T$175, "&lt;"&amp;EW1)</f>
        <v>0</v>
      </c>
      <c r="EW17" s="213">
        <f>SUMIFS('Expenditure Breakdown'!$U$6:$U$175, 'Expenditure Breakdown'!$T$6:$T$175, "&gt;="&amp;EW1,'Expenditure Breakdown'!$T$6:$T$175, "&lt;"&amp;EX1)</f>
        <v>0</v>
      </c>
      <c r="EX17" s="213">
        <f>SUMIFS('Expenditure Breakdown'!$U$6:$U$175, 'Expenditure Breakdown'!$T$6:$T$175, "&gt;="&amp;EX1,'Expenditure Breakdown'!$T$6:$T$175, "&lt;"&amp;EY1)</f>
        <v>0</v>
      </c>
      <c r="EY17" s="213">
        <f>SUMIFS('Expenditure Breakdown'!$U$6:$U$175, 'Expenditure Breakdown'!$T$6:$T$175, "&gt;="&amp;EY1,'Expenditure Breakdown'!$T$6:$T$175, "&lt;"&amp;EZ1)</f>
        <v>0</v>
      </c>
      <c r="EZ17" s="213">
        <f>SUMIFS('Expenditure Breakdown'!$U$6:$U$175, 'Expenditure Breakdown'!$T$6:$T$175, "&gt;="&amp;EZ1,'Expenditure Breakdown'!$T$6:$T$175, "&lt;"&amp;FA1)</f>
        <v>0</v>
      </c>
      <c r="FA17" s="213">
        <f>SUMIFS('Expenditure Breakdown'!$U$6:$U$175, 'Expenditure Breakdown'!$T$6:$T$175, "&gt;="&amp;FA1,'Expenditure Breakdown'!$T$6:$T$175, "&lt;"&amp;FB1)</f>
        <v>0</v>
      </c>
      <c r="FB17" s="213">
        <f>SUMIFS('Expenditure Breakdown'!$U$6:$U$175, 'Expenditure Breakdown'!$T$6:$T$175, "&gt;="&amp;FB1,'Expenditure Breakdown'!$T$6:$T$175, "&lt;"&amp;FC1)</f>
        <v>0</v>
      </c>
      <c r="FC17" s="213">
        <f>SUMIFS('Expenditure Breakdown'!$U$6:$U$175, 'Expenditure Breakdown'!$T$6:$T$175, "&gt;="&amp;FC1,'Expenditure Breakdown'!$T$6:$T$175, "&lt;"&amp;FD1)</f>
        <v>0</v>
      </c>
      <c r="FD17" s="213">
        <f>SUMIFS('Expenditure Breakdown'!$U$6:$U$175, 'Expenditure Breakdown'!$T$6:$T$175, "&gt;="&amp;FD1,'Expenditure Breakdown'!$T$6:$T$175, "&lt;"&amp;FE1)</f>
        <v>0</v>
      </c>
      <c r="FE17" s="213">
        <f>SUMIFS('Expenditure Breakdown'!$U$6:$U$175, 'Expenditure Breakdown'!$T$6:$T$175, "&gt;="&amp;FE1,'Expenditure Breakdown'!$T$6:$T$175, "&lt;"&amp;FF1)</f>
        <v>0</v>
      </c>
      <c r="FF17" s="213">
        <f>SUMIFS('Expenditure Breakdown'!$U$6:$U$175, 'Expenditure Breakdown'!$T$6:$T$175, "&gt;="&amp;FF1,'Expenditure Breakdown'!$T$6:$T$175, "&lt;"&amp;FG1)</f>
        <v>0</v>
      </c>
      <c r="FG17" s="213">
        <f>SUMIFS('Expenditure Breakdown'!$U$6:$U$175, 'Expenditure Breakdown'!$T$6:$T$175, "&gt;="&amp;FG1,'Expenditure Breakdown'!$T$6:$T$175, "&lt;"&amp;FH1)</f>
        <v>0</v>
      </c>
      <c r="FH17" s="213">
        <f>SUMIFS('Expenditure Breakdown'!$U$6:$U$175, 'Expenditure Breakdown'!$T$6:$T$175, "&gt;="&amp;FH1,'Expenditure Breakdown'!$T$6:$T$175, "&lt;"&amp;FI1)</f>
        <v>0</v>
      </c>
      <c r="FI17" s="213">
        <f>SUMIFS('Expenditure Breakdown'!$U$6:$U$175, 'Expenditure Breakdown'!$T$6:$T$175, "&gt;="&amp;FI1,'Expenditure Breakdown'!$T$6:$T$175, "&lt;"&amp;FJ1)</f>
        <v>0</v>
      </c>
      <c r="FJ17" s="213">
        <f>SUMIFS('Expenditure Breakdown'!$U$6:$U$175, 'Expenditure Breakdown'!$T$6:$T$175, "&gt;="&amp;FJ1,'Expenditure Breakdown'!$T$6:$T$175, "&lt;"&amp;FK1)</f>
        <v>0</v>
      </c>
      <c r="FK17" s="213">
        <f>SUMIFS('Expenditure Breakdown'!$U$6:$U$175, 'Expenditure Breakdown'!$T$6:$T$175, "&gt;="&amp;FK1,'Expenditure Breakdown'!$T$6:$T$175, "&lt;"&amp;FL1)</f>
        <v>0</v>
      </c>
      <c r="FL17" s="213">
        <f>SUMIFS('Expenditure Breakdown'!$U$6:$U$175, 'Expenditure Breakdown'!$T$6:$T$175, "&gt;="&amp;FL1,'Expenditure Breakdown'!$T$6:$T$175, "&lt;"&amp;FM1)</f>
        <v>0</v>
      </c>
      <c r="FM17" s="213">
        <f>SUMIFS('Expenditure Breakdown'!$U$6:$U$175, 'Expenditure Breakdown'!$T$6:$T$175, "&gt;="&amp;FM1,'Expenditure Breakdown'!$T$6:$T$175, "&lt;"&amp;FN1)</f>
        <v>0</v>
      </c>
      <c r="FN17" s="213">
        <f>SUMIFS('Expenditure Breakdown'!$U$6:$U$175, 'Expenditure Breakdown'!$T$6:$T$175, "&gt;="&amp;FN1,'Expenditure Breakdown'!$T$6:$T$175, "&lt;"&amp;FO1)</f>
        <v>0</v>
      </c>
      <c r="FO17" s="213">
        <f>SUMIFS('Expenditure Breakdown'!$U$6:$U$175, 'Expenditure Breakdown'!$T$6:$T$175, "&gt;="&amp;FO1,'Expenditure Breakdown'!$T$6:$T$175, "&lt;"&amp;FP1)</f>
        <v>0</v>
      </c>
      <c r="FP17" s="213">
        <f>SUMIFS('Expenditure Breakdown'!$U$6:$U$175, 'Expenditure Breakdown'!$T$6:$T$175, "&gt;="&amp;FP1,'Expenditure Breakdown'!$T$6:$T$175, "&lt;"&amp;FQ1)</f>
        <v>0</v>
      </c>
      <c r="FQ17" s="213">
        <f>SUMIFS('Expenditure Breakdown'!$U$6:$U$175, 'Expenditure Breakdown'!$T$6:$T$175, "&gt;="&amp;FQ1,'Expenditure Breakdown'!$T$6:$T$175, "&lt;"&amp;FR1)</f>
        <v>0</v>
      </c>
      <c r="FR17" s="213">
        <f>SUMIFS('Expenditure Breakdown'!$U$6:$U$175, 'Expenditure Breakdown'!$T$6:$T$175, "&gt;="&amp;FR1,'Expenditure Breakdown'!$T$6:$T$175, "&lt;"&amp;FS1)</f>
        <v>0</v>
      </c>
      <c r="FS17" s="213">
        <f>SUMIFS('Expenditure Breakdown'!$U$6:$U$175, 'Expenditure Breakdown'!$T$6:$T$175, "&gt;="&amp;FS1,'Expenditure Breakdown'!$T$6:$T$175, "&lt;"&amp;FT1)</f>
        <v>0</v>
      </c>
      <c r="FT17" s="213">
        <f>SUMIFS('Expenditure Breakdown'!$U$6:$U$175, 'Expenditure Breakdown'!$T$6:$T$175, "&gt;="&amp;FT1,'Expenditure Breakdown'!$T$6:$T$175, "&lt;"&amp;FU1)</f>
        <v>0</v>
      </c>
      <c r="FU17" s="213">
        <f>SUMIFS('Expenditure Breakdown'!$U$6:$U$175, 'Expenditure Breakdown'!$T$6:$T$175, "&gt;="&amp;FU1,'Expenditure Breakdown'!$T$6:$T$175, "&lt;"&amp;FV1)</f>
        <v>0</v>
      </c>
      <c r="FV17" s="213">
        <f>SUMIFS('Expenditure Breakdown'!$U$6:$U$175, 'Expenditure Breakdown'!$T$6:$T$175, "&gt;="&amp;FV1,'Expenditure Breakdown'!$T$6:$T$175, "&lt;"&amp;FW1)</f>
        <v>0</v>
      </c>
      <c r="FW17" s="213">
        <f>SUMIFS('Expenditure Breakdown'!$U$6:$U$175, 'Expenditure Breakdown'!$T$6:$T$175, "&gt;="&amp;FW1,'Expenditure Breakdown'!$T$6:$T$175, "&lt;"&amp;FX1)</f>
        <v>0</v>
      </c>
      <c r="FX17" s="213">
        <f>SUMIFS('Expenditure Breakdown'!$U$6:$U$175, 'Expenditure Breakdown'!$T$6:$T$175, "&gt;="&amp;FX1,'Expenditure Breakdown'!$T$6:$T$175, "&lt;"&amp;FY1)</f>
        <v>0</v>
      </c>
      <c r="FY17" s="213">
        <f>SUMIFS('Expenditure Breakdown'!$U$6:$U$175, 'Expenditure Breakdown'!$T$6:$T$175, "&gt;="&amp;FY1,'Expenditure Breakdown'!$T$6:$T$175, "&lt;"&amp;FZ1)</f>
        <v>0</v>
      </c>
      <c r="FZ17" s="213">
        <f>SUMIFS('Expenditure Breakdown'!$U$6:$U$175, 'Expenditure Breakdown'!$T$6:$T$175, "&gt;="&amp;FZ1,'Expenditure Breakdown'!$T$6:$T$175, "&lt;"&amp;GA1)</f>
        <v>0</v>
      </c>
      <c r="GA17" s="213">
        <f>SUMIFS('Expenditure Breakdown'!$U$6:$U$175, 'Expenditure Breakdown'!$T$6:$T$175, "&gt;="&amp;GA1,'Expenditure Breakdown'!$T$6:$T$175, "&lt;"&amp;GB1)</f>
        <v>0</v>
      </c>
      <c r="GB17" s="213">
        <f>SUMIFS('Expenditure Breakdown'!$U$6:$U$175, 'Expenditure Breakdown'!$T$6:$T$175, "&gt;="&amp;GB1,'Expenditure Breakdown'!$T$6:$T$175, "&lt;"&amp;GC1)</f>
        <v>0</v>
      </c>
      <c r="GC17" s="213">
        <f>SUMIFS('Expenditure Breakdown'!$U$6:$U$175, 'Expenditure Breakdown'!$T$6:$T$175, "&gt;="&amp;GC1,'Expenditure Breakdown'!$T$6:$T$175, "&lt;"&amp;GD1)</f>
        <v>0</v>
      </c>
      <c r="GD17" s="213">
        <f>SUMIFS('Expenditure Breakdown'!$U$6:$U$175, 'Expenditure Breakdown'!$T$6:$T$175, "&gt;="&amp;GD1,'Expenditure Breakdown'!$T$6:$T$175, "&lt;"&amp;GE1)</f>
        <v>0</v>
      </c>
      <c r="GE17" s="213">
        <f>SUMIFS('Expenditure Breakdown'!$U$6:$U$175, 'Expenditure Breakdown'!$T$6:$T$175, "&gt;="&amp;GE1,'Expenditure Breakdown'!$T$6:$T$175, "&lt;"&amp;GF1)</f>
        <v>0</v>
      </c>
      <c r="GF17" s="213">
        <f>SUMIFS('Expenditure Breakdown'!$U$6:$U$175, 'Expenditure Breakdown'!$T$6:$T$175, "&gt;="&amp;GF1,'Expenditure Breakdown'!$T$6:$T$175, "&lt;"&amp;GG1)</f>
        <v>0</v>
      </c>
      <c r="GG17" s="213">
        <f>SUMIFS('Expenditure Breakdown'!$U$6:$U$175, 'Expenditure Breakdown'!$T$6:$T$175, "&gt;="&amp;GG1,'Expenditure Breakdown'!$T$6:$T$175, "&lt;"&amp;GH1)</f>
        <v>0</v>
      </c>
      <c r="GH17" s="213">
        <f>SUMIFS('Expenditure Breakdown'!$U$6:$U$175, 'Expenditure Breakdown'!$T$6:$T$175, "&gt;="&amp;GH1,'Expenditure Breakdown'!$T$6:$T$175, "&lt;"&amp;GI1)</f>
        <v>0</v>
      </c>
      <c r="GI17" s="213">
        <f>SUMIFS('Expenditure Breakdown'!$U$6:$U$175, 'Expenditure Breakdown'!$T$6:$T$175, "&gt;="&amp;GI1,'Expenditure Breakdown'!$T$6:$T$175, "&lt;"&amp;GJ1)</f>
        <v>0</v>
      </c>
      <c r="GJ17" s="213">
        <f>SUMIFS('Expenditure Breakdown'!$U$6:$U$175, 'Expenditure Breakdown'!$T$6:$T$175, "&gt;="&amp;GJ1,'Expenditure Breakdown'!$T$6:$T$175, "&lt;"&amp;GK1)</f>
        <v>0</v>
      </c>
      <c r="GK17" s="213">
        <f>SUMIFS('Expenditure Breakdown'!$U$6:$U$175, 'Expenditure Breakdown'!$T$6:$T$175, "&gt;="&amp;GK1,'Expenditure Breakdown'!$T$6:$T$175, "&lt;"&amp;GL1)</f>
        <v>0</v>
      </c>
      <c r="GL17" s="213">
        <f>SUMIFS('Expenditure Breakdown'!$U$6:$U$175, 'Expenditure Breakdown'!$T$6:$T$175, "&gt;="&amp;GL1,'Expenditure Breakdown'!$T$6:$T$175, "&lt;"&amp;GM1)</f>
        <v>0</v>
      </c>
      <c r="GM17" s="213">
        <f>SUMIFS('Expenditure Breakdown'!$U$6:$U$175, 'Expenditure Breakdown'!$T$6:$T$175, "&gt;="&amp;GM1,'Expenditure Breakdown'!$T$6:$T$175, "&lt;"&amp;GN1)</f>
        <v>0</v>
      </c>
      <c r="GN17" s="213">
        <f>SUMIFS('Expenditure Breakdown'!$U$6:$U$175, 'Expenditure Breakdown'!$T$6:$T$175, "&gt;="&amp;GN1,'Expenditure Breakdown'!$T$6:$T$175, "&lt;"&amp;GO1)</f>
        <v>0</v>
      </c>
      <c r="GO17" s="213">
        <f>SUMIFS('Expenditure Breakdown'!$U$6:$U$175, 'Expenditure Breakdown'!$T$6:$T$175, "&gt;="&amp;GO1,'Expenditure Breakdown'!$T$6:$T$175, "&lt;"&amp;GP1)</f>
        <v>0</v>
      </c>
      <c r="GP17" s="213">
        <f>SUMIFS('Expenditure Breakdown'!$U$6:$U$175, 'Expenditure Breakdown'!$T$6:$T$175, "&gt;="&amp;GP1,'Expenditure Breakdown'!$T$6:$T$175, "&lt;"&amp;GQ1)</f>
        <v>0</v>
      </c>
      <c r="GQ17" s="213">
        <f>SUMIFS('Expenditure Breakdown'!$U$6:$U$175, 'Expenditure Breakdown'!$T$6:$T$175, "&gt;="&amp;GQ1,'Expenditure Breakdown'!$T$6:$T$175, "&lt;"&amp;GR1)</f>
        <v>0</v>
      </c>
      <c r="GR17" s="213">
        <f>SUMIFS('Expenditure Breakdown'!$U$6:$U$175, 'Expenditure Breakdown'!$T$6:$T$175, "&gt;="&amp;GR1,'Expenditure Breakdown'!$T$6:$T$175, "&lt;"&amp;GS1)</f>
        <v>0</v>
      </c>
      <c r="GS17" s="213">
        <f>SUMIFS('Expenditure Breakdown'!$U$6:$U$175, 'Expenditure Breakdown'!$T$6:$T$175, "&gt;="&amp;GS1,'Expenditure Breakdown'!$T$6:$T$175, "&lt;"&amp;GT1)</f>
        <v>0</v>
      </c>
      <c r="GT17" s="213">
        <f>SUMIFS('Expenditure Breakdown'!$U$6:$U$175, 'Expenditure Breakdown'!$T$6:$T$175, "&gt;="&amp;GT1,'Expenditure Breakdown'!$T$6:$T$175, "&lt;"&amp;GU1)</f>
        <v>0</v>
      </c>
      <c r="GU17" s="213">
        <f>SUMIFS('Expenditure Breakdown'!$U$6:$U$175, 'Expenditure Breakdown'!$T$6:$T$175, "&gt;="&amp;GU1,'Expenditure Breakdown'!$T$6:$T$175, "&lt;"&amp;GV1)</f>
        <v>0</v>
      </c>
      <c r="GV17" s="213">
        <f>SUMIFS('Expenditure Breakdown'!$U$6:$U$175, 'Expenditure Breakdown'!$T$6:$T$175, "&gt;="&amp;GV1,'Expenditure Breakdown'!$T$6:$T$175, "&lt;"&amp;GW1)</f>
        <v>0</v>
      </c>
      <c r="GW17" s="213">
        <f>SUMIFS('Expenditure Breakdown'!$U$6:$U$175, 'Expenditure Breakdown'!$T$6:$T$175, "&gt;="&amp;GW1,'Expenditure Breakdown'!$T$6:$T$175, "&lt;"&amp;GX1)</f>
        <v>0</v>
      </c>
      <c r="GX17" s="213">
        <f>SUMIFS('Expenditure Breakdown'!$U$6:$U$175, 'Expenditure Breakdown'!$T$6:$T$175, "&gt;="&amp;GX1,'Expenditure Breakdown'!$T$6:$T$175, "&lt;"&amp;GY1)</f>
        <v>0</v>
      </c>
      <c r="GY17" s="213">
        <f>SUMIFS('Expenditure Breakdown'!$U$6:$U$175, 'Expenditure Breakdown'!$T$6:$T$175, "&gt;="&amp;GY1,'Expenditure Breakdown'!$T$6:$T$175, "&lt;"&amp;GZ1)</f>
        <v>0</v>
      </c>
      <c r="GZ17" s="213">
        <f>SUMIFS('Expenditure Breakdown'!$U$6:$U$175, 'Expenditure Breakdown'!$T$6:$T$175, "&gt;="&amp;GZ1,'Expenditure Breakdown'!$T$6:$T$175, "&lt;"&amp;HA1)</f>
        <v>0</v>
      </c>
      <c r="HA17" s="213">
        <f>SUMIFS('Expenditure Breakdown'!$U$6:$U$175, 'Expenditure Breakdown'!$T$6:$T$175, "&gt;="&amp;HA1,'Expenditure Breakdown'!$T$6:$T$175, "&lt;"&amp;HB1)</f>
        <v>0</v>
      </c>
      <c r="HB17" s="213">
        <f>SUMIFS('Expenditure Breakdown'!$U$6:$U$175, 'Expenditure Breakdown'!$T$6:$T$175, "&gt;="&amp;HB1,'Expenditure Breakdown'!$T$6:$T$175, "&lt;"&amp;HC1)</f>
        <v>0</v>
      </c>
      <c r="HC17" s="213">
        <f>SUMIFS('Expenditure Breakdown'!$U$6:$U$175, 'Expenditure Breakdown'!$T$6:$T$175, "&gt;="&amp;HC1,'Expenditure Breakdown'!$T$6:$T$175, "&lt;"&amp;HD1)</f>
        <v>0</v>
      </c>
      <c r="HD17" s="213">
        <f>SUMIFS('Expenditure Breakdown'!$U$6:$U$175, 'Expenditure Breakdown'!$T$6:$T$175, "&gt;="&amp;HD1,'Expenditure Breakdown'!$T$6:$T$175, "&lt;"&amp;HE1)</f>
        <v>0</v>
      </c>
      <c r="HE17" s="213">
        <f>SUMIFS('Expenditure Breakdown'!$U$6:$U$175, 'Expenditure Breakdown'!$T$6:$T$175, "&gt;="&amp;HE1,'Expenditure Breakdown'!$T$6:$T$175, "&lt;"&amp;HF1)</f>
        <v>0</v>
      </c>
      <c r="HF17" s="213">
        <f>SUMIFS('Expenditure Breakdown'!$U$6:$U$175, 'Expenditure Breakdown'!$T$6:$T$175, "&gt;="&amp;HF1,'Expenditure Breakdown'!$T$6:$T$175, "&lt;"&amp;HG1)</f>
        <v>0</v>
      </c>
      <c r="HG17" s="213">
        <f>SUMIFS('Expenditure Breakdown'!$U$6:$U$175, 'Expenditure Breakdown'!$T$6:$T$175, "&gt;="&amp;HG1,'Expenditure Breakdown'!$T$6:$T$175, "&lt;"&amp;HH1)</f>
        <v>0</v>
      </c>
      <c r="HH17" s="213">
        <f>SUMIFS('Expenditure Breakdown'!$U$6:$U$175, 'Expenditure Breakdown'!$T$6:$T$175, "&gt;="&amp;HH1,'Expenditure Breakdown'!$T$6:$T$175, "&lt;"&amp;HI1)</f>
        <v>0</v>
      </c>
      <c r="HI17" s="213">
        <f>SUMIFS('Expenditure Breakdown'!$U$6:$U$175, 'Expenditure Breakdown'!$T$6:$T$175, "&gt;="&amp;HI1,'Expenditure Breakdown'!$T$6:$T$175, "&lt;"&amp;HJ1)</f>
        <v>0</v>
      </c>
      <c r="HJ17" s="213">
        <f>SUMIFS('Expenditure Breakdown'!$U$6:$U$175, 'Expenditure Breakdown'!$T$6:$T$175, "&gt;="&amp;HJ1,'Expenditure Breakdown'!$T$6:$T$175, "&lt;"&amp;HK1)</f>
        <v>0</v>
      </c>
      <c r="HK17" s="213">
        <f>SUMIFS('Expenditure Breakdown'!$U$6:$U$175, 'Expenditure Breakdown'!$T$6:$T$175, "&gt;="&amp;HK1,'Expenditure Breakdown'!$T$6:$T$175, "&lt;"&amp;HL1)</f>
        <v>0</v>
      </c>
      <c r="HL17" s="213">
        <f>SUMIFS('Expenditure Breakdown'!$U$6:$U$175, 'Expenditure Breakdown'!$T$6:$T$175, "&gt;="&amp;HL1,'Expenditure Breakdown'!$T$6:$T$175, "&lt;"&amp;HM1)</f>
        <v>0</v>
      </c>
      <c r="HM17" s="213">
        <f>SUMIFS('Expenditure Breakdown'!$U$6:$U$175, 'Expenditure Breakdown'!$T$6:$T$175, "&gt;="&amp;HM1,'Expenditure Breakdown'!$T$6:$T$175, "&lt;"&amp;HN1)</f>
        <v>0</v>
      </c>
      <c r="HN17" s="213">
        <f>SUMIFS('Expenditure Breakdown'!$U$6:$U$175, 'Expenditure Breakdown'!$T$6:$T$175, "&gt;="&amp;HN1,'Expenditure Breakdown'!$T$6:$T$175, "&lt;"&amp;HO1)</f>
        <v>0</v>
      </c>
      <c r="HO17" s="213">
        <f>SUMIFS('Expenditure Breakdown'!$U$6:$U$175, 'Expenditure Breakdown'!$T$6:$T$175, "&gt;="&amp;HO1,'Expenditure Breakdown'!$T$6:$T$175, "&lt;"&amp;HP1)</f>
        <v>0</v>
      </c>
      <c r="HP17" s="213">
        <f>SUMIFS('Expenditure Breakdown'!$U$6:$U$175, 'Expenditure Breakdown'!$T$6:$T$175, "&gt;="&amp;HP1,'Expenditure Breakdown'!$T$6:$T$175, "&lt;"&amp;HQ1)</f>
        <v>0</v>
      </c>
      <c r="HQ17" s="213">
        <f>SUMIFS('Expenditure Breakdown'!$U$6:$U$175, 'Expenditure Breakdown'!$T$6:$T$175, "&gt;="&amp;HQ1,'Expenditure Breakdown'!$T$6:$T$175, "&lt;"&amp;HR1)</f>
        <v>0</v>
      </c>
      <c r="HR17" s="213">
        <f>SUMIFS('Expenditure Breakdown'!$U$6:$U$175, 'Expenditure Breakdown'!$T$6:$T$175, "&gt;="&amp;HR1,'Expenditure Breakdown'!$T$6:$T$175, "&lt;"&amp;HS1)</f>
        <v>0</v>
      </c>
      <c r="HS17" s="213">
        <f>SUMIFS('Expenditure Breakdown'!$U$6:$U$175, 'Expenditure Breakdown'!$T$6:$T$175, "&gt;="&amp;HS1,'Expenditure Breakdown'!$T$6:$T$175, "&lt;"&amp;HT1)</f>
        <v>0</v>
      </c>
      <c r="HT17" s="213">
        <f>SUMIFS('Expenditure Breakdown'!$U$6:$U$175, 'Expenditure Breakdown'!$T$6:$T$175, "&gt;="&amp;HT1,'Expenditure Breakdown'!$T$6:$T$175, "&lt;"&amp;HU1)</f>
        <v>0</v>
      </c>
      <c r="HU17" s="213">
        <f>SUMIFS('Expenditure Breakdown'!$U$6:$U$175, 'Expenditure Breakdown'!$T$6:$T$175, "&gt;="&amp;HU1,'Expenditure Breakdown'!$T$6:$T$175, "&lt;"&amp;HV1)</f>
        <v>0</v>
      </c>
      <c r="HV17" s="213">
        <f>SUMIFS('Expenditure Breakdown'!$U$6:$U$175, 'Expenditure Breakdown'!$T$6:$T$175, "&gt;="&amp;HV1,'Expenditure Breakdown'!$T$6:$T$175, "&lt;"&amp;HW1)</f>
        <v>0</v>
      </c>
      <c r="HW17" s="213">
        <f>SUMIFS('Expenditure Breakdown'!$U$6:$U$175, 'Expenditure Breakdown'!$T$6:$T$175, "&gt;="&amp;HW1,'Expenditure Breakdown'!$T$6:$T$175, "&lt;"&amp;HX1)</f>
        <v>0</v>
      </c>
      <c r="HX17" s="213">
        <f>SUMIFS('Expenditure Breakdown'!$U$6:$U$175, 'Expenditure Breakdown'!$T$6:$T$175, "&gt;="&amp;HX1,'Expenditure Breakdown'!$T$6:$T$175, "&lt;"&amp;HY1)</f>
        <v>0</v>
      </c>
      <c r="HY17" s="213">
        <f>SUMIFS('Expenditure Breakdown'!$U$6:$U$175, 'Expenditure Breakdown'!$T$6:$T$175, "&gt;="&amp;HY1,'Expenditure Breakdown'!$T$6:$T$175, "&lt;"&amp;HZ1)</f>
        <v>0</v>
      </c>
      <c r="HZ17" s="213">
        <f>SUMIFS('Expenditure Breakdown'!$U$6:$U$175, 'Expenditure Breakdown'!$T$6:$T$175, "&gt;="&amp;HZ1,'Expenditure Breakdown'!$T$6:$T$175, "&lt;"&amp;IA1)</f>
        <v>0</v>
      </c>
      <c r="IA17" s="213">
        <f>SUMIFS('Expenditure Breakdown'!$U$6:$U$175, 'Expenditure Breakdown'!$T$6:$T$175, "&gt;="&amp;IA1,'Expenditure Breakdown'!$T$6:$T$175, "&lt;"&amp;IB1)</f>
        <v>0</v>
      </c>
      <c r="IB17" s="213">
        <f>SUMIFS('Expenditure Breakdown'!$U$6:$U$175, 'Expenditure Breakdown'!$T$6:$T$175, "&gt;="&amp;IB1,'Expenditure Breakdown'!$T$6:$T$175, "&lt;"&amp;IC1)</f>
        <v>0</v>
      </c>
      <c r="IC17" s="213">
        <f>SUMIFS('Expenditure Breakdown'!$U$6:$U$175, 'Expenditure Breakdown'!$T$6:$T$175, "&gt;="&amp;IC1,'Expenditure Breakdown'!$T$6:$T$175, "&lt;"&amp;ID1)</f>
        <v>0</v>
      </c>
      <c r="ID17" s="213">
        <f>SUMIFS('Expenditure Breakdown'!$U$6:$U$175, 'Expenditure Breakdown'!$T$6:$T$175, "&gt;="&amp;ID1,'Expenditure Breakdown'!$T$6:$T$175, "&lt;"&amp;IE1)</f>
        <v>0</v>
      </c>
      <c r="IE17" s="213">
        <f>SUMIFS('Expenditure Breakdown'!$U$6:$U$175, 'Expenditure Breakdown'!$T$6:$T$175, "&gt;="&amp;IE1,'Expenditure Breakdown'!$T$6:$T$175, "&lt;"&amp;IF1)</f>
        <v>0</v>
      </c>
      <c r="IF17" s="213">
        <f>SUMIFS('Expenditure Breakdown'!$U$6:$U$175, 'Expenditure Breakdown'!$T$6:$T$175, "&gt;="&amp;IF1,'Expenditure Breakdown'!$T$6:$T$175, "&lt;"&amp;IG1)</f>
        <v>0</v>
      </c>
      <c r="IG17" s="213">
        <f>SUMIFS('Expenditure Breakdown'!$U$6:$U$175, 'Expenditure Breakdown'!$T$6:$T$175, "&gt;="&amp;IG1,'Expenditure Breakdown'!$T$6:$T$175, "&lt;"&amp;IH1)</f>
        <v>0</v>
      </c>
      <c r="IH17" s="213">
        <f>SUMIFS('Expenditure Breakdown'!$U$6:$U$175, 'Expenditure Breakdown'!$T$6:$T$175, "&gt;="&amp;IH1,'Expenditure Breakdown'!$T$6:$T$175, "&lt;"&amp;II1)</f>
        <v>0</v>
      </c>
      <c r="II17" s="213">
        <f>SUMIFS('Expenditure Breakdown'!$U$6:$U$175, 'Expenditure Breakdown'!$T$6:$T$175, "&gt;="&amp;II1,'Expenditure Breakdown'!$T$6:$T$175, "&lt;"&amp;IJ1)</f>
        <v>0</v>
      </c>
      <c r="IJ17" s="213">
        <f>SUMIFS('Expenditure Breakdown'!$U$6:$U$175, 'Expenditure Breakdown'!$T$6:$T$175, "&gt;="&amp;IJ1,'Expenditure Breakdown'!$T$6:$T$175, "&lt;"&amp;IK1)</f>
        <v>0</v>
      </c>
      <c r="IK17" s="213">
        <f>SUMIFS('Expenditure Breakdown'!$U$6:$U$175, 'Expenditure Breakdown'!$T$6:$T$175, "&gt;="&amp;IK1,'Expenditure Breakdown'!$T$6:$T$175, "&lt;"&amp;IL1)</f>
        <v>0</v>
      </c>
      <c r="IL17" s="213">
        <f>SUMIFS('Expenditure Breakdown'!$U$6:$U$175, 'Expenditure Breakdown'!$T$6:$T$175, "&gt;="&amp;IL1,'Expenditure Breakdown'!$T$6:$T$175, "&lt;"&amp;IM1)</f>
        <v>0</v>
      </c>
      <c r="IM17" s="213">
        <f>SUMIFS('Expenditure Breakdown'!$U$6:$U$175, 'Expenditure Breakdown'!$T$6:$T$175, "&gt;="&amp;IM1,'Expenditure Breakdown'!$T$6:$T$175, "&lt;"&amp;IN1)</f>
        <v>0</v>
      </c>
      <c r="IN17" s="213">
        <f>SUMIFS('Expenditure Breakdown'!$U$6:$U$175, 'Expenditure Breakdown'!$T$6:$T$175, "&gt;="&amp;IN1,'Expenditure Breakdown'!$T$6:$T$175, "&lt;"&amp;IO1)</f>
        <v>0</v>
      </c>
      <c r="IO17" s="213">
        <f>SUMIFS('Expenditure Breakdown'!$U$6:$U$175, 'Expenditure Breakdown'!$T$6:$T$175, "&gt;="&amp;IO1,'Expenditure Breakdown'!$T$6:$T$175, "&lt;"&amp;IP1)</f>
        <v>0</v>
      </c>
      <c r="IP17" s="213">
        <f>SUMIFS('Expenditure Breakdown'!$U$6:$U$175, 'Expenditure Breakdown'!$T$6:$T$175, "&gt;="&amp;IP1,'Expenditure Breakdown'!$T$6:$T$175, "&lt;"&amp;IQ1)</f>
        <v>0</v>
      </c>
      <c r="IQ17" s="213">
        <f>SUMIFS('Expenditure Breakdown'!$U$6:$U$175, 'Expenditure Breakdown'!$T$6:$T$175, "&gt;="&amp;IQ1,'Expenditure Breakdown'!$T$6:$T$175, "&lt;"&amp;IR1)</f>
        <v>0</v>
      </c>
      <c r="IR17" s="213">
        <f>SUMIFS('Expenditure Breakdown'!$U$6:$U$175, 'Expenditure Breakdown'!$T$6:$T$175, "&gt;="&amp;IR1,'Expenditure Breakdown'!$T$6:$T$175, "&lt;"&amp;IS1)</f>
        <v>0</v>
      </c>
      <c r="IS17" s="213">
        <f>SUMIFS('Expenditure Breakdown'!$U$6:$U$175, 'Expenditure Breakdown'!$T$6:$T$175, "&gt;="&amp;IS1,'Expenditure Breakdown'!$T$6:$T$175, "&lt;"&amp;IT1)</f>
        <v>0</v>
      </c>
      <c r="IT17" s="213">
        <f>SUMIFS('Expenditure Breakdown'!$U$6:$U$175, 'Expenditure Breakdown'!$T$6:$T$175, "&gt;="&amp;IT1,'Expenditure Breakdown'!$T$6:$T$175, "&lt;"&amp;IU1)</f>
        <v>0</v>
      </c>
      <c r="IU17" s="213">
        <f>SUMIFS('Expenditure Breakdown'!$U$6:$U$175, 'Expenditure Breakdown'!$T$6:$T$175, "&gt;="&amp;IU1,'Expenditure Breakdown'!$T$6:$T$175, "&lt;"&amp;IV1)</f>
        <v>0</v>
      </c>
      <c r="IV17" s="213">
        <f>SUMIFS('Expenditure Breakdown'!$U$6:$U$175, 'Expenditure Breakdown'!$T$6:$T$175, "&gt;="&amp;IV1,'Expenditure Breakdown'!$T$6:$T$175, "&lt;"&amp;IW1)</f>
        <v>0</v>
      </c>
      <c r="IW17" s="213">
        <f>SUMIFS('Expenditure Breakdown'!$U$6:$U$175, 'Expenditure Breakdown'!$T$6:$T$175, "&gt;="&amp;IW1,'Expenditure Breakdown'!$T$6:$T$175, "&lt;"&amp;IX1)</f>
        <v>0</v>
      </c>
      <c r="IX17" s="213">
        <f>SUMIFS('Expenditure Breakdown'!$U$6:$U$175, 'Expenditure Breakdown'!$T$6:$T$175, "&gt;="&amp;IX1,'Expenditure Breakdown'!$T$6:$T$175, "&lt;"&amp;IY1)</f>
        <v>0</v>
      </c>
      <c r="IY17" s="213">
        <f>SUMIFS('Expenditure Breakdown'!$U$6:$U$175, 'Expenditure Breakdown'!$T$6:$T$175, "&gt;="&amp;IY1,'Expenditure Breakdown'!$T$6:$T$175, "&lt;"&amp;IZ1)</f>
        <v>0</v>
      </c>
      <c r="IZ17" s="213">
        <f>SUMIFS('Expenditure Breakdown'!$U$6:$U$175, 'Expenditure Breakdown'!$T$6:$T$175, "&gt;="&amp;IZ1,'Expenditure Breakdown'!$T$6:$T$175, "&lt;"&amp;JA1)</f>
        <v>0</v>
      </c>
      <c r="JA17" s="213">
        <f>SUMIFS('Expenditure Breakdown'!$U$6:$U$175, 'Expenditure Breakdown'!$T$6:$T$175, "&gt;="&amp;JA1,'Expenditure Breakdown'!$T$6:$T$175, "&lt;"&amp;JB1)</f>
        <v>0</v>
      </c>
      <c r="JB17" s="213">
        <f>SUMIFS('Expenditure Breakdown'!$U$6:$U$175, 'Expenditure Breakdown'!$T$6:$T$175, "&gt;="&amp;JB1,'Expenditure Breakdown'!$T$6:$T$175, "&lt;"&amp;JC1)</f>
        <v>0</v>
      </c>
      <c r="JC17" s="213">
        <f>SUMIFS('Expenditure Breakdown'!$U$6:$U$175, 'Expenditure Breakdown'!$T$6:$T$175, "&gt;="&amp;JC1,'Expenditure Breakdown'!$T$6:$T$175, "&lt;"&amp;JD1)</f>
        <v>0</v>
      </c>
      <c r="JD17" s="213">
        <f>SUMIFS('Expenditure Breakdown'!$U$6:$U$175, 'Expenditure Breakdown'!$T$6:$T$175, "&gt;="&amp;JD1,'Expenditure Breakdown'!$T$6:$T$175, "&lt;"&amp;JE1)</f>
        <v>0</v>
      </c>
      <c r="JE17" s="213">
        <f>SUMIFS('Expenditure Breakdown'!$U$6:$U$175, 'Expenditure Breakdown'!$T$6:$T$175, "&gt;="&amp;JE1,'Expenditure Breakdown'!$T$6:$T$175, "&lt;"&amp;JF1)</f>
        <v>0</v>
      </c>
      <c r="JF17" s="213">
        <f>SUMIFS('Expenditure Breakdown'!$U$6:$U$175, 'Expenditure Breakdown'!$T$6:$T$175, "&gt;="&amp;JF1,'Expenditure Breakdown'!$T$6:$T$175, "&lt;"&amp;JG1)</f>
        <v>0</v>
      </c>
      <c r="JG17" s="213">
        <f>SUMIFS('Expenditure Breakdown'!$U$6:$U$175, 'Expenditure Breakdown'!$T$6:$T$175, "&gt;="&amp;JG1,'Expenditure Breakdown'!$T$6:$T$175, "&lt;"&amp;JH1)</f>
        <v>0</v>
      </c>
      <c r="JH17" s="213">
        <f>SUMIFS('Expenditure Breakdown'!$U$6:$U$175, 'Expenditure Breakdown'!$T$6:$T$175, "&gt;="&amp;JH1,'Expenditure Breakdown'!$T$6:$T$175, "&lt;"&amp;JI1)</f>
        <v>0</v>
      </c>
      <c r="JI17" s="213">
        <f>SUMIFS('Expenditure Breakdown'!$U$6:$U$175, 'Expenditure Breakdown'!$T$6:$T$175, "&gt;="&amp;JI1,'Expenditure Breakdown'!$T$6:$T$175, "&lt;"&amp;JJ1)</f>
        <v>0</v>
      </c>
      <c r="JJ17" s="213">
        <f>SUMIFS('Expenditure Breakdown'!$U$6:$U$175, 'Expenditure Breakdown'!$T$6:$T$175, "&gt;="&amp;JJ1,'Expenditure Breakdown'!$T$6:$T$175, "&lt;"&amp;JK1)</f>
        <v>0</v>
      </c>
      <c r="JK17" s="213">
        <f>SUMIFS('Expenditure Breakdown'!$U$6:$U$175, 'Expenditure Breakdown'!$T$6:$T$175, "&gt;="&amp;JK1,'Expenditure Breakdown'!$T$6:$T$175, "&lt;"&amp;JL1)</f>
        <v>0</v>
      </c>
      <c r="JL17" s="213">
        <f>SUMIFS('Expenditure Breakdown'!$U$6:$U$175, 'Expenditure Breakdown'!$T$6:$T$175, "&gt;="&amp;JL1,'Expenditure Breakdown'!$T$6:$T$175, "&lt;"&amp;JM1)</f>
        <v>0</v>
      </c>
      <c r="JM17" s="213">
        <f>SUMIFS('Expenditure Breakdown'!$U$6:$U$175, 'Expenditure Breakdown'!$T$6:$T$175, "&gt;="&amp;JM1,'Expenditure Breakdown'!$T$6:$T$175, "&lt;"&amp;JN1)</f>
        <v>0</v>
      </c>
      <c r="JN17" s="213">
        <f>SUMIFS('Expenditure Breakdown'!$U$6:$U$175, 'Expenditure Breakdown'!$T$6:$T$175, "&gt;="&amp;JN1,'Expenditure Breakdown'!$T$6:$T$175, "&lt;"&amp;JO1)</f>
        <v>0</v>
      </c>
      <c r="JO17" s="213">
        <f>SUMIFS('Expenditure Breakdown'!$U$6:$U$175, 'Expenditure Breakdown'!$T$6:$T$175, "&gt;="&amp;JO1,'Expenditure Breakdown'!$T$6:$T$175, "&lt;"&amp;JP1)</f>
        <v>0</v>
      </c>
      <c r="JP17" s="213">
        <f>SUMIFS('Expenditure Breakdown'!$U$6:$U$175, 'Expenditure Breakdown'!$T$6:$T$175, "&gt;="&amp;JP1,'Expenditure Breakdown'!$T$6:$T$175, "&lt;"&amp;JQ1)</f>
        <v>0</v>
      </c>
      <c r="JQ17" s="213">
        <f>SUMIFS('Expenditure Breakdown'!$U$6:$U$175, 'Expenditure Breakdown'!$T$6:$T$175, "&gt;="&amp;JQ1,'Expenditure Breakdown'!$T$6:$T$175, "&lt;"&amp;JR1)</f>
        <v>0</v>
      </c>
      <c r="JR17" s="213">
        <f>SUMIFS('Expenditure Breakdown'!$U$6:$U$175, 'Expenditure Breakdown'!$T$6:$T$175, "&gt;="&amp;JR1,'Expenditure Breakdown'!$T$6:$T$175, "&lt;"&amp;JS1)</f>
        <v>0</v>
      </c>
      <c r="JS17" s="213">
        <f>SUMIFS('Expenditure Breakdown'!$U$6:$U$175, 'Expenditure Breakdown'!$T$6:$T$175, "&gt;="&amp;JS1,'Expenditure Breakdown'!$T$6:$T$175, "&lt;"&amp;JT1)</f>
        <v>0</v>
      </c>
      <c r="JT17" s="213">
        <f>SUMIFS('Expenditure Breakdown'!$U$6:$U$175, 'Expenditure Breakdown'!$T$6:$T$175, "&gt;="&amp;JT1,'Expenditure Breakdown'!$T$6:$T$175, "&lt;"&amp;JU1)</f>
        <v>0</v>
      </c>
      <c r="JU17" s="213">
        <f>SUMIFS('Expenditure Breakdown'!$U$6:$U$175, 'Expenditure Breakdown'!$T$6:$T$175, "&gt;="&amp;JU1,'Expenditure Breakdown'!$T$6:$T$175, "&lt;"&amp;JV1)</f>
        <v>0</v>
      </c>
      <c r="JV17" s="213">
        <f>SUMIFS('Expenditure Breakdown'!$U$6:$U$175, 'Expenditure Breakdown'!$T$6:$T$175, "&gt;="&amp;JV1,'Expenditure Breakdown'!$T$6:$T$175, "&lt;"&amp;JW1)</f>
        <v>0</v>
      </c>
      <c r="JW17" s="213">
        <f>SUMIFS('Expenditure Breakdown'!$U$6:$U$175, 'Expenditure Breakdown'!$T$6:$T$175, "&gt;="&amp;JW1,'Expenditure Breakdown'!$T$6:$T$175, "&lt;"&amp;JX1)</f>
        <v>0</v>
      </c>
      <c r="JX17" s="213">
        <f>SUMIFS('Expenditure Breakdown'!$U$6:$U$175, 'Expenditure Breakdown'!$T$6:$T$175, "&gt;="&amp;JX1,'Expenditure Breakdown'!$T$6:$T$175, "&lt;"&amp;JY1)</f>
        <v>0</v>
      </c>
      <c r="JY17" s="213">
        <f>SUMIFS('Expenditure Breakdown'!$U$6:$U$175, 'Expenditure Breakdown'!$T$6:$T$175, "&gt;="&amp;JY1,'Expenditure Breakdown'!$T$6:$T$175, "&lt;"&amp;JZ1)</f>
        <v>0</v>
      </c>
      <c r="JZ17" s="213">
        <f>SUMIFS('Expenditure Breakdown'!$U$6:$U$175, 'Expenditure Breakdown'!$T$6:$T$175, "&gt;="&amp;JZ1,'Expenditure Breakdown'!$T$6:$T$175, "&lt;"&amp;KA1)</f>
        <v>0</v>
      </c>
      <c r="KA17" s="213">
        <f>SUMIFS('Expenditure Breakdown'!$U$6:$U$175, 'Expenditure Breakdown'!$T$6:$T$175, "&gt;="&amp;KA1,'Expenditure Breakdown'!$T$6:$T$175, "&lt;"&amp;KB1)</f>
        <v>0</v>
      </c>
      <c r="KB17" s="213">
        <f>SUMIFS('Expenditure Breakdown'!$U$6:$U$175, 'Expenditure Breakdown'!$T$6:$T$175, "&gt;="&amp;KB1,'Expenditure Breakdown'!$T$6:$T$175, "&lt;"&amp;KC1)</f>
        <v>0</v>
      </c>
      <c r="KC17" s="213">
        <f>SUMIFS('Expenditure Breakdown'!$U$6:$U$175, 'Expenditure Breakdown'!$T$6:$T$175, "&gt;="&amp;KC1,'Expenditure Breakdown'!$T$6:$T$175, "&lt;"&amp;KD1)</f>
        <v>0</v>
      </c>
      <c r="KD17" s="213">
        <f>SUMIFS('Expenditure Breakdown'!$U$6:$U$175, 'Expenditure Breakdown'!$T$6:$T$175, "&gt;="&amp;KD1,'Expenditure Breakdown'!$T$6:$T$175, "&lt;"&amp;KE1)</f>
        <v>0</v>
      </c>
      <c r="KE17" s="213">
        <f>SUMIFS('Expenditure Breakdown'!$U$6:$U$175, 'Expenditure Breakdown'!$T$6:$T$175, "&gt;="&amp;KE1,'Expenditure Breakdown'!$T$6:$T$175, "&lt;"&amp;KF1)</f>
        <v>0</v>
      </c>
      <c r="KF17" s="213">
        <f>SUMIFS('Expenditure Breakdown'!$U$6:$U$175, 'Expenditure Breakdown'!$T$6:$T$175, "&gt;="&amp;KF1,'Expenditure Breakdown'!$T$6:$T$175, "&lt;"&amp;KG1)</f>
        <v>0</v>
      </c>
      <c r="KG17" s="213">
        <f>SUMIFS('Expenditure Breakdown'!$U$6:$U$175, 'Expenditure Breakdown'!$T$6:$T$175, "&gt;="&amp;KG1,'Expenditure Breakdown'!$T$6:$T$175, "&lt;"&amp;KH1)</f>
        <v>0</v>
      </c>
      <c r="KH17" s="213">
        <f>SUMIFS('Expenditure Breakdown'!$U$6:$U$175, 'Expenditure Breakdown'!$T$6:$T$175, "&gt;="&amp;KH1,'Expenditure Breakdown'!$T$6:$T$175, "&lt;"&amp;KI1)</f>
        <v>0</v>
      </c>
      <c r="KI17" s="213">
        <f>SUMIFS('Expenditure Breakdown'!$U$6:$U$175, 'Expenditure Breakdown'!$T$6:$T$175, "&gt;="&amp;KI1,'Expenditure Breakdown'!$T$6:$T$175, "&lt;"&amp;KJ1)</f>
        <v>0</v>
      </c>
      <c r="KJ17" s="213">
        <f>SUMIFS('Expenditure Breakdown'!$U$6:$U$175, 'Expenditure Breakdown'!$T$6:$T$175, "&gt;="&amp;KJ1,'Expenditure Breakdown'!$T$6:$T$175, "&lt;"&amp;KK1)</f>
        <v>0</v>
      </c>
      <c r="KK17" s="213">
        <f>SUMIFS('Expenditure Breakdown'!$U$6:$U$175, 'Expenditure Breakdown'!$T$6:$T$175, "&gt;="&amp;KK1,'Expenditure Breakdown'!$T$6:$T$175, "&lt;"&amp;KL1)</f>
        <v>0</v>
      </c>
      <c r="KL17" s="213">
        <f>SUMIFS('Expenditure Breakdown'!$U$6:$U$175, 'Expenditure Breakdown'!$T$6:$T$175, "&gt;="&amp;KL1,'Expenditure Breakdown'!$T$6:$T$175, "&lt;"&amp;KM1)</f>
        <v>0</v>
      </c>
      <c r="KM17" s="213">
        <f>SUMIFS('Expenditure Breakdown'!$U$6:$U$175, 'Expenditure Breakdown'!$T$6:$T$175, "&gt;="&amp;KM1,'Expenditure Breakdown'!$T$6:$T$175, "&lt;"&amp;KN1)</f>
        <v>0</v>
      </c>
      <c r="KN17" s="213">
        <f>SUMIFS('Expenditure Breakdown'!$U$6:$U$175, 'Expenditure Breakdown'!$T$6:$T$175, "&gt;="&amp;KN1,'Expenditure Breakdown'!$T$6:$T$175, "&lt;"&amp;KO1)</f>
        <v>0</v>
      </c>
      <c r="KO17" s="213">
        <f>SUMIFS('Expenditure Breakdown'!$U$6:$U$175, 'Expenditure Breakdown'!$T$6:$T$175, "&gt;="&amp;KO1,'Expenditure Breakdown'!$T$6:$T$175, "&lt;"&amp;KP1)</f>
        <v>0</v>
      </c>
      <c r="KP17" s="213">
        <f>SUMIFS('Expenditure Breakdown'!$U$6:$U$175, 'Expenditure Breakdown'!$T$6:$T$175, "&gt;="&amp;KP1,'Expenditure Breakdown'!$T$6:$T$175, "&lt;"&amp;KQ1)</f>
        <v>0</v>
      </c>
      <c r="KQ17" s="213">
        <f>SUMIFS('Expenditure Breakdown'!$U$6:$U$175, 'Expenditure Breakdown'!$T$6:$T$175, "&gt;="&amp;KQ1,'Expenditure Breakdown'!$T$6:$T$175, "&lt;"&amp;KR1)</f>
        <v>0</v>
      </c>
      <c r="KR17" s="213">
        <f>SUMIFS('Expenditure Breakdown'!$U$6:$U$175, 'Expenditure Breakdown'!$T$6:$T$175, "&gt;="&amp;KR1,'Expenditure Breakdown'!$T$6:$T$175, "&lt;"&amp;KS1)</f>
        <v>0</v>
      </c>
      <c r="KS17" s="213">
        <f>SUMIFS('Expenditure Breakdown'!$U$6:$U$175, 'Expenditure Breakdown'!$T$6:$T$175, "&gt;="&amp;KS1,'Expenditure Breakdown'!$T$6:$T$175, "&lt;"&amp;KT1)</f>
        <v>0</v>
      </c>
      <c r="KT17" s="213">
        <f>SUMIFS('Expenditure Breakdown'!$U$6:$U$175, 'Expenditure Breakdown'!$T$6:$T$175, "&gt;="&amp;KT1,'Expenditure Breakdown'!$T$6:$T$175, "&lt;"&amp;KU1)</f>
        <v>0</v>
      </c>
      <c r="KU17" s="213">
        <f>SUMIFS('Expenditure Breakdown'!$U$6:$U$175, 'Expenditure Breakdown'!$T$6:$T$175, "&gt;="&amp;KU1,'Expenditure Breakdown'!$T$6:$T$175, "&lt;"&amp;KV1)</f>
        <v>0</v>
      </c>
      <c r="KV17" s="213">
        <f>SUMIFS('Expenditure Breakdown'!$U$6:$U$175, 'Expenditure Breakdown'!$T$6:$T$175, "&gt;="&amp;KV1,'Expenditure Breakdown'!$T$6:$T$175, "&lt;"&amp;KW1)</f>
        <v>0</v>
      </c>
      <c r="KW17" s="213">
        <f>SUMIFS('Expenditure Breakdown'!$U$6:$U$175, 'Expenditure Breakdown'!$T$6:$T$175, "&gt;="&amp;KW1,'Expenditure Breakdown'!$T$6:$T$175, "&lt;"&amp;KX1)</f>
        <v>0</v>
      </c>
      <c r="KX17" s="213">
        <f>SUMIFS('Expenditure Breakdown'!$U$6:$U$175, 'Expenditure Breakdown'!$T$6:$T$175, "&gt;="&amp;KX1,'Expenditure Breakdown'!$T$6:$T$175, "&lt;"&amp;KY1)</f>
        <v>0</v>
      </c>
      <c r="KY17" s="213">
        <f>SUMIFS('Expenditure Breakdown'!$U$6:$U$175, 'Expenditure Breakdown'!$T$6:$T$175, "&gt;="&amp;KY1,'Expenditure Breakdown'!$T$6:$T$175, "&lt;"&amp;KZ1)</f>
        <v>0</v>
      </c>
      <c r="KZ17" s="213">
        <f>SUMIFS('Expenditure Breakdown'!$U$6:$U$175, 'Expenditure Breakdown'!$T$6:$T$175, "&gt;="&amp;KZ1,'Expenditure Breakdown'!$T$6:$T$175, "&lt;"&amp;LA1)</f>
        <v>0</v>
      </c>
      <c r="LA17" s="213">
        <f>SUMIFS('Expenditure Breakdown'!$U$6:$U$175, 'Expenditure Breakdown'!$T$6:$T$175, "&gt;="&amp;LA1,'Expenditure Breakdown'!$T$6:$T$175, "&lt;"&amp;LB1)</f>
        <v>0</v>
      </c>
      <c r="LB17" s="213">
        <f>SUMIFS('Expenditure Breakdown'!$U$6:$U$175, 'Expenditure Breakdown'!$T$6:$T$175, "&gt;="&amp;LB1,'Expenditure Breakdown'!$T$6:$T$175, "&lt;"&amp;LC1)</f>
        <v>0</v>
      </c>
      <c r="LC17" s="213">
        <f>SUMIFS('Expenditure Breakdown'!$U$6:$U$175, 'Expenditure Breakdown'!$T$6:$T$175, "&gt;="&amp;LC1,'Expenditure Breakdown'!$T$6:$T$175, "&lt;"&amp;LD1)</f>
        <v>0</v>
      </c>
      <c r="LD17" s="213">
        <f>SUMIFS('Expenditure Breakdown'!$U$6:$U$175, 'Expenditure Breakdown'!$T$6:$T$175, "&gt;="&amp;LD1,'Expenditure Breakdown'!$T$6:$T$175, "&lt;"&amp;#REF!)</f>
        <v>0</v>
      </c>
    </row>
    <row r="18" spans="1:316">
      <c r="A18" s="811"/>
      <c r="B18" s="194" t="s">
        <v>408</v>
      </c>
      <c r="C18" s="374">
        <f>D17-D18</f>
        <v>0</v>
      </c>
      <c r="D18" s="195">
        <f>MAX(F18:LD18)</f>
        <v>8630512.1238027271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17993.849051229146</v>
      </c>
      <c r="U18" s="213">
        <f t="shared" si="37"/>
        <v>17993.849051229146</v>
      </c>
      <c r="V18" s="213">
        <f t="shared" si="37"/>
        <v>17993.849051229146</v>
      </c>
      <c r="W18" s="213">
        <f t="shared" si="37"/>
        <v>17993.849051229146</v>
      </c>
      <c r="X18" s="213">
        <f t="shared" si="37"/>
        <v>18276.243103897741</v>
      </c>
      <c r="Y18" s="213">
        <f t="shared" si="37"/>
        <v>18276.243103897741</v>
      </c>
      <c r="Z18" s="213">
        <f t="shared" si="37"/>
        <v>18276.243103897741</v>
      </c>
      <c r="AA18" s="213">
        <f t="shared" si="37"/>
        <v>18276.243103897741</v>
      </c>
      <c r="AB18" s="213">
        <f t="shared" si="37"/>
        <v>18276.243103897741</v>
      </c>
      <c r="AC18" s="213">
        <f t="shared" si="37"/>
        <v>60162.758908990058</v>
      </c>
      <c r="AD18" s="213">
        <f t="shared" si="37"/>
        <v>60162.758908990058</v>
      </c>
      <c r="AE18" s="213">
        <f t="shared" si="37"/>
        <v>60162.758908990058</v>
      </c>
      <c r="AF18" s="213">
        <f t="shared" si="37"/>
        <v>60162.758908990058</v>
      </c>
      <c r="AG18" s="213">
        <f t="shared" si="37"/>
        <v>2055905.8079910355</v>
      </c>
      <c r="AH18" s="213">
        <f t="shared" si="37"/>
        <v>2055905.8079910355</v>
      </c>
      <c r="AI18" s="213">
        <f t="shared" si="37"/>
        <v>2055905.8079910355</v>
      </c>
      <c r="AJ18" s="213">
        <f t="shared" si="37"/>
        <v>2055905.8079910355</v>
      </c>
      <c r="AK18" s="213">
        <f t="shared" si="37"/>
        <v>5845601.4059818555</v>
      </c>
      <c r="AL18" s="213">
        <f t="shared" si="37"/>
        <v>5845601.4059818555</v>
      </c>
      <c r="AM18" s="213">
        <f t="shared" si="37"/>
        <v>5845601.4059818555</v>
      </c>
      <c r="AN18" s="213">
        <f t="shared" si="37"/>
        <v>5845601.4059818555</v>
      </c>
      <c r="AO18" s="213">
        <f t="shared" si="37"/>
        <v>5845601.4059818555</v>
      </c>
      <c r="AP18" s="213">
        <f t="shared" si="37"/>
        <v>5845601.4059818555</v>
      </c>
      <c r="AQ18" s="213">
        <f t="shared" si="37"/>
        <v>5845601.4059818555</v>
      </c>
      <c r="AR18" s="213">
        <f t="shared" si="37"/>
        <v>5845601.4059818555</v>
      </c>
      <c r="AS18" s="213">
        <f t="shared" si="37"/>
        <v>5845601.4059818555</v>
      </c>
      <c r="AT18" s="213">
        <f t="shared" si="37"/>
        <v>5912611.6374520659</v>
      </c>
      <c r="AU18" s="213">
        <f t="shared" si="37"/>
        <v>5912611.6374520659</v>
      </c>
      <c r="AV18" s="213">
        <f t="shared" si="37"/>
        <v>5912611.6374520659</v>
      </c>
      <c r="AW18" s="213">
        <f t="shared" si="37"/>
        <v>5912611.6374520659</v>
      </c>
      <c r="AX18" s="213">
        <f t="shared" si="37"/>
        <v>8007066.5602215473</v>
      </c>
      <c r="AY18" s="213">
        <f t="shared" si="37"/>
        <v>8007066.5602215473</v>
      </c>
      <c r="AZ18" s="213">
        <f t="shared" si="37"/>
        <v>8007066.5602215473</v>
      </c>
      <c r="BA18" s="213">
        <f t="shared" si="37"/>
        <v>8007066.5602215473</v>
      </c>
      <c r="BB18" s="213">
        <f t="shared" si="37"/>
        <v>8007066.5602215473</v>
      </c>
      <c r="BC18" s="213">
        <f t="shared" si="37"/>
        <v>8007486.182379934</v>
      </c>
      <c r="BD18" s="213">
        <f t="shared" si="37"/>
        <v>8007486.182379934</v>
      </c>
      <c r="BE18" s="213">
        <f t="shared" si="37"/>
        <v>8007486.182379934</v>
      </c>
      <c r="BF18" s="213">
        <f t="shared" si="37"/>
        <v>8007486.182379934</v>
      </c>
      <c r="BG18" s="213">
        <f t="shared" si="37"/>
        <v>8007486.182379934</v>
      </c>
      <c r="BH18" s="213">
        <f t="shared" si="37"/>
        <v>8007486.182379934</v>
      </c>
      <c r="BI18" s="213">
        <f t="shared" si="37"/>
        <v>8007486.182379934</v>
      </c>
      <c r="BJ18" s="213">
        <f t="shared" si="37"/>
        <v>8007486.182379934</v>
      </c>
      <c r="BK18" s="213">
        <f t="shared" si="37"/>
        <v>8359781.1499355063</v>
      </c>
      <c r="BL18" s="213">
        <f t="shared" si="37"/>
        <v>8359781.1499355063</v>
      </c>
      <c r="BM18" s="213">
        <f t="shared" si="37"/>
        <v>8359781.1499355063</v>
      </c>
      <c r="BN18" s="213">
        <f t="shared" si="37"/>
        <v>8359781.1499355063</v>
      </c>
      <c r="BO18" s="213">
        <f t="shared" si="37"/>
        <v>8359781.1499355063</v>
      </c>
      <c r="BP18" s="213">
        <f t="shared" si="37"/>
        <v>8628175.0333691165</v>
      </c>
      <c r="BQ18" s="213">
        <f t="shared" si="37"/>
        <v>8628175.0333691165</v>
      </c>
      <c r="BR18" s="213">
        <f t="shared" si="37"/>
        <v>8628175.0333691165</v>
      </c>
      <c r="BS18" s="213">
        <f t="shared" si="37"/>
        <v>8628175.0333691165</v>
      </c>
      <c r="BT18" s="213">
        <f t="shared" si="37"/>
        <v>8630512.1238027271</v>
      </c>
      <c r="BU18" s="213">
        <f t="shared" ref="BU18:EF18" si="38">BT18+BU17</f>
        <v>8630512.1238027271</v>
      </c>
      <c r="BV18" s="213">
        <f t="shared" si="38"/>
        <v>8630512.1238027271</v>
      </c>
      <c r="BW18" s="213">
        <f t="shared" si="38"/>
        <v>8630512.1238027271</v>
      </c>
      <c r="BX18" s="213">
        <f t="shared" si="38"/>
        <v>8630512.1238027271</v>
      </c>
      <c r="BY18" s="213">
        <f t="shared" si="38"/>
        <v>8630512.1238027271</v>
      </c>
      <c r="BZ18" s="213">
        <f t="shared" si="38"/>
        <v>8630512.1238027271</v>
      </c>
      <c r="CA18" s="213">
        <f t="shared" si="38"/>
        <v>8630512.1238027271</v>
      </c>
      <c r="CB18" s="213">
        <f t="shared" si="38"/>
        <v>8630512.1238027271</v>
      </c>
      <c r="CC18" s="213">
        <f t="shared" si="38"/>
        <v>8630512.1238027271</v>
      </c>
      <c r="CD18" s="213">
        <f t="shared" si="38"/>
        <v>8630512.1238027271</v>
      </c>
      <c r="CE18" s="213">
        <f t="shared" si="38"/>
        <v>8630512.1238027271</v>
      </c>
      <c r="CF18" s="213">
        <f t="shared" si="38"/>
        <v>8630512.1238027271</v>
      </c>
      <c r="CG18" s="213">
        <f t="shared" si="38"/>
        <v>8630512.1238027271</v>
      </c>
      <c r="CH18" s="213">
        <f t="shared" si="38"/>
        <v>8630512.1238027271</v>
      </c>
      <c r="CI18" s="213">
        <f t="shared" si="38"/>
        <v>8630512.1238027271</v>
      </c>
      <c r="CJ18" s="213">
        <f t="shared" si="38"/>
        <v>8630512.1238027271</v>
      </c>
      <c r="CK18" s="213">
        <f t="shared" si="38"/>
        <v>8630512.1238027271</v>
      </c>
      <c r="CL18" s="213">
        <f t="shared" si="38"/>
        <v>8630512.1238027271</v>
      </c>
      <c r="CM18" s="213">
        <f t="shared" si="38"/>
        <v>8630512.1238027271</v>
      </c>
      <c r="CN18" s="213">
        <f t="shared" si="38"/>
        <v>8630512.1238027271</v>
      </c>
      <c r="CO18" s="213">
        <f t="shared" si="38"/>
        <v>8630512.1238027271</v>
      </c>
      <c r="CP18" s="213">
        <f t="shared" si="38"/>
        <v>8630512.1238027271</v>
      </c>
      <c r="CQ18" s="213">
        <f t="shared" si="38"/>
        <v>8630512.1238027271</v>
      </c>
      <c r="CR18" s="213">
        <f t="shared" si="38"/>
        <v>8630512.1238027271</v>
      </c>
      <c r="CS18" s="213">
        <f t="shared" si="38"/>
        <v>8630512.1238027271</v>
      </c>
      <c r="CT18" s="213">
        <f t="shared" si="38"/>
        <v>8630512.1238027271</v>
      </c>
      <c r="CU18" s="213">
        <f t="shared" si="38"/>
        <v>8630512.1238027271</v>
      </c>
      <c r="CV18" s="213">
        <f t="shared" si="38"/>
        <v>8630512.1238027271</v>
      </c>
      <c r="CW18" s="213">
        <f t="shared" si="38"/>
        <v>8630512.1238027271</v>
      </c>
      <c r="CX18" s="213">
        <f t="shared" si="38"/>
        <v>8630512.1238027271</v>
      </c>
      <c r="CY18" s="213">
        <f t="shared" si="38"/>
        <v>8630512.1238027271</v>
      </c>
      <c r="CZ18" s="213">
        <f t="shared" si="38"/>
        <v>8630512.1238027271</v>
      </c>
      <c r="DA18" s="213">
        <f t="shared" si="38"/>
        <v>8630512.1238027271</v>
      </c>
      <c r="DB18" s="213">
        <f t="shared" si="38"/>
        <v>8630512.1238027271</v>
      </c>
      <c r="DC18" s="213">
        <f t="shared" si="38"/>
        <v>8630512.1238027271</v>
      </c>
      <c r="DD18" s="213">
        <f t="shared" si="38"/>
        <v>8630512.1238027271</v>
      </c>
      <c r="DE18" s="213">
        <f t="shared" si="38"/>
        <v>8630512.1238027271</v>
      </c>
      <c r="DF18" s="213">
        <f t="shared" si="38"/>
        <v>8630512.1238027271</v>
      </c>
      <c r="DG18" s="213">
        <f t="shared" si="38"/>
        <v>8630512.1238027271</v>
      </c>
      <c r="DH18" s="213">
        <f t="shared" si="38"/>
        <v>8630512.1238027271</v>
      </c>
      <c r="DI18" s="213">
        <f t="shared" si="38"/>
        <v>8630512.1238027271</v>
      </c>
      <c r="DJ18" s="213">
        <f t="shared" si="38"/>
        <v>8630512.1238027271</v>
      </c>
      <c r="DK18" s="213">
        <f t="shared" si="38"/>
        <v>8630512.1238027271</v>
      </c>
      <c r="DL18" s="213">
        <f t="shared" si="38"/>
        <v>8630512.1238027271</v>
      </c>
      <c r="DM18" s="213">
        <f t="shared" si="38"/>
        <v>8630512.1238027271</v>
      </c>
      <c r="DN18" s="213">
        <f t="shared" si="38"/>
        <v>8630512.1238027271</v>
      </c>
      <c r="DO18" s="213">
        <f t="shared" si="38"/>
        <v>8630512.1238027271</v>
      </c>
      <c r="DP18" s="213">
        <f t="shared" si="38"/>
        <v>8630512.1238027271</v>
      </c>
      <c r="DQ18" s="213">
        <f t="shared" si="38"/>
        <v>8630512.1238027271</v>
      </c>
      <c r="DR18" s="213">
        <f t="shared" si="38"/>
        <v>8630512.1238027271</v>
      </c>
      <c r="DS18" s="213">
        <f t="shared" si="38"/>
        <v>8630512.1238027271</v>
      </c>
      <c r="DT18" s="213">
        <f t="shared" si="38"/>
        <v>8630512.1238027271</v>
      </c>
      <c r="DU18" s="213">
        <f t="shared" si="38"/>
        <v>8630512.1238027271</v>
      </c>
      <c r="DV18" s="213">
        <f t="shared" si="38"/>
        <v>8630512.1238027271</v>
      </c>
      <c r="DW18" s="213">
        <f t="shared" si="38"/>
        <v>8630512.1238027271</v>
      </c>
      <c r="DX18" s="213">
        <f t="shared" si="38"/>
        <v>8630512.1238027271</v>
      </c>
      <c r="DY18" s="213">
        <f t="shared" si="38"/>
        <v>8630512.1238027271</v>
      </c>
      <c r="DZ18" s="213">
        <f t="shared" si="38"/>
        <v>8630512.1238027271</v>
      </c>
      <c r="EA18" s="213">
        <f t="shared" si="38"/>
        <v>8630512.1238027271</v>
      </c>
      <c r="EB18" s="213">
        <f t="shared" si="38"/>
        <v>8630512.1238027271</v>
      </c>
      <c r="EC18" s="213">
        <f t="shared" si="38"/>
        <v>8630512.1238027271</v>
      </c>
      <c r="ED18" s="213">
        <f t="shared" si="38"/>
        <v>8630512.1238027271</v>
      </c>
      <c r="EE18" s="213">
        <f t="shared" si="38"/>
        <v>8630512.1238027271</v>
      </c>
      <c r="EF18" s="213">
        <f t="shared" si="38"/>
        <v>8630512.1238027271</v>
      </c>
      <c r="EG18" s="213">
        <f t="shared" ref="EG18:GR18" si="39">EF18+EG17</f>
        <v>8630512.1238027271</v>
      </c>
      <c r="EH18" s="213">
        <f t="shared" si="39"/>
        <v>8630512.1238027271</v>
      </c>
      <c r="EI18" s="213">
        <f t="shared" si="39"/>
        <v>8630512.1238027271</v>
      </c>
      <c r="EJ18" s="213">
        <f t="shared" si="39"/>
        <v>8630512.1238027271</v>
      </c>
      <c r="EK18" s="213">
        <f t="shared" si="39"/>
        <v>8630512.1238027271</v>
      </c>
      <c r="EL18" s="213">
        <f t="shared" si="39"/>
        <v>8630512.1238027271</v>
      </c>
      <c r="EM18" s="213">
        <f t="shared" si="39"/>
        <v>8630512.1238027271</v>
      </c>
      <c r="EN18" s="213">
        <f t="shared" si="39"/>
        <v>8630512.1238027271</v>
      </c>
      <c r="EO18" s="213">
        <f t="shared" si="39"/>
        <v>8630512.1238027271</v>
      </c>
      <c r="EP18" s="213">
        <f t="shared" si="39"/>
        <v>8630512.1238027271</v>
      </c>
      <c r="EQ18" s="213">
        <f t="shared" si="39"/>
        <v>8630512.1238027271</v>
      </c>
      <c r="ER18" s="213">
        <f t="shared" si="39"/>
        <v>8630512.1238027271</v>
      </c>
      <c r="ES18" s="213">
        <f t="shared" si="39"/>
        <v>8630512.1238027271</v>
      </c>
      <c r="ET18" s="213">
        <f t="shared" si="39"/>
        <v>8630512.1238027271</v>
      </c>
      <c r="EU18" s="213">
        <f t="shared" si="39"/>
        <v>8630512.1238027271</v>
      </c>
      <c r="EV18" s="213">
        <f t="shared" si="39"/>
        <v>8630512.1238027271</v>
      </c>
      <c r="EW18" s="213">
        <f t="shared" si="39"/>
        <v>8630512.1238027271</v>
      </c>
      <c r="EX18" s="213">
        <f t="shared" si="39"/>
        <v>8630512.1238027271</v>
      </c>
      <c r="EY18" s="213">
        <f t="shared" si="39"/>
        <v>8630512.1238027271</v>
      </c>
      <c r="EZ18" s="213">
        <f t="shared" si="39"/>
        <v>8630512.1238027271</v>
      </c>
      <c r="FA18" s="213">
        <f t="shared" si="39"/>
        <v>8630512.1238027271</v>
      </c>
      <c r="FB18" s="213">
        <f t="shared" si="39"/>
        <v>8630512.1238027271</v>
      </c>
      <c r="FC18" s="213">
        <f t="shared" si="39"/>
        <v>8630512.1238027271</v>
      </c>
      <c r="FD18" s="213">
        <f t="shared" si="39"/>
        <v>8630512.1238027271</v>
      </c>
      <c r="FE18" s="213">
        <f t="shared" si="39"/>
        <v>8630512.1238027271</v>
      </c>
      <c r="FF18" s="213">
        <f t="shared" si="39"/>
        <v>8630512.1238027271</v>
      </c>
      <c r="FG18" s="213">
        <f t="shared" si="39"/>
        <v>8630512.1238027271</v>
      </c>
      <c r="FH18" s="213">
        <f t="shared" si="39"/>
        <v>8630512.1238027271</v>
      </c>
      <c r="FI18" s="213">
        <f t="shared" si="39"/>
        <v>8630512.1238027271</v>
      </c>
      <c r="FJ18" s="213">
        <f t="shared" si="39"/>
        <v>8630512.1238027271</v>
      </c>
      <c r="FK18" s="213">
        <f t="shared" si="39"/>
        <v>8630512.1238027271</v>
      </c>
      <c r="FL18" s="213">
        <f t="shared" si="39"/>
        <v>8630512.1238027271</v>
      </c>
      <c r="FM18" s="213">
        <f t="shared" si="39"/>
        <v>8630512.1238027271</v>
      </c>
      <c r="FN18" s="213">
        <f t="shared" si="39"/>
        <v>8630512.1238027271</v>
      </c>
      <c r="FO18" s="213">
        <f t="shared" si="39"/>
        <v>8630512.1238027271</v>
      </c>
      <c r="FP18" s="213">
        <f t="shared" si="39"/>
        <v>8630512.1238027271</v>
      </c>
      <c r="FQ18" s="213">
        <f t="shared" si="39"/>
        <v>8630512.1238027271</v>
      </c>
      <c r="FR18" s="213">
        <f t="shared" si="39"/>
        <v>8630512.1238027271</v>
      </c>
      <c r="FS18" s="213">
        <f t="shared" si="39"/>
        <v>8630512.1238027271</v>
      </c>
      <c r="FT18" s="213">
        <f t="shared" si="39"/>
        <v>8630512.1238027271</v>
      </c>
      <c r="FU18" s="213">
        <f t="shared" si="39"/>
        <v>8630512.1238027271</v>
      </c>
      <c r="FV18" s="213">
        <f t="shared" si="39"/>
        <v>8630512.1238027271</v>
      </c>
      <c r="FW18" s="213">
        <f t="shared" si="39"/>
        <v>8630512.1238027271</v>
      </c>
      <c r="FX18" s="213">
        <f t="shared" si="39"/>
        <v>8630512.1238027271</v>
      </c>
      <c r="FY18" s="213">
        <f t="shared" si="39"/>
        <v>8630512.1238027271</v>
      </c>
      <c r="FZ18" s="213">
        <f t="shared" si="39"/>
        <v>8630512.1238027271</v>
      </c>
      <c r="GA18" s="213">
        <f t="shared" si="39"/>
        <v>8630512.1238027271</v>
      </c>
      <c r="GB18" s="213">
        <f t="shared" si="39"/>
        <v>8630512.1238027271</v>
      </c>
      <c r="GC18" s="213">
        <f t="shared" si="39"/>
        <v>8630512.1238027271</v>
      </c>
      <c r="GD18" s="213">
        <f t="shared" si="39"/>
        <v>8630512.1238027271</v>
      </c>
      <c r="GE18" s="213">
        <f t="shared" si="39"/>
        <v>8630512.1238027271</v>
      </c>
      <c r="GF18" s="213">
        <f t="shared" si="39"/>
        <v>8630512.1238027271</v>
      </c>
      <c r="GG18" s="213">
        <f t="shared" si="39"/>
        <v>8630512.1238027271</v>
      </c>
      <c r="GH18" s="213">
        <f t="shared" si="39"/>
        <v>8630512.1238027271</v>
      </c>
      <c r="GI18" s="213">
        <f t="shared" si="39"/>
        <v>8630512.1238027271</v>
      </c>
      <c r="GJ18" s="213">
        <f t="shared" si="39"/>
        <v>8630512.1238027271</v>
      </c>
      <c r="GK18" s="213">
        <f t="shared" si="39"/>
        <v>8630512.1238027271</v>
      </c>
      <c r="GL18" s="213">
        <f t="shared" si="39"/>
        <v>8630512.1238027271</v>
      </c>
      <c r="GM18" s="213">
        <f t="shared" si="39"/>
        <v>8630512.1238027271</v>
      </c>
      <c r="GN18" s="213">
        <f t="shared" si="39"/>
        <v>8630512.1238027271</v>
      </c>
      <c r="GO18" s="213">
        <f t="shared" si="39"/>
        <v>8630512.1238027271</v>
      </c>
      <c r="GP18" s="213">
        <f t="shared" si="39"/>
        <v>8630512.1238027271</v>
      </c>
      <c r="GQ18" s="213">
        <f t="shared" si="39"/>
        <v>8630512.1238027271</v>
      </c>
      <c r="GR18" s="213">
        <f t="shared" si="39"/>
        <v>8630512.1238027271</v>
      </c>
      <c r="GS18" s="213">
        <f t="shared" ref="GS18:JD18" si="40">GR18+GS17</f>
        <v>8630512.1238027271</v>
      </c>
      <c r="GT18" s="213">
        <f t="shared" si="40"/>
        <v>8630512.1238027271</v>
      </c>
      <c r="GU18" s="213">
        <f t="shared" si="40"/>
        <v>8630512.1238027271</v>
      </c>
      <c r="GV18" s="213">
        <f t="shared" si="40"/>
        <v>8630512.1238027271</v>
      </c>
      <c r="GW18" s="213">
        <f t="shared" si="40"/>
        <v>8630512.1238027271</v>
      </c>
      <c r="GX18" s="213">
        <f t="shared" si="40"/>
        <v>8630512.1238027271</v>
      </c>
      <c r="GY18" s="213">
        <f t="shared" si="40"/>
        <v>8630512.1238027271</v>
      </c>
      <c r="GZ18" s="213">
        <f t="shared" si="40"/>
        <v>8630512.1238027271</v>
      </c>
      <c r="HA18" s="213">
        <f t="shared" si="40"/>
        <v>8630512.1238027271</v>
      </c>
      <c r="HB18" s="213">
        <f t="shared" si="40"/>
        <v>8630512.1238027271</v>
      </c>
      <c r="HC18" s="213">
        <f t="shared" si="40"/>
        <v>8630512.1238027271</v>
      </c>
      <c r="HD18" s="213">
        <f t="shared" si="40"/>
        <v>8630512.1238027271</v>
      </c>
      <c r="HE18" s="213">
        <f t="shared" si="40"/>
        <v>8630512.1238027271</v>
      </c>
      <c r="HF18" s="213">
        <f t="shared" si="40"/>
        <v>8630512.1238027271</v>
      </c>
      <c r="HG18" s="213">
        <f t="shared" si="40"/>
        <v>8630512.1238027271</v>
      </c>
      <c r="HH18" s="213">
        <f t="shared" si="40"/>
        <v>8630512.1238027271</v>
      </c>
      <c r="HI18" s="213">
        <f t="shared" si="40"/>
        <v>8630512.1238027271</v>
      </c>
      <c r="HJ18" s="213">
        <f t="shared" si="40"/>
        <v>8630512.1238027271</v>
      </c>
      <c r="HK18" s="213">
        <f t="shared" si="40"/>
        <v>8630512.1238027271</v>
      </c>
      <c r="HL18" s="213">
        <f t="shared" si="40"/>
        <v>8630512.1238027271</v>
      </c>
      <c r="HM18" s="213">
        <f t="shared" si="40"/>
        <v>8630512.1238027271</v>
      </c>
      <c r="HN18" s="213">
        <f t="shared" si="40"/>
        <v>8630512.1238027271</v>
      </c>
      <c r="HO18" s="213">
        <f t="shared" si="40"/>
        <v>8630512.1238027271</v>
      </c>
      <c r="HP18" s="213">
        <f t="shared" si="40"/>
        <v>8630512.1238027271</v>
      </c>
      <c r="HQ18" s="213">
        <f t="shared" si="40"/>
        <v>8630512.1238027271</v>
      </c>
      <c r="HR18" s="213">
        <f t="shared" si="40"/>
        <v>8630512.1238027271</v>
      </c>
      <c r="HS18" s="213">
        <f t="shared" si="40"/>
        <v>8630512.1238027271</v>
      </c>
      <c r="HT18" s="213">
        <f t="shared" si="40"/>
        <v>8630512.1238027271</v>
      </c>
      <c r="HU18" s="213">
        <f t="shared" si="40"/>
        <v>8630512.1238027271</v>
      </c>
      <c r="HV18" s="213">
        <f t="shared" si="40"/>
        <v>8630512.1238027271</v>
      </c>
      <c r="HW18" s="213">
        <f t="shared" si="40"/>
        <v>8630512.1238027271</v>
      </c>
      <c r="HX18" s="213">
        <f t="shared" si="40"/>
        <v>8630512.1238027271</v>
      </c>
      <c r="HY18" s="213">
        <f t="shared" si="40"/>
        <v>8630512.1238027271</v>
      </c>
      <c r="HZ18" s="213">
        <f t="shared" si="40"/>
        <v>8630512.1238027271</v>
      </c>
      <c r="IA18" s="213">
        <f t="shared" si="40"/>
        <v>8630512.1238027271</v>
      </c>
      <c r="IB18" s="213">
        <f t="shared" si="40"/>
        <v>8630512.1238027271</v>
      </c>
      <c r="IC18" s="213">
        <f t="shared" si="40"/>
        <v>8630512.1238027271</v>
      </c>
      <c r="ID18" s="213">
        <f t="shared" si="40"/>
        <v>8630512.1238027271</v>
      </c>
      <c r="IE18" s="213">
        <f t="shared" si="40"/>
        <v>8630512.1238027271</v>
      </c>
      <c r="IF18" s="213">
        <f t="shared" si="40"/>
        <v>8630512.1238027271</v>
      </c>
      <c r="IG18" s="213">
        <f t="shared" si="40"/>
        <v>8630512.1238027271</v>
      </c>
      <c r="IH18" s="213">
        <f t="shared" si="40"/>
        <v>8630512.1238027271</v>
      </c>
      <c r="II18" s="213">
        <f t="shared" si="40"/>
        <v>8630512.1238027271</v>
      </c>
      <c r="IJ18" s="213">
        <f t="shared" si="40"/>
        <v>8630512.1238027271</v>
      </c>
      <c r="IK18" s="213">
        <f t="shared" si="40"/>
        <v>8630512.1238027271</v>
      </c>
      <c r="IL18" s="213">
        <f t="shared" si="40"/>
        <v>8630512.1238027271</v>
      </c>
      <c r="IM18" s="213">
        <f t="shared" si="40"/>
        <v>8630512.1238027271</v>
      </c>
      <c r="IN18" s="213">
        <f t="shared" si="40"/>
        <v>8630512.1238027271</v>
      </c>
      <c r="IO18" s="213">
        <f t="shared" si="40"/>
        <v>8630512.1238027271</v>
      </c>
      <c r="IP18" s="213">
        <f t="shared" si="40"/>
        <v>8630512.1238027271</v>
      </c>
      <c r="IQ18" s="213">
        <f t="shared" si="40"/>
        <v>8630512.1238027271</v>
      </c>
      <c r="IR18" s="213">
        <f t="shared" si="40"/>
        <v>8630512.1238027271</v>
      </c>
      <c r="IS18" s="213">
        <f t="shared" si="40"/>
        <v>8630512.1238027271</v>
      </c>
      <c r="IT18" s="213">
        <f t="shared" si="40"/>
        <v>8630512.1238027271</v>
      </c>
      <c r="IU18" s="213">
        <f t="shared" si="40"/>
        <v>8630512.1238027271</v>
      </c>
      <c r="IV18" s="213">
        <f t="shared" si="40"/>
        <v>8630512.1238027271</v>
      </c>
      <c r="IW18" s="213">
        <f t="shared" si="40"/>
        <v>8630512.1238027271</v>
      </c>
      <c r="IX18" s="213">
        <f t="shared" si="40"/>
        <v>8630512.1238027271</v>
      </c>
      <c r="IY18" s="213">
        <f t="shared" si="40"/>
        <v>8630512.1238027271</v>
      </c>
      <c r="IZ18" s="213">
        <f t="shared" si="40"/>
        <v>8630512.1238027271</v>
      </c>
      <c r="JA18" s="213">
        <f t="shared" si="40"/>
        <v>8630512.1238027271</v>
      </c>
      <c r="JB18" s="213">
        <f t="shared" si="40"/>
        <v>8630512.1238027271</v>
      </c>
      <c r="JC18" s="213">
        <f t="shared" si="40"/>
        <v>8630512.1238027271</v>
      </c>
      <c r="JD18" s="213">
        <f t="shared" si="40"/>
        <v>8630512.1238027271</v>
      </c>
      <c r="JE18" s="213">
        <f t="shared" ref="JE18:LD18" si="41">JD18+JE17</f>
        <v>8630512.1238027271</v>
      </c>
      <c r="JF18" s="213">
        <f t="shared" si="41"/>
        <v>8630512.1238027271</v>
      </c>
      <c r="JG18" s="213">
        <f t="shared" si="41"/>
        <v>8630512.1238027271</v>
      </c>
      <c r="JH18" s="213">
        <f t="shared" si="41"/>
        <v>8630512.1238027271</v>
      </c>
      <c r="JI18" s="213">
        <f t="shared" si="41"/>
        <v>8630512.1238027271</v>
      </c>
      <c r="JJ18" s="213">
        <f t="shared" si="41"/>
        <v>8630512.1238027271</v>
      </c>
      <c r="JK18" s="213">
        <f t="shared" si="41"/>
        <v>8630512.1238027271</v>
      </c>
      <c r="JL18" s="213">
        <f t="shared" si="41"/>
        <v>8630512.1238027271</v>
      </c>
      <c r="JM18" s="213">
        <f t="shared" si="41"/>
        <v>8630512.1238027271</v>
      </c>
      <c r="JN18" s="213">
        <f t="shared" si="41"/>
        <v>8630512.1238027271</v>
      </c>
      <c r="JO18" s="213">
        <f t="shared" si="41"/>
        <v>8630512.1238027271</v>
      </c>
      <c r="JP18" s="213">
        <f t="shared" si="41"/>
        <v>8630512.1238027271</v>
      </c>
      <c r="JQ18" s="213">
        <f t="shared" si="41"/>
        <v>8630512.1238027271</v>
      </c>
      <c r="JR18" s="213">
        <f t="shared" si="41"/>
        <v>8630512.1238027271</v>
      </c>
      <c r="JS18" s="213">
        <f t="shared" si="41"/>
        <v>8630512.1238027271</v>
      </c>
      <c r="JT18" s="213">
        <f t="shared" si="41"/>
        <v>8630512.1238027271</v>
      </c>
      <c r="JU18" s="213">
        <f t="shared" si="41"/>
        <v>8630512.1238027271</v>
      </c>
      <c r="JV18" s="213">
        <f t="shared" si="41"/>
        <v>8630512.1238027271</v>
      </c>
      <c r="JW18" s="213">
        <f t="shared" si="41"/>
        <v>8630512.1238027271</v>
      </c>
      <c r="JX18" s="213">
        <f t="shared" si="41"/>
        <v>8630512.1238027271</v>
      </c>
      <c r="JY18" s="213">
        <f t="shared" si="41"/>
        <v>8630512.1238027271</v>
      </c>
      <c r="JZ18" s="213">
        <f t="shared" si="41"/>
        <v>8630512.1238027271</v>
      </c>
      <c r="KA18" s="213">
        <f t="shared" si="41"/>
        <v>8630512.1238027271</v>
      </c>
      <c r="KB18" s="213">
        <f t="shared" si="41"/>
        <v>8630512.1238027271</v>
      </c>
      <c r="KC18" s="213">
        <f t="shared" si="41"/>
        <v>8630512.1238027271</v>
      </c>
      <c r="KD18" s="213">
        <f t="shared" si="41"/>
        <v>8630512.1238027271</v>
      </c>
      <c r="KE18" s="213">
        <f t="shared" si="41"/>
        <v>8630512.1238027271</v>
      </c>
      <c r="KF18" s="213">
        <f t="shared" si="41"/>
        <v>8630512.1238027271</v>
      </c>
      <c r="KG18" s="213">
        <f t="shared" si="41"/>
        <v>8630512.1238027271</v>
      </c>
      <c r="KH18" s="213">
        <f t="shared" si="41"/>
        <v>8630512.1238027271</v>
      </c>
      <c r="KI18" s="213">
        <f t="shared" si="41"/>
        <v>8630512.1238027271</v>
      </c>
      <c r="KJ18" s="213">
        <f t="shared" si="41"/>
        <v>8630512.1238027271</v>
      </c>
      <c r="KK18" s="213">
        <f t="shared" si="41"/>
        <v>8630512.1238027271</v>
      </c>
      <c r="KL18" s="213">
        <f t="shared" si="41"/>
        <v>8630512.1238027271</v>
      </c>
      <c r="KM18" s="213">
        <f t="shared" si="41"/>
        <v>8630512.1238027271</v>
      </c>
      <c r="KN18" s="213">
        <f t="shared" si="41"/>
        <v>8630512.1238027271</v>
      </c>
      <c r="KO18" s="213">
        <f t="shared" si="41"/>
        <v>8630512.1238027271</v>
      </c>
      <c r="KP18" s="213">
        <f t="shared" si="41"/>
        <v>8630512.1238027271</v>
      </c>
      <c r="KQ18" s="213">
        <f t="shared" si="41"/>
        <v>8630512.1238027271</v>
      </c>
      <c r="KR18" s="213">
        <f t="shared" si="41"/>
        <v>8630512.1238027271</v>
      </c>
      <c r="KS18" s="213">
        <f t="shared" si="41"/>
        <v>8630512.1238027271</v>
      </c>
      <c r="KT18" s="213">
        <f t="shared" si="41"/>
        <v>8630512.1238027271</v>
      </c>
      <c r="KU18" s="213">
        <f t="shared" si="41"/>
        <v>8630512.1238027271</v>
      </c>
      <c r="KV18" s="213">
        <f t="shared" si="41"/>
        <v>8630512.1238027271</v>
      </c>
      <c r="KW18" s="213">
        <f t="shared" si="41"/>
        <v>8630512.1238027271</v>
      </c>
      <c r="KX18" s="213">
        <f t="shared" si="41"/>
        <v>8630512.1238027271</v>
      </c>
      <c r="KY18" s="213">
        <f t="shared" si="41"/>
        <v>8630512.1238027271</v>
      </c>
      <c r="KZ18" s="213">
        <f t="shared" si="41"/>
        <v>8630512.1238027271</v>
      </c>
      <c r="LA18" s="213">
        <f t="shared" si="41"/>
        <v>8630512.1238027271</v>
      </c>
      <c r="LB18" s="213">
        <f t="shared" si="41"/>
        <v>8630512.1238027271</v>
      </c>
      <c r="LC18" s="213">
        <f t="shared" si="41"/>
        <v>8630512.1238027271</v>
      </c>
      <c r="LD18" s="213">
        <f t="shared" si="41"/>
        <v>8630512.1238027271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70" zoomScaleNormal="70" workbookViewId="0">
      <selection activeCell="M11" sqref="M11"/>
    </sheetView>
  </sheetViews>
  <sheetFormatPr defaultColWidth="12.5546875" defaultRowHeight="14.4"/>
  <cols>
    <col min="1" max="1" width="37.5546875" style="365" bestFit="1" customWidth="1"/>
    <col min="2" max="2" width="16.88671875" style="366" bestFit="1" customWidth="1"/>
    <col min="3" max="3" width="12.109375" style="365" bestFit="1" customWidth="1"/>
    <col min="4" max="4" width="12" style="365" bestFit="1" customWidth="1"/>
    <col min="5" max="5" width="12.109375" style="365" bestFit="1" customWidth="1"/>
    <col min="6" max="7" width="15" style="365" bestFit="1" customWidth="1"/>
    <col min="8" max="8" width="12" style="365" bestFit="1" customWidth="1"/>
    <col min="9" max="9" width="12.109375" style="365" bestFit="1" customWidth="1"/>
    <col min="10" max="10" width="15" style="365" bestFit="1" customWidth="1"/>
    <col min="11" max="11" width="12" style="365" bestFit="1" customWidth="1"/>
    <col min="12" max="12" width="6.33203125" style="365" bestFit="1" customWidth="1"/>
    <col min="13" max="13" width="12" style="365" bestFit="1" customWidth="1"/>
    <col min="14" max="14" width="13.33203125" style="365" bestFit="1" customWidth="1"/>
    <col min="15" max="16" width="12" style="365" bestFit="1" customWidth="1"/>
    <col min="17" max="17" width="15" style="365" bestFit="1" customWidth="1"/>
    <col min="18" max="18" width="11.44140625" style="365" bestFit="1" customWidth="1"/>
    <col min="19" max="19" width="13.5546875" style="365" bestFit="1" customWidth="1"/>
    <col min="20" max="16384" width="12.554687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409</v>
      </c>
      <c r="B3" s="446" t="s">
        <v>410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411</v>
      </c>
      <c r="B4" t="s">
        <v>412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s="448">
        <v>46142</v>
      </c>
      <c r="Q4" t="s">
        <v>413</v>
      </c>
      <c r="R4"/>
      <c r="S4"/>
      <c r="T4"/>
    </row>
    <row r="5" spans="1:20">
      <c r="A5" s="447" t="s">
        <v>412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370"/>
      <c r="R5"/>
      <c r="S5"/>
      <c r="T5"/>
    </row>
    <row r="6" spans="1:20">
      <c r="A6" s="447" t="s">
        <v>245</v>
      </c>
      <c r="B6" s="370"/>
      <c r="C6" s="370"/>
      <c r="D6" s="370"/>
      <c r="E6" s="370"/>
      <c r="F6" s="370"/>
      <c r="G6" s="370">
        <v>1492013.321</v>
      </c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/>
      <c r="Q6" s="370">
        <v>1492013.321</v>
      </c>
      <c r="R6"/>
      <c r="S6"/>
      <c r="T6"/>
    </row>
    <row r="7" spans="1:20">
      <c r="A7" s="447" t="s">
        <v>258</v>
      </c>
      <c r="B7" s="370"/>
      <c r="C7" s="370"/>
      <c r="D7" s="370"/>
      <c r="E7" s="370"/>
      <c r="F7" s="370">
        <v>488339.37199999997</v>
      </c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/>
      <c r="Q7" s="370">
        <v>488339.37199999997</v>
      </c>
      <c r="R7"/>
      <c r="S7"/>
      <c r="T7"/>
    </row>
    <row r="8" spans="1:20">
      <c r="A8" s="447" t="s">
        <v>273</v>
      </c>
      <c r="B8" s="370"/>
      <c r="C8" s="370"/>
      <c r="D8" s="370"/>
      <c r="E8" s="370"/>
      <c r="F8" s="370">
        <v>221686.54130000001</v>
      </c>
      <c r="G8" s="370"/>
      <c r="H8" s="370"/>
      <c r="I8" s="370"/>
      <c r="J8" s="370"/>
      <c r="K8" s="370"/>
      <c r="L8" s="370">
        <v>0</v>
      </c>
      <c r="M8" s="370"/>
      <c r="N8" s="370">
        <v>0</v>
      </c>
      <c r="O8" s="370"/>
      <c r="P8" s="370"/>
      <c r="Q8" s="370">
        <v>221686.54130000001</v>
      </c>
      <c r="R8"/>
      <c r="S8"/>
      <c r="T8"/>
    </row>
    <row r="9" spans="1:20">
      <c r="A9" s="447" t="s">
        <v>286</v>
      </c>
      <c r="B9" s="370"/>
      <c r="C9" s="370"/>
      <c r="D9" s="370"/>
      <c r="E9" s="370"/>
      <c r="F9" s="370">
        <v>391893.15750842646</v>
      </c>
      <c r="G9" s="370">
        <v>249896.60699157353</v>
      </c>
      <c r="H9" s="370"/>
      <c r="I9" s="370"/>
      <c r="J9" s="370"/>
      <c r="K9" s="370"/>
      <c r="L9" s="370">
        <v>0</v>
      </c>
      <c r="M9" s="370">
        <v>0</v>
      </c>
      <c r="N9" s="370"/>
      <c r="O9" s="370"/>
      <c r="P9" s="370"/>
      <c r="Q9" s="370">
        <v>641789.76450000005</v>
      </c>
      <c r="R9"/>
      <c r="S9"/>
      <c r="T9"/>
    </row>
    <row r="10" spans="1:20">
      <c r="A10" s="447" t="s">
        <v>305</v>
      </c>
      <c r="B10" s="370">
        <v>0</v>
      </c>
      <c r="C10" s="370"/>
      <c r="D10" s="370"/>
      <c r="E10" s="370">
        <v>41886.51580509232</v>
      </c>
      <c r="F10" s="370">
        <v>122065.9163573659</v>
      </c>
      <c r="G10" s="370"/>
      <c r="H10" s="370"/>
      <c r="I10" s="370"/>
      <c r="J10" s="370"/>
      <c r="K10" s="370"/>
      <c r="L10" s="370">
        <v>0</v>
      </c>
      <c r="M10" s="370"/>
      <c r="N10" s="370">
        <v>47453.8580247629</v>
      </c>
      <c r="O10" s="370"/>
      <c r="P10" s="370"/>
      <c r="Q10" s="370">
        <v>211406.29018722114</v>
      </c>
      <c r="R10"/>
      <c r="S10"/>
      <c r="T10"/>
    </row>
    <row r="11" spans="1:20">
      <c r="A11" s="447" t="s">
        <v>318</v>
      </c>
      <c r="B11" s="370"/>
      <c r="C11" s="370"/>
      <c r="D11" s="370"/>
      <c r="E11" s="370"/>
      <c r="F11" s="370">
        <v>173161.26115000001</v>
      </c>
      <c r="G11" s="370">
        <v>519483.78345000005</v>
      </c>
      <c r="H11" s="370"/>
      <c r="I11" s="370"/>
      <c r="J11" s="370"/>
      <c r="K11" s="370"/>
      <c r="L11" s="370">
        <v>0</v>
      </c>
      <c r="M11" s="370"/>
      <c r="N11" s="370"/>
      <c r="O11" s="370"/>
      <c r="P11" s="370"/>
      <c r="Q11" s="370">
        <v>692645.04460000002</v>
      </c>
      <c r="R11"/>
      <c r="S11"/>
      <c r="T11"/>
    </row>
    <row r="12" spans="1:20">
      <c r="A12" s="447" t="s">
        <v>322</v>
      </c>
      <c r="B12" s="370">
        <v>0</v>
      </c>
      <c r="C12" s="370"/>
      <c r="D12" s="370">
        <v>0</v>
      </c>
      <c r="E12" s="370"/>
      <c r="F12" s="370">
        <v>471698.11320754717</v>
      </c>
      <c r="G12" s="370">
        <v>1528301.8865492463</v>
      </c>
      <c r="H12" s="370">
        <v>0</v>
      </c>
      <c r="I12" s="370">
        <v>0</v>
      </c>
      <c r="J12" s="370">
        <v>1993368.6956521741</v>
      </c>
      <c r="K12" s="370"/>
      <c r="L12" s="370">
        <v>0</v>
      </c>
      <c r="M12" s="370"/>
      <c r="N12" s="370"/>
      <c r="O12" s="370"/>
      <c r="P12" s="370"/>
      <c r="Q12" s="370">
        <v>3993368.6954089673</v>
      </c>
      <c r="R12"/>
      <c r="S12"/>
      <c r="T12"/>
    </row>
    <row r="13" spans="1:20">
      <c r="A13" s="447" t="s">
        <v>342</v>
      </c>
      <c r="B13" s="370"/>
      <c r="C13" s="370"/>
      <c r="D13" s="370"/>
      <c r="E13" s="370"/>
      <c r="F13" s="370">
        <v>109267.64707499999</v>
      </c>
      <c r="G13" s="370"/>
      <c r="H13" s="370"/>
      <c r="I13" s="370"/>
      <c r="J13" s="370">
        <v>87414.117660000004</v>
      </c>
      <c r="K13" s="370"/>
      <c r="L13" s="370">
        <v>0</v>
      </c>
      <c r="M13" s="370"/>
      <c r="N13" s="370">
        <v>240388.823565</v>
      </c>
      <c r="O13" s="370"/>
      <c r="P13" s="370"/>
      <c r="Q13" s="370">
        <v>437070.58829999994</v>
      </c>
      <c r="R13"/>
      <c r="S13"/>
      <c r="T13"/>
    </row>
    <row r="14" spans="1:20">
      <c r="A14" s="447" t="s">
        <v>345</v>
      </c>
      <c r="B14" s="370">
        <v>0</v>
      </c>
      <c r="C14" s="370"/>
      <c r="D14" s="370"/>
      <c r="E14" s="370"/>
      <c r="F14" s="370">
        <v>17090.147058750001</v>
      </c>
      <c r="G14" s="370">
        <v>0</v>
      </c>
      <c r="H14" s="370"/>
      <c r="I14" s="370"/>
      <c r="J14" s="370">
        <v>13672.109457307282</v>
      </c>
      <c r="K14" s="370"/>
      <c r="L14" s="370">
        <v>0</v>
      </c>
      <c r="M14" s="370"/>
      <c r="N14" s="370">
        <v>37598.328507595026</v>
      </c>
      <c r="O14" s="370"/>
      <c r="P14" s="370"/>
      <c r="Q14" s="370">
        <v>68360.585023652311</v>
      </c>
      <c r="R14"/>
      <c r="S14"/>
      <c r="T14"/>
    </row>
    <row r="15" spans="1:20">
      <c r="A15" s="447" t="s">
        <v>349</v>
      </c>
      <c r="B15" s="370"/>
      <c r="C15" s="370">
        <v>17839.415657202251</v>
      </c>
      <c r="D15" s="370"/>
      <c r="E15" s="370"/>
      <c r="F15" s="370"/>
      <c r="G15" s="370"/>
      <c r="H15" s="370"/>
      <c r="I15" s="370">
        <v>66714.991470210472</v>
      </c>
      <c r="J15" s="370"/>
      <c r="K15" s="370"/>
      <c r="L15" s="370">
        <v>0</v>
      </c>
      <c r="M15" s="370"/>
      <c r="N15" s="370">
        <v>26089.11889883774</v>
      </c>
      <c r="O15" s="370"/>
      <c r="P15" s="370"/>
      <c r="Q15" s="370">
        <v>110643.52602625046</v>
      </c>
      <c r="R15"/>
      <c r="S15"/>
      <c r="T15"/>
    </row>
    <row r="16" spans="1:20">
      <c r="A16" s="447" t="s">
        <v>363</v>
      </c>
      <c r="B16" s="370"/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/>
      <c r="N16" s="370">
        <v>266056.79300000001</v>
      </c>
      <c r="O16" s="370"/>
      <c r="P16" s="370"/>
      <c r="Q16" s="370">
        <v>266056.79300000001</v>
      </c>
      <c r="R16"/>
      <c r="S16"/>
      <c r="T16"/>
    </row>
    <row r="17" spans="1:20">
      <c r="A17" s="447" t="s">
        <v>371</v>
      </c>
      <c r="B17" s="370"/>
      <c r="C17" s="370">
        <v>154.43339402689452</v>
      </c>
      <c r="D17" s="370">
        <v>282.39405266859563</v>
      </c>
      <c r="E17" s="370">
        <v>0</v>
      </c>
      <c r="F17" s="370">
        <v>540.89342495598294</v>
      </c>
      <c r="G17" s="370">
        <v>0</v>
      </c>
      <c r="H17" s="370">
        <v>0</v>
      </c>
      <c r="I17" s="370">
        <v>295.24</v>
      </c>
      <c r="J17" s="370">
        <v>0</v>
      </c>
      <c r="K17" s="370">
        <v>419.6221583868446</v>
      </c>
      <c r="L17" s="370">
        <v>0</v>
      </c>
      <c r="M17" s="370">
        <v>0</v>
      </c>
      <c r="N17" s="370">
        <v>2337.0904336110602</v>
      </c>
      <c r="O17" s="370">
        <v>2337.0904336110602</v>
      </c>
      <c r="P17" s="370">
        <v>2337.0904336110602</v>
      </c>
      <c r="Q17" s="370">
        <v>8703.854330871498</v>
      </c>
      <c r="R17"/>
      <c r="S17"/>
      <c r="T17"/>
    </row>
    <row r="18" spans="1:20">
      <c r="A18" s="447" t="s">
        <v>375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 s="370"/>
      <c r="M18" s="370"/>
      <c r="N18" s="370"/>
      <c r="O18" s="370"/>
      <c r="P18" s="370"/>
      <c r="Q18" s="370"/>
      <c r="R18"/>
      <c r="S18"/>
      <c r="T18"/>
    </row>
    <row r="19" spans="1:20">
      <c r="A19" s="447" t="s">
        <v>360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 s="370"/>
      <c r="R19"/>
      <c r="S19"/>
      <c r="T19"/>
    </row>
    <row r="20" spans="1:20">
      <c r="A20" s="447" t="s">
        <v>320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 s="370"/>
      <c r="R20"/>
      <c r="S20"/>
      <c r="T20"/>
    </row>
    <row r="21" spans="1:20">
      <c r="A21" s="447" t="s">
        <v>413</v>
      </c>
      <c r="B21" s="370">
        <v>0</v>
      </c>
      <c r="C21" s="370">
        <v>17993.849051229146</v>
      </c>
      <c r="D21" s="370">
        <v>282.39405266859563</v>
      </c>
      <c r="E21" s="370">
        <v>41886.51580509232</v>
      </c>
      <c r="F21" s="370">
        <v>1995743.0490820454</v>
      </c>
      <c r="G21" s="370">
        <v>3789695.5979908202</v>
      </c>
      <c r="H21" s="370">
        <v>0</v>
      </c>
      <c r="I21" s="370">
        <v>67010.231470210478</v>
      </c>
      <c r="J21" s="370">
        <v>2094454.9227694813</v>
      </c>
      <c r="K21" s="370">
        <v>419.6221583868446</v>
      </c>
      <c r="L21" s="370">
        <v>0</v>
      </c>
      <c r="M21" s="370">
        <v>0</v>
      </c>
      <c r="N21" s="370">
        <v>619924.01242980664</v>
      </c>
      <c r="O21" s="370">
        <v>2337.0904336110602</v>
      </c>
      <c r="P21" s="370">
        <v>2337.0904336110602</v>
      </c>
      <c r="Q21" s="370">
        <v>8632084.3756769635</v>
      </c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 s="407"/>
      <c r="G24"/>
      <c r="H24" s="407"/>
      <c r="I24"/>
      <c r="J24" s="370">
        <f>SUM(J13:J14)</f>
        <v>101086.22711730728</v>
      </c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Q25"/>
  <sheetViews>
    <sheetView zoomScale="85" zoomScaleNormal="85" workbookViewId="0">
      <selection activeCell="M9" sqref="M9"/>
    </sheetView>
  </sheetViews>
  <sheetFormatPr defaultColWidth="8.44140625" defaultRowHeight="14.4"/>
  <cols>
    <col min="1" max="1" width="20.5546875" bestFit="1" customWidth="1"/>
    <col min="2" max="2" width="16.44140625" style="407" bestFit="1" customWidth="1"/>
    <col min="3" max="3" width="11.88671875" style="407" bestFit="1" customWidth="1"/>
    <col min="4" max="4" width="11" style="407" bestFit="1" customWidth="1"/>
    <col min="5" max="5" width="11.88671875" style="407" bestFit="1" customWidth="1"/>
    <col min="6" max="7" width="14.44140625" style="407" bestFit="1" customWidth="1"/>
    <col min="8" max="8" width="11" style="407" bestFit="1" customWidth="1"/>
    <col min="9" max="9" width="12.88671875" style="407" bestFit="1" customWidth="1"/>
    <col min="10" max="10" width="14.44140625" bestFit="1" customWidth="1"/>
    <col min="11" max="11" width="11" bestFit="1" customWidth="1"/>
    <col min="12" max="12" width="14" bestFit="1" customWidth="1"/>
    <col min="13" max="14" width="12.88671875" bestFit="1" customWidth="1"/>
    <col min="15" max="16" width="11" bestFit="1" customWidth="1"/>
    <col min="17" max="17" width="14.44140625" bestFit="1" customWidth="1"/>
    <col min="18" max="18" width="11.5546875" bestFit="1" customWidth="1"/>
    <col min="19" max="19" width="13.44140625" bestFit="1" customWidth="1"/>
  </cols>
  <sheetData>
    <row r="3" spans="1:17">
      <c r="A3" s="446" t="s">
        <v>414</v>
      </c>
      <c r="B3" s="446" t="s">
        <v>410</v>
      </c>
      <c r="C3"/>
      <c r="D3"/>
      <c r="E3"/>
      <c r="F3"/>
      <c r="G3"/>
      <c r="H3"/>
      <c r="I3"/>
    </row>
    <row r="4" spans="1:17">
      <c r="A4" s="446" t="s">
        <v>411</v>
      </c>
      <c r="B4" t="s">
        <v>412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s="448">
        <v>46142</v>
      </c>
      <c r="Q4" t="s">
        <v>413</v>
      </c>
    </row>
    <row r="5" spans="1:17">
      <c r="A5" s="447" t="s">
        <v>412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  <c r="Q5" s="449"/>
    </row>
    <row r="6" spans="1:17">
      <c r="A6" s="447" t="s">
        <v>245</v>
      </c>
      <c r="B6" s="449"/>
      <c r="C6" s="449"/>
      <c r="D6" s="449"/>
      <c r="E6" s="449"/>
      <c r="F6" s="449"/>
      <c r="G6" s="449">
        <v>885885</v>
      </c>
      <c r="H6" s="449"/>
      <c r="I6" s="449"/>
      <c r="J6" s="449"/>
      <c r="K6" s="449"/>
      <c r="L6" s="449"/>
      <c r="M6" s="449"/>
      <c r="N6" s="449">
        <v>2701</v>
      </c>
      <c r="O6" s="449"/>
      <c r="P6" s="449"/>
      <c r="Q6" s="449">
        <v>888586</v>
      </c>
    </row>
    <row r="7" spans="1:17">
      <c r="A7" s="447" t="s">
        <v>258</v>
      </c>
      <c r="B7" s="449"/>
      <c r="C7" s="449"/>
      <c r="D7" s="449"/>
      <c r="E7" s="449"/>
      <c r="F7" s="449">
        <v>216421.11</v>
      </c>
      <c r="G7" s="449"/>
      <c r="H7" s="449"/>
      <c r="I7" s="449"/>
      <c r="J7" s="449"/>
      <c r="K7" s="449"/>
      <c r="L7" s="449"/>
      <c r="M7" s="449"/>
      <c r="N7" s="449"/>
      <c r="O7" s="449"/>
      <c r="P7" s="449"/>
      <c r="Q7" s="449">
        <v>216421.11</v>
      </c>
    </row>
    <row r="8" spans="1:17">
      <c r="A8" s="447" t="s">
        <v>273</v>
      </c>
      <c r="B8" s="449"/>
      <c r="C8" s="449"/>
      <c r="D8" s="449"/>
      <c r="E8" s="449"/>
      <c r="F8" s="449">
        <v>122040.5</v>
      </c>
      <c r="G8" s="449"/>
      <c r="H8" s="449"/>
      <c r="I8" s="449"/>
      <c r="J8" s="449"/>
      <c r="K8" s="449"/>
      <c r="L8" s="449"/>
      <c r="M8" s="449"/>
      <c r="N8" s="449">
        <v>1300</v>
      </c>
      <c r="O8" s="449"/>
      <c r="P8" s="449"/>
      <c r="Q8" s="449">
        <v>123340.5</v>
      </c>
    </row>
    <row r="9" spans="1:17">
      <c r="A9" s="447" t="s">
        <v>286</v>
      </c>
      <c r="B9" s="449"/>
      <c r="C9" s="449"/>
      <c r="D9" s="449"/>
      <c r="E9" s="449"/>
      <c r="F9" s="449">
        <v>308593</v>
      </c>
      <c r="G9" s="449">
        <v>196779.00000000003</v>
      </c>
      <c r="H9" s="449"/>
      <c r="I9" s="449"/>
      <c r="J9" s="449"/>
      <c r="K9" s="449"/>
      <c r="L9" s="449"/>
      <c r="M9" s="449">
        <v>126000</v>
      </c>
      <c r="N9" s="449"/>
      <c r="O9" s="449"/>
      <c r="P9" s="449"/>
      <c r="Q9" s="449">
        <v>631372</v>
      </c>
    </row>
    <row r="10" spans="1:17">
      <c r="A10" s="447" t="s">
        <v>305</v>
      </c>
      <c r="B10" s="449"/>
      <c r="C10" s="449"/>
      <c r="D10" s="449"/>
      <c r="E10" s="449">
        <v>22768</v>
      </c>
      <c r="F10" s="449">
        <v>65169</v>
      </c>
      <c r="G10" s="449"/>
      <c r="H10" s="449"/>
      <c r="I10" s="449"/>
      <c r="J10" s="449"/>
      <c r="K10" s="449"/>
      <c r="L10" s="449"/>
      <c r="M10" s="449"/>
      <c r="N10" s="449">
        <v>36324.44</v>
      </c>
      <c r="O10" s="449"/>
      <c r="P10" s="449"/>
      <c r="Q10" s="449">
        <v>124261.44</v>
      </c>
    </row>
    <row r="11" spans="1:17">
      <c r="A11" s="447" t="s">
        <v>318</v>
      </c>
      <c r="B11" s="449"/>
      <c r="C11" s="449"/>
      <c r="D11" s="449"/>
      <c r="E11" s="449"/>
      <c r="F11" s="449">
        <v>58760</v>
      </c>
      <c r="G11" s="449">
        <v>176280</v>
      </c>
      <c r="H11" s="449"/>
      <c r="I11" s="449"/>
      <c r="J11" s="449"/>
      <c r="K11" s="449"/>
      <c r="L11" s="449"/>
      <c r="M11" s="449"/>
      <c r="N11" s="449"/>
      <c r="O11" s="449"/>
      <c r="P11" s="449"/>
      <c r="Q11" s="449">
        <v>235040</v>
      </c>
    </row>
    <row r="12" spans="1:17">
      <c r="A12" s="447" t="s">
        <v>322</v>
      </c>
      <c r="B12" s="449"/>
      <c r="C12" s="449"/>
      <c r="D12" s="449">
        <v>0</v>
      </c>
      <c r="E12" s="449"/>
      <c r="F12" s="449">
        <v>625000</v>
      </c>
      <c r="G12" s="449">
        <v>1875000</v>
      </c>
      <c r="H12" s="449">
        <v>975</v>
      </c>
      <c r="I12" s="449">
        <v>120203.36</v>
      </c>
      <c r="J12" s="449">
        <v>2292374</v>
      </c>
      <c r="K12" s="449"/>
      <c r="L12" s="449"/>
      <c r="M12" s="449"/>
      <c r="N12" s="449"/>
      <c r="O12" s="449"/>
      <c r="P12" s="449"/>
      <c r="Q12" s="449">
        <v>4913552.3599999994</v>
      </c>
    </row>
    <row r="13" spans="1:17">
      <c r="A13" s="447" t="s">
        <v>342</v>
      </c>
      <c r="B13" s="449"/>
      <c r="C13" s="449"/>
      <c r="D13" s="449"/>
      <c r="E13" s="449"/>
      <c r="F13" s="449">
        <v>119175</v>
      </c>
      <c r="G13" s="449"/>
      <c r="H13" s="449"/>
      <c r="I13" s="449"/>
      <c r="J13" s="449">
        <v>95340</v>
      </c>
      <c r="K13" s="449"/>
      <c r="L13" s="449"/>
      <c r="M13" s="449"/>
      <c r="N13" s="449">
        <v>262185</v>
      </c>
      <c r="O13" s="449"/>
      <c r="P13" s="449"/>
      <c r="Q13" s="449">
        <v>476700</v>
      </c>
    </row>
    <row r="14" spans="1:17">
      <c r="A14" s="447" t="s">
        <v>345</v>
      </c>
      <c r="B14" s="449"/>
      <c r="C14" s="449"/>
      <c r="D14" s="449"/>
      <c r="E14" s="449"/>
      <c r="F14" s="449">
        <v>37761.875</v>
      </c>
      <c r="G14" s="449">
        <v>-0.02</v>
      </c>
      <c r="H14" s="449"/>
      <c r="I14" s="449"/>
      <c r="J14" s="449">
        <v>30209.5</v>
      </c>
      <c r="K14" s="449"/>
      <c r="L14" s="449"/>
      <c r="M14" s="449"/>
      <c r="N14" s="449">
        <v>83076.125</v>
      </c>
      <c r="O14" s="449"/>
      <c r="P14" s="449"/>
      <c r="Q14" s="449">
        <v>151047.48000000001</v>
      </c>
    </row>
    <row r="15" spans="1:17">
      <c r="A15" s="447" t="s">
        <v>349</v>
      </c>
      <c r="B15" s="449"/>
      <c r="C15" s="449">
        <v>10650</v>
      </c>
      <c r="D15" s="449"/>
      <c r="E15" s="449"/>
      <c r="F15" s="449"/>
      <c r="G15" s="449"/>
      <c r="H15" s="449"/>
      <c r="I15" s="449">
        <v>35409.129999999997</v>
      </c>
      <c r="J15" s="449"/>
      <c r="K15" s="449"/>
      <c r="L15" s="449"/>
      <c r="M15" s="449"/>
      <c r="N15" s="449">
        <v>19349</v>
      </c>
      <c r="O15" s="449"/>
      <c r="P15" s="449"/>
      <c r="Q15" s="449">
        <v>65408.13</v>
      </c>
    </row>
    <row r="16" spans="1:17">
      <c r="A16" s="447" t="s">
        <v>363</v>
      </c>
      <c r="B16" s="449"/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>
        <v>247203.72349999999</v>
      </c>
      <c r="O16" s="449"/>
      <c r="P16" s="449"/>
      <c r="Q16" s="449">
        <v>247203.72349999999</v>
      </c>
    </row>
    <row r="17" spans="1:17">
      <c r="A17" s="447" t="s">
        <v>371</v>
      </c>
      <c r="B17" s="449"/>
      <c r="C17" s="449">
        <v>119</v>
      </c>
      <c r="D17" s="449">
        <v>199.91999999996273</v>
      </c>
      <c r="E17" s="449">
        <v>0</v>
      </c>
      <c r="F17" s="449">
        <v>233.24</v>
      </c>
      <c r="G17" s="449">
        <v>0</v>
      </c>
      <c r="H17" s="449">
        <v>0</v>
      </c>
      <c r="I17" s="449">
        <v>95.2</v>
      </c>
      <c r="J17" s="449">
        <v>0</v>
      </c>
      <c r="K17" s="449">
        <v>104.72</v>
      </c>
      <c r="L17" s="449"/>
      <c r="M17" s="449">
        <v>0</v>
      </c>
      <c r="N17" s="449">
        <v>780</v>
      </c>
      <c r="O17" s="449">
        <v>780</v>
      </c>
      <c r="P17" s="449">
        <v>780</v>
      </c>
      <c r="Q17" s="449">
        <v>3092.0799999999626</v>
      </c>
    </row>
    <row r="18" spans="1:17">
      <c r="A18" s="447" t="s">
        <v>375</v>
      </c>
      <c r="B18" s="449"/>
      <c r="C18" s="449"/>
      <c r="D18" s="449"/>
      <c r="E18" s="449"/>
      <c r="F18" s="449"/>
      <c r="G18" s="449"/>
      <c r="H18" s="449"/>
      <c r="I18" s="449"/>
      <c r="J18" s="449"/>
      <c r="K18" s="449"/>
      <c r="L18" s="449"/>
      <c r="M18" s="449"/>
      <c r="N18" s="449"/>
      <c r="O18" s="449"/>
      <c r="P18" s="449"/>
      <c r="Q18" s="449"/>
    </row>
    <row r="19" spans="1:17">
      <c r="A19" s="447" t="s">
        <v>360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  <c r="Q19" s="449"/>
    </row>
    <row r="20" spans="1:17">
      <c r="A20" s="447" t="s">
        <v>320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  <c r="Q20" s="449"/>
    </row>
    <row r="21" spans="1:17">
      <c r="A21" s="447" t="s">
        <v>413</v>
      </c>
      <c r="B21" s="449"/>
      <c r="C21" s="449">
        <v>10769</v>
      </c>
      <c r="D21" s="449">
        <v>199.91999999996273</v>
      </c>
      <c r="E21" s="449">
        <v>22768</v>
      </c>
      <c r="F21" s="449">
        <v>1553153.7249999999</v>
      </c>
      <c r="G21" s="449">
        <v>3133943.98</v>
      </c>
      <c r="H21" s="449">
        <v>975</v>
      </c>
      <c r="I21" s="449">
        <v>155707.69</v>
      </c>
      <c r="J21" s="449">
        <v>2417923.5</v>
      </c>
      <c r="K21" s="449">
        <v>104.72</v>
      </c>
      <c r="L21" s="449"/>
      <c r="M21" s="449">
        <v>126000</v>
      </c>
      <c r="N21" s="449">
        <v>652919.28850000002</v>
      </c>
      <c r="O21" s="449">
        <v>780</v>
      </c>
      <c r="P21" s="449">
        <v>780</v>
      </c>
      <c r="Q21" s="449">
        <v>8076024.8234999999</v>
      </c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>
        <f>GETPIVOTDATA("Actual Total ",$A$3,"INVOICE RAISED DATE",DATE(2025,8,31))-GETPIVOTDATA("Actual Total ",$A$3,"Product/ Service","8. Product Add On ","INVOICE RAISED DATE",DATE(2025,8,31))</f>
        <v>1258943.98</v>
      </c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59F4-3749-4555-A9E8-CC972C8C0CD5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" customWidth="1"/>
    <col min="2" max="2" width="21" customWidth="1"/>
    <col min="3" max="3" width="29" customWidth="1"/>
    <col min="4" max="4" width="15.44140625" customWidth="1"/>
    <col min="5" max="5" width="16.5546875" customWidth="1"/>
    <col min="6" max="6" width="6" customWidth="1"/>
  </cols>
  <sheetData>
    <row r="1" spans="2:15" ht="15" thickBot="1"/>
    <row r="2" spans="2:15" ht="18">
      <c r="B2" s="813" t="s">
        <v>415</v>
      </c>
      <c r="C2" s="813"/>
      <c r="D2" s="813"/>
      <c r="E2" s="813"/>
      <c r="H2" s="814" t="s">
        <v>416</v>
      </c>
      <c r="I2" s="815"/>
      <c r="J2" s="815"/>
      <c r="K2" s="815"/>
      <c r="L2" s="815"/>
      <c r="M2" s="815"/>
      <c r="N2" s="815"/>
      <c r="O2" s="816"/>
    </row>
    <row r="3" spans="2:15">
      <c r="B3" s="681"/>
      <c r="H3" s="817"/>
      <c r="I3" s="818"/>
      <c r="J3" s="818"/>
      <c r="K3" s="818"/>
      <c r="L3" s="818"/>
      <c r="M3" s="818"/>
      <c r="N3" s="818"/>
      <c r="O3" s="819"/>
    </row>
    <row r="4" spans="2:15">
      <c r="B4" s="682" t="s">
        <v>417</v>
      </c>
      <c r="C4" s="683" t="str">
        <f>'Project Plan'!E2</f>
        <v>Upper East Side Hotel</v>
      </c>
      <c r="H4" s="817"/>
      <c r="I4" s="818"/>
      <c r="J4" s="818"/>
      <c r="K4" s="818"/>
      <c r="L4" s="818"/>
      <c r="M4" s="818"/>
      <c r="N4" s="818"/>
      <c r="O4" s="819"/>
    </row>
    <row r="5" spans="2:15">
      <c r="B5" s="682" t="s">
        <v>418</v>
      </c>
      <c r="C5" s="683" t="s">
        <v>419</v>
      </c>
      <c r="H5" s="817"/>
      <c r="I5" s="818"/>
      <c r="J5" s="818"/>
      <c r="K5" s="818"/>
      <c r="L5" s="818"/>
      <c r="M5" s="818"/>
      <c r="N5" s="818"/>
      <c r="O5" s="819"/>
    </row>
    <row r="6" spans="2:15">
      <c r="B6" s="682" t="s">
        <v>420</v>
      </c>
      <c r="C6" s="683" t="s">
        <v>421</v>
      </c>
      <c r="H6" s="817"/>
      <c r="I6" s="818"/>
      <c r="J6" s="818"/>
      <c r="K6" s="818"/>
      <c r="L6" s="818"/>
      <c r="M6" s="818"/>
      <c r="N6" s="818"/>
      <c r="O6" s="819"/>
    </row>
    <row r="7" spans="2:15">
      <c r="B7" s="682" t="s">
        <v>422</v>
      </c>
      <c r="C7" s="683" t="s">
        <v>423</v>
      </c>
      <c r="H7" s="817"/>
      <c r="I7" s="818"/>
      <c r="J7" s="818"/>
      <c r="K7" s="818"/>
      <c r="L7" s="818"/>
      <c r="M7" s="818"/>
      <c r="N7" s="818"/>
      <c r="O7" s="819"/>
    </row>
    <row r="8" spans="2:15">
      <c r="B8" s="681"/>
      <c r="H8" s="817"/>
      <c r="I8" s="818"/>
      <c r="J8" s="818"/>
      <c r="K8" s="818"/>
      <c r="L8" s="818"/>
      <c r="M8" s="818"/>
      <c r="N8" s="818"/>
      <c r="O8" s="819"/>
    </row>
    <row r="9" spans="2:15">
      <c r="B9" s="823" t="s">
        <v>424</v>
      </c>
      <c r="C9" s="823"/>
      <c r="D9" s="823"/>
      <c r="E9" s="82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7"/>
      <c r="I9" s="818"/>
      <c r="J9" s="818"/>
      <c r="K9" s="818"/>
      <c r="L9" s="818"/>
      <c r="M9" s="818"/>
      <c r="N9" s="818"/>
      <c r="O9" s="819"/>
    </row>
    <row r="10" spans="2:15" ht="15" thickBot="1">
      <c r="B10" s="823" t="s">
        <v>425</v>
      </c>
      <c r="C10" s="823"/>
      <c r="D10" s="823"/>
      <c r="E10" s="823"/>
      <c r="H10" s="820"/>
      <c r="I10" s="821"/>
      <c r="J10" s="821"/>
      <c r="K10" s="821"/>
      <c r="L10" s="821"/>
      <c r="M10" s="821"/>
      <c r="N10" s="821"/>
      <c r="O10" s="822"/>
    </row>
    <row r="11" spans="2:15">
      <c r="B11" s="684" t="s">
        <v>426</v>
      </c>
      <c r="C11" s="812" t="s">
        <v>427</v>
      </c>
      <c r="D11" s="812"/>
      <c r="E11" s="812"/>
    </row>
    <row r="12" spans="2:15">
      <c r="B12" s="684" t="s">
        <v>428</v>
      </c>
      <c r="C12" s="812" t="s">
        <v>427</v>
      </c>
      <c r="D12" s="812"/>
      <c r="E12" s="812"/>
    </row>
    <row r="13" spans="2:15">
      <c r="B13" s="684" t="s">
        <v>429</v>
      </c>
      <c r="C13" s="812" t="s">
        <v>427</v>
      </c>
      <c r="D13" s="812"/>
      <c r="E13" s="812"/>
    </row>
    <row r="14" spans="2:15">
      <c r="B14" s="684" t="s">
        <v>430</v>
      </c>
      <c r="C14" s="812" t="s">
        <v>431</v>
      </c>
      <c r="D14" s="812"/>
      <c r="E14" s="812"/>
    </row>
    <row r="15" spans="2:15">
      <c r="B15" s="684" t="s">
        <v>432</v>
      </c>
      <c r="C15" s="812" t="s">
        <v>433</v>
      </c>
      <c r="D15" s="812"/>
      <c r="E15" s="812"/>
    </row>
    <row r="16" spans="2:15" ht="15" customHeight="1">
      <c r="B16" s="684" t="s">
        <v>434</v>
      </c>
      <c r="C16" s="812" t="s">
        <v>435</v>
      </c>
      <c r="D16" s="812"/>
      <c r="E16" s="812"/>
    </row>
    <row r="17" spans="2:5">
      <c r="B17" s="681"/>
    </row>
    <row r="18" spans="2:5">
      <c r="B18" s="824" t="s">
        <v>436</v>
      </c>
      <c r="C18" s="824"/>
      <c r="D18" s="824"/>
      <c r="E18" s="824"/>
    </row>
    <row r="19" spans="2:5">
      <c r="B19" s="684" t="s">
        <v>437</v>
      </c>
      <c r="C19" s="684" t="s">
        <v>438</v>
      </c>
      <c r="D19" s="684" t="s">
        <v>439</v>
      </c>
      <c r="E19" s="684" t="s">
        <v>138</v>
      </c>
    </row>
    <row r="20" spans="2:5" ht="15" customHeight="1">
      <c r="B20" s="684" t="s">
        <v>440</v>
      </c>
      <c r="C20" s="684" t="s">
        <v>441</v>
      </c>
      <c r="D20" s="685" t="s">
        <v>442</v>
      </c>
      <c r="E20" s="686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09" t="s">
        <v>443</v>
      </c>
    </row>
    <row r="2" spans="1:4">
      <c r="A2" s="826"/>
      <c r="B2" s="826"/>
      <c r="C2" s="826"/>
      <c r="D2" s="71"/>
    </row>
    <row r="3" spans="1:4">
      <c r="A3" s="825" t="s">
        <v>444</v>
      </c>
      <c r="B3" s="825"/>
      <c r="C3" s="825"/>
      <c r="D3" s="110">
        <v>0.32</v>
      </c>
    </row>
    <row r="4" spans="1:4">
      <c r="A4" s="825" t="s">
        <v>384</v>
      </c>
      <c r="B4" s="825"/>
      <c r="C4" s="825"/>
      <c r="D4" s="110">
        <v>0.5</v>
      </c>
    </row>
    <row r="5" spans="1:4">
      <c r="A5" s="825" t="s">
        <v>395</v>
      </c>
      <c r="B5" s="825"/>
      <c r="C5" s="825"/>
      <c r="D5" s="110">
        <v>0.15</v>
      </c>
    </row>
    <row r="6" spans="1:4">
      <c r="A6" s="825" t="s">
        <v>445</v>
      </c>
      <c r="B6" s="825"/>
      <c r="C6" s="825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7"/>
    <col min="2" max="2" width="22.44140625" style="87" customWidth="1"/>
    <col min="3" max="3" width="4.44140625" style="87" customWidth="1"/>
    <col min="4" max="4" width="14" style="87" bestFit="1" customWidth="1"/>
    <col min="5" max="5" width="3" style="87" customWidth="1"/>
    <col min="6" max="6" width="15.44140625" style="87" customWidth="1"/>
    <col min="7" max="7" width="2.44140625" style="87" customWidth="1"/>
    <col min="8" max="8" width="16" style="87" bestFit="1" customWidth="1"/>
    <col min="9" max="9" width="6.44140625" style="87" customWidth="1"/>
    <col min="10" max="10" width="13.5546875" style="87" bestFit="1" customWidth="1"/>
    <col min="11" max="11" width="2.44140625" style="87" customWidth="1"/>
    <col min="12" max="12" width="14" style="87" bestFit="1" customWidth="1"/>
    <col min="13" max="13" width="3" style="87" customWidth="1"/>
    <col min="14" max="14" width="45.44140625" style="87" customWidth="1"/>
    <col min="15" max="16384" width="9.44140625" style="87"/>
  </cols>
  <sheetData>
    <row r="2" spans="2:14" s="93" customFormat="1" ht="17.399999999999999">
      <c r="B2" s="827" t="s">
        <v>446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>
      <c r="B4" s="91" t="s">
        <v>447</v>
      </c>
      <c r="C4" s="85"/>
      <c r="D4" s="89" t="s">
        <v>448</v>
      </c>
      <c r="E4" s="94"/>
      <c r="F4" s="89" t="s">
        <v>449</v>
      </c>
      <c r="H4" s="89" t="s">
        <v>450</v>
      </c>
      <c r="I4" s="94"/>
      <c r="J4" s="89" t="s">
        <v>451</v>
      </c>
      <c r="L4" s="89" t="s">
        <v>450</v>
      </c>
      <c r="M4" s="89"/>
      <c r="N4" s="89" t="s">
        <v>452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>
      <c r="B7" s="85"/>
      <c r="C7" s="85"/>
      <c r="D7" s="88"/>
      <c r="E7" s="94"/>
      <c r="F7" s="106" t="s">
        <v>453</v>
      </c>
      <c r="H7" s="98"/>
      <c r="I7" s="94"/>
      <c r="J7" s="106" t="s">
        <v>453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>
      <c r="B9" s="91" t="s">
        <v>256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>
      <c r="B10" s="107" t="s">
        <v>256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>
      <c r="B11" s="107" t="s">
        <v>454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>
      <c r="B12" s="107" t="s">
        <v>455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>
      <c r="B13" s="107" t="s">
        <v>456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>
      <c r="B15" s="85"/>
      <c r="C15" s="85"/>
      <c r="D15" s="88"/>
      <c r="E15" s="94"/>
      <c r="F15" s="106" t="s">
        <v>453</v>
      </c>
      <c r="H15" s="98"/>
      <c r="I15" s="94"/>
      <c r="J15" s="106" t="s">
        <v>453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>
      <c r="B17" s="91" t="s">
        <v>457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457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456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>
      <c r="B21" s="85"/>
      <c r="C21" s="85"/>
      <c r="D21" s="88"/>
      <c r="E21" s="94"/>
      <c r="F21" s="106" t="s">
        <v>453</v>
      </c>
      <c r="H21" s="98"/>
      <c r="I21" s="94"/>
      <c r="J21" s="106" t="s">
        <v>453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>
      <c r="B23" s="91" t="s">
        <v>287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287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>
      <c r="B25" s="107" t="s">
        <v>456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>
      <c r="B27" s="85"/>
      <c r="C27" s="85"/>
      <c r="D27" s="88"/>
      <c r="E27" s="97"/>
      <c r="F27" s="106" t="s">
        <v>453</v>
      </c>
      <c r="H27" s="98"/>
      <c r="I27" s="94"/>
      <c r="J27" s="106" t="s">
        <v>453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>
      <c r="B29" s="91" t="s">
        <v>458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456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>
      <c r="B34" s="85"/>
      <c r="C34" s="85"/>
      <c r="D34" s="88"/>
      <c r="E34" s="97"/>
      <c r="F34" s="106" t="s">
        <v>453</v>
      </c>
      <c r="H34" s="98"/>
      <c r="I34" s="94"/>
      <c r="J34" s="106" t="s">
        <v>453</v>
      </c>
      <c r="L34" s="98"/>
      <c r="M34" s="98"/>
    </row>
    <row r="35" spans="2:13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>
      <c r="B36" s="91" t="s">
        <v>459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460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461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462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463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464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>
      <c r="B42" s="99"/>
      <c r="C42" s="85"/>
      <c r="D42" s="96"/>
      <c r="E42" s="97"/>
      <c r="F42" s="96"/>
      <c r="I42" s="97"/>
      <c r="J42" s="96"/>
    </row>
    <row r="43" spans="2:13">
      <c r="B43" s="91" t="s">
        <v>465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466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7"/>
    <col min="2" max="2" width="22.44140625" style="87" customWidth="1"/>
    <col min="3" max="3" width="4.44140625" style="87" customWidth="1"/>
    <col min="4" max="4" width="14" style="87" bestFit="1" customWidth="1"/>
    <col min="5" max="5" width="7" style="87" customWidth="1"/>
    <col min="6" max="6" width="3" style="87" customWidth="1"/>
    <col min="7" max="7" width="18.5546875" style="87" customWidth="1"/>
    <col min="8" max="8" width="9.44140625" style="87" bestFit="1" customWidth="1"/>
    <col min="9" max="9" width="2" style="87" customWidth="1"/>
    <col min="10" max="10" width="14" style="87" bestFit="1" customWidth="1"/>
    <col min="11" max="11" width="2.44140625" style="87" customWidth="1"/>
    <col min="12" max="12" width="20.44140625" style="87" customWidth="1"/>
    <col min="13" max="13" width="9.44140625" style="87" bestFit="1" customWidth="1"/>
    <col min="14" max="14" width="0.5546875" style="87" customWidth="1"/>
    <col min="15" max="15" width="14" style="87" bestFit="1" customWidth="1"/>
    <col min="16" max="16384" width="9.44140625" style="87"/>
  </cols>
  <sheetData>
    <row r="2" spans="2:15" s="93" customFormat="1" ht="17.399999999999999">
      <c r="B2" s="827" t="s">
        <v>467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>
      <c r="B4" s="91" t="s">
        <v>447</v>
      </c>
      <c r="C4" s="85"/>
      <c r="D4" s="89" t="s">
        <v>448</v>
      </c>
      <c r="E4" s="94"/>
      <c r="F4" s="94"/>
      <c r="G4" s="89" t="s">
        <v>468</v>
      </c>
      <c r="H4" s="95"/>
      <c r="J4" s="89" t="s">
        <v>450</v>
      </c>
      <c r="L4" s="89" t="s">
        <v>469</v>
      </c>
      <c r="M4" s="95"/>
      <c r="O4" s="89" t="s">
        <v>450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>
      <c r="B6" s="85" t="s">
        <v>255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0.61209892070484573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>
      <c r="B7" s="85" t="s">
        <v>262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0.31312389867841411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>
      <c r="B8" s="85" t="s">
        <v>264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0.21183700440528636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>
      <c r="B9" s="85" t="s">
        <v>266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0.50696035242290749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267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470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269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270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83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>
      <c r="B15" s="91" t="s">
        <v>465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>
      <c r="B18" s="91" t="s">
        <v>447</v>
      </c>
      <c r="C18" s="85"/>
      <c r="D18" s="89" t="s">
        <v>448</v>
      </c>
      <c r="E18" s="94"/>
      <c r="F18" s="94"/>
      <c r="G18" s="89" t="s">
        <v>471</v>
      </c>
      <c r="H18" s="95"/>
      <c r="J18" s="89" t="s">
        <v>450</v>
      </c>
      <c r="L18" s="89" t="s">
        <v>472</v>
      </c>
      <c r="M18" s="95"/>
      <c r="O18" s="89" t="s">
        <v>450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>
      <c r="B20" s="85" t="s">
        <v>473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>
      <c r="B21" s="85" t="s">
        <v>474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>
      <c r="B22" s="85" t="s">
        <v>475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>
      <c r="B23" s="85" t="s">
        <v>476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269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477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267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>
      <c r="B28" s="99"/>
      <c r="C28" s="85"/>
      <c r="D28" s="96"/>
      <c r="E28" s="97"/>
      <c r="F28" s="97"/>
      <c r="G28" s="96"/>
      <c r="H28" s="86"/>
      <c r="L28" s="96"/>
      <c r="M28" s="86"/>
    </row>
    <row r="29" spans="2:15">
      <c r="B29" s="91" t="s">
        <v>465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8" thickBot="1">
      <c r="B32" s="101" t="s">
        <v>478</v>
      </c>
      <c r="C32" s="102"/>
      <c r="D32" s="102"/>
    </row>
    <row r="33" spans="2:4" ht="13.8" thickTop="1"/>
    <row r="34" spans="2:4">
      <c r="B34" s="87" t="s">
        <v>448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8" thickBot="1">
      <c r="B39" s="103"/>
      <c r="C39" s="102"/>
      <c r="D39" s="102"/>
    </row>
    <row r="40" spans="2:4" ht="13.8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>
      <c r="B41" s="104"/>
      <c r="C41" s="104"/>
      <c r="D41" s="105"/>
    </row>
    <row r="42" spans="2:4">
      <c r="B42" s="85" t="s">
        <v>479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" customWidth="1"/>
    <col min="10" max="10" width="19.5546875" bestFit="1" customWidth="1"/>
  </cols>
  <sheetData>
    <row r="1" spans="2:14">
      <c r="B1" s="829" t="str">
        <f>D15</f>
        <v>Upper East Side Hotel</v>
      </c>
      <c r="C1" s="829"/>
      <c r="D1" s="829"/>
      <c r="E1" s="828" t="s">
        <v>480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481</v>
      </c>
      <c r="C3" s="72" t="s">
        <v>482</v>
      </c>
      <c r="D3" s="72" t="s">
        <v>483</v>
      </c>
      <c r="E3" s="78" t="s">
        <v>484</v>
      </c>
      <c r="F3" s="78" t="s">
        <v>485</v>
      </c>
      <c r="G3" s="78" t="s">
        <v>74</v>
      </c>
      <c r="H3" s="78" t="s">
        <v>137</v>
      </c>
      <c r="I3" s="78" t="s">
        <v>138</v>
      </c>
      <c r="J3" s="78" t="s">
        <v>139</v>
      </c>
    </row>
    <row r="4" spans="2:14">
      <c r="B4" s="76" t="s">
        <v>486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Upper East Side Hotel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68E79F-8540-4F14-9ACD-B06D7CF354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Project Plan</vt:lpstr>
      <vt:lpstr>Compliance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2026-03-02T10:02:23Z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