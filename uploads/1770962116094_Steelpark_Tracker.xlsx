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76" documentId="13_ncr:1_{3ECD668F-DBB6-42A3-9FAB-1C780F61CF9D}" xr6:coauthVersionLast="47" xr6:coauthVersionMax="47" xr10:uidLastSave="{259B7B1A-C445-4FFF-BDDF-4EBD5C69143A}"/>
  <bookViews>
    <workbookView minimized="1" xWindow="32220" yWindow="3420" windowWidth="14400" windowHeight="7275" tabRatio="80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5" l="1"/>
  <c r="H18" i="5"/>
  <c r="I33" i="2" l="1"/>
  <c r="M11" i="2"/>
  <c r="T47" i="18"/>
  <c r="W48" i="18"/>
  <c r="W49" i="18"/>
  <c r="P7" i="18"/>
  <c r="E24" i="2"/>
  <c r="I24" i="2"/>
  <c r="E38" i="2"/>
  <c r="I38" i="2"/>
  <c r="O110" i="18"/>
  <c r="O94" i="18"/>
  <c r="O62" i="18"/>
  <c r="O35" i="18"/>
  <c r="AC47" i="18"/>
  <c r="AC58" i="18" s="1"/>
  <c r="AC59" i="18" s="1"/>
  <c r="AG49" i="18"/>
  <c r="AG50" i="18"/>
  <c r="AA49" i="18"/>
  <c r="AD49" i="18"/>
  <c r="AA50" i="18"/>
  <c r="AD50" i="18"/>
  <c r="Z58" i="18"/>
  <c r="Z59" i="18" s="1"/>
  <c r="AF58" i="18"/>
  <c r="AF59" i="18" s="1"/>
  <c r="W125" i="18"/>
  <c r="AG33" i="18" l="1"/>
  <c r="AG32" i="18"/>
  <c r="AD33" i="18"/>
  <c r="AD32" i="18"/>
  <c r="AA32" i="18"/>
  <c r="AA33" i="18"/>
  <c r="AF41" i="18"/>
  <c r="AF42" i="18" s="1"/>
  <c r="AC41" i="18"/>
  <c r="AC42" i="18" s="1"/>
  <c r="N11" i="2" l="1"/>
  <c r="O28" i="18"/>
  <c r="W124" i="18"/>
  <c r="E26" i="2"/>
  <c r="G26" i="2" s="1"/>
  <c r="E17" i="2"/>
  <c r="G16" i="2"/>
  <c r="G15" i="2"/>
  <c r="G14" i="2"/>
  <c r="G13" i="2"/>
  <c r="E33" i="2" s="1"/>
  <c r="G33" i="2" s="1"/>
  <c r="G12" i="2"/>
  <c r="I17" i="2"/>
  <c r="I18" i="2" s="1"/>
  <c r="I21" i="2" s="1"/>
  <c r="I32" i="2" s="1"/>
  <c r="N50" i="2"/>
  <c r="M50" i="2"/>
  <c r="N46" i="2"/>
  <c r="M46" i="2"/>
  <c r="N41" i="2"/>
  <c r="M41" i="2"/>
  <c r="N37" i="2"/>
  <c r="M37" i="2"/>
  <c r="N30" i="2"/>
  <c r="M30" i="2"/>
  <c r="N23" i="2"/>
  <c r="M23" i="2"/>
  <c r="K14" i="2"/>
  <c r="K13" i="2"/>
  <c r="N13" i="2" s="1"/>
  <c r="H6" i="5"/>
  <c r="W142" i="18"/>
  <c r="W141" i="18"/>
  <c r="W140" i="18"/>
  <c r="W139" i="18"/>
  <c r="W57" i="18"/>
  <c r="W21" i="18"/>
  <c r="E39" i="2" l="1"/>
  <c r="G39" i="2" s="1"/>
  <c r="E35" i="2" s="1"/>
  <c r="G35" i="2" s="1"/>
  <c r="G17" i="2"/>
  <c r="E18" i="2"/>
  <c r="N14" i="2"/>
  <c r="G18" i="2" l="1"/>
  <c r="G11" i="2" s="1"/>
  <c r="F11" i="2" s="1"/>
  <c r="E21" i="2"/>
  <c r="G38" i="2"/>
  <c r="G37" i="2" s="1"/>
  <c r="E37" i="2"/>
  <c r="E11" i="2"/>
  <c r="I47" i="18"/>
  <c r="F37" i="2" l="1"/>
  <c r="H14" i="5"/>
  <c r="E20" i="2"/>
  <c r="E32" i="2"/>
  <c r="G21" i="2"/>
  <c r="J83" i="18"/>
  <c r="G83" i="18"/>
  <c r="X122" i="18"/>
  <c r="G32" i="2" l="1"/>
  <c r="E34" i="2"/>
  <c r="G34" i="2" s="1"/>
  <c r="E30" i="2"/>
  <c r="G20" i="2"/>
  <c r="F20" i="2" s="1"/>
  <c r="T31" i="18"/>
  <c r="T14" i="18"/>
  <c r="T163" i="18"/>
  <c r="T162" i="18"/>
  <c r="T161" i="18"/>
  <c r="T160" i="18"/>
  <c r="T159" i="18"/>
  <c r="T158" i="18"/>
  <c r="T157" i="18"/>
  <c r="T156" i="18"/>
  <c r="T155" i="18"/>
  <c r="T154" i="18"/>
  <c r="T152" i="18"/>
  <c r="T151" i="18"/>
  <c r="T150" i="18"/>
  <c r="T149" i="18"/>
  <c r="T148" i="18"/>
  <c r="T147" i="18"/>
  <c r="T146" i="18"/>
  <c r="T145" i="18"/>
  <c r="T144" i="18"/>
  <c r="T143" i="18"/>
  <c r="T138" i="18"/>
  <c r="T137" i="18"/>
  <c r="T131" i="18"/>
  <c r="T130" i="18"/>
  <c r="T129" i="18"/>
  <c r="T128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1" i="18"/>
  <c r="T60" i="18"/>
  <c r="T59" i="18"/>
  <c r="T58" i="18"/>
  <c r="T56" i="18"/>
  <c r="T55" i="18"/>
  <c r="T54" i="18"/>
  <c r="T46" i="18"/>
  <c r="T45" i="18"/>
  <c r="T44" i="18"/>
  <c r="T43" i="18"/>
  <c r="T34" i="18"/>
  <c r="T33" i="18"/>
  <c r="T32" i="18"/>
  <c r="T30" i="18"/>
  <c r="T29" i="18"/>
  <c r="T28" i="18"/>
  <c r="T26" i="18"/>
  <c r="T24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G24" i="2" l="1"/>
  <c r="G30" i="2"/>
  <c r="F30" i="2" s="1"/>
  <c r="N12" i="2"/>
  <c r="E25" i="2" l="1"/>
  <c r="H15" i="5"/>
  <c r="K15" i="2"/>
  <c r="E27" i="2" l="1"/>
  <c r="G25" i="2"/>
  <c r="I26" i="2"/>
  <c r="K26" i="2" s="1"/>
  <c r="K16" i="2"/>
  <c r="C4" i="24"/>
  <c r="C7" i="23"/>
  <c r="C4" i="23"/>
  <c r="Q129" i="18"/>
  <c r="E28" i="2" l="1"/>
  <c r="G28" i="2" s="1"/>
  <c r="G27" i="2"/>
  <c r="G23" i="2" s="1"/>
  <c r="N15" i="2"/>
  <c r="E42" i="2" l="1"/>
  <c r="E23" i="2"/>
  <c r="F23" i="2" s="1"/>
  <c r="K17" i="2"/>
  <c r="K18" i="2"/>
  <c r="G42" i="2" l="1"/>
  <c r="I11" i="2"/>
  <c r="K11" i="2"/>
  <c r="H56" i="18"/>
  <c r="H47" i="18" s="1"/>
  <c r="H48" i="18" s="1"/>
  <c r="H49" i="18" s="1"/>
  <c r="E43" i="2" l="1"/>
  <c r="K21" i="2"/>
  <c r="I20" i="2"/>
  <c r="J11" i="2"/>
  <c r="H6" i="18"/>
  <c r="G43" i="2" l="1"/>
  <c r="K24" i="2"/>
  <c r="K20" i="2"/>
  <c r="J20" i="2" s="1"/>
  <c r="I34" i="2"/>
  <c r="K34" i="2" s="1"/>
  <c r="K32" i="2"/>
  <c r="K33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10" i="18"/>
  <c r="T7" i="18"/>
  <c r="Q31" i="18"/>
  <c r="X13" i="18"/>
  <c r="T9" i="2"/>
  <c r="S9" i="2"/>
  <c r="S20" i="2"/>
  <c r="S19" i="2"/>
  <c r="S18" i="2"/>
  <c r="S17" i="2"/>
  <c r="S16" i="2"/>
  <c r="S15" i="2"/>
  <c r="S14" i="2"/>
  <c r="S13" i="2"/>
  <c r="X47" i="18"/>
  <c r="AO13" i="5"/>
  <c r="G109" i="18"/>
  <c r="Z18" i="18" s="1"/>
  <c r="J106" i="18"/>
  <c r="J74" i="18"/>
  <c r="V74" i="18" s="1"/>
  <c r="X83" i="18"/>
  <c r="I129" i="18"/>
  <c r="J152" i="18"/>
  <c r="G139" i="18"/>
  <c r="G108" i="18"/>
  <c r="G107" i="18"/>
  <c r="Z17" i="18" s="1"/>
  <c r="G106" i="18"/>
  <c r="Z16" i="18" s="1"/>
  <c r="G94" i="18"/>
  <c r="G93" i="18"/>
  <c r="Z14" i="18" s="1"/>
  <c r="G56" i="18"/>
  <c r="Z12" i="18" s="1"/>
  <c r="G32" i="18"/>
  <c r="Z13" i="18" s="1"/>
  <c r="G21" i="18"/>
  <c r="G13" i="18"/>
  <c r="I13" i="18" s="1"/>
  <c r="G6" i="18"/>
  <c r="Q132" i="18"/>
  <c r="Y33" i="18"/>
  <c r="Y32" i="18"/>
  <c r="Y31" i="18"/>
  <c r="Y30" i="18"/>
  <c r="J139" i="18"/>
  <c r="J132" i="18"/>
  <c r="J122" i="18"/>
  <c r="U126" i="18" s="1"/>
  <c r="J93" i="18"/>
  <c r="J56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2" i="18"/>
  <c r="H23" i="3" s="1"/>
  <c r="I152" i="18"/>
  <c r="F23" i="3" s="1"/>
  <c r="X129" i="18"/>
  <c r="X74" i="18"/>
  <c r="I74" i="18"/>
  <c r="F15" i="3" s="1"/>
  <c r="I83" i="18"/>
  <c r="F16" i="3" s="1"/>
  <c r="O1" i="2"/>
  <c r="N1" i="2"/>
  <c r="G25" i="3"/>
  <c r="D4" i="5"/>
  <c r="F13" i="5" s="1"/>
  <c r="E46" i="5"/>
  <c r="E47" i="5"/>
  <c r="E21" i="5"/>
  <c r="I122" i="18"/>
  <c r="Z41" i="18"/>
  <c r="Z42" i="18" s="1"/>
  <c r="X21" i="18"/>
  <c r="U52" i="18" l="1"/>
  <c r="E44" i="2"/>
  <c r="I39" i="2"/>
  <c r="I37" i="2" s="1"/>
  <c r="N20" i="2"/>
  <c r="M20" i="2"/>
  <c r="P15" i="5"/>
  <c r="I25" i="2"/>
  <c r="I27" i="2" s="1"/>
  <c r="U53" i="18"/>
  <c r="U49" i="18"/>
  <c r="U54" i="18"/>
  <c r="U50" i="18"/>
  <c r="U48" i="18"/>
  <c r="U47" i="18"/>
  <c r="U51" i="18"/>
  <c r="I139" i="18"/>
  <c r="F22" i="3" s="1"/>
  <c r="Q142" i="18"/>
  <c r="K39" i="2"/>
  <c r="U15" i="18"/>
  <c r="Q117" i="18"/>
  <c r="I6" i="18"/>
  <c r="I21" i="18"/>
  <c r="I31" i="18"/>
  <c r="F12" i="3" s="1"/>
  <c r="Q139" i="18"/>
  <c r="I132" i="18"/>
  <c r="F21" i="3" s="1"/>
  <c r="F19" i="3"/>
  <c r="J19" i="3" s="1"/>
  <c r="F10" i="3"/>
  <c r="I93" i="18"/>
  <c r="Z15" i="18"/>
  <c r="Z22" i="18" s="1"/>
  <c r="Z24" i="18" s="1"/>
  <c r="Z26" i="18" s="1"/>
  <c r="U13" i="18"/>
  <c r="J2" i="18"/>
  <c r="J4" i="18" s="1"/>
  <c r="F20" i="3"/>
  <c r="Q141" i="18"/>
  <c r="Q116" i="18"/>
  <c r="Q140" i="18"/>
  <c r="U14" i="18"/>
  <c r="H10" i="3"/>
  <c r="U17" i="18"/>
  <c r="I56" i="18"/>
  <c r="U16" i="18"/>
  <c r="U19" i="18"/>
  <c r="U18" i="18"/>
  <c r="U122" i="18"/>
  <c r="H20" i="3"/>
  <c r="I106" i="18"/>
  <c r="N16" i="2"/>
  <c r="J23" i="3"/>
  <c r="F15" i="5"/>
  <c r="Q6" i="18"/>
  <c r="X6" i="18" s="1"/>
  <c r="F14" i="5"/>
  <c r="F17" i="5"/>
  <c r="F16" i="5"/>
  <c r="F19" i="5"/>
  <c r="C3" i="6"/>
  <c r="H15" i="3"/>
  <c r="J15" i="3" s="1"/>
  <c r="Q99" i="18"/>
  <c r="Q95" i="18"/>
  <c r="Q94" i="18"/>
  <c r="Q97" i="18"/>
  <c r="Q96" i="18"/>
  <c r="Q98" i="18"/>
  <c r="Q100" i="18"/>
  <c r="Q42" i="18"/>
  <c r="Q37" i="18"/>
  <c r="Q41" i="18"/>
  <c r="Q35" i="18"/>
  <c r="Q39" i="18"/>
  <c r="Q40" i="18"/>
  <c r="Q38" i="18"/>
  <c r="Q36" i="18"/>
  <c r="Q101" i="18"/>
  <c r="Q65" i="18"/>
  <c r="Q69" i="18"/>
  <c r="Q68" i="18"/>
  <c r="Q67" i="18"/>
  <c r="Q63" i="18"/>
  <c r="Q64" i="18"/>
  <c r="Q62" i="18"/>
  <c r="Q66" i="18"/>
  <c r="Q114" i="18"/>
  <c r="Q111" i="18"/>
  <c r="Q113" i="18"/>
  <c r="Q115" i="18"/>
  <c r="Q112" i="18"/>
  <c r="X132" i="18"/>
  <c r="F13" i="3"/>
  <c r="H11" i="3"/>
  <c r="U24" i="18"/>
  <c r="U22" i="18"/>
  <c r="U124" i="18"/>
  <c r="U127" i="18"/>
  <c r="U125" i="18"/>
  <c r="U123" i="18"/>
  <c r="H13" i="3"/>
  <c r="H16" i="3"/>
  <c r="J16" i="3" s="1"/>
  <c r="U28" i="18"/>
  <c r="U29" i="18"/>
  <c r="U21" i="18"/>
  <c r="U26" i="18"/>
  <c r="E47" i="2" l="1"/>
  <c r="G44" i="2"/>
  <c r="G41" i="2" s="1"/>
  <c r="E41" i="2"/>
  <c r="W6" i="18"/>
  <c r="K38" i="2"/>
  <c r="P14" i="5" s="1"/>
  <c r="I28" i="2"/>
  <c r="K28" i="2" s="1"/>
  <c r="K27" i="2"/>
  <c r="I23" i="2"/>
  <c r="K25" i="2"/>
  <c r="V13" i="18"/>
  <c r="I35" i="2"/>
  <c r="J20" i="3"/>
  <c r="X139" i="18"/>
  <c r="U144" i="18" s="1"/>
  <c r="F17" i="3"/>
  <c r="F14" i="3"/>
  <c r="J10" i="3"/>
  <c r="F11" i="3"/>
  <c r="J11" i="3" s="1"/>
  <c r="I2" i="18"/>
  <c r="F9" i="3"/>
  <c r="V122" i="18"/>
  <c r="U141" i="18"/>
  <c r="F18" i="3"/>
  <c r="N17" i="2"/>
  <c r="J13" i="3"/>
  <c r="F21" i="5"/>
  <c r="F4" i="5" s="1"/>
  <c r="C9" i="6" s="1"/>
  <c r="U11" i="18"/>
  <c r="H9" i="3"/>
  <c r="U7" i="18"/>
  <c r="U8" i="18"/>
  <c r="U9" i="18"/>
  <c r="U10" i="18"/>
  <c r="X56" i="18"/>
  <c r="U67" i="18" s="1"/>
  <c r="U6" i="18"/>
  <c r="X93" i="18"/>
  <c r="U95" i="18" s="1"/>
  <c r="U147" i="18"/>
  <c r="U150" i="18"/>
  <c r="U143" i="18"/>
  <c r="U146" i="18"/>
  <c r="U149" i="18"/>
  <c r="U148" i="18"/>
  <c r="H22" i="3"/>
  <c r="J22" i="3" s="1"/>
  <c r="U145" i="18"/>
  <c r="U140" i="18"/>
  <c r="U136" i="18"/>
  <c r="U132" i="18"/>
  <c r="H21" i="3"/>
  <c r="J21" i="3" s="1"/>
  <c r="U137" i="18"/>
  <c r="U133" i="18"/>
  <c r="U134" i="18"/>
  <c r="U135" i="18"/>
  <c r="X31" i="18"/>
  <c r="U41" i="18" s="1"/>
  <c r="X106" i="18"/>
  <c r="V83" i="18"/>
  <c r="V47" i="18"/>
  <c r="V21" i="18"/>
  <c r="F41" i="2" l="1"/>
  <c r="H16" i="5"/>
  <c r="G47" i="2"/>
  <c r="K37" i="2"/>
  <c r="J37" i="2" s="1"/>
  <c r="W31" i="18"/>
  <c r="W14" i="18"/>
  <c r="W47" i="18" s="1"/>
  <c r="K23" i="2"/>
  <c r="J23" i="2" s="1"/>
  <c r="U35" i="18"/>
  <c r="U45" i="18"/>
  <c r="U68" i="18"/>
  <c r="U72" i="18"/>
  <c r="U139" i="18"/>
  <c r="U142" i="18"/>
  <c r="K35" i="2"/>
  <c r="K30" i="2" s="1"/>
  <c r="I30" i="2"/>
  <c r="N27" i="2"/>
  <c r="N26" i="2"/>
  <c r="N28" i="2"/>
  <c r="U94" i="18"/>
  <c r="F5" i="3"/>
  <c r="D5" i="5" s="1"/>
  <c r="D6" i="5" s="1"/>
  <c r="U101" i="18"/>
  <c r="J9" i="3"/>
  <c r="F47" i="5"/>
  <c r="F45" i="5" s="1"/>
  <c r="U37" i="18"/>
  <c r="U65" i="18"/>
  <c r="U36" i="18"/>
  <c r="U98" i="18"/>
  <c r="U97" i="18"/>
  <c r="U100" i="18"/>
  <c r="U69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0" i="18"/>
  <c r="U112" i="18"/>
  <c r="U113" i="18"/>
  <c r="V132" i="18"/>
  <c r="U114" i="18"/>
  <c r="U111" i="18"/>
  <c r="U115" i="18"/>
  <c r="H14" i="3"/>
  <c r="J14" i="3" s="1"/>
  <c r="U60" i="18"/>
  <c r="U61" i="18"/>
  <c r="U58" i="18"/>
  <c r="U70" i="18"/>
  <c r="U59" i="18"/>
  <c r="U71" i="18"/>
  <c r="U56" i="18"/>
  <c r="U57" i="18"/>
  <c r="U62" i="18"/>
  <c r="U33" i="18"/>
  <c r="U34" i="18"/>
  <c r="U31" i="18"/>
  <c r="H12" i="3"/>
  <c r="J12" i="3" s="1"/>
  <c r="U43" i="18"/>
  <c r="U44" i="18"/>
  <c r="U32" i="18"/>
  <c r="X2" i="18"/>
  <c r="U39" i="18"/>
  <c r="U64" i="18"/>
  <c r="V6" i="18"/>
  <c r="U42" i="18"/>
  <c r="H17" i="3"/>
  <c r="J17" i="3" s="1"/>
  <c r="U102" i="18"/>
  <c r="U103" i="18"/>
  <c r="U104" i="18"/>
  <c r="U93" i="18"/>
  <c r="U66" i="18"/>
  <c r="U40" i="18"/>
  <c r="U38" i="18"/>
  <c r="U63" i="18"/>
  <c r="E48" i="2" l="1"/>
  <c r="D7" i="5"/>
  <c r="G6" i="5"/>
  <c r="V139" i="18"/>
  <c r="F25" i="3"/>
  <c r="F41" i="5"/>
  <c r="F44" i="5"/>
  <c r="C5" i="6"/>
  <c r="J30" i="2"/>
  <c r="I42" i="2"/>
  <c r="F42" i="5"/>
  <c r="F43" i="5"/>
  <c r="N18" i="2"/>
  <c r="V56" i="18"/>
  <c r="H5" i="3"/>
  <c r="V106" i="18"/>
  <c r="V31" i="18"/>
  <c r="V93" i="18"/>
  <c r="G48" i="2" l="1"/>
  <c r="G46" i="2" s="1"/>
  <c r="E51" i="2"/>
  <c r="E46" i="2"/>
  <c r="F46" i="5"/>
  <c r="K42" i="2"/>
  <c r="N38" i="2"/>
  <c r="U13" i="2"/>
  <c r="V13" i="2"/>
  <c r="W95" i="18"/>
  <c r="W94" i="18"/>
  <c r="J5" i="3"/>
  <c r="F5" i="5"/>
  <c r="H25" i="3"/>
  <c r="F46" i="2" l="1"/>
  <c r="G51" i="2"/>
  <c r="W62" i="18"/>
  <c r="T94" i="18"/>
  <c r="W110" i="18"/>
  <c r="W35" i="18"/>
  <c r="W63" i="18"/>
  <c r="T63" i="18" s="1"/>
  <c r="W111" i="18"/>
  <c r="W36" i="18"/>
  <c r="T95" i="18"/>
  <c r="I43" i="2"/>
  <c r="N21" i="2"/>
  <c r="H21" i="18"/>
  <c r="H13" i="18"/>
  <c r="T14" i="2"/>
  <c r="F6" i="5"/>
  <c r="F7" i="5" s="1"/>
  <c r="C11" i="6"/>
  <c r="E53" i="2" l="1"/>
  <c r="G53" i="2" s="1"/>
  <c r="E52" i="2"/>
  <c r="T111" i="18"/>
  <c r="T36" i="18"/>
  <c r="T62" i="18"/>
  <c r="T110" i="18"/>
  <c r="T35" i="18"/>
  <c r="K43" i="2"/>
  <c r="N34" i="2"/>
  <c r="N32" i="2"/>
  <c r="N33" i="2"/>
  <c r="H31" i="18"/>
  <c r="V14" i="2"/>
  <c r="G52" i="2" l="1"/>
  <c r="E50" i="2"/>
  <c r="I44" i="2"/>
  <c r="I51" i="2" s="1"/>
  <c r="H93" i="18"/>
  <c r="N25" i="2"/>
  <c r="N24" i="2"/>
  <c r="U14" i="2"/>
  <c r="H17" i="5" l="1"/>
  <c r="G50" i="2"/>
  <c r="F50" i="2" s="1"/>
  <c r="H108" i="18"/>
  <c r="H83" i="18"/>
  <c r="K44" i="2"/>
  <c r="K41" i="2" s="1"/>
  <c r="W132" i="18" s="1"/>
  <c r="W133" i="18" s="1"/>
  <c r="I47" i="2"/>
  <c r="I41" i="2"/>
  <c r="H106" i="18"/>
  <c r="H107" i="18"/>
  <c r="H109" i="18"/>
  <c r="T15" i="2"/>
  <c r="W134" i="18" l="1"/>
  <c r="T133" i="18"/>
  <c r="W122" i="18"/>
  <c r="P16" i="5"/>
  <c r="K47" i="2"/>
  <c r="J41" i="2"/>
  <c r="J9" i="2"/>
  <c r="H94" i="18"/>
  <c r="H32" i="18"/>
  <c r="T17" i="2"/>
  <c r="U15" i="2"/>
  <c r="V15" i="2"/>
  <c r="W96" i="18"/>
  <c r="W135" i="18" l="1"/>
  <c r="T134" i="18"/>
  <c r="W64" i="18"/>
  <c r="T64" i="18" s="1"/>
  <c r="W112" i="18"/>
  <c r="W37" i="18"/>
  <c r="T96" i="18"/>
  <c r="I48" i="2"/>
  <c r="N39" i="2"/>
  <c r="N35" i="2"/>
  <c r="W136" i="18" l="1"/>
  <c r="T136" i="18" s="1"/>
  <c r="T135" i="18"/>
  <c r="T112" i="18"/>
  <c r="T37" i="18"/>
  <c r="K48" i="2"/>
  <c r="K46" i="2" s="1"/>
  <c r="I46" i="2"/>
  <c r="T16" i="2"/>
  <c r="U17" i="2"/>
  <c r="V17" i="2"/>
  <c r="J46" i="2" l="1"/>
  <c r="K51" i="2"/>
  <c r="I52" i="2" l="1"/>
  <c r="I53" i="2"/>
  <c r="K53" i="2" s="1"/>
  <c r="U16" i="2"/>
  <c r="W97" i="18"/>
  <c r="V16" i="2"/>
  <c r="W65" i="18" l="1"/>
  <c r="T65" i="18" s="1"/>
  <c r="W113" i="18"/>
  <c r="T97" i="18"/>
  <c r="W38" i="18"/>
  <c r="K52" i="2"/>
  <c r="I50" i="2"/>
  <c r="N42" i="2"/>
  <c r="P17" i="5" l="1"/>
  <c r="K50" i="2"/>
  <c r="J50" i="2" s="1"/>
  <c r="T113" i="18"/>
  <c r="T38" i="18"/>
  <c r="N43" i="2"/>
  <c r="N44" i="2"/>
  <c r="N47" i="2" l="1"/>
  <c r="H139" i="18"/>
  <c r="H132" i="18"/>
  <c r="K2" i="2" l="1"/>
  <c r="K3" i="2" s="1"/>
  <c r="K4" i="2" s="1"/>
  <c r="T18" i="2"/>
  <c r="U18" i="2" l="1"/>
  <c r="V18" i="2"/>
  <c r="W98" i="18"/>
  <c r="T98" i="18" l="1"/>
  <c r="W114" i="18"/>
  <c r="W66" i="18"/>
  <c r="T66" i="18" s="1"/>
  <c r="W39" i="18"/>
  <c r="T114" i="18" l="1"/>
  <c r="T39" i="18"/>
  <c r="N48" i="2"/>
  <c r="T19" i="2"/>
  <c r="N51" i="2" l="1"/>
  <c r="W100" i="18"/>
  <c r="W101" i="18"/>
  <c r="W99" i="18"/>
  <c r="W67" i="18" l="1"/>
  <c r="T67" i="18" s="1"/>
  <c r="T99" i="18"/>
  <c r="W115" i="18"/>
  <c r="W40" i="18"/>
  <c r="T101" i="18"/>
  <c r="W69" i="18"/>
  <c r="T69" i="18" s="1"/>
  <c r="W117" i="18"/>
  <c r="W42" i="18"/>
  <c r="W68" i="18"/>
  <c r="T68" i="18" s="1"/>
  <c r="T100" i="18"/>
  <c r="W41" i="18"/>
  <c r="W116" i="18"/>
  <c r="U19" i="2"/>
  <c r="V19" i="2"/>
  <c r="T41" i="18" l="1"/>
  <c r="T116" i="18"/>
  <c r="T42" i="18"/>
  <c r="T117" i="18"/>
  <c r="T40" i="18"/>
  <c r="T115" i="18"/>
  <c r="N53" i="2"/>
  <c r="N52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2" i="18" l="1"/>
  <c r="H123" i="18" s="1"/>
  <c r="H124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22" i="18" l="1"/>
  <c r="CX11" i="6"/>
  <c r="AZ11" i="6"/>
  <c r="HU11" i="6"/>
  <c r="AG11" i="6"/>
  <c r="HR11" i="6"/>
  <c r="EZ11" i="6"/>
  <c r="CV11" i="6"/>
  <c r="IS11" i="6"/>
  <c r="HH11" i="6"/>
  <c r="EK11" i="6"/>
  <c r="CI11" i="6"/>
  <c r="HJ11" i="6"/>
  <c r="BR11" i="6"/>
  <c r="ES11" i="6"/>
  <c r="AT11" i="6"/>
  <c r="GP11" i="6"/>
  <c r="AU11" i="6"/>
  <c r="KF11" i="6"/>
  <c r="BZ11" i="6"/>
  <c r="CJ11" i="6"/>
  <c r="O11" i="6"/>
  <c r="JW11" i="6"/>
  <c r="JB11" i="6"/>
  <c r="CE11" i="6"/>
  <c r="KB11" i="6"/>
  <c r="AF11" i="6"/>
  <c r="FG11" i="6"/>
  <c r="GG11" i="6"/>
  <c r="GF11" i="6"/>
  <c r="JA11" i="6"/>
  <c r="Z11" i="6"/>
  <c r="BT11" i="6"/>
  <c r="X11" i="6"/>
  <c r="IE11" i="6"/>
  <c r="AX11" i="6"/>
  <c r="EG11" i="6"/>
  <c r="CL11" i="6"/>
  <c r="CA11" i="6"/>
  <c r="DW11" i="6"/>
  <c r="FO11" i="6"/>
  <c r="IB11" i="6"/>
  <c r="CR11" i="6"/>
  <c r="EO11" i="6"/>
  <c r="BO11" i="6"/>
  <c r="EX11" i="6"/>
  <c r="KE11" i="6"/>
  <c r="IN11" i="6"/>
  <c r="BH11" i="6"/>
  <c r="FU11" i="6"/>
  <c r="DH11" i="6"/>
  <c r="GU11" i="6"/>
  <c r="GA11" i="6"/>
  <c r="HS11" i="6"/>
  <c r="JJ11" i="6"/>
  <c r="IY11" i="6"/>
  <c r="HB11" i="6"/>
  <c r="DX11" i="6"/>
  <c r="BF11" i="6"/>
  <c r="P11" i="6"/>
  <c r="IJ11" i="6"/>
  <c r="GL11" i="6"/>
  <c r="AN11" i="6"/>
  <c r="EY11" i="6"/>
  <c r="EM11" i="6"/>
  <c r="EF11" i="6"/>
  <c r="AQ11" i="6"/>
  <c r="IZ11" i="6"/>
  <c r="DA11" i="6"/>
  <c r="DP11" i="6"/>
  <c r="JT11" i="6"/>
  <c r="CW11" i="6"/>
  <c r="DU11" i="6"/>
  <c r="BY11" i="6"/>
  <c r="KA11" i="6"/>
  <c r="IA11" i="6"/>
  <c r="CD11" i="6"/>
  <c r="AP11" i="6"/>
  <c r="CG11" i="6"/>
  <c r="M11" i="6"/>
  <c r="I11" i="6"/>
  <c r="DT11" i="6"/>
  <c r="N11" i="6"/>
  <c r="AC11" i="6"/>
  <c r="GE11" i="6"/>
  <c r="HQ11" i="6"/>
  <c r="FK11" i="6"/>
  <c r="IR11" i="6"/>
  <c r="ET11" i="6"/>
  <c r="DG11" i="6"/>
  <c r="JM11" i="6"/>
  <c r="EB11" i="6"/>
  <c r="JV11" i="6"/>
  <c r="JR11" i="6"/>
  <c r="DQ11" i="6"/>
  <c r="HM11" i="6"/>
  <c r="CN11" i="6"/>
  <c r="FV11" i="6"/>
  <c r="EA11" i="6"/>
  <c r="CP11" i="6"/>
  <c r="BA11" i="6"/>
  <c r="BC11" i="6"/>
  <c r="T11" i="6"/>
  <c r="FW11" i="6"/>
  <c r="CB11" i="6"/>
  <c r="JF11" i="6"/>
  <c r="JN11" i="6"/>
  <c r="DK11" i="6"/>
  <c r="EI11" i="6"/>
  <c r="EP11" i="6"/>
  <c r="IL11" i="6"/>
  <c r="JI11" i="6"/>
  <c r="EJ11" i="6"/>
  <c r="EL11" i="6"/>
  <c r="JP11" i="6"/>
  <c r="J11" i="6"/>
  <c r="AR11" i="6"/>
  <c r="CM11" i="6"/>
  <c r="IQ11" i="6"/>
  <c r="JH11" i="6"/>
  <c r="AB11" i="6"/>
  <c r="EU11" i="6"/>
  <c r="JZ11" i="6"/>
  <c r="FS11" i="6"/>
  <c r="HX11" i="6"/>
  <c r="FZ11" i="6"/>
  <c r="DL11" i="6"/>
  <c r="HL11" i="6"/>
  <c r="FE11" i="6"/>
  <c r="L11" i="6"/>
  <c r="JE11" i="6"/>
  <c r="BJ11" i="6"/>
  <c r="GZ11" i="6"/>
  <c r="FH11" i="6"/>
  <c r="AO11" i="6"/>
  <c r="AI11" i="6"/>
  <c r="II11" i="6"/>
  <c r="DZ11" i="6"/>
  <c r="DN11" i="6"/>
  <c r="GC11" i="6"/>
  <c r="AW11" i="6"/>
  <c r="JQ11" i="6"/>
  <c r="IO11" i="6"/>
  <c r="AL11" i="6"/>
  <c r="KC11" i="6"/>
  <c r="HD11" i="6"/>
  <c r="BU11" i="6"/>
  <c r="BE11" i="6"/>
  <c r="HE11" i="6"/>
  <c r="W11" i="6"/>
  <c r="DM11" i="6"/>
  <c r="CH11" i="6"/>
  <c r="IH11" i="6"/>
  <c r="AV11" i="6"/>
  <c r="GI11" i="6"/>
  <c r="BM11" i="6"/>
  <c r="CT11" i="6"/>
  <c r="FN11" i="6"/>
  <c r="DI11" i="6"/>
  <c r="G11" i="6"/>
  <c r="Y11" i="6"/>
  <c r="HP11" i="6"/>
  <c r="GV11" i="6"/>
  <c r="BN11" i="6"/>
  <c r="GM11" i="6"/>
  <c r="IV11" i="6"/>
  <c r="JX11" i="6"/>
  <c r="U11" i="6"/>
  <c r="JK11" i="6"/>
  <c r="CK11" i="6"/>
  <c r="FC11" i="6"/>
  <c r="IK11" i="6"/>
  <c r="IC11" i="6"/>
  <c r="BW11" i="6"/>
  <c r="IW11" i="6"/>
  <c r="H11" i="6"/>
  <c r="GN11" i="6"/>
  <c r="HG11" i="6"/>
  <c r="ER11" i="6"/>
  <c r="DC11" i="6"/>
  <c r="FI11" i="6"/>
  <c r="HK11" i="6"/>
  <c r="FM11" i="6"/>
  <c r="IP11" i="6"/>
  <c r="BP11" i="6"/>
  <c r="FJ11" i="6"/>
  <c r="AM11" i="6"/>
  <c r="JL11" i="6"/>
  <c r="CU11" i="6"/>
  <c r="BI11" i="6"/>
  <c r="BD11" i="6"/>
  <c r="IT11" i="6"/>
  <c r="BQ11" i="6"/>
  <c r="JY11" i="6"/>
  <c r="DF11" i="6"/>
  <c r="EE11" i="6"/>
  <c r="FX11" i="6"/>
  <c r="DB11" i="6"/>
  <c r="FA11" i="6"/>
  <c r="AD11" i="6"/>
  <c r="BL11" i="6"/>
  <c r="S11" i="6"/>
  <c r="CS11" i="6"/>
  <c r="HY11" i="6"/>
  <c r="HI11" i="6"/>
  <c r="HZ11" i="6"/>
  <c r="V11" i="6"/>
  <c r="FL11" i="6"/>
  <c r="HF11" i="6"/>
  <c r="GT11" i="6"/>
  <c r="BK11" i="6"/>
  <c r="JG11" i="6"/>
  <c r="FT11" i="6"/>
  <c r="HO11" i="6"/>
  <c r="IG11" i="6"/>
  <c r="FR11" i="6"/>
  <c r="AK11" i="6"/>
  <c r="FQ11" i="6"/>
  <c r="AE11" i="6"/>
  <c r="AS11" i="6"/>
  <c r="GR11" i="6"/>
  <c r="HW11" i="6"/>
  <c r="AA11" i="6"/>
  <c r="HV11" i="6"/>
  <c r="FF11" i="6"/>
  <c r="CF11" i="6"/>
  <c r="HA11" i="6"/>
  <c r="JS11" i="6"/>
  <c r="DJ11" i="6"/>
  <c r="AH11" i="6"/>
  <c r="GJ11" i="6"/>
  <c r="CY11" i="6"/>
  <c r="K11" i="6"/>
  <c r="IM11" i="6"/>
  <c r="ID11" i="6"/>
  <c r="EC11" i="6"/>
  <c r="GW11" i="6"/>
  <c r="IU11" i="6"/>
  <c r="CC11" i="6"/>
  <c r="JO11" i="6"/>
  <c r="DV11" i="6"/>
  <c r="EN11" i="6"/>
  <c r="BS11" i="6"/>
  <c r="KD11" i="6"/>
  <c r="GH11" i="6"/>
  <c r="CO11" i="6"/>
  <c r="BX11" i="6"/>
  <c r="HN11" i="6"/>
  <c r="FD11" i="6"/>
  <c r="EQ11" i="6"/>
  <c r="GY11" i="6"/>
  <c r="GB11" i="6"/>
  <c r="GS11" i="6"/>
  <c r="BB11" i="6"/>
  <c r="BG11" i="6"/>
  <c r="GX11" i="6"/>
  <c r="AJ11" i="6"/>
  <c r="DY11" i="6"/>
  <c r="EW11" i="6"/>
  <c r="CQ11" i="6"/>
  <c r="JU11" i="6"/>
  <c r="DD11" i="6"/>
  <c r="EV11" i="6"/>
  <c r="FY11" i="6"/>
  <c r="FB11" i="6"/>
  <c r="HT11" i="6"/>
  <c r="EH11" i="6"/>
  <c r="IF11" i="6"/>
  <c r="GQ11" i="6"/>
  <c r="CZ11" i="6"/>
  <c r="DO11" i="6"/>
  <c r="IX11" i="6"/>
  <c r="DE11" i="6"/>
  <c r="R11" i="6"/>
  <c r="GO11" i="6"/>
  <c r="AY11" i="6"/>
  <c r="Q11" i="6"/>
  <c r="DR11" i="6"/>
  <c r="FP11" i="6"/>
  <c r="ED11" i="6"/>
  <c r="JD11" i="6"/>
  <c r="DS11" i="6"/>
  <c r="GD11" i="6"/>
  <c r="GK11" i="6"/>
  <c r="HC11" i="6"/>
  <c r="JC11" i="6"/>
  <c r="BV11" i="6"/>
  <c r="T132" i="18"/>
  <c r="BS17" i="6" s="1"/>
  <c r="F11" i="6"/>
  <c r="F12" i="6" s="1"/>
  <c r="W4" i="5" l="1"/>
  <c r="V4" i="5"/>
  <c r="JA17" i="6"/>
  <c r="BB17" i="6"/>
  <c r="GR17" i="6"/>
  <c r="DQ17" i="6"/>
  <c r="BC17" i="6"/>
  <c r="AW17" i="6"/>
  <c r="IW17" i="6"/>
  <c r="EQ17" i="6"/>
  <c r="GC17" i="6"/>
  <c r="BZ17" i="6"/>
  <c r="CU17" i="6"/>
  <c r="BM17" i="6"/>
  <c r="CZ17" i="6"/>
  <c r="Q17" i="6"/>
  <c r="HS17" i="6"/>
  <c r="JY17" i="6"/>
  <c r="F17" i="6"/>
  <c r="F18" i="6" s="1"/>
  <c r="GP17" i="6"/>
  <c r="CL17" i="6"/>
  <c r="JV17" i="6"/>
  <c r="FG17" i="6"/>
  <c r="HX17" i="6"/>
  <c r="JT17" i="6"/>
  <c r="FD17" i="6"/>
  <c r="AM17" i="6"/>
  <c r="FN17" i="6"/>
  <c r="AB17" i="6"/>
  <c r="CN17" i="6"/>
  <c r="O17" i="6"/>
  <c r="IN17" i="6"/>
  <c r="HO17" i="6"/>
  <c r="L17" i="6"/>
  <c r="AU17" i="6"/>
  <c r="FJ17" i="6"/>
  <c r="JN17" i="6"/>
  <c r="GO17" i="6"/>
  <c r="KA17" i="6"/>
  <c r="FR17" i="6"/>
  <c r="JB17" i="6"/>
  <c r="N17" i="6"/>
  <c r="JI17" i="6"/>
  <c r="EI17" i="6"/>
  <c r="HU17" i="6"/>
  <c r="BN17" i="6"/>
  <c r="HY17" i="6"/>
  <c r="DI17" i="6"/>
  <c r="GE17" i="6"/>
  <c r="CP17" i="6"/>
  <c r="DH17" i="6"/>
  <c r="T17" i="6"/>
  <c r="BY17" i="6"/>
  <c r="GS17" i="6"/>
  <c r="FX17" i="6"/>
  <c r="HC17" i="6"/>
  <c r="AL17" i="6"/>
  <c r="GM17" i="6"/>
  <c r="FS17" i="6"/>
  <c r="HE17" i="6"/>
  <c r="FK17" i="6"/>
  <c r="HA17" i="6"/>
  <c r="DG17" i="6"/>
  <c r="CR17" i="6"/>
  <c r="IL17" i="6"/>
  <c r="GI17" i="6"/>
  <c r="DL17" i="6"/>
  <c r="CT17" i="6"/>
  <c r="DM17" i="6"/>
  <c r="Y17" i="6"/>
  <c r="IM17" i="6"/>
  <c r="HR17" i="6"/>
  <c r="GU17" i="6"/>
  <c r="IG17" i="6"/>
  <c r="JJ17" i="6"/>
  <c r="AP17" i="6"/>
  <c r="AG17" i="6"/>
  <c r="CO17" i="6"/>
  <c r="AV17" i="6"/>
  <c r="CG17" i="6"/>
  <c r="GH17" i="6"/>
  <c r="AQ17" i="6"/>
  <c r="JU17" i="6"/>
  <c r="GQ17" i="6"/>
  <c r="IV17" i="6"/>
  <c r="U4" i="5"/>
  <c r="T4" i="5"/>
  <c r="D11" i="6"/>
  <c r="P17" i="6"/>
  <c r="IU17" i="6"/>
  <c r="AA17" i="6"/>
  <c r="ES17" i="6"/>
  <c r="FV17" i="6"/>
  <c r="IZ17" i="6"/>
  <c r="GZ17" i="6"/>
  <c r="EE17" i="6"/>
  <c r="GT17" i="6"/>
  <c r="JF17" i="6"/>
  <c r="EG17" i="6"/>
  <c r="DK17" i="6"/>
  <c r="IA17" i="6"/>
  <c r="DN17" i="6"/>
  <c r="EW17" i="6"/>
  <c r="DZ17" i="6"/>
  <c r="CA17" i="6"/>
  <c r="HF17" i="6"/>
  <c r="DC17" i="6"/>
  <c r="G12" i="6"/>
  <c r="F14" i="6"/>
  <c r="FI17" i="6"/>
  <c r="KF17" i="6"/>
  <c r="AE17" i="6"/>
  <c r="IF17" i="6"/>
  <c r="GK17" i="6"/>
  <c r="AR17" i="6"/>
  <c r="Z17" i="6"/>
  <c r="JO17" i="6"/>
  <c r="U17" i="6"/>
  <c r="JM17" i="6"/>
  <c r="GF17" i="6"/>
  <c r="HH17" i="6"/>
  <c r="KE17" i="6"/>
  <c r="J17" i="6"/>
  <c r="DX17" i="6"/>
  <c r="BU17" i="6"/>
  <c r="FQ17" i="6"/>
  <c r="EH17" i="6"/>
  <c r="IS17" i="6"/>
  <c r="BD17" i="6"/>
  <c r="EP17" i="6"/>
  <c r="CF17" i="6"/>
  <c r="K17" i="6"/>
  <c r="BF17" i="6"/>
  <c r="HG17" i="6"/>
  <c r="BO17" i="6"/>
  <c r="V17" i="6"/>
  <c r="G17" i="6"/>
  <c r="IY17" i="6"/>
  <c r="FC17" i="6"/>
  <c r="FO17" i="6"/>
  <c r="DO17" i="6"/>
  <c r="BX17" i="6"/>
  <c r="CH17" i="6"/>
  <c r="DY17" i="6"/>
  <c r="EK17" i="6"/>
  <c r="AC17" i="6"/>
  <c r="FA17" i="6"/>
  <c r="R17" i="6"/>
  <c r="EB17" i="6"/>
  <c r="GD17" i="6"/>
  <c r="BR17" i="6"/>
  <c r="GJ17" i="6"/>
  <c r="CJ17" i="6"/>
  <c r="BQ17" i="6"/>
  <c r="CS17" i="6"/>
  <c r="AI17" i="6"/>
  <c r="AH17" i="6"/>
  <c r="IJ17" i="6"/>
  <c r="M17" i="6"/>
  <c r="DT17" i="6"/>
  <c r="GG17" i="6"/>
  <c r="AY17" i="6"/>
  <c r="HQ17" i="6"/>
  <c r="KB17" i="6"/>
  <c r="BP17" i="6"/>
  <c r="JS17" i="6"/>
  <c r="HL17" i="6"/>
  <c r="GB17" i="6"/>
  <c r="CM17" i="6"/>
  <c r="FW17" i="6"/>
  <c r="CQ17" i="6"/>
  <c r="X17" i="6"/>
  <c r="CV17" i="6"/>
  <c r="AZ17" i="6"/>
  <c r="BT17" i="6"/>
  <c r="IP17" i="6"/>
  <c r="DP17" i="6"/>
  <c r="DB17" i="6"/>
  <c r="JK17" i="6"/>
  <c r="BJ17" i="6"/>
  <c r="EX17" i="6"/>
  <c r="GL17" i="6"/>
  <c r="KC17" i="6"/>
  <c r="FB17" i="6"/>
  <c r="IK17" i="6"/>
  <c r="H17" i="6"/>
  <c r="IB17" i="6"/>
  <c r="JE17" i="6"/>
  <c r="CI17" i="6"/>
  <c r="BK17" i="6"/>
  <c r="HM17" i="6"/>
  <c r="GX17" i="6"/>
  <c r="AT17" i="6"/>
  <c r="JQ17" i="6"/>
  <c r="EO17" i="6"/>
  <c r="HJ17" i="6"/>
  <c r="IH17" i="6"/>
  <c r="IQ17" i="6"/>
  <c r="FH17" i="6"/>
  <c r="ET17" i="6"/>
  <c r="CC17" i="6"/>
  <c r="JP17" i="6"/>
  <c r="EF17" i="6"/>
  <c r="FF17" i="6"/>
  <c r="JZ17" i="6"/>
  <c r="FT17" i="6"/>
  <c r="JC17" i="6"/>
  <c r="JD17" i="6"/>
  <c r="DV17" i="6"/>
  <c r="BH17" i="6"/>
  <c r="CY17" i="6"/>
  <c r="HT17" i="6"/>
  <c r="FU17" i="6"/>
  <c r="EL17" i="6"/>
  <c r="ED17" i="6"/>
  <c r="CK17" i="6"/>
  <c r="HP17" i="6"/>
  <c r="JX17" i="6"/>
  <c r="DD17" i="6"/>
  <c r="EC17" i="6"/>
  <c r="HK17" i="6"/>
  <c r="HD17" i="6"/>
  <c r="EN17" i="6"/>
  <c r="W17" i="6"/>
  <c r="AN17" i="6"/>
  <c r="EU17" i="6"/>
  <c r="JW17" i="6"/>
  <c r="EM17" i="6"/>
  <c r="BW17" i="6"/>
  <c r="AD17" i="6"/>
  <c r="FE17" i="6"/>
  <c r="CE17" i="6"/>
  <c r="GW17" i="6"/>
  <c r="ER17" i="6"/>
  <c r="I17" i="6"/>
  <c r="EZ17" i="6"/>
  <c r="DE17" i="6"/>
  <c r="IE17" i="6"/>
  <c r="IT17" i="6"/>
  <c r="IX17" i="6"/>
  <c r="IR17" i="6"/>
  <c r="EJ17" i="6"/>
  <c r="BE17" i="6"/>
  <c r="KD17" i="6"/>
  <c r="HB17" i="6"/>
  <c r="BL17" i="6"/>
  <c r="JG17" i="6"/>
  <c r="EY17" i="6"/>
  <c r="DJ17" i="6"/>
  <c r="FM17" i="6"/>
  <c r="GY17" i="6"/>
  <c r="AX17" i="6"/>
  <c r="EV17" i="6"/>
  <c r="DA17" i="6"/>
  <c r="HN17" i="6"/>
  <c r="AO17" i="6"/>
  <c r="CD17" i="6"/>
  <c r="DF17" i="6"/>
  <c r="HW17" i="6"/>
  <c r="FZ17" i="6"/>
  <c r="JR17" i="6"/>
  <c r="BV17" i="6"/>
  <c r="IC17" i="6"/>
  <c r="ID17" i="6"/>
  <c r="JL17" i="6"/>
  <c r="IO17" i="6"/>
  <c r="AS17" i="6"/>
  <c r="FL17" i="6"/>
  <c r="GA17" i="6"/>
  <c r="DU17" i="6"/>
  <c r="CW17" i="6"/>
  <c r="DR17" i="6"/>
  <c r="CX17" i="6"/>
  <c r="FP17" i="6"/>
  <c r="CB17" i="6"/>
  <c r="AF17" i="6"/>
  <c r="JH17" i="6"/>
  <c r="II17" i="6"/>
  <c r="HI17" i="6"/>
  <c r="BA17" i="6"/>
  <c r="FY17" i="6"/>
  <c r="HZ17" i="6"/>
  <c r="EA17" i="6"/>
  <c r="BI17" i="6"/>
  <c r="DS17" i="6"/>
  <c r="GV17" i="6"/>
  <c r="BG17" i="6"/>
  <c r="AK17" i="6"/>
  <c r="GN17" i="6"/>
  <c r="S17" i="6"/>
  <c r="HV17" i="6"/>
  <c r="AJ17" i="6"/>
  <c r="DW17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H12" i="6"/>
  <c r="G14" i="6"/>
  <c r="D17" i="6"/>
  <c r="C17" i="6" l="1"/>
  <c r="D18" i="6"/>
  <c r="C18" i="6" s="1"/>
  <c r="I12" i="6"/>
  <c r="H14" i="6"/>
  <c r="I14" i="6" l="1"/>
  <c r="J12" i="6"/>
  <c r="J14" i="6" l="1"/>
  <c r="K12" i="6"/>
  <c r="K14" i="6" l="1"/>
  <c r="L12" i="6"/>
  <c r="L14" i="6" l="1"/>
  <c r="M12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T14" i="6" l="1"/>
  <c r="U12" i="6"/>
  <c r="V12" i="6" l="1"/>
  <c r="U14" i="6"/>
  <c r="V14" i="6" l="1"/>
  <c r="W12" i="6"/>
  <c r="X12" i="6" l="1"/>
  <c r="W14" i="6"/>
  <c r="X14" i="6" l="1"/>
  <c r="Y12" i="6"/>
  <c r="Y14" i="6" l="1"/>
  <c r="Z12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F14" i="6" l="1"/>
  <c r="AG12" i="6"/>
  <c r="AG14" i="6" l="1"/>
  <c r="AH12" i="6"/>
  <c r="AH14" i="6" l="1"/>
  <c r="AI12" i="6"/>
  <c r="AI14" i="6" l="1"/>
  <c r="AJ12" i="6"/>
  <c r="AJ14" i="6" l="1"/>
  <c r="AK12" i="6"/>
  <c r="AL12" i="6" l="1"/>
  <c r="AK14" i="6"/>
  <c r="AL14" i="6" l="1"/>
  <c r="AM12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U14" i="6" l="1"/>
  <c r="AV12" i="6"/>
  <c r="AV14" i="6" l="1"/>
  <c r="AW12" i="6"/>
  <c r="AX12" i="6" l="1"/>
  <c r="AW14" i="6"/>
  <c r="AY12" i="6" l="1"/>
  <c r="AX14" i="6"/>
  <c r="AZ12" i="6" l="1"/>
  <c r="AY14" i="6"/>
  <c r="BA12" i="6" l="1"/>
  <c r="AZ14" i="6"/>
  <c r="BB12" i="6" l="1"/>
  <c r="BA14" i="6"/>
  <c r="BB14" i="6" l="1"/>
  <c r="BC12" i="6"/>
  <c r="BD12" i="6" l="1"/>
  <c r="BC14" i="6"/>
  <c r="BD14" i="6" l="1"/>
  <c r="BE12" i="6"/>
  <c r="BE14" i="6" l="1"/>
  <c r="BF12" i="6"/>
  <c r="BF14" i="6" l="1"/>
  <c r="BG12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M14" i="6" l="1"/>
  <c r="BN12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U14" i="6" l="1"/>
  <c r="BV12" i="6"/>
  <c r="BW12" i="6" l="1"/>
  <c r="BV14" i="6"/>
  <c r="BX12" i="6" l="1"/>
  <c r="BW14" i="6"/>
  <c r="BX14" i="6" l="1"/>
  <c r="BY12" i="6"/>
  <c r="BY14" i="6" l="1"/>
  <c r="BZ12" i="6"/>
  <c r="BZ14" i="6" l="1"/>
  <c r="CA12" i="6"/>
  <c r="CA14" i="6" l="1"/>
  <c r="CB12" i="6"/>
  <c r="CB14" i="6" l="1"/>
  <c r="CC12" i="6"/>
  <c r="CC14" i="6" l="1"/>
  <c r="CD12" i="6"/>
  <c r="CD14" i="6" l="1"/>
  <c r="CE12" i="6"/>
  <c r="CE14" i="6" l="1"/>
  <c r="CF12" i="6"/>
  <c r="CF14" i="6" l="1"/>
  <c r="CG12" i="6"/>
  <c r="CG14" i="6" l="1"/>
  <c r="CH12" i="6"/>
  <c r="CH14" i="6" l="1"/>
  <c r="CI12" i="6"/>
  <c r="CI14" i="6" l="1"/>
  <c r="CJ12" i="6"/>
  <c r="CJ14" i="6" l="1"/>
  <c r="CK12" i="6"/>
  <c r="CK14" i="6" l="1"/>
  <c r="CL12" i="6"/>
  <c r="CL14" i="6" l="1"/>
  <c r="CM12" i="6"/>
  <c r="CM14" i="6" l="1"/>
  <c r="CN12" i="6"/>
  <c r="CN14" i="6" l="1"/>
  <c r="CO12" i="6"/>
  <c r="CO14" i="6" l="1"/>
  <c r="CP12" i="6"/>
  <c r="CQ12" i="6" l="1"/>
  <c r="CP14" i="6"/>
  <c r="CR12" i="6" l="1"/>
  <c r="CQ14" i="6"/>
  <c r="CR14" i="6" l="1"/>
  <c r="CS12" i="6"/>
  <c r="CT12" i="6" l="1"/>
  <c r="CS14" i="6"/>
  <c r="CT14" i="6" l="1"/>
  <c r="CU12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A14" i="6" l="1"/>
  <c r="DB12" i="6"/>
  <c r="DC12" i="6" l="1"/>
  <c r="DB14" i="6"/>
  <c r="DC14" i="6" l="1"/>
  <c r="DD12" i="6"/>
  <c r="DE12" i="6" l="1"/>
  <c r="DD14" i="6"/>
  <c r="DE14" i="6" l="1"/>
  <c r="DF12" i="6"/>
  <c r="DF14" i="6" l="1"/>
  <c r="DG12" i="6"/>
  <c r="DG14" i="6" l="1"/>
  <c r="DH12" i="6"/>
  <c r="DH14" i="6" l="1"/>
  <c r="DI12" i="6"/>
  <c r="DI14" i="6" l="1"/>
  <c r="DJ12" i="6"/>
  <c r="DJ14" i="6" l="1"/>
  <c r="DK12" i="6"/>
  <c r="DL12" i="6" l="1"/>
  <c r="DK14" i="6"/>
  <c r="DL14" i="6" l="1"/>
  <c r="DM12" i="6"/>
  <c r="DN12" i="6" l="1"/>
  <c r="DM14" i="6"/>
  <c r="DO12" i="6" l="1"/>
  <c r="DN14" i="6"/>
  <c r="DO14" i="6" l="1"/>
  <c r="DP12" i="6"/>
  <c r="DQ12" i="6" l="1"/>
  <c r="DP14" i="6"/>
  <c r="DQ14" i="6" l="1"/>
  <c r="DR12" i="6"/>
  <c r="DS12" i="6" l="1"/>
  <c r="DR14" i="6"/>
  <c r="DT12" i="6" l="1"/>
  <c r="DS14" i="6"/>
  <c r="DT14" i="6" l="1"/>
  <c r="DU12" i="6"/>
  <c r="DV12" i="6" l="1"/>
  <c r="DU14" i="6"/>
  <c r="DV14" i="6" l="1"/>
  <c r="DW12" i="6"/>
  <c r="DX12" i="6" l="1"/>
  <c r="DW14" i="6"/>
  <c r="DY12" i="6" l="1"/>
  <c r="DX14" i="6"/>
  <c r="DY14" i="6" l="1"/>
  <c r="DZ12" i="6"/>
  <c r="DZ14" i="6" l="1"/>
  <c r="EA12" i="6"/>
  <c r="EA14" i="6" l="1"/>
  <c r="EB12" i="6"/>
  <c r="EB14" i="6" l="1"/>
  <c r="EC12" i="6"/>
  <c r="ED12" i="6" l="1"/>
  <c r="EC14" i="6"/>
  <c r="EE12" i="6" l="1"/>
  <c r="ED14" i="6"/>
  <c r="EE14" i="6" l="1"/>
  <c r="EF12" i="6"/>
  <c r="EF14" i="6" l="1"/>
  <c r="EG12" i="6"/>
  <c r="EH12" i="6" l="1"/>
  <c r="EG14" i="6"/>
  <c r="EI12" i="6" l="1"/>
  <c r="EH14" i="6"/>
  <c r="EJ12" i="6" l="1"/>
  <c r="EI14" i="6"/>
  <c r="EK12" i="6" l="1"/>
  <c r="EJ14" i="6"/>
  <c r="EL12" i="6" l="1"/>
  <c r="EK14" i="6"/>
  <c r="EL14" i="6" l="1"/>
  <c r="EM12" i="6"/>
  <c r="EM14" i="6" l="1"/>
  <c r="EN12" i="6"/>
  <c r="EN14" i="6" l="1"/>
  <c r="EO12" i="6"/>
  <c r="EO14" i="6" l="1"/>
  <c r="EP12" i="6"/>
  <c r="EP14" i="6" l="1"/>
  <c r="EQ12" i="6"/>
  <c r="EQ14" i="6" l="1"/>
  <c r="ER12" i="6"/>
  <c r="ES12" i="6" l="1"/>
  <c r="ER14" i="6"/>
  <c r="ET12" i="6" l="1"/>
  <c r="ES14" i="6"/>
  <c r="EU12" i="6" l="1"/>
  <c r="ET14" i="6"/>
  <c r="EU14" i="6" l="1"/>
  <c r="EV12" i="6"/>
  <c r="EW12" i="6" l="1"/>
  <c r="EV14" i="6"/>
  <c r="EW14" i="6" l="1"/>
  <c r="EX12" i="6"/>
  <c r="EX14" i="6" l="1"/>
  <c r="EY12" i="6"/>
  <c r="EZ12" i="6" l="1"/>
  <c r="EY14" i="6"/>
  <c r="EZ14" i="6" l="1"/>
  <c r="FA12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G14" i="6" l="1"/>
  <c r="FH12" i="6"/>
  <c r="FI12" i="6" l="1"/>
  <c r="FH14" i="6"/>
  <c r="FI14" i="6" l="1"/>
  <c r="FJ12" i="6"/>
  <c r="FK12" i="6" l="1"/>
  <c r="FJ14" i="6"/>
  <c r="FK14" i="6" l="1"/>
  <c r="FL12" i="6"/>
  <c r="FM12" i="6" l="1"/>
  <c r="FL14" i="6"/>
  <c r="FM14" i="6" l="1"/>
  <c r="FN12" i="6"/>
  <c r="FN14" i="6" l="1"/>
  <c r="FO12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V14" i="6" l="1"/>
  <c r="FW12" i="6"/>
  <c r="FX12" i="6" l="1"/>
  <c r="FW14" i="6"/>
  <c r="FX14" i="6" l="1"/>
  <c r="FY12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F14" i="6" l="1"/>
  <c r="GG12" i="6"/>
  <c r="GG14" i="6" l="1"/>
  <c r="GH12" i="6"/>
  <c r="GH14" i="6" l="1"/>
  <c r="GI12" i="6"/>
  <c r="GI14" i="6" l="1"/>
  <c r="GJ12" i="6"/>
  <c r="GJ14" i="6" l="1"/>
  <c r="GK12" i="6"/>
  <c r="GL12" i="6" l="1"/>
  <c r="GK14" i="6"/>
  <c r="GL14" i="6" l="1"/>
  <c r="GM12" i="6"/>
  <c r="GM14" i="6" l="1"/>
  <c r="GN12" i="6"/>
  <c r="GO12" i="6" l="1"/>
  <c r="GN14" i="6"/>
  <c r="GO14" i="6" l="1"/>
  <c r="GP12" i="6"/>
  <c r="GQ12" i="6" l="1"/>
  <c r="GP14" i="6"/>
  <c r="GR12" i="6" l="1"/>
  <c r="GQ14" i="6"/>
  <c r="GS12" i="6" l="1"/>
  <c r="GR14" i="6"/>
  <c r="GT12" i="6" l="1"/>
  <c r="GS14" i="6"/>
  <c r="GT14" i="6" l="1"/>
  <c r="GU12" i="6"/>
  <c r="GV12" i="6" l="1"/>
  <c r="GU14" i="6"/>
  <c r="GW12" i="6" l="1"/>
  <c r="GV14" i="6"/>
  <c r="GX12" i="6" l="1"/>
  <c r="GW14" i="6"/>
  <c r="GX14" i="6" l="1"/>
  <c r="GY12" i="6"/>
  <c r="GY14" i="6" l="1"/>
  <c r="GZ12" i="6"/>
  <c r="GZ14" i="6" l="1"/>
  <c r="HA12" i="6"/>
  <c r="HA14" i="6" l="1"/>
  <c r="HB12" i="6"/>
  <c r="HC12" i="6" l="1"/>
  <c r="HB14" i="6"/>
  <c r="HC14" i="6" l="1"/>
  <c r="HD12" i="6"/>
  <c r="HD14" i="6" l="1"/>
  <c r="HE12" i="6"/>
  <c r="HF12" i="6" l="1"/>
  <c r="HE14" i="6"/>
  <c r="HF14" i="6" l="1"/>
  <c r="HG12" i="6"/>
  <c r="HG14" i="6" l="1"/>
  <c r="HH12" i="6"/>
  <c r="HI12" i="6" l="1"/>
  <c r="HH14" i="6"/>
  <c r="HJ12" i="6" l="1"/>
  <c r="HI14" i="6"/>
  <c r="HK12" i="6" l="1"/>
  <c r="HJ14" i="6"/>
  <c r="HL12" i="6" l="1"/>
  <c r="HK14" i="6"/>
  <c r="HL14" i="6" l="1"/>
  <c r="HM12" i="6"/>
  <c r="HM14" i="6" l="1"/>
  <c r="HN12" i="6"/>
  <c r="HN14" i="6" l="1"/>
  <c r="HO12" i="6"/>
  <c r="HO14" i="6" l="1"/>
  <c r="HP12" i="6"/>
  <c r="HP14" i="6" l="1"/>
  <c r="HQ12" i="6"/>
  <c r="HR12" i="6" l="1"/>
  <c r="HQ14" i="6"/>
  <c r="HS12" i="6" l="1"/>
  <c r="HR14" i="6"/>
  <c r="HS14" i="6" l="1"/>
  <c r="HT12" i="6"/>
  <c r="HU12" i="6" l="1"/>
  <c r="HT14" i="6"/>
  <c r="HU14" i="6" l="1"/>
  <c r="HV12" i="6"/>
  <c r="HV14" i="6" l="1"/>
  <c r="HW12" i="6"/>
  <c r="HX12" i="6" l="1"/>
  <c r="HW14" i="6"/>
  <c r="HY12" i="6" l="1"/>
  <c r="HX14" i="6"/>
  <c r="HY14" i="6" l="1"/>
  <c r="HZ12" i="6"/>
  <c r="HZ14" i="6" l="1"/>
  <c r="IA12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L14" i="6" l="1"/>
  <c r="IM12" i="6"/>
  <c r="IM14" i="6" l="1"/>
  <c r="IN12" i="6"/>
  <c r="IO12" i="6" l="1"/>
  <c r="IN14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JA12" i="6" l="1"/>
  <c r="IZ14" i="6"/>
  <c r="JB12" i="6" l="1"/>
  <c r="JA14" i="6"/>
  <c r="JC12" i="6" l="1"/>
  <c r="JB14" i="6"/>
  <c r="JD12" i="6" l="1"/>
  <c r="JC14" i="6"/>
  <c r="JD14" i="6" l="1"/>
  <c r="JE12" i="6"/>
  <c r="JE14" i="6" l="1"/>
  <c r="JF12" i="6"/>
  <c r="JF14" i="6" l="1"/>
  <c r="JG12" i="6"/>
  <c r="JG14" i="6" l="1"/>
  <c r="JH12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O14" i="6" l="1"/>
  <c r="JP12" i="6"/>
  <c r="JP14" i="6" l="1"/>
  <c r="JQ12" i="6"/>
  <c r="JQ14" i="6" l="1"/>
  <c r="JR12" i="6"/>
  <c r="JR14" i="6" l="1"/>
  <c r="JS12" i="6"/>
  <c r="JS14" i="6" l="1"/>
  <c r="JT12" i="6"/>
  <c r="JU12" i="6" l="1"/>
  <c r="JT14" i="6"/>
  <c r="JV12" i="6" l="1"/>
  <c r="JU14" i="6"/>
  <c r="JW12" i="6" l="1"/>
  <c r="JV14" i="6"/>
  <c r="JW14" i="6" l="1"/>
  <c r="JX12" i="6"/>
  <c r="JX14" i="6" l="1"/>
  <c r="JY12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<sst xmlns="http://schemas.openxmlformats.org/spreadsheetml/2006/main" count="867" uniqueCount="462">
  <si>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</si>
  <si>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</si>
  <si>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</si>
  <si>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</si>
  <si>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</si>
  <si>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</si>
  <si>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</si>
  <si>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</si>
  <si>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</si>
  <si>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</si>
  <si>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</si>
  <si>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</si>
  <si>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</si>
  <si>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</si>
  <si>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</si>
  <si>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</si>
  <si>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</si>
  <si>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</si>
  <si>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</si>
  <si>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</si>
  <si>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</si>
  <si>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</si>
  <si>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</si>
  <si>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</si>
  <si>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</si>
  <si>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</si>
  <si>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</si>
  <si>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</si>
  <si>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</si>
  <si>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</si>
  <si>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</si>
  <si>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</si>
  <si>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</si>
  <si>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</si>
  <si>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</si>
  <si>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</si>
  <si>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</si>
  <si>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</si>
  <si>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</si>
  <si>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</si>
  <si>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</si>
  <si>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</si>
  <si>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</si>
  <si>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</si>
  <si>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</si>
  <si>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</si>
  <si>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</si>
  <si>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</si>
  <si>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</si>
  <si>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</si>
  <si>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</si>
  <si>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</si>
  <si>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</si>
  <si>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</si>
  <si>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</si>
  <si>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</si>
  <si>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</si>
  <si>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</si>
  <si>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</si>
  <si>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</si>
  <si>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</si>
  <si>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</si>
  <si>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</si>
  <si>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</si>
  <si>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</si>
  <si>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</si>
  <si>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</si>
  <si>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</si>
  <si>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</si>
  <si>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</si>
  <si>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</si>
  <si>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</si>
  <si>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</si>
  <si>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</si>
  <si>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</si>
  <si>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</si>
  <si>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</si>
  <si>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</si>
  <si>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</si>
  <si>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</si>
  <si>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</si>
  <si>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</si>
  <si>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</si>
  <si>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</si>
  <si>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</si>
  <si>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</si>
  <si>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</si>
  <si>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</si>
  <si>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</si>
  <si>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</si>
  <si>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</si>
  <si>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</si>
  <si>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</si>
  <si>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</si>
  <si>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</si>
  <si>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</si>
  <si>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</si>
  <si>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</si>
  <si>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</si>
  <si>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</si>
  <si>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</si>
  <si>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</si>
  <si>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</si>
  <si>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</si>
  <si>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</si>
  <si>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</si>
  <si>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</si>
  <si>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</si>
  <si>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</si>
  <si>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</si>
  <si>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</si>
  <si>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</si>
  <si>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</si>
  <si>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</si>
  <si>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</si>
  <si>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</si>
  <si>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</si>
  <si>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</si>
  <si>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</si>
  <si>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</si>
  <si>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</si>
  <si>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</si>
  <si>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</si>
  <si>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</si>
  <si>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</si>
  <si>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</si>
  <si>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</si>
  <si>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</si>
  <si>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</si>
  <si>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Planning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</si>
  <si>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</si>
  <si>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</si>
  <si>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</si>
  <si>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</si>
  <si>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</si>
  <si>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</si>
  <si>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</si>
  <si>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</si>
  <si>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</si>
  <si>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</si>
  <si>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</si>
  <si>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</si>
  <si>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</si>
  <si>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</si>
  <si>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</si>
  <si>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</si>
  <si>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</si>
  <si>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Start date 19 Feb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</si>
  <si>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</si>
  <si>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</si>
  <si>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</si>
  <si>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</si>
  <si>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</si>
  <si>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</si>
  <si>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</si>
  <si>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</si>
  <si>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</si>
  <si>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</si>
  <si>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</si>
  <si>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</si>
  <si>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</si>
  <si>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</si>
  <si>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</si>
  <si>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</si>
  <si>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</si>
  <si>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</si>
  <si>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</si>
  <si>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</si>
  <si>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</si>
  <si>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</si>
  <si>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</si>
  <si>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</si>
  <si>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</si>
  <si>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</si>
  <si>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</si>
  <si>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</si>
  <si>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</si>
  <si>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</si>
  <si>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</si>
  <si>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</si>
  <si>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</si>
  <si>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</si>
  <si>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</si>
  <si>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</si>
  <si>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</si>
  <si>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</si>
  <si>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</si>
  <si>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</si>
  <si>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</si>
  <si>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</si>
  <si>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</si>
  <si>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</si>
  <si>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</si>
  <si>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</si>
  <si>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</si>
  <si>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</si>
  <si>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</si>
  <si>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</si>
  <si>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</si>
  <si>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</si>
  <si>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</si>
  <si>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</si>
  <si>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</si>
  <si>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</si>
  <si>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</si>
  <si>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</si>
  <si>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</si>
  <si>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</si>
  <si>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</si>
  <si>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</si>
  <si>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</si>
  <si>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</si>
  <si>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</si>
  <si>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</si>
  <si>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</si>
  <si>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</si>
  <si>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</si>
  <si>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</si>
  <si>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</si>
  <si>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</si>
  <si>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</si>
  <si>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</si>
  <si>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</si>
  <si>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</si>
  <si>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</si>
  <si>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</si>
  <si>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</si>
  <si>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</si>
  <si>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</si>
  <si>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</si>
  <si>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004914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</si>
  <si>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</si>
  <si>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</si>
  <si>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</si>
  <si>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</si>
  <si>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</si>
  <si>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</si>
  <si>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</si>
  <si>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</si>
  <si>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</si>
  <si>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</si>
  <si>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</si>
  <si>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</si>
  <si>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</si>
  <si>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</si>
  <si>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</si>
  <si>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</si>
  <si>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</si>
  <si>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</si>
  <si>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</si>
  <si>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</si>
  <si>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</si>
  <si>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</si>
  <si>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</si>
  <si>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</si>
  <si>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</si>
  <si>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</si>
  <si>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</si>
  <si>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</si>
  <si>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</si>
  <si>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</si>
  <si>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</si>
  <si>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</si>
  <si>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</si>
  <si>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</si>
  <si>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</si>
  <si>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</si>
  <si>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</si>
  <si>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</si>
  <si>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</si>
  <si>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</si>
  <si>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</si>
  <si>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</si>
  <si>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</si>
  <si>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</si>
  <si>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</si>
  <si>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</si>
  <si>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</si>
  <si>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</si>
  <si>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</si>
  <si>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</si>
  <si>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</si>
  <si>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</si>
  <si>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</si>
  <si>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</si>
  <si>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</si>
  <si>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</si>
  <si>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</si>
  <si>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</si>
  <si>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</si>
  <si>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</si>
  <si>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</si>
  <si>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</si>
  <si>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</si>
  <si>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IBR Clamps</t>
  </si>
  <si>
    <t>Mid Clamps</t>
  </si>
  <si>
    <t>Less 15%</t>
  </si>
  <si>
    <t>End Clamps</t>
  </si>
  <si>
    <t>R/Wp</t>
  </si>
  <si>
    <t>Screws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</si>
  <si>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</si>
  <si>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</si>
  <si>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</si>
  <si>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</si>
  <si>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</si>
  <si>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</si>
  <si>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- Menlo</t>
  </si>
  <si>
    <t>DC Equipment Budget</t>
  </si>
  <si>
    <t>Check DC Cable Stock</t>
  </si>
  <si>
    <t>Logistics</t>
  </si>
  <si>
    <t>Project Kick Off</t>
  </si>
  <si>
    <t>Roof Access</t>
  </si>
  <si>
    <t>Forklift</t>
  </si>
  <si>
    <t>Site Container</t>
  </si>
  <si>
    <t>Geda</t>
  </si>
  <si>
    <t>AC Installation Complete</t>
  </si>
  <si>
    <t>HSE Compliance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</si>
  <si>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</si>
  <si>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</si>
  <si>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</si>
  <si>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</si>
  <si>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</si>
  <si>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</si>
  <si>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</si>
  <si>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</si>
  <si>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Smartlogger 3000 - Menlo</t>
  </si>
  <si>
    <t>Comms DB</t>
  </si>
  <si>
    <t>Revenue Grade Meter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</si>
  <si>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</si>
  <si>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</si>
  <si>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</si>
  <si>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</si>
  <si>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</si>
  <si>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</si>
  <si>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</si>
  <si>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</si>
  <si>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</si>
  <si>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</si>
  <si>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</si>
  <si>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</si>
  <si>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</si>
  <si>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</si>
  <si>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</si>
  <si>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</si>
  <si>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</si>
  <si>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</si>
  <si>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</si>
  <si>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</si>
  <si>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</si>
  <si>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</si>
  <si>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</si>
  <si>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</si>
  <si>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</si>
  <si>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</si>
  <si>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</si>
  <si>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</si>
  <si>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</si>
  <si>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Consulting: Inv  1701</t>
  </si>
  <si>
    <t>Scada for CoCT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</si>
  <si>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</si>
  <si>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</si>
  <si>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</si>
  <si>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</si>
  <si>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</si>
  <si>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</si>
  <si>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</si>
  <si>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</si>
  <si>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</si>
  <si>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</si>
  <si>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</si>
  <si>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</si>
  <si>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</si>
  <si>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</si>
  <si>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</si>
  <si>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</si>
  <si>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</si>
  <si>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</si>
  <si>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</si>
  <si>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</si>
  <si>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</si>
  <si>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</si>
  <si>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</si>
  <si>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</si>
  <si>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</si>
  <si>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</si>
  <si>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</si>
  <si>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</si>
  <si>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</si>
  <si>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</si>
  <si>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</si>
  <si>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</si>
  <si>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</si>
  <si>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</si>
  <si>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</si>
  <si>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</si>
  <si>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</si>
  <si>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</si>
  <si>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</si>
  <si>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</si>
  <si>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</si>
  <si>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</si>
  <si>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</si>
  <si>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</si>
  <si>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</si>
  <si>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</si>
  <si>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</si>
  <si>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</si>
  <si>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</si>
  <si>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</si>
  <si>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</si>
  <si>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</si>
  <si>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</si>
  <si>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</si>
  <si>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</si>
  <si>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</si>
  <si>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</si>
  <si>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</si>
  <si>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</si>
  <si>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</si>
  <si>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</si>
  <si>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</si>
  <si>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</si>
  <si>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</si>
  <si>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</si>
  <si>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</si>
  <si>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</si>
  <si>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</si>
  <si>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</si>
  <si>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</si>
  <si>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</si>
  <si>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</si>
  <si>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</si>
  <si>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</si>
  <si>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</si>
  <si>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</si>
  <si>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</si>
  <si>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</si>
  <si>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</si>
  <si>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</si>
  <si>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</si>
  <si>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</si>
  <si>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</si>
  <si>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After Negotiations</t>
  </si>
  <si>
    <t>Geda Lift</t>
  </si>
  <si>
    <t>Toilet Rental</t>
  </si>
  <si>
    <t>COC</t>
  </si>
  <si>
    <t>Change inverters from 2x 50KTL to 1x100KTL</t>
  </si>
  <si>
    <t>Engineering change, drawings updated</t>
  </si>
  <si>
    <t>Dean</t>
  </si>
  <si>
    <t>Simon &amp; JP</t>
  </si>
  <si>
    <t>Completed</t>
  </si>
  <si>
    <t>Partially Completed</t>
  </si>
  <si>
    <t>IBR Clamps - Potential Stock</t>
  </si>
  <si>
    <t>Mid Clamps - Potential Stock</t>
  </si>
  <si>
    <t>End Clamps - Potential Stock</t>
  </si>
  <si>
    <t>Screws - Potnetial Stock</t>
  </si>
  <si>
    <t>CTs</t>
  </si>
  <si>
    <t>Huawei 100KTL - Use stock from Mayo Macs</t>
  </si>
  <si>
    <t>Check with Natasha reduction of price</t>
  </si>
  <si>
    <t xml:space="preserve">Roof profile confirmation - Solar compatible </t>
  </si>
  <si>
    <t>Roof replacement</t>
  </si>
  <si>
    <t>Client Rebate for PVDB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</si>
</sst>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0" fontId="49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68" fontId="6" fillId="11" borderId="0" xfId="0" applyNumberFormat="1" applyFont="1" applyFill="1" applyBorder="1" applyAlignment="1" applyProtection="1">
      <alignment horizontal="center" vertical="center"/>
      <protection locked="0"/>
    </xf>
    <xf numFmtId="0" fontId="50" fillId="5" borderId="10" xfId="0" applyFont="1" applyFill="1" applyBorder="1" applyAlignment="1" applyProtection="1">
      <alignment horizontal="center"/>
      <protection locked="0"/>
    </xf>
    <xf numFmtId="0" fontId="50" fillId="5" borderId="15" xfId="0" applyFont="1" applyFill="1" applyBorder="1" applyAlignment="1" applyProtection="1">
      <alignment horizontal="center"/>
      <protection locked="0"/>
    </xf>
    <xf numFmtId="0" fontId="50" fillId="5" borderId="16" xfId="0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left" vertical="center" wrapText="1"/>
    </xf>
    <xf numFmtId="0" fontId="6" fillId="14" borderId="0" xfId="0" applyFont="1" applyFill="1" applyBorder="1" applyProtection="1">
      <protection locked="0"/>
    </xf>
    <xf numFmtId="167" fontId="6" fillId="14" borderId="0" xfId="0" applyNumberFormat="1" applyFont="1" applyFill="1" applyBorder="1" applyProtection="1">
      <protection locked="0"/>
    </xf>
    <xf numFmtId="0" fontId="5" fillId="4" borderId="2" xfId="0" applyFont="1" applyFill="1" applyBorder="1" applyProtection="1">
      <protection locked="0"/>
    </xf>
    <xf numFmtId="1" fontId="4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Protection="1"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5" fillId="4" borderId="32" xfId="0" applyFont="1" applyFill="1" applyBorder="1" applyProtection="1">
      <protection locked="0"/>
    </xf>
    <xf numFmtId="0" fontId="4" fillId="4" borderId="32" xfId="0" applyFont="1" applyFill="1" applyBorder="1" applyAlignment="1" applyProtection="1">
      <alignment horizontal="center" vertical="center"/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numFmt numFmtId="168" formatCode="_-[$R-1C09]* #,##0.00_-;\-[$R-1C09]* #,##0.00_-;_-[$R-1C09]* &quot;-&quot;??_-;_-@_-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97</c:v>
                  </c:pt>
                  <c:pt idx="1">
                    <c:v>1</c:v>
                  </c:pt>
                  <c:pt idx="2">
                    <c:v>45</c:v>
                  </c:pt>
                  <c:pt idx="3">
                    <c:v>24</c:v>
                  </c:pt>
                  <c:pt idx="4">
                    <c:v>22</c:v>
                  </c:pt>
                  <c:pt idx="5">
                    <c:v>11</c:v>
                  </c:pt>
                  <c:pt idx="6">
                    <c:v>8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46076</c:v>
                </c:pt>
                <c:pt idx="4">
                  <c:v>46076</c:v>
                </c:pt>
                <c:pt idx="5">
                  <c:v>46100</c:v>
                </c:pt>
                <c:pt idx="6">
                  <c:v>46104</c:v>
                </c:pt>
                <c:pt idx="7">
                  <c:v>46104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720615.23861657875</c:v>
                </c:pt>
                <c:pt idx="12">
                  <c:v>720615.23861657875</c:v>
                </c:pt>
                <c:pt idx="13">
                  <c:v>720615.23861657875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1225045.905648184</c:v>
                </c:pt>
                <c:pt idx="17">
                  <c:v>1225045.905648184</c:v>
                </c:pt>
                <c:pt idx="18">
                  <c:v>1225045.905648184</c:v>
                </c:pt>
                <c:pt idx="19">
                  <c:v>1225045.905648184</c:v>
                </c:pt>
                <c:pt idx="20">
                  <c:v>1225045.905648184</c:v>
                </c:pt>
                <c:pt idx="21">
                  <c:v>1369168.9533714997</c:v>
                </c:pt>
                <c:pt idx="22">
                  <c:v>1399380.6092331575</c:v>
                </c:pt>
                <c:pt idx="23">
                  <c:v>1399380.6092331575</c:v>
                </c:pt>
                <c:pt idx="24">
                  <c:v>1399380.6092331575</c:v>
                </c:pt>
                <c:pt idx="25">
                  <c:v>1399380.6092331575</c:v>
                </c:pt>
                <c:pt idx="26">
                  <c:v>1399380.6092331575</c:v>
                </c:pt>
                <c:pt idx="27">
                  <c:v>1399380.6092331575</c:v>
                </c:pt>
                <c:pt idx="28">
                  <c:v>1399380.6092331575</c:v>
                </c:pt>
                <c:pt idx="29">
                  <c:v>1399380.6092331575</c:v>
                </c:pt>
                <c:pt idx="30">
                  <c:v>1399380.6092331575</c:v>
                </c:pt>
                <c:pt idx="31">
                  <c:v>1399380.6092331575</c:v>
                </c:pt>
                <c:pt idx="32">
                  <c:v>1399380.6092331575</c:v>
                </c:pt>
                <c:pt idx="33">
                  <c:v>1399380.6092331575</c:v>
                </c:pt>
                <c:pt idx="34">
                  <c:v>1399380.6092331575</c:v>
                </c:pt>
                <c:pt idx="35">
                  <c:v>1399380.6092331575</c:v>
                </c:pt>
                <c:pt idx="36">
                  <c:v>1399380.6092331575</c:v>
                </c:pt>
                <c:pt idx="37">
                  <c:v>1399380.6092331575</c:v>
                </c:pt>
                <c:pt idx="38">
                  <c:v>1399380.6092331575</c:v>
                </c:pt>
                <c:pt idx="39">
                  <c:v>1399380.6092331575</c:v>
                </c:pt>
                <c:pt idx="40">
                  <c:v>1399380.6092331575</c:v>
                </c:pt>
                <c:pt idx="41">
                  <c:v>1399380.6092331575</c:v>
                </c:pt>
                <c:pt idx="42">
                  <c:v>1399380.6092331575</c:v>
                </c:pt>
                <c:pt idx="43">
                  <c:v>1399380.6092331575</c:v>
                </c:pt>
                <c:pt idx="44">
                  <c:v>1399380.6092331575</c:v>
                </c:pt>
                <c:pt idx="45">
                  <c:v>1399380.6092331575</c:v>
                </c:pt>
                <c:pt idx="46">
                  <c:v>1399380.6092331575</c:v>
                </c:pt>
                <c:pt idx="47">
                  <c:v>1399380.6092331575</c:v>
                </c:pt>
                <c:pt idx="48">
                  <c:v>1399380.6092331575</c:v>
                </c:pt>
                <c:pt idx="49">
                  <c:v>1399380.6092331575</c:v>
                </c:pt>
                <c:pt idx="50">
                  <c:v>1399380.6092331575</c:v>
                </c:pt>
                <c:pt idx="51">
                  <c:v>1399380.6092331575</c:v>
                </c:pt>
                <c:pt idx="52">
                  <c:v>1399380.6092331575</c:v>
                </c:pt>
                <c:pt idx="53">
                  <c:v>1399380.6092331575</c:v>
                </c:pt>
                <c:pt idx="54">
                  <c:v>1399380.6092331575</c:v>
                </c:pt>
                <c:pt idx="55">
                  <c:v>1399380.6092331575</c:v>
                </c:pt>
                <c:pt idx="56">
                  <c:v>1399380.6092331575</c:v>
                </c:pt>
                <c:pt idx="57">
                  <c:v>1399380.6092331575</c:v>
                </c:pt>
                <c:pt idx="58">
                  <c:v>1399380.6092331575</c:v>
                </c:pt>
                <c:pt idx="59">
                  <c:v>1399380.6092331575</c:v>
                </c:pt>
                <c:pt idx="60">
                  <c:v>1399380.6092331575</c:v>
                </c:pt>
                <c:pt idx="61">
                  <c:v>1399380.6092331575</c:v>
                </c:pt>
                <c:pt idx="62">
                  <c:v>1399380.6092331575</c:v>
                </c:pt>
                <c:pt idx="63">
                  <c:v>1399380.6092331575</c:v>
                </c:pt>
                <c:pt idx="64">
                  <c:v>1399380.6092331575</c:v>
                </c:pt>
                <c:pt idx="65">
                  <c:v>1399380.6092331575</c:v>
                </c:pt>
                <c:pt idx="66">
                  <c:v>1399380.6092331575</c:v>
                </c:pt>
                <c:pt idx="67">
                  <c:v>1399380.6092331575</c:v>
                </c:pt>
                <c:pt idx="68">
                  <c:v>1399380.6092331575</c:v>
                </c:pt>
                <c:pt idx="69">
                  <c:v>1399380.6092331575</c:v>
                </c:pt>
                <c:pt idx="70">
                  <c:v>1399380.6092331575</c:v>
                </c:pt>
                <c:pt idx="71">
                  <c:v>1399380.6092331575</c:v>
                </c:pt>
                <c:pt idx="72">
                  <c:v>1399380.6092331575</c:v>
                </c:pt>
                <c:pt idx="73">
                  <c:v>1399380.6092331575</c:v>
                </c:pt>
                <c:pt idx="74">
                  <c:v>1399380.6092331575</c:v>
                </c:pt>
                <c:pt idx="75">
                  <c:v>1399380.6092331575</c:v>
                </c:pt>
                <c:pt idx="76">
                  <c:v>1399380.6092331575</c:v>
                </c:pt>
                <c:pt idx="77">
                  <c:v>1399380.6092331575</c:v>
                </c:pt>
                <c:pt idx="78">
                  <c:v>1399380.6092331575</c:v>
                </c:pt>
                <c:pt idx="79">
                  <c:v>1399380.6092331575</c:v>
                </c:pt>
                <c:pt idx="80">
                  <c:v>1399380.6092331575</c:v>
                </c:pt>
                <c:pt idx="81">
                  <c:v>1399380.6092331575</c:v>
                </c:pt>
                <c:pt idx="82">
                  <c:v>1399380.6092331575</c:v>
                </c:pt>
                <c:pt idx="83">
                  <c:v>1399380.6092331575</c:v>
                </c:pt>
                <c:pt idx="84">
                  <c:v>1399380.6092331575</c:v>
                </c:pt>
                <c:pt idx="85">
                  <c:v>1399380.6092331575</c:v>
                </c:pt>
                <c:pt idx="86">
                  <c:v>1399380.6092331575</c:v>
                </c:pt>
                <c:pt idx="87">
                  <c:v>1399380.6092331575</c:v>
                </c:pt>
                <c:pt idx="88">
                  <c:v>1399380.6092331575</c:v>
                </c:pt>
                <c:pt idx="89">
                  <c:v>1399380.6092331575</c:v>
                </c:pt>
                <c:pt idx="90">
                  <c:v>1399380.6092331575</c:v>
                </c:pt>
                <c:pt idx="91">
                  <c:v>1399380.6092331575</c:v>
                </c:pt>
                <c:pt idx="92">
                  <c:v>1399380.6092331575</c:v>
                </c:pt>
                <c:pt idx="93">
                  <c:v>1399380.6092331575</c:v>
                </c:pt>
                <c:pt idx="94">
                  <c:v>1399380.6092331575</c:v>
                </c:pt>
                <c:pt idx="95">
                  <c:v>1399380.6092331575</c:v>
                </c:pt>
                <c:pt idx="96">
                  <c:v>1399380.6092331575</c:v>
                </c:pt>
                <c:pt idx="97">
                  <c:v>1399380.6092331575</c:v>
                </c:pt>
                <c:pt idx="98">
                  <c:v>1399380.6092331575</c:v>
                </c:pt>
                <c:pt idx="99">
                  <c:v>1399380.6092331575</c:v>
                </c:pt>
                <c:pt idx="100">
                  <c:v>1399380.6092331575</c:v>
                </c:pt>
                <c:pt idx="101">
                  <c:v>1399380.6092331575</c:v>
                </c:pt>
                <c:pt idx="102">
                  <c:v>1399380.6092331575</c:v>
                </c:pt>
                <c:pt idx="103">
                  <c:v>1399380.6092331575</c:v>
                </c:pt>
                <c:pt idx="104">
                  <c:v>1399380.6092331575</c:v>
                </c:pt>
                <c:pt idx="105">
                  <c:v>1399380.6092331575</c:v>
                </c:pt>
                <c:pt idx="106">
                  <c:v>1399380.6092331575</c:v>
                </c:pt>
                <c:pt idx="107">
                  <c:v>1399380.6092331575</c:v>
                </c:pt>
                <c:pt idx="108">
                  <c:v>1399380.6092331575</c:v>
                </c:pt>
                <c:pt idx="109">
                  <c:v>1399380.6092331575</c:v>
                </c:pt>
                <c:pt idx="110">
                  <c:v>1399380.6092331575</c:v>
                </c:pt>
                <c:pt idx="111">
                  <c:v>1399380.6092331575</c:v>
                </c:pt>
                <c:pt idx="112">
                  <c:v>1399380.6092331575</c:v>
                </c:pt>
                <c:pt idx="113">
                  <c:v>1399380.6092331575</c:v>
                </c:pt>
                <c:pt idx="114">
                  <c:v>1399380.6092331575</c:v>
                </c:pt>
                <c:pt idx="115">
                  <c:v>1399380.6092331575</c:v>
                </c:pt>
                <c:pt idx="116">
                  <c:v>1399380.6092331575</c:v>
                </c:pt>
                <c:pt idx="117">
                  <c:v>1399380.6092331575</c:v>
                </c:pt>
                <c:pt idx="118">
                  <c:v>1399380.6092331575</c:v>
                </c:pt>
                <c:pt idx="119">
                  <c:v>1399380.6092331575</c:v>
                </c:pt>
                <c:pt idx="120">
                  <c:v>1399380.6092331575</c:v>
                </c:pt>
                <c:pt idx="121">
                  <c:v>1399380.6092331575</c:v>
                </c:pt>
                <c:pt idx="122">
                  <c:v>1399380.6092331575</c:v>
                </c:pt>
                <c:pt idx="123">
                  <c:v>1399380.6092331575</c:v>
                </c:pt>
                <c:pt idx="124">
                  <c:v>1399380.6092331575</c:v>
                </c:pt>
                <c:pt idx="125">
                  <c:v>1399380.6092331575</c:v>
                </c:pt>
                <c:pt idx="126">
                  <c:v>1399380.6092331575</c:v>
                </c:pt>
                <c:pt idx="127">
                  <c:v>1399380.6092331575</c:v>
                </c:pt>
                <c:pt idx="128">
                  <c:v>1399380.6092331575</c:v>
                </c:pt>
                <c:pt idx="129">
                  <c:v>1399380.6092331575</c:v>
                </c:pt>
                <c:pt idx="130">
                  <c:v>1399380.6092331575</c:v>
                </c:pt>
                <c:pt idx="131">
                  <c:v>1399380.6092331575</c:v>
                </c:pt>
                <c:pt idx="132">
                  <c:v>1399380.6092331575</c:v>
                </c:pt>
                <c:pt idx="133">
                  <c:v>1399380.6092331575</c:v>
                </c:pt>
                <c:pt idx="134">
                  <c:v>1399380.6092331575</c:v>
                </c:pt>
                <c:pt idx="135">
                  <c:v>1399380.6092331575</c:v>
                </c:pt>
                <c:pt idx="136">
                  <c:v>1399380.6092331575</c:v>
                </c:pt>
                <c:pt idx="137">
                  <c:v>1399380.6092331575</c:v>
                </c:pt>
                <c:pt idx="138">
                  <c:v>1399380.6092331575</c:v>
                </c:pt>
                <c:pt idx="139">
                  <c:v>1399380.6092331575</c:v>
                </c:pt>
                <c:pt idx="140">
                  <c:v>1399380.6092331575</c:v>
                </c:pt>
                <c:pt idx="141">
                  <c:v>1399380.6092331575</c:v>
                </c:pt>
                <c:pt idx="142">
                  <c:v>1399380.6092331575</c:v>
                </c:pt>
                <c:pt idx="143">
                  <c:v>1399380.6092331575</c:v>
                </c:pt>
                <c:pt idx="144">
                  <c:v>1399380.6092331575</c:v>
                </c:pt>
                <c:pt idx="145">
                  <c:v>1399380.6092331575</c:v>
                </c:pt>
                <c:pt idx="146">
                  <c:v>1399380.6092331575</c:v>
                </c:pt>
                <c:pt idx="147">
                  <c:v>1399380.6092331575</c:v>
                </c:pt>
                <c:pt idx="148">
                  <c:v>1399380.6092331575</c:v>
                </c:pt>
                <c:pt idx="149">
                  <c:v>1399380.6092331575</c:v>
                </c:pt>
                <c:pt idx="150">
                  <c:v>1399380.6092331575</c:v>
                </c:pt>
                <c:pt idx="151">
                  <c:v>1399380.6092331575</c:v>
                </c:pt>
                <c:pt idx="152">
                  <c:v>1399380.6092331575</c:v>
                </c:pt>
                <c:pt idx="153">
                  <c:v>1399380.6092331575</c:v>
                </c:pt>
                <c:pt idx="154">
                  <c:v>1399380.6092331575</c:v>
                </c:pt>
                <c:pt idx="155">
                  <c:v>1399380.6092331575</c:v>
                </c:pt>
                <c:pt idx="156">
                  <c:v>1399380.6092331575</c:v>
                </c:pt>
                <c:pt idx="157">
                  <c:v>1399380.6092331575</c:v>
                </c:pt>
                <c:pt idx="158">
                  <c:v>1399380.6092331575</c:v>
                </c:pt>
                <c:pt idx="159">
                  <c:v>1399380.6092331575</c:v>
                </c:pt>
                <c:pt idx="160">
                  <c:v>1399380.6092331575</c:v>
                </c:pt>
                <c:pt idx="161">
                  <c:v>1399380.6092331575</c:v>
                </c:pt>
                <c:pt idx="162">
                  <c:v>1399380.6092331575</c:v>
                </c:pt>
                <c:pt idx="163">
                  <c:v>1399380.6092331575</c:v>
                </c:pt>
                <c:pt idx="164">
                  <c:v>1399380.6092331575</c:v>
                </c:pt>
                <c:pt idx="165">
                  <c:v>1399380.6092331575</c:v>
                </c:pt>
                <c:pt idx="166">
                  <c:v>1399380.6092331575</c:v>
                </c:pt>
                <c:pt idx="167">
                  <c:v>1399380.6092331575</c:v>
                </c:pt>
                <c:pt idx="168">
                  <c:v>1399380.6092331575</c:v>
                </c:pt>
                <c:pt idx="169">
                  <c:v>1399380.6092331575</c:v>
                </c:pt>
                <c:pt idx="170">
                  <c:v>1399380.6092331575</c:v>
                </c:pt>
                <c:pt idx="171">
                  <c:v>1399380.6092331575</c:v>
                </c:pt>
                <c:pt idx="172">
                  <c:v>1399380.6092331575</c:v>
                </c:pt>
                <c:pt idx="173">
                  <c:v>1399380.6092331575</c:v>
                </c:pt>
                <c:pt idx="174">
                  <c:v>1399380.6092331575</c:v>
                </c:pt>
                <c:pt idx="175">
                  <c:v>1399380.6092331575</c:v>
                </c:pt>
                <c:pt idx="176">
                  <c:v>1399380.6092331575</c:v>
                </c:pt>
                <c:pt idx="177">
                  <c:v>1399380.6092331575</c:v>
                </c:pt>
                <c:pt idx="178">
                  <c:v>1399380.6092331575</c:v>
                </c:pt>
                <c:pt idx="179">
                  <c:v>1399380.6092331575</c:v>
                </c:pt>
                <c:pt idx="180">
                  <c:v>1399380.6092331575</c:v>
                </c:pt>
                <c:pt idx="181">
                  <c:v>1399380.6092331575</c:v>
                </c:pt>
                <c:pt idx="182">
                  <c:v>1399380.6092331575</c:v>
                </c:pt>
                <c:pt idx="183">
                  <c:v>1399380.6092331575</c:v>
                </c:pt>
                <c:pt idx="184">
                  <c:v>1399380.6092331575</c:v>
                </c:pt>
                <c:pt idx="185">
                  <c:v>1399380.6092331575</c:v>
                </c:pt>
                <c:pt idx="186">
                  <c:v>1399380.6092331575</c:v>
                </c:pt>
                <c:pt idx="187">
                  <c:v>1399380.6092331575</c:v>
                </c:pt>
                <c:pt idx="188">
                  <c:v>1399380.6092331575</c:v>
                </c:pt>
                <c:pt idx="189">
                  <c:v>1399380.6092331575</c:v>
                </c:pt>
                <c:pt idx="190">
                  <c:v>1399380.6092331575</c:v>
                </c:pt>
                <c:pt idx="191">
                  <c:v>1399380.6092331575</c:v>
                </c:pt>
                <c:pt idx="192">
                  <c:v>1399380.6092331575</c:v>
                </c:pt>
                <c:pt idx="193">
                  <c:v>1399380.6092331575</c:v>
                </c:pt>
                <c:pt idx="194">
                  <c:v>1399380.6092331575</c:v>
                </c:pt>
                <c:pt idx="195">
                  <c:v>1399380.6092331575</c:v>
                </c:pt>
                <c:pt idx="196">
                  <c:v>1399380.6092331575</c:v>
                </c:pt>
                <c:pt idx="197">
                  <c:v>1399380.6092331575</c:v>
                </c:pt>
                <c:pt idx="198">
                  <c:v>1399380.6092331575</c:v>
                </c:pt>
                <c:pt idx="199">
                  <c:v>1399380.6092331575</c:v>
                </c:pt>
                <c:pt idx="200">
                  <c:v>1399380.6092331575</c:v>
                </c:pt>
                <c:pt idx="201">
                  <c:v>1399380.6092331575</c:v>
                </c:pt>
                <c:pt idx="202">
                  <c:v>1399380.6092331575</c:v>
                </c:pt>
                <c:pt idx="203">
                  <c:v>1399380.6092331575</c:v>
                </c:pt>
                <c:pt idx="204">
                  <c:v>1399380.6092331575</c:v>
                </c:pt>
                <c:pt idx="205">
                  <c:v>1399380.6092331575</c:v>
                </c:pt>
                <c:pt idx="206">
                  <c:v>1399380.6092331575</c:v>
                </c:pt>
                <c:pt idx="207">
                  <c:v>1399380.6092331575</c:v>
                </c:pt>
                <c:pt idx="208">
                  <c:v>1399380.6092331575</c:v>
                </c:pt>
                <c:pt idx="209">
                  <c:v>1399380.6092331575</c:v>
                </c:pt>
                <c:pt idx="210">
                  <c:v>1399380.6092331575</c:v>
                </c:pt>
                <c:pt idx="211">
                  <c:v>1399380.6092331575</c:v>
                </c:pt>
                <c:pt idx="212">
                  <c:v>1399380.6092331575</c:v>
                </c:pt>
                <c:pt idx="213">
                  <c:v>1399380.6092331575</c:v>
                </c:pt>
                <c:pt idx="214">
                  <c:v>1399380.6092331575</c:v>
                </c:pt>
                <c:pt idx="215">
                  <c:v>1399380.6092331575</c:v>
                </c:pt>
                <c:pt idx="216">
                  <c:v>1399380.6092331575</c:v>
                </c:pt>
                <c:pt idx="217">
                  <c:v>1399380.6092331575</c:v>
                </c:pt>
                <c:pt idx="218">
                  <c:v>1399380.6092331575</c:v>
                </c:pt>
                <c:pt idx="219">
                  <c:v>1399380.6092331575</c:v>
                </c:pt>
                <c:pt idx="220">
                  <c:v>1399380.6092331575</c:v>
                </c:pt>
                <c:pt idx="221">
                  <c:v>1399380.6092331575</c:v>
                </c:pt>
                <c:pt idx="222">
                  <c:v>1399380.6092331575</c:v>
                </c:pt>
                <c:pt idx="223">
                  <c:v>1399380.6092331575</c:v>
                </c:pt>
                <c:pt idx="224">
                  <c:v>1399380.6092331575</c:v>
                </c:pt>
                <c:pt idx="225">
                  <c:v>1399380.6092331575</c:v>
                </c:pt>
                <c:pt idx="226">
                  <c:v>1399380.6092331575</c:v>
                </c:pt>
                <c:pt idx="227">
                  <c:v>1399380.6092331575</c:v>
                </c:pt>
                <c:pt idx="228">
                  <c:v>1399380.6092331575</c:v>
                </c:pt>
                <c:pt idx="229">
                  <c:v>1399380.6092331575</c:v>
                </c:pt>
                <c:pt idx="230">
                  <c:v>1399380.6092331575</c:v>
                </c:pt>
                <c:pt idx="231">
                  <c:v>1399380.6092331575</c:v>
                </c:pt>
                <c:pt idx="232">
                  <c:v>1399380.6092331575</c:v>
                </c:pt>
                <c:pt idx="233">
                  <c:v>1399380.6092331575</c:v>
                </c:pt>
                <c:pt idx="234">
                  <c:v>1399380.6092331575</c:v>
                </c:pt>
                <c:pt idx="235">
                  <c:v>1399380.6092331575</c:v>
                </c:pt>
                <c:pt idx="236">
                  <c:v>1399380.6092331575</c:v>
                </c:pt>
                <c:pt idx="237">
                  <c:v>1399380.6092331575</c:v>
                </c:pt>
                <c:pt idx="238">
                  <c:v>1399380.6092331575</c:v>
                </c:pt>
                <c:pt idx="239">
                  <c:v>1399380.6092331575</c:v>
                </c:pt>
                <c:pt idx="240">
                  <c:v>1399380.6092331575</c:v>
                </c:pt>
                <c:pt idx="241">
                  <c:v>1399380.6092331575</c:v>
                </c:pt>
                <c:pt idx="242">
                  <c:v>1399380.6092331575</c:v>
                </c:pt>
                <c:pt idx="243">
                  <c:v>1399380.6092331575</c:v>
                </c:pt>
                <c:pt idx="244">
                  <c:v>1399380.6092331575</c:v>
                </c:pt>
                <c:pt idx="245">
                  <c:v>1399380.6092331575</c:v>
                </c:pt>
                <c:pt idx="246">
                  <c:v>1399380.6092331575</c:v>
                </c:pt>
                <c:pt idx="247">
                  <c:v>1399380.6092331575</c:v>
                </c:pt>
                <c:pt idx="248">
                  <c:v>1399380.6092331575</c:v>
                </c:pt>
                <c:pt idx="249">
                  <c:v>1399380.6092331575</c:v>
                </c:pt>
                <c:pt idx="250">
                  <c:v>1399380.6092331575</c:v>
                </c:pt>
                <c:pt idx="251">
                  <c:v>1399380.6092331575</c:v>
                </c:pt>
                <c:pt idx="252">
                  <c:v>1399380.6092331575</c:v>
                </c:pt>
                <c:pt idx="253">
                  <c:v>1399380.6092331575</c:v>
                </c:pt>
                <c:pt idx="254">
                  <c:v>1399380.6092331575</c:v>
                </c:pt>
                <c:pt idx="255">
                  <c:v>1399380.6092331575</c:v>
                </c:pt>
                <c:pt idx="256">
                  <c:v>1399380.6092331575</c:v>
                </c:pt>
                <c:pt idx="257">
                  <c:v>1399380.6092331575</c:v>
                </c:pt>
                <c:pt idx="258">
                  <c:v>1399380.6092331575</c:v>
                </c:pt>
                <c:pt idx="259">
                  <c:v>1399380.6092331575</c:v>
                </c:pt>
                <c:pt idx="260">
                  <c:v>1399380.6092331575</c:v>
                </c:pt>
                <c:pt idx="261">
                  <c:v>1399380.6092331575</c:v>
                </c:pt>
                <c:pt idx="262">
                  <c:v>1399380.6092331575</c:v>
                </c:pt>
                <c:pt idx="263">
                  <c:v>1399380.6092331575</c:v>
                </c:pt>
                <c:pt idx="264">
                  <c:v>1399380.6092331575</c:v>
                </c:pt>
                <c:pt idx="265">
                  <c:v>1399380.6092331575</c:v>
                </c:pt>
                <c:pt idx="266">
                  <c:v>1399380.6092331575</c:v>
                </c:pt>
                <c:pt idx="267">
                  <c:v>1399380.6092331575</c:v>
                </c:pt>
                <c:pt idx="268">
                  <c:v>1399380.6092331575</c:v>
                </c:pt>
                <c:pt idx="269">
                  <c:v>1399380.6092331575</c:v>
                </c:pt>
                <c:pt idx="270">
                  <c:v>1399380.6092331575</c:v>
                </c:pt>
                <c:pt idx="271">
                  <c:v>1399380.6092331575</c:v>
                </c:pt>
                <c:pt idx="272">
                  <c:v>1399380.6092331575</c:v>
                </c:pt>
                <c:pt idx="273">
                  <c:v>1399380.6092331575</c:v>
                </c:pt>
                <c:pt idx="274">
                  <c:v>1399380.6092331575</c:v>
                </c:pt>
                <c:pt idx="275">
                  <c:v>1399380.6092331575</c:v>
                </c:pt>
                <c:pt idx="276">
                  <c:v>1399380.6092331575</c:v>
                </c:pt>
                <c:pt idx="277">
                  <c:v>1399380.6092331575</c:v>
                </c:pt>
                <c:pt idx="278">
                  <c:v>1399380.6092331575</c:v>
                </c:pt>
                <c:pt idx="279">
                  <c:v>1399380.6092331575</c:v>
                </c:pt>
                <c:pt idx="280">
                  <c:v>1399380.6092331575</c:v>
                </c:pt>
                <c:pt idx="281">
                  <c:v>1399380.6092331575</c:v>
                </c:pt>
                <c:pt idx="282">
                  <c:v>1399380.6092331575</c:v>
                </c:pt>
                <c:pt idx="283">
                  <c:v>1399380.6092331575</c:v>
                </c:pt>
                <c:pt idx="284">
                  <c:v>1399380.6092331575</c:v>
                </c:pt>
                <c:pt idx="285">
                  <c:v>1399380.6092331575</c:v>
                </c:pt>
                <c:pt idx="286">
                  <c:v>1399380.6092331575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720615.23861657875</c:v>
                </c:pt>
                <c:pt idx="12">
                  <c:v>720615.23861657875</c:v>
                </c:pt>
                <c:pt idx="13">
                  <c:v>720615.23861657875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1225045.905648184</c:v>
                </c:pt>
                <c:pt idx="17">
                  <c:v>804913.23869166221</c:v>
                </c:pt>
                <c:pt idx="18">
                  <c:v>754090.43869166216</c:v>
                </c:pt>
                <c:pt idx="19">
                  <c:v>619798.43869166216</c:v>
                </c:pt>
                <c:pt idx="20">
                  <c:v>530798.43869166216</c:v>
                </c:pt>
                <c:pt idx="21">
                  <c:v>674921.48641497782</c:v>
                </c:pt>
                <c:pt idx="22">
                  <c:v>689314.68331467907</c:v>
                </c:pt>
                <c:pt idx="23">
                  <c:v>204928.15331467893</c:v>
                </c:pt>
                <c:pt idx="24">
                  <c:v>204928.15331467893</c:v>
                </c:pt>
                <c:pt idx="25">
                  <c:v>204928.15331467893</c:v>
                </c:pt>
                <c:pt idx="26">
                  <c:v>204928.15331467893</c:v>
                </c:pt>
                <c:pt idx="27">
                  <c:v>204928.15331467893</c:v>
                </c:pt>
                <c:pt idx="28">
                  <c:v>204928.15331467893</c:v>
                </c:pt>
                <c:pt idx="29">
                  <c:v>204928.15331467893</c:v>
                </c:pt>
                <c:pt idx="30">
                  <c:v>204928.15331467893</c:v>
                </c:pt>
                <c:pt idx="31">
                  <c:v>204928.15331467893</c:v>
                </c:pt>
                <c:pt idx="32">
                  <c:v>204928.15331467893</c:v>
                </c:pt>
                <c:pt idx="33">
                  <c:v>204928.15331467893</c:v>
                </c:pt>
                <c:pt idx="34">
                  <c:v>204928.15331467893</c:v>
                </c:pt>
                <c:pt idx="35">
                  <c:v>204928.15331467893</c:v>
                </c:pt>
                <c:pt idx="36">
                  <c:v>204928.15331467893</c:v>
                </c:pt>
                <c:pt idx="37">
                  <c:v>204928.15331467893</c:v>
                </c:pt>
                <c:pt idx="38">
                  <c:v>204928.15331467893</c:v>
                </c:pt>
                <c:pt idx="39">
                  <c:v>204928.15331467893</c:v>
                </c:pt>
                <c:pt idx="40">
                  <c:v>204928.15331467893</c:v>
                </c:pt>
                <c:pt idx="41">
                  <c:v>204928.15331467893</c:v>
                </c:pt>
                <c:pt idx="42">
                  <c:v>204928.15331467893</c:v>
                </c:pt>
                <c:pt idx="43">
                  <c:v>204928.15331467893</c:v>
                </c:pt>
                <c:pt idx="44">
                  <c:v>204928.15331467893</c:v>
                </c:pt>
                <c:pt idx="45">
                  <c:v>204928.15331467893</c:v>
                </c:pt>
                <c:pt idx="46">
                  <c:v>204928.15331467893</c:v>
                </c:pt>
                <c:pt idx="47">
                  <c:v>204928.15331467893</c:v>
                </c:pt>
                <c:pt idx="48">
                  <c:v>204928.15331467893</c:v>
                </c:pt>
                <c:pt idx="49">
                  <c:v>204928.15331467893</c:v>
                </c:pt>
                <c:pt idx="50">
                  <c:v>204928.15331467893</c:v>
                </c:pt>
                <c:pt idx="51">
                  <c:v>204928.15331467893</c:v>
                </c:pt>
                <c:pt idx="52">
                  <c:v>204928.15331467893</c:v>
                </c:pt>
                <c:pt idx="53">
                  <c:v>204928.15331467893</c:v>
                </c:pt>
                <c:pt idx="54">
                  <c:v>204928.15331467893</c:v>
                </c:pt>
                <c:pt idx="55">
                  <c:v>204928.15331467893</c:v>
                </c:pt>
                <c:pt idx="56">
                  <c:v>204928.15331467893</c:v>
                </c:pt>
                <c:pt idx="57">
                  <c:v>204928.15331467893</c:v>
                </c:pt>
                <c:pt idx="58">
                  <c:v>204928.15331467893</c:v>
                </c:pt>
                <c:pt idx="59">
                  <c:v>204928.15331467893</c:v>
                </c:pt>
                <c:pt idx="60">
                  <c:v>204928.15331467893</c:v>
                </c:pt>
                <c:pt idx="61">
                  <c:v>204928.15331467893</c:v>
                </c:pt>
                <c:pt idx="62">
                  <c:v>204928.15331467893</c:v>
                </c:pt>
                <c:pt idx="63">
                  <c:v>204928.15331467893</c:v>
                </c:pt>
                <c:pt idx="64">
                  <c:v>204928.15331467893</c:v>
                </c:pt>
                <c:pt idx="65">
                  <c:v>204928.15331467893</c:v>
                </c:pt>
                <c:pt idx="66">
                  <c:v>204928.15331467893</c:v>
                </c:pt>
                <c:pt idx="67">
                  <c:v>204928.15331467893</c:v>
                </c:pt>
                <c:pt idx="68">
                  <c:v>204928.15331467893</c:v>
                </c:pt>
                <c:pt idx="69">
                  <c:v>204928.15331467893</c:v>
                </c:pt>
                <c:pt idx="70">
                  <c:v>204928.15331467893</c:v>
                </c:pt>
                <c:pt idx="71">
                  <c:v>204928.15331467893</c:v>
                </c:pt>
                <c:pt idx="72">
                  <c:v>204928.15331467893</c:v>
                </c:pt>
                <c:pt idx="73">
                  <c:v>204928.15331467893</c:v>
                </c:pt>
                <c:pt idx="74">
                  <c:v>204928.15331467893</c:v>
                </c:pt>
                <c:pt idx="75">
                  <c:v>204928.15331467893</c:v>
                </c:pt>
                <c:pt idx="76">
                  <c:v>204928.15331467893</c:v>
                </c:pt>
                <c:pt idx="77">
                  <c:v>204928.15331467893</c:v>
                </c:pt>
                <c:pt idx="78">
                  <c:v>204928.15331467893</c:v>
                </c:pt>
                <c:pt idx="79">
                  <c:v>204928.15331467893</c:v>
                </c:pt>
                <c:pt idx="80">
                  <c:v>204928.15331467893</c:v>
                </c:pt>
                <c:pt idx="81">
                  <c:v>204928.15331467893</c:v>
                </c:pt>
                <c:pt idx="82">
                  <c:v>204928.15331467893</c:v>
                </c:pt>
                <c:pt idx="83">
                  <c:v>204928.15331467893</c:v>
                </c:pt>
                <c:pt idx="84">
                  <c:v>204928.15331467893</c:v>
                </c:pt>
                <c:pt idx="85">
                  <c:v>204928.15331467893</c:v>
                </c:pt>
                <c:pt idx="86">
                  <c:v>204928.15331467893</c:v>
                </c:pt>
                <c:pt idx="87">
                  <c:v>204928.15331467893</c:v>
                </c:pt>
                <c:pt idx="88">
                  <c:v>204928.15331467893</c:v>
                </c:pt>
                <c:pt idx="89">
                  <c:v>204928.15331467893</c:v>
                </c:pt>
                <c:pt idx="90">
                  <c:v>204928.15331467893</c:v>
                </c:pt>
                <c:pt idx="91">
                  <c:v>204928.15331467893</c:v>
                </c:pt>
                <c:pt idx="92">
                  <c:v>204928.15331467893</c:v>
                </c:pt>
                <c:pt idx="93">
                  <c:v>204928.15331467893</c:v>
                </c:pt>
                <c:pt idx="94">
                  <c:v>204928.15331467893</c:v>
                </c:pt>
                <c:pt idx="95">
                  <c:v>204928.15331467893</c:v>
                </c:pt>
                <c:pt idx="96">
                  <c:v>204928.15331467893</c:v>
                </c:pt>
                <c:pt idx="97">
                  <c:v>204928.15331467893</c:v>
                </c:pt>
                <c:pt idx="98">
                  <c:v>204928.15331467893</c:v>
                </c:pt>
                <c:pt idx="99">
                  <c:v>204928.15331467893</c:v>
                </c:pt>
                <c:pt idx="100">
                  <c:v>204928.15331467893</c:v>
                </c:pt>
                <c:pt idx="101">
                  <c:v>204928.15331467893</c:v>
                </c:pt>
                <c:pt idx="102">
                  <c:v>204928.15331467893</c:v>
                </c:pt>
                <c:pt idx="103">
                  <c:v>204928.15331467893</c:v>
                </c:pt>
                <c:pt idx="104">
                  <c:v>204928.15331467893</c:v>
                </c:pt>
                <c:pt idx="105">
                  <c:v>204928.15331467893</c:v>
                </c:pt>
                <c:pt idx="106">
                  <c:v>204928.15331467893</c:v>
                </c:pt>
                <c:pt idx="107">
                  <c:v>204928.15331467893</c:v>
                </c:pt>
                <c:pt idx="108">
                  <c:v>204928.15331467893</c:v>
                </c:pt>
                <c:pt idx="109">
                  <c:v>204928.15331467893</c:v>
                </c:pt>
                <c:pt idx="110">
                  <c:v>204928.15331467893</c:v>
                </c:pt>
                <c:pt idx="111">
                  <c:v>204928.15331467893</c:v>
                </c:pt>
                <c:pt idx="112">
                  <c:v>204928.15331467893</c:v>
                </c:pt>
                <c:pt idx="113">
                  <c:v>204928.15331467893</c:v>
                </c:pt>
                <c:pt idx="114">
                  <c:v>204928.15331467893</c:v>
                </c:pt>
                <c:pt idx="115">
                  <c:v>204928.15331467893</c:v>
                </c:pt>
                <c:pt idx="116">
                  <c:v>204928.15331467893</c:v>
                </c:pt>
                <c:pt idx="117">
                  <c:v>204928.15331467893</c:v>
                </c:pt>
                <c:pt idx="118">
                  <c:v>204928.15331467893</c:v>
                </c:pt>
                <c:pt idx="119">
                  <c:v>204928.15331467893</c:v>
                </c:pt>
                <c:pt idx="120">
                  <c:v>204928.15331467893</c:v>
                </c:pt>
                <c:pt idx="121">
                  <c:v>204928.15331467893</c:v>
                </c:pt>
                <c:pt idx="122">
                  <c:v>204928.15331467893</c:v>
                </c:pt>
                <c:pt idx="123">
                  <c:v>204928.15331467893</c:v>
                </c:pt>
                <c:pt idx="124">
                  <c:v>204928.15331467893</c:v>
                </c:pt>
                <c:pt idx="125">
                  <c:v>204928.15331467893</c:v>
                </c:pt>
                <c:pt idx="126">
                  <c:v>204928.15331467893</c:v>
                </c:pt>
                <c:pt idx="127">
                  <c:v>204928.15331467893</c:v>
                </c:pt>
                <c:pt idx="128">
                  <c:v>204928.15331467893</c:v>
                </c:pt>
                <c:pt idx="129">
                  <c:v>204928.15331467893</c:v>
                </c:pt>
                <c:pt idx="130">
                  <c:v>204928.15331467893</c:v>
                </c:pt>
                <c:pt idx="131">
                  <c:v>204928.15331467893</c:v>
                </c:pt>
                <c:pt idx="132">
                  <c:v>204928.15331467893</c:v>
                </c:pt>
                <c:pt idx="133">
                  <c:v>204928.15331467893</c:v>
                </c:pt>
                <c:pt idx="134">
                  <c:v>204928.15331467893</c:v>
                </c:pt>
                <c:pt idx="135">
                  <c:v>204928.15331467893</c:v>
                </c:pt>
                <c:pt idx="136">
                  <c:v>204928.15331467893</c:v>
                </c:pt>
                <c:pt idx="137">
                  <c:v>204928.15331467893</c:v>
                </c:pt>
                <c:pt idx="138">
                  <c:v>204928.15331467893</c:v>
                </c:pt>
                <c:pt idx="139">
                  <c:v>204928.15331467893</c:v>
                </c:pt>
                <c:pt idx="140">
                  <c:v>204928.15331467893</c:v>
                </c:pt>
                <c:pt idx="141">
                  <c:v>204928.15331467893</c:v>
                </c:pt>
                <c:pt idx="142">
                  <c:v>204928.15331467893</c:v>
                </c:pt>
                <c:pt idx="143">
                  <c:v>204928.15331467893</c:v>
                </c:pt>
                <c:pt idx="144">
                  <c:v>204928.15331467893</c:v>
                </c:pt>
                <c:pt idx="145">
                  <c:v>204928.15331467893</c:v>
                </c:pt>
                <c:pt idx="146">
                  <c:v>204928.15331467893</c:v>
                </c:pt>
                <c:pt idx="147">
                  <c:v>204928.15331467893</c:v>
                </c:pt>
                <c:pt idx="148">
                  <c:v>204928.15331467893</c:v>
                </c:pt>
                <c:pt idx="149">
                  <c:v>204928.15331467893</c:v>
                </c:pt>
                <c:pt idx="150">
                  <c:v>204928.15331467893</c:v>
                </c:pt>
                <c:pt idx="151">
                  <c:v>204928.15331467893</c:v>
                </c:pt>
                <c:pt idx="152">
                  <c:v>204928.15331467893</c:v>
                </c:pt>
                <c:pt idx="153">
                  <c:v>204928.15331467893</c:v>
                </c:pt>
                <c:pt idx="154">
                  <c:v>204928.15331467893</c:v>
                </c:pt>
                <c:pt idx="155">
                  <c:v>204928.15331467893</c:v>
                </c:pt>
                <c:pt idx="156">
                  <c:v>204928.15331467893</c:v>
                </c:pt>
                <c:pt idx="157">
                  <c:v>204928.15331467893</c:v>
                </c:pt>
                <c:pt idx="158">
                  <c:v>204928.15331467893</c:v>
                </c:pt>
                <c:pt idx="159">
                  <c:v>204928.15331467893</c:v>
                </c:pt>
                <c:pt idx="160">
                  <c:v>204928.15331467893</c:v>
                </c:pt>
                <c:pt idx="161">
                  <c:v>204928.15331467893</c:v>
                </c:pt>
                <c:pt idx="162">
                  <c:v>204928.15331467893</c:v>
                </c:pt>
                <c:pt idx="163">
                  <c:v>204928.15331467893</c:v>
                </c:pt>
                <c:pt idx="164">
                  <c:v>204928.15331467893</c:v>
                </c:pt>
                <c:pt idx="165">
                  <c:v>204928.15331467893</c:v>
                </c:pt>
                <c:pt idx="166">
                  <c:v>204928.15331467893</c:v>
                </c:pt>
                <c:pt idx="167">
                  <c:v>204928.15331467893</c:v>
                </c:pt>
                <c:pt idx="168">
                  <c:v>204928.15331467893</c:v>
                </c:pt>
                <c:pt idx="169">
                  <c:v>204928.15331467893</c:v>
                </c:pt>
                <c:pt idx="170">
                  <c:v>204928.15331467893</c:v>
                </c:pt>
                <c:pt idx="171">
                  <c:v>204928.15331467893</c:v>
                </c:pt>
                <c:pt idx="172">
                  <c:v>204928.15331467893</c:v>
                </c:pt>
                <c:pt idx="173">
                  <c:v>204928.15331467893</c:v>
                </c:pt>
                <c:pt idx="174">
                  <c:v>204928.15331467893</c:v>
                </c:pt>
                <c:pt idx="175">
                  <c:v>204928.15331467893</c:v>
                </c:pt>
                <c:pt idx="176">
                  <c:v>204928.15331467893</c:v>
                </c:pt>
                <c:pt idx="177">
                  <c:v>204928.15331467893</c:v>
                </c:pt>
                <c:pt idx="178">
                  <c:v>204928.15331467893</c:v>
                </c:pt>
                <c:pt idx="179">
                  <c:v>204928.15331467893</c:v>
                </c:pt>
                <c:pt idx="180">
                  <c:v>204928.15331467893</c:v>
                </c:pt>
                <c:pt idx="181">
                  <c:v>204928.15331467893</c:v>
                </c:pt>
                <c:pt idx="182">
                  <c:v>204928.15331467893</c:v>
                </c:pt>
                <c:pt idx="183">
                  <c:v>204928.15331467893</c:v>
                </c:pt>
                <c:pt idx="184">
                  <c:v>204928.15331467893</c:v>
                </c:pt>
                <c:pt idx="185">
                  <c:v>204928.15331467893</c:v>
                </c:pt>
                <c:pt idx="186">
                  <c:v>204928.15331467893</c:v>
                </c:pt>
                <c:pt idx="187">
                  <c:v>204928.15331467893</c:v>
                </c:pt>
                <c:pt idx="188">
                  <c:v>204928.15331467893</c:v>
                </c:pt>
                <c:pt idx="189">
                  <c:v>204928.15331467893</c:v>
                </c:pt>
                <c:pt idx="190">
                  <c:v>204928.15331467893</c:v>
                </c:pt>
                <c:pt idx="191">
                  <c:v>204928.15331467893</c:v>
                </c:pt>
                <c:pt idx="192">
                  <c:v>204928.15331467893</c:v>
                </c:pt>
                <c:pt idx="193">
                  <c:v>204928.15331467893</c:v>
                </c:pt>
                <c:pt idx="194">
                  <c:v>204928.15331467893</c:v>
                </c:pt>
                <c:pt idx="195">
                  <c:v>204928.15331467893</c:v>
                </c:pt>
                <c:pt idx="196">
                  <c:v>204928.15331467893</c:v>
                </c:pt>
                <c:pt idx="197">
                  <c:v>204928.15331467893</c:v>
                </c:pt>
                <c:pt idx="198">
                  <c:v>204928.15331467893</c:v>
                </c:pt>
                <c:pt idx="199">
                  <c:v>204928.15331467893</c:v>
                </c:pt>
                <c:pt idx="200">
                  <c:v>204928.15331467893</c:v>
                </c:pt>
                <c:pt idx="201">
                  <c:v>204928.15331467893</c:v>
                </c:pt>
                <c:pt idx="202">
                  <c:v>204928.15331467893</c:v>
                </c:pt>
                <c:pt idx="203">
                  <c:v>204928.15331467893</c:v>
                </c:pt>
                <c:pt idx="204">
                  <c:v>204928.15331467893</c:v>
                </c:pt>
                <c:pt idx="205">
                  <c:v>204928.15331467893</c:v>
                </c:pt>
                <c:pt idx="206">
                  <c:v>204928.15331467893</c:v>
                </c:pt>
                <c:pt idx="207">
                  <c:v>204928.15331467893</c:v>
                </c:pt>
                <c:pt idx="208">
                  <c:v>204928.15331467893</c:v>
                </c:pt>
                <c:pt idx="209">
                  <c:v>204928.15331467893</c:v>
                </c:pt>
                <c:pt idx="210">
                  <c:v>204928.15331467893</c:v>
                </c:pt>
                <c:pt idx="211">
                  <c:v>204928.15331467893</c:v>
                </c:pt>
                <c:pt idx="212">
                  <c:v>204928.15331467893</c:v>
                </c:pt>
                <c:pt idx="213">
                  <c:v>204928.15331467893</c:v>
                </c:pt>
                <c:pt idx="214">
                  <c:v>204928.15331467893</c:v>
                </c:pt>
                <c:pt idx="215">
                  <c:v>204928.15331467893</c:v>
                </c:pt>
                <c:pt idx="216">
                  <c:v>204928.15331467893</c:v>
                </c:pt>
                <c:pt idx="217">
                  <c:v>204928.15331467893</c:v>
                </c:pt>
                <c:pt idx="218">
                  <c:v>204928.15331467893</c:v>
                </c:pt>
                <c:pt idx="219">
                  <c:v>204928.15331467893</c:v>
                </c:pt>
                <c:pt idx="220">
                  <c:v>204928.15331467893</c:v>
                </c:pt>
                <c:pt idx="221">
                  <c:v>204928.15331467893</c:v>
                </c:pt>
                <c:pt idx="222">
                  <c:v>204928.15331467893</c:v>
                </c:pt>
                <c:pt idx="223">
                  <c:v>204928.15331467893</c:v>
                </c:pt>
                <c:pt idx="224">
                  <c:v>204928.15331467893</c:v>
                </c:pt>
                <c:pt idx="225">
                  <c:v>204928.15331467893</c:v>
                </c:pt>
                <c:pt idx="226">
                  <c:v>204928.15331467893</c:v>
                </c:pt>
                <c:pt idx="227">
                  <c:v>204928.15331467893</c:v>
                </c:pt>
                <c:pt idx="228">
                  <c:v>204928.15331467893</c:v>
                </c:pt>
                <c:pt idx="229">
                  <c:v>204928.15331467893</c:v>
                </c:pt>
                <c:pt idx="230">
                  <c:v>204928.15331467893</c:v>
                </c:pt>
                <c:pt idx="231">
                  <c:v>204928.15331467893</c:v>
                </c:pt>
                <c:pt idx="232">
                  <c:v>204928.15331467893</c:v>
                </c:pt>
                <c:pt idx="233">
                  <c:v>204928.15331467893</c:v>
                </c:pt>
                <c:pt idx="234">
                  <c:v>204928.15331467893</c:v>
                </c:pt>
                <c:pt idx="235">
                  <c:v>204928.15331467893</c:v>
                </c:pt>
                <c:pt idx="236">
                  <c:v>204928.15331467893</c:v>
                </c:pt>
                <c:pt idx="237">
                  <c:v>204928.15331467893</c:v>
                </c:pt>
                <c:pt idx="238">
                  <c:v>204928.15331467893</c:v>
                </c:pt>
                <c:pt idx="239">
                  <c:v>204928.15331467893</c:v>
                </c:pt>
                <c:pt idx="240">
                  <c:v>204928.15331467893</c:v>
                </c:pt>
                <c:pt idx="241">
                  <c:v>204928.15331467893</c:v>
                </c:pt>
                <c:pt idx="242">
                  <c:v>204928.15331467893</c:v>
                </c:pt>
                <c:pt idx="243">
                  <c:v>204928.15331467893</c:v>
                </c:pt>
                <c:pt idx="244">
                  <c:v>204928.15331467893</c:v>
                </c:pt>
                <c:pt idx="245">
                  <c:v>204928.15331467893</c:v>
                </c:pt>
                <c:pt idx="246">
                  <c:v>204928.15331467893</c:v>
                </c:pt>
                <c:pt idx="247">
                  <c:v>204928.15331467893</c:v>
                </c:pt>
                <c:pt idx="248">
                  <c:v>204928.15331467893</c:v>
                </c:pt>
                <c:pt idx="249">
                  <c:v>204928.15331467893</c:v>
                </c:pt>
                <c:pt idx="250">
                  <c:v>204928.15331467893</c:v>
                </c:pt>
                <c:pt idx="251">
                  <c:v>204928.15331467893</c:v>
                </c:pt>
                <c:pt idx="252">
                  <c:v>204928.15331467893</c:v>
                </c:pt>
                <c:pt idx="253">
                  <c:v>204928.15331467893</c:v>
                </c:pt>
                <c:pt idx="254">
                  <c:v>204928.15331467893</c:v>
                </c:pt>
                <c:pt idx="255">
                  <c:v>204928.15331467893</c:v>
                </c:pt>
                <c:pt idx="256">
                  <c:v>204928.15331467893</c:v>
                </c:pt>
                <c:pt idx="257">
                  <c:v>204928.15331467893</c:v>
                </c:pt>
                <c:pt idx="258">
                  <c:v>204928.15331467893</c:v>
                </c:pt>
                <c:pt idx="259">
                  <c:v>204928.15331467893</c:v>
                </c:pt>
                <c:pt idx="260">
                  <c:v>204928.15331467893</c:v>
                </c:pt>
                <c:pt idx="261">
                  <c:v>204928.15331467893</c:v>
                </c:pt>
                <c:pt idx="262">
                  <c:v>204928.15331467893</c:v>
                </c:pt>
                <c:pt idx="263">
                  <c:v>204928.15331467893</c:v>
                </c:pt>
                <c:pt idx="264">
                  <c:v>204928.15331467893</c:v>
                </c:pt>
                <c:pt idx="265">
                  <c:v>204928.15331467893</c:v>
                </c:pt>
                <c:pt idx="266">
                  <c:v>204928.15331467893</c:v>
                </c:pt>
                <c:pt idx="267">
                  <c:v>204928.15331467893</c:v>
                </c:pt>
                <c:pt idx="268">
                  <c:v>204928.15331467893</c:v>
                </c:pt>
                <c:pt idx="269">
                  <c:v>204928.15331467893</c:v>
                </c:pt>
                <c:pt idx="270">
                  <c:v>204928.15331467893</c:v>
                </c:pt>
                <c:pt idx="271">
                  <c:v>204928.15331467893</c:v>
                </c:pt>
                <c:pt idx="272">
                  <c:v>204928.15331467893</c:v>
                </c:pt>
                <c:pt idx="273">
                  <c:v>204928.15331467893</c:v>
                </c:pt>
                <c:pt idx="274">
                  <c:v>204928.15331467893</c:v>
                </c:pt>
                <c:pt idx="275">
                  <c:v>204928.15331467893</c:v>
                </c:pt>
                <c:pt idx="276">
                  <c:v>204928.15331467893</c:v>
                </c:pt>
                <c:pt idx="277">
                  <c:v>204928.15331467893</c:v>
                </c:pt>
                <c:pt idx="278">
                  <c:v>204928.15331467893</c:v>
                </c:pt>
                <c:pt idx="279">
                  <c:v>204928.15331467893</c:v>
                </c:pt>
                <c:pt idx="280">
                  <c:v>204928.15331467893</c:v>
                </c:pt>
                <c:pt idx="281">
                  <c:v>204928.15331467893</c:v>
                </c:pt>
                <c:pt idx="282">
                  <c:v>204928.15331467893</c:v>
                </c:pt>
                <c:pt idx="283">
                  <c:v>204928.15331467893</c:v>
                </c:pt>
                <c:pt idx="284">
                  <c:v>204928.15331467893</c:v>
                </c:pt>
                <c:pt idx="285">
                  <c:v>204928.15331467893</c:v>
                </c:pt>
                <c:pt idx="286">
                  <c:v>204928.15331467893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720615.23861657875</c:v>
                </c:pt>
                <c:pt idx="15">
                  <c:v>720615.23861657875</c:v>
                </c:pt>
                <c:pt idx="16">
                  <c:v>1225045.905648184</c:v>
                </c:pt>
                <c:pt idx="17">
                  <c:v>1225045.905648184</c:v>
                </c:pt>
                <c:pt idx="18">
                  <c:v>1225045.905648184</c:v>
                </c:pt>
                <c:pt idx="19">
                  <c:v>1225045.905648184</c:v>
                </c:pt>
                <c:pt idx="20">
                  <c:v>1225045.905648184</c:v>
                </c:pt>
                <c:pt idx="21">
                  <c:v>1399380.6092331577</c:v>
                </c:pt>
                <c:pt idx="22">
                  <c:v>1399380.6092331577</c:v>
                </c:pt>
                <c:pt idx="23">
                  <c:v>1399380.6092331577</c:v>
                </c:pt>
                <c:pt idx="24">
                  <c:v>1399380.6092331577</c:v>
                </c:pt>
                <c:pt idx="25">
                  <c:v>1399380.6092331577</c:v>
                </c:pt>
                <c:pt idx="26">
                  <c:v>1399380.6092331577</c:v>
                </c:pt>
                <c:pt idx="27">
                  <c:v>1399380.6092331577</c:v>
                </c:pt>
                <c:pt idx="28">
                  <c:v>1399380.6092331577</c:v>
                </c:pt>
                <c:pt idx="29">
                  <c:v>1399380.6092331577</c:v>
                </c:pt>
                <c:pt idx="30">
                  <c:v>1399380.6092331577</c:v>
                </c:pt>
                <c:pt idx="31">
                  <c:v>1399380.6092331577</c:v>
                </c:pt>
                <c:pt idx="32">
                  <c:v>1399380.6092331577</c:v>
                </c:pt>
                <c:pt idx="33">
                  <c:v>1399380.6092331577</c:v>
                </c:pt>
                <c:pt idx="34">
                  <c:v>1399380.6092331577</c:v>
                </c:pt>
                <c:pt idx="35">
                  <c:v>1399380.6092331577</c:v>
                </c:pt>
                <c:pt idx="36">
                  <c:v>1399380.6092331577</c:v>
                </c:pt>
                <c:pt idx="37">
                  <c:v>1399380.6092331577</c:v>
                </c:pt>
                <c:pt idx="38">
                  <c:v>1399380.6092331577</c:v>
                </c:pt>
                <c:pt idx="39">
                  <c:v>1399380.6092331577</c:v>
                </c:pt>
                <c:pt idx="40">
                  <c:v>1399380.6092331577</c:v>
                </c:pt>
                <c:pt idx="41">
                  <c:v>1399380.6092331577</c:v>
                </c:pt>
                <c:pt idx="42">
                  <c:v>1399380.6092331577</c:v>
                </c:pt>
                <c:pt idx="43">
                  <c:v>1399380.6092331577</c:v>
                </c:pt>
                <c:pt idx="44">
                  <c:v>1399380.6092331577</c:v>
                </c:pt>
                <c:pt idx="45">
                  <c:v>1399380.6092331577</c:v>
                </c:pt>
                <c:pt idx="46">
                  <c:v>1399380.6092331577</c:v>
                </c:pt>
                <c:pt idx="47">
                  <c:v>1399380.6092331577</c:v>
                </c:pt>
                <c:pt idx="48">
                  <c:v>1399380.6092331577</c:v>
                </c:pt>
                <c:pt idx="49">
                  <c:v>1399380.6092331577</c:v>
                </c:pt>
                <c:pt idx="50">
                  <c:v>1399380.6092331577</c:v>
                </c:pt>
                <c:pt idx="51">
                  <c:v>1399380.6092331577</c:v>
                </c:pt>
                <c:pt idx="52">
                  <c:v>1399380.6092331577</c:v>
                </c:pt>
                <c:pt idx="53">
                  <c:v>1399380.6092331577</c:v>
                </c:pt>
                <c:pt idx="54">
                  <c:v>1399380.6092331577</c:v>
                </c:pt>
                <c:pt idx="55">
                  <c:v>1399380.6092331577</c:v>
                </c:pt>
                <c:pt idx="56">
                  <c:v>1399380.6092331577</c:v>
                </c:pt>
                <c:pt idx="57">
                  <c:v>1399380.6092331577</c:v>
                </c:pt>
                <c:pt idx="58">
                  <c:v>1399380.6092331577</c:v>
                </c:pt>
                <c:pt idx="59">
                  <c:v>1399380.6092331577</c:v>
                </c:pt>
                <c:pt idx="60">
                  <c:v>1399380.6092331577</c:v>
                </c:pt>
                <c:pt idx="61">
                  <c:v>1399380.6092331577</c:v>
                </c:pt>
                <c:pt idx="62">
                  <c:v>1399380.6092331577</c:v>
                </c:pt>
                <c:pt idx="63">
                  <c:v>1399380.6092331577</c:v>
                </c:pt>
                <c:pt idx="64">
                  <c:v>1399380.6092331577</c:v>
                </c:pt>
                <c:pt idx="65">
                  <c:v>1399380.6092331577</c:v>
                </c:pt>
                <c:pt idx="66">
                  <c:v>1399380.6092331577</c:v>
                </c:pt>
                <c:pt idx="67">
                  <c:v>1399380.6092331577</c:v>
                </c:pt>
                <c:pt idx="68">
                  <c:v>1399380.6092331577</c:v>
                </c:pt>
                <c:pt idx="69">
                  <c:v>1399380.6092331577</c:v>
                </c:pt>
                <c:pt idx="70">
                  <c:v>1399380.6092331577</c:v>
                </c:pt>
                <c:pt idx="71">
                  <c:v>1399380.6092331577</c:v>
                </c:pt>
                <c:pt idx="72">
                  <c:v>1399380.6092331577</c:v>
                </c:pt>
                <c:pt idx="73">
                  <c:v>1399380.6092331577</c:v>
                </c:pt>
                <c:pt idx="74">
                  <c:v>1399380.6092331577</c:v>
                </c:pt>
                <c:pt idx="75">
                  <c:v>1399380.6092331577</c:v>
                </c:pt>
                <c:pt idx="76">
                  <c:v>1399380.6092331577</c:v>
                </c:pt>
                <c:pt idx="77">
                  <c:v>1399380.6092331577</c:v>
                </c:pt>
                <c:pt idx="78">
                  <c:v>1399380.6092331577</c:v>
                </c:pt>
                <c:pt idx="79">
                  <c:v>1399380.6092331577</c:v>
                </c:pt>
                <c:pt idx="80">
                  <c:v>1399380.6092331577</c:v>
                </c:pt>
                <c:pt idx="81">
                  <c:v>1399380.6092331577</c:v>
                </c:pt>
                <c:pt idx="82">
                  <c:v>1399380.6092331577</c:v>
                </c:pt>
                <c:pt idx="83">
                  <c:v>1399380.6092331577</c:v>
                </c:pt>
                <c:pt idx="84">
                  <c:v>1399380.6092331577</c:v>
                </c:pt>
                <c:pt idx="85">
                  <c:v>1399380.6092331577</c:v>
                </c:pt>
                <c:pt idx="86">
                  <c:v>1399380.6092331577</c:v>
                </c:pt>
                <c:pt idx="87">
                  <c:v>1399380.6092331577</c:v>
                </c:pt>
                <c:pt idx="88">
                  <c:v>1399380.6092331577</c:v>
                </c:pt>
                <c:pt idx="89">
                  <c:v>1399380.6092331577</c:v>
                </c:pt>
                <c:pt idx="90">
                  <c:v>1399380.6092331577</c:v>
                </c:pt>
                <c:pt idx="91">
                  <c:v>1399380.6092331577</c:v>
                </c:pt>
                <c:pt idx="92">
                  <c:v>1399380.6092331577</c:v>
                </c:pt>
                <c:pt idx="93">
                  <c:v>1399380.6092331577</c:v>
                </c:pt>
                <c:pt idx="94">
                  <c:v>1399380.6092331577</c:v>
                </c:pt>
                <c:pt idx="95">
                  <c:v>1399380.6092331577</c:v>
                </c:pt>
                <c:pt idx="96">
                  <c:v>1399380.6092331577</c:v>
                </c:pt>
                <c:pt idx="97">
                  <c:v>1399380.6092331577</c:v>
                </c:pt>
                <c:pt idx="98">
                  <c:v>1399380.6092331577</c:v>
                </c:pt>
                <c:pt idx="99">
                  <c:v>1399380.6092331577</c:v>
                </c:pt>
                <c:pt idx="100">
                  <c:v>1399380.6092331577</c:v>
                </c:pt>
                <c:pt idx="101">
                  <c:v>1399380.6092331577</c:v>
                </c:pt>
                <c:pt idx="102">
                  <c:v>1399380.6092331577</c:v>
                </c:pt>
                <c:pt idx="103">
                  <c:v>1399380.6092331577</c:v>
                </c:pt>
                <c:pt idx="104">
                  <c:v>1399380.6092331577</c:v>
                </c:pt>
                <c:pt idx="105">
                  <c:v>1399380.6092331577</c:v>
                </c:pt>
                <c:pt idx="106">
                  <c:v>1399380.6092331577</c:v>
                </c:pt>
                <c:pt idx="107">
                  <c:v>1399380.6092331577</c:v>
                </c:pt>
                <c:pt idx="108">
                  <c:v>1399380.6092331577</c:v>
                </c:pt>
                <c:pt idx="109">
                  <c:v>1399380.6092331577</c:v>
                </c:pt>
                <c:pt idx="110">
                  <c:v>1399380.6092331577</c:v>
                </c:pt>
                <c:pt idx="111">
                  <c:v>1399380.6092331577</c:v>
                </c:pt>
                <c:pt idx="112">
                  <c:v>1399380.6092331577</c:v>
                </c:pt>
                <c:pt idx="113">
                  <c:v>1399380.6092331577</c:v>
                </c:pt>
                <c:pt idx="114">
                  <c:v>1399380.6092331577</c:v>
                </c:pt>
                <c:pt idx="115">
                  <c:v>1399380.6092331577</c:v>
                </c:pt>
                <c:pt idx="116">
                  <c:v>1399380.6092331577</c:v>
                </c:pt>
                <c:pt idx="117">
                  <c:v>1399380.6092331577</c:v>
                </c:pt>
                <c:pt idx="118">
                  <c:v>1399380.6092331577</c:v>
                </c:pt>
                <c:pt idx="119">
                  <c:v>1399380.6092331577</c:v>
                </c:pt>
                <c:pt idx="120">
                  <c:v>1399380.6092331577</c:v>
                </c:pt>
                <c:pt idx="121">
                  <c:v>1399380.6092331577</c:v>
                </c:pt>
                <c:pt idx="122">
                  <c:v>1399380.6092331577</c:v>
                </c:pt>
                <c:pt idx="123">
                  <c:v>1399380.6092331577</c:v>
                </c:pt>
                <c:pt idx="124">
                  <c:v>1399380.6092331577</c:v>
                </c:pt>
                <c:pt idx="125">
                  <c:v>1399380.6092331577</c:v>
                </c:pt>
                <c:pt idx="126">
                  <c:v>1399380.6092331577</c:v>
                </c:pt>
                <c:pt idx="127">
                  <c:v>1399380.6092331577</c:v>
                </c:pt>
                <c:pt idx="128">
                  <c:v>1399380.6092331577</c:v>
                </c:pt>
                <c:pt idx="129">
                  <c:v>1399380.6092331577</c:v>
                </c:pt>
                <c:pt idx="130">
                  <c:v>1399380.6092331577</c:v>
                </c:pt>
                <c:pt idx="131">
                  <c:v>1399380.6092331577</c:v>
                </c:pt>
                <c:pt idx="132">
                  <c:v>1399380.6092331577</c:v>
                </c:pt>
                <c:pt idx="133">
                  <c:v>1399380.6092331577</c:v>
                </c:pt>
                <c:pt idx="134">
                  <c:v>1399380.6092331577</c:v>
                </c:pt>
                <c:pt idx="135">
                  <c:v>1399380.6092331577</c:v>
                </c:pt>
                <c:pt idx="136">
                  <c:v>1399380.6092331577</c:v>
                </c:pt>
                <c:pt idx="137">
                  <c:v>1399380.6092331577</c:v>
                </c:pt>
                <c:pt idx="138">
                  <c:v>1399380.6092331577</c:v>
                </c:pt>
                <c:pt idx="139">
                  <c:v>1399380.6092331577</c:v>
                </c:pt>
                <c:pt idx="140">
                  <c:v>1399380.6092331577</c:v>
                </c:pt>
                <c:pt idx="141">
                  <c:v>1399380.6092331577</c:v>
                </c:pt>
                <c:pt idx="142">
                  <c:v>1399380.6092331577</c:v>
                </c:pt>
                <c:pt idx="143">
                  <c:v>1399380.6092331577</c:v>
                </c:pt>
                <c:pt idx="144">
                  <c:v>1399380.6092331577</c:v>
                </c:pt>
                <c:pt idx="145">
                  <c:v>1399380.6092331577</c:v>
                </c:pt>
                <c:pt idx="146">
                  <c:v>1399380.6092331577</c:v>
                </c:pt>
                <c:pt idx="147">
                  <c:v>1399380.6092331577</c:v>
                </c:pt>
                <c:pt idx="148">
                  <c:v>1399380.6092331577</c:v>
                </c:pt>
                <c:pt idx="149">
                  <c:v>1399380.6092331577</c:v>
                </c:pt>
                <c:pt idx="150">
                  <c:v>1399380.6092331577</c:v>
                </c:pt>
                <c:pt idx="151">
                  <c:v>1399380.6092331577</c:v>
                </c:pt>
                <c:pt idx="152">
                  <c:v>1399380.6092331577</c:v>
                </c:pt>
                <c:pt idx="153">
                  <c:v>1399380.6092331577</c:v>
                </c:pt>
                <c:pt idx="154">
                  <c:v>1399380.6092331577</c:v>
                </c:pt>
                <c:pt idx="155">
                  <c:v>1399380.6092331577</c:v>
                </c:pt>
                <c:pt idx="156">
                  <c:v>1399380.6092331577</c:v>
                </c:pt>
                <c:pt idx="157">
                  <c:v>1399380.6092331577</c:v>
                </c:pt>
                <c:pt idx="158">
                  <c:v>1399380.6092331577</c:v>
                </c:pt>
                <c:pt idx="159">
                  <c:v>1399380.6092331577</c:v>
                </c:pt>
                <c:pt idx="160">
                  <c:v>1399380.6092331577</c:v>
                </c:pt>
                <c:pt idx="161">
                  <c:v>1399380.6092331577</c:v>
                </c:pt>
                <c:pt idx="162">
                  <c:v>1399380.6092331577</c:v>
                </c:pt>
                <c:pt idx="163">
                  <c:v>1399380.6092331577</c:v>
                </c:pt>
                <c:pt idx="164">
                  <c:v>1399380.6092331577</c:v>
                </c:pt>
                <c:pt idx="165">
                  <c:v>1399380.6092331577</c:v>
                </c:pt>
                <c:pt idx="166">
                  <c:v>1399380.6092331577</c:v>
                </c:pt>
                <c:pt idx="167">
                  <c:v>1399380.6092331577</c:v>
                </c:pt>
                <c:pt idx="168">
                  <c:v>1399380.6092331577</c:v>
                </c:pt>
                <c:pt idx="169">
                  <c:v>1399380.6092331577</c:v>
                </c:pt>
                <c:pt idx="170">
                  <c:v>1399380.6092331577</c:v>
                </c:pt>
                <c:pt idx="171">
                  <c:v>1399380.6092331577</c:v>
                </c:pt>
                <c:pt idx="172">
                  <c:v>1399380.6092331577</c:v>
                </c:pt>
                <c:pt idx="173">
                  <c:v>1399380.6092331577</c:v>
                </c:pt>
                <c:pt idx="174">
                  <c:v>1399380.6092331577</c:v>
                </c:pt>
                <c:pt idx="175">
                  <c:v>1399380.6092331577</c:v>
                </c:pt>
                <c:pt idx="176">
                  <c:v>1399380.6092331577</c:v>
                </c:pt>
                <c:pt idx="177">
                  <c:v>1399380.6092331577</c:v>
                </c:pt>
                <c:pt idx="178">
                  <c:v>1399380.6092331577</c:v>
                </c:pt>
                <c:pt idx="179">
                  <c:v>1399380.6092331577</c:v>
                </c:pt>
                <c:pt idx="180">
                  <c:v>1399380.6092331577</c:v>
                </c:pt>
                <c:pt idx="181">
                  <c:v>1399380.6092331577</c:v>
                </c:pt>
                <c:pt idx="182">
                  <c:v>1399380.6092331577</c:v>
                </c:pt>
                <c:pt idx="183">
                  <c:v>1399380.6092331577</c:v>
                </c:pt>
                <c:pt idx="184">
                  <c:v>1399380.6092331577</c:v>
                </c:pt>
                <c:pt idx="185">
                  <c:v>1399380.6092331577</c:v>
                </c:pt>
                <c:pt idx="186">
                  <c:v>1399380.6092331577</c:v>
                </c:pt>
                <c:pt idx="187">
                  <c:v>1399380.6092331577</c:v>
                </c:pt>
                <c:pt idx="188">
                  <c:v>1399380.6092331577</c:v>
                </c:pt>
                <c:pt idx="189">
                  <c:v>1399380.6092331577</c:v>
                </c:pt>
                <c:pt idx="190">
                  <c:v>1399380.6092331577</c:v>
                </c:pt>
                <c:pt idx="191">
                  <c:v>1399380.6092331577</c:v>
                </c:pt>
                <c:pt idx="192">
                  <c:v>1399380.6092331577</c:v>
                </c:pt>
                <c:pt idx="193">
                  <c:v>1399380.6092331577</c:v>
                </c:pt>
                <c:pt idx="194">
                  <c:v>1399380.6092331577</c:v>
                </c:pt>
                <c:pt idx="195">
                  <c:v>1399380.6092331577</c:v>
                </c:pt>
                <c:pt idx="196">
                  <c:v>1399380.6092331577</c:v>
                </c:pt>
                <c:pt idx="197">
                  <c:v>1399380.6092331577</c:v>
                </c:pt>
                <c:pt idx="198">
                  <c:v>1399380.6092331577</c:v>
                </c:pt>
                <c:pt idx="199">
                  <c:v>1399380.6092331577</c:v>
                </c:pt>
                <c:pt idx="200">
                  <c:v>1399380.6092331577</c:v>
                </c:pt>
                <c:pt idx="201">
                  <c:v>1399380.6092331577</c:v>
                </c:pt>
                <c:pt idx="202">
                  <c:v>1399380.6092331577</c:v>
                </c:pt>
                <c:pt idx="203">
                  <c:v>1399380.6092331577</c:v>
                </c:pt>
                <c:pt idx="204">
                  <c:v>1399380.6092331577</c:v>
                </c:pt>
                <c:pt idx="205">
                  <c:v>1399380.6092331577</c:v>
                </c:pt>
                <c:pt idx="206">
                  <c:v>1399380.6092331577</c:v>
                </c:pt>
                <c:pt idx="207">
                  <c:v>1399380.6092331577</c:v>
                </c:pt>
                <c:pt idx="208">
                  <c:v>1399380.6092331577</c:v>
                </c:pt>
                <c:pt idx="209">
                  <c:v>1399380.6092331577</c:v>
                </c:pt>
                <c:pt idx="210">
                  <c:v>1399380.6092331577</c:v>
                </c:pt>
                <c:pt idx="211">
                  <c:v>1399380.6092331577</c:v>
                </c:pt>
                <c:pt idx="212">
                  <c:v>1399380.6092331577</c:v>
                </c:pt>
                <c:pt idx="213">
                  <c:v>1399380.6092331577</c:v>
                </c:pt>
                <c:pt idx="214">
                  <c:v>1399380.6092331577</c:v>
                </c:pt>
                <c:pt idx="215">
                  <c:v>1399380.6092331577</c:v>
                </c:pt>
                <c:pt idx="216">
                  <c:v>1399380.6092331577</c:v>
                </c:pt>
                <c:pt idx="217">
                  <c:v>1399380.6092331577</c:v>
                </c:pt>
                <c:pt idx="218">
                  <c:v>1399380.6092331577</c:v>
                </c:pt>
                <c:pt idx="219">
                  <c:v>1399380.6092331577</c:v>
                </c:pt>
                <c:pt idx="220">
                  <c:v>1399380.6092331577</c:v>
                </c:pt>
                <c:pt idx="221">
                  <c:v>1399380.6092331577</c:v>
                </c:pt>
                <c:pt idx="222">
                  <c:v>1399380.6092331577</c:v>
                </c:pt>
                <c:pt idx="223">
                  <c:v>1399380.6092331577</c:v>
                </c:pt>
                <c:pt idx="224">
                  <c:v>1399380.6092331577</c:v>
                </c:pt>
                <c:pt idx="225">
                  <c:v>1399380.6092331577</c:v>
                </c:pt>
                <c:pt idx="226">
                  <c:v>1399380.6092331577</c:v>
                </c:pt>
                <c:pt idx="227">
                  <c:v>1399380.6092331577</c:v>
                </c:pt>
                <c:pt idx="228">
                  <c:v>1399380.6092331577</c:v>
                </c:pt>
                <c:pt idx="229">
                  <c:v>1399380.6092331577</c:v>
                </c:pt>
                <c:pt idx="230">
                  <c:v>1399380.6092331577</c:v>
                </c:pt>
                <c:pt idx="231">
                  <c:v>1399380.6092331577</c:v>
                </c:pt>
                <c:pt idx="232">
                  <c:v>1399380.6092331577</c:v>
                </c:pt>
                <c:pt idx="233">
                  <c:v>1399380.6092331577</c:v>
                </c:pt>
                <c:pt idx="234">
                  <c:v>1399380.6092331577</c:v>
                </c:pt>
                <c:pt idx="235">
                  <c:v>1399380.6092331577</c:v>
                </c:pt>
                <c:pt idx="236">
                  <c:v>1399380.6092331577</c:v>
                </c:pt>
                <c:pt idx="237">
                  <c:v>1399380.6092331577</c:v>
                </c:pt>
                <c:pt idx="238">
                  <c:v>1399380.6092331577</c:v>
                </c:pt>
                <c:pt idx="239">
                  <c:v>1399380.6092331577</c:v>
                </c:pt>
                <c:pt idx="240">
                  <c:v>1399380.6092331577</c:v>
                </c:pt>
                <c:pt idx="241">
                  <c:v>1399380.6092331577</c:v>
                </c:pt>
                <c:pt idx="242">
                  <c:v>1399380.6092331577</c:v>
                </c:pt>
                <c:pt idx="243">
                  <c:v>1399380.6092331577</c:v>
                </c:pt>
                <c:pt idx="244">
                  <c:v>1399380.6092331577</c:v>
                </c:pt>
                <c:pt idx="245">
                  <c:v>1399380.6092331577</c:v>
                </c:pt>
                <c:pt idx="246">
                  <c:v>1399380.6092331577</c:v>
                </c:pt>
                <c:pt idx="247">
                  <c:v>1399380.6092331577</c:v>
                </c:pt>
                <c:pt idx="248">
                  <c:v>1399380.6092331577</c:v>
                </c:pt>
                <c:pt idx="249">
                  <c:v>1399380.6092331577</c:v>
                </c:pt>
                <c:pt idx="250">
                  <c:v>1399380.6092331577</c:v>
                </c:pt>
                <c:pt idx="251">
                  <c:v>1399380.6092331577</c:v>
                </c:pt>
                <c:pt idx="252">
                  <c:v>1399380.6092331577</c:v>
                </c:pt>
                <c:pt idx="253">
                  <c:v>1399380.6092331577</c:v>
                </c:pt>
                <c:pt idx="254">
                  <c:v>1399380.6092331577</c:v>
                </c:pt>
                <c:pt idx="255">
                  <c:v>1399380.6092331577</c:v>
                </c:pt>
                <c:pt idx="256">
                  <c:v>1399380.6092331577</c:v>
                </c:pt>
                <c:pt idx="257">
                  <c:v>1399380.6092331577</c:v>
                </c:pt>
                <c:pt idx="258">
                  <c:v>1399380.6092331577</c:v>
                </c:pt>
                <c:pt idx="259">
                  <c:v>1399380.6092331577</c:v>
                </c:pt>
                <c:pt idx="260">
                  <c:v>1399380.6092331577</c:v>
                </c:pt>
                <c:pt idx="261">
                  <c:v>1399380.6092331577</c:v>
                </c:pt>
                <c:pt idx="262">
                  <c:v>1399380.6092331577</c:v>
                </c:pt>
                <c:pt idx="263">
                  <c:v>1399380.6092331577</c:v>
                </c:pt>
                <c:pt idx="264">
                  <c:v>1399380.6092331577</c:v>
                </c:pt>
                <c:pt idx="265">
                  <c:v>1399380.6092331577</c:v>
                </c:pt>
                <c:pt idx="266">
                  <c:v>1399380.6092331577</c:v>
                </c:pt>
                <c:pt idx="267">
                  <c:v>1399380.6092331577</c:v>
                </c:pt>
                <c:pt idx="268">
                  <c:v>1399380.6092331577</c:v>
                </c:pt>
                <c:pt idx="269">
                  <c:v>1399380.6092331577</c:v>
                </c:pt>
                <c:pt idx="270">
                  <c:v>1399380.6092331577</c:v>
                </c:pt>
                <c:pt idx="271">
                  <c:v>1399380.6092331577</c:v>
                </c:pt>
                <c:pt idx="272">
                  <c:v>1399380.6092331577</c:v>
                </c:pt>
                <c:pt idx="273">
                  <c:v>1399380.6092331577</c:v>
                </c:pt>
                <c:pt idx="274">
                  <c:v>1399380.6092331577</c:v>
                </c:pt>
                <c:pt idx="275">
                  <c:v>1399380.6092331577</c:v>
                </c:pt>
                <c:pt idx="276">
                  <c:v>1399380.6092331577</c:v>
                </c:pt>
                <c:pt idx="277">
                  <c:v>1399380.6092331577</c:v>
                </c:pt>
                <c:pt idx="278">
                  <c:v>1399380.6092331577</c:v>
                </c:pt>
                <c:pt idx="279">
                  <c:v>1399380.6092331577</c:v>
                </c:pt>
                <c:pt idx="280">
                  <c:v>1399380.6092331577</c:v>
                </c:pt>
                <c:pt idx="281">
                  <c:v>1399380.6092331577</c:v>
                </c:pt>
                <c:pt idx="282">
                  <c:v>1399380.6092331577</c:v>
                </c:pt>
                <c:pt idx="283">
                  <c:v>1399380.6092331577</c:v>
                </c:pt>
                <c:pt idx="284">
                  <c:v>1399380.6092331577</c:v>
                </c:pt>
                <c:pt idx="285">
                  <c:v>1399380.6092331577</c:v>
                </c:pt>
                <c:pt idx="286">
                  <c:v>1399380.6092331577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14512.08</c:v>
                </c:pt>
                <c:pt idx="15">
                  <c:v>82303.67</c:v>
                </c:pt>
                <c:pt idx="16">
                  <c:v>82828.67</c:v>
                </c:pt>
                <c:pt idx="17">
                  <c:v>137061.94199999998</c:v>
                </c:pt>
                <c:pt idx="18">
                  <c:v>137061.94199999998</c:v>
                </c:pt>
                <c:pt idx="19">
                  <c:v>204853.53199999998</c:v>
                </c:pt>
                <c:pt idx="20">
                  <c:v>434015.93296541442</c:v>
                </c:pt>
                <c:pt idx="21">
                  <c:v>508332.52296541445</c:v>
                </c:pt>
                <c:pt idx="22">
                  <c:v>520910.02296541445</c:v>
                </c:pt>
                <c:pt idx="23">
                  <c:v>887288.36296541453</c:v>
                </c:pt>
                <c:pt idx="24">
                  <c:v>900846.6809654145</c:v>
                </c:pt>
                <c:pt idx="25">
                  <c:v>901371.6809654145</c:v>
                </c:pt>
                <c:pt idx="26">
                  <c:v>901371.6809654145</c:v>
                </c:pt>
                <c:pt idx="27">
                  <c:v>901371.6809654145</c:v>
                </c:pt>
                <c:pt idx="28">
                  <c:v>901371.6809654145</c:v>
                </c:pt>
                <c:pt idx="29">
                  <c:v>901896.6809654145</c:v>
                </c:pt>
                <c:pt idx="30">
                  <c:v>901896.6809654145</c:v>
                </c:pt>
                <c:pt idx="31">
                  <c:v>901896.6809654145</c:v>
                </c:pt>
                <c:pt idx="32">
                  <c:v>901896.6809654145</c:v>
                </c:pt>
                <c:pt idx="33">
                  <c:v>901896.6809654145</c:v>
                </c:pt>
                <c:pt idx="34">
                  <c:v>901896.6809654145</c:v>
                </c:pt>
                <c:pt idx="35">
                  <c:v>901896.6809654145</c:v>
                </c:pt>
                <c:pt idx="36">
                  <c:v>901896.6809654145</c:v>
                </c:pt>
                <c:pt idx="37">
                  <c:v>901896.6809654145</c:v>
                </c:pt>
                <c:pt idx="38">
                  <c:v>901896.6809654145</c:v>
                </c:pt>
                <c:pt idx="39">
                  <c:v>901896.6809654145</c:v>
                </c:pt>
                <c:pt idx="40">
                  <c:v>901896.6809654145</c:v>
                </c:pt>
                <c:pt idx="41">
                  <c:v>901896.6809654145</c:v>
                </c:pt>
                <c:pt idx="42">
                  <c:v>901896.6809654145</c:v>
                </c:pt>
                <c:pt idx="43">
                  <c:v>901896.6809654145</c:v>
                </c:pt>
                <c:pt idx="44">
                  <c:v>901896.6809654145</c:v>
                </c:pt>
                <c:pt idx="45">
                  <c:v>901896.6809654145</c:v>
                </c:pt>
                <c:pt idx="46">
                  <c:v>901896.6809654145</c:v>
                </c:pt>
                <c:pt idx="47">
                  <c:v>901896.6809654145</c:v>
                </c:pt>
                <c:pt idx="48">
                  <c:v>901896.6809654145</c:v>
                </c:pt>
                <c:pt idx="49">
                  <c:v>901896.6809654145</c:v>
                </c:pt>
                <c:pt idx="50">
                  <c:v>901896.6809654145</c:v>
                </c:pt>
                <c:pt idx="51">
                  <c:v>901896.6809654145</c:v>
                </c:pt>
                <c:pt idx="52">
                  <c:v>901896.6809654145</c:v>
                </c:pt>
                <c:pt idx="53">
                  <c:v>901896.6809654145</c:v>
                </c:pt>
                <c:pt idx="54">
                  <c:v>901896.6809654145</c:v>
                </c:pt>
                <c:pt idx="55">
                  <c:v>901896.6809654145</c:v>
                </c:pt>
                <c:pt idx="56">
                  <c:v>901896.6809654145</c:v>
                </c:pt>
                <c:pt idx="57">
                  <c:v>901896.6809654145</c:v>
                </c:pt>
                <c:pt idx="58">
                  <c:v>901896.6809654145</c:v>
                </c:pt>
                <c:pt idx="59">
                  <c:v>901896.6809654145</c:v>
                </c:pt>
                <c:pt idx="60">
                  <c:v>901896.6809654145</c:v>
                </c:pt>
                <c:pt idx="61">
                  <c:v>901896.6809654145</c:v>
                </c:pt>
                <c:pt idx="62">
                  <c:v>901896.6809654145</c:v>
                </c:pt>
                <c:pt idx="63">
                  <c:v>901896.6809654145</c:v>
                </c:pt>
                <c:pt idx="64">
                  <c:v>901896.6809654145</c:v>
                </c:pt>
                <c:pt idx="65">
                  <c:v>901896.6809654145</c:v>
                </c:pt>
                <c:pt idx="66">
                  <c:v>901896.6809654145</c:v>
                </c:pt>
                <c:pt idx="67">
                  <c:v>901896.6809654145</c:v>
                </c:pt>
                <c:pt idx="68">
                  <c:v>901896.6809654145</c:v>
                </c:pt>
                <c:pt idx="69">
                  <c:v>901896.6809654145</c:v>
                </c:pt>
                <c:pt idx="70">
                  <c:v>901896.6809654145</c:v>
                </c:pt>
                <c:pt idx="71">
                  <c:v>901896.6809654145</c:v>
                </c:pt>
                <c:pt idx="72">
                  <c:v>901896.6809654145</c:v>
                </c:pt>
                <c:pt idx="73">
                  <c:v>901896.6809654145</c:v>
                </c:pt>
                <c:pt idx="74">
                  <c:v>901896.6809654145</c:v>
                </c:pt>
                <c:pt idx="75">
                  <c:v>901896.6809654145</c:v>
                </c:pt>
                <c:pt idx="76">
                  <c:v>901896.6809654145</c:v>
                </c:pt>
                <c:pt idx="77">
                  <c:v>901896.6809654145</c:v>
                </c:pt>
                <c:pt idx="78">
                  <c:v>901896.6809654145</c:v>
                </c:pt>
                <c:pt idx="79">
                  <c:v>901896.6809654145</c:v>
                </c:pt>
                <c:pt idx="80">
                  <c:v>901896.6809654145</c:v>
                </c:pt>
                <c:pt idx="81">
                  <c:v>901896.6809654145</c:v>
                </c:pt>
                <c:pt idx="82">
                  <c:v>901896.6809654145</c:v>
                </c:pt>
                <c:pt idx="83">
                  <c:v>901896.6809654145</c:v>
                </c:pt>
                <c:pt idx="84">
                  <c:v>901896.6809654145</c:v>
                </c:pt>
                <c:pt idx="85">
                  <c:v>901896.6809654145</c:v>
                </c:pt>
                <c:pt idx="86">
                  <c:v>901896.6809654145</c:v>
                </c:pt>
                <c:pt idx="87">
                  <c:v>901896.6809654145</c:v>
                </c:pt>
                <c:pt idx="88">
                  <c:v>901896.6809654145</c:v>
                </c:pt>
                <c:pt idx="89">
                  <c:v>901896.6809654145</c:v>
                </c:pt>
                <c:pt idx="90">
                  <c:v>901896.6809654145</c:v>
                </c:pt>
                <c:pt idx="91">
                  <c:v>901896.6809654145</c:v>
                </c:pt>
                <c:pt idx="92">
                  <c:v>901896.6809654145</c:v>
                </c:pt>
                <c:pt idx="93">
                  <c:v>901896.6809654145</c:v>
                </c:pt>
                <c:pt idx="94">
                  <c:v>901896.6809654145</c:v>
                </c:pt>
                <c:pt idx="95">
                  <c:v>901896.6809654145</c:v>
                </c:pt>
                <c:pt idx="96">
                  <c:v>901896.6809654145</c:v>
                </c:pt>
                <c:pt idx="97">
                  <c:v>901896.6809654145</c:v>
                </c:pt>
                <c:pt idx="98">
                  <c:v>901896.6809654145</c:v>
                </c:pt>
                <c:pt idx="99">
                  <c:v>901896.6809654145</c:v>
                </c:pt>
                <c:pt idx="100">
                  <c:v>901896.6809654145</c:v>
                </c:pt>
                <c:pt idx="101">
                  <c:v>901896.6809654145</c:v>
                </c:pt>
                <c:pt idx="102">
                  <c:v>901896.6809654145</c:v>
                </c:pt>
                <c:pt idx="103">
                  <c:v>901896.6809654145</c:v>
                </c:pt>
                <c:pt idx="104">
                  <c:v>901896.6809654145</c:v>
                </c:pt>
                <c:pt idx="105">
                  <c:v>901896.6809654145</c:v>
                </c:pt>
                <c:pt idx="106">
                  <c:v>901896.6809654145</c:v>
                </c:pt>
                <c:pt idx="107">
                  <c:v>901896.6809654145</c:v>
                </c:pt>
                <c:pt idx="108">
                  <c:v>901896.6809654145</c:v>
                </c:pt>
                <c:pt idx="109">
                  <c:v>901896.6809654145</c:v>
                </c:pt>
                <c:pt idx="110">
                  <c:v>901896.6809654145</c:v>
                </c:pt>
                <c:pt idx="111">
                  <c:v>901896.6809654145</c:v>
                </c:pt>
                <c:pt idx="112">
                  <c:v>901896.6809654145</c:v>
                </c:pt>
                <c:pt idx="113">
                  <c:v>901896.6809654145</c:v>
                </c:pt>
                <c:pt idx="114">
                  <c:v>901896.6809654145</c:v>
                </c:pt>
                <c:pt idx="115">
                  <c:v>901896.6809654145</c:v>
                </c:pt>
                <c:pt idx="116">
                  <c:v>901896.6809654145</c:v>
                </c:pt>
                <c:pt idx="117">
                  <c:v>901896.6809654145</c:v>
                </c:pt>
                <c:pt idx="118">
                  <c:v>901896.6809654145</c:v>
                </c:pt>
                <c:pt idx="119">
                  <c:v>901896.6809654145</c:v>
                </c:pt>
                <c:pt idx="120">
                  <c:v>901896.6809654145</c:v>
                </c:pt>
                <c:pt idx="121">
                  <c:v>901896.6809654145</c:v>
                </c:pt>
                <c:pt idx="122">
                  <c:v>901896.6809654145</c:v>
                </c:pt>
                <c:pt idx="123">
                  <c:v>901896.6809654145</c:v>
                </c:pt>
                <c:pt idx="124">
                  <c:v>901896.6809654145</c:v>
                </c:pt>
                <c:pt idx="125">
                  <c:v>901896.6809654145</c:v>
                </c:pt>
                <c:pt idx="126">
                  <c:v>901896.6809654145</c:v>
                </c:pt>
                <c:pt idx="127">
                  <c:v>901896.6809654145</c:v>
                </c:pt>
                <c:pt idx="128">
                  <c:v>901896.6809654145</c:v>
                </c:pt>
                <c:pt idx="129">
                  <c:v>901896.6809654145</c:v>
                </c:pt>
                <c:pt idx="130">
                  <c:v>901896.6809654145</c:v>
                </c:pt>
                <c:pt idx="131">
                  <c:v>901896.6809654145</c:v>
                </c:pt>
                <c:pt idx="132">
                  <c:v>901896.6809654145</c:v>
                </c:pt>
                <c:pt idx="133">
                  <c:v>901896.6809654145</c:v>
                </c:pt>
                <c:pt idx="134">
                  <c:v>901896.6809654145</c:v>
                </c:pt>
                <c:pt idx="135">
                  <c:v>901896.6809654145</c:v>
                </c:pt>
                <c:pt idx="136">
                  <c:v>901896.6809654145</c:v>
                </c:pt>
                <c:pt idx="137">
                  <c:v>901896.6809654145</c:v>
                </c:pt>
                <c:pt idx="138">
                  <c:v>901896.6809654145</c:v>
                </c:pt>
                <c:pt idx="139">
                  <c:v>901896.6809654145</c:v>
                </c:pt>
                <c:pt idx="140">
                  <c:v>901896.6809654145</c:v>
                </c:pt>
                <c:pt idx="141">
                  <c:v>901896.6809654145</c:v>
                </c:pt>
                <c:pt idx="142">
                  <c:v>901896.6809654145</c:v>
                </c:pt>
                <c:pt idx="143">
                  <c:v>901896.6809654145</c:v>
                </c:pt>
                <c:pt idx="144">
                  <c:v>901896.6809654145</c:v>
                </c:pt>
                <c:pt idx="145">
                  <c:v>901896.6809654145</c:v>
                </c:pt>
                <c:pt idx="146">
                  <c:v>901896.6809654145</c:v>
                </c:pt>
                <c:pt idx="147">
                  <c:v>901896.6809654145</c:v>
                </c:pt>
                <c:pt idx="148">
                  <c:v>901896.6809654145</c:v>
                </c:pt>
                <c:pt idx="149">
                  <c:v>901896.6809654145</c:v>
                </c:pt>
                <c:pt idx="150">
                  <c:v>901896.6809654145</c:v>
                </c:pt>
                <c:pt idx="151">
                  <c:v>901896.6809654145</c:v>
                </c:pt>
                <c:pt idx="152">
                  <c:v>901896.6809654145</c:v>
                </c:pt>
                <c:pt idx="153">
                  <c:v>901896.6809654145</c:v>
                </c:pt>
                <c:pt idx="154">
                  <c:v>901896.6809654145</c:v>
                </c:pt>
                <c:pt idx="155">
                  <c:v>901896.6809654145</c:v>
                </c:pt>
                <c:pt idx="156">
                  <c:v>901896.6809654145</c:v>
                </c:pt>
                <c:pt idx="157">
                  <c:v>901896.6809654145</c:v>
                </c:pt>
                <c:pt idx="158">
                  <c:v>901896.6809654145</c:v>
                </c:pt>
                <c:pt idx="159">
                  <c:v>901896.6809654145</c:v>
                </c:pt>
                <c:pt idx="160">
                  <c:v>901896.6809654145</c:v>
                </c:pt>
                <c:pt idx="161">
                  <c:v>901896.6809654145</c:v>
                </c:pt>
                <c:pt idx="162">
                  <c:v>901896.6809654145</c:v>
                </c:pt>
                <c:pt idx="163">
                  <c:v>901896.6809654145</c:v>
                </c:pt>
                <c:pt idx="164">
                  <c:v>901896.6809654145</c:v>
                </c:pt>
                <c:pt idx="165">
                  <c:v>901896.6809654145</c:v>
                </c:pt>
                <c:pt idx="166">
                  <c:v>901896.6809654145</c:v>
                </c:pt>
                <c:pt idx="167">
                  <c:v>901896.6809654145</c:v>
                </c:pt>
                <c:pt idx="168">
                  <c:v>901896.6809654145</c:v>
                </c:pt>
                <c:pt idx="169">
                  <c:v>901896.6809654145</c:v>
                </c:pt>
                <c:pt idx="170">
                  <c:v>901896.6809654145</c:v>
                </c:pt>
                <c:pt idx="171">
                  <c:v>901896.6809654145</c:v>
                </c:pt>
                <c:pt idx="172">
                  <c:v>901896.6809654145</c:v>
                </c:pt>
                <c:pt idx="173">
                  <c:v>901896.6809654145</c:v>
                </c:pt>
                <c:pt idx="174">
                  <c:v>901896.6809654145</c:v>
                </c:pt>
                <c:pt idx="175">
                  <c:v>901896.6809654145</c:v>
                </c:pt>
                <c:pt idx="176">
                  <c:v>901896.6809654145</c:v>
                </c:pt>
                <c:pt idx="177">
                  <c:v>901896.6809654145</c:v>
                </c:pt>
                <c:pt idx="178">
                  <c:v>901896.6809654145</c:v>
                </c:pt>
                <c:pt idx="179">
                  <c:v>901896.6809654145</c:v>
                </c:pt>
                <c:pt idx="180">
                  <c:v>901896.6809654145</c:v>
                </c:pt>
                <c:pt idx="181">
                  <c:v>901896.6809654145</c:v>
                </c:pt>
                <c:pt idx="182">
                  <c:v>901896.6809654145</c:v>
                </c:pt>
                <c:pt idx="183">
                  <c:v>901896.6809654145</c:v>
                </c:pt>
                <c:pt idx="184">
                  <c:v>901896.6809654145</c:v>
                </c:pt>
                <c:pt idx="185">
                  <c:v>901896.6809654145</c:v>
                </c:pt>
                <c:pt idx="186">
                  <c:v>901896.6809654145</c:v>
                </c:pt>
                <c:pt idx="187">
                  <c:v>901896.6809654145</c:v>
                </c:pt>
                <c:pt idx="188">
                  <c:v>901896.6809654145</c:v>
                </c:pt>
                <c:pt idx="189">
                  <c:v>901896.6809654145</c:v>
                </c:pt>
                <c:pt idx="190">
                  <c:v>901896.6809654145</c:v>
                </c:pt>
                <c:pt idx="191">
                  <c:v>901896.6809654145</c:v>
                </c:pt>
                <c:pt idx="192">
                  <c:v>901896.6809654145</c:v>
                </c:pt>
                <c:pt idx="193">
                  <c:v>901896.6809654145</c:v>
                </c:pt>
                <c:pt idx="194">
                  <c:v>901896.6809654145</c:v>
                </c:pt>
                <c:pt idx="195">
                  <c:v>901896.6809654145</c:v>
                </c:pt>
                <c:pt idx="196">
                  <c:v>901896.6809654145</c:v>
                </c:pt>
                <c:pt idx="197">
                  <c:v>901896.6809654145</c:v>
                </c:pt>
                <c:pt idx="198">
                  <c:v>901896.6809654145</c:v>
                </c:pt>
                <c:pt idx="199">
                  <c:v>901896.6809654145</c:v>
                </c:pt>
                <c:pt idx="200">
                  <c:v>901896.6809654145</c:v>
                </c:pt>
                <c:pt idx="201">
                  <c:v>901896.6809654145</c:v>
                </c:pt>
                <c:pt idx="202">
                  <c:v>901896.6809654145</c:v>
                </c:pt>
                <c:pt idx="203">
                  <c:v>901896.6809654145</c:v>
                </c:pt>
                <c:pt idx="204">
                  <c:v>901896.6809654145</c:v>
                </c:pt>
                <c:pt idx="205">
                  <c:v>901896.6809654145</c:v>
                </c:pt>
                <c:pt idx="206">
                  <c:v>901896.6809654145</c:v>
                </c:pt>
                <c:pt idx="207">
                  <c:v>901896.6809654145</c:v>
                </c:pt>
                <c:pt idx="208">
                  <c:v>901896.6809654145</c:v>
                </c:pt>
                <c:pt idx="209">
                  <c:v>901896.6809654145</c:v>
                </c:pt>
                <c:pt idx="210">
                  <c:v>901896.6809654145</c:v>
                </c:pt>
                <c:pt idx="211">
                  <c:v>901896.6809654145</c:v>
                </c:pt>
                <c:pt idx="212">
                  <c:v>901896.6809654145</c:v>
                </c:pt>
                <c:pt idx="213">
                  <c:v>901896.6809654145</c:v>
                </c:pt>
                <c:pt idx="214">
                  <c:v>901896.6809654145</c:v>
                </c:pt>
                <c:pt idx="215">
                  <c:v>901896.6809654145</c:v>
                </c:pt>
                <c:pt idx="216">
                  <c:v>901896.6809654145</c:v>
                </c:pt>
                <c:pt idx="217">
                  <c:v>901896.6809654145</c:v>
                </c:pt>
                <c:pt idx="218">
                  <c:v>901896.6809654145</c:v>
                </c:pt>
                <c:pt idx="219">
                  <c:v>901896.6809654145</c:v>
                </c:pt>
                <c:pt idx="220">
                  <c:v>901896.6809654145</c:v>
                </c:pt>
                <c:pt idx="221">
                  <c:v>901896.6809654145</c:v>
                </c:pt>
                <c:pt idx="222">
                  <c:v>901896.6809654145</c:v>
                </c:pt>
                <c:pt idx="223">
                  <c:v>901896.6809654145</c:v>
                </c:pt>
                <c:pt idx="224">
                  <c:v>901896.6809654145</c:v>
                </c:pt>
                <c:pt idx="225">
                  <c:v>901896.6809654145</c:v>
                </c:pt>
                <c:pt idx="226">
                  <c:v>901896.6809654145</c:v>
                </c:pt>
                <c:pt idx="227">
                  <c:v>901896.6809654145</c:v>
                </c:pt>
                <c:pt idx="228">
                  <c:v>901896.6809654145</c:v>
                </c:pt>
                <c:pt idx="229">
                  <c:v>901896.6809654145</c:v>
                </c:pt>
                <c:pt idx="230">
                  <c:v>901896.6809654145</c:v>
                </c:pt>
                <c:pt idx="231">
                  <c:v>901896.6809654145</c:v>
                </c:pt>
                <c:pt idx="232">
                  <c:v>901896.6809654145</c:v>
                </c:pt>
                <c:pt idx="233">
                  <c:v>901896.6809654145</c:v>
                </c:pt>
                <c:pt idx="234">
                  <c:v>901896.6809654145</c:v>
                </c:pt>
                <c:pt idx="235">
                  <c:v>901896.6809654145</c:v>
                </c:pt>
                <c:pt idx="236">
                  <c:v>901896.6809654145</c:v>
                </c:pt>
                <c:pt idx="237">
                  <c:v>901896.6809654145</c:v>
                </c:pt>
                <c:pt idx="238">
                  <c:v>901896.6809654145</c:v>
                </c:pt>
                <c:pt idx="239">
                  <c:v>901896.6809654145</c:v>
                </c:pt>
                <c:pt idx="240">
                  <c:v>901896.6809654145</c:v>
                </c:pt>
                <c:pt idx="241">
                  <c:v>901896.6809654145</c:v>
                </c:pt>
                <c:pt idx="242">
                  <c:v>901896.6809654145</c:v>
                </c:pt>
                <c:pt idx="243">
                  <c:v>901896.6809654145</c:v>
                </c:pt>
                <c:pt idx="244">
                  <c:v>901896.6809654145</c:v>
                </c:pt>
                <c:pt idx="245">
                  <c:v>901896.6809654145</c:v>
                </c:pt>
                <c:pt idx="246">
                  <c:v>901896.6809654145</c:v>
                </c:pt>
                <c:pt idx="247">
                  <c:v>901896.6809654145</c:v>
                </c:pt>
                <c:pt idx="248">
                  <c:v>901896.6809654145</c:v>
                </c:pt>
                <c:pt idx="249">
                  <c:v>901896.6809654145</c:v>
                </c:pt>
                <c:pt idx="250">
                  <c:v>901896.6809654145</c:v>
                </c:pt>
                <c:pt idx="251">
                  <c:v>901896.6809654145</c:v>
                </c:pt>
                <c:pt idx="252">
                  <c:v>901896.6809654145</c:v>
                </c:pt>
                <c:pt idx="253">
                  <c:v>901896.6809654145</c:v>
                </c:pt>
                <c:pt idx="254">
                  <c:v>901896.6809654145</c:v>
                </c:pt>
                <c:pt idx="255">
                  <c:v>901896.6809654145</c:v>
                </c:pt>
                <c:pt idx="256">
                  <c:v>901896.6809654145</c:v>
                </c:pt>
                <c:pt idx="257">
                  <c:v>901896.6809654145</c:v>
                </c:pt>
                <c:pt idx="258">
                  <c:v>901896.6809654145</c:v>
                </c:pt>
                <c:pt idx="259">
                  <c:v>901896.6809654145</c:v>
                </c:pt>
                <c:pt idx="260">
                  <c:v>901896.6809654145</c:v>
                </c:pt>
                <c:pt idx="261">
                  <c:v>901896.6809654145</c:v>
                </c:pt>
                <c:pt idx="262">
                  <c:v>901896.6809654145</c:v>
                </c:pt>
                <c:pt idx="263">
                  <c:v>901896.6809654145</c:v>
                </c:pt>
                <c:pt idx="264">
                  <c:v>901896.6809654145</c:v>
                </c:pt>
                <c:pt idx="265">
                  <c:v>901896.6809654145</c:v>
                </c:pt>
                <c:pt idx="266">
                  <c:v>901896.6809654145</c:v>
                </c:pt>
                <c:pt idx="267">
                  <c:v>901896.6809654145</c:v>
                </c:pt>
                <c:pt idx="268">
                  <c:v>901896.6809654145</c:v>
                </c:pt>
                <c:pt idx="269">
                  <c:v>901896.6809654145</c:v>
                </c:pt>
                <c:pt idx="270">
                  <c:v>901896.6809654145</c:v>
                </c:pt>
                <c:pt idx="271">
                  <c:v>901896.6809654145</c:v>
                </c:pt>
                <c:pt idx="272">
                  <c:v>901896.6809654145</c:v>
                </c:pt>
                <c:pt idx="273">
                  <c:v>901896.6809654145</c:v>
                </c:pt>
                <c:pt idx="274">
                  <c:v>901896.6809654145</c:v>
                </c:pt>
                <c:pt idx="275">
                  <c:v>901896.6809654145</c:v>
                </c:pt>
                <c:pt idx="276">
                  <c:v>901896.6809654145</c:v>
                </c:pt>
                <c:pt idx="277">
                  <c:v>901896.6809654145</c:v>
                </c:pt>
                <c:pt idx="278">
                  <c:v>901896.6809654145</c:v>
                </c:pt>
                <c:pt idx="279">
                  <c:v>901896.6809654145</c:v>
                </c:pt>
                <c:pt idx="280">
                  <c:v>901896.6809654145</c:v>
                </c:pt>
                <c:pt idx="281">
                  <c:v>901896.6809654145</c:v>
                </c:pt>
                <c:pt idx="282">
                  <c:v>901896.6809654145</c:v>
                </c:pt>
                <c:pt idx="283">
                  <c:v>901896.6809654145</c:v>
                </c:pt>
                <c:pt idx="284">
                  <c:v>901896.6809654145</c:v>
                </c:pt>
                <c:pt idx="285">
                  <c:v>901896.6809654145</c:v>
                </c:pt>
                <c:pt idx="286">
                  <c:v>901896.6809654145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706103.15861657879</c:v>
                </c:pt>
                <c:pt idx="15">
                  <c:v>638311.5686165787</c:v>
                </c:pt>
                <c:pt idx="16">
                  <c:v>1142217.2356481841</c:v>
                </c:pt>
                <c:pt idx="17">
                  <c:v>1087983.963648184</c:v>
                </c:pt>
                <c:pt idx="18">
                  <c:v>1087983.963648184</c:v>
                </c:pt>
                <c:pt idx="19">
                  <c:v>1020192.373648184</c:v>
                </c:pt>
                <c:pt idx="20">
                  <c:v>791029.97268276964</c:v>
                </c:pt>
                <c:pt idx="21">
                  <c:v>891048.08626774326</c:v>
                </c:pt>
                <c:pt idx="22">
                  <c:v>878470.58626774326</c:v>
                </c:pt>
                <c:pt idx="23">
                  <c:v>512092.24626774318</c:v>
                </c:pt>
                <c:pt idx="24">
                  <c:v>498533.92826774321</c:v>
                </c:pt>
                <c:pt idx="25">
                  <c:v>498008.92826774321</c:v>
                </c:pt>
                <c:pt idx="26">
                  <c:v>498008.92826774321</c:v>
                </c:pt>
                <c:pt idx="27">
                  <c:v>498008.92826774321</c:v>
                </c:pt>
                <c:pt idx="28">
                  <c:v>498008.92826774321</c:v>
                </c:pt>
                <c:pt idx="29">
                  <c:v>497483.92826774321</c:v>
                </c:pt>
                <c:pt idx="30">
                  <c:v>497483.92826774321</c:v>
                </c:pt>
                <c:pt idx="31">
                  <c:v>497483.92826774321</c:v>
                </c:pt>
                <c:pt idx="32">
                  <c:v>497483.92826774321</c:v>
                </c:pt>
                <c:pt idx="33">
                  <c:v>497483.92826774321</c:v>
                </c:pt>
                <c:pt idx="34">
                  <c:v>497483.92826774321</c:v>
                </c:pt>
                <c:pt idx="35">
                  <c:v>497483.92826774321</c:v>
                </c:pt>
                <c:pt idx="36">
                  <c:v>497483.92826774321</c:v>
                </c:pt>
                <c:pt idx="37">
                  <c:v>497483.92826774321</c:v>
                </c:pt>
                <c:pt idx="38">
                  <c:v>497483.92826774321</c:v>
                </c:pt>
                <c:pt idx="39">
                  <c:v>497483.92826774321</c:v>
                </c:pt>
                <c:pt idx="40">
                  <c:v>497483.92826774321</c:v>
                </c:pt>
                <c:pt idx="41">
                  <c:v>497483.92826774321</c:v>
                </c:pt>
                <c:pt idx="42">
                  <c:v>497483.92826774321</c:v>
                </c:pt>
                <c:pt idx="43">
                  <c:v>497483.92826774321</c:v>
                </c:pt>
                <c:pt idx="44">
                  <c:v>497483.92826774321</c:v>
                </c:pt>
                <c:pt idx="45">
                  <c:v>497483.92826774321</c:v>
                </c:pt>
                <c:pt idx="46">
                  <c:v>497483.92826774321</c:v>
                </c:pt>
                <c:pt idx="47">
                  <c:v>497483.92826774321</c:v>
                </c:pt>
                <c:pt idx="48">
                  <c:v>497483.92826774321</c:v>
                </c:pt>
                <c:pt idx="49">
                  <c:v>497483.92826774321</c:v>
                </c:pt>
                <c:pt idx="50">
                  <c:v>497483.92826774321</c:v>
                </c:pt>
                <c:pt idx="51">
                  <c:v>497483.92826774321</c:v>
                </c:pt>
                <c:pt idx="52">
                  <c:v>497483.92826774321</c:v>
                </c:pt>
                <c:pt idx="53">
                  <c:v>497483.92826774321</c:v>
                </c:pt>
                <c:pt idx="54">
                  <c:v>497483.92826774321</c:v>
                </c:pt>
                <c:pt idx="55">
                  <c:v>497483.92826774321</c:v>
                </c:pt>
                <c:pt idx="56">
                  <c:v>497483.92826774321</c:v>
                </c:pt>
                <c:pt idx="57">
                  <c:v>497483.92826774321</c:v>
                </c:pt>
                <c:pt idx="58">
                  <c:v>497483.92826774321</c:v>
                </c:pt>
                <c:pt idx="59">
                  <c:v>497483.92826774321</c:v>
                </c:pt>
                <c:pt idx="60">
                  <c:v>497483.92826774321</c:v>
                </c:pt>
                <c:pt idx="61">
                  <c:v>497483.92826774321</c:v>
                </c:pt>
                <c:pt idx="62">
                  <c:v>497483.92826774321</c:v>
                </c:pt>
                <c:pt idx="63">
                  <c:v>497483.92826774321</c:v>
                </c:pt>
                <c:pt idx="64">
                  <c:v>497483.92826774321</c:v>
                </c:pt>
                <c:pt idx="65">
                  <c:v>497483.92826774321</c:v>
                </c:pt>
                <c:pt idx="66">
                  <c:v>497483.92826774321</c:v>
                </c:pt>
                <c:pt idx="67">
                  <c:v>497483.92826774321</c:v>
                </c:pt>
                <c:pt idx="68">
                  <c:v>497483.92826774321</c:v>
                </c:pt>
                <c:pt idx="69">
                  <c:v>497483.92826774321</c:v>
                </c:pt>
                <c:pt idx="70">
                  <c:v>497483.92826774321</c:v>
                </c:pt>
                <c:pt idx="71">
                  <c:v>497483.92826774321</c:v>
                </c:pt>
                <c:pt idx="72">
                  <c:v>497483.92826774321</c:v>
                </c:pt>
                <c:pt idx="73">
                  <c:v>497483.92826774321</c:v>
                </c:pt>
                <c:pt idx="74">
                  <c:v>497483.92826774321</c:v>
                </c:pt>
                <c:pt idx="75">
                  <c:v>497483.92826774321</c:v>
                </c:pt>
                <c:pt idx="76">
                  <c:v>497483.92826774321</c:v>
                </c:pt>
                <c:pt idx="77">
                  <c:v>497483.92826774321</c:v>
                </c:pt>
                <c:pt idx="78">
                  <c:v>497483.92826774321</c:v>
                </c:pt>
                <c:pt idx="79">
                  <c:v>497483.92826774321</c:v>
                </c:pt>
                <c:pt idx="80">
                  <c:v>497483.92826774321</c:v>
                </c:pt>
                <c:pt idx="81">
                  <c:v>497483.92826774321</c:v>
                </c:pt>
                <c:pt idx="82">
                  <c:v>497483.92826774321</c:v>
                </c:pt>
                <c:pt idx="83">
                  <c:v>497483.92826774321</c:v>
                </c:pt>
                <c:pt idx="84">
                  <c:v>497483.92826774321</c:v>
                </c:pt>
                <c:pt idx="85">
                  <c:v>497483.92826774321</c:v>
                </c:pt>
                <c:pt idx="86">
                  <c:v>497483.92826774321</c:v>
                </c:pt>
                <c:pt idx="87">
                  <c:v>497483.92826774321</c:v>
                </c:pt>
                <c:pt idx="88">
                  <c:v>497483.92826774321</c:v>
                </c:pt>
                <c:pt idx="89">
                  <c:v>497483.92826774321</c:v>
                </c:pt>
                <c:pt idx="90">
                  <c:v>497483.92826774321</c:v>
                </c:pt>
                <c:pt idx="91">
                  <c:v>497483.92826774321</c:v>
                </c:pt>
                <c:pt idx="92">
                  <c:v>497483.92826774321</c:v>
                </c:pt>
                <c:pt idx="93">
                  <c:v>497483.92826774321</c:v>
                </c:pt>
                <c:pt idx="94">
                  <c:v>497483.92826774321</c:v>
                </c:pt>
                <c:pt idx="95">
                  <c:v>497483.92826774321</c:v>
                </c:pt>
                <c:pt idx="96">
                  <c:v>497483.92826774321</c:v>
                </c:pt>
                <c:pt idx="97">
                  <c:v>497483.92826774321</c:v>
                </c:pt>
                <c:pt idx="98">
                  <c:v>497483.92826774321</c:v>
                </c:pt>
                <c:pt idx="99">
                  <c:v>497483.92826774321</c:v>
                </c:pt>
                <c:pt idx="100">
                  <c:v>497483.92826774321</c:v>
                </c:pt>
                <c:pt idx="101">
                  <c:v>497483.92826774321</c:v>
                </c:pt>
                <c:pt idx="102">
                  <c:v>497483.92826774321</c:v>
                </c:pt>
                <c:pt idx="103">
                  <c:v>497483.92826774321</c:v>
                </c:pt>
                <c:pt idx="104">
                  <c:v>497483.92826774321</c:v>
                </c:pt>
                <c:pt idx="105">
                  <c:v>497483.92826774321</c:v>
                </c:pt>
                <c:pt idx="106">
                  <c:v>497483.92826774321</c:v>
                </c:pt>
                <c:pt idx="107">
                  <c:v>497483.92826774321</c:v>
                </c:pt>
                <c:pt idx="108">
                  <c:v>497483.92826774321</c:v>
                </c:pt>
                <c:pt idx="109">
                  <c:v>497483.92826774321</c:v>
                </c:pt>
                <c:pt idx="110">
                  <c:v>497483.92826774321</c:v>
                </c:pt>
                <c:pt idx="111">
                  <c:v>497483.92826774321</c:v>
                </c:pt>
                <c:pt idx="112">
                  <c:v>497483.92826774321</c:v>
                </c:pt>
                <c:pt idx="113">
                  <c:v>497483.92826774321</c:v>
                </c:pt>
                <c:pt idx="114">
                  <c:v>497483.92826774321</c:v>
                </c:pt>
                <c:pt idx="115">
                  <c:v>497483.92826774321</c:v>
                </c:pt>
                <c:pt idx="116">
                  <c:v>497483.92826774321</c:v>
                </c:pt>
                <c:pt idx="117">
                  <c:v>497483.92826774321</c:v>
                </c:pt>
                <c:pt idx="118">
                  <c:v>497483.92826774321</c:v>
                </c:pt>
                <c:pt idx="119">
                  <c:v>497483.92826774321</c:v>
                </c:pt>
                <c:pt idx="120">
                  <c:v>497483.92826774321</c:v>
                </c:pt>
                <c:pt idx="121">
                  <c:v>497483.92826774321</c:v>
                </c:pt>
                <c:pt idx="122">
                  <c:v>497483.92826774321</c:v>
                </c:pt>
                <c:pt idx="123">
                  <c:v>497483.92826774321</c:v>
                </c:pt>
                <c:pt idx="124">
                  <c:v>497483.92826774321</c:v>
                </c:pt>
                <c:pt idx="125">
                  <c:v>497483.92826774321</c:v>
                </c:pt>
                <c:pt idx="126">
                  <c:v>497483.92826774321</c:v>
                </c:pt>
                <c:pt idx="127">
                  <c:v>497483.92826774321</c:v>
                </c:pt>
                <c:pt idx="128">
                  <c:v>497483.92826774321</c:v>
                </c:pt>
                <c:pt idx="129">
                  <c:v>497483.92826774321</c:v>
                </c:pt>
                <c:pt idx="130">
                  <c:v>497483.92826774321</c:v>
                </c:pt>
                <c:pt idx="131">
                  <c:v>497483.92826774321</c:v>
                </c:pt>
                <c:pt idx="132">
                  <c:v>497483.92826774321</c:v>
                </c:pt>
                <c:pt idx="133">
                  <c:v>497483.92826774321</c:v>
                </c:pt>
                <c:pt idx="134">
                  <c:v>497483.92826774321</c:v>
                </c:pt>
                <c:pt idx="135">
                  <c:v>497483.92826774321</c:v>
                </c:pt>
                <c:pt idx="136">
                  <c:v>497483.92826774321</c:v>
                </c:pt>
                <c:pt idx="137">
                  <c:v>497483.92826774321</c:v>
                </c:pt>
                <c:pt idx="138">
                  <c:v>497483.92826774321</c:v>
                </c:pt>
                <c:pt idx="139">
                  <c:v>497483.92826774321</c:v>
                </c:pt>
                <c:pt idx="140">
                  <c:v>497483.92826774321</c:v>
                </c:pt>
                <c:pt idx="141">
                  <c:v>497483.92826774321</c:v>
                </c:pt>
                <c:pt idx="142">
                  <c:v>497483.92826774321</c:v>
                </c:pt>
                <c:pt idx="143">
                  <c:v>497483.92826774321</c:v>
                </c:pt>
                <c:pt idx="144">
                  <c:v>497483.92826774321</c:v>
                </c:pt>
                <c:pt idx="145">
                  <c:v>497483.92826774321</c:v>
                </c:pt>
                <c:pt idx="146">
                  <c:v>497483.92826774321</c:v>
                </c:pt>
                <c:pt idx="147">
                  <c:v>497483.92826774321</c:v>
                </c:pt>
                <c:pt idx="148">
                  <c:v>497483.92826774321</c:v>
                </c:pt>
                <c:pt idx="149">
                  <c:v>497483.92826774321</c:v>
                </c:pt>
                <c:pt idx="150">
                  <c:v>497483.92826774321</c:v>
                </c:pt>
                <c:pt idx="151">
                  <c:v>497483.92826774321</c:v>
                </c:pt>
                <c:pt idx="152">
                  <c:v>497483.92826774321</c:v>
                </c:pt>
                <c:pt idx="153">
                  <c:v>497483.92826774321</c:v>
                </c:pt>
                <c:pt idx="154">
                  <c:v>497483.92826774321</c:v>
                </c:pt>
                <c:pt idx="155">
                  <c:v>497483.92826774321</c:v>
                </c:pt>
                <c:pt idx="156">
                  <c:v>497483.92826774321</c:v>
                </c:pt>
                <c:pt idx="157">
                  <c:v>497483.92826774321</c:v>
                </c:pt>
                <c:pt idx="158">
                  <c:v>497483.92826774321</c:v>
                </c:pt>
                <c:pt idx="159">
                  <c:v>497483.92826774321</c:v>
                </c:pt>
                <c:pt idx="160">
                  <c:v>497483.92826774321</c:v>
                </c:pt>
                <c:pt idx="161">
                  <c:v>497483.92826774321</c:v>
                </c:pt>
                <c:pt idx="162">
                  <c:v>497483.92826774321</c:v>
                </c:pt>
                <c:pt idx="163">
                  <c:v>497483.92826774321</c:v>
                </c:pt>
                <c:pt idx="164">
                  <c:v>497483.92826774321</c:v>
                </c:pt>
                <c:pt idx="165">
                  <c:v>497483.92826774321</c:v>
                </c:pt>
                <c:pt idx="166">
                  <c:v>497483.92826774321</c:v>
                </c:pt>
                <c:pt idx="167">
                  <c:v>497483.92826774321</c:v>
                </c:pt>
                <c:pt idx="168">
                  <c:v>497483.92826774321</c:v>
                </c:pt>
                <c:pt idx="169">
                  <c:v>497483.92826774321</c:v>
                </c:pt>
                <c:pt idx="170">
                  <c:v>497483.92826774321</c:v>
                </c:pt>
                <c:pt idx="171">
                  <c:v>497483.92826774321</c:v>
                </c:pt>
                <c:pt idx="172">
                  <c:v>497483.92826774321</c:v>
                </c:pt>
                <c:pt idx="173">
                  <c:v>497483.92826774321</c:v>
                </c:pt>
                <c:pt idx="174">
                  <c:v>497483.92826774321</c:v>
                </c:pt>
                <c:pt idx="175">
                  <c:v>497483.92826774321</c:v>
                </c:pt>
                <c:pt idx="176">
                  <c:v>497483.92826774321</c:v>
                </c:pt>
                <c:pt idx="177">
                  <c:v>497483.92826774321</c:v>
                </c:pt>
                <c:pt idx="178">
                  <c:v>497483.92826774321</c:v>
                </c:pt>
                <c:pt idx="179">
                  <c:v>497483.92826774321</c:v>
                </c:pt>
                <c:pt idx="180">
                  <c:v>497483.92826774321</c:v>
                </c:pt>
                <c:pt idx="181">
                  <c:v>497483.92826774321</c:v>
                </c:pt>
                <c:pt idx="182">
                  <c:v>497483.92826774321</c:v>
                </c:pt>
                <c:pt idx="183">
                  <c:v>497483.92826774321</c:v>
                </c:pt>
                <c:pt idx="184">
                  <c:v>497483.92826774321</c:v>
                </c:pt>
                <c:pt idx="185">
                  <c:v>497483.92826774321</c:v>
                </c:pt>
                <c:pt idx="186">
                  <c:v>497483.92826774321</c:v>
                </c:pt>
                <c:pt idx="187">
                  <c:v>497483.92826774321</c:v>
                </c:pt>
                <c:pt idx="188">
                  <c:v>497483.92826774321</c:v>
                </c:pt>
                <c:pt idx="189">
                  <c:v>497483.92826774321</c:v>
                </c:pt>
                <c:pt idx="190">
                  <c:v>497483.92826774321</c:v>
                </c:pt>
                <c:pt idx="191">
                  <c:v>497483.92826774321</c:v>
                </c:pt>
                <c:pt idx="192">
                  <c:v>497483.92826774321</c:v>
                </c:pt>
                <c:pt idx="193">
                  <c:v>497483.92826774321</c:v>
                </c:pt>
                <c:pt idx="194">
                  <c:v>497483.92826774321</c:v>
                </c:pt>
                <c:pt idx="195">
                  <c:v>497483.92826774321</c:v>
                </c:pt>
                <c:pt idx="196">
                  <c:v>497483.92826774321</c:v>
                </c:pt>
                <c:pt idx="197">
                  <c:v>497483.92826774321</c:v>
                </c:pt>
                <c:pt idx="198">
                  <c:v>497483.92826774321</c:v>
                </c:pt>
                <c:pt idx="199">
                  <c:v>497483.92826774321</c:v>
                </c:pt>
                <c:pt idx="200">
                  <c:v>497483.92826774321</c:v>
                </c:pt>
                <c:pt idx="201">
                  <c:v>497483.92826774321</c:v>
                </c:pt>
                <c:pt idx="202">
                  <c:v>497483.92826774321</c:v>
                </c:pt>
                <c:pt idx="203">
                  <c:v>497483.92826774321</c:v>
                </c:pt>
                <c:pt idx="204">
                  <c:v>497483.92826774321</c:v>
                </c:pt>
                <c:pt idx="205">
                  <c:v>497483.92826774321</c:v>
                </c:pt>
                <c:pt idx="206">
                  <c:v>497483.92826774321</c:v>
                </c:pt>
                <c:pt idx="207">
                  <c:v>497483.92826774321</c:v>
                </c:pt>
                <c:pt idx="208">
                  <c:v>497483.92826774321</c:v>
                </c:pt>
                <c:pt idx="209">
                  <c:v>497483.92826774321</c:v>
                </c:pt>
                <c:pt idx="210">
                  <c:v>497483.92826774321</c:v>
                </c:pt>
                <c:pt idx="211">
                  <c:v>497483.92826774321</c:v>
                </c:pt>
                <c:pt idx="212">
                  <c:v>497483.92826774321</c:v>
                </c:pt>
                <c:pt idx="213">
                  <c:v>497483.92826774321</c:v>
                </c:pt>
                <c:pt idx="214">
                  <c:v>497483.92826774321</c:v>
                </c:pt>
                <c:pt idx="215">
                  <c:v>497483.92826774321</c:v>
                </c:pt>
                <c:pt idx="216">
                  <c:v>497483.92826774321</c:v>
                </c:pt>
                <c:pt idx="217">
                  <c:v>497483.92826774321</c:v>
                </c:pt>
                <c:pt idx="218">
                  <c:v>497483.92826774321</c:v>
                </c:pt>
                <c:pt idx="219">
                  <c:v>497483.92826774321</c:v>
                </c:pt>
                <c:pt idx="220">
                  <c:v>497483.92826774321</c:v>
                </c:pt>
                <c:pt idx="221">
                  <c:v>497483.92826774321</c:v>
                </c:pt>
                <c:pt idx="222">
                  <c:v>497483.92826774321</c:v>
                </c:pt>
                <c:pt idx="223">
                  <c:v>497483.92826774321</c:v>
                </c:pt>
                <c:pt idx="224">
                  <c:v>497483.92826774321</c:v>
                </c:pt>
                <c:pt idx="225">
                  <c:v>497483.92826774321</c:v>
                </c:pt>
                <c:pt idx="226">
                  <c:v>497483.92826774321</c:v>
                </c:pt>
                <c:pt idx="227">
                  <c:v>497483.92826774321</c:v>
                </c:pt>
                <c:pt idx="228">
                  <c:v>497483.92826774321</c:v>
                </c:pt>
                <c:pt idx="229">
                  <c:v>497483.92826774321</c:v>
                </c:pt>
                <c:pt idx="230">
                  <c:v>497483.92826774321</c:v>
                </c:pt>
                <c:pt idx="231">
                  <c:v>497483.92826774321</c:v>
                </c:pt>
                <c:pt idx="232">
                  <c:v>497483.92826774321</c:v>
                </c:pt>
                <c:pt idx="233">
                  <c:v>497483.92826774321</c:v>
                </c:pt>
                <c:pt idx="234">
                  <c:v>497483.92826774321</c:v>
                </c:pt>
                <c:pt idx="235">
                  <c:v>497483.92826774321</c:v>
                </c:pt>
                <c:pt idx="236">
                  <c:v>497483.92826774321</c:v>
                </c:pt>
                <c:pt idx="237">
                  <c:v>497483.92826774321</c:v>
                </c:pt>
                <c:pt idx="238">
                  <c:v>497483.92826774321</c:v>
                </c:pt>
                <c:pt idx="239">
                  <c:v>497483.92826774321</c:v>
                </c:pt>
                <c:pt idx="240">
                  <c:v>497483.92826774321</c:v>
                </c:pt>
                <c:pt idx="241">
                  <c:v>497483.92826774321</c:v>
                </c:pt>
                <c:pt idx="242">
                  <c:v>497483.92826774321</c:v>
                </c:pt>
                <c:pt idx="243">
                  <c:v>497483.92826774321</c:v>
                </c:pt>
                <c:pt idx="244">
                  <c:v>497483.92826774321</c:v>
                </c:pt>
                <c:pt idx="245">
                  <c:v>497483.92826774321</c:v>
                </c:pt>
                <c:pt idx="246">
                  <c:v>497483.92826774321</c:v>
                </c:pt>
                <c:pt idx="247">
                  <c:v>497483.92826774321</c:v>
                </c:pt>
                <c:pt idx="248">
                  <c:v>497483.92826774321</c:v>
                </c:pt>
                <c:pt idx="249">
                  <c:v>497483.92826774321</c:v>
                </c:pt>
                <c:pt idx="250">
                  <c:v>497483.92826774321</c:v>
                </c:pt>
                <c:pt idx="251">
                  <c:v>497483.92826774321</c:v>
                </c:pt>
                <c:pt idx="252">
                  <c:v>497483.92826774321</c:v>
                </c:pt>
                <c:pt idx="253">
                  <c:v>497483.92826774321</c:v>
                </c:pt>
                <c:pt idx="254">
                  <c:v>497483.92826774321</c:v>
                </c:pt>
                <c:pt idx="255">
                  <c:v>497483.92826774321</c:v>
                </c:pt>
                <c:pt idx="256">
                  <c:v>497483.92826774321</c:v>
                </c:pt>
                <c:pt idx="257">
                  <c:v>497483.92826774321</c:v>
                </c:pt>
                <c:pt idx="258">
                  <c:v>497483.92826774321</c:v>
                </c:pt>
                <c:pt idx="259">
                  <c:v>497483.92826774321</c:v>
                </c:pt>
                <c:pt idx="260">
                  <c:v>497483.92826774321</c:v>
                </c:pt>
                <c:pt idx="261">
                  <c:v>497483.92826774321</c:v>
                </c:pt>
                <c:pt idx="262">
                  <c:v>497483.92826774321</c:v>
                </c:pt>
                <c:pt idx="263">
                  <c:v>497483.92826774321</c:v>
                </c:pt>
                <c:pt idx="264">
                  <c:v>497483.92826774321</c:v>
                </c:pt>
                <c:pt idx="265">
                  <c:v>497483.92826774321</c:v>
                </c:pt>
                <c:pt idx="266">
                  <c:v>497483.92826774321</c:v>
                </c:pt>
                <c:pt idx="267">
                  <c:v>497483.92826774321</c:v>
                </c:pt>
                <c:pt idx="268">
                  <c:v>497483.92826774321</c:v>
                </c:pt>
                <c:pt idx="269">
                  <c:v>497483.92826774321</c:v>
                </c:pt>
                <c:pt idx="270">
                  <c:v>497483.92826774321</c:v>
                </c:pt>
                <c:pt idx="271">
                  <c:v>497483.92826774321</c:v>
                </c:pt>
                <c:pt idx="272">
                  <c:v>497483.92826774321</c:v>
                </c:pt>
                <c:pt idx="273">
                  <c:v>497483.92826774321</c:v>
                </c:pt>
                <c:pt idx="274">
                  <c:v>497483.92826774321</c:v>
                </c:pt>
                <c:pt idx="275">
                  <c:v>497483.92826774321</c:v>
                </c:pt>
                <c:pt idx="276">
                  <c:v>497483.92826774321</c:v>
                </c:pt>
                <c:pt idx="277">
                  <c:v>497483.92826774321</c:v>
                </c:pt>
                <c:pt idx="278">
                  <c:v>497483.92826774321</c:v>
                </c:pt>
                <c:pt idx="279">
                  <c:v>497483.92826774321</c:v>
                </c:pt>
                <c:pt idx="280">
                  <c:v>497483.92826774321</c:v>
                </c:pt>
                <c:pt idx="281">
                  <c:v>497483.92826774321</c:v>
                </c:pt>
                <c:pt idx="282">
                  <c:v>497483.92826774321</c:v>
                </c:pt>
                <c:pt idx="283">
                  <c:v>497483.92826774321</c:v>
                </c:pt>
                <c:pt idx="284">
                  <c:v>497483.92826774321</c:v>
                </c:pt>
                <c:pt idx="285">
                  <c:v>497483.92826774321</c:v>
                </c:pt>
                <c:pt idx="286">
                  <c:v>497483.92826774321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33991.142706004328</c:v>
                </c:pt>
                <c:pt idx="12">
                  <c:v>33991.142706004328</c:v>
                </c:pt>
                <c:pt idx="13">
                  <c:v>33991.142706004328</c:v>
                </c:pt>
                <c:pt idx="14">
                  <c:v>33991.142706004328</c:v>
                </c:pt>
                <c:pt idx="15">
                  <c:v>1008638.4141936095</c:v>
                </c:pt>
                <c:pt idx="16">
                  <c:v>1008638.4141936095</c:v>
                </c:pt>
                <c:pt idx="17">
                  <c:v>1008638.4141936095</c:v>
                </c:pt>
                <c:pt idx="18">
                  <c:v>1008638.4141936095</c:v>
                </c:pt>
                <c:pt idx="19">
                  <c:v>1008638.4141936095</c:v>
                </c:pt>
                <c:pt idx="20">
                  <c:v>1301638.2138052697</c:v>
                </c:pt>
                <c:pt idx="21">
                  <c:v>1301638.2138052697</c:v>
                </c:pt>
                <c:pt idx="22">
                  <c:v>1301638.2138052697</c:v>
                </c:pt>
                <c:pt idx="23">
                  <c:v>1301638.2138052697</c:v>
                </c:pt>
                <c:pt idx="24">
                  <c:v>1436118.4481518622</c:v>
                </c:pt>
                <c:pt idx="25">
                  <c:v>1436118.4481518622</c:v>
                </c:pt>
                <c:pt idx="26">
                  <c:v>1436118.4481518622</c:v>
                </c:pt>
                <c:pt idx="27">
                  <c:v>1436118.4481518622</c:v>
                </c:pt>
                <c:pt idx="28">
                  <c:v>1436736.0952106859</c:v>
                </c:pt>
                <c:pt idx="29">
                  <c:v>1436736.0952106859</c:v>
                </c:pt>
                <c:pt idx="30">
                  <c:v>1436736.0952106859</c:v>
                </c:pt>
                <c:pt idx="31">
                  <c:v>1436736.0952106859</c:v>
                </c:pt>
                <c:pt idx="32">
                  <c:v>1436736.0952106859</c:v>
                </c:pt>
                <c:pt idx="33">
                  <c:v>1436736.0952106859</c:v>
                </c:pt>
                <c:pt idx="34">
                  <c:v>1436736.0952106859</c:v>
                </c:pt>
                <c:pt idx="35">
                  <c:v>1436736.0952106859</c:v>
                </c:pt>
                <c:pt idx="36">
                  <c:v>1436736.0952106859</c:v>
                </c:pt>
                <c:pt idx="37">
                  <c:v>1436736.0952106859</c:v>
                </c:pt>
                <c:pt idx="38">
                  <c:v>1436736.0952106859</c:v>
                </c:pt>
                <c:pt idx="39">
                  <c:v>1436736.0952106859</c:v>
                </c:pt>
                <c:pt idx="40">
                  <c:v>1436736.0952106859</c:v>
                </c:pt>
                <c:pt idx="41">
                  <c:v>1436736.0952106859</c:v>
                </c:pt>
                <c:pt idx="42">
                  <c:v>1436736.0952106859</c:v>
                </c:pt>
                <c:pt idx="43">
                  <c:v>1436736.0952106859</c:v>
                </c:pt>
                <c:pt idx="44">
                  <c:v>1436736.0952106859</c:v>
                </c:pt>
                <c:pt idx="45">
                  <c:v>1436736.0952106859</c:v>
                </c:pt>
                <c:pt idx="46">
                  <c:v>1436736.0952106859</c:v>
                </c:pt>
                <c:pt idx="47">
                  <c:v>1436736.0952106859</c:v>
                </c:pt>
                <c:pt idx="48">
                  <c:v>1436736.0952106859</c:v>
                </c:pt>
                <c:pt idx="49">
                  <c:v>1436736.0952106859</c:v>
                </c:pt>
                <c:pt idx="50">
                  <c:v>1436736.0952106859</c:v>
                </c:pt>
                <c:pt idx="51">
                  <c:v>1436736.0952106859</c:v>
                </c:pt>
                <c:pt idx="52">
                  <c:v>1436736.0952106859</c:v>
                </c:pt>
                <c:pt idx="53">
                  <c:v>1436736.0952106859</c:v>
                </c:pt>
                <c:pt idx="54">
                  <c:v>1436736.0952106859</c:v>
                </c:pt>
                <c:pt idx="55">
                  <c:v>1436736.0952106859</c:v>
                </c:pt>
                <c:pt idx="56">
                  <c:v>1436736.0952106859</c:v>
                </c:pt>
                <c:pt idx="57">
                  <c:v>1436736.0952106859</c:v>
                </c:pt>
                <c:pt idx="58">
                  <c:v>1436736.0952106859</c:v>
                </c:pt>
                <c:pt idx="59">
                  <c:v>1436736.0952106859</c:v>
                </c:pt>
                <c:pt idx="60">
                  <c:v>1436736.0952106859</c:v>
                </c:pt>
                <c:pt idx="61">
                  <c:v>1436736.0952106859</c:v>
                </c:pt>
                <c:pt idx="62">
                  <c:v>1436736.0952106859</c:v>
                </c:pt>
                <c:pt idx="63">
                  <c:v>1436736.0952106859</c:v>
                </c:pt>
                <c:pt idx="64">
                  <c:v>1436736.0952106859</c:v>
                </c:pt>
                <c:pt idx="65">
                  <c:v>1436736.0952106859</c:v>
                </c:pt>
                <c:pt idx="66">
                  <c:v>1436736.0952106859</c:v>
                </c:pt>
                <c:pt idx="67">
                  <c:v>1436736.0952106859</c:v>
                </c:pt>
                <c:pt idx="68">
                  <c:v>1436736.0952106859</c:v>
                </c:pt>
                <c:pt idx="69">
                  <c:v>1436736.0952106859</c:v>
                </c:pt>
                <c:pt idx="70">
                  <c:v>1436736.0952106859</c:v>
                </c:pt>
                <c:pt idx="71">
                  <c:v>1436736.0952106859</c:v>
                </c:pt>
                <c:pt idx="72">
                  <c:v>1436736.0952106859</c:v>
                </c:pt>
                <c:pt idx="73">
                  <c:v>1436736.0952106859</c:v>
                </c:pt>
                <c:pt idx="74">
                  <c:v>1436736.0952106859</c:v>
                </c:pt>
                <c:pt idx="75">
                  <c:v>1436736.0952106859</c:v>
                </c:pt>
                <c:pt idx="76">
                  <c:v>1436736.0952106859</c:v>
                </c:pt>
                <c:pt idx="77">
                  <c:v>1436736.0952106859</c:v>
                </c:pt>
                <c:pt idx="78">
                  <c:v>1436736.0952106859</c:v>
                </c:pt>
                <c:pt idx="79">
                  <c:v>1436736.0952106859</c:v>
                </c:pt>
                <c:pt idx="80">
                  <c:v>1436736.0952106859</c:v>
                </c:pt>
                <c:pt idx="81">
                  <c:v>1436736.0952106859</c:v>
                </c:pt>
                <c:pt idx="82">
                  <c:v>1436736.0952106859</c:v>
                </c:pt>
                <c:pt idx="83">
                  <c:v>1436736.0952106859</c:v>
                </c:pt>
                <c:pt idx="84">
                  <c:v>1436736.0952106859</c:v>
                </c:pt>
                <c:pt idx="85">
                  <c:v>1436736.0952106859</c:v>
                </c:pt>
                <c:pt idx="86">
                  <c:v>1436736.0952106859</c:v>
                </c:pt>
                <c:pt idx="87">
                  <c:v>1436736.0952106859</c:v>
                </c:pt>
                <c:pt idx="88">
                  <c:v>1436736.0952106859</c:v>
                </c:pt>
                <c:pt idx="89">
                  <c:v>1436736.0952106859</c:v>
                </c:pt>
                <c:pt idx="90">
                  <c:v>1436736.0952106859</c:v>
                </c:pt>
                <c:pt idx="91">
                  <c:v>1436736.0952106859</c:v>
                </c:pt>
                <c:pt idx="92">
                  <c:v>1436736.0952106859</c:v>
                </c:pt>
                <c:pt idx="93">
                  <c:v>1436736.0952106859</c:v>
                </c:pt>
                <c:pt idx="94">
                  <c:v>1436736.0952106859</c:v>
                </c:pt>
                <c:pt idx="95">
                  <c:v>1436736.0952106859</c:v>
                </c:pt>
                <c:pt idx="96">
                  <c:v>1436736.0952106859</c:v>
                </c:pt>
                <c:pt idx="97">
                  <c:v>1436736.0952106859</c:v>
                </c:pt>
                <c:pt idx="98">
                  <c:v>1436736.0952106859</c:v>
                </c:pt>
                <c:pt idx="99">
                  <c:v>1436736.0952106859</c:v>
                </c:pt>
                <c:pt idx="100">
                  <c:v>1436736.0952106859</c:v>
                </c:pt>
                <c:pt idx="101">
                  <c:v>1436736.0952106859</c:v>
                </c:pt>
                <c:pt idx="102">
                  <c:v>1436736.0952106859</c:v>
                </c:pt>
                <c:pt idx="103">
                  <c:v>1436736.0952106859</c:v>
                </c:pt>
                <c:pt idx="104">
                  <c:v>1436736.0952106859</c:v>
                </c:pt>
                <c:pt idx="105">
                  <c:v>1436736.0952106859</c:v>
                </c:pt>
                <c:pt idx="106">
                  <c:v>1436736.0952106859</c:v>
                </c:pt>
                <c:pt idx="107">
                  <c:v>1436736.0952106859</c:v>
                </c:pt>
                <c:pt idx="108">
                  <c:v>1436736.0952106859</c:v>
                </c:pt>
                <c:pt idx="109">
                  <c:v>1436736.0952106859</c:v>
                </c:pt>
                <c:pt idx="110">
                  <c:v>1436736.0952106859</c:v>
                </c:pt>
                <c:pt idx="111">
                  <c:v>1436736.0952106859</c:v>
                </c:pt>
                <c:pt idx="112">
                  <c:v>1436736.0952106859</c:v>
                </c:pt>
                <c:pt idx="113">
                  <c:v>1436736.0952106859</c:v>
                </c:pt>
                <c:pt idx="114">
                  <c:v>1436736.0952106859</c:v>
                </c:pt>
                <c:pt idx="115">
                  <c:v>1436736.0952106859</c:v>
                </c:pt>
                <c:pt idx="116">
                  <c:v>1436736.0952106859</c:v>
                </c:pt>
                <c:pt idx="117">
                  <c:v>1436736.0952106859</c:v>
                </c:pt>
                <c:pt idx="118">
                  <c:v>1436736.0952106859</c:v>
                </c:pt>
                <c:pt idx="119">
                  <c:v>1436736.0952106859</c:v>
                </c:pt>
                <c:pt idx="120">
                  <c:v>1436736.0952106859</c:v>
                </c:pt>
                <c:pt idx="121">
                  <c:v>1436736.0952106859</c:v>
                </c:pt>
                <c:pt idx="122">
                  <c:v>1436736.0952106859</c:v>
                </c:pt>
                <c:pt idx="123">
                  <c:v>1436736.0952106859</c:v>
                </c:pt>
                <c:pt idx="124">
                  <c:v>1436736.0952106859</c:v>
                </c:pt>
                <c:pt idx="125">
                  <c:v>1436736.0952106859</c:v>
                </c:pt>
                <c:pt idx="126">
                  <c:v>1436736.0952106859</c:v>
                </c:pt>
                <c:pt idx="127">
                  <c:v>1436736.0952106859</c:v>
                </c:pt>
                <c:pt idx="128">
                  <c:v>1436736.0952106859</c:v>
                </c:pt>
                <c:pt idx="129">
                  <c:v>1436736.0952106859</c:v>
                </c:pt>
                <c:pt idx="130">
                  <c:v>1436736.0952106859</c:v>
                </c:pt>
                <c:pt idx="131">
                  <c:v>1436736.0952106859</c:v>
                </c:pt>
                <c:pt idx="132">
                  <c:v>1436736.0952106859</c:v>
                </c:pt>
                <c:pt idx="133">
                  <c:v>1436736.0952106859</c:v>
                </c:pt>
                <c:pt idx="134">
                  <c:v>1436736.0952106859</c:v>
                </c:pt>
                <c:pt idx="135">
                  <c:v>1436736.0952106859</c:v>
                </c:pt>
                <c:pt idx="136">
                  <c:v>1436736.0952106859</c:v>
                </c:pt>
                <c:pt idx="137">
                  <c:v>1436736.0952106859</c:v>
                </c:pt>
                <c:pt idx="138">
                  <c:v>1436736.0952106859</c:v>
                </c:pt>
                <c:pt idx="139">
                  <c:v>1436736.0952106859</c:v>
                </c:pt>
                <c:pt idx="140">
                  <c:v>1436736.0952106859</c:v>
                </c:pt>
                <c:pt idx="141">
                  <c:v>1436736.0952106859</c:v>
                </c:pt>
                <c:pt idx="142">
                  <c:v>1436736.0952106859</c:v>
                </c:pt>
                <c:pt idx="143">
                  <c:v>1436736.0952106859</c:v>
                </c:pt>
                <c:pt idx="144">
                  <c:v>1436736.0952106859</c:v>
                </c:pt>
                <c:pt idx="145">
                  <c:v>1436736.0952106859</c:v>
                </c:pt>
                <c:pt idx="146">
                  <c:v>1436736.0952106859</c:v>
                </c:pt>
                <c:pt idx="147">
                  <c:v>1436736.0952106859</c:v>
                </c:pt>
                <c:pt idx="148">
                  <c:v>1436736.0952106859</c:v>
                </c:pt>
                <c:pt idx="149">
                  <c:v>1436736.0952106859</c:v>
                </c:pt>
                <c:pt idx="150">
                  <c:v>1436736.0952106859</c:v>
                </c:pt>
                <c:pt idx="151">
                  <c:v>1436736.0952106859</c:v>
                </c:pt>
                <c:pt idx="152">
                  <c:v>1436736.0952106859</c:v>
                </c:pt>
                <c:pt idx="153">
                  <c:v>1436736.0952106859</c:v>
                </c:pt>
                <c:pt idx="154">
                  <c:v>1436736.0952106859</c:v>
                </c:pt>
                <c:pt idx="155">
                  <c:v>1436736.0952106859</c:v>
                </c:pt>
                <c:pt idx="156">
                  <c:v>1436736.0952106859</c:v>
                </c:pt>
                <c:pt idx="157">
                  <c:v>1436736.0952106859</c:v>
                </c:pt>
                <c:pt idx="158">
                  <c:v>1436736.0952106859</c:v>
                </c:pt>
                <c:pt idx="159">
                  <c:v>1436736.0952106859</c:v>
                </c:pt>
                <c:pt idx="160">
                  <c:v>1436736.0952106859</c:v>
                </c:pt>
                <c:pt idx="161">
                  <c:v>1436736.0952106859</c:v>
                </c:pt>
                <c:pt idx="162">
                  <c:v>1436736.0952106859</c:v>
                </c:pt>
                <c:pt idx="163">
                  <c:v>1436736.0952106859</c:v>
                </c:pt>
                <c:pt idx="164">
                  <c:v>1436736.0952106859</c:v>
                </c:pt>
                <c:pt idx="165">
                  <c:v>1436736.0952106859</c:v>
                </c:pt>
                <c:pt idx="166">
                  <c:v>1436736.0952106859</c:v>
                </c:pt>
                <c:pt idx="167">
                  <c:v>1436736.0952106859</c:v>
                </c:pt>
                <c:pt idx="168">
                  <c:v>1436736.0952106859</c:v>
                </c:pt>
                <c:pt idx="169">
                  <c:v>1436736.0952106859</c:v>
                </c:pt>
                <c:pt idx="170">
                  <c:v>1436736.0952106859</c:v>
                </c:pt>
                <c:pt idx="171">
                  <c:v>1436736.0952106859</c:v>
                </c:pt>
                <c:pt idx="172">
                  <c:v>1436736.0952106859</c:v>
                </c:pt>
                <c:pt idx="173">
                  <c:v>1436736.0952106859</c:v>
                </c:pt>
                <c:pt idx="174">
                  <c:v>1436736.0952106859</c:v>
                </c:pt>
                <c:pt idx="175">
                  <c:v>1436736.0952106859</c:v>
                </c:pt>
                <c:pt idx="176">
                  <c:v>1436736.0952106859</c:v>
                </c:pt>
                <c:pt idx="177">
                  <c:v>1436736.0952106859</c:v>
                </c:pt>
                <c:pt idx="178">
                  <c:v>1436736.0952106859</c:v>
                </c:pt>
                <c:pt idx="179">
                  <c:v>1436736.0952106859</c:v>
                </c:pt>
                <c:pt idx="180">
                  <c:v>1436736.0952106859</c:v>
                </c:pt>
                <c:pt idx="181">
                  <c:v>1436736.0952106859</c:v>
                </c:pt>
                <c:pt idx="182">
                  <c:v>1436736.0952106859</c:v>
                </c:pt>
                <c:pt idx="183">
                  <c:v>1436736.0952106859</c:v>
                </c:pt>
                <c:pt idx="184">
                  <c:v>1436736.0952106859</c:v>
                </c:pt>
                <c:pt idx="185">
                  <c:v>1436736.0952106859</c:v>
                </c:pt>
                <c:pt idx="186">
                  <c:v>1436736.0952106859</c:v>
                </c:pt>
                <c:pt idx="187">
                  <c:v>1436736.0952106859</c:v>
                </c:pt>
                <c:pt idx="188">
                  <c:v>1436736.0952106859</c:v>
                </c:pt>
                <c:pt idx="189">
                  <c:v>1436736.0952106859</c:v>
                </c:pt>
                <c:pt idx="190">
                  <c:v>1436736.0952106859</c:v>
                </c:pt>
                <c:pt idx="191">
                  <c:v>1436736.0952106859</c:v>
                </c:pt>
                <c:pt idx="192">
                  <c:v>1436736.0952106859</c:v>
                </c:pt>
                <c:pt idx="193">
                  <c:v>1436736.0952106859</c:v>
                </c:pt>
                <c:pt idx="194">
                  <c:v>1436736.0952106859</c:v>
                </c:pt>
                <c:pt idx="195">
                  <c:v>1436736.0952106859</c:v>
                </c:pt>
                <c:pt idx="196">
                  <c:v>1436736.0952106859</c:v>
                </c:pt>
                <c:pt idx="197">
                  <c:v>1436736.0952106859</c:v>
                </c:pt>
                <c:pt idx="198">
                  <c:v>1436736.0952106859</c:v>
                </c:pt>
                <c:pt idx="199">
                  <c:v>1436736.0952106859</c:v>
                </c:pt>
                <c:pt idx="200">
                  <c:v>1436736.0952106859</c:v>
                </c:pt>
                <c:pt idx="201">
                  <c:v>1436736.0952106859</c:v>
                </c:pt>
                <c:pt idx="202">
                  <c:v>1436736.0952106859</c:v>
                </c:pt>
                <c:pt idx="203">
                  <c:v>1436736.0952106859</c:v>
                </c:pt>
                <c:pt idx="204">
                  <c:v>1436736.0952106859</c:v>
                </c:pt>
                <c:pt idx="205">
                  <c:v>1436736.0952106859</c:v>
                </c:pt>
                <c:pt idx="206">
                  <c:v>1436736.0952106859</c:v>
                </c:pt>
                <c:pt idx="207">
                  <c:v>1436736.0952106859</c:v>
                </c:pt>
                <c:pt idx="208">
                  <c:v>1436736.0952106859</c:v>
                </c:pt>
                <c:pt idx="209">
                  <c:v>1436736.0952106859</c:v>
                </c:pt>
                <c:pt idx="210">
                  <c:v>1436736.0952106859</c:v>
                </c:pt>
                <c:pt idx="211">
                  <c:v>1436736.0952106859</c:v>
                </c:pt>
                <c:pt idx="212">
                  <c:v>1436736.0952106859</c:v>
                </c:pt>
                <c:pt idx="213">
                  <c:v>1436736.0952106859</c:v>
                </c:pt>
                <c:pt idx="214">
                  <c:v>1436736.0952106859</c:v>
                </c:pt>
                <c:pt idx="215">
                  <c:v>1436736.0952106859</c:v>
                </c:pt>
                <c:pt idx="216">
                  <c:v>1436736.0952106859</c:v>
                </c:pt>
                <c:pt idx="217">
                  <c:v>1436736.0952106859</c:v>
                </c:pt>
                <c:pt idx="218">
                  <c:v>1436736.0952106859</c:v>
                </c:pt>
                <c:pt idx="219">
                  <c:v>1436736.0952106859</c:v>
                </c:pt>
                <c:pt idx="220">
                  <c:v>1436736.0952106859</c:v>
                </c:pt>
                <c:pt idx="221">
                  <c:v>1436736.0952106859</c:v>
                </c:pt>
                <c:pt idx="222">
                  <c:v>1436736.0952106859</c:v>
                </c:pt>
                <c:pt idx="223">
                  <c:v>1436736.0952106859</c:v>
                </c:pt>
                <c:pt idx="224">
                  <c:v>1436736.0952106859</c:v>
                </c:pt>
                <c:pt idx="225">
                  <c:v>1436736.0952106859</c:v>
                </c:pt>
                <c:pt idx="226">
                  <c:v>1436736.0952106859</c:v>
                </c:pt>
                <c:pt idx="227">
                  <c:v>1436736.0952106859</c:v>
                </c:pt>
                <c:pt idx="228">
                  <c:v>1436736.0952106859</c:v>
                </c:pt>
                <c:pt idx="229">
                  <c:v>1436736.0952106859</c:v>
                </c:pt>
                <c:pt idx="230">
                  <c:v>1436736.0952106859</c:v>
                </c:pt>
                <c:pt idx="231">
                  <c:v>1436736.0952106859</c:v>
                </c:pt>
                <c:pt idx="232">
                  <c:v>1436736.0952106859</c:v>
                </c:pt>
                <c:pt idx="233">
                  <c:v>1436736.0952106859</c:v>
                </c:pt>
                <c:pt idx="234">
                  <c:v>1436736.0952106859</c:v>
                </c:pt>
                <c:pt idx="235">
                  <c:v>1436736.0952106859</c:v>
                </c:pt>
                <c:pt idx="236">
                  <c:v>1436736.0952106859</c:v>
                </c:pt>
                <c:pt idx="237">
                  <c:v>1436736.0952106859</c:v>
                </c:pt>
                <c:pt idx="238">
                  <c:v>1436736.0952106859</c:v>
                </c:pt>
                <c:pt idx="239">
                  <c:v>1436736.0952106859</c:v>
                </c:pt>
                <c:pt idx="240">
                  <c:v>1436736.0952106859</c:v>
                </c:pt>
                <c:pt idx="241">
                  <c:v>1436736.0952106859</c:v>
                </c:pt>
                <c:pt idx="242">
                  <c:v>1436736.0952106859</c:v>
                </c:pt>
                <c:pt idx="243">
                  <c:v>1436736.0952106859</c:v>
                </c:pt>
                <c:pt idx="244">
                  <c:v>1436736.0952106859</c:v>
                </c:pt>
                <c:pt idx="245">
                  <c:v>1436736.0952106859</c:v>
                </c:pt>
                <c:pt idx="246">
                  <c:v>1436736.0952106859</c:v>
                </c:pt>
                <c:pt idx="247">
                  <c:v>1436736.0952106859</c:v>
                </c:pt>
                <c:pt idx="248">
                  <c:v>1436736.0952106859</c:v>
                </c:pt>
                <c:pt idx="249">
                  <c:v>1436736.0952106859</c:v>
                </c:pt>
                <c:pt idx="250">
                  <c:v>1436736.0952106859</c:v>
                </c:pt>
                <c:pt idx="251">
                  <c:v>1436736.0952106859</c:v>
                </c:pt>
                <c:pt idx="252">
                  <c:v>1436736.0952106859</c:v>
                </c:pt>
                <c:pt idx="253">
                  <c:v>1436736.0952106859</c:v>
                </c:pt>
                <c:pt idx="254">
                  <c:v>1436736.0952106859</c:v>
                </c:pt>
                <c:pt idx="255">
                  <c:v>1436736.0952106859</c:v>
                </c:pt>
                <c:pt idx="256">
                  <c:v>1436736.0952106859</c:v>
                </c:pt>
                <c:pt idx="257">
                  <c:v>1436736.0952106859</c:v>
                </c:pt>
                <c:pt idx="258">
                  <c:v>1436736.0952106859</c:v>
                </c:pt>
                <c:pt idx="259">
                  <c:v>1436736.0952106859</c:v>
                </c:pt>
                <c:pt idx="260">
                  <c:v>1436736.0952106859</c:v>
                </c:pt>
                <c:pt idx="261">
                  <c:v>1436736.0952106859</c:v>
                </c:pt>
                <c:pt idx="262">
                  <c:v>1436736.0952106859</c:v>
                </c:pt>
                <c:pt idx="263">
                  <c:v>1436736.0952106859</c:v>
                </c:pt>
                <c:pt idx="264">
                  <c:v>1436736.0952106859</c:v>
                </c:pt>
                <c:pt idx="265">
                  <c:v>1436736.0952106859</c:v>
                </c:pt>
                <c:pt idx="266">
                  <c:v>1436736.0952106859</c:v>
                </c:pt>
                <c:pt idx="267">
                  <c:v>1436736.0952106859</c:v>
                </c:pt>
                <c:pt idx="268">
                  <c:v>1436736.0952106859</c:v>
                </c:pt>
                <c:pt idx="269">
                  <c:v>1436736.0952106859</c:v>
                </c:pt>
                <c:pt idx="270">
                  <c:v>1436736.0952106859</c:v>
                </c:pt>
                <c:pt idx="271">
                  <c:v>1436736.0952106859</c:v>
                </c:pt>
                <c:pt idx="272">
                  <c:v>1436736.0952106859</c:v>
                </c:pt>
                <c:pt idx="273">
                  <c:v>1436736.0952106859</c:v>
                </c:pt>
                <c:pt idx="274">
                  <c:v>1436736.0952106859</c:v>
                </c:pt>
                <c:pt idx="275">
                  <c:v>1436736.0952106859</c:v>
                </c:pt>
                <c:pt idx="276">
                  <c:v>1436736.0952106859</c:v>
                </c:pt>
                <c:pt idx="277">
                  <c:v>1436736.0952106859</c:v>
                </c:pt>
                <c:pt idx="278">
                  <c:v>1436736.0952106859</c:v>
                </c:pt>
                <c:pt idx="279">
                  <c:v>1436736.0952106859</c:v>
                </c:pt>
                <c:pt idx="280">
                  <c:v>1436736.0952106859</c:v>
                </c:pt>
                <c:pt idx="281">
                  <c:v>1436736.0952106859</c:v>
                </c:pt>
                <c:pt idx="282">
                  <c:v>1436736.0952106859</c:v>
                </c:pt>
                <c:pt idx="283">
                  <c:v>1436736.0952106859</c:v>
                </c:pt>
                <c:pt idx="284">
                  <c:v>1436736.0952106859</c:v>
                </c:pt>
                <c:pt idx="285">
                  <c:v>1436736.0952106859</c:v>
                </c:pt>
                <c:pt idx="286">
                  <c:v>1436736.0952106859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42" t="s">
        <v>0</v>
      </c>
      <c r="C2" s="642"/>
      <c r="D2" s="642"/>
      <c r="E2" s="642"/>
      <c r="H2" s="643" t="s">
        <v>1</v>
      </c>
      <c r="I2" s="644"/>
      <c r="J2" s="644"/>
      <c r="K2" s="644"/>
      <c r="L2" s="644"/>
      <c r="M2" s="644"/>
      <c r="N2" s="644"/>
      <c r="O2" s="645"/>
    </row>
    <row r="3" spans="2:15">
      <c r="B3" s="616"/>
      <c r="H3" s="646"/>
      <c r="I3" s="647"/>
      <c r="J3" s="647"/>
      <c r="K3" s="647"/>
      <c r="L3" s="647"/>
      <c r="M3" s="647"/>
      <c r="N3" s="647"/>
      <c r="O3" s="648"/>
    </row>
    <row r="4" spans="2:15">
      <c r="B4" s="617" t="s">
        <v>2</v>
      </c>
      <c r="C4" s="618" t="str">
        <f>'Project Plan'!E2</f>
        <v>Steelpark</v>
      </c>
      <c r="H4" s="646"/>
      <c r="I4" s="647"/>
      <c r="J4" s="647"/>
      <c r="K4" s="647"/>
      <c r="L4" s="647"/>
      <c r="M4" s="647"/>
      <c r="N4" s="647"/>
      <c r="O4" s="648"/>
    </row>
    <row r="5" spans="2:15">
      <c r="B5" s="617" t="s">
        <v>3</v>
      </c>
      <c r="C5" s="618" t="s">
        <v>4</v>
      </c>
      <c r="H5" s="646"/>
      <c r="I5" s="647"/>
      <c r="J5" s="647"/>
      <c r="K5" s="647"/>
      <c r="L5" s="647"/>
      <c r="M5" s="647"/>
      <c r="N5" s="647"/>
      <c r="O5" s="648"/>
    </row>
    <row r="6" spans="2:15">
      <c r="B6" s="617" t="s">
        <v>5</v>
      </c>
      <c r="C6" s="618" t="s">
        <v>6</v>
      </c>
      <c r="H6" s="646"/>
      <c r="I6" s="647"/>
      <c r="J6" s="647"/>
      <c r="K6" s="647"/>
      <c r="L6" s="647"/>
      <c r="M6" s="647"/>
      <c r="N6" s="647"/>
      <c r="O6" s="648"/>
    </row>
    <row r="7" spans="2:15">
      <c r="B7" s="617" t="s">
        <v>7</v>
      </c>
      <c r="C7" s="618" t="s">
        <v>8</v>
      </c>
      <c r="H7" s="646"/>
      <c r="I7" s="647"/>
      <c r="J7" s="647"/>
      <c r="K7" s="647"/>
      <c r="L7" s="647"/>
      <c r="M7" s="647"/>
      <c r="N7" s="647"/>
      <c r="O7" s="648"/>
    </row>
    <row r="8" spans="2:15">
      <c r="B8" s="616"/>
      <c r="H8" s="646"/>
      <c r="I8" s="647"/>
      <c r="J8" s="647"/>
      <c r="K8" s="647"/>
      <c r="L8" s="647"/>
      <c r="M8" s="647"/>
      <c r="N8" s="647"/>
      <c r="O8" s="648"/>
    </row>
    <row r="9" spans="2:15">
      <c r="B9" s="652" t="s">
        <v>9</v>
      </c>
      <c r="C9" s="652"/>
      <c r="D9" s="652"/>
      <c r="E9" s="652"/>
      <c r="H9" s="646"/>
      <c r="I9" s="647"/>
      <c r="J9" s="647"/>
      <c r="K9" s="647"/>
      <c r="L9" s="647"/>
      <c r="M9" s="647"/>
      <c r="N9" s="647"/>
      <c r="O9" s="648"/>
    </row>
    <row r="10" spans="2:15" ht="15" thickBot="1">
      <c r="B10" s="652" t="s">
        <v>10</v>
      </c>
      <c r="C10" s="652"/>
      <c r="D10" s="652"/>
      <c r="E10" s="652"/>
      <c r="H10" s="649"/>
      <c r="I10" s="650"/>
      <c r="J10" s="650"/>
      <c r="K10" s="650"/>
      <c r="L10" s="650"/>
      <c r="M10" s="650"/>
      <c r="N10" s="650"/>
      <c r="O10" s="651"/>
    </row>
    <row r="11" spans="2:15">
      <c r="B11" s="619" t="s">
        <v>11</v>
      </c>
      <c r="C11" s="640"/>
      <c r="D11" s="640"/>
      <c r="E11" s="640"/>
    </row>
    <row r="12" spans="2:15">
      <c r="B12" s="619" t="s">
        <v>12</v>
      </c>
      <c r="C12" s="640"/>
      <c r="D12" s="640"/>
      <c r="E12" s="640"/>
    </row>
    <row r="13" spans="2:15">
      <c r="B13" s="619" t="s">
        <v>13</v>
      </c>
      <c r="C13" s="640"/>
      <c r="D13" s="640"/>
      <c r="E13" s="640"/>
    </row>
    <row r="14" spans="2:15">
      <c r="B14" s="619" t="s">
        <v>14</v>
      </c>
      <c r="C14" s="640"/>
      <c r="D14" s="640"/>
      <c r="E14" s="640"/>
    </row>
    <row r="15" spans="2:15">
      <c r="B15" s="619" t="s">
        <v>15</v>
      </c>
      <c r="C15" s="640"/>
      <c r="D15" s="640"/>
      <c r="E15" s="640"/>
    </row>
    <row r="16" spans="2:15" ht="15" customHeight="1">
      <c r="B16" s="619" t="s">
        <v>16</v>
      </c>
      <c r="C16" s="640"/>
      <c r="D16" s="640"/>
      <c r="E16" s="640"/>
    </row>
    <row r="17" spans="2:5">
      <c r="B17" s="616"/>
    </row>
    <row r="18" spans="2:5">
      <c r="B18" s="641" t="s">
        <v>17</v>
      </c>
      <c r="C18" s="641"/>
      <c r="D18" s="641"/>
      <c r="E18" s="641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642" t="s">
        <v>22</v>
      </c>
      <c r="C2" s="642"/>
      <c r="D2" s="642"/>
      <c r="E2" s="642"/>
      <c r="H2" s="643" t="s">
        <v>23</v>
      </c>
      <c r="I2" s="644"/>
      <c r="J2" s="644"/>
      <c r="K2" s="644"/>
      <c r="L2" s="644"/>
      <c r="M2" s="644"/>
      <c r="N2" s="644"/>
      <c r="O2" s="645"/>
    </row>
    <row r="3" spans="2:15">
      <c r="B3" s="616"/>
      <c r="H3" s="646"/>
      <c r="I3" s="647"/>
      <c r="J3" s="647"/>
      <c r="K3" s="647"/>
      <c r="L3" s="647"/>
      <c r="M3" s="647"/>
      <c r="N3" s="647"/>
      <c r="O3" s="648"/>
    </row>
    <row r="4" spans="2:15">
      <c r="B4" s="617" t="s">
        <v>2</v>
      </c>
      <c r="C4" s="618" t="str">
        <f>'Project Plan'!E2</f>
        <v>Steelpark</v>
      </c>
      <c r="H4" s="646"/>
      <c r="I4" s="647"/>
      <c r="J4" s="647"/>
      <c r="K4" s="647"/>
      <c r="L4" s="647"/>
      <c r="M4" s="647"/>
      <c r="N4" s="647"/>
      <c r="O4" s="648"/>
    </row>
    <row r="5" spans="2:15">
      <c r="B5" s="617" t="s">
        <v>24</v>
      </c>
      <c r="C5" s="618"/>
      <c r="H5" s="646"/>
      <c r="I5" s="647"/>
      <c r="J5" s="647"/>
      <c r="K5" s="647"/>
      <c r="L5" s="647"/>
      <c r="M5" s="647"/>
      <c r="N5" s="647"/>
      <c r="O5" s="648"/>
    </row>
    <row r="6" spans="2:15">
      <c r="B6" s="617" t="s">
        <v>5</v>
      </c>
      <c r="C6" s="618" t="s">
        <v>6</v>
      </c>
      <c r="H6" s="646"/>
      <c r="I6" s="647"/>
      <c r="J6" s="647"/>
      <c r="K6" s="647"/>
      <c r="L6" s="647"/>
      <c r="M6" s="647"/>
      <c r="N6" s="647"/>
      <c r="O6" s="648"/>
    </row>
    <row r="7" spans="2:15">
      <c r="B7" s="617" t="s">
        <v>25</v>
      </c>
      <c r="C7" s="618" t="str">
        <f>'Project Plan'!E5</f>
        <v>Justin Franke</v>
      </c>
      <c r="H7" s="646"/>
      <c r="I7" s="647"/>
      <c r="J7" s="647"/>
      <c r="K7" s="647"/>
      <c r="L7" s="647"/>
      <c r="M7" s="647"/>
      <c r="N7" s="647"/>
      <c r="O7" s="648"/>
    </row>
    <row r="8" spans="2:15">
      <c r="B8" s="617" t="s">
        <v>26</v>
      </c>
      <c r="C8" s="618"/>
      <c r="H8" s="646"/>
      <c r="I8" s="647"/>
      <c r="J8" s="647"/>
      <c r="K8" s="647"/>
      <c r="L8" s="647"/>
      <c r="M8" s="647"/>
      <c r="N8" s="647"/>
      <c r="O8" s="648"/>
    </row>
    <row r="9" spans="2:15">
      <c r="B9" s="616"/>
      <c r="H9" s="646"/>
      <c r="I9" s="647"/>
      <c r="J9" s="647"/>
      <c r="K9" s="647"/>
      <c r="L9" s="647"/>
      <c r="M9" s="647"/>
      <c r="N9" s="647"/>
      <c r="O9" s="648"/>
    </row>
    <row r="10" spans="2:15">
      <c r="B10" s="652" t="s">
        <v>9</v>
      </c>
      <c r="C10" s="652"/>
      <c r="D10" s="652"/>
      <c r="E10" s="652"/>
      <c r="H10" s="646"/>
      <c r="I10" s="647"/>
      <c r="J10" s="647"/>
      <c r="K10" s="647"/>
      <c r="L10" s="647"/>
      <c r="M10" s="647"/>
      <c r="N10" s="647"/>
      <c r="O10" s="648"/>
    </row>
    <row r="11" spans="2:15" ht="15" thickBot="1">
      <c r="B11" s="652" t="s">
        <v>10</v>
      </c>
      <c r="C11" s="652"/>
      <c r="D11" s="652"/>
      <c r="E11" s="652"/>
      <c r="H11" s="649"/>
      <c r="I11" s="650"/>
      <c r="J11" s="650"/>
      <c r="K11" s="650"/>
      <c r="L11" s="650"/>
      <c r="M11" s="650"/>
      <c r="N11" s="650"/>
      <c r="O11" s="651"/>
    </row>
    <row r="12" spans="2:15" ht="25">
      <c r="B12" s="619" t="s">
        <v>27</v>
      </c>
      <c r="C12" s="734"/>
      <c r="D12" s="734"/>
      <c r="E12" s="734"/>
    </row>
    <row r="13" spans="2:15">
      <c r="B13" s="619" t="s">
        <v>28</v>
      </c>
      <c r="C13" s="734" t="s">
        <v>450</v>
      </c>
      <c r="D13" s="734"/>
      <c r="E13" s="734"/>
    </row>
    <row r="14" spans="2:15">
      <c r="B14" s="619" t="s">
        <v>29</v>
      </c>
      <c r="C14" s="734" t="s">
        <v>450</v>
      </c>
      <c r="D14" s="734"/>
      <c r="E14" s="734"/>
    </row>
    <row r="15" spans="2:15">
      <c r="B15" s="619" t="s">
        <v>30</v>
      </c>
      <c r="C15" s="734" t="s">
        <v>451</v>
      </c>
      <c r="D15" s="734"/>
      <c r="E15" s="734"/>
    </row>
    <row r="16" spans="2:15" ht="25">
      <c r="B16" s="619" t="s">
        <v>31</v>
      </c>
      <c r="C16" s="734"/>
      <c r="D16" s="734"/>
      <c r="E16" s="734"/>
    </row>
    <row r="17" spans="2:5">
      <c r="B17" s="619" t="s">
        <v>32</v>
      </c>
      <c r="C17" s="734"/>
      <c r="D17" s="734"/>
      <c r="E17" s="734"/>
    </row>
    <row r="18" spans="2:5">
      <c r="B18" s="619" t="s">
        <v>33</v>
      </c>
      <c r="C18" s="734"/>
      <c r="D18" s="734"/>
      <c r="E18" s="734"/>
    </row>
    <row r="19" spans="2:5">
      <c r="B19" s="619" t="s">
        <v>34</v>
      </c>
      <c r="C19" s="734"/>
      <c r="D19" s="734"/>
      <c r="E19" s="734"/>
    </row>
    <row r="20" spans="2:5">
      <c r="B20" s="619" t="s">
        <v>35</v>
      </c>
      <c r="C20" s="734"/>
      <c r="D20" s="734"/>
      <c r="E20" s="734"/>
    </row>
    <row r="21" spans="2:5">
      <c r="B21" s="619" t="s">
        <v>36</v>
      </c>
      <c r="C21" s="734"/>
      <c r="D21" s="734"/>
      <c r="E21" s="734"/>
    </row>
    <row r="22" spans="2:5" ht="15" customHeight="1">
      <c r="B22" s="619" t="s">
        <v>16</v>
      </c>
      <c r="C22" s="734"/>
      <c r="D22" s="734"/>
      <c r="E22" s="734"/>
    </row>
    <row r="23" spans="2:5">
      <c r="B23" s="616"/>
    </row>
    <row r="24" spans="2:5">
      <c r="B24" s="641" t="s">
        <v>17</v>
      </c>
      <c r="C24" s="641"/>
      <c r="D24" s="641"/>
      <c r="E24" s="641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26953125" customWidth="1"/>
    <col min="11" max="11" width="77.7265625" customWidth="1"/>
  </cols>
  <sheetData>
    <row r="1" spans="2:15">
      <c r="B1" s="655"/>
      <c r="C1" s="656"/>
      <c r="D1" s="656"/>
      <c r="E1" s="656"/>
      <c r="F1" s="653" t="s">
        <v>37</v>
      </c>
      <c r="G1" s="653"/>
      <c r="H1" s="653"/>
      <c r="I1" s="653"/>
      <c r="J1" s="653"/>
      <c r="K1" s="654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 t="s">
        <v>446</v>
      </c>
      <c r="D4" s="10"/>
      <c r="E4" s="10" t="s">
        <v>447</v>
      </c>
      <c r="F4" s="621">
        <v>45992</v>
      </c>
      <c r="G4" s="12" t="s">
        <v>448</v>
      </c>
      <c r="H4" s="12" t="s">
        <v>423</v>
      </c>
      <c r="I4" s="12" t="s">
        <v>449</v>
      </c>
      <c r="J4" s="621">
        <v>45992</v>
      </c>
      <c r="K4" s="7"/>
    </row>
    <row r="5" spans="2:15">
      <c r="B5" s="12" t="s">
        <v>49</v>
      </c>
      <c r="C5" s="746" t="s">
        <v>459</v>
      </c>
      <c r="D5" s="746"/>
      <c r="E5" s="746" t="s">
        <v>460</v>
      </c>
      <c r="F5" s="12"/>
      <c r="G5" s="12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747"/>
      <c r="G8" s="747"/>
      <c r="H8" s="747"/>
      <c r="I8" s="747"/>
      <c r="J8" s="747"/>
      <c r="K8" s="7"/>
    </row>
    <row r="9" spans="2:15">
      <c r="B9" s="12" t="s">
        <v>53</v>
      </c>
      <c r="C9" s="11"/>
      <c r="D9" s="11"/>
      <c r="E9" s="11"/>
      <c r="F9" s="747"/>
      <c r="G9" s="747"/>
      <c r="H9" s="747"/>
      <c r="I9" s="747"/>
      <c r="J9" s="747"/>
      <c r="K9" s="7"/>
    </row>
    <row r="10" spans="2:15">
      <c r="B10" s="12" t="s">
        <v>54</v>
      </c>
      <c r="C10" s="11"/>
      <c r="D10" s="11"/>
      <c r="E10" s="11"/>
      <c r="F10" s="747"/>
      <c r="G10" s="747"/>
      <c r="H10" s="747"/>
      <c r="I10" s="747"/>
      <c r="J10" s="747"/>
      <c r="K10" s="7"/>
    </row>
    <row r="11" spans="2:15">
      <c r="B11" s="12" t="s">
        <v>55</v>
      </c>
      <c r="C11" s="11"/>
      <c r="D11" s="11"/>
      <c r="E11" s="11"/>
      <c r="F11" s="747"/>
      <c r="G11" s="747"/>
      <c r="H11" s="747"/>
      <c r="I11" s="747"/>
      <c r="J11" s="747"/>
      <c r="K11" s="7"/>
    </row>
    <row r="12" spans="2:15">
      <c r="B12" s="12" t="s">
        <v>56</v>
      </c>
      <c r="C12" s="11"/>
      <c r="D12" s="11"/>
      <c r="E12" s="11"/>
      <c r="F12" s="747"/>
      <c r="G12" s="747"/>
      <c r="H12" s="747"/>
      <c r="I12" s="747"/>
      <c r="J12" s="747"/>
      <c r="K12" s="7"/>
    </row>
    <row r="13" spans="2:15">
      <c r="B13" s="12" t="s">
        <v>57</v>
      </c>
      <c r="C13" s="11"/>
      <c r="D13" s="11"/>
      <c r="E13" s="11"/>
      <c r="F13" s="747"/>
      <c r="G13" s="747"/>
      <c r="H13" s="747"/>
      <c r="I13" s="747"/>
      <c r="J13" s="747"/>
      <c r="K13" s="7"/>
    </row>
    <row r="14" spans="2:15">
      <c r="B14" s="12" t="s">
        <v>58</v>
      </c>
      <c r="C14" s="11"/>
      <c r="D14" s="11"/>
      <c r="E14" s="11"/>
      <c r="F14" s="747"/>
      <c r="G14" s="747"/>
      <c r="H14" s="747"/>
      <c r="I14" s="747"/>
      <c r="J14" s="747"/>
      <c r="K14" s="7"/>
    </row>
    <row r="15" spans="2:15">
      <c r="B15" s="12" t="s">
        <v>59</v>
      </c>
      <c r="C15" s="11"/>
      <c r="D15" s="11"/>
      <c r="E15" s="11"/>
      <c r="F15" s="747"/>
      <c r="G15" s="747"/>
      <c r="H15" s="747"/>
      <c r="I15" s="747"/>
      <c r="J15" s="747"/>
      <c r="K15" s="7"/>
    </row>
    <row r="16" spans="2:15">
      <c r="B16" s="12" t="s">
        <v>60</v>
      </c>
      <c r="C16" s="11"/>
      <c r="D16" s="11"/>
      <c r="E16" s="11"/>
      <c r="F16" s="747"/>
      <c r="G16" s="747"/>
      <c r="H16" s="747"/>
      <c r="I16" s="747"/>
      <c r="J16" s="747"/>
      <c r="K16" s="7"/>
    </row>
    <row r="17" spans="2:11">
      <c r="B17" s="12" t="s">
        <v>61</v>
      </c>
      <c r="C17" s="11"/>
      <c r="D17" s="11"/>
      <c r="E17" s="11"/>
      <c r="F17" s="747"/>
      <c r="G17" s="747"/>
      <c r="H17" s="747"/>
      <c r="I17" s="747"/>
      <c r="J17" s="747"/>
      <c r="K17" s="7"/>
    </row>
    <row r="18" spans="2:11">
      <c r="B18" s="12" t="s">
        <v>62</v>
      </c>
      <c r="C18" s="11"/>
      <c r="D18" s="11"/>
      <c r="E18" s="11"/>
      <c r="F18" s="747"/>
      <c r="G18" s="747"/>
      <c r="H18" s="747"/>
      <c r="I18" s="747"/>
      <c r="J18" s="747"/>
      <c r="K18" s="7"/>
    </row>
    <row r="19" spans="2:11">
      <c r="B19" s="12" t="s">
        <v>63</v>
      </c>
      <c r="C19" s="11"/>
      <c r="D19" s="11"/>
      <c r="E19" s="11"/>
      <c r="F19" s="747"/>
      <c r="G19" s="747"/>
      <c r="H19" s="747"/>
      <c r="I19" s="747"/>
      <c r="J19" s="747"/>
      <c r="K19" s="7"/>
    </row>
    <row r="20" spans="2:11">
      <c r="B20" s="12" t="s">
        <v>64</v>
      </c>
      <c r="C20" s="11"/>
      <c r="D20" s="11"/>
      <c r="E20" s="11"/>
      <c r="F20" s="747"/>
      <c r="G20" s="747"/>
      <c r="H20" s="747"/>
      <c r="I20" s="747"/>
      <c r="J20" s="747"/>
      <c r="K20" s="7"/>
    </row>
    <row r="21" spans="2:11">
      <c r="B21" s="12" t="s">
        <v>65</v>
      </c>
      <c r="C21" s="11"/>
      <c r="D21" s="11"/>
      <c r="E21" s="11"/>
      <c r="F21" s="747"/>
      <c r="G21" s="747"/>
      <c r="H21" s="747"/>
      <c r="I21" s="747"/>
      <c r="J21" s="747"/>
      <c r="K21" s="7"/>
    </row>
    <row r="22" spans="2:11">
      <c r="B22" s="12" t="s">
        <v>66</v>
      </c>
      <c r="C22" s="11"/>
      <c r="D22" s="11"/>
      <c r="E22" s="11"/>
      <c r="F22" s="747"/>
      <c r="G22" s="747"/>
      <c r="H22" s="747"/>
      <c r="I22" s="747"/>
      <c r="J22" s="747"/>
      <c r="K22" s="7"/>
    </row>
    <row r="23" spans="2:11">
      <c r="B23" s="12" t="s">
        <v>67</v>
      </c>
      <c r="C23" s="11"/>
      <c r="D23" s="11"/>
      <c r="E23" s="11"/>
      <c r="F23" s="747"/>
      <c r="G23" s="747"/>
      <c r="H23" s="747"/>
      <c r="I23" s="747"/>
      <c r="J23" s="747"/>
      <c r="K23" s="7"/>
    </row>
    <row r="24" spans="2:11">
      <c r="B24" s="12" t="s">
        <v>68</v>
      </c>
      <c r="C24" s="11"/>
      <c r="D24" s="11"/>
      <c r="E24" s="11"/>
      <c r="F24" s="747"/>
      <c r="G24" s="747"/>
      <c r="H24" s="747"/>
      <c r="I24" s="747"/>
      <c r="J24" s="747"/>
      <c r="K24" s="7"/>
    </row>
    <row r="25" spans="2:11">
      <c r="B25" s="12" t="s">
        <v>69</v>
      </c>
      <c r="C25" s="11"/>
      <c r="D25" s="11"/>
      <c r="E25" s="11"/>
      <c r="F25" s="747"/>
      <c r="G25" s="747"/>
      <c r="H25" s="747"/>
      <c r="I25" s="747"/>
      <c r="J25" s="747"/>
      <c r="K25" s="7"/>
    </row>
    <row r="26" spans="2:11">
      <c r="B26" s="12" t="s">
        <v>70</v>
      </c>
      <c r="C26" s="11"/>
      <c r="D26" s="11"/>
      <c r="E26" s="11"/>
      <c r="F26" s="747"/>
      <c r="G26" s="747"/>
      <c r="H26" s="747"/>
      <c r="I26" s="747"/>
      <c r="J26" s="747"/>
      <c r="K26" s="7"/>
    </row>
    <row r="27" spans="2:11">
      <c r="B27" s="12" t="s">
        <v>71</v>
      </c>
      <c r="C27" s="11"/>
      <c r="D27" s="11"/>
      <c r="E27" s="11"/>
      <c r="F27" s="747"/>
      <c r="G27" s="747"/>
      <c r="H27" s="747"/>
      <c r="I27" s="747"/>
      <c r="J27" s="747"/>
      <c r="K27" s="7"/>
    </row>
    <row r="28" spans="2:11">
      <c r="B28" s="12" t="s">
        <v>72</v>
      </c>
      <c r="C28" s="11"/>
      <c r="D28" s="11"/>
      <c r="E28" s="11"/>
      <c r="F28" s="747"/>
      <c r="G28" s="747"/>
      <c r="H28" s="747"/>
      <c r="I28" s="747"/>
      <c r="J28" s="747"/>
      <c r="K28" s="7"/>
    </row>
    <row r="29" spans="2:11">
      <c r="B29" s="12" t="s">
        <v>73</v>
      </c>
      <c r="C29" s="11"/>
      <c r="D29" s="11"/>
      <c r="E29" s="11"/>
      <c r="F29" s="747"/>
      <c r="G29" s="747"/>
      <c r="H29" s="747"/>
      <c r="I29" s="747"/>
      <c r="J29" s="747"/>
      <c r="K29" s="7"/>
    </row>
    <row r="30" spans="2:11">
      <c r="B30" s="12" t="s">
        <v>74</v>
      </c>
      <c r="C30" s="11"/>
      <c r="D30" s="11"/>
      <c r="E30" s="11"/>
      <c r="F30" s="747"/>
      <c r="G30" s="747"/>
      <c r="H30" s="747"/>
      <c r="I30" s="747"/>
      <c r="J30" s="747"/>
      <c r="K30" s="7"/>
    </row>
    <row r="31" spans="2:11">
      <c r="B31" s="12" t="s">
        <v>75</v>
      </c>
      <c r="C31" s="11"/>
      <c r="D31" s="11"/>
      <c r="E31" s="11"/>
      <c r="F31" s="747"/>
      <c r="G31" s="747"/>
      <c r="H31" s="747"/>
      <c r="I31" s="747"/>
      <c r="J31" s="747"/>
      <c r="K31" s="7"/>
    </row>
    <row r="32" spans="2:11">
      <c r="B32" s="12" t="s">
        <v>76</v>
      </c>
      <c r="C32" s="11"/>
      <c r="D32" s="11"/>
      <c r="E32" s="11"/>
      <c r="F32" s="747"/>
      <c r="G32" s="747"/>
      <c r="H32" s="747"/>
      <c r="I32" s="747"/>
      <c r="J32" s="747"/>
      <c r="K32" s="7"/>
    </row>
    <row r="33" spans="2:11">
      <c r="B33" s="12" t="s">
        <v>77</v>
      </c>
      <c r="C33" s="11"/>
      <c r="D33" s="11"/>
      <c r="E33" s="11"/>
      <c r="F33" s="747"/>
      <c r="G33" s="747"/>
      <c r="H33" s="747"/>
      <c r="I33" s="747"/>
      <c r="J33" s="747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6" priority="1" operator="containsText" text="Pending">
      <formula>NOT(ISERROR(SEARCH("Pending",H4)))</formula>
    </cfRule>
    <cfRule type="containsText" dxfId="25" priority="2" operator="containsText" text="Declined">
      <formula>NOT(ISERROR(SEARCH("Declined",H4)))</formula>
    </cfRule>
    <cfRule type="containsText" dxfId="24" priority="3" operator="containsText" text="Abanded">
      <formula>NOT(ISERROR(SEARCH("Abanded",H4)))</formula>
    </cfRule>
    <cfRule type="containsText" dxfId="23" priority="4" operator="containsText" text="Declined">
      <formula>NOT(ISERROR(SEARCH("Declined",H4)))</formula>
    </cfRule>
    <cfRule type="containsText" dxfId="22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14" sqref="B14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7265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 t="s">
        <v>83</v>
      </c>
      <c r="D3" s="603" t="s">
        <v>84</v>
      </c>
      <c r="E3" s="606">
        <v>221</v>
      </c>
      <c r="F3" s="603"/>
      <c r="G3" s="1"/>
    </row>
    <row r="4" spans="1:7">
      <c r="A4" s="126"/>
      <c r="B4" s="603" t="s">
        <v>85</v>
      </c>
      <c r="C4" s="603" t="s">
        <v>83</v>
      </c>
      <c r="D4" s="603" t="s">
        <v>86</v>
      </c>
      <c r="E4" s="606">
        <v>4000</v>
      </c>
      <c r="F4" s="603"/>
      <c r="G4" s="1"/>
    </row>
    <row r="5" spans="1:7">
      <c r="A5" s="126"/>
      <c r="B5" s="635" t="s">
        <v>87</v>
      </c>
      <c r="C5" s="635" t="s">
        <v>83</v>
      </c>
      <c r="D5" s="635" t="s">
        <v>88</v>
      </c>
      <c r="E5" s="636">
        <v>1</v>
      </c>
      <c r="F5" s="635" t="s">
        <v>89</v>
      </c>
      <c r="G5" s="1"/>
    </row>
    <row r="6" spans="1:7">
      <c r="A6" s="126"/>
      <c r="B6" s="603" t="s">
        <v>90</v>
      </c>
      <c r="C6" s="603" t="s">
        <v>91</v>
      </c>
      <c r="D6" s="603"/>
      <c r="E6" s="606"/>
      <c r="F6" s="603"/>
      <c r="G6" s="1"/>
    </row>
    <row r="7" spans="1:7">
      <c r="A7" s="126"/>
      <c r="B7" s="603" t="s">
        <v>92</v>
      </c>
      <c r="C7" s="603"/>
      <c r="D7" s="603"/>
      <c r="E7" s="606"/>
      <c r="F7" s="603"/>
      <c r="G7" s="1"/>
    </row>
    <row r="8" spans="1:7">
      <c r="A8" s="126"/>
      <c r="B8" s="603" t="s">
        <v>93</v>
      </c>
      <c r="C8" s="603"/>
      <c r="D8" s="603"/>
      <c r="E8" s="606"/>
      <c r="F8" s="603"/>
      <c r="G8" s="1"/>
    </row>
    <row r="9" spans="1:7">
      <c r="A9" s="126"/>
      <c r="B9" s="603" t="s">
        <v>94</v>
      </c>
      <c r="C9" s="603"/>
      <c r="D9" s="603"/>
      <c r="E9" s="606"/>
      <c r="F9" s="603"/>
      <c r="G9" s="1"/>
    </row>
    <row r="10" spans="1:7">
      <c r="A10" s="126"/>
      <c r="B10" s="603" t="s">
        <v>95</v>
      </c>
      <c r="C10" s="603"/>
      <c r="D10" s="603"/>
      <c r="E10" s="606"/>
      <c r="F10" s="603"/>
      <c r="G10" s="1"/>
    </row>
    <row r="11" spans="1:7">
      <c r="A11" s="126"/>
      <c r="B11" s="603" t="s">
        <v>96</v>
      </c>
      <c r="C11" s="603"/>
      <c r="D11" s="603"/>
      <c r="E11" s="606"/>
      <c r="F11" s="603"/>
      <c r="G11" s="1"/>
    </row>
    <row r="12" spans="1:7">
      <c r="A12" s="126"/>
      <c r="B12" s="603" t="s">
        <v>97</v>
      </c>
      <c r="C12" s="603"/>
      <c r="D12" s="603"/>
      <c r="E12" s="606"/>
      <c r="F12" s="603"/>
      <c r="G12" s="1"/>
    </row>
    <row r="13" spans="1:7">
      <c r="A13" s="126"/>
      <c r="B13" s="603" t="s">
        <v>98</v>
      </c>
      <c r="C13" s="603"/>
      <c r="D13" s="603"/>
      <c r="E13" s="606"/>
      <c r="F13" s="603"/>
      <c r="G13" s="1"/>
    </row>
    <row r="14" spans="1:7">
      <c r="A14" s="126"/>
      <c r="B14" s="603" t="s">
        <v>99</v>
      </c>
      <c r="C14" s="603" t="s">
        <v>100</v>
      </c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101</v>
      </c>
      <c r="C23" s="26"/>
      <c r="D23" s="26"/>
      <c r="E23" s="26"/>
      <c r="F23" s="26"/>
      <c r="G23" s="26"/>
    </row>
    <row r="24" spans="1:7">
      <c r="A24" s="26"/>
      <c r="B24" s="604" t="s">
        <v>102</v>
      </c>
      <c r="C24" s="26"/>
      <c r="D24" s="26"/>
      <c r="E24" s="26"/>
      <c r="F24" s="26"/>
    </row>
    <row r="25" spans="1:7">
      <c r="A25" s="26"/>
      <c r="B25" s="604" t="s">
        <v>103</v>
      </c>
      <c r="C25" s="26"/>
      <c r="D25" s="26"/>
      <c r="E25" s="26"/>
      <c r="F25" s="26"/>
    </row>
    <row r="26" spans="1:7">
      <c r="A26" s="26"/>
      <c r="B26" s="604" t="s">
        <v>83</v>
      </c>
      <c r="C26" s="26"/>
      <c r="D26" s="26"/>
      <c r="E26" s="26"/>
      <c r="F26" s="26"/>
    </row>
    <row r="27" spans="1:7">
      <c r="A27" s="26"/>
      <c r="B27" s="604" t="s">
        <v>104</v>
      </c>
      <c r="C27" s="26"/>
      <c r="D27" s="26"/>
      <c r="E27" s="26"/>
      <c r="F27" s="26"/>
    </row>
    <row r="28" spans="1:7">
      <c r="A28" s="26"/>
      <c r="B28" s="604" t="s">
        <v>91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105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57" t="s">
        <v>106</v>
      </c>
      <c r="C2" s="658"/>
      <c r="D2" s="658"/>
      <c r="E2" s="658"/>
      <c r="F2" s="659"/>
      <c r="G2" s="13"/>
      <c r="H2" s="13"/>
      <c r="I2" s="13"/>
      <c r="J2" s="13"/>
    </row>
    <row r="3" spans="2:10" ht="6.75" customHeight="1" thickTop="1"/>
    <row r="4" spans="2:10">
      <c r="B4" s="8" t="s">
        <v>107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108</v>
      </c>
      <c r="C5" s="12"/>
      <c r="D5" s="12"/>
      <c r="E5" s="12"/>
      <c r="F5" s="7" t="s">
        <v>109</v>
      </c>
    </row>
    <row r="6" spans="2:10">
      <c r="B6" s="10" t="s">
        <v>110</v>
      </c>
      <c r="C6" s="12"/>
      <c r="D6" s="12"/>
      <c r="E6" s="12"/>
      <c r="F6" s="7" t="s">
        <v>109</v>
      </c>
    </row>
    <row r="7" spans="2:10">
      <c r="B7" s="10" t="s">
        <v>111</v>
      </c>
      <c r="C7" s="12"/>
      <c r="D7" s="12"/>
      <c r="E7" s="12"/>
      <c r="F7" s="7" t="s">
        <v>109</v>
      </c>
    </row>
    <row r="8" spans="2:10">
      <c r="B8" s="10" t="s">
        <v>112</v>
      </c>
      <c r="C8" s="12"/>
      <c r="D8" s="12"/>
      <c r="E8" s="12"/>
      <c r="F8" s="7" t="s">
        <v>109</v>
      </c>
    </row>
    <row r="9" spans="2:10">
      <c r="B9" s="11" t="s">
        <v>113</v>
      </c>
      <c r="C9" s="11"/>
      <c r="D9" s="11"/>
      <c r="E9" s="11"/>
      <c r="F9" s="7" t="s">
        <v>114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7" t="s">
        <v>115</v>
      </c>
      <c r="C16" s="658"/>
      <c r="D16" s="658"/>
      <c r="E16" s="658"/>
      <c r="F16" s="659"/>
    </row>
    <row r="17" spans="2:6" ht="15" thickTop="1"/>
    <row r="18" spans="2:6">
      <c r="B18" s="8" t="s">
        <v>107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116</v>
      </c>
      <c r="C20" s="12"/>
      <c r="D20" s="12"/>
      <c r="E20" s="12"/>
      <c r="F20" s="7"/>
    </row>
    <row r="21" spans="2:6">
      <c r="B21" s="10" t="s">
        <v>117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1" priority="6" operator="containsText" text="Pending">
      <formula>NOT(ISERROR(SEARCH("Pending",C5)))</formula>
    </cfRule>
    <cfRule type="containsText" dxfId="20" priority="7" operator="containsText" text="Declined">
      <formula>NOT(ISERROR(SEARCH("Declined",C5)))</formula>
    </cfRule>
    <cfRule type="containsText" dxfId="19" priority="8" operator="containsText" text="Abanded">
      <formula>NOT(ISERROR(SEARCH("Abanded",C5)))</formula>
    </cfRule>
    <cfRule type="containsText" dxfId="18" priority="9" operator="containsText" text="Declined">
      <formula>NOT(ISERROR(SEARCH("Declined",C5)))</formula>
    </cfRule>
    <cfRule type="containsText" dxfId="17" priority="10" operator="containsText" text="Approved">
      <formula>NOT(ISERROR(SEARCH("Approved",C5)))</formula>
    </cfRule>
  </conditionalFormatting>
  <conditionalFormatting sqref="C19:C28">
    <cfRule type="containsText" dxfId="16" priority="1" operator="containsText" text="Pending">
      <formula>NOT(ISERROR(SEARCH("Pending",C19)))</formula>
    </cfRule>
    <cfRule type="containsText" dxfId="15" priority="2" operator="containsText" text="Declined">
      <formula>NOT(ISERROR(SEARCH("Declined",C19)))</formula>
    </cfRule>
    <cfRule type="containsText" dxfId="14" priority="3" operator="containsText" text="Abanded">
      <formula>NOT(ISERROR(SEARCH("Abanded",C19)))</formula>
    </cfRule>
    <cfRule type="containsText" dxfId="13" priority="4" operator="containsText" text="Declined">
      <formula>NOT(ISERROR(SEARCH("Declined",C19)))</formula>
    </cfRule>
    <cfRule type="containsText" dxfId="12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Normal="100" workbookViewId="0">
      <selection activeCell="N11" sqref="N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7265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26953125" style="26" customWidth="1"/>
    <col min="14" max="14" width="11.26953125" style="26" bestFit="1" customWidth="1"/>
    <col min="15" max="15" width="39.453125" style="26" bestFit="1" customWidth="1"/>
    <col min="16" max="16" width="1.453125" style="26" customWidth="1"/>
    <col min="17" max="17" width="5.26953125" style="1" customWidth="1"/>
    <col min="18" max="18" width="8.453125" style="26"/>
    <col min="19" max="19" width="21.5429687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118</v>
      </c>
      <c r="D2" s="90"/>
      <c r="E2" s="567" t="s">
        <v>119</v>
      </c>
      <c r="F2" s="568"/>
      <c r="G2" s="568"/>
      <c r="H2" s="569"/>
      <c r="I2" s="660" t="s">
        <v>120</v>
      </c>
      <c r="J2" s="661"/>
      <c r="K2" s="588">
        <f>NETWORKDAYS(I20,K41,Data!C3:C60)</f>
        <v>26</v>
      </c>
      <c r="N2" s="306">
        <v>0</v>
      </c>
      <c r="O2" s="306">
        <v>1</v>
      </c>
    </row>
    <row r="3" spans="2:28" s="26" customFormat="1" ht="14.5" thickBot="1">
      <c r="B3" s="91"/>
      <c r="C3" s="92" t="s">
        <v>121</v>
      </c>
      <c r="D3" s="90"/>
      <c r="E3" s="312">
        <v>130</v>
      </c>
      <c r="F3" s="93"/>
      <c r="G3" s="94"/>
      <c r="H3" s="94"/>
      <c r="I3" s="660" t="s">
        <v>122</v>
      </c>
      <c r="J3" s="661"/>
      <c r="K3" s="588">
        <f>K2/5</f>
        <v>5.2</v>
      </c>
      <c r="Q3" s="1"/>
    </row>
    <row r="4" spans="2:28" s="26" customFormat="1" ht="14.5" thickBot="1">
      <c r="B4" s="91"/>
      <c r="C4" s="92" t="s">
        <v>123</v>
      </c>
      <c r="D4" s="90"/>
      <c r="E4" s="566" t="s">
        <v>8</v>
      </c>
      <c r="F4" s="94"/>
      <c r="G4" s="94"/>
      <c r="H4" s="94"/>
      <c r="I4" s="660" t="s">
        <v>124</v>
      </c>
      <c r="J4" s="661"/>
      <c r="K4" s="589">
        <f>E3/K3</f>
        <v>25</v>
      </c>
      <c r="Q4" s="1"/>
    </row>
    <row r="5" spans="2:28" s="26" customFormat="1">
      <c r="B5" s="91"/>
      <c r="C5" s="92" t="s">
        <v>125</v>
      </c>
      <c r="D5" s="90"/>
      <c r="E5" s="566" t="s">
        <v>126</v>
      </c>
      <c r="F5" s="94"/>
      <c r="G5" s="94"/>
      <c r="H5" s="94"/>
      <c r="Q5" s="1"/>
    </row>
    <row r="6" spans="2:28">
      <c r="B6" s="95"/>
      <c r="C6" s="96" t="s">
        <v>127</v>
      </c>
      <c r="D6" s="90"/>
      <c r="E6" s="545">
        <v>1441230.4772331575</v>
      </c>
      <c r="F6" s="570"/>
      <c r="G6" s="570"/>
      <c r="H6" s="571"/>
    </row>
    <row r="7" spans="2:28" s="26" customFormat="1">
      <c r="B7" s="79"/>
      <c r="C7" s="629" t="s">
        <v>128</v>
      </c>
      <c r="E7" s="630" t="s">
        <v>129</v>
      </c>
      <c r="F7" s="80"/>
      <c r="G7" s="97"/>
      <c r="J7" s="27"/>
      <c r="Q7" s="1"/>
    </row>
    <row r="8" spans="2:28" ht="30" customHeight="1">
      <c r="B8" s="664" t="s">
        <v>130</v>
      </c>
      <c r="C8" s="665" t="s">
        <v>131</v>
      </c>
      <c r="D8" s="126"/>
      <c r="E8" s="666" t="s">
        <v>132</v>
      </c>
      <c r="F8" s="148" t="s">
        <v>133</v>
      </c>
      <c r="G8" s="666" t="s">
        <v>134</v>
      </c>
      <c r="H8" s="149"/>
      <c r="I8" s="666" t="s">
        <v>135</v>
      </c>
      <c r="J8" s="148" t="s">
        <v>133</v>
      </c>
      <c r="K8" s="666" t="s">
        <v>136</v>
      </c>
      <c r="M8" s="585" t="s">
        <v>44</v>
      </c>
      <c r="N8" s="586" t="s">
        <v>137</v>
      </c>
      <c r="O8" s="662" t="s">
        <v>138</v>
      </c>
      <c r="Z8" s="26"/>
      <c r="AA8" s="26"/>
      <c r="AB8" s="26"/>
    </row>
    <row r="9" spans="2:28">
      <c r="B9" s="664"/>
      <c r="C9" s="665"/>
      <c r="D9" s="126"/>
      <c r="E9" s="666"/>
      <c r="F9" s="40">
        <f>G41-E21</f>
        <v>35</v>
      </c>
      <c r="G9" s="666"/>
      <c r="H9" s="149"/>
      <c r="I9" s="666"/>
      <c r="J9" s="41">
        <f>K41-I21</f>
        <v>35</v>
      </c>
      <c r="K9" s="666"/>
      <c r="M9" s="265">
        <f>AVERAGE(M11,M20,M23,M30,M37,M41,M50,M46)</f>
        <v>8.4947916666666665E-2</v>
      </c>
      <c r="N9" s="265">
        <f>AVERAGE(N11,N20,N23,N30,N37,N41,N50,N46)</f>
        <v>8.4947916666666665E-2</v>
      </c>
      <c r="O9" s="663"/>
      <c r="S9" s="587">
        <f ca="1">TODAY()</f>
        <v>46065</v>
      </c>
      <c r="T9" s="587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139</v>
      </c>
      <c r="D11" s="130"/>
      <c r="E11" s="572">
        <f>MIN(E12:E19)</f>
        <v>45986</v>
      </c>
      <c r="F11" s="573">
        <f>G11-E11</f>
        <v>97</v>
      </c>
      <c r="G11" s="572">
        <f>MAX(G12:G19)</f>
        <v>46083</v>
      </c>
      <c r="H11" s="574"/>
      <c r="I11" s="572">
        <f>MIN(I12:I19)</f>
        <v>45986</v>
      </c>
      <c r="J11" s="573">
        <f>K11-I11</f>
        <v>97</v>
      </c>
      <c r="K11" s="572">
        <f>MAX(K12:K19)</f>
        <v>46083</v>
      </c>
      <c r="L11" s="575"/>
      <c r="M11" s="576">
        <f>(J12*M12+J15*M15+J16*M16+J17*M17+J18*M18)/SUM(J12:J18)</f>
        <v>5.6250000000000001E-2</v>
      </c>
      <c r="N11" s="576">
        <f>(J12*M12+J15*M15+J16*M16+J17*M17+J18*M18)/SUM(J12:J18)</f>
        <v>5.6250000000000001E-2</v>
      </c>
      <c r="O11" s="33"/>
      <c r="P11" s="26"/>
      <c r="Q11" s="34"/>
    </row>
    <row r="12" spans="2:28" s="26" customFormat="1">
      <c r="B12" s="157" t="s">
        <v>140</v>
      </c>
      <c r="C12" s="158" t="s">
        <v>141</v>
      </c>
      <c r="D12" s="126"/>
      <c r="E12" s="577">
        <v>45986</v>
      </c>
      <c r="F12" s="578">
        <v>1</v>
      </c>
      <c r="G12" s="577">
        <f>WORKDAY.INTL(E12,F12,1,Data!$C$3:$C$60)</f>
        <v>45987</v>
      </c>
      <c r="H12" s="579"/>
      <c r="I12" s="577">
        <v>45986</v>
      </c>
      <c r="J12" s="578">
        <v>1</v>
      </c>
      <c r="K12" s="577">
        <f>WORKDAY.INTL(I12,J12,1,Data!$C$3:$C$60)</f>
        <v>45987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142</v>
      </c>
      <c r="T12" s="538" t="s">
        <v>143</v>
      </c>
      <c r="U12" s="538" t="s">
        <v>133</v>
      </c>
      <c r="V12" s="538" t="s">
        <v>144</v>
      </c>
    </row>
    <row r="13" spans="2:28" s="26" customFormat="1">
      <c r="B13" s="157" t="s">
        <v>145</v>
      </c>
      <c r="C13" s="634" t="s">
        <v>146</v>
      </c>
      <c r="D13" s="126"/>
      <c r="E13" s="577">
        <v>46053</v>
      </c>
      <c r="F13" s="578">
        <v>21</v>
      </c>
      <c r="G13" s="577">
        <f>WORKDAY.INTL(E13,F13,1,Data!$C$3:$C$60)</f>
        <v>46083</v>
      </c>
      <c r="H13" s="579"/>
      <c r="I13" s="577">
        <v>46053</v>
      </c>
      <c r="J13" s="578">
        <v>21</v>
      </c>
      <c r="K13" s="577">
        <f>WORKDAY.INTL(I13,J13,1,Data!$C$3:$C$60)</f>
        <v>46083</v>
      </c>
      <c r="L13" s="77"/>
      <c r="M13" s="580">
        <v>0.4</v>
      </c>
      <c r="N13" s="580">
        <f ca="1">_xlfn.LET(
  _xlpm.s,VALUE($I13),
  _xlpm.e,VALUE($K13),
  IF(OR(_xlpm.s="",_xlpm.e=""),"", IF(_xlpm.e&lt;=_xlpm.s, IF(TODAY()&gt;=_xlpm.e,1,0), MAX(0,MIN(1,(TODAY()-_xlpm.s)/(_xlpm.e-_xlpm.s)))))
)</f>
        <v>0.4</v>
      </c>
      <c r="O13" s="36" t="s">
        <v>147</v>
      </c>
      <c r="Q13" s="1"/>
      <c r="S13" s="537" t="str">
        <f>C11</f>
        <v>Project Initiation</v>
      </c>
      <c r="T13" s="539">
        <f>I11</f>
        <v>45986</v>
      </c>
      <c r="U13" s="540">
        <f>J11</f>
        <v>97</v>
      </c>
      <c r="V13" s="539">
        <f>K11</f>
        <v>46083</v>
      </c>
    </row>
    <row r="14" spans="2:28" s="26" customFormat="1">
      <c r="B14" s="157" t="s">
        <v>148</v>
      </c>
      <c r="C14" s="634" t="s">
        <v>149</v>
      </c>
      <c r="D14" s="126"/>
      <c r="E14" s="577">
        <v>46003</v>
      </c>
      <c r="F14" s="578">
        <v>10</v>
      </c>
      <c r="G14" s="577">
        <f>WORKDAY.INTL(E14,F14,1,Data!$C$3:$C$60)</f>
        <v>46052</v>
      </c>
      <c r="H14" s="579"/>
      <c r="I14" s="577">
        <v>46003</v>
      </c>
      <c r="J14" s="578">
        <v>10</v>
      </c>
      <c r="K14" s="577">
        <f>WORKDAY.INTL(I14,J14,1,Data!$C$3:$C$60)</f>
        <v>46052</v>
      </c>
      <c r="L14" s="77"/>
      <c r="M14" s="580">
        <v>1</v>
      </c>
      <c r="N14" s="580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C20</f>
        <v>Site Establishment</v>
      </c>
      <c r="T14" s="539">
        <f>I20</f>
        <v>46076</v>
      </c>
      <c r="U14" s="540">
        <f>J20</f>
        <v>1</v>
      </c>
      <c r="V14" s="539">
        <f>K20</f>
        <v>46077</v>
      </c>
    </row>
    <row r="15" spans="2:28" s="26" customFormat="1">
      <c r="B15" s="157" t="s">
        <v>150</v>
      </c>
      <c r="C15" s="158" t="s">
        <v>151</v>
      </c>
      <c r="D15" s="126"/>
      <c r="E15" s="577">
        <v>46062</v>
      </c>
      <c r="F15" s="578">
        <v>5</v>
      </c>
      <c r="G15" s="577">
        <f>WORKDAY.INTL(E15,F15,1,Data!$C$3:$C$60)</f>
        <v>46069</v>
      </c>
      <c r="H15" s="579"/>
      <c r="I15" s="577">
        <v>46062</v>
      </c>
      <c r="J15" s="578">
        <v>5</v>
      </c>
      <c r="K15" s="577">
        <f>WORKDAY.INTL(I15,J15,1,Data!$C$3:$C$60)</f>
        <v>46069</v>
      </c>
      <c r="L15" s="77"/>
      <c r="M15" s="580">
        <v>0.25</v>
      </c>
      <c r="N15" s="580">
        <f ca="1">_xlfn.LET(
  _xlpm.s,VALUE($I15),
  _xlpm.e,VALUE($K15),
  IF(OR(_xlpm.s="",_xlpm.e=""),"", IF(_xlpm.e&lt;=_xlpm.s, IF(TODAY()&gt;=_xlpm.e,1,0), MAX(0,MIN(1,(TODAY()-_xlpm.s)/(_xlpm.e-_xlpm.s)))))
)</f>
        <v>0.42857142857142855</v>
      </c>
      <c r="O15" s="36"/>
      <c r="Q15" s="1"/>
      <c r="S15" s="537" t="str">
        <f>C23</f>
        <v>AC Installation</v>
      </c>
      <c r="T15" s="539">
        <f>I23</f>
        <v>46039</v>
      </c>
      <c r="U15" s="540">
        <f>J23</f>
        <v>45</v>
      </c>
      <c r="V15" s="539">
        <f>K23</f>
        <v>46084</v>
      </c>
    </row>
    <row r="16" spans="2:28" s="26" customFormat="1">
      <c r="B16" s="157" t="s">
        <v>152</v>
      </c>
      <c r="C16" s="158" t="s">
        <v>153</v>
      </c>
      <c r="D16" s="126"/>
      <c r="E16" s="577">
        <v>46069</v>
      </c>
      <c r="F16" s="578">
        <v>1</v>
      </c>
      <c r="G16" s="577">
        <f>WORKDAY.INTL(E16,F16,1,Data!$C$3:$C$60)</f>
        <v>46070</v>
      </c>
      <c r="H16" s="579"/>
      <c r="I16" s="577">
        <v>46069</v>
      </c>
      <c r="J16" s="578">
        <v>1</v>
      </c>
      <c r="K16" s="577">
        <f>WORKDAY.INTL(I16,J16,1,Data!$C$3:$C$60)</f>
        <v>46070</v>
      </c>
      <c r="L16" s="77"/>
      <c r="M16" s="580">
        <v>0</v>
      </c>
      <c r="N16" s="580">
        <f t="shared" ref="N16:N18" ca="1" si="0">_xlfn.LET(
  _xlpm.s,VALUE($I16),
  _xlpm.e,VALUE($K16),
  IF(OR(_xlpm.s="",_xlpm.e=""),"", IF(_xlpm.e&lt;=_xlpm.s, IF(TODAY()&gt;=_xlpm.e,1,0), MAX(0,MIN(1,(TODAY()-_xlpm.s)/(_xlpm.e-_xlpm.s)))))
)</f>
        <v>0</v>
      </c>
      <c r="O16" s="36"/>
      <c r="Q16" s="1"/>
      <c r="S16" s="537" t="str">
        <f>C30</f>
        <v>DC Works</v>
      </c>
      <c r="T16" s="539">
        <f>I30</f>
        <v>46076</v>
      </c>
      <c r="U16" s="540">
        <f>J30</f>
        <v>24</v>
      </c>
      <c r="V16" s="539">
        <f>K30</f>
        <v>46100</v>
      </c>
    </row>
    <row r="17" spans="2:28" s="26" customFormat="1">
      <c r="B17" s="157" t="s">
        <v>154</v>
      </c>
      <c r="C17" s="158" t="s">
        <v>155</v>
      </c>
      <c r="D17" s="126"/>
      <c r="E17" s="577">
        <f>E16</f>
        <v>46069</v>
      </c>
      <c r="F17" s="578">
        <v>1</v>
      </c>
      <c r="G17" s="577">
        <f>WORKDAY.INTL(E17,F17,1,Data!$C$3:$C$60)</f>
        <v>46070</v>
      </c>
      <c r="H17" s="579"/>
      <c r="I17" s="577">
        <f>I16</f>
        <v>46069</v>
      </c>
      <c r="J17" s="578">
        <v>1</v>
      </c>
      <c r="K17" s="577">
        <f>WORKDAY.INTL(I17,J17,1,Data!$C$3:$C$60)</f>
        <v>46070</v>
      </c>
      <c r="L17" s="77"/>
      <c r="M17" s="580">
        <v>0</v>
      </c>
      <c r="N17" s="580">
        <f t="shared" ca="1" si="0"/>
        <v>0</v>
      </c>
      <c r="O17" s="36"/>
      <c r="Q17" s="1"/>
      <c r="S17" s="537" t="str">
        <f>C37</f>
        <v>Module installation</v>
      </c>
      <c r="T17" s="539">
        <f>I37</f>
        <v>46076</v>
      </c>
      <c r="U17" s="540">
        <f>J37</f>
        <v>22</v>
      </c>
      <c r="V17" s="539">
        <f>K37</f>
        <v>46098</v>
      </c>
    </row>
    <row r="18" spans="2:28" s="26" customFormat="1">
      <c r="B18" s="157" t="s">
        <v>156</v>
      </c>
      <c r="C18" s="158" t="s">
        <v>157</v>
      </c>
      <c r="D18" s="126"/>
      <c r="E18" s="577">
        <f>E17</f>
        <v>46069</v>
      </c>
      <c r="F18" s="578">
        <v>1</v>
      </c>
      <c r="G18" s="577">
        <f>WORKDAY.INTL(E18,F18,1,Data!$C$3:$C$60)</f>
        <v>46070</v>
      </c>
      <c r="H18" s="579"/>
      <c r="I18" s="577">
        <f>I17</f>
        <v>46069</v>
      </c>
      <c r="J18" s="578">
        <v>1</v>
      </c>
      <c r="K18" s="577">
        <f>WORKDAY.INTL(I18,J18,1,Data!$C$3:$C$60)</f>
        <v>46070</v>
      </c>
      <c r="L18" s="77"/>
      <c r="M18" s="580">
        <v>0</v>
      </c>
      <c r="N18" s="580">
        <f t="shared" ca="1" si="0"/>
        <v>0</v>
      </c>
      <c r="O18" s="36"/>
      <c r="Q18" s="1"/>
      <c r="S18" s="537" t="str">
        <f>C41</f>
        <v>Commissioning</v>
      </c>
      <c r="T18" s="539">
        <f>I41</f>
        <v>46100</v>
      </c>
      <c r="U18" s="540">
        <f>J41</f>
        <v>11</v>
      </c>
      <c r="V18" s="539">
        <f>K41</f>
        <v>46111</v>
      </c>
    </row>
    <row r="19" spans="2:28" s="26" customFormat="1">
      <c r="B19" s="150"/>
      <c r="C19" s="126"/>
      <c r="D19" s="126"/>
      <c r="E19" s="581"/>
      <c r="F19" s="581"/>
      <c r="G19" s="581"/>
      <c r="H19" s="579"/>
      <c r="I19" s="581"/>
      <c r="J19" s="581"/>
      <c r="K19" s="581"/>
      <c r="L19" s="77"/>
      <c r="M19" s="77"/>
      <c r="N19" s="77"/>
      <c r="Q19" s="1"/>
      <c r="S19" s="537" t="str">
        <f>C46</f>
        <v>QA Inspections</v>
      </c>
      <c r="T19" s="539">
        <f>I46</f>
        <v>46104</v>
      </c>
      <c r="U19" s="540">
        <f>J46</f>
        <v>8</v>
      </c>
      <c r="V19" s="539">
        <f>K46</f>
        <v>46112</v>
      </c>
    </row>
    <row r="20" spans="2:28" s="28" customFormat="1">
      <c r="B20" s="155">
        <v>2</v>
      </c>
      <c r="C20" s="156" t="s">
        <v>158</v>
      </c>
      <c r="D20" s="130"/>
      <c r="E20" s="572">
        <f>MIN(E21:E22)</f>
        <v>46076</v>
      </c>
      <c r="F20" s="573">
        <f>G20-E20</f>
        <v>1</v>
      </c>
      <c r="G20" s="572">
        <f>MAX(G21:G22)</f>
        <v>46077</v>
      </c>
      <c r="H20" s="574"/>
      <c r="I20" s="572">
        <f>MIN(I21:I22)</f>
        <v>46076</v>
      </c>
      <c r="J20" s="573">
        <f>K20-I20</f>
        <v>1</v>
      </c>
      <c r="K20" s="572">
        <f>MAX(K21:K22)</f>
        <v>46077</v>
      </c>
      <c r="L20" s="575"/>
      <c r="M20" s="576">
        <f>(J21*M21)/J20</f>
        <v>0</v>
      </c>
      <c r="N20" s="576">
        <f>(J21*M21)/J20</f>
        <v>0</v>
      </c>
      <c r="O20" s="33"/>
      <c r="P20" s="26"/>
      <c r="Q20" s="37"/>
      <c r="R20" s="32"/>
      <c r="S20" s="537" t="str">
        <f>C50</f>
        <v>Project Closure</v>
      </c>
      <c r="T20" s="539">
        <f>I50</f>
        <v>46104</v>
      </c>
      <c r="U20" s="540">
        <f>J50</f>
        <v>18</v>
      </c>
      <c r="V20" s="539">
        <f>K50</f>
        <v>46122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159</v>
      </c>
      <c r="C21" s="158" t="s">
        <v>160</v>
      </c>
      <c r="D21" s="126"/>
      <c r="E21" s="577">
        <f>E18+7</f>
        <v>46076</v>
      </c>
      <c r="F21" s="578">
        <v>1</v>
      </c>
      <c r="G21" s="577">
        <f>E21+F21</f>
        <v>46077</v>
      </c>
      <c r="H21" s="579"/>
      <c r="I21" s="577">
        <f>I18+7</f>
        <v>46076</v>
      </c>
      <c r="J21" s="578">
        <v>1</v>
      </c>
      <c r="K21" s="577">
        <f>I21+J21</f>
        <v>46077</v>
      </c>
      <c r="L21" s="77"/>
      <c r="M21" s="580">
        <v>0</v>
      </c>
      <c r="N21" s="580">
        <f ca="1">_xlfn.LET(
  _xlpm.s,VALUE($I21),
  _xlpm.e,VALUE($K21),
  IF(OR(_xlpm.s="",_xlpm.e=""),"", IF(_xlpm.e&lt;=_xlpm.s, IF(TODAY()&gt;=_xlpm.e,1,0), MAX(0,MIN(1,(TODAY()-_xlpm.s)/(_xlpm.e-_xlpm.s)))))
)</f>
        <v>0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1"/>
      <c r="F22" s="581"/>
      <c r="G22" s="581"/>
      <c r="H22" s="579"/>
      <c r="I22" s="581"/>
      <c r="J22" s="581"/>
      <c r="K22" s="581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161</v>
      </c>
      <c r="D23" s="130"/>
      <c r="E23" s="572">
        <f>MIN(E24:E29)</f>
        <v>46039</v>
      </c>
      <c r="F23" s="573">
        <f>G23-E23</f>
        <v>45</v>
      </c>
      <c r="G23" s="572">
        <f>MAX(G24:G29)</f>
        <v>46084</v>
      </c>
      <c r="H23" s="582"/>
      <c r="I23" s="572">
        <f>MIN(I24:I29)</f>
        <v>46039</v>
      </c>
      <c r="J23" s="573">
        <f>K23-I23</f>
        <v>45</v>
      </c>
      <c r="K23" s="572">
        <f>MAX(K24:K29)</f>
        <v>46084</v>
      </c>
      <c r="L23" s="575"/>
      <c r="M23" s="576">
        <f>(J24*M24+J25*M25+J26*M26+J27*M27+J28*M28)/SUM(J24:J28)</f>
        <v>0.62333333333333329</v>
      </c>
      <c r="N23" s="576">
        <f>(J24*M24+J25*M25+J26*M26+J27*M27+J28*M28)/SUM(J24:J28)</f>
        <v>0.62333333333333329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162</v>
      </c>
      <c r="C24" s="158" t="s">
        <v>163</v>
      </c>
      <c r="D24" s="126"/>
      <c r="E24" s="577">
        <f>WORKDAY.INTL(E21,0,1,Data!$C$3:$C$60)</f>
        <v>46076</v>
      </c>
      <c r="F24" s="578">
        <v>1</v>
      </c>
      <c r="G24" s="577">
        <f>WORKDAY.INTL(E24,F24,1,Data!$C$3:$C$60)</f>
        <v>46077</v>
      </c>
      <c r="H24" s="579"/>
      <c r="I24" s="577">
        <f>WORKDAY.INTL(I21,0,1,Data!$C$3:$C$60)</f>
        <v>46076</v>
      </c>
      <c r="J24" s="578">
        <v>1</v>
      </c>
      <c r="K24" s="577">
        <f>WORKDAY.INTL(I24,J24,1,Data!$C$3:$C$60)</f>
        <v>46077</v>
      </c>
      <c r="L24" s="77"/>
      <c r="M24" s="580">
        <v>0</v>
      </c>
      <c r="N24" s="580">
        <f t="shared" ref="N24:N28" ca="1" si="1">_xlfn.LET(
  _xlpm.s,VALUE($I24),
  _xlpm.e,VALUE($K24),
  IF(OR(_xlpm.s="",_xlpm.e=""),"", IF(_xlpm.e&lt;=_xlpm.s, IF(TODAY()&gt;=_xlpm.e,1,0), MAX(0,MIN(1,(TODAY()-_xlpm.s)/(_xlpm.e-_xlpm.s)))))
)</f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164</v>
      </c>
      <c r="C25" s="158" t="s">
        <v>165</v>
      </c>
      <c r="D25" s="126"/>
      <c r="E25" s="577">
        <f>WORKDAY.INTL(G24,0,1,Data!$C$3:$C$60)</f>
        <v>46077</v>
      </c>
      <c r="F25" s="578">
        <v>1</v>
      </c>
      <c r="G25" s="577">
        <f>WORKDAY.INTL(E25,F25,1,Data!$C$3:$C$60)</f>
        <v>46078</v>
      </c>
      <c r="H25" s="579"/>
      <c r="I25" s="577">
        <f>WORKDAY.INTL(K24,0,1,Data!$C$3:$C$60)</f>
        <v>46077</v>
      </c>
      <c r="J25" s="578">
        <v>1</v>
      </c>
      <c r="K25" s="577">
        <f>WORKDAY.INTL(I25,J25,1,Data!$C$3:$C$60)</f>
        <v>46078</v>
      </c>
      <c r="L25" s="77"/>
      <c r="M25" s="580">
        <v>0</v>
      </c>
      <c r="N25" s="580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166</v>
      </c>
      <c r="C26" s="158" t="s">
        <v>167</v>
      </c>
      <c r="D26" s="126"/>
      <c r="E26" s="577">
        <f>WORKDAY.INTL(E16,0,1,Data!$C$3:$C$60)-30</f>
        <v>46039</v>
      </c>
      <c r="F26" s="578">
        <v>20</v>
      </c>
      <c r="G26" s="577">
        <f>WORKDAY.INTL(E26,F26,1,Data!$C$3:$C$60)</f>
        <v>46066</v>
      </c>
      <c r="H26" s="579"/>
      <c r="I26" s="577">
        <f>WORKDAY.INTL(I16,0,1,Data!$C$3:$C$60)-30</f>
        <v>46039</v>
      </c>
      <c r="J26" s="578">
        <v>22</v>
      </c>
      <c r="K26" s="577">
        <f>WORKDAY.INTL(I26,J26,1,Data!$C$3:$C$60)</f>
        <v>46070</v>
      </c>
      <c r="L26" s="77"/>
      <c r="M26" s="580">
        <v>0.85</v>
      </c>
      <c r="N26" s="580">
        <f t="shared" ca="1" si="1"/>
        <v>0.83870967741935487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168</v>
      </c>
      <c r="C27" s="158" t="s">
        <v>169</v>
      </c>
      <c r="D27" s="126"/>
      <c r="E27" s="577">
        <f>WORKDAY.INTL(E25,0,1,Data!$C$3:$C$60)</f>
        <v>46077</v>
      </c>
      <c r="F27" s="578">
        <v>5</v>
      </c>
      <c r="G27" s="577">
        <f>WORKDAY.INTL(E27,F27,1,Data!$C$3:$C$60)</f>
        <v>46084</v>
      </c>
      <c r="H27" s="579"/>
      <c r="I27" s="577">
        <f>WORKDAY.INTL(I25,0,1,Data!$C$3:$C$60)</f>
        <v>46077</v>
      </c>
      <c r="J27" s="578">
        <v>5</v>
      </c>
      <c r="K27" s="577">
        <f>WORKDAY.INTL(I27,J27,1,Data!$C$3:$C$60)</f>
        <v>46084</v>
      </c>
      <c r="L27" s="77"/>
      <c r="M27" s="580">
        <v>0</v>
      </c>
      <c r="N27" s="580">
        <f t="shared" ca="1" si="1"/>
        <v>0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170</v>
      </c>
      <c r="C28" s="158" t="s">
        <v>171</v>
      </c>
      <c r="D28" s="126"/>
      <c r="E28" s="577">
        <f>WORKDAY.INTL(E27,0,1,Data!$C$3:$C$60)</f>
        <v>46077</v>
      </c>
      <c r="F28" s="578">
        <v>1</v>
      </c>
      <c r="G28" s="577">
        <f>WORKDAY.INTL(E28,F28,1,Data!$C$3:$C$60)</f>
        <v>46078</v>
      </c>
      <c r="H28" s="579"/>
      <c r="I28" s="577">
        <f>WORKDAY.INTL(I27,0,1,Data!$C$3:$C$60)</f>
        <v>46077</v>
      </c>
      <c r="J28" s="578">
        <v>1</v>
      </c>
      <c r="K28" s="577">
        <f>WORKDAY.INTL(I28,J28,1,Data!$C$3:$C$60)</f>
        <v>46078</v>
      </c>
      <c r="L28" s="77"/>
      <c r="M28" s="580">
        <v>0</v>
      </c>
      <c r="N28" s="580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1"/>
      <c r="F29" s="581"/>
      <c r="G29" s="581"/>
      <c r="H29" s="579"/>
      <c r="I29" s="581"/>
      <c r="J29" s="581"/>
      <c r="K29" s="581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172</v>
      </c>
      <c r="D30" s="130"/>
      <c r="E30" s="572">
        <f>MIN(E32:E36)</f>
        <v>46076</v>
      </c>
      <c r="F30" s="573">
        <f>G30-E30</f>
        <v>24</v>
      </c>
      <c r="G30" s="572">
        <f>MAX(G32:G36)</f>
        <v>46100</v>
      </c>
      <c r="H30" s="582"/>
      <c r="I30" s="572">
        <f>MIN(I32:I36)</f>
        <v>46076</v>
      </c>
      <c r="J30" s="573">
        <f>K30-I30</f>
        <v>24</v>
      </c>
      <c r="K30" s="572">
        <f>MAX(K32:K36)</f>
        <v>46100</v>
      </c>
      <c r="L30" s="575"/>
      <c r="M30" s="576">
        <f>(J32*M32+J33*M33+J35*M35)/SUM(J32:J35)</f>
        <v>0</v>
      </c>
      <c r="N30" s="576">
        <f>(J32*M32+J33*M33+J35*M35)/SUM(J32:J35)</f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7"/>
      <c r="F31" s="578"/>
      <c r="G31" s="577"/>
      <c r="H31" s="579"/>
      <c r="I31" s="577"/>
      <c r="J31" s="578"/>
      <c r="K31" s="577"/>
      <c r="L31" s="77"/>
      <c r="M31" s="580"/>
      <c r="N31" s="580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173</v>
      </c>
      <c r="C32" s="158" t="s">
        <v>174</v>
      </c>
      <c r="D32" s="126"/>
      <c r="E32" s="577">
        <f>E21</f>
        <v>46076</v>
      </c>
      <c r="F32" s="578">
        <v>1</v>
      </c>
      <c r="G32" s="577">
        <f>WORKDAY.INTL(E32,F32,1,Data!$C$3:$C$60)</f>
        <v>46077</v>
      </c>
      <c r="H32" s="579"/>
      <c r="I32" s="577">
        <f>I21</f>
        <v>46076</v>
      </c>
      <c r="J32" s="578">
        <v>1</v>
      </c>
      <c r="K32" s="577">
        <f>WORKDAY.INTL(I32,J32,1,Data!$C$3:$C$60)</f>
        <v>46077</v>
      </c>
      <c r="L32" s="77"/>
      <c r="M32" s="580">
        <v>0</v>
      </c>
      <c r="N32" s="580">
        <f t="shared" ref="N32:N35" ca="1" si="2">_xlfn.LET(
  _xlpm.s,VALUE($I32),
  _xlpm.e,VALUE($K32),
  IF(OR(_xlpm.s="",_xlpm.e=""),"", IF(_xlpm.e&lt;=_xlpm.s, IF(TODAY()&gt;=_xlpm.e,1,0), MAX(0,MIN(1,(TODAY()-_xlpm.s)/(_xlpm.e-_xlpm.s)))))
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175</v>
      </c>
      <c r="C33" s="158" t="s">
        <v>176</v>
      </c>
      <c r="D33" s="126"/>
      <c r="E33" s="577">
        <f>WORKDAY.INTL(G13,0,1,Data!$C$3:$C$60)+7</f>
        <v>46090</v>
      </c>
      <c r="F33" s="578">
        <v>2</v>
      </c>
      <c r="G33" s="577">
        <f>WORKDAY.INTL(E33,F33,1,Data!$C$3:$C$60)</f>
        <v>46092</v>
      </c>
      <c r="H33" s="579"/>
      <c r="I33" s="577">
        <f>WORKDAY.INTL(K13,0,1,Data!$C$3:$C$60)+7</f>
        <v>46090</v>
      </c>
      <c r="J33" s="578">
        <v>2</v>
      </c>
      <c r="K33" s="577">
        <f>WORKDAY.INTL(I33,J33,1,Data!$C$3:$C$60)</f>
        <v>46092</v>
      </c>
      <c r="L33" s="77"/>
      <c r="M33" s="580">
        <v>0</v>
      </c>
      <c r="N33" s="580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177</v>
      </c>
      <c r="C34" s="158" t="s">
        <v>178</v>
      </c>
      <c r="D34" s="126"/>
      <c r="E34" s="577">
        <f>E32</f>
        <v>46076</v>
      </c>
      <c r="F34" s="578">
        <v>1</v>
      </c>
      <c r="G34" s="577">
        <f>WORKDAY.INTL(E34,F34,1,Data!$C$3:$C$60)</f>
        <v>46077</v>
      </c>
      <c r="H34" s="579"/>
      <c r="I34" s="577">
        <f>I32</f>
        <v>46076</v>
      </c>
      <c r="J34" s="578">
        <v>1</v>
      </c>
      <c r="K34" s="577">
        <f>WORKDAY.INTL(I34,J34,1,Data!$C$3:$C$60)</f>
        <v>46077</v>
      </c>
      <c r="L34" s="77"/>
      <c r="M34" s="580">
        <v>0</v>
      </c>
      <c r="N34" s="580">
        <f t="shared" ca="1" si="2"/>
        <v>0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179</v>
      </c>
      <c r="C35" s="154" t="s">
        <v>180</v>
      </c>
      <c r="D35" s="126"/>
      <c r="E35" s="583">
        <f>WORKDAY.INTL(G39,0,1,Data!$C$3:$C$60)-3</f>
        <v>46095</v>
      </c>
      <c r="F35" s="578">
        <v>4</v>
      </c>
      <c r="G35" s="583">
        <f>WORKDAY.INTL(E35,F35,1,Data!$C$3:$C$60)</f>
        <v>46100</v>
      </c>
      <c r="H35" s="579"/>
      <c r="I35" s="583">
        <f>WORKDAY.INTL(K39,0,1,Data!$C$3:$C$60)-3</f>
        <v>46095</v>
      </c>
      <c r="J35" s="578">
        <v>4</v>
      </c>
      <c r="K35" s="583">
        <f>WORKDAY.INTL(I35,J35,1,Data!$C$3:$C$60)</f>
        <v>46100</v>
      </c>
      <c r="L35" s="77"/>
      <c r="M35" s="580">
        <v>0</v>
      </c>
      <c r="N35" s="580">
        <f t="shared" ca="1" si="2"/>
        <v>0</v>
      </c>
      <c r="O35" s="36"/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1"/>
      <c r="F36" s="581"/>
      <c r="G36" s="581"/>
      <c r="H36" s="579"/>
      <c r="I36" s="581"/>
      <c r="J36" s="581"/>
      <c r="K36" s="581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181</v>
      </c>
      <c r="D37" s="130"/>
      <c r="E37" s="572">
        <f>MIN(E38:E40)</f>
        <v>46076</v>
      </c>
      <c r="F37" s="573">
        <f>G37-E37</f>
        <v>22</v>
      </c>
      <c r="G37" s="572">
        <f>MAX(G38:G40)</f>
        <v>46098</v>
      </c>
      <c r="H37" s="574"/>
      <c r="I37" s="572">
        <f>MIN(I38:I40)</f>
        <v>46076</v>
      </c>
      <c r="J37" s="573">
        <f>K37-I37</f>
        <v>22</v>
      </c>
      <c r="K37" s="572">
        <f>MAX(K38:K40)</f>
        <v>46098</v>
      </c>
      <c r="L37" s="575"/>
      <c r="M37" s="576">
        <f>(J38*M38+J39*M39)/SUM(J38:J39)</f>
        <v>0</v>
      </c>
      <c r="N37" s="576">
        <f>(J38*M38+J39*M39)/SUM(J38:J39)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182</v>
      </c>
      <c r="C38" s="158" t="s">
        <v>183</v>
      </c>
      <c r="D38" s="126"/>
      <c r="E38" s="583">
        <f>WORKDAY.INTL(E21,0,1,Data!$C$3:$C$60)</f>
        <v>46076</v>
      </c>
      <c r="F38" s="578">
        <v>1</v>
      </c>
      <c r="G38" s="577">
        <f>WORKDAY.INTL(E38,F38,1,Data!$C$3:$C$60)</f>
        <v>46077</v>
      </c>
      <c r="H38" s="579"/>
      <c r="I38" s="583">
        <f>WORKDAY.INTL(I21,0,1,Data!$C$3:$C$60)</f>
        <v>46076</v>
      </c>
      <c r="J38" s="578">
        <v>1</v>
      </c>
      <c r="K38" s="577">
        <f>WORKDAY.INTL(I38,J38,1,Data!$C$3:$C$60)</f>
        <v>46077</v>
      </c>
      <c r="L38" s="77"/>
      <c r="M38" s="580">
        <v>0</v>
      </c>
      <c r="N38" s="580">
        <f t="shared" ref="N38:N39" ca="1" si="3">_xlfn.LET(
  _xlpm.s,VALUE($I38),
  _xlpm.e,VALUE($K38),
  IF(OR(_xlpm.s="",_xlpm.e=""),"", IF(_xlpm.e&lt;=_xlpm.s, IF(TODAY()&gt;=_xlpm.e,1,0), MAX(0,MIN(1,(TODAY()-_xlpm.s)/(_xlpm.e-_xlpm.s)))))
)</f>
        <v>0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184</v>
      </c>
      <c r="C39" s="158" t="s">
        <v>185</v>
      </c>
      <c r="D39" s="126"/>
      <c r="E39" s="583">
        <f>G33</f>
        <v>46092</v>
      </c>
      <c r="F39" s="578">
        <v>4</v>
      </c>
      <c r="G39" s="577">
        <f>WORKDAY.INTL(E39,F39,1,Data!$C$3:$C$60)</f>
        <v>46098</v>
      </c>
      <c r="H39" s="579"/>
      <c r="I39" s="583">
        <f>K33</f>
        <v>46092</v>
      </c>
      <c r="J39" s="578">
        <v>4</v>
      </c>
      <c r="K39" s="577">
        <f>WORKDAY.INTL(I39,J39,1,Data!$C$3:$C$60)</f>
        <v>46098</v>
      </c>
      <c r="L39" s="77"/>
      <c r="M39" s="580">
        <v>0</v>
      </c>
      <c r="N39" s="580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1"/>
      <c r="F40" s="581"/>
      <c r="G40" s="581"/>
      <c r="H40" s="579"/>
      <c r="I40" s="581"/>
      <c r="J40" s="581"/>
      <c r="K40" s="581"/>
      <c r="L40" s="77"/>
      <c r="M40" s="77"/>
      <c r="N40" s="77"/>
      <c r="Q40" s="1"/>
    </row>
    <row r="41" spans="2:28" s="26" customFormat="1">
      <c r="B41" s="155">
        <v>6</v>
      </c>
      <c r="C41" s="156" t="s">
        <v>186</v>
      </c>
      <c r="D41" s="130"/>
      <c r="E41" s="572">
        <f>MIN(E42:E45)</f>
        <v>46100</v>
      </c>
      <c r="F41" s="573">
        <f>G41-E41</f>
        <v>11</v>
      </c>
      <c r="G41" s="572">
        <f>MAX(G42:G45)</f>
        <v>46111</v>
      </c>
      <c r="H41" s="574"/>
      <c r="I41" s="572">
        <f>MIN(I42:I45)</f>
        <v>46100</v>
      </c>
      <c r="J41" s="573">
        <f>K41-I41</f>
        <v>11</v>
      </c>
      <c r="K41" s="572">
        <f>MAX(K42:K45)</f>
        <v>46111</v>
      </c>
      <c r="L41" s="575"/>
      <c r="M41" s="576">
        <f>(J42*M42+J43*M43+J44*M44)/SUM(J42:J44)</f>
        <v>0</v>
      </c>
      <c r="N41" s="576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187</v>
      </c>
      <c r="C42" s="154" t="s">
        <v>186</v>
      </c>
      <c r="D42" s="126"/>
      <c r="E42" s="583">
        <f>WORKDAY.INTL(MAX(G23,G30,G37),0,1,Data!$C$3:$C$60)</f>
        <v>46100</v>
      </c>
      <c r="F42" s="578">
        <v>1</v>
      </c>
      <c r="G42" s="583">
        <f>WORKDAY.INTL(E42,F42,1,Data!$C$3:$C$60)</f>
        <v>46101</v>
      </c>
      <c r="H42" s="579"/>
      <c r="I42" s="583">
        <f>WORKDAY.INTL(MAX(K23,K30,K37),0,1,Data!$C$3:$C$60)</f>
        <v>46100</v>
      </c>
      <c r="J42" s="578">
        <v>1</v>
      </c>
      <c r="K42" s="583">
        <f>WORKDAY.INTL(I42,J42,1,Data!$C$3:$C$60)</f>
        <v>46101</v>
      </c>
      <c r="L42" s="77"/>
      <c r="M42" s="580">
        <v>0</v>
      </c>
      <c r="N42" s="580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188</v>
      </c>
      <c r="C43" s="154" t="s">
        <v>189</v>
      </c>
      <c r="D43" s="126"/>
      <c r="E43" s="583">
        <f>WORKDAY.INTL(G42,0,1,Data!$C$3:$C$60)</f>
        <v>46101</v>
      </c>
      <c r="F43" s="578">
        <v>1</v>
      </c>
      <c r="G43" s="583">
        <f>WORKDAY.INTL(E43,F43,1,Data!$C$3:$C$60)</f>
        <v>46104</v>
      </c>
      <c r="H43" s="579"/>
      <c r="I43" s="583">
        <f>WORKDAY.INTL(K42,0,1,Data!$C$3:$C$60)</f>
        <v>46101</v>
      </c>
      <c r="J43" s="578">
        <v>1</v>
      </c>
      <c r="K43" s="583">
        <f>WORKDAY.INTL(I43,J43,1,Data!$C$3:$C$60)</f>
        <v>46104</v>
      </c>
      <c r="L43" s="77"/>
      <c r="M43" s="580">
        <v>0</v>
      </c>
      <c r="N43" s="580">
        <f t="shared" ca="1" si="4"/>
        <v>0</v>
      </c>
      <c r="O43" s="36"/>
      <c r="Y43" s="4"/>
    </row>
    <row r="44" spans="2:28">
      <c r="B44" s="157" t="s">
        <v>190</v>
      </c>
      <c r="C44" s="154" t="s">
        <v>191</v>
      </c>
      <c r="D44" s="126"/>
      <c r="E44" s="583">
        <f>WORKDAY.INTL(G43,0,1,Data!$C$3:$C$60)</f>
        <v>46104</v>
      </c>
      <c r="F44" s="578">
        <v>5</v>
      </c>
      <c r="G44" s="583">
        <f>WORKDAY.INTL(E44,F44,1,Data!$C$3:$C$60)</f>
        <v>46111</v>
      </c>
      <c r="H44" s="579"/>
      <c r="I44" s="583">
        <f>WORKDAY.INTL(K43,0,1,Data!$C$3:$C$60)</f>
        <v>46104</v>
      </c>
      <c r="J44" s="578">
        <v>5</v>
      </c>
      <c r="K44" s="583">
        <f>WORKDAY.INTL(I44,J44,1,Data!$C$3:$C$60)</f>
        <v>46111</v>
      </c>
      <c r="L44" s="77"/>
      <c r="M44" s="580">
        <v>0</v>
      </c>
      <c r="N44" s="580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1"/>
      <c r="F45" s="581"/>
      <c r="G45" s="581"/>
      <c r="H45" s="579"/>
      <c r="I45" s="581"/>
      <c r="J45" s="581"/>
      <c r="K45" s="581"/>
      <c r="L45" s="77"/>
      <c r="M45" s="77"/>
      <c r="N45" s="77"/>
      <c r="Q45" s="1"/>
    </row>
    <row r="46" spans="2:28" s="26" customFormat="1">
      <c r="B46" s="155">
        <v>7</v>
      </c>
      <c r="C46" s="156" t="s">
        <v>192</v>
      </c>
      <c r="D46" s="130"/>
      <c r="E46" s="572">
        <f>MIN(E47:E49)</f>
        <v>46104</v>
      </c>
      <c r="F46" s="573">
        <f>G46-E46</f>
        <v>8</v>
      </c>
      <c r="G46" s="572">
        <f>MAX(G47:G49)</f>
        <v>46112</v>
      </c>
      <c r="H46" s="574"/>
      <c r="I46" s="572">
        <f>MIN(I47:I49)</f>
        <v>46104</v>
      </c>
      <c r="J46" s="573">
        <f>K46-I46</f>
        <v>8</v>
      </c>
      <c r="K46" s="572">
        <f>MAX(K47:K49)</f>
        <v>46112</v>
      </c>
      <c r="L46" s="575"/>
      <c r="M46" s="576">
        <f>(J47*M47+J48*M48)/SUM(J47:J48)</f>
        <v>0</v>
      </c>
      <c r="N46" s="576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193</v>
      </c>
      <c r="C47" s="154" t="s">
        <v>194</v>
      </c>
      <c r="D47" s="126"/>
      <c r="E47" s="583">
        <f>WORKDAY.INTL(E44,0,1,Data!$C$3:$C$60)</f>
        <v>46104</v>
      </c>
      <c r="F47" s="578">
        <v>3</v>
      </c>
      <c r="G47" s="583">
        <f>WORKDAY.INTL(E47,F47,1,Data!$C$3:$C$60)</f>
        <v>46107</v>
      </c>
      <c r="H47" s="579"/>
      <c r="I47" s="583">
        <f>WORKDAY.INTL(I44,0,1,Data!$C$3:$C$60)</f>
        <v>46104</v>
      </c>
      <c r="J47" s="578">
        <v>3</v>
      </c>
      <c r="K47" s="583">
        <f>WORKDAY.INTL(I47,J47,1,Data!$C$3:$C$60)</f>
        <v>46107</v>
      </c>
      <c r="L47" s="77"/>
      <c r="M47" s="580">
        <v>0</v>
      </c>
      <c r="N47" s="580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195</v>
      </c>
      <c r="C48" s="154" t="s">
        <v>196</v>
      </c>
      <c r="D48" s="126"/>
      <c r="E48" s="583">
        <f>G47</f>
        <v>46107</v>
      </c>
      <c r="F48" s="578">
        <v>3</v>
      </c>
      <c r="G48" s="583">
        <f>WORKDAY.INTL(E48,F48,1,Data!$C$3:$C$60)</f>
        <v>46112</v>
      </c>
      <c r="H48" s="579"/>
      <c r="I48" s="583">
        <f>K47</f>
        <v>46107</v>
      </c>
      <c r="J48" s="578">
        <v>3</v>
      </c>
      <c r="K48" s="583">
        <f>WORKDAY.INTL(I48,J48,1,Data!$C$3:$C$60)</f>
        <v>46112</v>
      </c>
      <c r="L48" s="77"/>
      <c r="M48" s="580">
        <v>0</v>
      </c>
      <c r="N48" s="580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1"/>
      <c r="F49" s="581"/>
      <c r="G49" s="581"/>
      <c r="H49" s="579"/>
      <c r="I49" s="581"/>
      <c r="J49" s="581"/>
      <c r="K49" s="581"/>
      <c r="L49" s="77"/>
      <c r="M49" s="77"/>
      <c r="N49" s="77"/>
      <c r="Q49" s="1"/>
    </row>
    <row r="50" spans="2:28" s="26" customFormat="1">
      <c r="B50" s="155">
        <v>8</v>
      </c>
      <c r="C50" s="156" t="s">
        <v>197</v>
      </c>
      <c r="D50" s="130"/>
      <c r="E50" s="572">
        <f>MIN(E51:E53)</f>
        <v>46107</v>
      </c>
      <c r="F50" s="573">
        <f>G50-E50</f>
        <v>20</v>
      </c>
      <c r="G50" s="572">
        <f>MAX(G51:G53)</f>
        <v>46127</v>
      </c>
      <c r="H50" s="574"/>
      <c r="I50" s="572">
        <f>MIN(I51:I53)</f>
        <v>46104</v>
      </c>
      <c r="J50" s="573">
        <f>K50-I50</f>
        <v>18</v>
      </c>
      <c r="K50" s="572">
        <f>MAX(K51:K53)</f>
        <v>46122</v>
      </c>
      <c r="L50" s="575"/>
      <c r="M50" s="576">
        <f>(J51*M51+J52*M52+J53*M53)/SUM(J51:J53)</f>
        <v>0</v>
      </c>
      <c r="N50" s="576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198</v>
      </c>
      <c r="C51" s="154" t="s">
        <v>199</v>
      </c>
      <c r="D51" s="126"/>
      <c r="E51" s="583">
        <f>WORKDAY.INTL(E48,0,1,Data!$C$3:$C$60)</f>
        <v>46107</v>
      </c>
      <c r="F51" s="578">
        <v>7</v>
      </c>
      <c r="G51" s="583">
        <f>WORKDAY.INTL(E51,F51,1,Data!$C$3:$C$60)</f>
        <v>46120</v>
      </c>
      <c r="H51" s="579"/>
      <c r="I51" s="583">
        <f>WORKDAY.INTL(I44,0,1,Data!$C$3:$C$60)</f>
        <v>46104</v>
      </c>
      <c r="J51" s="578">
        <v>7</v>
      </c>
      <c r="K51" s="583">
        <f>WORKDAY.INTL(I51,J51,1,Data!$C$3:$C$60)</f>
        <v>46113</v>
      </c>
      <c r="L51" s="77"/>
      <c r="M51" s="580">
        <v>0</v>
      </c>
      <c r="N51" s="580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200</v>
      </c>
      <c r="C52" s="154" t="s">
        <v>201</v>
      </c>
      <c r="D52" s="126"/>
      <c r="E52" s="583">
        <f>WORKDAY.INTL(G51,0,1,Data!$C$3:$C$60)</f>
        <v>46120</v>
      </c>
      <c r="F52" s="578">
        <v>1</v>
      </c>
      <c r="G52" s="583">
        <f>WORKDAY.INTL(E52,F52,1,Data!$C$3:$C$60)</f>
        <v>46121</v>
      </c>
      <c r="H52" s="579"/>
      <c r="I52" s="583">
        <f>WORKDAY.INTL(K51,0,1,Data!$C$3:$C$60)</f>
        <v>46113</v>
      </c>
      <c r="J52" s="578">
        <v>1</v>
      </c>
      <c r="K52" s="583">
        <f>WORKDAY.INTL(I52,J52,1,Data!$C$3:$C$60)</f>
        <v>46114</v>
      </c>
      <c r="L52" s="77"/>
      <c r="M52" s="580">
        <v>0</v>
      </c>
      <c r="N52" s="580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202</v>
      </c>
      <c r="C53" s="154" t="s">
        <v>203</v>
      </c>
      <c r="D53" s="126"/>
      <c r="E53" s="583">
        <f>WORKDAY.INTL(G51,0,1,Data!$C$3:$C$60)</f>
        <v>46120</v>
      </c>
      <c r="F53" s="578">
        <v>5</v>
      </c>
      <c r="G53" s="583">
        <f>WORKDAY.INTL(E53,F53,1,Data!$C$3:$C$60)</f>
        <v>46127</v>
      </c>
      <c r="H53" s="579"/>
      <c r="I53" s="583">
        <f>WORKDAY.INTL(K51,0,1,Data!$C$3:$C$60)</f>
        <v>46113</v>
      </c>
      <c r="J53" s="578">
        <v>5</v>
      </c>
      <c r="K53" s="583">
        <f>WORKDAY.INTL(I53,J53,1,Data!$C$3:$C$60)</f>
        <v>46122</v>
      </c>
      <c r="L53" s="77"/>
      <c r="M53" s="580">
        <v>0</v>
      </c>
      <c r="N53" s="580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D12" sqref="D12"/>
    </sheetView>
  </sheetViews>
  <sheetFormatPr defaultColWidth="8.453125" defaultRowHeight="14.5"/>
  <cols>
    <col min="1" max="1" width="5.26953125" style="24" customWidth="1"/>
    <col min="2" max="2" width="5.26953125" style="45" customWidth="1"/>
    <col min="3" max="3" width="36.453125" style="43" customWidth="1"/>
    <col min="4" max="4" width="18.26953125" style="43" customWidth="1"/>
    <col min="5" max="5" width="6.54296875" style="43" customWidth="1"/>
    <col min="6" max="6" width="16.453125" style="43" customWidth="1"/>
    <col min="7" max="7" width="11.81640625" style="43" bestFit="1" customWidth="1"/>
    <col min="8" max="8" width="18" style="43" bestFit="1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7265625" style="43" customWidth="1"/>
    <col min="17" max="17" width="5.26953125" style="43" customWidth="1"/>
    <col min="18" max="18" width="112.26953125" style="43" bestFit="1" customWidth="1"/>
    <col min="19" max="19" width="4.453125" style="43" customWidth="1"/>
    <col min="20" max="20" width="18.7265625" style="43" bestFit="1" customWidth="1"/>
    <col min="21" max="21" width="14.1796875" style="24" bestFit="1" customWidth="1"/>
    <col min="22" max="22" width="12.453125" style="24" bestFit="1" customWidth="1"/>
    <col min="23" max="23" width="14.1796875" style="24" bestFit="1" customWidth="1"/>
    <col min="24" max="24" width="5.2695312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269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204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205</v>
      </c>
      <c r="F3" s="39" t="s">
        <v>206</v>
      </c>
      <c r="J3" s="53"/>
      <c r="L3" s="310" t="s">
        <v>207</v>
      </c>
      <c r="N3" s="310" t="s">
        <v>208</v>
      </c>
      <c r="S3" s="53"/>
      <c r="T3" s="625" t="s">
        <v>209</v>
      </c>
      <c r="U3" s="625" t="s">
        <v>210</v>
      </c>
      <c r="V3" s="625" t="s">
        <v>211</v>
      </c>
      <c r="W3" s="625" t="s">
        <v>212</v>
      </c>
    </row>
    <row r="4" spans="1:41" s="24" customFormat="1" ht="13">
      <c r="B4" s="256">
        <v>1</v>
      </c>
      <c r="C4" s="257" t="s">
        <v>213</v>
      </c>
      <c r="D4" s="258">
        <f>'Project Plan'!E6</f>
        <v>1441230.4772331575</v>
      </c>
      <c r="E4" s="259"/>
      <c r="F4" s="258">
        <f>F21</f>
        <v>1399380.6092331572</v>
      </c>
      <c r="J4" s="53"/>
      <c r="L4" s="276"/>
      <c r="N4" s="276" t="s">
        <v>143</v>
      </c>
      <c r="Q4" s="44"/>
      <c r="S4" s="53"/>
      <c r="T4" s="626">
        <f>SUMIFS('Expenditure Breakdown'!$U:$U,
        'Expenditure Breakdown'!$T:$T, "&gt;"&amp;DATE(2025,8,31),
        'Expenditure Breakdown'!$T:$T, "&lt;="&amp;DATE(2026,8,31))</f>
        <v>1436736.0952106859</v>
      </c>
      <c r="U4" s="626">
        <f>SUMIFS('Expenditure Breakdown'!$Q:$Q,
        'Expenditure Breakdown'!$T:$T, "&gt;"&amp;DATE(2025,8,31),
        'Expenditure Breakdown'!$T:$T, "&lt;="&amp;DATE(2026,8,31))</f>
        <v>915376.6809654145</v>
      </c>
      <c r="V4" s="626">
        <f>SUMIFS('Expenditure Breakdown'!$U:$U,
        'Expenditure Breakdown'!$T:$T, "&gt;"&amp;DATE(2025,8,31),
        'Expenditure Breakdown'!$T:$T, "&lt;="&amp;DATE(2026,8,31),
        'Expenditure Breakdown'!$S:$S, "&lt;&gt;")</f>
        <v>33991.142706004328</v>
      </c>
      <c r="W4" s="626">
        <f>SUMIFS('Expenditure Breakdown'!$Q:$Q,
        'Expenditure Breakdown'!$T:$T, "&gt;"&amp;DATE(2025,8,31),
        'Expenditure Breakdown'!$T:$T, "&lt;="&amp;DATE(2026,8,31),
        'Expenditure Breakdown'!$S:$S, "&lt;&gt;")</f>
        <v>27992.080000000002</v>
      </c>
    </row>
    <row r="5" spans="1:41" s="24" customFormat="1" ht="15" customHeight="1">
      <c r="B5" s="256">
        <v>2</v>
      </c>
      <c r="C5" s="257" t="s">
        <v>214</v>
      </c>
      <c r="D5" s="258">
        <f>+'Expenditure Tracking'!F5</f>
        <v>1194452.4559184783</v>
      </c>
      <c r="E5" s="259"/>
      <c r="F5" s="258">
        <f>+'Expenditure Tracking'!H5</f>
        <v>915376.68096541462</v>
      </c>
      <c r="G5" s="633" t="s">
        <v>215</v>
      </c>
      <c r="H5" s="633" t="s">
        <v>216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217</v>
      </c>
      <c r="D6" s="258">
        <f>+D4-D5</f>
        <v>246778.02131467918</v>
      </c>
      <c r="E6" s="259"/>
      <c r="F6" s="258">
        <f>+F4-F5</f>
        <v>484003.92826774262</v>
      </c>
      <c r="G6" s="544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218</v>
      </c>
      <c r="S6" s="53"/>
    </row>
    <row r="7" spans="1:41" s="24" customFormat="1" ht="15" customHeight="1" thickBot="1">
      <c r="B7" s="256">
        <v>4</v>
      </c>
      <c r="C7" s="257" t="s">
        <v>219</v>
      </c>
      <c r="D7" s="260">
        <f>+D6/D4</f>
        <v>0.17122731250343678</v>
      </c>
      <c r="E7" s="259"/>
      <c r="F7" s="260">
        <f>+F6/F4</f>
        <v>0.34587011215838598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220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221</v>
      </c>
      <c r="D12" s="48"/>
      <c r="E12" s="46" t="s">
        <v>222</v>
      </c>
      <c r="F12" s="46" t="s">
        <v>223</v>
      </c>
      <c r="H12" s="261" t="s">
        <v>224</v>
      </c>
      <c r="J12" s="53"/>
      <c r="L12" s="78" t="s">
        <v>225</v>
      </c>
      <c r="M12" s="49"/>
      <c r="N12" s="78" t="s">
        <v>226</v>
      </c>
      <c r="O12" s="49"/>
      <c r="P12" s="78" t="s">
        <v>227</v>
      </c>
      <c r="R12" s="279" t="s">
        <v>228</v>
      </c>
      <c r="S12" s="53"/>
    </row>
    <row r="13" spans="1:41" s="24" customFormat="1" ht="13">
      <c r="B13" s="590">
        <v>1</v>
      </c>
      <c r="C13" s="669" t="s">
        <v>229</v>
      </c>
      <c r="D13" s="670"/>
      <c r="E13" s="591">
        <v>0.5</v>
      </c>
      <c r="F13" s="592">
        <f>$D$4*E13</f>
        <v>720615.23861657875</v>
      </c>
      <c r="G13" s="593"/>
      <c r="H13" s="594">
        <v>46053</v>
      </c>
      <c r="I13" s="595"/>
      <c r="J13" s="596"/>
      <c r="K13" s="595"/>
      <c r="L13" s="597" t="s">
        <v>230</v>
      </c>
      <c r="M13" s="598"/>
      <c r="N13" s="594">
        <v>46036</v>
      </c>
      <c r="O13" s="598"/>
      <c r="P13" s="599">
        <v>46073</v>
      </c>
      <c r="R13" s="86"/>
      <c r="S13" s="53"/>
      <c r="AO13" s="526">
        <f>'Change Register'!$Q$14+ 7</f>
        <v>7</v>
      </c>
    </row>
    <row r="14" spans="1:41" s="24" customFormat="1" ht="12.5">
      <c r="B14" s="600">
        <v>2</v>
      </c>
      <c r="C14" s="669" t="s">
        <v>231</v>
      </c>
      <c r="D14" s="670"/>
      <c r="E14" s="591">
        <v>0.25</v>
      </c>
      <c r="F14" s="592">
        <f t="shared" ref="F14:F18" si="0">$D$4*E14</f>
        <v>360307.61930828937</v>
      </c>
      <c r="G14" s="601"/>
      <c r="H14" s="594">
        <f>'Project Plan'!G38+7</f>
        <v>46084</v>
      </c>
      <c r="I14" s="595"/>
      <c r="J14" s="596"/>
      <c r="K14" s="595"/>
      <c r="L14" s="597"/>
      <c r="M14" s="595"/>
      <c r="N14" s="594"/>
      <c r="O14" s="595"/>
      <c r="P14" s="599">
        <f>'Project Plan'!K38+7</f>
        <v>46084</v>
      </c>
      <c r="R14" s="280"/>
      <c r="S14" s="53"/>
    </row>
    <row r="15" spans="1:41" s="24" customFormat="1" ht="12.5">
      <c r="B15" s="590">
        <v>3</v>
      </c>
      <c r="C15" s="669" t="s">
        <v>232</v>
      </c>
      <c r="D15" s="670"/>
      <c r="E15" s="591">
        <v>9.9999999999999992E-2</v>
      </c>
      <c r="F15" s="592">
        <f t="shared" si="0"/>
        <v>144123.04772331574</v>
      </c>
      <c r="G15" s="601"/>
      <c r="H15" s="594">
        <f>'Project Plan'!G24+7</f>
        <v>46084</v>
      </c>
      <c r="I15" s="595"/>
      <c r="J15" s="596"/>
      <c r="K15" s="595"/>
      <c r="L15" s="597"/>
      <c r="M15" s="595"/>
      <c r="N15" s="594"/>
      <c r="O15" s="595"/>
      <c r="P15" s="599">
        <f>'Project Plan'!K24+7</f>
        <v>46084</v>
      </c>
      <c r="R15" s="280"/>
      <c r="S15" s="53"/>
    </row>
    <row r="16" spans="1:41" s="24" customFormat="1" ht="12.5">
      <c r="B16" s="590">
        <v>4</v>
      </c>
      <c r="C16" s="667" t="s">
        <v>189</v>
      </c>
      <c r="D16" s="668"/>
      <c r="E16" s="591">
        <v>0.1</v>
      </c>
      <c r="F16" s="592">
        <f t="shared" si="0"/>
        <v>144123.04772331574</v>
      </c>
      <c r="G16" s="601"/>
      <c r="H16" s="594">
        <f>'Project Plan'!G41+7</f>
        <v>46118</v>
      </c>
      <c r="I16" s="595"/>
      <c r="J16" s="596"/>
      <c r="K16" s="595"/>
      <c r="L16" s="597"/>
      <c r="M16" s="602"/>
      <c r="N16" s="594"/>
      <c r="O16" s="602"/>
      <c r="P16" s="599">
        <f>'Project Plan'!K41+7</f>
        <v>46118</v>
      </c>
      <c r="R16" s="280"/>
      <c r="S16" s="53"/>
    </row>
    <row r="17" spans="2:19" s="24" customFormat="1" ht="12.5">
      <c r="B17" s="590">
        <v>5</v>
      </c>
      <c r="C17" s="667" t="s">
        <v>233</v>
      </c>
      <c r="D17" s="668"/>
      <c r="E17" s="591">
        <v>0.05</v>
      </c>
      <c r="F17" s="592">
        <f t="shared" si="0"/>
        <v>72061.523861657872</v>
      </c>
      <c r="G17" s="601"/>
      <c r="H17" s="594">
        <f>'Project Plan'!G52+7</f>
        <v>46128</v>
      </c>
      <c r="I17" s="595"/>
      <c r="J17" s="596"/>
      <c r="K17" s="595"/>
      <c r="L17" s="597"/>
      <c r="M17" s="595"/>
      <c r="N17" s="594"/>
      <c r="O17" s="595"/>
      <c r="P17" s="599">
        <f>'Project Plan'!K52+7</f>
        <v>46121</v>
      </c>
      <c r="R17" s="280"/>
      <c r="S17" s="53"/>
    </row>
    <row r="18" spans="2:19" s="24" customFormat="1" ht="12.5">
      <c r="B18" s="590">
        <v>6</v>
      </c>
      <c r="C18" s="667" t="s">
        <v>461</v>
      </c>
      <c r="D18" s="668"/>
      <c r="E18" s="591">
        <v>0</v>
      </c>
      <c r="F18" s="592">
        <v>-41849.868000000002</v>
      </c>
      <c r="G18" s="601"/>
      <c r="H18" s="594">
        <f>H17</f>
        <v>46128</v>
      </c>
      <c r="I18" s="595"/>
      <c r="J18" s="596"/>
      <c r="K18" s="595"/>
      <c r="L18" s="597"/>
      <c r="M18" s="593"/>
      <c r="N18" s="594"/>
      <c r="O18" s="593"/>
      <c r="P18" s="599">
        <f>P17</f>
        <v>46121</v>
      </c>
      <c r="R18" s="280"/>
      <c r="S18" s="53"/>
    </row>
    <row r="19" spans="2:19" s="24" customFormat="1" ht="12.5">
      <c r="B19" s="590">
        <v>7</v>
      </c>
      <c r="C19" s="669" t="s">
        <v>234</v>
      </c>
      <c r="D19" s="670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1399380.6092331572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235</v>
      </c>
      <c r="C23" s="57" t="s">
        <v>236</v>
      </c>
      <c r="D23" s="57"/>
      <c r="F23" s="58"/>
      <c r="H23" s="30"/>
    </row>
    <row r="24" spans="2:19" s="24" customFormat="1" ht="12.5">
      <c r="C24" s="59" t="s">
        <v>237</v>
      </c>
      <c r="D24" s="60"/>
      <c r="F24" s="61"/>
    </row>
    <row r="25" spans="2:19" s="24" customFormat="1" ht="12.5">
      <c r="C25" s="59" t="s">
        <v>238</v>
      </c>
      <c r="D25" s="60"/>
    </row>
    <row r="26" spans="2:19" s="24" customFormat="1" ht="12.5">
      <c r="C26" s="62" t="s">
        <v>239</v>
      </c>
      <c r="D26" s="63"/>
    </row>
    <row r="27" spans="2:19" s="24" customFormat="1" ht="12.5">
      <c r="C27" s="64" t="s">
        <v>240</v>
      </c>
      <c r="D27" s="60"/>
    </row>
    <row r="28" spans="2:19" s="24" customFormat="1" ht="12.5">
      <c r="B28" s="31"/>
      <c r="C28" s="64" t="s">
        <v>241</v>
      </c>
      <c r="D28" s="60"/>
    </row>
    <row r="29" spans="2:19" s="24" customFormat="1" ht="12.5">
      <c r="B29" s="31"/>
      <c r="C29" s="24" t="s">
        <v>242</v>
      </c>
    </row>
    <row r="30" spans="2:19" s="24" customFormat="1" ht="27.75" customHeight="1">
      <c r="B30" s="31"/>
      <c r="C30" s="65" t="s">
        <v>243</v>
      </c>
      <c r="D30" s="65"/>
      <c r="F30" s="61"/>
    </row>
    <row r="31" spans="2:19" s="24" customFormat="1" ht="12.5">
      <c r="B31" s="31"/>
      <c r="F31" s="58"/>
      <c r="N31" s="544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130</v>
      </c>
      <c r="C40" s="47" t="s">
        <v>221</v>
      </c>
      <c r="D40" s="48"/>
      <c r="E40" s="46" t="s">
        <v>222</v>
      </c>
      <c r="F40" s="46" t="s">
        <v>223</v>
      </c>
    </row>
    <row r="41" spans="2:6" s="24" customFormat="1" ht="12.75" hidden="1" customHeight="1">
      <c r="B41" s="66">
        <v>1</v>
      </c>
      <c r="C41" s="67" t="s">
        <v>244</v>
      </c>
      <c r="D41" s="67"/>
      <c r="E41" s="50">
        <v>0.35</v>
      </c>
      <c r="F41" s="51">
        <f>$F$47*E41</f>
        <v>489783.21323160501</v>
      </c>
    </row>
    <row r="42" spans="2:6" s="24" customFormat="1" ht="12.75" hidden="1" customHeight="1">
      <c r="B42" s="66">
        <v>2</v>
      </c>
      <c r="C42" s="67" t="s">
        <v>231</v>
      </c>
      <c r="D42" s="67"/>
      <c r="E42" s="50">
        <v>0.3</v>
      </c>
      <c r="F42" s="51">
        <f t="shared" ref="F42:F45" si="2">$F$47*E42</f>
        <v>419814.18276994716</v>
      </c>
    </row>
    <row r="43" spans="2:6" s="24" customFormat="1" ht="12.75" hidden="1" customHeight="1">
      <c r="B43" s="66">
        <v>3</v>
      </c>
      <c r="C43" s="67" t="s">
        <v>232</v>
      </c>
      <c r="D43" s="67"/>
      <c r="E43" s="50">
        <v>0.2</v>
      </c>
      <c r="F43" s="51">
        <f t="shared" si="2"/>
        <v>279876.12184663146</v>
      </c>
    </row>
    <row r="44" spans="2:6" s="24" customFormat="1" ht="12.75" hidden="1" customHeight="1">
      <c r="B44" s="66">
        <v>4</v>
      </c>
      <c r="C44" s="67" t="s">
        <v>245</v>
      </c>
      <c r="D44" s="67"/>
      <c r="E44" s="50">
        <v>0.1</v>
      </c>
      <c r="F44" s="51">
        <f t="shared" si="2"/>
        <v>139938.06092331573</v>
      </c>
    </row>
    <row r="45" spans="2:6" s="24" customFormat="1" ht="13.5" hidden="1" customHeight="1" thickBot="1">
      <c r="B45" s="68">
        <v>5</v>
      </c>
      <c r="C45" s="69" t="s">
        <v>233</v>
      </c>
      <c r="D45" s="69"/>
      <c r="E45" s="70">
        <v>0.05</v>
      </c>
      <c r="F45" s="71">
        <f t="shared" si="2"/>
        <v>69969.030461657865</v>
      </c>
    </row>
    <row r="46" spans="2:6" s="24" customFormat="1" ht="13.5" hidden="1" customHeight="1" thickBot="1">
      <c r="B46" s="72"/>
      <c r="C46" s="73" t="s">
        <v>246</v>
      </c>
      <c r="D46" s="73"/>
      <c r="E46" s="74">
        <f>SUM(E41:E45)</f>
        <v>0.99999999999999989</v>
      </c>
      <c r="F46" s="75">
        <f>SUM(F41:F45)</f>
        <v>1399380.6092331572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1399380.6092331572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4:F5 I5:XFD5 A7:F10 I7:XFD10 A19:XFD1048576 A13:B13 F13:G13 I13:K13 Q13:XFD13 A14:B14 F14:G14 A15:B15 F15:G15 O13 A16:B16 A17:B17 F16:G16 F17:G17 I16:O16 I17:O17 Q16:XFD16 Q17:XFD17 Q14:XFD14 Q15:XFD15 I14:O14 I15:O15 A3:S3 X3:XFD3 I4:S4 X4:XFD4 A18:B18 G18 D18:E18 I18:O18 Q18:XFD18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J12" sqref="J12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269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49.179687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71"/>
      <c r="C4" s="671"/>
      <c r="D4" s="671"/>
      <c r="E4" s="313"/>
      <c r="F4" s="131" t="s">
        <v>205</v>
      </c>
      <c r="G4" s="126"/>
      <c r="H4" s="131" t="s">
        <v>206</v>
      </c>
      <c r="I4" s="126"/>
      <c r="J4" s="132" t="s">
        <v>248</v>
      </c>
      <c r="K4" s="26"/>
      <c r="L4" s="26"/>
    </row>
    <row r="5" spans="1:12" ht="14.5" thickBot="1">
      <c r="A5" s="126"/>
      <c r="B5" s="672" t="s">
        <v>249</v>
      </c>
      <c r="C5" s="672"/>
      <c r="D5" s="672"/>
      <c r="E5" s="313"/>
      <c r="F5" s="133">
        <f>SUM(F9:F23)</f>
        <v>1194452.4559184783</v>
      </c>
      <c r="G5" s="128"/>
      <c r="H5" s="133">
        <f>SUM(H9:H23)</f>
        <v>915376.68096541462</v>
      </c>
      <c r="I5" s="126"/>
      <c r="J5" s="134">
        <f>SUM(J9:J23)</f>
        <v>279075.77495306398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250</v>
      </c>
      <c r="G7" s="139"/>
      <c r="H7" s="138" t="s">
        <v>251</v>
      </c>
      <c r="I7" s="139"/>
      <c r="J7" s="138" t="s">
        <v>252</v>
      </c>
      <c r="K7" s="84"/>
      <c r="L7" s="29" t="s">
        <v>253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260780</v>
      </c>
      <c r="I9" s="23"/>
      <c r="J9" s="143">
        <f t="shared" ref="J9:J23" si="0">F9-H9</f>
        <v>110014.53000000009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69000</v>
      </c>
      <c r="I10" s="23"/>
      <c r="J10" s="143">
        <f t="shared" si="0"/>
        <v>26000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29315.1</v>
      </c>
      <c r="I11" s="23"/>
      <c r="J11" s="143">
        <f t="shared" si="0"/>
        <v>29166.900000000009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69414.8</v>
      </c>
      <c r="G12" s="21"/>
      <c r="H12" s="142">
        <f>'Expenditure Breakdown'!X31</f>
        <v>96536.45</v>
      </c>
      <c r="I12" s="23"/>
      <c r="J12" s="143">
        <f t="shared" si="0"/>
        <v>-27121.649999999994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49000</v>
      </c>
      <c r="G13" s="21"/>
      <c r="H13" s="142">
        <f>'Expenditure Breakdown'!X47</f>
        <v>47191.439999999995</v>
      </c>
      <c r="I13" s="23"/>
      <c r="J13" s="143">
        <f t="shared" si="0"/>
        <v>1808.5600000000049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198443.48695652175</v>
      </c>
      <c r="G14" s="21"/>
      <c r="H14" s="142">
        <f>'Expenditure Breakdown'!X56</f>
        <v>58297.930000000008</v>
      </c>
      <c r="I14" s="23"/>
      <c r="J14" s="143">
        <f t="shared" si="0"/>
        <v>140145.55695652176</v>
      </c>
      <c r="K14" s="85"/>
      <c r="L14" s="743" t="s">
        <v>458</v>
      </c>
    </row>
    <row r="15" spans="1:12">
      <c r="A15" s="126"/>
      <c r="B15" s="140">
        <f>'Expenditure Breakdown'!L74</f>
        <v>7</v>
      </c>
      <c r="C15" s="129"/>
      <c r="D15" s="141" t="str">
        <f>'Expenditure Breakdown'!M74</f>
        <v>7.BESS</v>
      </c>
      <c r="E15" s="144"/>
      <c r="F15" s="142">
        <f>'Expenditure Breakdown'!I74</f>
        <v>0</v>
      </c>
      <c r="G15" s="21"/>
      <c r="H15" s="142">
        <f>'Expenditure Breakdown'!X74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Breakdown'!L83</f>
        <v>8</v>
      </c>
      <c r="C16" s="129"/>
      <c r="D16" s="141" t="str">
        <f>'Expenditure Breakdown'!M83</f>
        <v xml:space="preserve">8. Product Add On </v>
      </c>
      <c r="E16" s="144"/>
      <c r="F16" s="142">
        <f>'Expenditure Breakdown'!I83</f>
        <v>4000</v>
      </c>
      <c r="G16" s="21"/>
      <c r="H16" s="142">
        <f>'Expenditure Breakdown'!X83</f>
        <v>0</v>
      </c>
      <c r="I16" s="23"/>
      <c r="J16" s="143">
        <f t="shared" si="0"/>
        <v>4000</v>
      </c>
      <c r="K16" s="85"/>
      <c r="L16" s="159"/>
    </row>
    <row r="17" spans="1:12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108300</v>
      </c>
      <c r="G17" s="21"/>
      <c r="H17" s="142">
        <f>'Expenditure Breakdown'!X93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59041.9</v>
      </c>
      <c r="G18" s="21"/>
      <c r="H18" s="142">
        <f>'Expenditure Breakdown'!X106</f>
        <v>49844.43</v>
      </c>
      <c r="I18" s="23"/>
      <c r="J18" s="143">
        <f t="shared" si="0"/>
        <v>9197.4700000000012</v>
      </c>
      <c r="K18" s="85"/>
      <c r="L18" s="159"/>
    </row>
    <row r="19" spans="1:12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87910.48</v>
      </c>
      <c r="I19" s="23"/>
      <c r="J19" s="143">
        <f t="shared" si="0"/>
        <v>1089.5200000000041</v>
      </c>
      <c r="K19" s="85"/>
      <c r="L19" s="159"/>
    </row>
    <row r="20" spans="1:12">
      <c r="A20" s="126"/>
      <c r="B20" s="140">
        <f>'Expenditure Breakdown'!L129</f>
        <v>12</v>
      </c>
      <c r="C20" s="129"/>
      <c r="D20" s="141" t="str">
        <f>'Expenditure Breakdown'!M129</f>
        <v>12. BDP Commission</v>
      </c>
      <c r="E20" s="21"/>
      <c r="F20" s="142">
        <f>'Expenditure Breakdown'!I129</f>
        <v>0</v>
      </c>
      <c r="G20" s="21"/>
      <c r="H20" s="142">
        <f>'Expenditure Breakdown'!X129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Breakdown'!L132</f>
        <v>13</v>
      </c>
      <c r="C21" s="129"/>
      <c r="D21" s="141" t="str">
        <f>'Expenditure Breakdown'!M133</f>
        <v>13. Engineering</v>
      </c>
      <c r="E21" s="21"/>
      <c r="F21" s="142">
        <f>'Expenditure Breakdown'!I132</f>
        <v>90875.738961956522</v>
      </c>
      <c r="G21" s="21"/>
      <c r="H21" s="142">
        <f>'Expenditure Breakdown'!X132</f>
        <v>95172.66096541447</v>
      </c>
      <c r="I21" s="23"/>
      <c r="J21" s="143">
        <f t="shared" si="0"/>
        <v>-4296.9220034579484</v>
      </c>
      <c r="K21" s="85"/>
      <c r="L21" s="159"/>
    </row>
    <row r="22" spans="1:12">
      <c r="A22" s="126"/>
      <c r="B22" s="140">
        <f>'Expenditure Breakdown'!L139</f>
        <v>14</v>
      </c>
      <c r="C22" s="129"/>
      <c r="D22" s="141" t="str">
        <f>'Expenditure Breakdown'!M139</f>
        <v>14. General Expenses</v>
      </c>
      <c r="E22" s="21"/>
      <c r="F22" s="142">
        <f>'Expenditure Breakdown'!I139</f>
        <v>2100</v>
      </c>
      <c r="G22" s="21"/>
      <c r="H22" s="142">
        <f>'Expenditure Breakdown'!X139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Breakdown'!L152</f>
        <v>15</v>
      </c>
      <c r="C23" s="129"/>
      <c r="D23" s="141" t="str">
        <f>'Expenditure Breakdown'!M152</f>
        <v>15. Service Add On</v>
      </c>
      <c r="E23" s="21"/>
      <c r="F23" s="142">
        <f>'Expenditure Breakdown'!I152</f>
        <v>0</v>
      </c>
      <c r="G23" s="21"/>
      <c r="H23" s="142">
        <f>'Expenditure Breakdown'!X152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10" priority="5" operator="notEqual">
      <formula>0</formula>
    </cfRule>
  </conditionalFormatting>
  <conditionalFormatting sqref="H25">
    <cfRule type="cellIs" dxfId="9" priority="4" operator="notEqual">
      <formula>0</formula>
    </cfRule>
  </conditionalFormatting>
  <conditionalFormatting sqref="J5 J9:J23">
    <cfRule type="cellIs" dxfId="8" priority="1" operator="lessThan">
      <formula>0</formula>
    </cfRule>
    <cfRule type="cellIs" dxfId="7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3"/>
  <sheetViews>
    <sheetView tabSelected="1" topLeftCell="U1" zoomScale="85" zoomScaleNormal="85" workbookViewId="0">
      <pane ySplit="4" topLeftCell="A28" activePane="bottomLeft" state="frozen"/>
      <selection activeCell="X33" sqref="X33"/>
      <selection pane="bottomLeft" activeCell="Z50" sqref="Z50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269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33.453125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26953125" style="26" customWidth="1"/>
    <col min="25" max="25" width="33.26953125" style="26" customWidth="1"/>
    <col min="26" max="26" width="24.7265625" style="26" bestFit="1" customWidth="1"/>
    <col min="27" max="27" width="12.36328125" style="26" customWidth="1"/>
    <col min="28" max="28" width="22.453125" style="26" customWidth="1"/>
    <col min="29" max="29" width="20.453125" style="26" customWidth="1"/>
    <col min="30" max="30" width="12" style="26" customWidth="1"/>
    <col min="31" max="32" width="24.1796875" style="26" customWidth="1"/>
    <col min="33" max="33" width="11" style="26" customWidth="1"/>
    <col min="34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3" t="s">
        <v>255</v>
      </c>
      <c r="C2" s="674"/>
      <c r="D2" s="674"/>
      <c r="E2" s="674"/>
      <c r="F2" s="674"/>
      <c r="G2" s="674"/>
      <c r="H2" s="395"/>
      <c r="I2" s="162">
        <f>SUM(I6:I164)</f>
        <v>1194452.4559184783</v>
      </c>
      <c r="J2" s="162">
        <f>SUM(J6:J164)</f>
        <v>1441230.4772331575</v>
      </c>
      <c r="L2" s="675" t="s">
        <v>256</v>
      </c>
      <c r="M2" s="676"/>
      <c r="N2" s="676"/>
      <c r="O2" s="676"/>
      <c r="P2" s="676"/>
      <c r="Q2" s="676"/>
      <c r="R2" s="683" t="s">
        <v>257</v>
      </c>
      <c r="S2" s="684"/>
      <c r="T2" s="684"/>
      <c r="U2" s="684"/>
      <c r="V2" s="684"/>
      <c r="W2" s="685"/>
      <c r="X2" s="162">
        <f>SUM(X6:X164)</f>
        <v>915376.68096541462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.5" thickBot="1">
      <c r="A4" s="77"/>
      <c r="B4" s="163" t="s">
        <v>258</v>
      </c>
      <c r="C4" s="164" t="s">
        <v>259</v>
      </c>
      <c r="D4" s="164" t="s">
        <v>260</v>
      </c>
      <c r="E4" s="164" t="s">
        <v>261</v>
      </c>
      <c r="F4" s="363" t="s">
        <v>262</v>
      </c>
      <c r="G4" s="165" t="s">
        <v>263</v>
      </c>
      <c r="H4" s="273" t="s">
        <v>264</v>
      </c>
      <c r="I4" s="166" t="s">
        <v>265</v>
      </c>
      <c r="J4" s="166" t="str">
        <f>IF(J2-'Revenue Tracking'!D4&gt;=0, "Total Revenue", "ERROR on REV" )</f>
        <v>Total Revenue</v>
      </c>
      <c r="K4" s="77"/>
      <c r="L4" s="163" t="s">
        <v>258</v>
      </c>
      <c r="M4" s="164" t="s">
        <v>266</v>
      </c>
      <c r="N4" s="164" t="s">
        <v>260</v>
      </c>
      <c r="O4" s="164" t="s">
        <v>261</v>
      </c>
      <c r="P4" s="363" t="s">
        <v>262</v>
      </c>
      <c r="Q4" s="274" t="s">
        <v>267</v>
      </c>
      <c r="R4" s="497" t="s">
        <v>268</v>
      </c>
      <c r="S4" s="498" t="s">
        <v>225</v>
      </c>
      <c r="T4" s="522" t="s">
        <v>226</v>
      </c>
      <c r="U4" s="523" t="s">
        <v>269</v>
      </c>
      <c r="V4" s="274" t="s">
        <v>270</v>
      </c>
      <c r="W4" s="522" t="s">
        <v>271</v>
      </c>
      <c r="X4" s="166" t="s">
        <v>265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272</v>
      </c>
      <c r="D6" s="186" t="s">
        <v>273</v>
      </c>
      <c r="E6" s="187"/>
      <c r="F6" s="336"/>
      <c r="G6" s="292">
        <f>D165</f>
        <v>370794.53000000009</v>
      </c>
      <c r="H6" s="551">
        <f>'Project Plan'!E38+60</f>
        <v>46136</v>
      </c>
      <c r="I6" s="677">
        <f>SUM(G6:G11)</f>
        <v>370794.53000000009</v>
      </c>
      <c r="J6" s="680">
        <f>F165</f>
        <v>452188.45121951227</v>
      </c>
      <c r="K6" s="289"/>
      <c r="L6" s="185">
        <v>1</v>
      </c>
      <c r="M6" s="316" t="s">
        <v>274</v>
      </c>
      <c r="N6" s="186" t="s">
        <v>275</v>
      </c>
      <c r="O6" s="521">
        <v>221</v>
      </c>
      <c r="P6" s="336">
        <v>1180</v>
      </c>
      <c r="Q6" s="292">
        <f>O6*P6</f>
        <v>260780</v>
      </c>
      <c r="R6" s="469"/>
      <c r="S6" s="500"/>
      <c r="T6" s="411">
        <v>46081</v>
      </c>
      <c r="U6" s="397">
        <f t="shared" ref="U6:U11" si="0">(Q6/$X$6*$J$6)</f>
        <v>452188.45121951227</v>
      </c>
      <c r="V6" s="692">
        <f>J6-SUM(U6:U11)</f>
        <v>0</v>
      </c>
      <c r="W6" s="453">
        <f>'Project Plan'!I38+60</f>
        <v>46136</v>
      </c>
      <c r="X6" s="677">
        <f>SUM(Q6:Q11)</f>
        <v>260780</v>
      </c>
    </row>
    <row r="7" spans="1:76" ht="15" customHeight="1">
      <c r="B7" s="215">
        <v>1</v>
      </c>
      <c r="C7" s="317"/>
      <c r="D7" s="290" t="s">
        <v>276</v>
      </c>
      <c r="E7" s="291"/>
      <c r="F7" s="357"/>
      <c r="G7" s="219"/>
      <c r="H7" s="542"/>
      <c r="I7" s="678"/>
      <c r="J7" s="681"/>
      <c r="K7" s="192"/>
      <c r="L7" s="215">
        <v>1</v>
      </c>
      <c r="M7" s="217" t="s">
        <v>274</v>
      </c>
      <c r="N7" s="290"/>
      <c r="O7" s="433"/>
      <c r="P7" s="343">
        <f>P6/590</f>
        <v>2</v>
      </c>
      <c r="Q7" s="219"/>
      <c r="R7" s="470"/>
      <c r="S7" s="501"/>
      <c r="T7" s="411" t="str">
        <f t="shared" ref="T7:T73" si="1">IF(W7&gt;1,EOMONTH(W7,0),"")</f>
        <v/>
      </c>
      <c r="U7" s="397">
        <f t="shared" si="0"/>
        <v>0</v>
      </c>
      <c r="V7" s="693"/>
      <c r="W7" s="454"/>
      <c r="X7" s="678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78"/>
      <c r="J8" s="681"/>
      <c r="K8" s="192"/>
      <c r="L8" s="215">
        <v>1</v>
      </c>
      <c r="M8" s="217" t="s">
        <v>274</v>
      </c>
      <c r="N8" s="379"/>
      <c r="O8" s="434"/>
      <c r="P8" s="343"/>
      <c r="Q8" s="219"/>
      <c r="R8" s="470"/>
      <c r="S8" s="502"/>
      <c r="T8" s="411" t="str">
        <f t="shared" si="1"/>
        <v/>
      </c>
      <c r="U8" s="397">
        <f t="shared" si="0"/>
        <v>0</v>
      </c>
      <c r="V8" s="693"/>
      <c r="W8" s="454"/>
      <c r="X8" s="678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78"/>
      <c r="J9" s="681"/>
      <c r="K9" s="192"/>
      <c r="L9" s="215">
        <v>1</v>
      </c>
      <c r="M9" s="217" t="s">
        <v>274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93"/>
      <c r="W9" s="455"/>
      <c r="X9" s="67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2"/>
      <c r="I10" s="678"/>
      <c r="J10" s="681"/>
      <c r="K10" s="192"/>
      <c r="L10" s="215">
        <v>1</v>
      </c>
      <c r="M10" s="217" t="s">
        <v>274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93"/>
      <c r="W10" s="455"/>
      <c r="X10" s="67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3"/>
      <c r="I11" s="679"/>
      <c r="J11" s="682"/>
      <c r="K11" s="193"/>
      <c r="L11" s="220">
        <v>1</v>
      </c>
      <c r="M11" s="318" t="s">
        <v>274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94"/>
      <c r="W11" s="456"/>
      <c r="X11" s="679"/>
      <c r="Y11" s="608" t="s">
        <v>277</v>
      </c>
      <c r="Z11" s="487" t="s">
        <v>278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8"/>
      <c r="Y12" s="609" t="s">
        <v>279</v>
      </c>
      <c r="Z12" s="488">
        <f>G56</f>
        <v>198443.48695652175</v>
      </c>
      <c r="AA12" s="527"/>
    </row>
    <row r="13" spans="1:76" ht="14.25" customHeight="1">
      <c r="B13" s="197">
        <v>2</v>
      </c>
      <c r="C13" s="223" t="s">
        <v>87</v>
      </c>
      <c r="D13" s="223" t="s">
        <v>280</v>
      </c>
      <c r="E13" s="268"/>
      <c r="F13" s="355"/>
      <c r="G13" s="200">
        <f>D166</f>
        <v>95000</v>
      </c>
      <c r="H13" s="555">
        <f>'Project Plan'!E24+60</f>
        <v>46136</v>
      </c>
      <c r="I13" s="686">
        <f>SUM(G13:G19)</f>
        <v>95000</v>
      </c>
      <c r="J13" s="689">
        <f>F166</f>
        <v>115853.65853658537</v>
      </c>
      <c r="K13" s="201"/>
      <c r="L13" s="197">
        <v>2</v>
      </c>
      <c r="M13" s="319" t="s">
        <v>281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95">
        <f>J13-SUM(U13:U19)</f>
        <v>0</v>
      </c>
      <c r="W13" s="458"/>
      <c r="X13" s="686">
        <f>SUM(Q13:Q19)</f>
        <v>69000</v>
      </c>
      <c r="Y13" s="609" t="s">
        <v>282</v>
      </c>
      <c r="Z13" s="489">
        <f>G32</f>
        <v>50822.8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6"/>
      <c r="I14" s="687"/>
      <c r="J14" s="690"/>
      <c r="K14" s="205"/>
      <c r="L14" s="202">
        <v>2</v>
      </c>
      <c r="M14" s="325" t="s">
        <v>281</v>
      </c>
      <c r="N14" s="639" t="s">
        <v>457</v>
      </c>
      <c r="O14" s="745">
        <v>1</v>
      </c>
      <c r="P14" s="351">
        <v>69000</v>
      </c>
      <c r="Q14" s="375">
        <f>O14*P14</f>
        <v>69000</v>
      </c>
      <c r="R14" s="475"/>
      <c r="S14" s="506"/>
      <c r="T14" s="416">
        <f>T6</f>
        <v>46081</v>
      </c>
      <c r="U14" s="401">
        <f t="shared" si="2"/>
        <v>115853.65853658537</v>
      </c>
      <c r="V14" s="696"/>
      <c r="W14" s="459">
        <f>W6</f>
        <v>46136</v>
      </c>
      <c r="X14" s="687"/>
      <c r="Y14" s="609" t="s">
        <v>283</v>
      </c>
      <c r="Z14" s="488">
        <f>G93</f>
        <v>32490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6"/>
      <c r="I15" s="687"/>
      <c r="J15" s="690"/>
      <c r="K15" s="205"/>
      <c r="L15" s="202">
        <v>2</v>
      </c>
      <c r="M15" s="325" t="s">
        <v>281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96"/>
      <c r="W15" s="459"/>
      <c r="X15" s="687"/>
      <c r="Y15" s="609" t="s">
        <v>284</v>
      </c>
      <c r="Z15" s="488">
        <f>G94</f>
        <v>75810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6"/>
      <c r="I16" s="687"/>
      <c r="J16" s="690"/>
      <c r="K16" s="205"/>
      <c r="L16" s="202">
        <v>2</v>
      </c>
      <c r="M16" s="325" t="s">
        <v>281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96"/>
      <c r="W16" s="459"/>
      <c r="X16" s="687"/>
      <c r="Y16" s="609" t="s">
        <v>285</v>
      </c>
      <c r="Z16" s="488">
        <f>G106</f>
        <v>8500</v>
      </c>
      <c r="AA16" s="527"/>
    </row>
    <row r="17" spans="1:33" ht="14.25" customHeight="1">
      <c r="B17" s="202">
        <v>2</v>
      </c>
      <c r="C17" s="325"/>
      <c r="D17" s="309"/>
      <c r="E17" s="381"/>
      <c r="F17" s="351"/>
      <c r="G17" s="375"/>
      <c r="H17" s="546"/>
      <c r="I17" s="687"/>
      <c r="J17" s="690"/>
      <c r="K17" s="205"/>
      <c r="L17" s="202">
        <v>2</v>
      </c>
      <c r="M17" s="325" t="s">
        <v>281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96"/>
      <c r="W17" s="459"/>
      <c r="X17" s="687"/>
      <c r="Y17" s="609" t="s">
        <v>286</v>
      </c>
      <c r="Z17" s="488">
        <f>G107</f>
        <v>21741.9</v>
      </c>
      <c r="AA17" s="527"/>
    </row>
    <row r="18" spans="1:33" ht="14.25" customHeight="1">
      <c r="B18" s="202">
        <v>2</v>
      </c>
      <c r="C18" s="325"/>
      <c r="D18" s="309"/>
      <c r="E18" s="381"/>
      <c r="F18" s="351"/>
      <c r="G18" s="375"/>
      <c r="H18" s="546"/>
      <c r="I18" s="687"/>
      <c r="J18" s="690"/>
      <c r="K18" s="205"/>
      <c r="L18" s="202">
        <v>2</v>
      </c>
      <c r="M18" s="325" t="s">
        <v>281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96"/>
      <c r="W18" s="459"/>
      <c r="X18" s="687"/>
      <c r="Y18" s="609" t="s">
        <v>287</v>
      </c>
      <c r="Z18" s="488">
        <f>G109</f>
        <v>0</v>
      </c>
      <c r="AA18" s="527"/>
    </row>
    <row r="19" spans="1:33" ht="15" customHeight="1" thickBot="1">
      <c r="B19" s="296">
        <v>2</v>
      </c>
      <c r="C19" s="297"/>
      <c r="D19" s="297"/>
      <c r="E19" s="298"/>
      <c r="F19" s="365"/>
      <c r="G19" s="299"/>
      <c r="H19" s="556"/>
      <c r="I19" s="688"/>
      <c r="J19" s="691"/>
      <c r="K19" s="210"/>
      <c r="L19" s="296">
        <v>2</v>
      </c>
      <c r="M19" s="320" t="s">
        <v>281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97"/>
      <c r="W19" s="460"/>
      <c r="X19" s="688"/>
      <c r="Y19" s="609" t="s">
        <v>288</v>
      </c>
      <c r="Z19" s="488">
        <v>0</v>
      </c>
      <c r="AA19" s="527"/>
    </row>
    <row r="20" spans="1:33" ht="14.5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8"/>
      <c r="Y20" s="609"/>
      <c r="Z20" s="488"/>
      <c r="AA20" s="527"/>
    </row>
    <row r="21" spans="1:33" ht="14.25" customHeight="1">
      <c r="B21" s="185">
        <v>3</v>
      </c>
      <c r="C21" s="213" t="s">
        <v>289</v>
      </c>
      <c r="D21" s="231" t="s">
        <v>290</v>
      </c>
      <c r="E21" s="187"/>
      <c r="F21" s="336"/>
      <c r="G21" s="188">
        <f>D167</f>
        <v>58482.000000000007</v>
      </c>
      <c r="H21" s="543">
        <f>'Project Plan'!E32+30</f>
        <v>46106</v>
      </c>
      <c r="I21" s="677">
        <f>SUM(G21:G29)</f>
        <v>58482.000000000007</v>
      </c>
      <c r="J21" s="680">
        <f>F167</f>
        <v>71319.512195121963</v>
      </c>
      <c r="K21" s="189"/>
      <c r="L21" s="185">
        <v>3</v>
      </c>
      <c r="M21" s="321" t="s">
        <v>291</v>
      </c>
      <c r="N21" s="186" t="s">
        <v>292</v>
      </c>
      <c r="O21" s="432"/>
      <c r="P21" s="336"/>
      <c r="Q21" s="188">
        <v>29315.1</v>
      </c>
      <c r="R21" s="477"/>
      <c r="S21" s="508"/>
      <c r="T21" s="607">
        <v>46081</v>
      </c>
      <c r="U21" s="397">
        <f t="shared" ref="U21:U29" si="3">(Q21/$X$21*$J$21)</f>
        <v>71319.512195121963</v>
      </c>
      <c r="V21" s="692">
        <f>J21-SUM(U21:U29)</f>
        <v>0</v>
      </c>
      <c r="W21" s="461">
        <f>T21+30</f>
        <v>46111</v>
      </c>
      <c r="X21" s="677">
        <f>SUM(Q21:Q29)</f>
        <v>29315.1</v>
      </c>
      <c r="Y21" s="609" t="s">
        <v>293</v>
      </c>
      <c r="Z21" s="490">
        <v>0</v>
      </c>
      <c r="AA21" s="527"/>
    </row>
    <row r="22" spans="1:33" ht="14.25" customHeight="1">
      <c r="B22" s="215">
        <v>3</v>
      </c>
      <c r="C22" s="216"/>
      <c r="D22" s="232"/>
      <c r="E22" s="218"/>
      <c r="F22" s="357"/>
      <c r="G22" s="219"/>
      <c r="H22" s="542"/>
      <c r="I22" s="678"/>
      <c r="J22" s="681"/>
      <c r="K22" s="192"/>
      <c r="L22" s="215">
        <v>3</v>
      </c>
      <c r="M22" s="322" t="s">
        <v>291</v>
      </c>
      <c r="N22" s="217" t="s">
        <v>294</v>
      </c>
      <c r="O22" s="637">
        <v>600</v>
      </c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93"/>
      <c r="W22" s="454"/>
      <c r="X22" s="678"/>
      <c r="Y22" s="609" t="s">
        <v>246</v>
      </c>
      <c r="Z22" s="488">
        <f>SUM(Z12:Z21)</f>
        <v>387808.18695652176</v>
      </c>
    </row>
    <row r="23" spans="1:33" ht="14.25" customHeight="1">
      <c r="B23" s="215"/>
      <c r="C23" s="216"/>
      <c r="D23" s="232"/>
      <c r="E23" s="218"/>
      <c r="F23" s="357"/>
      <c r="G23" s="219"/>
      <c r="H23" s="542"/>
      <c r="I23" s="678"/>
      <c r="J23" s="681"/>
      <c r="K23" s="192"/>
      <c r="L23" s="215">
        <v>3</v>
      </c>
      <c r="M23" s="322" t="s">
        <v>291</v>
      </c>
      <c r="N23" s="737" t="s">
        <v>452</v>
      </c>
      <c r="O23" s="738">
        <v>200</v>
      </c>
      <c r="P23" s="357"/>
      <c r="Q23" s="219"/>
      <c r="R23" s="470"/>
      <c r="S23" s="501"/>
      <c r="T23" s="411"/>
      <c r="U23" s="397"/>
      <c r="V23" s="693"/>
      <c r="W23" s="454"/>
      <c r="X23" s="678"/>
      <c r="Y23" s="609"/>
      <c r="Z23" s="488"/>
    </row>
    <row r="24" spans="1:33" ht="14.25" customHeight="1">
      <c r="B24" s="215">
        <v>3</v>
      </c>
      <c r="C24" s="216"/>
      <c r="D24" s="232"/>
      <c r="E24" s="218"/>
      <c r="F24" s="357"/>
      <c r="G24" s="219"/>
      <c r="H24" s="542"/>
      <c r="I24" s="678"/>
      <c r="J24" s="681"/>
      <c r="K24" s="192"/>
      <c r="L24" s="215">
        <v>3</v>
      </c>
      <c r="M24" s="322" t="s">
        <v>291</v>
      </c>
      <c r="N24" s="217" t="s">
        <v>295</v>
      </c>
      <c r="O24" s="433">
        <v>400</v>
      </c>
      <c r="P24" s="357"/>
      <c r="Q24" s="219"/>
      <c r="R24" s="470"/>
      <c r="S24" s="501"/>
      <c r="T24" s="411" t="str">
        <f t="shared" si="1"/>
        <v/>
      </c>
      <c r="U24" s="397">
        <f t="shared" si="3"/>
        <v>0</v>
      </c>
      <c r="V24" s="693"/>
      <c r="W24" s="454"/>
      <c r="X24" s="678"/>
      <c r="Y24" s="609" t="s">
        <v>296</v>
      </c>
      <c r="Z24" s="491">
        <f>+Z22*0.85</f>
        <v>329636.95891304349</v>
      </c>
    </row>
    <row r="25" spans="1:33" ht="14.25" customHeight="1">
      <c r="B25" s="215"/>
      <c r="C25" s="285"/>
      <c r="D25" s="286"/>
      <c r="E25" s="307"/>
      <c r="F25" s="343"/>
      <c r="G25" s="287"/>
      <c r="H25" s="552"/>
      <c r="I25" s="678"/>
      <c r="J25" s="681"/>
      <c r="K25" s="192"/>
      <c r="L25" s="215">
        <v>3</v>
      </c>
      <c r="M25" s="322" t="s">
        <v>291</v>
      </c>
      <c r="N25" s="739" t="s">
        <v>453</v>
      </c>
      <c r="O25" s="740">
        <v>300</v>
      </c>
      <c r="P25" s="343"/>
      <c r="Q25" s="287"/>
      <c r="R25" s="471"/>
      <c r="S25" s="502"/>
      <c r="T25" s="412"/>
      <c r="U25" s="397"/>
      <c r="V25" s="693"/>
      <c r="W25" s="455"/>
      <c r="X25" s="678"/>
      <c r="Y25" s="609"/>
      <c r="Z25" s="491"/>
    </row>
    <row r="26" spans="1:33" ht="14.25" customHeight="1">
      <c r="B26" s="215">
        <v>3</v>
      </c>
      <c r="C26" s="285"/>
      <c r="D26" s="286"/>
      <c r="E26" s="307"/>
      <c r="F26" s="343"/>
      <c r="G26" s="287"/>
      <c r="H26" s="552"/>
      <c r="I26" s="678"/>
      <c r="J26" s="681"/>
      <c r="K26" s="192"/>
      <c r="L26" s="215">
        <v>3</v>
      </c>
      <c r="M26" s="322" t="s">
        <v>291</v>
      </c>
      <c r="N26" s="288" t="s">
        <v>297</v>
      </c>
      <c r="O26" s="434">
        <v>200</v>
      </c>
      <c r="P26" s="343"/>
      <c r="Q26" s="287"/>
      <c r="R26" s="471"/>
      <c r="S26" s="502"/>
      <c r="T26" s="412" t="str">
        <f t="shared" si="1"/>
        <v/>
      </c>
      <c r="U26" s="397">
        <f t="shared" si="3"/>
        <v>0</v>
      </c>
      <c r="V26" s="693"/>
      <c r="W26" s="455"/>
      <c r="X26" s="678"/>
      <c r="Y26" s="610" t="s">
        <v>298</v>
      </c>
      <c r="Z26" s="490">
        <f>Z24/'Project Plan'!$E$3/1000</f>
        <v>2.535668914715719</v>
      </c>
    </row>
    <row r="27" spans="1:33" ht="14.25" customHeight="1">
      <c r="B27" s="215"/>
      <c r="C27" s="285"/>
      <c r="D27" s="286"/>
      <c r="E27" s="307"/>
      <c r="F27" s="343"/>
      <c r="G27" s="287"/>
      <c r="H27" s="552"/>
      <c r="I27" s="678"/>
      <c r="J27" s="681"/>
      <c r="K27" s="192"/>
      <c r="L27" s="215">
        <v>3</v>
      </c>
      <c r="M27" s="322" t="s">
        <v>291</v>
      </c>
      <c r="N27" s="739" t="s">
        <v>454</v>
      </c>
      <c r="O27" s="740"/>
      <c r="P27" s="343"/>
      <c r="Q27" s="287"/>
      <c r="R27" s="471"/>
      <c r="S27" s="502"/>
      <c r="T27" s="412"/>
      <c r="U27" s="397"/>
      <c r="V27" s="693"/>
      <c r="W27" s="455"/>
      <c r="X27" s="678"/>
      <c r="Y27" s="735"/>
      <c r="Z27" s="736"/>
    </row>
    <row r="28" spans="1:33" ht="14.25" customHeight="1">
      <c r="B28" s="215">
        <v>3</v>
      </c>
      <c r="C28" s="285"/>
      <c r="D28" s="286"/>
      <c r="E28" s="307"/>
      <c r="F28" s="343"/>
      <c r="G28" s="287"/>
      <c r="H28" s="552"/>
      <c r="I28" s="678"/>
      <c r="J28" s="681"/>
      <c r="K28" s="192"/>
      <c r="L28" s="215">
        <v>3</v>
      </c>
      <c r="M28" s="322" t="s">
        <v>291</v>
      </c>
      <c r="N28" s="288" t="s">
        <v>299</v>
      </c>
      <c r="O28" s="638">
        <f>O22*2</f>
        <v>1200</v>
      </c>
      <c r="P28" s="343"/>
      <c r="Q28" s="287"/>
      <c r="R28" s="471"/>
      <c r="S28" s="502"/>
      <c r="T28" s="412" t="str">
        <f t="shared" si="1"/>
        <v/>
      </c>
      <c r="U28" s="397">
        <f t="shared" si="3"/>
        <v>0</v>
      </c>
      <c r="V28" s="693"/>
      <c r="W28" s="455"/>
      <c r="X28" s="678"/>
    </row>
    <row r="29" spans="1:33" ht="15" customHeight="1" thickBot="1">
      <c r="B29" s="220">
        <v>3</v>
      </c>
      <c r="C29" s="241"/>
      <c r="D29" s="233"/>
      <c r="E29" s="222"/>
      <c r="F29" s="358"/>
      <c r="G29" s="234"/>
      <c r="H29" s="553"/>
      <c r="I29" s="679"/>
      <c r="J29" s="682"/>
      <c r="K29" s="193"/>
      <c r="L29" s="220">
        <v>3</v>
      </c>
      <c r="M29" s="323" t="s">
        <v>291</v>
      </c>
      <c r="N29" s="741" t="s">
        <v>455</v>
      </c>
      <c r="O29" s="742"/>
      <c r="P29" s="358"/>
      <c r="Q29" s="234"/>
      <c r="R29" s="472"/>
      <c r="S29" s="503"/>
      <c r="T29" s="413" t="str">
        <f t="shared" si="1"/>
        <v/>
      </c>
      <c r="U29" s="398">
        <f t="shared" si="3"/>
        <v>0</v>
      </c>
      <c r="V29" s="694"/>
      <c r="W29" s="456"/>
      <c r="X29" s="679"/>
      <c r="Y29" s="611" t="s">
        <v>300</v>
      </c>
      <c r="Z29" s="492" t="s">
        <v>301</v>
      </c>
      <c r="AB29" s="611" t="s">
        <v>302</v>
      </c>
      <c r="AC29" s="492" t="s">
        <v>301</v>
      </c>
      <c r="AE29" s="611" t="s">
        <v>303</v>
      </c>
      <c r="AF29" s="492" t="s">
        <v>301</v>
      </c>
    </row>
    <row r="30" spans="1:33" ht="14.5" thickBot="1">
      <c r="A30" s="4"/>
      <c r="B30" s="194"/>
      <c r="C30" s="211"/>
      <c r="D30" s="212"/>
      <c r="E30" s="195"/>
      <c r="F30" s="354"/>
      <c r="G30" s="196"/>
      <c r="H30" s="554"/>
      <c r="I30" s="548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si="1"/>
        <v/>
      </c>
      <c r="U30" s="403"/>
      <c r="V30" s="385"/>
      <c r="W30" s="457"/>
      <c r="X30" s="548"/>
      <c r="Y30" s="612" t="str">
        <f>Y12</f>
        <v>AC Equipment</v>
      </c>
      <c r="Z30" s="493">
        <v>35629.449999999997</v>
      </c>
      <c r="AB30" s="612" t="s">
        <v>279</v>
      </c>
      <c r="AC30" s="493">
        <v>85150</v>
      </c>
      <c r="AE30" s="612" t="s">
        <v>279</v>
      </c>
      <c r="AF30" s="493">
        <v>41000</v>
      </c>
    </row>
    <row r="31" spans="1:33" ht="14.25" customHeight="1">
      <c r="B31" s="197">
        <v>4</v>
      </c>
      <c r="C31" s="198" t="s">
        <v>282</v>
      </c>
      <c r="D31" s="198" t="s">
        <v>304</v>
      </c>
      <c r="E31" s="268">
        <v>1328</v>
      </c>
      <c r="F31" s="355"/>
      <c r="G31" s="200">
        <v>18592</v>
      </c>
      <c r="H31" s="555">
        <f>'Project Plan'!E34+60</f>
        <v>46136</v>
      </c>
      <c r="I31" s="686">
        <f>SUM(G31:G45)</f>
        <v>69414.8</v>
      </c>
      <c r="J31" s="689">
        <f>F168</f>
        <v>84652.195121951227</v>
      </c>
      <c r="K31" s="201"/>
      <c r="L31" s="197">
        <v>4</v>
      </c>
      <c r="M31" s="324" t="s">
        <v>305</v>
      </c>
      <c r="N31" s="198" t="s">
        <v>306</v>
      </c>
      <c r="O31" s="429">
        <v>2000</v>
      </c>
      <c r="P31" s="355">
        <v>14</v>
      </c>
      <c r="Q31" s="200">
        <f>O31*P31</f>
        <v>28000</v>
      </c>
      <c r="R31" s="474"/>
      <c r="S31" s="505"/>
      <c r="T31" s="415">
        <f>T6</f>
        <v>46081</v>
      </c>
      <c r="U31" s="401">
        <f t="shared" ref="U31:U44" si="4">(Q31/$X$31*$J$31)</f>
        <v>24553.020785564771</v>
      </c>
      <c r="V31" s="695">
        <f>J31-SUM(U31:U45)</f>
        <v>0</v>
      </c>
      <c r="W31" s="458">
        <f>W6</f>
        <v>46136</v>
      </c>
      <c r="X31" s="686">
        <f>SUM(Q31:Q45)</f>
        <v>96536.45</v>
      </c>
      <c r="Y31" s="612" t="str">
        <f>Y13</f>
        <v>DC Equipment</v>
      </c>
      <c r="Z31" s="493">
        <v>72341.45</v>
      </c>
      <c r="AB31" s="612" t="s">
        <v>282</v>
      </c>
      <c r="AC31" s="493">
        <v>54990</v>
      </c>
      <c r="AE31" s="612" t="s">
        <v>282</v>
      </c>
      <c r="AF31" s="493">
        <v>69107.78</v>
      </c>
    </row>
    <row r="32" spans="1:33" ht="14.25" customHeight="1">
      <c r="B32" s="224">
        <v>4</v>
      </c>
      <c r="C32" s="309"/>
      <c r="D32" s="309" t="s">
        <v>307</v>
      </c>
      <c r="E32" s="295"/>
      <c r="F32" s="351"/>
      <c r="G32" s="517">
        <f>D168-G31</f>
        <v>50822.8</v>
      </c>
      <c r="H32" s="546">
        <f>'Project Plan'!G30</f>
        <v>46100</v>
      </c>
      <c r="I32" s="687"/>
      <c r="J32" s="690"/>
      <c r="K32" s="205"/>
      <c r="L32" s="202">
        <v>4</v>
      </c>
      <c r="M32" s="325" t="s">
        <v>305</v>
      </c>
      <c r="N32" s="639" t="s">
        <v>308</v>
      </c>
      <c r="O32" s="744"/>
      <c r="P32" s="351"/>
      <c r="Q32" s="204"/>
      <c r="R32" s="475"/>
      <c r="S32" s="506"/>
      <c r="T32" s="416" t="str">
        <f t="shared" si="1"/>
        <v/>
      </c>
      <c r="U32" s="401">
        <f t="shared" si="4"/>
        <v>0</v>
      </c>
      <c r="V32" s="696"/>
      <c r="W32" s="459"/>
      <c r="X32" s="687"/>
      <c r="Y32" s="612" t="str">
        <f>Y14</f>
        <v>AC Labour</v>
      </c>
      <c r="Z32" s="493">
        <v>41239.56</v>
      </c>
      <c r="AA32" s="527">
        <f>Z32/'Project Plan'!$E$3/1000</f>
        <v>0.31722738461538463</v>
      </c>
      <c r="AB32" s="612" t="s">
        <v>283</v>
      </c>
      <c r="AC32" s="493">
        <v>84500</v>
      </c>
      <c r="AD32" s="527">
        <f>AC32/'Project Plan'!$E$3/1000</f>
        <v>0.65</v>
      </c>
      <c r="AE32" s="612" t="s">
        <v>283</v>
      </c>
      <c r="AF32" s="493">
        <v>42900</v>
      </c>
      <c r="AG32" s="527">
        <f>AF32/'Project Plan'!$E$3/1000</f>
        <v>0.33</v>
      </c>
    </row>
    <row r="33" spans="1:33" ht="14.25" customHeight="1">
      <c r="B33" s="224">
        <v>4</v>
      </c>
      <c r="C33" s="309"/>
      <c r="D33" s="309"/>
      <c r="E33" s="295"/>
      <c r="F33" s="351"/>
      <c r="G33" s="204"/>
      <c r="H33" s="546"/>
      <c r="I33" s="687"/>
      <c r="J33" s="690"/>
      <c r="K33" s="205"/>
      <c r="L33" s="202">
        <v>4</v>
      </c>
      <c r="M33" s="325" t="s">
        <v>305</v>
      </c>
      <c r="N33" s="309"/>
      <c r="O33" s="430"/>
      <c r="P33" s="351"/>
      <c r="Q33" s="204"/>
      <c r="R33" s="475"/>
      <c r="S33" s="506"/>
      <c r="T33" s="416" t="str">
        <f t="shared" si="1"/>
        <v/>
      </c>
      <c r="U33" s="401">
        <f t="shared" si="4"/>
        <v>0</v>
      </c>
      <c r="V33" s="696"/>
      <c r="W33" s="459"/>
      <c r="X33" s="687"/>
      <c r="Y33" s="612" t="str">
        <f>Y15</f>
        <v>DC Labour</v>
      </c>
      <c r="Z33" s="493">
        <v>90230.36</v>
      </c>
      <c r="AA33" s="527">
        <f>Z33/'Project Plan'!$E$3/1000</f>
        <v>0.69407969230769229</v>
      </c>
      <c r="AB33" s="612" t="s">
        <v>284</v>
      </c>
      <c r="AC33" s="493">
        <v>106210</v>
      </c>
      <c r="AD33" s="527">
        <f>AC33/'Project Plan'!$E$3/1000</f>
        <v>0.81699999999999995</v>
      </c>
      <c r="AE33" s="612" t="s">
        <v>284</v>
      </c>
      <c r="AF33" s="493">
        <v>93600</v>
      </c>
      <c r="AG33" s="527">
        <f>AF33/'Project Plan'!$E$3/1000</f>
        <v>0.72</v>
      </c>
    </row>
    <row r="34" spans="1:33" ht="14.25" customHeight="1">
      <c r="B34" s="224">
        <v>4</v>
      </c>
      <c r="C34" s="309"/>
      <c r="D34" s="309"/>
      <c r="E34" s="295"/>
      <c r="F34" s="351"/>
      <c r="G34" s="204"/>
      <c r="H34" s="546"/>
      <c r="I34" s="687"/>
      <c r="J34" s="690"/>
      <c r="K34" s="205"/>
      <c r="L34" s="202">
        <v>4</v>
      </c>
      <c r="M34" s="325" t="s">
        <v>305</v>
      </c>
      <c r="N34" s="309"/>
      <c r="O34" s="438"/>
      <c r="P34" s="351"/>
      <c r="Q34" s="204"/>
      <c r="R34" s="475"/>
      <c r="S34" s="506"/>
      <c r="T34" s="416" t="str">
        <f t="shared" si="1"/>
        <v/>
      </c>
      <c r="U34" s="401">
        <f t="shared" si="4"/>
        <v>0</v>
      </c>
      <c r="V34" s="696"/>
      <c r="W34" s="459"/>
      <c r="X34" s="687"/>
      <c r="Y34" s="612" t="s">
        <v>285</v>
      </c>
      <c r="Z34" s="493">
        <v>12000</v>
      </c>
      <c r="AB34" s="612" t="s">
        <v>309</v>
      </c>
      <c r="AC34" s="493">
        <v>114000</v>
      </c>
      <c r="AE34" s="612" t="s">
        <v>285</v>
      </c>
      <c r="AF34" s="493">
        <v>7150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6"/>
      <c r="I35" s="687"/>
      <c r="J35" s="690"/>
      <c r="K35" s="205"/>
      <c r="L35" s="202">
        <v>4</v>
      </c>
      <c r="M35" s="325" t="s">
        <v>305</v>
      </c>
      <c r="N35" s="309" t="s">
        <v>310</v>
      </c>
      <c r="O35" s="447">
        <f>Z48</f>
        <v>68536.45</v>
      </c>
      <c r="P35" s="448">
        <v>0.1</v>
      </c>
      <c r="Q35" s="204">
        <f>$O$35*P35</f>
        <v>6853.6450000000004</v>
      </c>
      <c r="R35" s="701"/>
      <c r="S35" s="506"/>
      <c r="T35" s="416">
        <f>T94</f>
        <v>46081</v>
      </c>
      <c r="U35" s="401">
        <f t="shared" si="4"/>
        <v>6009.9174336386459</v>
      </c>
      <c r="V35" s="696"/>
      <c r="W35" s="459">
        <f>W94</f>
        <v>46076</v>
      </c>
      <c r="X35" s="687"/>
      <c r="Y35" s="612" t="s">
        <v>443</v>
      </c>
      <c r="Z35" s="493">
        <v>12397</v>
      </c>
      <c r="AB35" s="612" t="s">
        <v>312</v>
      </c>
      <c r="AC35" s="493">
        <v>0</v>
      </c>
      <c r="AE35" s="612" t="s">
        <v>311</v>
      </c>
      <c r="AF35" s="493">
        <v>5775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6"/>
      <c r="I36" s="687"/>
      <c r="J36" s="690"/>
      <c r="K36" s="205"/>
      <c r="L36" s="202">
        <v>4</v>
      </c>
      <c r="M36" s="325" t="s">
        <v>305</v>
      </c>
      <c r="N36" s="309" t="s">
        <v>158</v>
      </c>
      <c r="O36" s="438"/>
      <c r="P36" s="448">
        <v>0.15</v>
      </c>
      <c r="Q36" s="204">
        <f t="shared" ref="Q36:Q42" si="5">$O$35*P36</f>
        <v>10280.467499999999</v>
      </c>
      <c r="R36" s="702"/>
      <c r="S36" s="506"/>
      <c r="T36" s="416">
        <f t="shared" ref="T36:T42" si="6">T95</f>
        <v>46081</v>
      </c>
      <c r="U36" s="401">
        <f t="shared" si="4"/>
        <v>9014.876150457967</v>
      </c>
      <c r="V36" s="696"/>
      <c r="W36" s="459">
        <f t="shared" ref="W36:W42" si="7">W95</f>
        <v>46076</v>
      </c>
      <c r="X36" s="687"/>
      <c r="Y36" s="612" t="s">
        <v>287</v>
      </c>
      <c r="Z36" s="493">
        <v>9450</v>
      </c>
      <c r="AB36" s="612" t="s">
        <v>314</v>
      </c>
      <c r="AC36" s="493">
        <v>0</v>
      </c>
      <c r="AE36" s="612" t="s">
        <v>313</v>
      </c>
      <c r="AF36" s="493">
        <v>6600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6"/>
      <c r="I37" s="687"/>
      <c r="J37" s="690"/>
      <c r="K37" s="205"/>
      <c r="L37" s="202">
        <v>4</v>
      </c>
      <c r="M37" s="325" t="s">
        <v>305</v>
      </c>
      <c r="N37" s="309" t="s">
        <v>315</v>
      </c>
      <c r="O37" s="438"/>
      <c r="P37" s="448">
        <v>0.2</v>
      </c>
      <c r="Q37" s="204">
        <f t="shared" si="5"/>
        <v>13707.29</v>
      </c>
      <c r="R37" s="702"/>
      <c r="S37" s="506"/>
      <c r="T37" s="416">
        <f t="shared" si="6"/>
        <v>46112</v>
      </c>
      <c r="U37" s="401">
        <f t="shared" si="4"/>
        <v>12019.834867277292</v>
      </c>
      <c r="V37" s="696"/>
      <c r="W37" s="459">
        <f t="shared" si="7"/>
        <v>46091</v>
      </c>
      <c r="X37" s="687"/>
      <c r="Y37" s="612" t="s">
        <v>444</v>
      </c>
      <c r="Z37" s="493">
        <v>1600</v>
      </c>
      <c r="AB37" s="612" t="s">
        <v>309</v>
      </c>
      <c r="AC37" s="493">
        <v>0</v>
      </c>
      <c r="AE37" s="612" t="s">
        <v>316</v>
      </c>
      <c r="AF37" s="493">
        <v>4500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6"/>
      <c r="I38" s="687"/>
      <c r="J38" s="690"/>
      <c r="K38" s="205"/>
      <c r="L38" s="202">
        <v>4</v>
      </c>
      <c r="M38" s="325" t="s">
        <v>305</v>
      </c>
      <c r="N38" s="309" t="s">
        <v>317</v>
      </c>
      <c r="O38" s="438"/>
      <c r="P38" s="448">
        <v>0.25</v>
      </c>
      <c r="Q38" s="204">
        <f t="shared" si="5"/>
        <v>17134.112499999999</v>
      </c>
      <c r="R38" s="702"/>
      <c r="S38" s="506"/>
      <c r="T38" s="416">
        <f t="shared" si="6"/>
        <v>46112</v>
      </c>
      <c r="U38" s="401">
        <f t="shared" si="4"/>
        <v>15024.793584096613</v>
      </c>
      <c r="V38" s="696"/>
      <c r="W38" s="459">
        <f t="shared" si="7"/>
        <v>46107</v>
      </c>
      <c r="X38" s="687"/>
      <c r="Y38" s="612" t="s">
        <v>377</v>
      </c>
      <c r="Z38" s="493">
        <v>9345.93</v>
      </c>
      <c r="AB38" s="612" t="s">
        <v>106</v>
      </c>
      <c r="AC38" s="493">
        <v>0</v>
      </c>
      <c r="AE38" s="612" t="s">
        <v>106</v>
      </c>
      <c r="AF38" s="493">
        <v>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6"/>
      <c r="I39" s="687"/>
      <c r="J39" s="690"/>
      <c r="K39" s="205"/>
      <c r="L39" s="202">
        <v>4</v>
      </c>
      <c r="M39" s="325" t="s">
        <v>305</v>
      </c>
      <c r="N39" s="309" t="s">
        <v>318</v>
      </c>
      <c r="O39" s="438"/>
      <c r="P39" s="448">
        <v>0.1</v>
      </c>
      <c r="Q39" s="204">
        <f t="shared" si="5"/>
        <v>6853.6450000000004</v>
      </c>
      <c r="R39" s="702"/>
      <c r="S39" s="506"/>
      <c r="T39" s="416">
        <f t="shared" si="6"/>
        <v>46142</v>
      </c>
      <c r="U39" s="401">
        <f t="shared" si="4"/>
        <v>6009.9174336386459</v>
      </c>
      <c r="V39" s="696"/>
      <c r="W39" s="459">
        <f t="shared" si="7"/>
        <v>46118</v>
      </c>
      <c r="X39" s="687"/>
      <c r="Y39" s="612" t="s">
        <v>445</v>
      </c>
      <c r="Z39" s="493">
        <v>4500</v>
      </c>
      <c r="AB39" s="612" t="s">
        <v>293</v>
      </c>
      <c r="AC39" s="493">
        <v>0</v>
      </c>
      <c r="AE39" s="612" t="s">
        <v>293</v>
      </c>
      <c r="AF39" s="493">
        <v>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6"/>
      <c r="I40" s="687"/>
      <c r="J40" s="690"/>
      <c r="K40" s="205"/>
      <c r="L40" s="202">
        <v>4</v>
      </c>
      <c r="M40" s="325" t="s">
        <v>305</v>
      </c>
      <c r="N40" s="309" t="s">
        <v>319</v>
      </c>
      <c r="O40" s="438"/>
      <c r="P40" s="448">
        <v>0.1</v>
      </c>
      <c r="Q40" s="204">
        <f t="shared" si="5"/>
        <v>6853.6450000000004</v>
      </c>
      <c r="R40" s="702"/>
      <c r="S40" s="506"/>
      <c r="T40" s="416">
        <f t="shared" si="6"/>
        <v>46142</v>
      </c>
      <c r="U40" s="401">
        <f t="shared" si="4"/>
        <v>6009.9174336386459</v>
      </c>
      <c r="V40" s="696"/>
      <c r="W40" s="459">
        <f t="shared" si="7"/>
        <v>46119</v>
      </c>
      <c r="X40" s="687"/>
      <c r="Y40" s="612" t="s">
        <v>106</v>
      </c>
      <c r="Z40" s="494">
        <v>6750</v>
      </c>
      <c r="AB40" s="612" t="s">
        <v>293</v>
      </c>
      <c r="AC40" s="494">
        <v>0</v>
      </c>
      <c r="AE40" s="612" t="s">
        <v>293</v>
      </c>
      <c r="AF40" s="494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6"/>
      <c r="I41" s="687"/>
      <c r="J41" s="690"/>
      <c r="K41" s="205"/>
      <c r="L41" s="202">
        <v>4</v>
      </c>
      <c r="M41" s="325" t="s">
        <v>305</v>
      </c>
      <c r="N41" s="309" t="s">
        <v>320</v>
      </c>
      <c r="O41" s="438"/>
      <c r="P41" s="448">
        <v>0.05</v>
      </c>
      <c r="Q41" s="204">
        <f t="shared" si="5"/>
        <v>3426.8225000000002</v>
      </c>
      <c r="R41" s="702"/>
      <c r="S41" s="506"/>
      <c r="T41" s="416">
        <f t="shared" si="6"/>
        <v>46142</v>
      </c>
      <c r="U41" s="401">
        <f t="shared" si="4"/>
        <v>3004.9587168193229</v>
      </c>
      <c r="V41" s="696"/>
      <c r="W41" s="459">
        <f t="shared" si="7"/>
        <v>46119</v>
      </c>
      <c r="X41" s="687"/>
      <c r="Y41" s="612" t="s">
        <v>246</v>
      </c>
      <c r="Z41" s="493">
        <f>SUM(Z30:Z40)</f>
        <v>295483.75</v>
      </c>
      <c r="AB41" s="612" t="s">
        <v>246</v>
      </c>
      <c r="AC41" s="493">
        <f>SUM(AC30:AC40)</f>
        <v>444850</v>
      </c>
      <c r="AE41" s="612" t="s">
        <v>246</v>
      </c>
      <c r="AF41" s="493">
        <f>SUM(AF30:AF40)</f>
        <v>270632.78000000003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6"/>
      <c r="I42" s="687"/>
      <c r="J42" s="690"/>
      <c r="K42" s="205"/>
      <c r="L42" s="202">
        <v>4</v>
      </c>
      <c r="M42" s="325" t="s">
        <v>305</v>
      </c>
      <c r="N42" s="309" t="s">
        <v>321</v>
      </c>
      <c r="O42" s="438"/>
      <c r="P42" s="448">
        <v>0.05</v>
      </c>
      <c r="Q42" s="204">
        <f t="shared" si="5"/>
        <v>3426.8225000000002</v>
      </c>
      <c r="R42" s="703"/>
      <c r="S42" s="506"/>
      <c r="T42" s="416">
        <f t="shared" si="6"/>
        <v>46142</v>
      </c>
      <c r="U42" s="401">
        <f t="shared" si="4"/>
        <v>3004.9587168193229</v>
      </c>
      <c r="V42" s="696"/>
      <c r="W42" s="459">
        <f t="shared" si="7"/>
        <v>46142</v>
      </c>
      <c r="X42" s="687"/>
      <c r="Y42" s="613" t="s">
        <v>298</v>
      </c>
      <c r="Z42" s="494">
        <f>Z41/'Project Plan'!$E$3/1000</f>
        <v>2.2729519230769228</v>
      </c>
      <c r="AB42" s="613" t="s">
        <v>298</v>
      </c>
      <c r="AC42" s="494">
        <f>AC41/'Project Plan'!$E$3/1000</f>
        <v>3.4219230769230773</v>
      </c>
      <c r="AE42" s="613" t="s">
        <v>298</v>
      </c>
      <c r="AF42" s="494">
        <f>AF41/'Project Plan'!$E$3/1000</f>
        <v>2.0817906153846155</v>
      </c>
    </row>
    <row r="43" spans="1:33" ht="14.25" customHeight="1" thickBot="1">
      <c r="B43" s="224">
        <v>4</v>
      </c>
      <c r="C43" s="309"/>
      <c r="D43" s="309"/>
      <c r="E43" s="295"/>
      <c r="F43" s="351"/>
      <c r="G43" s="204"/>
      <c r="H43" s="546"/>
      <c r="I43" s="687"/>
      <c r="J43" s="690"/>
      <c r="K43" s="205"/>
      <c r="L43" s="202">
        <v>4</v>
      </c>
      <c r="M43" s="325" t="s">
        <v>305</v>
      </c>
      <c r="N43" s="309"/>
      <c r="O43" s="438"/>
      <c r="P43" s="351"/>
      <c r="Q43" s="204"/>
      <c r="R43" s="475"/>
      <c r="S43" s="506"/>
      <c r="T43" s="416" t="str">
        <f t="shared" si="1"/>
        <v/>
      </c>
      <c r="U43" s="401">
        <f t="shared" si="4"/>
        <v>0</v>
      </c>
      <c r="V43" s="696"/>
      <c r="W43" s="459"/>
      <c r="X43" s="687"/>
    </row>
    <row r="44" spans="1:33" ht="14.25" customHeight="1" thickBot="1">
      <c r="B44" s="224">
        <v>4</v>
      </c>
      <c r="C44" s="309"/>
      <c r="D44" s="309"/>
      <c r="E44" s="295"/>
      <c r="F44" s="351"/>
      <c r="G44" s="204"/>
      <c r="H44" s="546"/>
      <c r="I44" s="687"/>
      <c r="J44" s="690"/>
      <c r="K44" s="205"/>
      <c r="L44" s="202">
        <v>4</v>
      </c>
      <c r="M44" s="325" t="s">
        <v>305</v>
      </c>
      <c r="N44" s="309"/>
      <c r="O44" s="438"/>
      <c r="P44" s="351"/>
      <c r="Q44" s="204"/>
      <c r="R44" s="475"/>
      <c r="S44" s="506"/>
      <c r="T44" s="416" t="str">
        <f t="shared" si="1"/>
        <v/>
      </c>
      <c r="U44" s="401">
        <f t="shared" si="4"/>
        <v>0</v>
      </c>
      <c r="V44" s="696"/>
      <c r="W44" s="459"/>
      <c r="X44" s="730"/>
      <c r="Y44" s="731" t="s">
        <v>442</v>
      </c>
      <c r="Z44" s="732"/>
      <c r="AA44" s="732"/>
      <c r="AB44" s="732"/>
      <c r="AC44" s="732"/>
      <c r="AD44" s="732"/>
      <c r="AE44" s="732"/>
      <c r="AF44" s="733"/>
    </row>
    <row r="45" spans="1:33" ht="15" customHeight="1" thickBot="1">
      <c r="B45" s="206">
        <v>4</v>
      </c>
      <c r="C45" s="229"/>
      <c r="D45" s="229"/>
      <c r="E45" s="298"/>
      <c r="F45" s="353"/>
      <c r="G45" s="209"/>
      <c r="H45" s="556"/>
      <c r="I45" s="688"/>
      <c r="J45" s="691"/>
      <c r="K45" s="210"/>
      <c r="L45" s="206">
        <v>4</v>
      </c>
      <c r="M45" s="326" t="s">
        <v>305</v>
      </c>
      <c r="N45" s="229"/>
      <c r="O45" s="439"/>
      <c r="P45" s="353"/>
      <c r="Q45" s="209"/>
      <c r="R45" s="476"/>
      <c r="S45" s="507"/>
      <c r="T45" s="417" t="str">
        <f t="shared" si="1"/>
        <v/>
      </c>
      <c r="U45" s="402">
        <f>(Q45/$X$31*$J$31)</f>
        <v>0</v>
      </c>
      <c r="V45" s="697"/>
      <c r="W45" s="460"/>
      <c r="X45" s="688"/>
    </row>
    <row r="46" spans="1:33" ht="14.5" thickBot="1">
      <c r="A46" s="4"/>
      <c r="B46" s="180"/>
      <c r="C46" s="181"/>
      <c r="D46" s="212"/>
      <c r="E46" s="195"/>
      <c r="F46" s="354"/>
      <c r="G46" s="196"/>
      <c r="H46" s="557"/>
      <c r="I46" s="548"/>
      <c r="J46" s="184"/>
      <c r="K46" s="4"/>
      <c r="L46" s="180"/>
      <c r="M46" s="181"/>
      <c r="N46" s="212"/>
      <c r="O46" s="436"/>
      <c r="P46" s="354"/>
      <c r="Q46" s="196"/>
      <c r="R46" s="478"/>
      <c r="S46" s="509"/>
      <c r="T46" s="414" t="str">
        <f t="shared" si="1"/>
        <v/>
      </c>
      <c r="U46" s="405"/>
      <c r="V46" s="388"/>
      <c r="W46" s="457"/>
      <c r="X46" s="548"/>
      <c r="Y46" s="611" t="s">
        <v>300</v>
      </c>
      <c r="Z46" s="492" t="s">
        <v>301</v>
      </c>
      <c r="AB46" s="611" t="s">
        <v>302</v>
      </c>
      <c r="AC46" s="492" t="s">
        <v>301</v>
      </c>
      <c r="AE46" s="611" t="s">
        <v>303</v>
      </c>
      <c r="AF46" s="492" t="s">
        <v>301</v>
      </c>
    </row>
    <row r="47" spans="1:33" ht="14.25" customHeight="1">
      <c r="B47" s="185">
        <v>5</v>
      </c>
      <c r="C47" s="213" t="s">
        <v>322</v>
      </c>
      <c r="D47" s="231" t="s">
        <v>323</v>
      </c>
      <c r="E47" s="187"/>
      <c r="F47" s="336"/>
      <c r="G47" s="188">
        <v>26000</v>
      </c>
      <c r="H47" s="543">
        <f>H56</f>
        <v>46096</v>
      </c>
      <c r="I47" s="677">
        <f>D170</f>
        <v>49000</v>
      </c>
      <c r="J47" s="680">
        <f>F170</f>
        <v>59756.097560975606</v>
      </c>
      <c r="K47" s="189"/>
      <c r="L47" s="185">
        <v>5</v>
      </c>
      <c r="M47" s="321" t="s">
        <v>324</v>
      </c>
      <c r="N47" s="231" t="s">
        <v>325</v>
      </c>
      <c r="O47" s="432"/>
      <c r="P47" s="336"/>
      <c r="Q47" s="188">
        <v>8598.34</v>
      </c>
      <c r="R47" s="477"/>
      <c r="S47" s="508"/>
      <c r="T47" s="411">
        <f>T14</f>
        <v>46081</v>
      </c>
      <c r="U47" s="396">
        <f>(Q47/$X$47*$J$47)</f>
        <v>10887.636484549721</v>
      </c>
      <c r="V47" s="692">
        <f>J47-SUM(U47:U54)</f>
        <v>0</v>
      </c>
      <c r="W47" s="461">
        <f>W14</f>
        <v>46136</v>
      </c>
      <c r="X47" s="677">
        <f>SUM(Q47:Q54)</f>
        <v>47191.439999999995</v>
      </c>
      <c r="Y47" s="612" t="s">
        <v>279</v>
      </c>
      <c r="Z47" s="493">
        <v>33557.29</v>
      </c>
      <c r="AB47" s="612" t="s">
        <v>279</v>
      </c>
      <c r="AC47" s="493">
        <f>52300-10000</f>
        <v>42300</v>
      </c>
      <c r="AE47" s="612" t="s">
        <v>279</v>
      </c>
      <c r="AF47" s="493">
        <v>41000</v>
      </c>
    </row>
    <row r="48" spans="1:33" ht="14.25" customHeight="1">
      <c r="B48" s="190">
        <v>5</v>
      </c>
      <c r="C48" s="214"/>
      <c r="D48" s="217" t="s">
        <v>326</v>
      </c>
      <c r="E48" s="349"/>
      <c r="F48" s="350"/>
      <c r="G48" s="219">
        <v>8000</v>
      </c>
      <c r="H48" s="542">
        <f>H47</f>
        <v>46096</v>
      </c>
      <c r="I48" s="678"/>
      <c r="J48" s="681"/>
      <c r="K48" s="192"/>
      <c r="L48" s="190">
        <v>5</v>
      </c>
      <c r="M48" s="327" t="s">
        <v>324</v>
      </c>
      <c r="N48" s="191" t="s">
        <v>456</v>
      </c>
      <c r="O48" s="440"/>
      <c r="P48" s="350"/>
      <c r="Q48" s="219">
        <v>14934</v>
      </c>
      <c r="R48" s="518"/>
      <c r="S48" s="501"/>
      <c r="T48" s="411">
        <v>46081</v>
      </c>
      <c r="U48" s="396">
        <f t="shared" ref="U48:U54" si="8">(Q48/$X$47*$J$47)</f>
        <v>18910.157456004941</v>
      </c>
      <c r="V48" s="693"/>
      <c r="W48" s="454">
        <f>T48+30</f>
        <v>46111</v>
      </c>
      <c r="X48" s="678"/>
      <c r="Y48" s="612" t="s">
        <v>282</v>
      </c>
      <c r="Z48" s="493">
        <v>68536.45</v>
      </c>
      <c r="AB48" s="612" t="s">
        <v>282</v>
      </c>
      <c r="AC48" s="493">
        <v>54989</v>
      </c>
      <c r="AE48" s="612" t="s">
        <v>282</v>
      </c>
      <c r="AF48" s="493">
        <v>69107.78</v>
      </c>
    </row>
    <row r="49" spans="1:33" ht="14.25" customHeight="1">
      <c r="B49" s="190">
        <v>5</v>
      </c>
      <c r="C49" s="214"/>
      <c r="D49" s="288" t="s">
        <v>327</v>
      </c>
      <c r="E49" s="218"/>
      <c r="F49" s="357"/>
      <c r="G49" s="219">
        <v>15000</v>
      </c>
      <c r="H49" s="542">
        <f>H48</f>
        <v>46096</v>
      </c>
      <c r="I49" s="678"/>
      <c r="J49" s="681"/>
      <c r="K49" s="192"/>
      <c r="L49" s="190">
        <v>5</v>
      </c>
      <c r="M49" s="327" t="s">
        <v>324</v>
      </c>
      <c r="N49" s="217" t="s">
        <v>327</v>
      </c>
      <c r="O49" s="433"/>
      <c r="P49" s="357"/>
      <c r="Q49" s="219">
        <v>15000</v>
      </c>
      <c r="R49" s="470"/>
      <c r="S49" s="501"/>
      <c r="T49" s="411">
        <v>46081</v>
      </c>
      <c r="U49" s="396">
        <f t="shared" si="8"/>
        <v>18993.729867421596</v>
      </c>
      <c r="V49" s="693"/>
      <c r="W49" s="454">
        <f>T49+30</f>
        <v>46111</v>
      </c>
      <c r="X49" s="678"/>
      <c r="Y49" s="612" t="s">
        <v>283</v>
      </c>
      <c r="Z49" s="493">
        <v>39997.83</v>
      </c>
      <c r="AA49" s="527">
        <f>Z49/'Project Plan'!$E$3/1000</f>
        <v>0.30767561538461541</v>
      </c>
      <c r="AB49" s="612" t="s">
        <v>283</v>
      </c>
      <c r="AC49" s="493">
        <v>63375</v>
      </c>
      <c r="AD49" s="527">
        <f>AC49/'Project Plan'!$E$3/1000</f>
        <v>0.48749999999999999</v>
      </c>
      <c r="AE49" s="612" t="s">
        <v>283</v>
      </c>
      <c r="AF49" s="493">
        <v>42900</v>
      </c>
      <c r="AG49" s="527">
        <f>AF49/'Project Plan'!$E$3/1000</f>
        <v>0.33</v>
      </c>
    </row>
    <row r="50" spans="1:33" ht="14.25" customHeight="1">
      <c r="B50" s="215">
        <v>5</v>
      </c>
      <c r="C50" s="216"/>
      <c r="D50" s="217"/>
      <c r="E50" s="218"/>
      <c r="F50" s="357"/>
      <c r="G50" s="219"/>
      <c r="H50" s="542"/>
      <c r="I50" s="678"/>
      <c r="J50" s="681"/>
      <c r="K50" s="192"/>
      <c r="L50" s="215">
        <v>5</v>
      </c>
      <c r="M50" s="327" t="s">
        <v>324</v>
      </c>
      <c r="N50" s="217" t="s">
        <v>328</v>
      </c>
      <c r="O50" s="433"/>
      <c r="P50" s="357"/>
      <c r="Q50" s="219">
        <v>3600</v>
      </c>
      <c r="R50" s="470" t="s">
        <v>329</v>
      </c>
      <c r="S50" s="501" t="s">
        <v>330</v>
      </c>
      <c r="T50" s="627">
        <v>46053</v>
      </c>
      <c r="U50" s="396">
        <f t="shared" si="8"/>
        <v>4558.4951681811826</v>
      </c>
      <c r="V50" s="693"/>
      <c r="W50" s="628">
        <v>45911</v>
      </c>
      <c r="X50" s="678"/>
      <c r="Y50" s="612" t="s">
        <v>284</v>
      </c>
      <c r="Z50" s="493">
        <v>79230.36</v>
      </c>
      <c r="AA50" s="527">
        <f>Z50/'Project Plan'!$E$3/1000</f>
        <v>0.60946430769230764</v>
      </c>
      <c r="AB50" s="612" t="s">
        <v>284</v>
      </c>
      <c r="AC50" s="493">
        <v>106210</v>
      </c>
      <c r="AD50" s="527">
        <f>AC50/'Project Plan'!$E$3/1000</f>
        <v>0.81699999999999995</v>
      </c>
      <c r="AE50" s="612" t="s">
        <v>284</v>
      </c>
      <c r="AF50" s="493">
        <v>93600</v>
      </c>
      <c r="AG50" s="527">
        <f>AF50/'Project Plan'!$E$3/1000</f>
        <v>0.72</v>
      </c>
    </row>
    <row r="51" spans="1:33" ht="14.25" customHeight="1">
      <c r="B51" s="284">
        <v>5</v>
      </c>
      <c r="C51" s="285"/>
      <c r="D51" s="288"/>
      <c r="E51" s="307"/>
      <c r="F51" s="343"/>
      <c r="G51" s="287"/>
      <c r="H51" s="552"/>
      <c r="I51" s="678"/>
      <c r="J51" s="681"/>
      <c r="K51" s="192"/>
      <c r="L51" s="215">
        <v>5</v>
      </c>
      <c r="M51" s="327" t="s">
        <v>324</v>
      </c>
      <c r="N51" s="217" t="s">
        <v>331</v>
      </c>
      <c r="O51" s="434"/>
      <c r="P51" s="343"/>
      <c r="Q51" s="287">
        <v>2870</v>
      </c>
      <c r="R51" s="471"/>
      <c r="S51" s="502" t="s">
        <v>332</v>
      </c>
      <c r="T51" s="627">
        <v>46053</v>
      </c>
      <c r="U51" s="396">
        <f t="shared" si="8"/>
        <v>3634.1336479666652</v>
      </c>
      <c r="V51" s="693"/>
      <c r="W51" s="632">
        <v>46029</v>
      </c>
      <c r="X51" s="678"/>
      <c r="Y51" s="612" t="s">
        <v>285</v>
      </c>
      <c r="Z51" s="493">
        <v>12000</v>
      </c>
      <c r="AB51" s="612" t="s">
        <v>309</v>
      </c>
      <c r="AC51" s="493">
        <v>62300</v>
      </c>
      <c r="AE51" s="612" t="s">
        <v>285</v>
      </c>
      <c r="AF51" s="493">
        <v>7150</v>
      </c>
    </row>
    <row r="52" spans="1:33" ht="14.25" customHeight="1">
      <c r="B52" s="284"/>
      <c r="C52" s="285"/>
      <c r="D52" s="288"/>
      <c r="E52" s="307"/>
      <c r="F52" s="343"/>
      <c r="G52" s="287"/>
      <c r="H52" s="552"/>
      <c r="I52" s="678"/>
      <c r="J52" s="681"/>
      <c r="K52" s="192"/>
      <c r="L52" s="215">
        <v>5</v>
      </c>
      <c r="M52" s="327" t="s">
        <v>324</v>
      </c>
      <c r="N52" s="288" t="s">
        <v>333</v>
      </c>
      <c r="O52" s="434"/>
      <c r="P52" s="343"/>
      <c r="Q52" s="287">
        <v>975</v>
      </c>
      <c r="R52" s="471"/>
      <c r="S52" s="502" t="s">
        <v>334</v>
      </c>
      <c r="T52" s="631">
        <v>46053</v>
      </c>
      <c r="U52" s="396">
        <f t="shared" si="8"/>
        <v>1234.5924413824036</v>
      </c>
      <c r="V52" s="693"/>
      <c r="W52" s="632">
        <v>45899</v>
      </c>
      <c r="X52" s="678"/>
      <c r="Y52" s="612" t="s">
        <v>443</v>
      </c>
      <c r="Z52" s="493">
        <v>6198.5</v>
      </c>
      <c r="AB52" s="612" t="s">
        <v>312</v>
      </c>
      <c r="AC52" s="493">
        <v>0</v>
      </c>
      <c r="AE52" s="612" t="s">
        <v>311</v>
      </c>
      <c r="AF52" s="493">
        <v>1650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2"/>
      <c r="I53" s="678"/>
      <c r="J53" s="681"/>
      <c r="K53" s="192"/>
      <c r="L53" s="215">
        <v>5</v>
      </c>
      <c r="M53" s="327" t="s">
        <v>324</v>
      </c>
      <c r="N53" s="288" t="s">
        <v>335</v>
      </c>
      <c r="O53" s="434"/>
      <c r="P53" s="343"/>
      <c r="Q53" s="287">
        <v>1214.0999999999999</v>
      </c>
      <c r="R53" s="471"/>
      <c r="S53" s="502" t="s">
        <v>336</v>
      </c>
      <c r="T53" s="631">
        <v>46053</v>
      </c>
      <c r="U53" s="397">
        <f t="shared" si="8"/>
        <v>1537.3524954691038</v>
      </c>
      <c r="V53" s="693"/>
      <c r="W53" s="632">
        <v>45910</v>
      </c>
      <c r="X53" s="678"/>
      <c r="Y53" s="612" t="s">
        <v>287</v>
      </c>
      <c r="Z53" s="493">
        <v>9450</v>
      </c>
      <c r="AB53" s="612" t="s">
        <v>314</v>
      </c>
      <c r="AC53" s="493">
        <v>0</v>
      </c>
      <c r="AE53" s="612" t="s">
        <v>313</v>
      </c>
      <c r="AF53" s="493">
        <v>6600</v>
      </c>
    </row>
    <row r="54" spans="1:33" ht="15" customHeight="1" thickBot="1">
      <c r="B54" s="220">
        <v>5</v>
      </c>
      <c r="C54" s="241"/>
      <c r="D54" s="221"/>
      <c r="E54" s="222"/>
      <c r="F54" s="358"/>
      <c r="G54" s="234"/>
      <c r="H54" s="553"/>
      <c r="I54" s="679"/>
      <c r="J54" s="682"/>
      <c r="K54" s="193"/>
      <c r="L54" s="220">
        <v>5</v>
      </c>
      <c r="M54" s="323" t="s">
        <v>324</v>
      </c>
      <c r="N54" s="221"/>
      <c r="O54" s="435"/>
      <c r="P54" s="358"/>
      <c r="Q54" s="234"/>
      <c r="R54" s="472"/>
      <c r="S54" s="503"/>
      <c r="T54" s="413" t="str">
        <f t="shared" si="1"/>
        <v/>
      </c>
      <c r="U54" s="398">
        <f t="shared" si="8"/>
        <v>0</v>
      </c>
      <c r="V54" s="694"/>
      <c r="W54" s="456"/>
      <c r="X54" s="679"/>
      <c r="Y54" s="612" t="s">
        <v>444</v>
      </c>
      <c r="Z54" s="493">
        <v>1600</v>
      </c>
      <c r="AB54" s="612" t="s">
        <v>309</v>
      </c>
      <c r="AC54" s="493">
        <v>0</v>
      </c>
      <c r="AE54" s="612" t="s">
        <v>316</v>
      </c>
      <c r="AF54" s="493">
        <v>4500</v>
      </c>
    </row>
    <row r="55" spans="1:33" ht="14.5" thickBot="1">
      <c r="A55" s="4"/>
      <c r="B55" s="194"/>
      <c r="C55" s="211"/>
      <c r="D55" s="182"/>
      <c r="E55" s="195"/>
      <c r="F55" s="354"/>
      <c r="G55" s="196"/>
      <c r="H55" s="554"/>
      <c r="I55" s="549"/>
      <c r="J55" s="230"/>
      <c r="K55" s="4"/>
      <c r="L55" s="194"/>
      <c r="M55" s="211"/>
      <c r="N55" s="182"/>
      <c r="O55" s="436"/>
      <c r="P55" s="354"/>
      <c r="Q55" s="196"/>
      <c r="R55" s="473"/>
      <c r="S55" s="504"/>
      <c r="T55" s="414" t="str">
        <f t="shared" si="1"/>
        <v/>
      </c>
      <c r="U55" s="403"/>
      <c r="V55" s="385"/>
      <c r="W55" s="457"/>
      <c r="X55" s="549"/>
      <c r="Y55" s="612" t="s">
        <v>377</v>
      </c>
      <c r="Z55" s="493">
        <v>9345.93</v>
      </c>
      <c r="AB55" s="612" t="s">
        <v>106</v>
      </c>
      <c r="AC55" s="493">
        <v>0</v>
      </c>
      <c r="AE55" s="612" t="s">
        <v>106</v>
      </c>
      <c r="AF55" s="493">
        <v>0</v>
      </c>
    </row>
    <row r="56" spans="1:33" ht="14.25" customHeight="1">
      <c r="B56" s="197">
        <v>6</v>
      </c>
      <c r="C56" s="198" t="s">
        <v>279</v>
      </c>
      <c r="D56" s="199" t="s">
        <v>337</v>
      </c>
      <c r="E56" s="373"/>
      <c r="F56" s="355"/>
      <c r="G56" s="200">
        <f>D169</f>
        <v>198443.48695652175</v>
      </c>
      <c r="H56" s="555">
        <f>'Project Plan'!G26+30</f>
        <v>46096</v>
      </c>
      <c r="I56" s="686">
        <f>SUM(G56:G72)</f>
        <v>198443.48695652175</v>
      </c>
      <c r="J56" s="689">
        <f>F169</f>
        <v>242004.25238600213</v>
      </c>
      <c r="K56" s="201"/>
      <c r="L56" s="197">
        <v>6</v>
      </c>
      <c r="M56" s="330" t="s">
        <v>338</v>
      </c>
      <c r="N56" s="199"/>
      <c r="O56" s="428"/>
      <c r="P56" s="355"/>
      <c r="Q56" s="200"/>
      <c r="R56" s="474"/>
      <c r="S56" s="505"/>
      <c r="T56" s="415" t="str">
        <f t="shared" si="1"/>
        <v/>
      </c>
      <c r="U56" s="400">
        <f t="shared" ref="U56:U71" si="9">(Q56/$X$56*$J$56)</f>
        <v>0</v>
      </c>
      <c r="V56" s="695">
        <f>J56-SUM(U56:U72)</f>
        <v>0</v>
      </c>
      <c r="W56" s="458"/>
      <c r="X56" s="686">
        <f>SUM(Q56:Q72)</f>
        <v>58297.930000000008</v>
      </c>
      <c r="Y56" s="612" t="s">
        <v>445</v>
      </c>
      <c r="Z56" s="493">
        <v>4500</v>
      </c>
      <c r="AB56" s="612" t="s">
        <v>293</v>
      </c>
      <c r="AC56" s="493">
        <v>0</v>
      </c>
      <c r="AE56" s="612" t="s">
        <v>293</v>
      </c>
      <c r="AF56" s="493">
        <v>0</v>
      </c>
    </row>
    <row r="57" spans="1:33" ht="14.25" customHeight="1">
      <c r="B57" s="202">
        <v>6</v>
      </c>
      <c r="C57" s="309"/>
      <c r="D57" s="342"/>
      <c r="E57" s="295"/>
      <c r="F57" s="351"/>
      <c r="G57" s="225"/>
      <c r="H57" s="546"/>
      <c r="I57" s="687"/>
      <c r="J57" s="690"/>
      <c r="K57" s="205"/>
      <c r="L57" s="202">
        <v>6</v>
      </c>
      <c r="M57" s="328" t="s">
        <v>338</v>
      </c>
      <c r="N57" s="342" t="s">
        <v>326</v>
      </c>
      <c r="O57" s="438"/>
      <c r="P57" s="351"/>
      <c r="Q57" s="225">
        <v>24740.639999999999</v>
      </c>
      <c r="R57" s="475"/>
      <c r="S57" s="506"/>
      <c r="T57" s="416">
        <v>46081</v>
      </c>
      <c r="U57" s="401">
        <f t="shared" si="9"/>
        <v>102702.44735535582</v>
      </c>
      <c r="V57" s="696"/>
      <c r="W57" s="459">
        <f>T57+30</f>
        <v>46111</v>
      </c>
      <c r="X57" s="687"/>
      <c r="Y57" s="612" t="s">
        <v>106</v>
      </c>
      <c r="Z57" s="494">
        <v>6750</v>
      </c>
      <c r="AB57" s="612" t="s">
        <v>293</v>
      </c>
      <c r="AC57" s="494">
        <v>0</v>
      </c>
      <c r="AE57" s="612" t="s">
        <v>293</v>
      </c>
      <c r="AF57" s="494">
        <v>0</v>
      </c>
    </row>
    <row r="58" spans="1:33" ht="14.25" customHeight="1">
      <c r="B58" s="202">
        <v>6</v>
      </c>
      <c r="C58" s="309"/>
      <c r="D58" s="342"/>
      <c r="E58" s="295"/>
      <c r="F58" s="351"/>
      <c r="G58" s="225"/>
      <c r="H58" s="546"/>
      <c r="I58" s="687"/>
      <c r="J58" s="690"/>
      <c r="K58" s="205"/>
      <c r="L58" s="202">
        <v>6</v>
      </c>
      <c r="M58" s="328" t="s">
        <v>338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9"/>
        <v>0</v>
      </c>
      <c r="V58" s="696"/>
      <c r="W58" s="459"/>
      <c r="X58" s="687"/>
      <c r="Y58" s="612" t="s">
        <v>246</v>
      </c>
      <c r="Z58" s="493">
        <f>SUM(Z47:Z57)</f>
        <v>271166.36</v>
      </c>
      <c r="AB58" s="612" t="s">
        <v>246</v>
      </c>
      <c r="AC58" s="493">
        <f>SUM(AC47:AC57)</f>
        <v>329174</v>
      </c>
      <c r="AE58" s="612" t="s">
        <v>246</v>
      </c>
      <c r="AF58" s="493">
        <f>SUM(AF47:AF57)</f>
        <v>266507.78000000003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6"/>
      <c r="I59" s="687"/>
      <c r="J59" s="690"/>
      <c r="K59" s="205"/>
      <c r="L59" s="202">
        <v>6</v>
      </c>
      <c r="M59" s="328" t="s">
        <v>338</v>
      </c>
      <c r="N59" s="342"/>
      <c r="O59" s="438"/>
      <c r="P59" s="351"/>
      <c r="Q59" s="225"/>
      <c r="R59" s="475"/>
      <c r="S59" s="506"/>
      <c r="T59" s="416" t="str">
        <f t="shared" si="1"/>
        <v/>
      </c>
      <c r="U59" s="401">
        <f t="shared" si="9"/>
        <v>0</v>
      </c>
      <c r="V59" s="696"/>
      <c r="W59" s="459"/>
      <c r="X59" s="687"/>
      <c r="Y59" s="613" t="s">
        <v>298</v>
      </c>
      <c r="Z59" s="494">
        <f>Z58/'Project Plan'!$E$3/1000</f>
        <v>2.0858950769230771</v>
      </c>
      <c r="AB59" s="613" t="s">
        <v>298</v>
      </c>
      <c r="AC59" s="494">
        <f>AC58/'Project Plan'!$E$3/1000</f>
        <v>2.5321076923076919</v>
      </c>
      <c r="AE59" s="613" t="s">
        <v>298</v>
      </c>
      <c r="AF59" s="494">
        <f>AF58/'Project Plan'!$E$3/1000</f>
        <v>2.0500598461538466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6"/>
      <c r="I60" s="687"/>
      <c r="J60" s="690"/>
      <c r="K60" s="205"/>
      <c r="L60" s="202">
        <v>6</v>
      </c>
      <c r="M60" s="328" t="s">
        <v>338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696"/>
      <c r="W60" s="459"/>
      <c r="X60" s="687"/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6"/>
      <c r="I61" s="687"/>
      <c r="J61" s="690"/>
      <c r="K61" s="205"/>
      <c r="L61" s="202">
        <v>6</v>
      </c>
      <c r="M61" s="328" t="s">
        <v>338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696"/>
      <c r="W61" s="459"/>
      <c r="X61" s="687"/>
    </row>
    <row r="62" spans="1:33" ht="14.25" customHeight="1">
      <c r="B62" s="202">
        <v>6</v>
      </c>
      <c r="C62" s="348"/>
      <c r="D62" s="203"/>
      <c r="E62" s="300"/>
      <c r="F62" s="352"/>
      <c r="G62" s="225"/>
      <c r="H62" s="546"/>
      <c r="I62" s="687"/>
      <c r="J62" s="690"/>
      <c r="K62" s="205"/>
      <c r="L62" s="202">
        <v>6</v>
      </c>
      <c r="M62" s="328" t="s">
        <v>338</v>
      </c>
      <c r="N62" s="309" t="s">
        <v>310</v>
      </c>
      <c r="O62" s="447">
        <f>Z47</f>
        <v>33557.29</v>
      </c>
      <c r="P62" s="448">
        <v>0.1</v>
      </c>
      <c r="Q62" s="204">
        <f>$O$62*P62</f>
        <v>3355.7290000000003</v>
      </c>
      <c r="R62" s="701"/>
      <c r="S62" s="506"/>
      <c r="T62" s="419">
        <f>T94</f>
        <v>46081</v>
      </c>
      <c r="U62" s="401">
        <f t="shared" si="9"/>
        <v>13930.180503064628</v>
      </c>
      <c r="V62" s="696"/>
      <c r="W62" s="459">
        <f>W94</f>
        <v>46076</v>
      </c>
      <c r="X62" s="687"/>
    </row>
    <row r="63" spans="1:33" ht="14.25" customHeight="1">
      <c r="B63" s="202">
        <v>6</v>
      </c>
      <c r="C63" s="301"/>
      <c r="D63" s="203"/>
      <c r="E63" s="300"/>
      <c r="F63" s="352"/>
      <c r="G63" s="225"/>
      <c r="H63" s="546"/>
      <c r="I63" s="687"/>
      <c r="J63" s="690"/>
      <c r="K63" s="205"/>
      <c r="L63" s="202">
        <v>6</v>
      </c>
      <c r="M63" s="329" t="s">
        <v>338</v>
      </c>
      <c r="N63" s="309" t="s">
        <v>158</v>
      </c>
      <c r="O63" s="438"/>
      <c r="P63" s="448">
        <v>0.15</v>
      </c>
      <c r="Q63" s="204">
        <f t="shared" ref="Q63:Q69" si="10">$O$62*P63</f>
        <v>5033.5934999999999</v>
      </c>
      <c r="R63" s="702"/>
      <c r="S63" s="506"/>
      <c r="T63" s="419">
        <f t="shared" si="1"/>
        <v>46081</v>
      </c>
      <c r="U63" s="401">
        <f t="shared" si="9"/>
        <v>20895.270754596942</v>
      </c>
      <c r="V63" s="696"/>
      <c r="W63" s="459">
        <f t="shared" ref="W63:W69" si="11">W95</f>
        <v>46076</v>
      </c>
      <c r="X63" s="687"/>
    </row>
    <row r="64" spans="1:33" ht="14.25" customHeight="1">
      <c r="B64" s="202">
        <v>6</v>
      </c>
      <c r="C64" s="301"/>
      <c r="D64" s="203"/>
      <c r="E64" s="300"/>
      <c r="F64" s="352"/>
      <c r="G64" s="225"/>
      <c r="H64" s="546"/>
      <c r="I64" s="687"/>
      <c r="J64" s="690"/>
      <c r="K64" s="205"/>
      <c r="L64" s="202">
        <v>6</v>
      </c>
      <c r="M64" s="329" t="s">
        <v>338</v>
      </c>
      <c r="N64" s="309" t="s">
        <v>315</v>
      </c>
      <c r="O64" s="438"/>
      <c r="P64" s="448">
        <v>0.2</v>
      </c>
      <c r="Q64" s="204">
        <f t="shared" si="10"/>
        <v>6711.4580000000005</v>
      </c>
      <c r="R64" s="702"/>
      <c r="S64" s="506"/>
      <c r="T64" s="419">
        <f t="shared" si="1"/>
        <v>46112</v>
      </c>
      <c r="U64" s="401">
        <f t="shared" si="9"/>
        <v>27860.361006129257</v>
      </c>
      <c r="V64" s="696"/>
      <c r="W64" s="459">
        <f t="shared" si="11"/>
        <v>46091</v>
      </c>
      <c r="X64" s="687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6"/>
      <c r="I65" s="687"/>
      <c r="J65" s="690"/>
      <c r="K65" s="205"/>
      <c r="L65" s="202">
        <v>6</v>
      </c>
      <c r="M65" s="329" t="s">
        <v>338</v>
      </c>
      <c r="N65" s="309" t="s">
        <v>317</v>
      </c>
      <c r="O65" s="438"/>
      <c r="P65" s="448">
        <v>0.25</v>
      </c>
      <c r="Q65" s="204">
        <f t="shared" si="10"/>
        <v>8389.3225000000002</v>
      </c>
      <c r="R65" s="702"/>
      <c r="S65" s="506"/>
      <c r="T65" s="419">
        <f t="shared" si="1"/>
        <v>46112</v>
      </c>
      <c r="U65" s="401">
        <f t="shared" si="9"/>
        <v>34825.451257661567</v>
      </c>
      <c r="V65" s="696"/>
      <c r="W65" s="459">
        <f t="shared" si="11"/>
        <v>46107</v>
      </c>
      <c r="X65" s="687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6"/>
      <c r="I66" s="687"/>
      <c r="J66" s="690"/>
      <c r="K66" s="205"/>
      <c r="L66" s="202">
        <v>6</v>
      </c>
      <c r="M66" s="329" t="s">
        <v>338</v>
      </c>
      <c r="N66" s="309" t="s">
        <v>318</v>
      </c>
      <c r="O66" s="438"/>
      <c r="P66" s="448">
        <v>0.1</v>
      </c>
      <c r="Q66" s="204">
        <f t="shared" si="10"/>
        <v>3355.7290000000003</v>
      </c>
      <c r="R66" s="702"/>
      <c r="S66" s="506"/>
      <c r="T66" s="419">
        <f t="shared" si="1"/>
        <v>46142</v>
      </c>
      <c r="U66" s="401">
        <f t="shared" si="9"/>
        <v>13930.180503064628</v>
      </c>
      <c r="V66" s="696"/>
      <c r="W66" s="459">
        <f t="shared" si="11"/>
        <v>46118</v>
      </c>
      <c r="X66" s="68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6"/>
      <c r="I67" s="687"/>
      <c r="J67" s="690"/>
      <c r="K67" s="205"/>
      <c r="L67" s="202">
        <v>6</v>
      </c>
      <c r="M67" s="329" t="s">
        <v>338</v>
      </c>
      <c r="N67" s="309" t="s">
        <v>319</v>
      </c>
      <c r="O67" s="438"/>
      <c r="P67" s="448">
        <v>0.1</v>
      </c>
      <c r="Q67" s="204">
        <f t="shared" si="10"/>
        <v>3355.7290000000003</v>
      </c>
      <c r="R67" s="702"/>
      <c r="S67" s="510"/>
      <c r="T67" s="419">
        <f t="shared" si="1"/>
        <v>46142</v>
      </c>
      <c r="U67" s="406">
        <f t="shared" si="9"/>
        <v>13930.180503064628</v>
      </c>
      <c r="V67" s="696"/>
      <c r="W67" s="459">
        <f t="shared" si="11"/>
        <v>46119</v>
      </c>
      <c r="X67" s="687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6"/>
      <c r="I68" s="687"/>
      <c r="J68" s="690"/>
      <c r="K68" s="205"/>
      <c r="L68" s="202">
        <v>6</v>
      </c>
      <c r="M68" s="329" t="s">
        <v>338</v>
      </c>
      <c r="N68" s="309" t="s">
        <v>320</v>
      </c>
      <c r="O68" s="438"/>
      <c r="P68" s="448">
        <v>0.05</v>
      </c>
      <c r="Q68" s="204">
        <f t="shared" si="10"/>
        <v>1677.8645000000001</v>
      </c>
      <c r="R68" s="702"/>
      <c r="S68" s="510"/>
      <c r="T68" s="419">
        <f t="shared" si="1"/>
        <v>46142</v>
      </c>
      <c r="U68" s="406">
        <f t="shared" si="9"/>
        <v>6965.0902515323141</v>
      </c>
      <c r="V68" s="696"/>
      <c r="W68" s="459">
        <f t="shared" si="11"/>
        <v>46119</v>
      </c>
      <c r="X68" s="687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6"/>
      <c r="I69" s="687"/>
      <c r="J69" s="690"/>
      <c r="K69" s="205"/>
      <c r="L69" s="202">
        <v>6</v>
      </c>
      <c r="M69" s="329" t="s">
        <v>338</v>
      </c>
      <c r="N69" s="309" t="s">
        <v>321</v>
      </c>
      <c r="O69" s="438"/>
      <c r="P69" s="448">
        <v>0.05</v>
      </c>
      <c r="Q69" s="204">
        <f t="shared" si="10"/>
        <v>1677.8645000000001</v>
      </c>
      <c r="R69" s="703"/>
      <c r="S69" s="510"/>
      <c r="T69" s="419">
        <f t="shared" si="1"/>
        <v>46142</v>
      </c>
      <c r="U69" s="406">
        <f t="shared" si="9"/>
        <v>6965.0902515323141</v>
      </c>
      <c r="V69" s="696"/>
      <c r="W69" s="459">
        <f t="shared" si="11"/>
        <v>46142</v>
      </c>
      <c r="X69" s="687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6"/>
      <c r="I70" s="687"/>
      <c r="J70" s="690"/>
      <c r="K70" s="205"/>
      <c r="L70" s="202">
        <v>6</v>
      </c>
      <c r="M70" s="329" t="s">
        <v>338</v>
      </c>
      <c r="N70" s="309"/>
      <c r="O70" s="438"/>
      <c r="P70" s="448"/>
      <c r="Q70" s="204"/>
      <c r="R70" s="479"/>
      <c r="S70" s="510"/>
      <c r="T70" s="419" t="str">
        <f t="shared" si="1"/>
        <v/>
      </c>
      <c r="U70" s="406">
        <f t="shared" si="9"/>
        <v>0</v>
      </c>
      <c r="V70" s="696"/>
      <c r="W70" s="462"/>
      <c r="X70" s="687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6"/>
      <c r="I71" s="687"/>
      <c r="J71" s="690"/>
      <c r="K71" s="205"/>
      <c r="L71" s="202">
        <v>6</v>
      </c>
      <c r="M71" s="329" t="s">
        <v>338</v>
      </c>
      <c r="N71" s="309"/>
      <c r="O71" s="438"/>
      <c r="P71" s="448"/>
      <c r="Q71" s="204"/>
      <c r="R71" s="479"/>
      <c r="S71" s="510"/>
      <c r="T71" s="419" t="str">
        <f t="shared" si="1"/>
        <v/>
      </c>
      <c r="U71" s="406">
        <f t="shared" si="9"/>
        <v>0</v>
      </c>
      <c r="V71" s="696"/>
      <c r="W71" s="462"/>
      <c r="X71" s="687"/>
    </row>
    <row r="72" spans="1:24" ht="15" customHeight="1" thickBot="1">
      <c r="B72" s="206">
        <v>6</v>
      </c>
      <c r="C72" s="302"/>
      <c r="D72" s="208"/>
      <c r="E72" s="356"/>
      <c r="F72" s="353"/>
      <c r="G72" s="209"/>
      <c r="H72" s="556"/>
      <c r="I72" s="688"/>
      <c r="J72" s="691"/>
      <c r="K72" s="210"/>
      <c r="L72" s="206">
        <v>6</v>
      </c>
      <c r="M72" s="331" t="s">
        <v>338</v>
      </c>
      <c r="N72" s="208"/>
      <c r="O72" s="442"/>
      <c r="P72" s="353"/>
      <c r="Q72" s="209"/>
      <c r="R72" s="476"/>
      <c r="S72" s="507"/>
      <c r="T72" s="417" t="str">
        <f t="shared" si="1"/>
        <v/>
      </c>
      <c r="U72" s="402">
        <f>(Q72/$X$56*$J$56)</f>
        <v>0</v>
      </c>
      <c r="V72" s="697"/>
      <c r="W72" s="460"/>
      <c r="X72" s="688"/>
    </row>
    <row r="73" spans="1:24" ht="14.5" hidden="1" thickBot="1">
      <c r="A73" s="4"/>
      <c r="B73" s="194"/>
      <c r="C73" s="235"/>
      <c r="D73" s="212"/>
      <c r="E73" s="195"/>
      <c r="F73" s="354"/>
      <c r="G73" s="196"/>
      <c r="H73" s="558"/>
      <c r="I73" s="548"/>
      <c r="J73" s="184"/>
      <c r="K73" s="4"/>
      <c r="L73" s="194"/>
      <c r="M73" s="235"/>
      <c r="N73" s="212"/>
      <c r="O73" s="436"/>
      <c r="P73" s="354"/>
      <c r="Q73" s="196"/>
      <c r="R73" s="480"/>
      <c r="S73" s="511"/>
      <c r="T73" s="420" t="str">
        <f t="shared" si="1"/>
        <v/>
      </c>
      <c r="U73" s="407"/>
      <c r="V73" s="382"/>
      <c r="W73" s="463"/>
      <c r="X73" s="548"/>
    </row>
    <row r="74" spans="1:24" ht="14.25" hidden="1" customHeight="1">
      <c r="B74" s="281">
        <v>7</v>
      </c>
      <c r="C74" s="213" t="s">
        <v>339</v>
      </c>
      <c r="D74" s="282"/>
      <c r="E74" s="360"/>
      <c r="F74" s="366"/>
      <c r="G74" s="283"/>
      <c r="H74" s="559"/>
      <c r="I74" s="677">
        <f>SUM(G74:G81)</f>
        <v>0</v>
      </c>
      <c r="J74" s="680">
        <f>F174</f>
        <v>0</v>
      </c>
      <c r="K74" s="189"/>
      <c r="L74" s="281">
        <v>7</v>
      </c>
      <c r="M74" s="213" t="s">
        <v>340</v>
      </c>
      <c r="N74" s="282"/>
      <c r="O74" s="360"/>
      <c r="P74" s="366"/>
      <c r="Q74" s="283"/>
      <c r="R74" s="481"/>
      <c r="S74" s="512"/>
      <c r="T74" s="421" t="str">
        <f t="shared" ref="T74:T138" si="12">IF(W74&gt;1,EOMONTH(W74,0),"")</f>
        <v/>
      </c>
      <c r="U74" s="525"/>
      <c r="V74" s="698">
        <f>J74-SUM(U74:U81)</f>
        <v>0</v>
      </c>
      <c r="W74" s="464"/>
      <c r="X74" s="677">
        <f>SUM(Q74:Q81)</f>
        <v>0</v>
      </c>
    </row>
    <row r="75" spans="1:24" ht="14.25" hidden="1" customHeight="1">
      <c r="B75" s="284">
        <v>7</v>
      </c>
      <c r="C75" s="285"/>
      <c r="D75" s="286"/>
      <c r="E75" s="307"/>
      <c r="F75" s="343"/>
      <c r="G75" s="287"/>
      <c r="H75" s="542"/>
      <c r="I75" s="678"/>
      <c r="J75" s="681"/>
      <c r="K75" s="192"/>
      <c r="L75" s="284">
        <v>7</v>
      </c>
      <c r="M75" s="285" t="s">
        <v>340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699"/>
      <c r="W75" s="455"/>
      <c r="X75" s="678"/>
    </row>
    <row r="76" spans="1:24" ht="14.25" hidden="1" customHeight="1">
      <c r="B76" s="284">
        <v>7</v>
      </c>
      <c r="C76" s="285"/>
      <c r="D76" s="286"/>
      <c r="E76" s="307"/>
      <c r="F76" s="343"/>
      <c r="G76" s="287"/>
      <c r="H76" s="542"/>
      <c r="I76" s="678"/>
      <c r="J76" s="681"/>
      <c r="K76" s="192"/>
      <c r="L76" s="284">
        <v>7</v>
      </c>
      <c r="M76" s="285" t="s">
        <v>340</v>
      </c>
      <c r="N76" s="286"/>
      <c r="O76" s="307"/>
      <c r="P76" s="343"/>
      <c r="Q76" s="287"/>
      <c r="R76" s="471"/>
      <c r="S76" s="502"/>
      <c r="T76" s="412" t="str">
        <f t="shared" si="12"/>
        <v/>
      </c>
      <c r="U76" s="397"/>
      <c r="V76" s="699"/>
      <c r="W76" s="455"/>
      <c r="X76" s="678"/>
    </row>
    <row r="77" spans="1:24" ht="14.25" hidden="1" customHeight="1">
      <c r="B77" s="284">
        <v>7</v>
      </c>
      <c r="C77" s="285"/>
      <c r="D77" s="286"/>
      <c r="E77" s="307"/>
      <c r="F77" s="343"/>
      <c r="G77" s="287"/>
      <c r="H77" s="542"/>
      <c r="I77" s="678"/>
      <c r="J77" s="681"/>
      <c r="K77" s="192"/>
      <c r="L77" s="284">
        <v>7</v>
      </c>
      <c r="M77" s="285" t="s">
        <v>340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699"/>
      <c r="W77" s="455"/>
      <c r="X77" s="678"/>
    </row>
    <row r="78" spans="1:24" ht="14.25" hidden="1" customHeight="1">
      <c r="B78" s="284">
        <v>7</v>
      </c>
      <c r="C78" s="285"/>
      <c r="D78" s="286"/>
      <c r="E78" s="307"/>
      <c r="F78" s="343"/>
      <c r="G78" s="287"/>
      <c r="H78" s="542"/>
      <c r="I78" s="678"/>
      <c r="J78" s="681"/>
      <c r="K78" s="192"/>
      <c r="L78" s="284">
        <v>7</v>
      </c>
      <c r="M78" s="285" t="s">
        <v>340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699"/>
      <c r="W78" s="455"/>
      <c r="X78" s="678"/>
    </row>
    <row r="79" spans="1:24" ht="14.25" hidden="1" customHeight="1">
      <c r="B79" s="284">
        <v>7</v>
      </c>
      <c r="C79" s="285"/>
      <c r="D79" s="286"/>
      <c r="E79" s="307"/>
      <c r="F79" s="343"/>
      <c r="G79" s="287"/>
      <c r="H79" s="542"/>
      <c r="I79" s="678"/>
      <c r="J79" s="681"/>
      <c r="K79" s="192"/>
      <c r="L79" s="284">
        <v>7</v>
      </c>
      <c r="M79" s="285" t="s">
        <v>340</v>
      </c>
      <c r="N79" s="286"/>
      <c r="O79" s="434"/>
      <c r="P79" s="343"/>
      <c r="Q79" s="287"/>
      <c r="R79" s="471"/>
      <c r="S79" s="502"/>
      <c r="T79" s="412" t="str">
        <f t="shared" si="12"/>
        <v/>
      </c>
      <c r="U79" s="397"/>
      <c r="V79" s="699"/>
      <c r="W79" s="455"/>
      <c r="X79" s="678"/>
    </row>
    <row r="80" spans="1:24" ht="14.25" hidden="1" customHeight="1">
      <c r="B80" s="284">
        <v>7</v>
      </c>
      <c r="C80" s="285"/>
      <c r="D80" s="286"/>
      <c r="E80" s="307"/>
      <c r="F80" s="343"/>
      <c r="G80" s="287"/>
      <c r="H80" s="542"/>
      <c r="I80" s="678"/>
      <c r="J80" s="681"/>
      <c r="K80" s="192"/>
      <c r="L80" s="284">
        <v>7</v>
      </c>
      <c r="M80" s="285" t="s">
        <v>340</v>
      </c>
      <c r="N80" s="286"/>
      <c r="O80" s="434"/>
      <c r="P80" s="343"/>
      <c r="Q80" s="287"/>
      <c r="R80" s="471"/>
      <c r="S80" s="502"/>
      <c r="T80" s="412" t="str">
        <f t="shared" si="12"/>
        <v/>
      </c>
      <c r="U80" s="397"/>
      <c r="V80" s="699"/>
      <c r="W80" s="455"/>
      <c r="X80" s="678"/>
    </row>
    <row r="81" spans="1:24" ht="15" hidden="1" customHeight="1" thickBot="1">
      <c r="B81" s="220">
        <v>7</v>
      </c>
      <c r="C81" s="241"/>
      <c r="D81" s="233"/>
      <c r="E81" s="222"/>
      <c r="F81" s="358"/>
      <c r="G81" s="234"/>
      <c r="H81" s="560"/>
      <c r="I81" s="679"/>
      <c r="J81" s="682"/>
      <c r="K81" s="193"/>
      <c r="L81" s="220">
        <v>7</v>
      </c>
      <c r="M81" s="241" t="s">
        <v>340</v>
      </c>
      <c r="N81" s="233"/>
      <c r="O81" s="435"/>
      <c r="P81" s="358"/>
      <c r="Q81" s="234"/>
      <c r="R81" s="472"/>
      <c r="S81" s="503"/>
      <c r="T81" s="413" t="str">
        <f t="shared" si="12"/>
        <v/>
      </c>
      <c r="U81" s="398"/>
      <c r="V81" s="700"/>
      <c r="W81" s="456"/>
      <c r="X81" s="679"/>
    </row>
    <row r="82" spans="1:24" ht="14.5" thickBot="1">
      <c r="A82" s="4"/>
      <c r="B82" s="194"/>
      <c r="C82" s="235"/>
      <c r="D82" s="212"/>
      <c r="E82" s="195"/>
      <c r="F82" s="354"/>
      <c r="G82" s="196"/>
      <c r="H82" s="554"/>
      <c r="I82" s="548"/>
      <c r="J82" s="184"/>
      <c r="K82" s="4"/>
      <c r="L82" s="194"/>
      <c r="M82" s="235"/>
      <c r="N82" s="212"/>
      <c r="O82" s="436"/>
      <c r="P82" s="354"/>
      <c r="Q82" s="196"/>
      <c r="R82" s="473"/>
      <c r="S82" s="504"/>
      <c r="T82" s="414" t="str">
        <f t="shared" si="12"/>
        <v/>
      </c>
      <c r="U82" s="403"/>
      <c r="V82" s="385"/>
      <c r="W82" s="457"/>
      <c r="X82" s="548"/>
    </row>
    <row r="83" spans="1:24" ht="14.25" customHeight="1">
      <c r="B83" s="236">
        <v>8</v>
      </c>
      <c r="C83" s="198" t="s">
        <v>341</v>
      </c>
      <c r="D83" s="237" t="s">
        <v>342</v>
      </c>
      <c r="E83" s="361"/>
      <c r="F83" s="315"/>
      <c r="G83" s="238">
        <f>D173</f>
        <v>4000</v>
      </c>
      <c r="H83" s="555">
        <f>H93</f>
        <v>46091</v>
      </c>
      <c r="I83" s="686">
        <f>SUM(G83:G91)</f>
        <v>4000</v>
      </c>
      <c r="J83" s="689">
        <f>F173</f>
        <v>4494.3820224719102</v>
      </c>
      <c r="K83" s="201"/>
      <c r="L83" s="236">
        <v>8</v>
      </c>
      <c r="M83" s="324" t="s">
        <v>343</v>
      </c>
      <c r="N83" s="237"/>
      <c r="O83" s="361"/>
      <c r="P83" s="315"/>
      <c r="Q83" s="238"/>
      <c r="R83" s="474"/>
      <c r="S83" s="505"/>
      <c r="T83" s="415"/>
      <c r="U83" s="400"/>
      <c r="V83" s="716">
        <f>J83-SUM(U83:U91)</f>
        <v>4494.3820224719102</v>
      </c>
      <c r="W83" s="458"/>
      <c r="X83" s="686">
        <f>SUM(Q83:Q91)</f>
        <v>0</v>
      </c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6"/>
      <c r="I84" s="687"/>
      <c r="J84" s="690"/>
      <c r="K84" s="205"/>
      <c r="L84" s="226">
        <v>8</v>
      </c>
      <c r="M84" s="332" t="s">
        <v>343</v>
      </c>
      <c r="N84" s="239"/>
      <c r="O84" s="314"/>
      <c r="P84" s="359"/>
      <c r="Q84" s="228"/>
      <c r="R84" s="475"/>
      <c r="S84" s="506"/>
      <c r="T84" s="416"/>
      <c r="U84" s="401"/>
      <c r="V84" s="717"/>
      <c r="W84" s="459"/>
      <c r="X84" s="68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6"/>
      <c r="I85" s="687"/>
      <c r="J85" s="690"/>
      <c r="K85" s="205"/>
      <c r="L85" s="226">
        <v>8</v>
      </c>
      <c r="M85" s="332" t="s">
        <v>343</v>
      </c>
      <c r="N85" s="239"/>
      <c r="O85" s="314"/>
      <c r="P85" s="359"/>
      <c r="Q85" s="228"/>
      <c r="R85" s="475"/>
      <c r="S85" s="506"/>
      <c r="T85" s="416"/>
      <c r="U85" s="401"/>
      <c r="V85" s="717"/>
      <c r="W85" s="459"/>
      <c r="X85" s="68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6"/>
      <c r="I86" s="687"/>
      <c r="J86" s="690"/>
      <c r="K86" s="205"/>
      <c r="L86" s="226">
        <v>8</v>
      </c>
      <c r="M86" s="332" t="s">
        <v>343</v>
      </c>
      <c r="N86" s="239"/>
      <c r="O86" s="314"/>
      <c r="P86" s="359"/>
      <c r="Q86" s="228"/>
      <c r="R86" s="475"/>
      <c r="S86" s="506"/>
      <c r="T86" s="416"/>
      <c r="U86" s="401"/>
      <c r="V86" s="717"/>
      <c r="W86" s="459"/>
      <c r="X86" s="687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6"/>
      <c r="I87" s="687"/>
      <c r="J87" s="690"/>
      <c r="K87" s="205"/>
      <c r="L87" s="226">
        <v>8</v>
      </c>
      <c r="M87" s="332" t="s">
        <v>343</v>
      </c>
      <c r="N87" s="239"/>
      <c r="O87" s="314"/>
      <c r="P87" s="359"/>
      <c r="Q87" s="228"/>
      <c r="R87" s="475"/>
      <c r="S87" s="506"/>
      <c r="T87" s="416"/>
      <c r="U87" s="401"/>
      <c r="V87" s="717"/>
      <c r="W87" s="459"/>
      <c r="X87" s="687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6"/>
      <c r="I88" s="687"/>
      <c r="J88" s="690"/>
      <c r="K88" s="205"/>
      <c r="L88" s="226">
        <v>8</v>
      </c>
      <c r="M88" s="332" t="s">
        <v>343</v>
      </c>
      <c r="N88" s="239"/>
      <c r="O88" s="441"/>
      <c r="P88" s="534"/>
      <c r="Q88" s="228"/>
      <c r="R88" s="475"/>
      <c r="S88" s="506"/>
      <c r="T88" s="416"/>
      <c r="U88" s="401"/>
      <c r="V88" s="717"/>
      <c r="W88" s="459"/>
      <c r="X88" s="687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6"/>
      <c r="I89" s="687"/>
      <c r="J89" s="690"/>
      <c r="K89" s="205"/>
      <c r="L89" s="226">
        <v>8</v>
      </c>
      <c r="M89" s="332" t="s">
        <v>343</v>
      </c>
      <c r="N89" s="239"/>
      <c r="O89" s="441"/>
      <c r="P89" s="359"/>
      <c r="Q89" s="228"/>
      <c r="R89" s="475"/>
      <c r="S89" s="506"/>
      <c r="T89" s="546"/>
      <c r="U89" s="401"/>
      <c r="V89" s="717"/>
      <c r="W89" s="459"/>
      <c r="X89" s="687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1"/>
      <c r="I90" s="687"/>
      <c r="J90" s="690"/>
      <c r="K90" s="205"/>
      <c r="L90" s="226">
        <v>8</v>
      </c>
      <c r="M90" s="332" t="s">
        <v>343</v>
      </c>
      <c r="N90" s="239"/>
      <c r="O90" s="441"/>
      <c r="P90" s="359"/>
      <c r="Q90" s="228"/>
      <c r="R90" s="479"/>
      <c r="S90" s="510"/>
      <c r="T90" s="419"/>
      <c r="U90" s="406"/>
      <c r="V90" s="717"/>
      <c r="W90" s="462"/>
      <c r="X90" s="687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6"/>
      <c r="I91" s="688"/>
      <c r="J91" s="691"/>
      <c r="K91" s="210"/>
      <c r="L91" s="206">
        <v>8</v>
      </c>
      <c r="M91" s="331" t="s">
        <v>343</v>
      </c>
      <c r="N91" s="208"/>
      <c r="O91" s="442"/>
      <c r="P91" s="353"/>
      <c r="Q91" s="209"/>
      <c r="R91" s="476"/>
      <c r="S91" s="507"/>
      <c r="T91" s="417"/>
      <c r="U91" s="402"/>
      <c r="V91" s="718"/>
      <c r="W91" s="460"/>
      <c r="X91" s="688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344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5"/>
    </row>
    <row r="93" spans="1:24" ht="15" customHeight="1">
      <c r="B93" s="215">
        <v>9</v>
      </c>
      <c r="C93" s="341" t="s">
        <v>345</v>
      </c>
      <c r="D93" s="231" t="s">
        <v>346</v>
      </c>
      <c r="E93" s="218"/>
      <c r="F93" s="336"/>
      <c r="G93" s="496">
        <f>D178</f>
        <v>32490</v>
      </c>
      <c r="H93" s="543">
        <f>'Project Plan'!G23+7</f>
        <v>46091</v>
      </c>
      <c r="I93" s="710">
        <f>SUM(G93:G104)</f>
        <v>108300</v>
      </c>
      <c r="J93" s="680">
        <f>F178+F179</f>
        <v>127411.76470588235</v>
      </c>
      <c r="K93" s="192"/>
      <c r="L93" s="215">
        <v>9</v>
      </c>
      <c r="M93" s="322" t="s">
        <v>347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3">(Q93/$X$93*$J$93)</f>
        <v>0</v>
      </c>
      <c r="V93" s="692">
        <f>J93-SUM(U93:U104)</f>
        <v>0</v>
      </c>
      <c r="W93" s="461"/>
      <c r="X93" s="677">
        <f>SUM(Q93:Q104)</f>
        <v>119228.19</v>
      </c>
    </row>
    <row r="94" spans="1:24" ht="15" customHeight="1">
      <c r="B94" s="215">
        <v>9</v>
      </c>
      <c r="C94" s="341"/>
      <c r="D94" s="232" t="s">
        <v>348</v>
      </c>
      <c r="E94" s="218"/>
      <c r="F94" s="357"/>
      <c r="G94" s="496">
        <f>D179</f>
        <v>75810</v>
      </c>
      <c r="H94" s="542">
        <f>'Project Plan'!G30+7</f>
        <v>46107</v>
      </c>
      <c r="I94" s="711"/>
      <c r="J94" s="681"/>
      <c r="K94" s="192"/>
      <c r="L94" s="215">
        <v>9</v>
      </c>
      <c r="M94" s="322" t="s">
        <v>347</v>
      </c>
      <c r="N94" s="232" t="s">
        <v>310</v>
      </c>
      <c r="O94" s="450">
        <f>Z49+Z50</f>
        <v>119228.19</v>
      </c>
      <c r="P94" s="451">
        <v>0.1</v>
      </c>
      <c r="Q94" s="219">
        <f>$O$94*P94</f>
        <v>11922.819000000001</v>
      </c>
      <c r="R94" s="722"/>
      <c r="S94" s="501"/>
      <c r="T94" s="412">
        <f t="shared" si="12"/>
        <v>46081</v>
      </c>
      <c r="U94" s="397">
        <f t="shared" si="13"/>
        <v>12741.176470588236</v>
      </c>
      <c r="V94" s="693"/>
      <c r="W94" s="454">
        <f>'Project Plan'!I21</f>
        <v>46076</v>
      </c>
      <c r="X94" s="678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2"/>
      <c r="I95" s="711"/>
      <c r="J95" s="681"/>
      <c r="K95" s="192"/>
      <c r="L95" s="284">
        <v>9</v>
      </c>
      <c r="M95" s="394" t="s">
        <v>347</v>
      </c>
      <c r="N95" s="286" t="s">
        <v>158</v>
      </c>
      <c r="O95" s="434"/>
      <c r="P95" s="449">
        <v>0.15</v>
      </c>
      <c r="Q95" s="219">
        <f t="shared" ref="Q95:Q101" si="14">$O$94*P95</f>
        <v>17884.228500000001</v>
      </c>
      <c r="R95" s="723"/>
      <c r="S95" s="502"/>
      <c r="T95" s="412">
        <f t="shared" si="12"/>
        <v>46081</v>
      </c>
      <c r="U95" s="397">
        <f t="shared" si="13"/>
        <v>19111.764705882353</v>
      </c>
      <c r="V95" s="693"/>
      <c r="W95" s="455">
        <f>'Project Plan'!I21</f>
        <v>46076</v>
      </c>
      <c r="X95" s="678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2"/>
      <c r="I96" s="711"/>
      <c r="J96" s="681"/>
      <c r="K96" s="192"/>
      <c r="L96" s="284">
        <v>9</v>
      </c>
      <c r="M96" s="394" t="s">
        <v>347</v>
      </c>
      <c r="N96" s="286" t="s">
        <v>315</v>
      </c>
      <c r="O96" s="434"/>
      <c r="P96" s="449">
        <v>0.2</v>
      </c>
      <c r="Q96" s="219">
        <f t="shared" si="14"/>
        <v>23845.638000000003</v>
      </c>
      <c r="R96" s="723"/>
      <c r="S96" s="502"/>
      <c r="T96" s="412">
        <f t="shared" si="12"/>
        <v>46112</v>
      </c>
      <c r="U96" s="397">
        <f t="shared" si="13"/>
        <v>25482.352941176472</v>
      </c>
      <c r="V96" s="693"/>
      <c r="W96" s="455">
        <f>'Project Plan'!K23+7</f>
        <v>46091</v>
      </c>
      <c r="X96" s="67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2"/>
      <c r="I97" s="711"/>
      <c r="J97" s="681"/>
      <c r="K97" s="192"/>
      <c r="L97" s="284">
        <v>9</v>
      </c>
      <c r="M97" s="394" t="s">
        <v>347</v>
      </c>
      <c r="N97" s="286" t="s">
        <v>317</v>
      </c>
      <c r="O97" s="434"/>
      <c r="P97" s="449">
        <v>0.25</v>
      </c>
      <c r="Q97" s="219">
        <f t="shared" si="14"/>
        <v>29807.047500000001</v>
      </c>
      <c r="R97" s="723"/>
      <c r="S97" s="502"/>
      <c r="T97" s="412">
        <f t="shared" si="12"/>
        <v>46112</v>
      </c>
      <c r="U97" s="397">
        <f t="shared" si="13"/>
        <v>31852.941176470587</v>
      </c>
      <c r="V97" s="693"/>
      <c r="W97" s="455">
        <f>'Project Plan'!K30+7</f>
        <v>46107</v>
      </c>
      <c r="X97" s="67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2"/>
      <c r="I98" s="711"/>
      <c r="J98" s="681"/>
      <c r="K98" s="192"/>
      <c r="L98" s="284">
        <v>9</v>
      </c>
      <c r="M98" s="394" t="s">
        <v>347</v>
      </c>
      <c r="N98" s="286" t="s">
        <v>318</v>
      </c>
      <c r="O98" s="434"/>
      <c r="P98" s="449">
        <v>0.1</v>
      </c>
      <c r="Q98" s="219">
        <f t="shared" si="14"/>
        <v>11922.819000000001</v>
      </c>
      <c r="R98" s="723"/>
      <c r="S98" s="502"/>
      <c r="T98" s="412">
        <f t="shared" si="12"/>
        <v>46142</v>
      </c>
      <c r="U98" s="397">
        <f t="shared" si="13"/>
        <v>12741.176470588236</v>
      </c>
      <c r="V98" s="693"/>
      <c r="W98" s="455">
        <f>'Project Plan'!K41+7</f>
        <v>46118</v>
      </c>
      <c r="X98" s="678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2"/>
      <c r="I99" s="711"/>
      <c r="J99" s="681"/>
      <c r="K99" s="192"/>
      <c r="L99" s="284">
        <v>9</v>
      </c>
      <c r="M99" s="394" t="s">
        <v>347</v>
      </c>
      <c r="N99" s="286" t="s">
        <v>319</v>
      </c>
      <c r="O99" s="434"/>
      <c r="P99" s="449">
        <v>0.1</v>
      </c>
      <c r="Q99" s="219">
        <f t="shared" si="14"/>
        <v>11922.819000000001</v>
      </c>
      <c r="R99" s="723"/>
      <c r="S99" s="502"/>
      <c r="T99" s="412">
        <f t="shared" si="12"/>
        <v>46142</v>
      </c>
      <c r="U99" s="397">
        <f t="shared" si="13"/>
        <v>12741.176470588236</v>
      </c>
      <c r="V99" s="693"/>
      <c r="W99" s="455">
        <f>'Project Plan'!K48+7</f>
        <v>46119</v>
      </c>
      <c r="X99" s="678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2"/>
      <c r="I100" s="711"/>
      <c r="J100" s="681"/>
      <c r="K100" s="192"/>
      <c r="L100" s="284">
        <v>9</v>
      </c>
      <c r="M100" s="394" t="s">
        <v>347</v>
      </c>
      <c r="N100" s="286" t="s">
        <v>320</v>
      </c>
      <c r="O100" s="434"/>
      <c r="P100" s="449">
        <v>0.05</v>
      </c>
      <c r="Q100" s="219">
        <f t="shared" si="14"/>
        <v>5961.4095000000007</v>
      </c>
      <c r="R100" s="723"/>
      <c r="S100" s="502"/>
      <c r="T100" s="412">
        <f t="shared" si="12"/>
        <v>46142</v>
      </c>
      <c r="U100" s="397">
        <f t="shared" si="13"/>
        <v>6370.588235294118</v>
      </c>
      <c r="V100" s="693"/>
      <c r="W100" s="455">
        <f>'Project Plan'!K48+7</f>
        <v>46119</v>
      </c>
      <c r="X100" s="678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2"/>
      <c r="I101" s="711"/>
      <c r="J101" s="681"/>
      <c r="K101" s="192"/>
      <c r="L101" s="284">
        <v>9</v>
      </c>
      <c r="M101" s="394" t="s">
        <v>347</v>
      </c>
      <c r="N101" s="286" t="s">
        <v>321</v>
      </c>
      <c r="O101" s="434"/>
      <c r="P101" s="449">
        <v>0.05</v>
      </c>
      <c r="Q101" s="219">
        <f t="shared" si="14"/>
        <v>5961.4095000000007</v>
      </c>
      <c r="R101" s="724"/>
      <c r="S101" s="502"/>
      <c r="T101" s="412">
        <f t="shared" si="12"/>
        <v>46142</v>
      </c>
      <c r="U101" s="397">
        <f t="shared" si="13"/>
        <v>6370.588235294118</v>
      </c>
      <c r="V101" s="693"/>
      <c r="W101" s="455">
        <f>'Project Plan'!K48+30</f>
        <v>46142</v>
      </c>
      <c r="X101" s="678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2"/>
      <c r="I102" s="711"/>
      <c r="J102" s="681"/>
      <c r="K102" s="192"/>
      <c r="L102" s="284">
        <v>9</v>
      </c>
      <c r="M102" s="394" t="s">
        <v>347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3"/>
        <v>0</v>
      </c>
      <c r="V102" s="693"/>
      <c r="W102" s="455"/>
      <c r="X102" s="678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2"/>
      <c r="I103" s="711"/>
      <c r="J103" s="681"/>
      <c r="K103" s="192"/>
      <c r="L103" s="284">
        <v>9</v>
      </c>
      <c r="M103" s="394" t="s">
        <v>347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3"/>
        <v>0</v>
      </c>
      <c r="V103" s="693"/>
      <c r="W103" s="455"/>
      <c r="X103" s="678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3"/>
      <c r="I104" s="712"/>
      <c r="J104" s="682"/>
      <c r="K104" s="267"/>
      <c r="L104" s="220">
        <v>9</v>
      </c>
      <c r="M104" s="340" t="s">
        <v>347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3"/>
        <v>0</v>
      </c>
      <c r="V104" s="694"/>
      <c r="W104" s="456"/>
      <c r="X104" s="679"/>
    </row>
    <row r="105" spans="1:24" ht="14.5" thickBot="1">
      <c r="A105" s="4"/>
      <c r="B105" s="194"/>
      <c r="C105" s="211"/>
      <c r="D105" s="212"/>
      <c r="E105" s="195"/>
      <c r="F105" s="354"/>
      <c r="G105" s="196"/>
      <c r="H105" s="554"/>
      <c r="I105" s="548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8"/>
    </row>
    <row r="106" spans="1:24" ht="14.25" customHeight="1">
      <c r="B106" s="173">
        <v>10</v>
      </c>
      <c r="C106" s="174" t="s">
        <v>349</v>
      </c>
      <c r="D106" s="174" t="s">
        <v>285</v>
      </c>
      <c r="E106" s="175"/>
      <c r="F106" s="368"/>
      <c r="G106" s="242">
        <f>D182</f>
        <v>8500</v>
      </c>
      <c r="H106" s="562">
        <f>H93</f>
        <v>46091</v>
      </c>
      <c r="I106" s="704">
        <f>SUM(G106:G120)</f>
        <v>59041.9</v>
      </c>
      <c r="J106" s="707">
        <f>F182+F185+F186+F184+F183</f>
        <v>69461.058823529413</v>
      </c>
      <c r="K106" s="243"/>
      <c r="L106" s="173">
        <v>10</v>
      </c>
      <c r="M106" s="333" t="s">
        <v>350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5">(Q106/$X$106*$J$106)</f>
        <v>0</v>
      </c>
      <c r="V106" s="713">
        <f>J106-SUM(U106:U120)</f>
        <v>0</v>
      </c>
      <c r="W106" s="465"/>
      <c r="X106" s="704">
        <f>SUM(Q106:Q120)</f>
        <v>49844.43</v>
      </c>
    </row>
    <row r="107" spans="1:24" ht="14.25" customHeight="1">
      <c r="B107" s="244">
        <v>10</v>
      </c>
      <c r="C107" s="245"/>
      <c r="D107" s="245" t="s">
        <v>286</v>
      </c>
      <c r="E107" s="246"/>
      <c r="F107" s="369"/>
      <c r="G107" s="247">
        <f>D186</f>
        <v>21741.9</v>
      </c>
      <c r="H107" s="563">
        <f>H93</f>
        <v>46091</v>
      </c>
      <c r="I107" s="705"/>
      <c r="J107" s="708"/>
      <c r="K107" s="176"/>
      <c r="L107" s="244">
        <v>10</v>
      </c>
      <c r="M107" s="334" t="s">
        <v>350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4">
        <f t="shared" si="15"/>
        <v>0</v>
      </c>
      <c r="V107" s="714"/>
      <c r="W107" s="466"/>
      <c r="X107" s="705"/>
    </row>
    <row r="108" spans="1:24" ht="14.25" customHeight="1">
      <c r="B108" s="244">
        <v>10</v>
      </c>
      <c r="C108" s="245"/>
      <c r="D108" s="245" t="s">
        <v>351</v>
      </c>
      <c r="E108" s="246"/>
      <c r="F108" s="369"/>
      <c r="G108" s="247">
        <f>D185</f>
        <v>28800</v>
      </c>
      <c r="H108" s="563">
        <f>H93</f>
        <v>46091</v>
      </c>
      <c r="I108" s="705"/>
      <c r="J108" s="708"/>
      <c r="K108" s="176"/>
      <c r="L108" s="244">
        <v>10</v>
      </c>
      <c r="M108" s="334" t="s">
        <v>350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5"/>
        <v>0</v>
      </c>
      <c r="V108" s="714"/>
      <c r="W108" s="466"/>
      <c r="X108" s="705"/>
    </row>
    <row r="109" spans="1:24" ht="14.25" customHeight="1">
      <c r="B109" s="244">
        <v>10</v>
      </c>
      <c r="C109" s="245"/>
      <c r="D109" s="245" t="s">
        <v>287</v>
      </c>
      <c r="E109" s="246"/>
      <c r="F109" s="369"/>
      <c r="G109" s="247">
        <f>D184</f>
        <v>0</v>
      </c>
      <c r="H109" s="563">
        <f>H93</f>
        <v>46091</v>
      </c>
      <c r="I109" s="705"/>
      <c r="J109" s="708"/>
      <c r="K109" s="176"/>
      <c r="L109" s="244">
        <v>10</v>
      </c>
      <c r="M109" s="334" t="s">
        <v>350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5"/>
        <v>0</v>
      </c>
      <c r="V109" s="714"/>
      <c r="W109" s="466"/>
      <c r="X109" s="70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4"/>
      <c r="I110" s="705"/>
      <c r="J110" s="708"/>
      <c r="K110" s="176"/>
      <c r="L110" s="244">
        <v>10</v>
      </c>
      <c r="M110" s="334" t="s">
        <v>350</v>
      </c>
      <c r="N110" s="245" t="s">
        <v>310</v>
      </c>
      <c r="O110" s="495">
        <f>SUM(Z51:Z57)</f>
        <v>49844.43</v>
      </c>
      <c r="P110" s="452">
        <v>0.1</v>
      </c>
      <c r="Q110" s="247">
        <f>$O$110*P110</f>
        <v>4984.4430000000002</v>
      </c>
      <c r="R110" s="719"/>
      <c r="S110" s="515"/>
      <c r="T110" s="425">
        <f>T94</f>
        <v>46081</v>
      </c>
      <c r="U110" s="409">
        <f t="shared" si="15"/>
        <v>6946.105882352942</v>
      </c>
      <c r="V110" s="714"/>
      <c r="W110" s="467">
        <f>W94</f>
        <v>46076</v>
      </c>
      <c r="X110" s="70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4"/>
      <c r="I111" s="705"/>
      <c r="J111" s="708"/>
      <c r="K111" s="176"/>
      <c r="L111" s="244">
        <v>10</v>
      </c>
      <c r="M111" s="334" t="s">
        <v>350</v>
      </c>
      <c r="N111" s="245" t="s">
        <v>158</v>
      </c>
      <c r="O111" s="445"/>
      <c r="P111" s="452">
        <v>0.15</v>
      </c>
      <c r="Q111" s="247">
        <f t="shared" ref="Q111:Q117" si="16">$O$110*P111</f>
        <v>7476.6644999999999</v>
      </c>
      <c r="R111" s="720"/>
      <c r="S111" s="520"/>
      <c r="T111" s="425">
        <f t="shared" ref="T111:T117" si="17">T95</f>
        <v>46081</v>
      </c>
      <c r="U111" s="409">
        <f t="shared" si="15"/>
        <v>10419.158823529411</v>
      </c>
      <c r="V111" s="714"/>
      <c r="W111" s="467">
        <f t="shared" ref="W111:W117" si="18">W95</f>
        <v>46076</v>
      </c>
      <c r="X111" s="70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4"/>
      <c r="I112" s="705"/>
      <c r="J112" s="708"/>
      <c r="K112" s="176"/>
      <c r="L112" s="244">
        <v>10</v>
      </c>
      <c r="M112" s="334" t="s">
        <v>350</v>
      </c>
      <c r="N112" s="245" t="s">
        <v>315</v>
      </c>
      <c r="O112" s="445"/>
      <c r="P112" s="452">
        <v>0.2</v>
      </c>
      <c r="Q112" s="247">
        <f t="shared" si="16"/>
        <v>9968.8860000000004</v>
      </c>
      <c r="R112" s="720"/>
      <c r="S112" s="515"/>
      <c r="T112" s="425">
        <f t="shared" si="17"/>
        <v>46112</v>
      </c>
      <c r="U112" s="409">
        <f t="shared" si="15"/>
        <v>13892.211764705884</v>
      </c>
      <c r="V112" s="714"/>
      <c r="W112" s="467">
        <f t="shared" si="18"/>
        <v>46091</v>
      </c>
      <c r="X112" s="70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4"/>
      <c r="I113" s="705"/>
      <c r="J113" s="708"/>
      <c r="K113" s="176"/>
      <c r="L113" s="244">
        <v>10</v>
      </c>
      <c r="M113" s="334" t="s">
        <v>350</v>
      </c>
      <c r="N113" s="245" t="s">
        <v>317</v>
      </c>
      <c r="O113" s="445"/>
      <c r="P113" s="452">
        <v>0.25</v>
      </c>
      <c r="Q113" s="247">
        <f t="shared" si="16"/>
        <v>12461.1075</v>
      </c>
      <c r="R113" s="720"/>
      <c r="S113" s="515"/>
      <c r="T113" s="425">
        <f t="shared" si="17"/>
        <v>46112</v>
      </c>
      <c r="U113" s="409">
        <f t="shared" si="15"/>
        <v>17365.264705882353</v>
      </c>
      <c r="V113" s="714"/>
      <c r="W113" s="467">
        <f t="shared" si="18"/>
        <v>46107</v>
      </c>
      <c r="X113" s="70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4"/>
      <c r="I114" s="705"/>
      <c r="J114" s="708"/>
      <c r="K114" s="176"/>
      <c r="L114" s="244">
        <v>10</v>
      </c>
      <c r="M114" s="334" t="s">
        <v>350</v>
      </c>
      <c r="N114" s="245" t="s">
        <v>318</v>
      </c>
      <c r="O114" s="445"/>
      <c r="P114" s="452">
        <v>0.1</v>
      </c>
      <c r="Q114" s="247">
        <f t="shared" si="16"/>
        <v>4984.4430000000002</v>
      </c>
      <c r="R114" s="720"/>
      <c r="S114" s="515"/>
      <c r="T114" s="425">
        <f t="shared" si="17"/>
        <v>46142</v>
      </c>
      <c r="U114" s="409">
        <f t="shared" si="15"/>
        <v>6946.105882352942</v>
      </c>
      <c r="V114" s="714"/>
      <c r="W114" s="467">
        <f t="shared" si="18"/>
        <v>46118</v>
      </c>
      <c r="X114" s="70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4"/>
      <c r="I115" s="705"/>
      <c r="J115" s="708"/>
      <c r="K115" s="176"/>
      <c r="L115" s="244">
        <v>10</v>
      </c>
      <c r="M115" s="334" t="s">
        <v>350</v>
      </c>
      <c r="N115" s="245" t="s">
        <v>319</v>
      </c>
      <c r="O115" s="445"/>
      <c r="P115" s="452">
        <v>0.1</v>
      </c>
      <c r="Q115" s="247">
        <f t="shared" si="16"/>
        <v>4984.4430000000002</v>
      </c>
      <c r="R115" s="720"/>
      <c r="S115" s="515"/>
      <c r="T115" s="425">
        <f t="shared" si="17"/>
        <v>46142</v>
      </c>
      <c r="U115" s="409">
        <f t="shared" si="15"/>
        <v>6946.105882352942</v>
      </c>
      <c r="V115" s="714"/>
      <c r="W115" s="467">
        <f t="shared" si="18"/>
        <v>46119</v>
      </c>
      <c r="X115" s="705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4"/>
      <c r="I116" s="705"/>
      <c r="J116" s="708"/>
      <c r="K116" s="176"/>
      <c r="L116" s="244">
        <v>10</v>
      </c>
      <c r="M116" s="334" t="s">
        <v>350</v>
      </c>
      <c r="N116" s="245" t="s">
        <v>320</v>
      </c>
      <c r="O116" s="445"/>
      <c r="P116" s="452">
        <v>0.05</v>
      </c>
      <c r="Q116" s="247">
        <f t="shared" si="16"/>
        <v>2492.2215000000001</v>
      </c>
      <c r="R116" s="720"/>
      <c r="S116" s="515"/>
      <c r="T116" s="425">
        <f t="shared" si="17"/>
        <v>46142</v>
      </c>
      <c r="U116" s="409">
        <f t="shared" si="15"/>
        <v>3473.052941176471</v>
      </c>
      <c r="V116" s="714"/>
      <c r="W116" s="467">
        <f t="shared" si="18"/>
        <v>46119</v>
      </c>
      <c r="X116" s="705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4"/>
      <c r="I117" s="705"/>
      <c r="J117" s="708"/>
      <c r="K117" s="176"/>
      <c r="L117" s="244">
        <v>10</v>
      </c>
      <c r="M117" s="334" t="s">
        <v>350</v>
      </c>
      <c r="N117" s="245" t="s">
        <v>321</v>
      </c>
      <c r="O117" s="445"/>
      <c r="P117" s="452">
        <v>0.05</v>
      </c>
      <c r="Q117" s="247">
        <f t="shared" si="16"/>
        <v>2492.2215000000001</v>
      </c>
      <c r="R117" s="721"/>
      <c r="S117" s="515"/>
      <c r="T117" s="425">
        <f t="shared" si="17"/>
        <v>46142</v>
      </c>
      <c r="U117" s="409">
        <f t="shared" si="15"/>
        <v>3473.052941176471</v>
      </c>
      <c r="V117" s="714"/>
      <c r="W117" s="467">
        <f t="shared" si="18"/>
        <v>46142</v>
      </c>
      <c r="X117" s="705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4"/>
      <c r="I118" s="705"/>
      <c r="J118" s="708"/>
      <c r="K118" s="176"/>
      <c r="L118" s="244">
        <v>10</v>
      </c>
      <c r="M118" s="334" t="s">
        <v>350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5"/>
        <v>0</v>
      </c>
      <c r="V118" s="714"/>
      <c r="W118" s="467"/>
      <c r="X118" s="705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4"/>
      <c r="I119" s="705"/>
      <c r="J119" s="708"/>
      <c r="K119" s="176"/>
      <c r="L119" s="244">
        <v>10</v>
      </c>
      <c r="M119" s="334" t="s">
        <v>350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5"/>
        <v>0</v>
      </c>
      <c r="V119" s="714"/>
      <c r="W119" s="467"/>
      <c r="X119" s="705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5"/>
      <c r="I120" s="706"/>
      <c r="J120" s="709"/>
      <c r="K120" s="179"/>
      <c r="L120" s="177">
        <v>10</v>
      </c>
      <c r="M120" s="335" t="s">
        <v>350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715"/>
      <c r="W120" s="468"/>
      <c r="X120" s="706"/>
    </row>
    <row r="121" spans="1:24" ht="14.5" thickBot="1">
      <c r="A121" s="4"/>
      <c r="B121" s="180"/>
      <c r="C121" s="181"/>
      <c r="D121" s="181"/>
      <c r="E121" s="195"/>
      <c r="F121" s="354"/>
      <c r="G121" s="183"/>
      <c r="H121" s="557"/>
      <c r="I121" s="548"/>
      <c r="J121" s="303"/>
      <c r="K121" s="4"/>
      <c r="L121" s="180"/>
      <c r="M121" s="181"/>
      <c r="N121" s="181"/>
      <c r="O121" s="436"/>
      <c r="P121" s="354"/>
      <c r="Q121" s="535"/>
      <c r="R121" s="478"/>
      <c r="S121" s="509"/>
      <c r="T121" s="414" t="str">
        <f t="shared" si="12"/>
        <v/>
      </c>
      <c r="U121" s="399"/>
      <c r="V121" s="386"/>
      <c r="W121" s="457"/>
      <c r="X121" s="548"/>
    </row>
    <row r="122" spans="1:24" ht="14.25" customHeight="1">
      <c r="B122" s="185">
        <v>11</v>
      </c>
      <c r="C122" s="186" t="s">
        <v>352</v>
      </c>
      <c r="D122" s="255" t="s">
        <v>353</v>
      </c>
      <c r="E122" s="187"/>
      <c r="F122" s="336"/>
      <c r="G122" s="188">
        <v>11000</v>
      </c>
      <c r="H122" s="543">
        <f>'Project Plan'!G41</f>
        <v>46111</v>
      </c>
      <c r="I122" s="677">
        <f>SUM(G122:G127)</f>
        <v>89000</v>
      </c>
      <c r="J122" s="680">
        <f>F181</f>
        <v>104705.88235294117</v>
      </c>
      <c r="K122" s="189"/>
      <c r="L122" s="185">
        <v>11</v>
      </c>
      <c r="M122" s="255" t="s">
        <v>354</v>
      </c>
      <c r="N122" s="255" t="s">
        <v>353</v>
      </c>
      <c r="O122" s="187"/>
      <c r="P122" s="336"/>
      <c r="Q122" s="188">
        <v>12577.5</v>
      </c>
      <c r="R122" s="536"/>
      <c r="S122" s="508"/>
      <c r="T122" s="418">
        <f t="shared" si="12"/>
        <v>46142</v>
      </c>
      <c r="U122" s="397">
        <f t="shared" ref="U122:U127" si="19">(Q122/$X$122*$J$122)</f>
        <v>14980.446418835589</v>
      </c>
      <c r="V122" s="692">
        <f>J122-SUM(U122:U127)</f>
        <v>0</v>
      </c>
      <c r="W122" s="461">
        <f>'Project Plan'!K41+14</f>
        <v>46125</v>
      </c>
      <c r="X122" s="677">
        <f>SUM(Q122:Q127)</f>
        <v>87910.48</v>
      </c>
    </row>
    <row r="123" spans="1:24" ht="15" customHeight="1">
      <c r="B123" s="215">
        <v>11</v>
      </c>
      <c r="C123" s="217"/>
      <c r="D123" s="217" t="s">
        <v>355</v>
      </c>
      <c r="E123" s="218"/>
      <c r="F123" s="357"/>
      <c r="G123" s="219">
        <v>18000</v>
      </c>
      <c r="H123" s="543">
        <f>H122</f>
        <v>46111</v>
      </c>
      <c r="I123" s="678"/>
      <c r="J123" s="681"/>
      <c r="K123" s="192"/>
      <c r="L123" s="215">
        <v>11</v>
      </c>
      <c r="M123" s="290" t="s">
        <v>354</v>
      </c>
      <c r="N123" s="217" t="s">
        <v>356</v>
      </c>
      <c r="O123" s="218"/>
      <c r="P123" s="357"/>
      <c r="Q123" s="219">
        <v>7690.9</v>
      </c>
      <c r="R123" s="518"/>
      <c r="S123" s="501" t="s">
        <v>357</v>
      </c>
      <c r="T123" s="627">
        <v>46053</v>
      </c>
      <c r="U123" s="397">
        <f t="shared" si="19"/>
        <v>9160.2556440169046</v>
      </c>
      <c r="V123" s="693"/>
      <c r="W123" s="628">
        <v>45526</v>
      </c>
      <c r="X123" s="678"/>
    </row>
    <row r="124" spans="1:24" ht="15" customHeight="1">
      <c r="B124" s="215">
        <v>11</v>
      </c>
      <c r="C124" s="217"/>
      <c r="D124" s="217" t="s">
        <v>358</v>
      </c>
      <c r="E124" s="218"/>
      <c r="F124" s="357"/>
      <c r="G124" s="219">
        <v>60000</v>
      </c>
      <c r="H124" s="543">
        <f>H123</f>
        <v>46111</v>
      </c>
      <c r="I124" s="678"/>
      <c r="J124" s="681"/>
      <c r="K124" s="192"/>
      <c r="L124" s="215">
        <v>11</v>
      </c>
      <c r="M124" s="290" t="s">
        <v>354</v>
      </c>
      <c r="N124" s="217" t="s">
        <v>358</v>
      </c>
      <c r="O124" s="218"/>
      <c r="P124" s="357"/>
      <c r="Q124" s="219">
        <v>50000</v>
      </c>
      <c r="R124" s="470"/>
      <c r="S124" s="501"/>
      <c r="T124" s="411">
        <v>46081</v>
      </c>
      <c r="U124" s="397">
        <f t="shared" si="19"/>
        <v>59552.559804554119</v>
      </c>
      <c r="V124" s="693"/>
      <c r="W124" s="454">
        <f>T124+30</f>
        <v>46111</v>
      </c>
      <c r="X124" s="678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2"/>
      <c r="I125" s="678"/>
      <c r="J125" s="681"/>
      <c r="K125" s="192"/>
      <c r="L125" s="215">
        <v>11</v>
      </c>
      <c r="M125" s="290" t="s">
        <v>354</v>
      </c>
      <c r="N125" s="288" t="s">
        <v>359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 t="shared" si="19"/>
        <v>7146.3071765464947</v>
      </c>
      <c r="V125" s="693"/>
      <c r="W125" s="455">
        <f>T125+7</f>
        <v>46119</v>
      </c>
      <c r="X125" s="678"/>
    </row>
    <row r="126" spans="1:24" ht="15" customHeight="1">
      <c r="B126" s="284"/>
      <c r="C126" s="288"/>
      <c r="D126" s="288"/>
      <c r="E126" s="307"/>
      <c r="F126" s="343"/>
      <c r="G126" s="287"/>
      <c r="H126" s="552"/>
      <c r="I126" s="678"/>
      <c r="J126" s="681"/>
      <c r="K126" s="192"/>
      <c r="L126" s="215">
        <v>11</v>
      </c>
      <c r="M126" s="290" t="s">
        <v>354</v>
      </c>
      <c r="N126" s="288" t="s">
        <v>360</v>
      </c>
      <c r="O126" s="434"/>
      <c r="P126" s="343"/>
      <c r="Q126" s="287">
        <v>9900</v>
      </c>
      <c r="R126" s="471"/>
      <c r="S126" s="502" t="s">
        <v>361</v>
      </c>
      <c r="T126" s="631">
        <v>46053</v>
      </c>
      <c r="U126" s="397">
        <f t="shared" si="19"/>
        <v>11791.406841301716</v>
      </c>
      <c r="V126" s="693"/>
      <c r="W126" s="632">
        <v>46015</v>
      </c>
      <c r="X126" s="678"/>
    </row>
    <row r="127" spans="1:24" ht="15" customHeight="1" thickBot="1">
      <c r="B127" s="220">
        <v>11</v>
      </c>
      <c r="C127" s="221"/>
      <c r="D127" s="221"/>
      <c r="E127" s="222"/>
      <c r="F127" s="358"/>
      <c r="G127" s="234"/>
      <c r="H127" s="553"/>
      <c r="I127" s="679"/>
      <c r="J127" s="682"/>
      <c r="K127" s="193"/>
      <c r="L127" s="220">
        <v>11</v>
      </c>
      <c r="M127" s="318" t="s">
        <v>354</v>
      </c>
      <c r="N127" s="221" t="s">
        <v>360</v>
      </c>
      <c r="O127" s="222"/>
      <c r="P127" s="358"/>
      <c r="Q127" s="234">
        <v>1742.08</v>
      </c>
      <c r="R127" s="472"/>
      <c r="S127" s="503" t="s">
        <v>362</v>
      </c>
      <c r="T127" s="553">
        <v>46053</v>
      </c>
      <c r="U127" s="398">
        <f t="shared" si="19"/>
        <v>2074.9064676863527</v>
      </c>
      <c r="V127" s="694"/>
      <c r="W127" s="624">
        <v>45989</v>
      </c>
      <c r="X127" s="679"/>
    </row>
    <row r="128" spans="1:24" ht="15" customHeight="1" thickBot="1">
      <c r="A128" s="4"/>
      <c r="B128" s="194"/>
      <c r="C128" s="181"/>
      <c r="D128" s="181"/>
      <c r="E128" s="195"/>
      <c r="F128" s="354"/>
      <c r="G128" s="196"/>
      <c r="H128" s="554"/>
      <c r="I128" s="548"/>
      <c r="J128" s="184"/>
      <c r="K128" s="4"/>
      <c r="L128" s="194"/>
      <c r="M128" s="181"/>
      <c r="N128" s="181"/>
      <c r="O128" s="436"/>
      <c r="P128" s="354"/>
      <c r="Q128" s="196"/>
      <c r="R128" s="473"/>
      <c r="S128" s="504"/>
      <c r="T128" s="414" t="str">
        <f t="shared" si="12"/>
        <v/>
      </c>
      <c r="U128" s="403"/>
      <c r="V128" s="385"/>
      <c r="W128" s="457"/>
      <c r="X128" s="548"/>
    </row>
    <row r="129" spans="1:24">
      <c r="B129" s="173">
        <v>12</v>
      </c>
      <c r="C129" s="174" t="s">
        <v>363</v>
      </c>
      <c r="D129" s="174" t="s">
        <v>364</v>
      </c>
      <c r="E129" s="175"/>
      <c r="F129" s="368"/>
      <c r="G129" s="242">
        <v>0</v>
      </c>
      <c r="H129" s="562"/>
      <c r="I129" s="704">
        <f>SUM(G129:G130)</f>
        <v>0</v>
      </c>
      <c r="J129" s="707">
        <v>0</v>
      </c>
      <c r="K129" s="725"/>
      <c r="L129" s="173">
        <v>12</v>
      </c>
      <c r="M129" s="174" t="s">
        <v>365</v>
      </c>
      <c r="N129" s="174" t="s">
        <v>364</v>
      </c>
      <c r="O129" s="444"/>
      <c r="P129" s="368"/>
      <c r="Q129" s="242">
        <f>G129</f>
        <v>0</v>
      </c>
      <c r="R129" s="483"/>
      <c r="S129" s="513"/>
      <c r="T129" s="423" t="str">
        <f t="shared" si="12"/>
        <v/>
      </c>
      <c r="U129" s="408"/>
      <c r="V129" s="384"/>
      <c r="W129" s="465"/>
      <c r="X129" s="704">
        <f>SUM(Q129:Q130)</f>
        <v>0</v>
      </c>
    </row>
    <row r="130" spans="1:24" ht="15" customHeight="1" thickBot="1">
      <c r="B130" s="177">
        <v>12</v>
      </c>
      <c r="C130" s="248" t="s">
        <v>363</v>
      </c>
      <c r="D130" s="248"/>
      <c r="E130" s="249"/>
      <c r="F130" s="370"/>
      <c r="G130" s="178"/>
      <c r="H130" s="565"/>
      <c r="I130" s="706"/>
      <c r="J130" s="709"/>
      <c r="K130" s="726"/>
      <c r="L130" s="177">
        <v>12</v>
      </c>
      <c r="M130" s="248" t="s">
        <v>365</v>
      </c>
      <c r="N130" s="248"/>
      <c r="O130" s="446"/>
      <c r="P130" s="370"/>
      <c r="Q130" s="178"/>
      <c r="R130" s="486"/>
      <c r="S130" s="516"/>
      <c r="T130" s="426" t="str">
        <f t="shared" si="12"/>
        <v/>
      </c>
      <c r="U130" s="410"/>
      <c r="V130" s="383"/>
      <c r="W130" s="468"/>
      <c r="X130" s="706"/>
    </row>
    <row r="131" spans="1:24" ht="14.5" thickBot="1">
      <c r="A131" s="4"/>
      <c r="B131" s="194"/>
      <c r="C131" s="181"/>
      <c r="D131" s="181"/>
      <c r="E131" s="195"/>
      <c r="F131" s="354"/>
      <c r="G131" s="196"/>
      <c r="H131" s="554"/>
      <c r="I131" s="549"/>
      <c r="J131" s="230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2"/>
        <v/>
      </c>
      <c r="U131" s="403"/>
      <c r="V131" s="385"/>
      <c r="W131" s="457"/>
      <c r="X131" s="549"/>
    </row>
    <row r="132" spans="1:24" ht="15.75" customHeight="1">
      <c r="B132" s="185">
        <v>13</v>
      </c>
      <c r="C132" s="186" t="s">
        <v>366</v>
      </c>
      <c r="D132" s="255" t="s">
        <v>367</v>
      </c>
      <c r="E132" s="187"/>
      <c r="F132" s="336"/>
      <c r="G132" s="188">
        <v>13718.458961956521</v>
      </c>
      <c r="H132" s="543">
        <f>'Project Plan'!G50</f>
        <v>46127</v>
      </c>
      <c r="I132" s="677">
        <f>SUM(G132:G136)</f>
        <v>90875.738961956522</v>
      </c>
      <c r="J132" s="680">
        <f>F180</f>
        <v>106912.63407289002</v>
      </c>
      <c r="K132" s="189"/>
      <c r="L132" s="185">
        <v>13</v>
      </c>
      <c r="M132" s="255" t="s">
        <v>368</v>
      </c>
      <c r="N132" s="255" t="s">
        <v>369</v>
      </c>
      <c r="O132" s="432"/>
      <c r="P132" s="336"/>
      <c r="Q132" s="188">
        <f>'Project Plan'!$E$6*1.25%</f>
        <v>18015.380965414468</v>
      </c>
      <c r="R132" s="477"/>
      <c r="S132" s="508"/>
      <c r="T132" s="418">
        <f t="shared" si="12"/>
        <v>46112</v>
      </c>
      <c r="U132" s="404">
        <f t="shared" ref="U132:U137" si="20">(Q132/$X$132*$J$132)</f>
        <v>20237.658727846177</v>
      </c>
      <c r="V132" s="692">
        <f>J132-SUM(U132:U137)</f>
        <v>0</v>
      </c>
      <c r="W132" s="461">
        <f>'Project Plan'!K41</f>
        <v>46111</v>
      </c>
      <c r="X132" s="677">
        <f>SUM(Q132:Q137)</f>
        <v>95172.66096541447</v>
      </c>
    </row>
    <row r="133" spans="1:24" ht="15.75" customHeight="1">
      <c r="B133" s="215">
        <v>13</v>
      </c>
      <c r="C133" s="217"/>
      <c r="D133" s="217" t="s">
        <v>370</v>
      </c>
      <c r="E133" s="218"/>
      <c r="F133" s="357"/>
      <c r="G133" s="219">
        <v>9600</v>
      </c>
      <c r="H133" s="542">
        <v>46092</v>
      </c>
      <c r="I133" s="678"/>
      <c r="J133" s="681"/>
      <c r="K133" s="192"/>
      <c r="L133" s="215">
        <v>13</v>
      </c>
      <c r="M133" s="290" t="s">
        <v>368</v>
      </c>
      <c r="N133" s="217" t="s">
        <v>370</v>
      </c>
      <c r="O133" s="218"/>
      <c r="P133" s="357"/>
      <c r="Q133" s="219">
        <v>9600</v>
      </c>
      <c r="R133" s="470"/>
      <c r="S133" s="501"/>
      <c r="T133" s="411">
        <f t="shared" si="12"/>
        <v>46112</v>
      </c>
      <c r="U133" s="396">
        <f t="shared" si="20"/>
        <v>10784.202907521118</v>
      </c>
      <c r="V133" s="693"/>
      <c r="W133" s="454">
        <f>W132</f>
        <v>46111</v>
      </c>
      <c r="X133" s="678"/>
    </row>
    <row r="134" spans="1:24" ht="15.75" customHeight="1">
      <c r="B134" s="215">
        <v>13</v>
      </c>
      <c r="C134" s="217"/>
      <c r="D134" s="217" t="s">
        <v>371</v>
      </c>
      <c r="E134" s="218"/>
      <c r="F134" s="357"/>
      <c r="G134" s="219">
        <v>32640</v>
      </c>
      <c r="H134" s="542">
        <v>46092</v>
      </c>
      <c r="I134" s="678"/>
      <c r="J134" s="681"/>
      <c r="K134" s="192"/>
      <c r="L134" s="215">
        <v>13</v>
      </c>
      <c r="M134" s="290" t="s">
        <v>368</v>
      </c>
      <c r="N134" s="217" t="s">
        <v>371</v>
      </c>
      <c r="O134" s="218"/>
      <c r="P134" s="357"/>
      <c r="Q134" s="219">
        <v>32640</v>
      </c>
      <c r="R134" s="470"/>
      <c r="S134" s="501"/>
      <c r="T134" s="411">
        <f t="shared" si="12"/>
        <v>46112</v>
      </c>
      <c r="U134" s="396">
        <f t="shared" si="20"/>
        <v>36666.289885571801</v>
      </c>
      <c r="V134" s="693"/>
      <c r="W134" s="454">
        <f t="shared" ref="W134:W136" si="21">W133</f>
        <v>46111</v>
      </c>
      <c r="X134" s="678"/>
    </row>
    <row r="135" spans="1:24" ht="15.75" customHeight="1">
      <c r="B135" s="215">
        <v>13</v>
      </c>
      <c r="C135" s="217"/>
      <c r="D135" s="217" t="s">
        <v>372</v>
      </c>
      <c r="E135" s="218"/>
      <c r="F135" s="357"/>
      <c r="G135" s="219">
        <v>12480</v>
      </c>
      <c r="H135" s="542">
        <v>46092</v>
      </c>
      <c r="I135" s="678"/>
      <c r="J135" s="681"/>
      <c r="K135" s="192"/>
      <c r="L135" s="215">
        <v>13</v>
      </c>
      <c r="M135" s="290" t="s">
        <v>368</v>
      </c>
      <c r="N135" s="217" t="s">
        <v>372</v>
      </c>
      <c r="O135" s="218"/>
      <c r="P135" s="357"/>
      <c r="Q135" s="219">
        <v>12480</v>
      </c>
      <c r="R135" s="470"/>
      <c r="S135" s="501"/>
      <c r="T135" s="411">
        <f t="shared" si="12"/>
        <v>46112</v>
      </c>
      <c r="U135" s="396">
        <f t="shared" si="20"/>
        <v>14019.463779777452</v>
      </c>
      <c r="V135" s="693"/>
      <c r="W135" s="454">
        <f t="shared" si="21"/>
        <v>46111</v>
      </c>
      <c r="X135" s="678"/>
    </row>
    <row r="136" spans="1:24" ht="15.75" customHeight="1">
      <c r="B136" s="215">
        <v>13</v>
      </c>
      <c r="C136" s="217"/>
      <c r="D136" s="217" t="s">
        <v>373</v>
      </c>
      <c r="E136" s="218"/>
      <c r="F136" s="357"/>
      <c r="G136" s="219">
        <v>22437.279999999999</v>
      </c>
      <c r="H136" s="542">
        <v>46092</v>
      </c>
      <c r="I136" s="678"/>
      <c r="J136" s="681"/>
      <c r="K136" s="192"/>
      <c r="L136" s="215">
        <v>13</v>
      </c>
      <c r="M136" s="290" t="s">
        <v>368</v>
      </c>
      <c r="N136" s="217" t="s">
        <v>373</v>
      </c>
      <c r="O136" s="218"/>
      <c r="P136" s="357"/>
      <c r="Q136" s="219">
        <v>22437.279999999999</v>
      </c>
      <c r="R136" s="470"/>
      <c r="S136" s="501"/>
      <c r="T136" s="411">
        <f t="shared" si="12"/>
        <v>46112</v>
      </c>
      <c r="U136" s="396">
        <f t="shared" si="20"/>
        <v>25205.018772173476</v>
      </c>
      <c r="V136" s="693"/>
      <c r="W136" s="454">
        <f t="shared" si="21"/>
        <v>46111</v>
      </c>
      <c r="X136" s="678"/>
    </row>
    <row r="137" spans="1:24" ht="15.75" customHeight="1" thickBot="1">
      <c r="B137" s="220">
        <v>13</v>
      </c>
      <c r="C137" s="221"/>
      <c r="D137" s="221"/>
      <c r="E137" s="222"/>
      <c r="F137" s="358"/>
      <c r="G137" s="234"/>
      <c r="H137" s="553"/>
      <c r="I137" s="679"/>
      <c r="J137" s="682"/>
      <c r="K137" s="267"/>
      <c r="L137" s="220">
        <v>13</v>
      </c>
      <c r="M137" s="318" t="s">
        <v>368</v>
      </c>
      <c r="N137" s="221"/>
      <c r="O137" s="435"/>
      <c r="P137" s="358"/>
      <c r="Q137" s="234"/>
      <c r="R137" s="472"/>
      <c r="S137" s="503"/>
      <c r="T137" s="413" t="str">
        <f t="shared" si="12"/>
        <v/>
      </c>
      <c r="U137" s="398">
        <f t="shared" si="20"/>
        <v>0</v>
      </c>
      <c r="V137" s="694"/>
      <c r="W137" s="456"/>
      <c r="X137" s="679"/>
    </row>
    <row r="138" spans="1:24" ht="14.5" thickBot="1">
      <c r="A138" s="4"/>
      <c r="B138" s="194"/>
      <c r="C138" s="181"/>
      <c r="D138" s="181"/>
      <c r="E138" s="195"/>
      <c r="F138" s="354"/>
      <c r="G138" s="196"/>
      <c r="H138" s="554"/>
      <c r="I138" s="548"/>
      <c r="J138" s="184"/>
      <c r="K138" s="4"/>
      <c r="L138" s="194"/>
      <c r="M138" s="181"/>
      <c r="N138" s="181"/>
      <c r="O138" s="436"/>
      <c r="P138" s="354"/>
      <c r="Q138" s="196"/>
      <c r="R138" s="473"/>
      <c r="S138" s="504"/>
      <c r="T138" s="414" t="str">
        <f t="shared" si="12"/>
        <v/>
      </c>
      <c r="U138" s="403"/>
      <c r="V138" s="385"/>
      <c r="W138" s="457"/>
      <c r="X138" s="549"/>
    </row>
    <row r="139" spans="1:24" ht="14.25" customHeight="1">
      <c r="B139" s="173">
        <v>14</v>
      </c>
      <c r="C139" s="174" t="s">
        <v>374</v>
      </c>
      <c r="D139" s="174" t="s">
        <v>375</v>
      </c>
      <c r="E139" s="175"/>
      <c r="F139" s="368"/>
      <c r="G139" s="242">
        <f>D191</f>
        <v>2100</v>
      </c>
      <c r="H139" s="562">
        <f>'Project Plan'!G50</f>
        <v>46127</v>
      </c>
      <c r="I139" s="704">
        <f>SUM(G139:G150)</f>
        <v>2100</v>
      </c>
      <c r="J139" s="707">
        <f>F191</f>
        <v>2470.5882352941176</v>
      </c>
      <c r="K139" s="243"/>
      <c r="L139" s="173">
        <v>14</v>
      </c>
      <c r="M139" s="333" t="s">
        <v>376</v>
      </c>
      <c r="N139" s="174" t="s">
        <v>377</v>
      </c>
      <c r="O139" s="444"/>
      <c r="P139" s="528"/>
      <c r="Q139" s="533">
        <f>$G$139/4</f>
        <v>525</v>
      </c>
      <c r="R139" s="530"/>
      <c r="S139" s="519"/>
      <c r="T139" s="423">
        <v>46081</v>
      </c>
      <c r="U139" s="408">
        <f t="shared" ref="U139:U150" si="22">(Q139/$X$139*$J$139)</f>
        <v>617.64705882352939</v>
      </c>
      <c r="V139" s="713">
        <f>J139-SUM(U139:U150)</f>
        <v>0</v>
      </c>
      <c r="W139" s="467">
        <f>T139+7</f>
        <v>46088</v>
      </c>
      <c r="X139" s="704">
        <f>SUM(Q139:Q150)</f>
        <v>2100</v>
      </c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4"/>
      <c r="I140" s="705"/>
      <c r="J140" s="708"/>
      <c r="K140" s="176"/>
      <c r="L140" s="244">
        <v>14</v>
      </c>
      <c r="M140" s="334" t="s">
        <v>376</v>
      </c>
      <c r="N140" s="245" t="s">
        <v>377</v>
      </c>
      <c r="O140" s="445"/>
      <c r="P140" s="529"/>
      <c r="Q140" s="532">
        <f>$G$139/4</f>
        <v>525</v>
      </c>
      <c r="R140" s="531"/>
      <c r="S140" s="519"/>
      <c r="T140" s="425">
        <v>46112</v>
      </c>
      <c r="U140" s="409">
        <f t="shared" si="22"/>
        <v>617.64705882352939</v>
      </c>
      <c r="V140" s="714"/>
      <c r="W140" s="467">
        <f t="shared" ref="W140:W142" si="23">T140+7</f>
        <v>46119</v>
      </c>
      <c r="X140" s="70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4"/>
      <c r="I141" s="705"/>
      <c r="J141" s="708"/>
      <c r="K141" s="176"/>
      <c r="L141" s="244">
        <v>14</v>
      </c>
      <c r="M141" s="334" t="s">
        <v>376</v>
      </c>
      <c r="N141" s="245" t="s">
        <v>377</v>
      </c>
      <c r="O141" s="445"/>
      <c r="P141" s="369"/>
      <c r="Q141" s="247">
        <f>$G$139/4</f>
        <v>525</v>
      </c>
      <c r="R141" s="485"/>
      <c r="S141" s="519"/>
      <c r="T141" s="425">
        <v>46142</v>
      </c>
      <c r="U141" s="409">
        <f t="shared" si="22"/>
        <v>617.64705882352939</v>
      </c>
      <c r="V141" s="714"/>
      <c r="W141" s="467">
        <f t="shared" si="23"/>
        <v>46149</v>
      </c>
      <c r="X141" s="70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4"/>
      <c r="I142" s="705"/>
      <c r="J142" s="708"/>
      <c r="K142" s="176"/>
      <c r="L142" s="244">
        <v>14</v>
      </c>
      <c r="M142" s="334" t="s">
        <v>376</v>
      </c>
      <c r="N142" s="245" t="s">
        <v>377</v>
      </c>
      <c r="O142" s="445"/>
      <c r="P142" s="369"/>
      <c r="Q142" s="247">
        <f>$G$139/4</f>
        <v>525</v>
      </c>
      <c r="R142" s="485"/>
      <c r="S142" s="513"/>
      <c r="T142" s="425">
        <v>46173</v>
      </c>
      <c r="U142" s="409">
        <f t="shared" si="22"/>
        <v>617.64705882352939</v>
      </c>
      <c r="V142" s="714"/>
      <c r="W142" s="467">
        <f t="shared" si="23"/>
        <v>46180</v>
      </c>
      <c r="X142" s="70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4"/>
      <c r="I143" s="705"/>
      <c r="J143" s="708"/>
      <c r="K143" s="176"/>
      <c r="L143" s="244">
        <v>14</v>
      </c>
      <c r="M143" s="334" t="s">
        <v>376</v>
      </c>
      <c r="N143" s="245" t="s">
        <v>377</v>
      </c>
      <c r="O143" s="445"/>
      <c r="P143" s="369"/>
      <c r="Q143" s="247"/>
      <c r="R143" s="485"/>
      <c r="S143" s="513"/>
      <c r="T143" s="425" t="str">
        <f t="shared" ref="T143:T163" si="24">IF(W143&gt;1,EOMONTH(W143,0),"")</f>
        <v/>
      </c>
      <c r="U143" s="409">
        <f t="shared" si="22"/>
        <v>0</v>
      </c>
      <c r="V143" s="714"/>
      <c r="W143" s="467"/>
      <c r="X143" s="70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4"/>
      <c r="I144" s="705"/>
      <c r="J144" s="708"/>
      <c r="K144" s="176"/>
      <c r="L144" s="244">
        <v>14</v>
      </c>
      <c r="M144" s="334" t="s">
        <v>376</v>
      </c>
      <c r="N144" s="245" t="s">
        <v>377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14"/>
      <c r="W144" s="467"/>
      <c r="X144" s="705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4"/>
      <c r="I145" s="705"/>
      <c r="J145" s="708"/>
      <c r="K145" s="176"/>
      <c r="L145" s="244">
        <v>14</v>
      </c>
      <c r="M145" s="334" t="s">
        <v>376</v>
      </c>
      <c r="N145" s="245" t="s">
        <v>377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714"/>
      <c r="W145" s="467"/>
      <c r="X145" s="705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4"/>
      <c r="I146" s="705"/>
      <c r="J146" s="708"/>
      <c r="K146" s="176"/>
      <c r="L146" s="244">
        <v>14</v>
      </c>
      <c r="M146" s="334" t="s">
        <v>376</v>
      </c>
      <c r="N146" s="245" t="s">
        <v>377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714"/>
      <c r="W146" s="467"/>
      <c r="X146" s="705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4"/>
      <c r="I147" s="705"/>
      <c r="J147" s="708"/>
      <c r="K147" s="176"/>
      <c r="L147" s="244">
        <v>14</v>
      </c>
      <c r="M147" s="334" t="s">
        <v>376</v>
      </c>
      <c r="N147" s="245" t="s">
        <v>377</v>
      </c>
      <c r="O147" s="445"/>
      <c r="P147" s="369"/>
      <c r="Q147" s="247"/>
      <c r="R147" s="485"/>
      <c r="S147" s="513"/>
      <c r="T147" s="425" t="str">
        <f t="shared" si="24"/>
        <v/>
      </c>
      <c r="U147" s="409">
        <f t="shared" si="22"/>
        <v>0</v>
      </c>
      <c r="V147" s="714"/>
      <c r="W147" s="467"/>
      <c r="X147" s="705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4"/>
      <c r="I148" s="705"/>
      <c r="J148" s="708"/>
      <c r="K148" s="176"/>
      <c r="L148" s="244">
        <v>14</v>
      </c>
      <c r="M148" s="334" t="s">
        <v>376</v>
      </c>
      <c r="N148" s="245" t="s">
        <v>377</v>
      </c>
      <c r="O148" s="445"/>
      <c r="P148" s="369"/>
      <c r="Q148" s="247"/>
      <c r="R148" s="485"/>
      <c r="S148" s="513"/>
      <c r="T148" s="425" t="str">
        <f t="shared" si="24"/>
        <v/>
      </c>
      <c r="U148" s="409">
        <f t="shared" si="22"/>
        <v>0</v>
      </c>
      <c r="V148" s="714"/>
      <c r="W148" s="467"/>
      <c r="X148" s="705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4"/>
      <c r="I149" s="705"/>
      <c r="J149" s="708"/>
      <c r="K149" s="176"/>
      <c r="L149" s="244">
        <v>14</v>
      </c>
      <c r="M149" s="334" t="s">
        <v>376</v>
      </c>
      <c r="N149" s="245"/>
      <c r="O149" s="445"/>
      <c r="P149" s="369"/>
      <c r="Q149" s="247"/>
      <c r="R149" s="485"/>
      <c r="S149" s="515"/>
      <c r="T149" s="425" t="str">
        <f t="shared" si="24"/>
        <v/>
      </c>
      <c r="U149" s="409">
        <f t="shared" si="22"/>
        <v>0</v>
      </c>
      <c r="V149" s="714"/>
      <c r="W149" s="467"/>
      <c r="X149" s="705"/>
    </row>
    <row r="150" spans="1:24" ht="15" customHeight="1" thickBot="1">
      <c r="B150" s="177">
        <v>14</v>
      </c>
      <c r="C150" s="248"/>
      <c r="D150" s="248"/>
      <c r="E150" s="249"/>
      <c r="F150" s="370"/>
      <c r="G150" s="178"/>
      <c r="H150" s="565"/>
      <c r="I150" s="706"/>
      <c r="J150" s="709"/>
      <c r="K150" s="179"/>
      <c r="L150" s="177">
        <v>14</v>
      </c>
      <c r="M150" s="335" t="s">
        <v>376</v>
      </c>
      <c r="N150" s="248"/>
      <c r="O150" s="446"/>
      <c r="P150" s="370"/>
      <c r="Q150" s="178"/>
      <c r="R150" s="486"/>
      <c r="S150" s="516"/>
      <c r="T150" s="426" t="str">
        <f t="shared" si="24"/>
        <v/>
      </c>
      <c r="U150" s="410">
        <f t="shared" si="22"/>
        <v>0</v>
      </c>
      <c r="V150" s="715"/>
      <c r="W150" s="468"/>
      <c r="X150" s="706"/>
    </row>
    <row r="151" spans="1:24" ht="14.5" thickBot="1">
      <c r="A151" s="4"/>
      <c r="B151" s="194"/>
      <c r="C151" s="181"/>
      <c r="D151" s="181"/>
      <c r="E151" s="195"/>
      <c r="F151" s="354"/>
      <c r="G151" s="196"/>
      <c r="H151" s="554"/>
      <c r="I151" s="550"/>
      <c r="J151" s="250"/>
      <c r="K151" s="4"/>
      <c r="L151" s="194"/>
      <c r="M151" s="181"/>
      <c r="N151" s="181"/>
      <c r="O151" s="436"/>
      <c r="P151" s="354"/>
      <c r="Q151" s="196"/>
      <c r="R151" s="473"/>
      <c r="S151" s="504"/>
      <c r="T151" s="414" t="str">
        <f t="shared" si="24"/>
        <v/>
      </c>
      <c r="U151" s="403"/>
      <c r="V151" s="385"/>
      <c r="W151" s="457"/>
      <c r="X151" s="550"/>
    </row>
    <row r="152" spans="1:24">
      <c r="B152" s="185">
        <v>15</v>
      </c>
      <c r="C152" s="186" t="s">
        <v>378</v>
      </c>
      <c r="D152" s="186"/>
      <c r="E152" s="187"/>
      <c r="F152" s="336"/>
      <c r="G152" s="188"/>
      <c r="H152" s="543"/>
      <c r="I152" s="677">
        <f>SUM(G152:G163)</f>
        <v>0</v>
      </c>
      <c r="J152" s="680">
        <f>F188</f>
        <v>0</v>
      </c>
      <c r="K152" s="189"/>
      <c r="L152" s="185">
        <v>15</v>
      </c>
      <c r="M152" s="255" t="s">
        <v>379</v>
      </c>
      <c r="N152" s="186"/>
      <c r="O152" s="187"/>
      <c r="P152" s="336"/>
      <c r="Q152" s="188"/>
      <c r="R152" s="477"/>
      <c r="S152" s="508"/>
      <c r="T152" s="418" t="str">
        <f t="shared" si="24"/>
        <v/>
      </c>
      <c r="U152" s="404"/>
      <c r="V152" s="692">
        <v>0</v>
      </c>
      <c r="W152" s="461"/>
      <c r="X152" s="677">
        <f>SUM(Q152:Q163)</f>
        <v>0</v>
      </c>
    </row>
    <row r="153" spans="1:24">
      <c r="B153" s="215">
        <v>15</v>
      </c>
      <c r="C153" s="217"/>
      <c r="D153" s="217"/>
      <c r="E153" s="218"/>
      <c r="F153" s="357"/>
      <c r="G153" s="219"/>
      <c r="H153" s="542"/>
      <c r="I153" s="678"/>
      <c r="J153" s="681"/>
      <c r="K153" s="192"/>
      <c r="L153" s="215">
        <v>15</v>
      </c>
      <c r="M153" s="290" t="s">
        <v>379</v>
      </c>
      <c r="N153" s="217"/>
      <c r="O153" s="433"/>
      <c r="P153" s="357"/>
      <c r="Q153" s="219"/>
      <c r="R153" s="470"/>
      <c r="S153" s="501"/>
      <c r="T153" s="411"/>
      <c r="U153" s="396"/>
      <c r="V153" s="693"/>
      <c r="W153" s="454"/>
      <c r="X153" s="678"/>
    </row>
    <row r="154" spans="1:24">
      <c r="B154" s="215">
        <v>15</v>
      </c>
      <c r="C154" s="217"/>
      <c r="D154" s="217"/>
      <c r="E154" s="218"/>
      <c r="F154" s="357"/>
      <c r="G154" s="219"/>
      <c r="H154" s="542"/>
      <c r="I154" s="678"/>
      <c r="J154" s="681"/>
      <c r="K154" s="192"/>
      <c r="L154" s="215">
        <v>15</v>
      </c>
      <c r="M154" s="290" t="s">
        <v>379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93"/>
      <c r="W154" s="454"/>
      <c r="X154" s="678"/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78"/>
      <c r="J155" s="681"/>
      <c r="K155" s="192"/>
      <c r="L155" s="215">
        <v>15</v>
      </c>
      <c r="M155" s="290" t="s">
        <v>379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93"/>
      <c r="W155" s="454"/>
      <c r="X155" s="678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78"/>
      <c r="J156" s="681"/>
      <c r="K156" s="192"/>
      <c r="L156" s="215">
        <v>15</v>
      </c>
      <c r="M156" s="290" t="s">
        <v>379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93"/>
      <c r="W156" s="454"/>
      <c r="X156" s="678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78"/>
      <c r="J157" s="681"/>
      <c r="K157" s="192"/>
      <c r="L157" s="215">
        <v>15</v>
      </c>
      <c r="M157" s="290" t="s">
        <v>379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93"/>
      <c r="W157" s="454"/>
      <c r="X157" s="678"/>
    </row>
    <row r="158" spans="1:24">
      <c r="B158" s="215">
        <v>15</v>
      </c>
      <c r="C158" s="217"/>
      <c r="D158" s="217"/>
      <c r="E158" s="218"/>
      <c r="F158" s="357"/>
      <c r="G158" s="219"/>
      <c r="H158" s="542"/>
      <c r="I158" s="678"/>
      <c r="J158" s="681"/>
      <c r="K158" s="192"/>
      <c r="L158" s="215">
        <v>15</v>
      </c>
      <c r="M158" s="290" t="s">
        <v>379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693"/>
      <c r="W158" s="454"/>
      <c r="X158" s="678"/>
    </row>
    <row r="159" spans="1:24">
      <c r="B159" s="215">
        <v>15</v>
      </c>
      <c r="C159" s="217"/>
      <c r="D159" s="217"/>
      <c r="E159" s="218"/>
      <c r="F159" s="357"/>
      <c r="G159" s="219"/>
      <c r="H159" s="542"/>
      <c r="I159" s="678"/>
      <c r="J159" s="681"/>
      <c r="K159" s="192"/>
      <c r="L159" s="215">
        <v>15</v>
      </c>
      <c r="M159" s="290" t="s">
        <v>379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693"/>
      <c r="W159" s="454"/>
      <c r="X159" s="678"/>
    </row>
    <row r="160" spans="1:24">
      <c r="B160" s="215">
        <v>15</v>
      </c>
      <c r="C160" s="217"/>
      <c r="D160" s="217"/>
      <c r="E160" s="218"/>
      <c r="F160" s="357"/>
      <c r="G160" s="219"/>
      <c r="H160" s="542"/>
      <c r="I160" s="678"/>
      <c r="J160" s="681"/>
      <c r="K160" s="192"/>
      <c r="L160" s="215">
        <v>15</v>
      </c>
      <c r="M160" s="290" t="s">
        <v>379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693"/>
      <c r="W160" s="454"/>
      <c r="X160" s="678"/>
    </row>
    <row r="161" spans="2:24">
      <c r="B161" s="215">
        <v>15</v>
      </c>
      <c r="C161" s="217"/>
      <c r="D161" s="217"/>
      <c r="E161" s="218"/>
      <c r="F161" s="357"/>
      <c r="G161" s="219"/>
      <c r="H161" s="542"/>
      <c r="I161" s="678"/>
      <c r="J161" s="681"/>
      <c r="K161" s="192"/>
      <c r="L161" s="215">
        <v>15</v>
      </c>
      <c r="M161" s="290" t="s">
        <v>379</v>
      </c>
      <c r="N161" s="217"/>
      <c r="O161" s="433"/>
      <c r="P161" s="357"/>
      <c r="Q161" s="219"/>
      <c r="R161" s="470"/>
      <c r="S161" s="501"/>
      <c r="T161" s="411" t="str">
        <f t="shared" si="24"/>
        <v/>
      </c>
      <c r="U161" s="396"/>
      <c r="V161" s="693"/>
      <c r="W161" s="454"/>
      <c r="X161" s="678"/>
    </row>
    <row r="162" spans="2:24">
      <c r="B162" s="215">
        <v>15</v>
      </c>
      <c r="C162" s="217"/>
      <c r="D162" s="217"/>
      <c r="E162" s="218"/>
      <c r="F162" s="357"/>
      <c r="G162" s="219"/>
      <c r="H162" s="542"/>
      <c r="I162" s="678"/>
      <c r="J162" s="681"/>
      <c r="K162" s="192"/>
      <c r="L162" s="215">
        <v>15</v>
      </c>
      <c r="M162" s="290" t="s">
        <v>379</v>
      </c>
      <c r="N162" s="217"/>
      <c r="O162" s="433"/>
      <c r="P162" s="357"/>
      <c r="Q162" s="219"/>
      <c r="R162" s="470"/>
      <c r="S162" s="501"/>
      <c r="T162" s="411" t="str">
        <f t="shared" si="24"/>
        <v/>
      </c>
      <c r="U162" s="396"/>
      <c r="V162" s="693"/>
      <c r="W162" s="454"/>
      <c r="X162" s="678"/>
    </row>
    <row r="163" spans="2:24" ht="15" customHeight="1" thickBot="1">
      <c r="B163" s="220">
        <v>15</v>
      </c>
      <c r="C163" s="221"/>
      <c r="D163" s="221"/>
      <c r="E163" s="222"/>
      <c r="F163" s="358"/>
      <c r="G163" s="234"/>
      <c r="H163" s="553"/>
      <c r="I163" s="679"/>
      <c r="J163" s="682"/>
      <c r="K163" s="193"/>
      <c r="L163" s="220">
        <v>15</v>
      </c>
      <c r="M163" s="318" t="s">
        <v>379</v>
      </c>
      <c r="N163" s="221"/>
      <c r="O163" s="435"/>
      <c r="P163" s="358"/>
      <c r="Q163" s="234"/>
      <c r="R163" s="472"/>
      <c r="S163" s="503"/>
      <c r="T163" s="413" t="str">
        <f t="shared" si="24"/>
        <v/>
      </c>
      <c r="U163" s="398"/>
      <c r="V163" s="694"/>
      <c r="W163" s="456"/>
      <c r="X163" s="679"/>
    </row>
    <row r="164" spans="2:24" s="1" customFormat="1">
      <c r="B164" s="25"/>
      <c r="E164" s="2"/>
      <c r="F164" s="371"/>
      <c r="G164" s="3"/>
      <c r="H164" s="3"/>
      <c r="I164" s="251"/>
      <c r="J164" s="251"/>
      <c r="L164" s="25"/>
      <c r="O164" s="2"/>
      <c r="P164" s="371"/>
      <c r="Q164" s="252"/>
      <c r="R164" s="252"/>
      <c r="S164" s="252"/>
      <c r="T164" s="252"/>
      <c r="U164" s="252"/>
      <c r="V164" s="252"/>
      <c r="W164" s="252"/>
      <c r="X164" s="252"/>
    </row>
    <row r="165" spans="2:24">
      <c r="B165" s="26"/>
      <c r="C165" s="431" t="s">
        <v>380</v>
      </c>
      <c r="D165" s="4">
        <v>370794.53000000009</v>
      </c>
      <c r="E165" s="77"/>
      <c r="F165" s="431">
        <v>452188.45121951227</v>
      </c>
      <c r="G165" s="26"/>
      <c r="H165" s="26"/>
      <c r="I165" s="160"/>
      <c r="J165" s="160"/>
    </row>
    <row r="166" spans="2:24">
      <c r="B166" s="26"/>
      <c r="C166" s="431" t="s">
        <v>381</v>
      </c>
      <c r="D166" s="4">
        <v>95000</v>
      </c>
      <c r="E166" s="77"/>
      <c r="F166" s="431">
        <v>115853.65853658537</v>
      </c>
      <c r="G166" s="26"/>
      <c r="H166" s="26"/>
      <c r="I166" s="160"/>
      <c r="J166" s="160"/>
    </row>
    <row r="167" spans="2:24">
      <c r="B167" s="26"/>
      <c r="C167" s="431" t="s">
        <v>382</v>
      </c>
      <c r="D167" s="4">
        <v>58482.000000000007</v>
      </c>
      <c r="E167" s="77"/>
      <c r="F167" s="431">
        <v>71319.512195121963</v>
      </c>
      <c r="G167" s="26"/>
      <c r="H167" s="26"/>
      <c r="I167" s="253"/>
      <c r="J167" s="253"/>
    </row>
    <row r="168" spans="2:24">
      <c r="B168" s="26"/>
      <c r="C168" s="431" t="s">
        <v>307</v>
      </c>
      <c r="D168" s="4">
        <v>69414.8</v>
      </c>
      <c r="E168" s="77"/>
      <c r="F168" s="431">
        <v>84652.195121951227</v>
      </c>
      <c r="G168" s="26"/>
      <c r="H168" s="26"/>
      <c r="I168" s="160"/>
      <c r="J168" s="160"/>
    </row>
    <row r="169" spans="2:24">
      <c r="B169" s="26"/>
      <c r="C169" s="431" t="s">
        <v>337</v>
      </c>
      <c r="D169" s="4">
        <v>198443.48695652175</v>
      </c>
      <c r="E169" s="77"/>
      <c r="F169" s="431">
        <v>242004.25238600213</v>
      </c>
      <c r="G169" s="26"/>
      <c r="H169" s="26"/>
      <c r="I169" s="253"/>
      <c r="J169" s="253"/>
    </row>
    <row r="170" spans="2:24">
      <c r="B170" s="26"/>
      <c r="C170" s="431" t="s">
        <v>383</v>
      </c>
      <c r="D170" s="4">
        <v>49000</v>
      </c>
      <c r="E170" s="77"/>
      <c r="F170" s="431">
        <v>59756.097560975606</v>
      </c>
      <c r="G170" s="26"/>
      <c r="H170" s="26"/>
      <c r="I170" s="160"/>
      <c r="J170" s="160"/>
    </row>
    <row r="171" spans="2:24">
      <c r="B171" s="26"/>
      <c r="C171" s="431" t="s">
        <v>384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385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386</v>
      </c>
      <c r="D173" s="4">
        <v>4000</v>
      </c>
      <c r="E173" s="77"/>
      <c r="F173" s="431">
        <v>4494.3820224719102</v>
      </c>
      <c r="G173" s="26"/>
      <c r="H173" s="26"/>
      <c r="I173" s="160"/>
      <c r="J173" s="160"/>
    </row>
    <row r="174" spans="2:24">
      <c r="B174" s="26"/>
      <c r="C174" s="431" t="s">
        <v>387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388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389</v>
      </c>
      <c r="E176" s="77"/>
      <c r="F176" s="431"/>
      <c r="G176" s="26"/>
      <c r="H176" s="26"/>
      <c r="I176" s="160"/>
      <c r="J176" s="160"/>
    </row>
    <row r="177" spans="2:23">
      <c r="B177" s="26"/>
      <c r="C177" s="431"/>
      <c r="E177" s="77"/>
      <c r="F177" s="431"/>
      <c r="G177" s="26"/>
      <c r="H177" s="26"/>
      <c r="I177" s="160"/>
      <c r="J177" s="160"/>
    </row>
    <row r="178" spans="2:23" s="26" customFormat="1">
      <c r="C178" s="431" t="s">
        <v>390</v>
      </c>
      <c r="D178" s="26">
        <v>32490</v>
      </c>
      <c r="E178" s="77"/>
      <c r="F178" s="431">
        <v>38223.529411764706</v>
      </c>
      <c r="I178" s="160"/>
      <c r="J178" s="160"/>
      <c r="T178" s="431"/>
      <c r="U178" s="431"/>
      <c r="W178" s="431"/>
    </row>
    <row r="179" spans="2:23" s="26" customFormat="1">
      <c r="C179" s="431" t="s">
        <v>391</v>
      </c>
      <c r="D179" s="26">
        <v>75810</v>
      </c>
      <c r="E179" s="77"/>
      <c r="F179" s="431">
        <v>89188.23529411765</v>
      </c>
      <c r="I179" s="160"/>
      <c r="J179" s="160"/>
      <c r="T179" s="431"/>
      <c r="U179" s="431"/>
      <c r="W179" s="431"/>
    </row>
    <row r="180" spans="2:23" s="26" customFormat="1">
      <c r="C180" s="431" t="s">
        <v>392</v>
      </c>
      <c r="D180" s="26">
        <v>90875.738961956522</v>
      </c>
      <c r="E180" s="77"/>
      <c r="F180" s="431">
        <v>106912.63407289002</v>
      </c>
      <c r="I180" s="160"/>
      <c r="J180" s="160"/>
      <c r="T180" s="431"/>
      <c r="U180" s="431"/>
      <c r="W180" s="431"/>
    </row>
    <row r="181" spans="2:23" s="26" customFormat="1">
      <c r="C181" s="431" t="s">
        <v>393</v>
      </c>
      <c r="D181" s="26">
        <v>89000</v>
      </c>
      <c r="E181" s="77"/>
      <c r="F181" s="431">
        <v>104705.88235294117</v>
      </c>
      <c r="I181" s="160"/>
      <c r="J181" s="160"/>
      <c r="T181" s="431"/>
      <c r="U181" s="431"/>
      <c r="W181" s="431"/>
    </row>
    <row r="182" spans="2:23" s="26" customFormat="1">
      <c r="C182" s="431" t="s">
        <v>394</v>
      </c>
      <c r="D182" s="26">
        <v>8500</v>
      </c>
      <c r="E182" s="77"/>
      <c r="F182" s="431">
        <v>10000</v>
      </c>
      <c r="I182" s="160"/>
      <c r="J182" s="160"/>
      <c r="T182" s="431"/>
      <c r="U182" s="431"/>
      <c r="W182" s="431"/>
    </row>
    <row r="183" spans="2:23" s="26" customFormat="1">
      <c r="C183" s="431" t="s">
        <v>395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2:23" s="26" customFormat="1">
      <c r="C184" s="431" t="s">
        <v>396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397</v>
      </c>
      <c r="D185" s="26">
        <v>28800</v>
      </c>
      <c r="E185" s="77"/>
      <c r="F185" s="431">
        <v>33882.352941176468</v>
      </c>
      <c r="I185" s="160"/>
      <c r="J185" s="160"/>
      <c r="T185" s="431"/>
      <c r="U185" s="431"/>
      <c r="W185" s="431"/>
    </row>
    <row r="186" spans="2:23" s="26" customFormat="1">
      <c r="C186" s="431" t="s">
        <v>398</v>
      </c>
      <c r="D186" s="26">
        <v>21741.9</v>
      </c>
      <c r="E186" s="77"/>
      <c r="F186" s="431">
        <v>25578.705882352944</v>
      </c>
      <c r="I186" s="160"/>
      <c r="J186" s="160"/>
      <c r="T186" s="431"/>
      <c r="U186" s="431"/>
      <c r="W186" s="431"/>
    </row>
    <row r="187" spans="2:23" s="26" customFormat="1">
      <c r="C187" s="431" t="s">
        <v>399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2:23" s="26" customFormat="1">
      <c r="C188" s="431" t="s">
        <v>386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/>
      <c r="E189" s="77"/>
      <c r="F189" s="431"/>
      <c r="I189" s="160"/>
      <c r="J189" s="160"/>
      <c r="T189" s="431"/>
      <c r="U189" s="431"/>
      <c r="W189" s="431"/>
    </row>
    <row r="190" spans="2:23" s="26" customFormat="1">
      <c r="C190" s="431" t="s">
        <v>400</v>
      </c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401</v>
      </c>
      <c r="D191" s="26">
        <v>2100</v>
      </c>
      <c r="E191" s="77"/>
      <c r="F191" s="431">
        <v>2470.5882352941176</v>
      </c>
      <c r="I191" s="160"/>
      <c r="J191" s="160"/>
      <c r="T191" s="431"/>
      <c r="U191" s="431"/>
      <c r="W191" s="431"/>
    </row>
    <row r="192" spans="2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Y44:AF44"/>
    <mergeCell ref="I152:I163"/>
    <mergeCell ref="J152:J163"/>
    <mergeCell ref="X152:X163"/>
    <mergeCell ref="I132:I137"/>
    <mergeCell ref="J132:J137"/>
    <mergeCell ref="X132:X137"/>
    <mergeCell ref="I139:I150"/>
    <mergeCell ref="J139:J150"/>
    <mergeCell ref="X139:X150"/>
    <mergeCell ref="V132:V137"/>
    <mergeCell ref="V139:V150"/>
    <mergeCell ref="V152:V163"/>
    <mergeCell ref="R110:R117"/>
    <mergeCell ref="R94:R101"/>
    <mergeCell ref="X122:X127"/>
    <mergeCell ref="I129:I130"/>
    <mergeCell ref="J129:J130"/>
    <mergeCell ref="K129:K130"/>
    <mergeCell ref="X129:X130"/>
    <mergeCell ref="V122:V127"/>
    <mergeCell ref="I122:I127"/>
    <mergeCell ref="J122:J127"/>
    <mergeCell ref="R35:R42"/>
    <mergeCell ref="X74:X81"/>
    <mergeCell ref="I21:I29"/>
    <mergeCell ref="J21:J29"/>
    <mergeCell ref="I106:I120"/>
    <mergeCell ref="J106:J120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I74:I81"/>
    <mergeCell ref="J74:J81"/>
    <mergeCell ref="V74:V81"/>
    <mergeCell ref="V47:V54"/>
    <mergeCell ref="V56:V72"/>
    <mergeCell ref="R62:R69"/>
    <mergeCell ref="I47:I54"/>
    <mergeCell ref="J47:J54"/>
    <mergeCell ref="X47:X54"/>
    <mergeCell ref="I56:I72"/>
    <mergeCell ref="J56:J72"/>
    <mergeCell ref="X56:X72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6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402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27" t="s">
        <v>403</v>
      </c>
      <c r="B2" s="103"/>
      <c r="C2" s="104" t="s">
        <v>270</v>
      </c>
      <c r="D2" s="104" t="s">
        <v>270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8"/>
      <c r="B3" s="106" t="s">
        <v>213</v>
      </c>
      <c r="C3" s="107">
        <f>'Revenue Tracking'!D4</f>
        <v>1441230.4772331575</v>
      </c>
      <c r="D3" s="107">
        <f>SUM(F3:KF3)</f>
        <v>1399380.6092331575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720615.23861657875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504430.66703160515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144123.04772331574</v>
      </c>
      <c r="AB3" s="109">
        <f>SUMIFS('Revenue Tracking'!$F$13:$F$19, 'Revenue Tracking'!$H$13:$H$19, "&gt;="&amp;AB1,'Revenue Tracking'!$H$13:$H$19, "&lt;"&amp;AC1)</f>
        <v>30211.65586165787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28"/>
      <c r="B4" s="106" t="s">
        <v>404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720615.23861657875</v>
      </c>
      <c r="R4" s="109">
        <f t="shared" si="5"/>
        <v>720615.23861657875</v>
      </c>
      <c r="S4" s="109">
        <f t="shared" si="5"/>
        <v>720615.23861657875</v>
      </c>
      <c r="T4" s="109">
        <f t="shared" si="5"/>
        <v>720615.23861657875</v>
      </c>
      <c r="U4" s="109">
        <f t="shared" si="5"/>
        <v>720615.23861657875</v>
      </c>
      <c r="V4" s="109">
        <f t="shared" si="5"/>
        <v>1225045.905648184</v>
      </c>
      <c r="W4" s="109">
        <f t="shared" si="5"/>
        <v>1225045.905648184</v>
      </c>
      <c r="X4" s="109">
        <f t="shared" si="5"/>
        <v>1225045.905648184</v>
      </c>
      <c r="Y4" s="109">
        <f t="shared" si="5"/>
        <v>1225045.905648184</v>
      </c>
      <c r="Z4" s="109">
        <f t="shared" si="5"/>
        <v>1225045.905648184</v>
      </c>
      <c r="AA4" s="109">
        <f t="shared" si="5"/>
        <v>1369168.9533714997</v>
      </c>
      <c r="AB4" s="109">
        <f t="shared" si="5"/>
        <v>1399380.6092331575</v>
      </c>
      <c r="AC4" s="109">
        <f t="shared" si="5"/>
        <v>1399380.6092331575</v>
      </c>
      <c r="AD4" s="109">
        <f>AC4+AD3</f>
        <v>1399380.6092331575</v>
      </c>
      <c r="AE4" s="109">
        <f t="shared" si="5"/>
        <v>1399380.6092331575</v>
      </c>
      <c r="AF4" s="109">
        <f t="shared" si="5"/>
        <v>1399380.6092331575</v>
      </c>
      <c r="AG4" s="109">
        <f t="shared" si="5"/>
        <v>1399380.6092331575</v>
      </c>
      <c r="AH4" s="109">
        <f t="shared" si="5"/>
        <v>1399380.6092331575</v>
      </c>
      <c r="AI4" s="109">
        <f t="shared" si="5"/>
        <v>1399380.6092331575</v>
      </c>
      <c r="AJ4" s="109">
        <f t="shared" si="5"/>
        <v>1399380.6092331575</v>
      </c>
      <c r="AK4" s="109">
        <f t="shared" si="5"/>
        <v>1399380.6092331575</v>
      </c>
      <c r="AL4" s="109">
        <f t="shared" si="5"/>
        <v>1399380.6092331575</v>
      </c>
      <c r="AM4" s="109">
        <f t="shared" si="5"/>
        <v>1399380.6092331575</v>
      </c>
      <c r="AN4" s="109">
        <f t="shared" si="5"/>
        <v>1399380.6092331575</v>
      </c>
      <c r="AO4" s="109">
        <f t="shared" si="5"/>
        <v>1399380.6092331575</v>
      </c>
      <c r="AP4" s="109">
        <f t="shared" si="5"/>
        <v>1399380.6092331575</v>
      </c>
      <c r="AQ4" s="109">
        <f t="shared" si="5"/>
        <v>1399380.6092331575</v>
      </c>
      <c r="AR4" s="109">
        <f t="shared" si="5"/>
        <v>1399380.6092331575</v>
      </c>
      <c r="AS4" s="109">
        <f t="shared" si="5"/>
        <v>1399380.6092331575</v>
      </c>
      <c r="AT4" s="109">
        <f t="shared" si="5"/>
        <v>1399380.6092331575</v>
      </c>
      <c r="AU4" s="109">
        <f t="shared" si="5"/>
        <v>1399380.6092331575</v>
      </c>
      <c r="AV4" s="109">
        <f t="shared" si="5"/>
        <v>1399380.6092331575</v>
      </c>
      <c r="AW4" s="109">
        <f t="shared" si="5"/>
        <v>1399380.6092331575</v>
      </c>
      <c r="AX4" s="109">
        <f t="shared" si="5"/>
        <v>1399380.6092331575</v>
      </c>
      <c r="AY4" s="109">
        <f t="shared" si="5"/>
        <v>1399380.6092331575</v>
      </c>
      <c r="AZ4" s="109">
        <f t="shared" si="5"/>
        <v>1399380.6092331575</v>
      </c>
      <c r="BA4" s="109">
        <f t="shared" si="5"/>
        <v>1399380.6092331575</v>
      </c>
      <c r="BB4" s="109">
        <f t="shared" si="5"/>
        <v>1399380.6092331575</v>
      </c>
      <c r="BC4" s="109">
        <f t="shared" si="5"/>
        <v>1399380.6092331575</v>
      </c>
      <c r="BD4" s="109">
        <f t="shared" si="5"/>
        <v>1399380.6092331575</v>
      </c>
      <c r="BE4" s="109">
        <f t="shared" si="5"/>
        <v>1399380.6092331575</v>
      </c>
      <c r="BF4" s="109">
        <f t="shared" si="5"/>
        <v>1399380.6092331575</v>
      </c>
      <c r="BG4" s="109">
        <f t="shared" si="5"/>
        <v>1399380.6092331575</v>
      </c>
      <c r="BH4" s="109">
        <f t="shared" si="5"/>
        <v>1399380.6092331575</v>
      </c>
      <c r="BI4" s="109">
        <f t="shared" si="5"/>
        <v>1399380.6092331575</v>
      </c>
      <c r="BJ4" s="109">
        <f t="shared" si="5"/>
        <v>1399380.6092331575</v>
      </c>
      <c r="BK4" s="109">
        <f t="shared" si="5"/>
        <v>1399380.6092331575</v>
      </c>
      <c r="BL4" s="109">
        <f t="shared" si="5"/>
        <v>1399380.6092331575</v>
      </c>
      <c r="BM4" s="109">
        <f t="shared" si="5"/>
        <v>1399380.6092331575</v>
      </c>
      <c r="BN4" s="109">
        <f t="shared" si="5"/>
        <v>1399380.6092331575</v>
      </c>
      <c r="BO4" s="109">
        <f t="shared" si="5"/>
        <v>1399380.6092331575</v>
      </c>
      <c r="BP4" s="109">
        <f t="shared" si="5"/>
        <v>1399380.6092331575</v>
      </c>
      <c r="BQ4" s="109">
        <f t="shared" si="5"/>
        <v>1399380.6092331575</v>
      </c>
      <c r="BR4" s="109">
        <f t="shared" si="5"/>
        <v>1399380.6092331575</v>
      </c>
      <c r="BS4" s="109">
        <f t="shared" si="5"/>
        <v>1399380.6092331575</v>
      </c>
      <c r="BT4" s="109">
        <f t="shared" si="5"/>
        <v>1399380.6092331575</v>
      </c>
      <c r="BU4" s="109">
        <f t="shared" ref="BU4:EF4" si="6">BT4+BU3</f>
        <v>1399380.6092331575</v>
      </c>
      <c r="BV4" s="109">
        <f t="shared" si="6"/>
        <v>1399380.6092331575</v>
      </c>
      <c r="BW4" s="109">
        <f t="shared" si="6"/>
        <v>1399380.6092331575</v>
      </c>
      <c r="BX4" s="109">
        <f t="shared" si="6"/>
        <v>1399380.6092331575</v>
      </c>
      <c r="BY4" s="109">
        <f t="shared" si="6"/>
        <v>1399380.6092331575</v>
      </c>
      <c r="BZ4" s="109">
        <f t="shared" si="6"/>
        <v>1399380.6092331575</v>
      </c>
      <c r="CA4" s="109">
        <f t="shared" si="6"/>
        <v>1399380.6092331575</v>
      </c>
      <c r="CB4" s="109">
        <f t="shared" si="6"/>
        <v>1399380.6092331575</v>
      </c>
      <c r="CC4" s="109">
        <f t="shared" si="6"/>
        <v>1399380.6092331575</v>
      </c>
      <c r="CD4" s="109">
        <f t="shared" si="6"/>
        <v>1399380.6092331575</v>
      </c>
      <c r="CE4" s="109">
        <f t="shared" si="6"/>
        <v>1399380.6092331575</v>
      </c>
      <c r="CF4" s="109">
        <f t="shared" si="6"/>
        <v>1399380.6092331575</v>
      </c>
      <c r="CG4" s="109">
        <f t="shared" si="6"/>
        <v>1399380.6092331575</v>
      </c>
      <c r="CH4" s="109">
        <f t="shared" si="6"/>
        <v>1399380.6092331575</v>
      </c>
      <c r="CI4" s="109">
        <f t="shared" si="6"/>
        <v>1399380.6092331575</v>
      </c>
      <c r="CJ4" s="109">
        <f t="shared" si="6"/>
        <v>1399380.6092331575</v>
      </c>
      <c r="CK4" s="109">
        <f t="shared" si="6"/>
        <v>1399380.6092331575</v>
      </c>
      <c r="CL4" s="109">
        <f t="shared" si="6"/>
        <v>1399380.6092331575</v>
      </c>
      <c r="CM4" s="109">
        <f t="shared" si="6"/>
        <v>1399380.6092331575</v>
      </c>
      <c r="CN4" s="109">
        <f t="shared" si="6"/>
        <v>1399380.6092331575</v>
      </c>
      <c r="CO4" s="109">
        <f t="shared" si="6"/>
        <v>1399380.6092331575</v>
      </c>
      <c r="CP4" s="109">
        <f t="shared" si="6"/>
        <v>1399380.6092331575</v>
      </c>
      <c r="CQ4" s="109">
        <f t="shared" si="6"/>
        <v>1399380.6092331575</v>
      </c>
      <c r="CR4" s="109">
        <f t="shared" si="6"/>
        <v>1399380.6092331575</v>
      </c>
      <c r="CS4" s="109">
        <f t="shared" si="6"/>
        <v>1399380.6092331575</v>
      </c>
      <c r="CT4" s="109">
        <f t="shared" si="6"/>
        <v>1399380.6092331575</v>
      </c>
      <c r="CU4" s="109">
        <f t="shared" si="6"/>
        <v>1399380.6092331575</v>
      </c>
      <c r="CV4" s="109">
        <f t="shared" si="6"/>
        <v>1399380.6092331575</v>
      </c>
      <c r="CW4" s="109">
        <f t="shared" si="6"/>
        <v>1399380.6092331575</v>
      </c>
      <c r="CX4" s="109">
        <f t="shared" si="6"/>
        <v>1399380.6092331575</v>
      </c>
      <c r="CY4" s="109">
        <f t="shared" si="6"/>
        <v>1399380.6092331575</v>
      </c>
      <c r="CZ4" s="109">
        <f t="shared" si="6"/>
        <v>1399380.6092331575</v>
      </c>
      <c r="DA4" s="109">
        <f t="shared" si="6"/>
        <v>1399380.6092331575</v>
      </c>
      <c r="DB4" s="109">
        <f t="shared" si="6"/>
        <v>1399380.6092331575</v>
      </c>
      <c r="DC4" s="109">
        <f t="shared" si="6"/>
        <v>1399380.6092331575</v>
      </c>
      <c r="DD4" s="109">
        <f t="shared" si="6"/>
        <v>1399380.6092331575</v>
      </c>
      <c r="DE4" s="109">
        <f t="shared" si="6"/>
        <v>1399380.6092331575</v>
      </c>
      <c r="DF4" s="109">
        <f t="shared" si="6"/>
        <v>1399380.6092331575</v>
      </c>
      <c r="DG4" s="109">
        <f t="shared" si="6"/>
        <v>1399380.6092331575</v>
      </c>
      <c r="DH4" s="109">
        <f t="shared" si="6"/>
        <v>1399380.6092331575</v>
      </c>
      <c r="DI4" s="109">
        <f t="shared" si="6"/>
        <v>1399380.6092331575</v>
      </c>
      <c r="DJ4" s="109">
        <f t="shared" si="6"/>
        <v>1399380.6092331575</v>
      </c>
      <c r="DK4" s="109">
        <f t="shared" si="6"/>
        <v>1399380.6092331575</v>
      </c>
      <c r="DL4" s="109">
        <f t="shared" si="6"/>
        <v>1399380.6092331575</v>
      </c>
      <c r="DM4" s="109">
        <f t="shared" si="6"/>
        <v>1399380.6092331575</v>
      </c>
      <c r="DN4" s="109">
        <f t="shared" si="6"/>
        <v>1399380.6092331575</v>
      </c>
      <c r="DO4" s="109">
        <f t="shared" si="6"/>
        <v>1399380.6092331575</v>
      </c>
      <c r="DP4" s="109">
        <f t="shared" si="6"/>
        <v>1399380.6092331575</v>
      </c>
      <c r="DQ4" s="109">
        <f t="shared" si="6"/>
        <v>1399380.6092331575</v>
      </c>
      <c r="DR4" s="109">
        <f t="shared" si="6"/>
        <v>1399380.6092331575</v>
      </c>
      <c r="DS4" s="109">
        <f t="shared" si="6"/>
        <v>1399380.6092331575</v>
      </c>
      <c r="DT4" s="109">
        <f t="shared" si="6"/>
        <v>1399380.6092331575</v>
      </c>
      <c r="DU4" s="109">
        <f t="shared" si="6"/>
        <v>1399380.6092331575</v>
      </c>
      <c r="DV4" s="109">
        <f t="shared" si="6"/>
        <v>1399380.6092331575</v>
      </c>
      <c r="DW4" s="109">
        <f t="shared" si="6"/>
        <v>1399380.6092331575</v>
      </c>
      <c r="DX4" s="109">
        <f t="shared" si="6"/>
        <v>1399380.6092331575</v>
      </c>
      <c r="DY4" s="109">
        <f t="shared" si="6"/>
        <v>1399380.6092331575</v>
      </c>
      <c r="DZ4" s="109">
        <f t="shared" si="6"/>
        <v>1399380.6092331575</v>
      </c>
      <c r="EA4" s="109">
        <f t="shared" si="6"/>
        <v>1399380.6092331575</v>
      </c>
      <c r="EB4" s="109">
        <f t="shared" si="6"/>
        <v>1399380.6092331575</v>
      </c>
      <c r="EC4" s="109">
        <f t="shared" si="6"/>
        <v>1399380.6092331575</v>
      </c>
      <c r="ED4" s="109">
        <f t="shared" si="6"/>
        <v>1399380.6092331575</v>
      </c>
      <c r="EE4" s="109">
        <f t="shared" si="6"/>
        <v>1399380.6092331575</v>
      </c>
      <c r="EF4" s="109">
        <f t="shared" si="6"/>
        <v>1399380.6092331575</v>
      </c>
      <c r="EG4" s="109">
        <f t="shared" ref="EG4:GR4" si="7">EF4+EG3</f>
        <v>1399380.6092331575</v>
      </c>
      <c r="EH4" s="109">
        <f t="shared" si="7"/>
        <v>1399380.6092331575</v>
      </c>
      <c r="EI4" s="109">
        <f t="shared" si="7"/>
        <v>1399380.6092331575</v>
      </c>
      <c r="EJ4" s="109">
        <f t="shared" si="7"/>
        <v>1399380.6092331575</v>
      </c>
      <c r="EK4" s="109">
        <f t="shared" si="7"/>
        <v>1399380.6092331575</v>
      </c>
      <c r="EL4" s="109">
        <f t="shared" si="7"/>
        <v>1399380.6092331575</v>
      </c>
      <c r="EM4" s="109">
        <f t="shared" si="7"/>
        <v>1399380.6092331575</v>
      </c>
      <c r="EN4" s="109">
        <f t="shared" si="7"/>
        <v>1399380.6092331575</v>
      </c>
      <c r="EO4" s="109">
        <f t="shared" si="7"/>
        <v>1399380.6092331575</v>
      </c>
      <c r="EP4" s="109">
        <f t="shared" si="7"/>
        <v>1399380.6092331575</v>
      </c>
      <c r="EQ4" s="109">
        <f t="shared" si="7"/>
        <v>1399380.6092331575</v>
      </c>
      <c r="ER4" s="109">
        <f t="shared" si="7"/>
        <v>1399380.6092331575</v>
      </c>
      <c r="ES4" s="109">
        <f t="shared" si="7"/>
        <v>1399380.6092331575</v>
      </c>
      <c r="ET4" s="109">
        <f t="shared" si="7"/>
        <v>1399380.6092331575</v>
      </c>
      <c r="EU4" s="109">
        <f t="shared" si="7"/>
        <v>1399380.6092331575</v>
      </c>
      <c r="EV4" s="109">
        <f t="shared" si="7"/>
        <v>1399380.6092331575</v>
      </c>
      <c r="EW4" s="109">
        <f t="shared" si="7"/>
        <v>1399380.6092331575</v>
      </c>
      <c r="EX4" s="109">
        <f t="shared" si="7"/>
        <v>1399380.6092331575</v>
      </c>
      <c r="EY4" s="109">
        <f t="shared" si="7"/>
        <v>1399380.6092331575</v>
      </c>
      <c r="EZ4" s="109">
        <f t="shared" si="7"/>
        <v>1399380.6092331575</v>
      </c>
      <c r="FA4" s="109">
        <f t="shared" si="7"/>
        <v>1399380.6092331575</v>
      </c>
      <c r="FB4" s="109">
        <f t="shared" si="7"/>
        <v>1399380.6092331575</v>
      </c>
      <c r="FC4" s="109">
        <f t="shared" si="7"/>
        <v>1399380.6092331575</v>
      </c>
      <c r="FD4" s="109">
        <f t="shared" si="7"/>
        <v>1399380.6092331575</v>
      </c>
      <c r="FE4" s="109">
        <f t="shared" si="7"/>
        <v>1399380.6092331575</v>
      </c>
      <c r="FF4" s="109">
        <f t="shared" si="7"/>
        <v>1399380.6092331575</v>
      </c>
      <c r="FG4" s="109">
        <f t="shared" si="7"/>
        <v>1399380.6092331575</v>
      </c>
      <c r="FH4" s="109">
        <f t="shared" si="7"/>
        <v>1399380.6092331575</v>
      </c>
      <c r="FI4" s="109">
        <f t="shared" si="7"/>
        <v>1399380.6092331575</v>
      </c>
      <c r="FJ4" s="109">
        <f t="shared" si="7"/>
        <v>1399380.6092331575</v>
      </c>
      <c r="FK4" s="109">
        <f t="shared" si="7"/>
        <v>1399380.6092331575</v>
      </c>
      <c r="FL4" s="109">
        <f t="shared" si="7"/>
        <v>1399380.6092331575</v>
      </c>
      <c r="FM4" s="109">
        <f t="shared" si="7"/>
        <v>1399380.6092331575</v>
      </c>
      <c r="FN4" s="109">
        <f t="shared" si="7"/>
        <v>1399380.6092331575</v>
      </c>
      <c r="FO4" s="109">
        <f t="shared" si="7"/>
        <v>1399380.6092331575</v>
      </c>
      <c r="FP4" s="109">
        <f t="shared" si="7"/>
        <v>1399380.6092331575</v>
      </c>
      <c r="FQ4" s="109">
        <f t="shared" si="7"/>
        <v>1399380.6092331575</v>
      </c>
      <c r="FR4" s="109">
        <f t="shared" si="7"/>
        <v>1399380.6092331575</v>
      </c>
      <c r="FS4" s="109">
        <f t="shared" si="7"/>
        <v>1399380.6092331575</v>
      </c>
      <c r="FT4" s="109">
        <f t="shared" si="7"/>
        <v>1399380.6092331575</v>
      </c>
      <c r="FU4" s="109">
        <f t="shared" si="7"/>
        <v>1399380.6092331575</v>
      </c>
      <c r="FV4" s="109">
        <f t="shared" si="7"/>
        <v>1399380.6092331575</v>
      </c>
      <c r="FW4" s="109">
        <f t="shared" si="7"/>
        <v>1399380.6092331575</v>
      </c>
      <c r="FX4" s="109">
        <f t="shared" si="7"/>
        <v>1399380.6092331575</v>
      </c>
      <c r="FY4" s="109">
        <f t="shared" si="7"/>
        <v>1399380.6092331575</v>
      </c>
      <c r="FZ4" s="109">
        <f t="shared" si="7"/>
        <v>1399380.6092331575</v>
      </c>
      <c r="GA4" s="109">
        <f t="shared" si="7"/>
        <v>1399380.6092331575</v>
      </c>
      <c r="GB4" s="109">
        <f t="shared" si="7"/>
        <v>1399380.6092331575</v>
      </c>
      <c r="GC4" s="109">
        <f t="shared" si="7"/>
        <v>1399380.6092331575</v>
      </c>
      <c r="GD4" s="109">
        <f t="shared" si="7"/>
        <v>1399380.6092331575</v>
      </c>
      <c r="GE4" s="109">
        <f t="shared" si="7"/>
        <v>1399380.6092331575</v>
      </c>
      <c r="GF4" s="109">
        <f t="shared" si="7"/>
        <v>1399380.6092331575</v>
      </c>
      <c r="GG4" s="109">
        <f t="shared" si="7"/>
        <v>1399380.6092331575</v>
      </c>
      <c r="GH4" s="109">
        <f t="shared" si="7"/>
        <v>1399380.6092331575</v>
      </c>
      <c r="GI4" s="109">
        <f t="shared" si="7"/>
        <v>1399380.6092331575</v>
      </c>
      <c r="GJ4" s="109">
        <f t="shared" si="7"/>
        <v>1399380.6092331575</v>
      </c>
      <c r="GK4" s="109">
        <f t="shared" si="7"/>
        <v>1399380.6092331575</v>
      </c>
      <c r="GL4" s="109">
        <f t="shared" si="7"/>
        <v>1399380.6092331575</v>
      </c>
      <c r="GM4" s="109">
        <f t="shared" si="7"/>
        <v>1399380.6092331575</v>
      </c>
      <c r="GN4" s="109">
        <f t="shared" si="7"/>
        <v>1399380.6092331575</v>
      </c>
      <c r="GO4" s="109">
        <f t="shared" si="7"/>
        <v>1399380.6092331575</v>
      </c>
      <c r="GP4" s="109">
        <f t="shared" si="7"/>
        <v>1399380.6092331575</v>
      </c>
      <c r="GQ4" s="109">
        <f t="shared" si="7"/>
        <v>1399380.6092331575</v>
      </c>
      <c r="GR4" s="109">
        <f t="shared" si="7"/>
        <v>1399380.6092331575</v>
      </c>
      <c r="GS4" s="109">
        <f t="shared" ref="GS4:JD4" si="8">GR4+GS3</f>
        <v>1399380.6092331575</v>
      </c>
      <c r="GT4" s="109">
        <f t="shared" si="8"/>
        <v>1399380.6092331575</v>
      </c>
      <c r="GU4" s="109">
        <f t="shared" si="8"/>
        <v>1399380.6092331575</v>
      </c>
      <c r="GV4" s="109">
        <f t="shared" si="8"/>
        <v>1399380.6092331575</v>
      </c>
      <c r="GW4" s="109">
        <f t="shared" si="8"/>
        <v>1399380.6092331575</v>
      </c>
      <c r="GX4" s="109">
        <f t="shared" si="8"/>
        <v>1399380.6092331575</v>
      </c>
      <c r="GY4" s="109">
        <f t="shared" si="8"/>
        <v>1399380.6092331575</v>
      </c>
      <c r="GZ4" s="109">
        <f t="shared" si="8"/>
        <v>1399380.6092331575</v>
      </c>
      <c r="HA4" s="109">
        <f t="shared" si="8"/>
        <v>1399380.6092331575</v>
      </c>
      <c r="HB4" s="109">
        <f t="shared" si="8"/>
        <v>1399380.6092331575</v>
      </c>
      <c r="HC4" s="109">
        <f t="shared" si="8"/>
        <v>1399380.6092331575</v>
      </c>
      <c r="HD4" s="109">
        <f t="shared" si="8"/>
        <v>1399380.6092331575</v>
      </c>
      <c r="HE4" s="109">
        <f t="shared" si="8"/>
        <v>1399380.6092331575</v>
      </c>
      <c r="HF4" s="109">
        <f t="shared" si="8"/>
        <v>1399380.6092331575</v>
      </c>
      <c r="HG4" s="109">
        <f t="shared" si="8"/>
        <v>1399380.6092331575</v>
      </c>
      <c r="HH4" s="109">
        <f t="shared" si="8"/>
        <v>1399380.6092331575</v>
      </c>
      <c r="HI4" s="109">
        <f t="shared" si="8"/>
        <v>1399380.6092331575</v>
      </c>
      <c r="HJ4" s="109">
        <f t="shared" si="8"/>
        <v>1399380.6092331575</v>
      </c>
      <c r="HK4" s="109">
        <f t="shared" si="8"/>
        <v>1399380.6092331575</v>
      </c>
      <c r="HL4" s="109">
        <f t="shared" si="8"/>
        <v>1399380.6092331575</v>
      </c>
      <c r="HM4" s="109">
        <f t="shared" si="8"/>
        <v>1399380.6092331575</v>
      </c>
      <c r="HN4" s="109">
        <f t="shared" si="8"/>
        <v>1399380.6092331575</v>
      </c>
      <c r="HO4" s="109">
        <f t="shared" si="8"/>
        <v>1399380.6092331575</v>
      </c>
      <c r="HP4" s="109">
        <f t="shared" si="8"/>
        <v>1399380.6092331575</v>
      </c>
      <c r="HQ4" s="109">
        <f t="shared" si="8"/>
        <v>1399380.6092331575</v>
      </c>
      <c r="HR4" s="109">
        <f t="shared" si="8"/>
        <v>1399380.6092331575</v>
      </c>
      <c r="HS4" s="109">
        <f t="shared" si="8"/>
        <v>1399380.6092331575</v>
      </c>
      <c r="HT4" s="109">
        <f t="shared" si="8"/>
        <v>1399380.6092331575</v>
      </c>
      <c r="HU4" s="109">
        <f t="shared" si="8"/>
        <v>1399380.6092331575</v>
      </c>
      <c r="HV4" s="109">
        <f t="shared" si="8"/>
        <v>1399380.6092331575</v>
      </c>
      <c r="HW4" s="109">
        <f t="shared" si="8"/>
        <v>1399380.6092331575</v>
      </c>
      <c r="HX4" s="109">
        <f t="shared" si="8"/>
        <v>1399380.6092331575</v>
      </c>
      <c r="HY4" s="109">
        <f t="shared" si="8"/>
        <v>1399380.6092331575</v>
      </c>
      <c r="HZ4" s="109">
        <f t="shared" si="8"/>
        <v>1399380.6092331575</v>
      </c>
      <c r="IA4" s="109">
        <f t="shared" si="8"/>
        <v>1399380.6092331575</v>
      </c>
      <c r="IB4" s="109">
        <f t="shared" si="8"/>
        <v>1399380.6092331575</v>
      </c>
      <c r="IC4" s="109">
        <f t="shared" si="8"/>
        <v>1399380.6092331575</v>
      </c>
      <c r="ID4" s="109">
        <f t="shared" si="8"/>
        <v>1399380.6092331575</v>
      </c>
      <c r="IE4" s="109">
        <f t="shared" si="8"/>
        <v>1399380.6092331575</v>
      </c>
      <c r="IF4" s="109">
        <f t="shared" si="8"/>
        <v>1399380.6092331575</v>
      </c>
      <c r="IG4" s="109">
        <f t="shared" si="8"/>
        <v>1399380.6092331575</v>
      </c>
      <c r="IH4" s="109">
        <f t="shared" si="8"/>
        <v>1399380.6092331575</v>
      </c>
      <c r="II4" s="109">
        <f t="shared" si="8"/>
        <v>1399380.6092331575</v>
      </c>
      <c r="IJ4" s="109">
        <f t="shared" si="8"/>
        <v>1399380.6092331575</v>
      </c>
      <c r="IK4" s="109">
        <f t="shared" si="8"/>
        <v>1399380.6092331575</v>
      </c>
      <c r="IL4" s="109">
        <f t="shared" si="8"/>
        <v>1399380.6092331575</v>
      </c>
      <c r="IM4" s="109">
        <f t="shared" si="8"/>
        <v>1399380.6092331575</v>
      </c>
      <c r="IN4" s="109">
        <f t="shared" si="8"/>
        <v>1399380.6092331575</v>
      </c>
      <c r="IO4" s="109">
        <f t="shared" si="8"/>
        <v>1399380.6092331575</v>
      </c>
      <c r="IP4" s="109">
        <f t="shared" si="8"/>
        <v>1399380.6092331575</v>
      </c>
      <c r="IQ4" s="109">
        <f t="shared" si="8"/>
        <v>1399380.6092331575</v>
      </c>
      <c r="IR4" s="109">
        <f t="shared" si="8"/>
        <v>1399380.6092331575</v>
      </c>
      <c r="IS4" s="109">
        <f t="shared" si="8"/>
        <v>1399380.6092331575</v>
      </c>
      <c r="IT4" s="109">
        <f t="shared" si="8"/>
        <v>1399380.6092331575</v>
      </c>
      <c r="IU4" s="109">
        <f t="shared" si="8"/>
        <v>1399380.6092331575</v>
      </c>
      <c r="IV4" s="109">
        <f t="shared" si="8"/>
        <v>1399380.6092331575</v>
      </c>
      <c r="IW4" s="109">
        <f t="shared" si="8"/>
        <v>1399380.6092331575</v>
      </c>
      <c r="IX4" s="109">
        <f t="shared" si="8"/>
        <v>1399380.6092331575</v>
      </c>
      <c r="IY4" s="109">
        <f t="shared" si="8"/>
        <v>1399380.6092331575</v>
      </c>
      <c r="IZ4" s="109">
        <f t="shared" si="8"/>
        <v>1399380.6092331575</v>
      </c>
      <c r="JA4" s="109">
        <f t="shared" si="8"/>
        <v>1399380.6092331575</v>
      </c>
      <c r="JB4" s="109">
        <f t="shared" si="8"/>
        <v>1399380.6092331575</v>
      </c>
      <c r="JC4" s="109">
        <f t="shared" si="8"/>
        <v>1399380.6092331575</v>
      </c>
      <c r="JD4" s="109">
        <f t="shared" si="8"/>
        <v>1399380.6092331575</v>
      </c>
      <c r="JE4" s="109">
        <f t="shared" ref="JE4:KF4" si="9">JD4+JE3</f>
        <v>1399380.6092331575</v>
      </c>
      <c r="JF4" s="109">
        <f t="shared" si="9"/>
        <v>1399380.6092331575</v>
      </c>
      <c r="JG4" s="109">
        <f t="shared" si="9"/>
        <v>1399380.6092331575</v>
      </c>
      <c r="JH4" s="109">
        <f t="shared" si="9"/>
        <v>1399380.6092331575</v>
      </c>
      <c r="JI4" s="109">
        <f t="shared" si="9"/>
        <v>1399380.6092331575</v>
      </c>
      <c r="JJ4" s="109">
        <f t="shared" si="9"/>
        <v>1399380.6092331575</v>
      </c>
      <c r="JK4" s="109">
        <f t="shared" si="9"/>
        <v>1399380.6092331575</v>
      </c>
      <c r="JL4" s="109">
        <f t="shared" si="9"/>
        <v>1399380.6092331575</v>
      </c>
      <c r="JM4" s="109">
        <f t="shared" si="9"/>
        <v>1399380.6092331575</v>
      </c>
      <c r="JN4" s="109">
        <f t="shared" si="9"/>
        <v>1399380.6092331575</v>
      </c>
      <c r="JO4" s="109">
        <f t="shared" si="9"/>
        <v>1399380.6092331575</v>
      </c>
      <c r="JP4" s="109">
        <f t="shared" si="9"/>
        <v>1399380.6092331575</v>
      </c>
      <c r="JQ4" s="109">
        <f t="shared" si="9"/>
        <v>1399380.6092331575</v>
      </c>
      <c r="JR4" s="109">
        <f t="shared" si="9"/>
        <v>1399380.6092331575</v>
      </c>
      <c r="JS4" s="109">
        <f t="shared" si="9"/>
        <v>1399380.6092331575</v>
      </c>
      <c r="JT4" s="109">
        <f t="shared" si="9"/>
        <v>1399380.6092331575</v>
      </c>
      <c r="JU4" s="109">
        <f t="shared" si="9"/>
        <v>1399380.6092331575</v>
      </c>
      <c r="JV4" s="109">
        <f t="shared" si="9"/>
        <v>1399380.6092331575</v>
      </c>
      <c r="JW4" s="109">
        <f t="shared" si="9"/>
        <v>1399380.6092331575</v>
      </c>
      <c r="JX4" s="109">
        <f t="shared" si="9"/>
        <v>1399380.6092331575</v>
      </c>
      <c r="JY4" s="109">
        <f t="shared" si="9"/>
        <v>1399380.6092331575</v>
      </c>
      <c r="JZ4" s="109">
        <f t="shared" si="9"/>
        <v>1399380.6092331575</v>
      </c>
      <c r="KA4" s="109">
        <f t="shared" si="9"/>
        <v>1399380.6092331575</v>
      </c>
      <c r="KB4" s="109">
        <f t="shared" si="9"/>
        <v>1399380.6092331575</v>
      </c>
      <c r="KC4" s="109">
        <f t="shared" si="9"/>
        <v>1399380.6092331575</v>
      </c>
      <c r="KD4" s="109">
        <f t="shared" si="9"/>
        <v>1399380.6092331575</v>
      </c>
      <c r="KE4" s="109">
        <f t="shared" si="9"/>
        <v>1399380.6092331575</v>
      </c>
      <c r="KF4" s="109">
        <f t="shared" si="9"/>
        <v>1399380.6092331575</v>
      </c>
    </row>
    <row r="5" spans="1:770" s="114" customFormat="1">
      <c r="A5" s="728"/>
      <c r="B5" s="110" t="s">
        <v>214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Breakdown'!$G$6:$G$171, 'Expenditure Breakdown'!$H$6:$H$171, "&gt;="&amp;F1,'Expenditure Breakdown'!$H$6:$H$171, "&lt;"&amp;G1)</f>
        <v>0</v>
      </c>
      <c r="G5" s="112">
        <f>SUMIFS('Expenditure Breakdown'!$G$6:$G$171, 'Expenditure Breakdown'!$H$6:$H$171, "&gt;="&amp;G1,'Expenditure Breakdown'!$H$6:$H$171, "&lt;"&amp;H1)</f>
        <v>0</v>
      </c>
      <c r="H5" s="112">
        <f>SUMIFS('Expenditure Breakdown'!$G$6:$G$171, 'Expenditure Breakdown'!$H$6:$H$171, "&gt;="&amp;H1,'Expenditure Breakdown'!$H$6:$H$171, "&lt;"&amp;I1)</f>
        <v>0</v>
      </c>
      <c r="I5" s="112">
        <f>SUMIFS('Expenditure Breakdown'!$G$6:$G$171, 'Expenditure Breakdown'!$H$6:$H$171, "&gt;="&amp;I1,'Expenditure Breakdown'!$H$6:$H$171, "&lt;"&amp;J1)</f>
        <v>0</v>
      </c>
      <c r="J5" s="112">
        <f>SUMIFS('Expenditure Breakdown'!$G$6:$G$171, 'Expenditure Breakdown'!$H$6:$H$171, "&gt;="&amp;J1,'Expenditure Breakdown'!$H$6:$H$171, "&lt;"&amp;K1)</f>
        <v>0</v>
      </c>
      <c r="K5" s="112">
        <f>SUMIFS('Expenditure Breakdown'!$G$6:$G$171, 'Expenditure Breakdown'!$H$6:$H$171, "&gt;="&amp;K1,'Expenditure Breakdown'!$H$6:$H$171, "&lt;"&amp;L1)</f>
        <v>0</v>
      </c>
      <c r="L5" s="112">
        <f>SUMIFS('Expenditure Breakdown'!$G$6:$G$171, 'Expenditure Breakdown'!$H$6:$H$171, "&gt;="&amp;L1,'Expenditure Breakdown'!$H$6:$H$171, "&lt;"&amp;M1)</f>
        <v>0</v>
      </c>
      <c r="M5" s="112">
        <f>SUMIFS('Expenditure Breakdown'!$G$6:$G$171, 'Expenditure Breakdown'!$H$6:$H$171, "&gt;="&amp;M1,'Expenditure Breakdown'!$H$6:$H$171, "&lt;"&amp;N1)</f>
        <v>0</v>
      </c>
      <c r="N5" s="112">
        <f>SUMIFS('Expenditure Breakdown'!$G$6:$G$171, 'Expenditure Breakdown'!$H$6:$H$171, "&gt;="&amp;N1,'Expenditure Breakdown'!$H$6:$H$171, "&lt;"&amp;O1)</f>
        <v>0</v>
      </c>
      <c r="O5" s="112">
        <f>SUMIFS('Expenditure Breakdown'!$G$6:$G$171, 'Expenditure Breakdown'!$H$6:$H$171, "&gt;="&amp;O1,'Expenditure Breakdown'!$H$6:$H$171, "&lt;"&amp;P1)</f>
        <v>0</v>
      </c>
      <c r="P5" s="112">
        <f>SUMIFS('Expenditure Breakdown'!$G$6:$G$171, 'Expenditure Breakdown'!$H$6:$H$171, "&gt;="&amp;P1,'Expenditure Breakdown'!$H$6:$H$171, "&lt;"&amp;Q1)</f>
        <v>0</v>
      </c>
      <c r="Q5" s="112">
        <f>SUMIFS('Expenditure Breakdown'!$G$6:$G$171, 'Expenditure Breakdown'!$H$6:$H$171, "&gt;="&amp;Q1,'Expenditure Breakdown'!$H$6:$H$171, "&lt;"&amp;R1)</f>
        <v>0</v>
      </c>
      <c r="R5" s="112">
        <f>SUMIFS('Expenditure Breakdown'!$G$6:$G$171, 'Expenditure Breakdown'!$H$6:$H$171, "&gt;="&amp;R1,'Expenditure Breakdown'!$H$6:$H$171, "&lt;"&amp;S1)</f>
        <v>0</v>
      </c>
      <c r="S5" s="112">
        <f>SUMIFS('Expenditure Breakdown'!$G$6:$G$171, 'Expenditure Breakdown'!$H$6:$H$171, "&gt;="&amp;S1,'Expenditure Breakdown'!$H$6:$H$171, "&lt;"&amp;T1)</f>
        <v>0</v>
      </c>
      <c r="T5" s="112">
        <f>SUMIFS('Expenditure Breakdown'!$G$6:$G$171, 'Expenditure Breakdown'!$H$6:$H$171, "&gt;="&amp;T1,'Expenditure Breakdown'!$H$6:$H$171, "&lt;"&amp;U1)</f>
        <v>0</v>
      </c>
      <c r="U5" s="112">
        <f>SUMIFS('Expenditure Breakdown'!$G$6:$G$171, 'Expenditure Breakdown'!$H$6:$H$171, "&gt;="&amp;U1,'Expenditure Breakdown'!$H$6:$H$171, "&lt;"&amp;V1)</f>
        <v>0</v>
      </c>
      <c r="V5" s="112">
        <f>SUMIFS('Expenditure Breakdown'!$G$6:$G$171, 'Expenditure Breakdown'!$H$6:$H$171, "&gt;="&amp;V1,'Expenditure Breakdown'!$H$6:$H$171, "&lt;"&amp;W1)</f>
        <v>0</v>
      </c>
      <c r="W5" s="112">
        <f>SUMIFS('Expenditure Breakdown'!$G$6:$G$171, 'Expenditure Breakdown'!$H$6:$H$171, "&gt;="&amp;W1,'Expenditure Breakdown'!$H$6:$H$171, "&lt;"&amp;X1)</f>
        <v>420132.6669565218</v>
      </c>
      <c r="X5" s="112">
        <f>SUMIFS('Expenditure Breakdown'!$G$6:$G$171, 'Expenditure Breakdown'!$H$6:$H$171, "&gt;="&amp;X1,'Expenditure Breakdown'!$H$6:$H$171, "&lt;"&amp;Y1)</f>
        <v>50822.8</v>
      </c>
      <c r="Y5" s="112">
        <f>SUMIFS('Expenditure Breakdown'!$G$6:$G$171, 'Expenditure Breakdown'!$H$6:$H$171, "&gt;="&amp;Y1,'Expenditure Breakdown'!$H$6:$H$171, "&lt;"&amp;Z1)</f>
        <v>134292</v>
      </c>
      <c r="Z5" s="112">
        <f>SUMIFS('Expenditure Breakdown'!$G$6:$G$171, 'Expenditure Breakdown'!$H$6:$H$171, "&gt;="&amp;Z1,'Expenditure Breakdown'!$H$6:$H$171, "&lt;"&amp;AA1)</f>
        <v>89000</v>
      </c>
      <c r="AA5" s="112">
        <f>SUMIFS('Expenditure Breakdown'!$G$6:$G$171, 'Expenditure Breakdown'!$H$6:$H$171, "&gt;="&amp;AA1,'Expenditure Breakdown'!$H$6:$H$171, "&lt;"&amp;AB1)</f>
        <v>0</v>
      </c>
      <c r="AB5" s="112">
        <f>SUMIFS('Expenditure Breakdown'!$G$6:$G$171, 'Expenditure Breakdown'!$H$6:$H$171, "&gt;="&amp;AB1,'Expenditure Breakdown'!$H$6:$H$171, "&lt;"&amp;AC1)</f>
        <v>15818.458961956521</v>
      </c>
      <c r="AC5" s="112">
        <f>SUMIFS('Expenditure Breakdown'!$G$6:$G$171, 'Expenditure Breakdown'!$H$6:$H$171, "&gt;="&amp;AC1,'Expenditure Breakdown'!$H$6:$H$171, "&lt;"&amp;AD1)</f>
        <v>484386.53000000009</v>
      </c>
      <c r="AD5" s="112">
        <f>SUMIFS('Expenditure Breakdown'!$G$6:$G$171, 'Expenditure Breakdown'!$H$6:$H$171, "&gt;="&amp;AD1,'Expenditure Breakdown'!$H$6:$H$171, "&lt;"&amp;AE1)</f>
        <v>0</v>
      </c>
      <c r="AE5" s="112">
        <f>SUMIFS('Expenditure Breakdown'!$G$6:$G$171, 'Expenditure Breakdown'!$H$6:$H$171, "&gt;="&amp;AE1,'Expenditure Breakdown'!$H$6:$H$171, "&lt;"&amp;AF1)</f>
        <v>0</v>
      </c>
      <c r="AF5" s="112">
        <f>SUMIFS('Expenditure Breakdown'!$G$6:$G$171, 'Expenditure Breakdown'!$H$6:$H$171, "&gt;="&amp;AF1,'Expenditure Breakdown'!$H$6:$H$171, "&lt;"&amp;AG1)</f>
        <v>0</v>
      </c>
      <c r="AG5" s="112">
        <f>SUMIFS('Expenditure Breakdown'!$G$6:$G$171, 'Expenditure Breakdown'!$H$6:$H$171, "&gt;="&amp;AG1,'Expenditure Breakdown'!$H$6:$H$171, "&lt;"&amp;AH1)</f>
        <v>0</v>
      </c>
      <c r="AH5" s="112">
        <f>SUMIFS('Expenditure Breakdown'!$G$6:$G$171, 'Expenditure Breakdown'!$H$6:$H$171, "&gt;="&amp;AH1,'Expenditure Breakdown'!$H$6:$H$171, "&lt;"&amp;AI1)</f>
        <v>0</v>
      </c>
      <c r="AI5" s="112">
        <f>SUMIFS('Expenditure Breakdown'!$G$6:$G$171, 'Expenditure Breakdown'!$H$6:$H$171, "&gt;="&amp;AI1,'Expenditure Breakdown'!$H$6:$H$171, "&lt;"&amp;AJ1)</f>
        <v>0</v>
      </c>
      <c r="AJ5" s="112">
        <f>SUMIFS('Expenditure Breakdown'!$G$6:$G$171, 'Expenditure Breakdown'!$H$6:$H$171, "&gt;="&amp;AJ1,'Expenditure Breakdown'!$H$6:$H$171, "&lt;"&amp;AK1)</f>
        <v>0</v>
      </c>
      <c r="AK5" s="112">
        <f>SUMIFS('Expenditure Breakdown'!$G$6:$G$171, 'Expenditure Breakdown'!$H$6:$H$171, "&gt;="&amp;AK1,'Expenditure Breakdown'!$H$6:$H$171, "&lt;"&amp;AL1)</f>
        <v>0</v>
      </c>
      <c r="AL5" s="112">
        <f>SUMIFS('Expenditure Breakdown'!$G$6:$G$171, 'Expenditure Breakdown'!$H$6:$H$171, "&gt;="&amp;AL1,'Expenditure Breakdown'!$H$6:$H$171, "&lt;"&amp;AM1)</f>
        <v>0</v>
      </c>
      <c r="AM5" s="112">
        <f>SUMIFS('Expenditure Breakdown'!$G$6:$G$171, 'Expenditure Breakdown'!$H$6:$H$171, "&gt;="&amp;AM1,'Expenditure Breakdown'!$H$6:$H$171, "&lt;"&amp;AN1)</f>
        <v>0</v>
      </c>
      <c r="AN5" s="112">
        <f>SUMIFS('Expenditure Breakdown'!$G$6:$G$171, 'Expenditure Breakdown'!$H$6:$H$171, "&gt;="&amp;AN1,'Expenditure Breakdown'!$H$6:$H$171, "&lt;"&amp;AO1)</f>
        <v>0</v>
      </c>
      <c r="AO5" s="112">
        <f>SUMIFS('Expenditure Breakdown'!$G$6:$G$171, 'Expenditure Breakdown'!$H$6:$H$171, "&gt;="&amp;AO1,'Expenditure Breakdown'!$H$6:$H$171, "&lt;"&amp;AP1)</f>
        <v>0</v>
      </c>
      <c r="AP5" s="112">
        <f>SUMIFS('Expenditure Breakdown'!$G$6:$G$171, 'Expenditure Breakdown'!$H$6:$H$171, "&gt;="&amp;AP1,'Expenditure Breakdown'!$H$6:$H$171, "&lt;"&amp;AQ1)</f>
        <v>0</v>
      </c>
      <c r="AQ5" s="112">
        <f>SUMIFS('Expenditure Breakdown'!$G$6:$G$171, 'Expenditure Breakdown'!$H$6:$H$171, "&gt;="&amp;AQ1,'Expenditure Breakdown'!$H$6:$H$171, "&lt;"&amp;AR1)</f>
        <v>0</v>
      </c>
      <c r="AR5" s="112">
        <f>SUMIFS('Expenditure Breakdown'!$G$6:$G$171, 'Expenditure Breakdown'!$H$6:$H$171, "&gt;="&amp;AR1,'Expenditure Breakdown'!$H$6:$H$171, "&lt;"&amp;AS1)</f>
        <v>0</v>
      </c>
      <c r="AS5" s="112">
        <f>SUMIFS('Expenditure Breakdown'!$G$6:$G$171, 'Expenditure Breakdown'!$H$6:$H$171, "&gt;="&amp;AS1,'Expenditure Breakdown'!$H$6:$H$171, "&lt;"&amp;AT1)</f>
        <v>0</v>
      </c>
      <c r="AT5" s="112">
        <f>SUMIFS('Expenditure Breakdown'!$G$6:$G$171, 'Expenditure Breakdown'!$H$6:$H$171, "&gt;="&amp;AT1,'Expenditure Breakdown'!$H$6:$H$171, "&lt;"&amp;AU1)</f>
        <v>0</v>
      </c>
      <c r="AU5" s="112">
        <f>SUMIFS('Expenditure Breakdown'!$G$6:$G$171, 'Expenditure Breakdown'!$H$6:$H$171, "&gt;="&amp;AU1,'Expenditure Breakdown'!$H$6:$H$171, "&lt;"&amp;AV1)</f>
        <v>0</v>
      </c>
      <c r="AV5" s="112">
        <f>SUMIFS('Expenditure Breakdown'!$G$6:$G$171, 'Expenditure Breakdown'!$H$6:$H$171, "&gt;="&amp;AV1,'Expenditure Breakdown'!$H$6:$H$171, "&lt;"&amp;AW1)</f>
        <v>0</v>
      </c>
      <c r="AW5" s="112">
        <f>SUMIFS('Expenditure Breakdown'!$G$6:$G$171, 'Expenditure Breakdown'!$H$6:$H$171, "&gt;="&amp;AW1,'Expenditure Breakdown'!$H$6:$H$171, "&lt;"&amp;AX1)</f>
        <v>0</v>
      </c>
      <c r="AX5" s="112">
        <f>SUMIFS('Expenditure Breakdown'!$G$6:$G$171, 'Expenditure Breakdown'!$H$6:$H$171, "&gt;="&amp;AX1,'Expenditure Breakdown'!$H$6:$H$171, "&lt;"&amp;AY1)</f>
        <v>0</v>
      </c>
      <c r="AY5" s="112">
        <f>SUMIFS('Expenditure Breakdown'!$G$6:$G$171, 'Expenditure Breakdown'!$H$6:$H$171, "&gt;="&amp;AY1,'Expenditure Breakdown'!$H$6:$H$171, "&lt;"&amp;AZ1)</f>
        <v>0</v>
      </c>
      <c r="AZ5" s="112">
        <f>SUMIFS('Expenditure Breakdown'!$G$6:$G$171, 'Expenditure Breakdown'!$H$6:$H$171, "&gt;="&amp;AZ1,'Expenditure Breakdown'!$H$6:$H$171, "&lt;"&amp;BA1)</f>
        <v>0</v>
      </c>
      <c r="BA5" s="112">
        <f>SUMIFS('Expenditure Breakdown'!$G$6:$G$171, 'Expenditure Breakdown'!$H$6:$H$171, "&gt;="&amp;BA1,'Expenditure Breakdown'!$H$6:$H$171, "&lt;"&amp;BB1)</f>
        <v>0</v>
      </c>
      <c r="BB5" s="112">
        <f>SUMIFS('Expenditure Breakdown'!$G$6:$G$171, 'Expenditure Breakdown'!$H$6:$H$171, "&gt;="&amp;BB1,'Expenditure Breakdown'!$H$6:$H$171, "&lt;"&amp;BC1)</f>
        <v>0</v>
      </c>
      <c r="BC5" s="112">
        <f>SUMIFS('Expenditure Breakdown'!$G$6:$G$171, 'Expenditure Breakdown'!$H$6:$H$171, "&gt;="&amp;BC1,'Expenditure Breakdown'!$H$6:$H$171, "&lt;"&amp;BD1)</f>
        <v>0</v>
      </c>
      <c r="BD5" s="112">
        <f>SUMIFS('Expenditure Breakdown'!$G$6:$G$171, 'Expenditure Breakdown'!$H$6:$H$171, "&gt;="&amp;BD1,'Expenditure Breakdown'!$H$6:$H$171, "&lt;"&amp;BE1)</f>
        <v>0</v>
      </c>
      <c r="BE5" s="112">
        <f>SUMIFS('Expenditure Breakdown'!$G$6:$G$171, 'Expenditure Breakdown'!$H$6:$H$171, "&gt;="&amp;BE1,'Expenditure Breakdown'!$H$6:$H$171, "&lt;"&amp;BF1)</f>
        <v>0</v>
      </c>
      <c r="BF5" s="112">
        <f>SUMIFS('Expenditure Breakdown'!$G$6:$G$171, 'Expenditure Breakdown'!$H$6:$H$171, "&gt;="&amp;BF1,'Expenditure Breakdown'!$H$6:$H$171, "&lt;"&amp;BG1)</f>
        <v>0</v>
      </c>
      <c r="BG5" s="112">
        <f>SUMIFS('Expenditure Breakdown'!$G$6:$G$171, 'Expenditure Breakdown'!$H$6:$H$171, "&gt;="&amp;BG1,'Expenditure Breakdown'!$H$6:$H$171, "&lt;"&amp;BH1)</f>
        <v>0</v>
      </c>
      <c r="BH5" s="112">
        <f>SUMIFS('Expenditure Breakdown'!$G$6:$G$171, 'Expenditure Breakdown'!$H$6:$H$171, "&gt;="&amp;BH1,'Expenditure Breakdown'!$H$6:$H$171, "&lt;"&amp;BI1)</f>
        <v>0</v>
      </c>
      <c r="BI5" s="112">
        <f>SUMIFS('Expenditure Breakdown'!$G$6:$G$171, 'Expenditure Breakdown'!$H$6:$H$171, "&gt;="&amp;BI1,'Expenditure Breakdown'!$H$6:$H$171, "&lt;"&amp;BJ1)</f>
        <v>0</v>
      </c>
      <c r="BJ5" s="112">
        <f>SUMIFS('Expenditure Breakdown'!$G$6:$G$171, 'Expenditure Breakdown'!$H$6:$H$171, "&gt;="&amp;BJ1,'Expenditure Breakdown'!$H$6:$H$171, "&lt;"&amp;BK1)</f>
        <v>0</v>
      </c>
      <c r="BK5" s="112">
        <f>SUMIFS('Expenditure Breakdown'!$G$6:$G$171, 'Expenditure Breakdown'!$H$6:$H$171, "&gt;="&amp;BK1,'Expenditure Breakdown'!$H$6:$H$171, "&lt;"&amp;BL1)</f>
        <v>0</v>
      </c>
      <c r="BL5" s="112">
        <f>SUMIFS('Expenditure Breakdown'!$G$6:$G$171, 'Expenditure Breakdown'!$H$6:$H$171, "&gt;="&amp;BL1,'Expenditure Breakdown'!$H$6:$H$171, "&lt;"&amp;BM1)</f>
        <v>0</v>
      </c>
      <c r="BM5" s="112">
        <f>SUMIFS('Expenditure Breakdown'!$G$6:$G$171, 'Expenditure Breakdown'!$H$6:$H$171, "&gt;="&amp;BM1,'Expenditure Breakdown'!$H$6:$H$171, "&lt;"&amp;BN1)</f>
        <v>0</v>
      </c>
      <c r="BN5" s="112">
        <f>SUMIFS('Expenditure Breakdown'!$G$6:$G$171, 'Expenditure Breakdown'!$H$6:$H$171, "&gt;="&amp;BN1,'Expenditure Breakdown'!$H$6:$H$171, "&lt;"&amp;BO1)</f>
        <v>0</v>
      </c>
      <c r="BO5" s="112">
        <f>SUMIFS('Expenditure Breakdown'!$G$6:$G$171, 'Expenditure Breakdown'!$H$6:$H$171, "&gt;="&amp;BO1,'Expenditure Breakdown'!$H$6:$H$171, "&lt;"&amp;BP1)</f>
        <v>0</v>
      </c>
      <c r="BP5" s="112">
        <f>SUMIFS('Expenditure Breakdown'!$G$6:$G$171, 'Expenditure Breakdown'!$H$6:$H$171, "&gt;="&amp;BP1,'Expenditure Breakdown'!$H$6:$H$171, "&lt;"&amp;BQ1)</f>
        <v>0</v>
      </c>
      <c r="BQ5" s="112">
        <f>SUMIFS('Expenditure Breakdown'!$G$6:$G$171, 'Expenditure Breakdown'!$H$6:$H$171, "&gt;="&amp;BQ1,'Expenditure Breakdown'!$H$6:$H$171, "&lt;"&amp;BR1)</f>
        <v>0</v>
      </c>
      <c r="BR5" s="112">
        <f>SUMIFS('Expenditure Breakdown'!$G$6:$G$171, 'Expenditure Breakdown'!$H$6:$H$171, "&gt;="&amp;BR1,'Expenditure Breakdown'!$H$6:$H$171, "&lt;"&amp;BS1)</f>
        <v>0</v>
      </c>
      <c r="BS5" s="112">
        <f>SUMIFS('Expenditure Breakdown'!$G$6:$G$171, 'Expenditure Breakdown'!$H$6:$H$171, "&gt;="&amp;BS1,'Expenditure Breakdown'!$H$6:$H$171, "&lt;"&amp;BT1)</f>
        <v>0</v>
      </c>
      <c r="BT5" s="112">
        <f>SUMIFS('Expenditure Breakdown'!$G$6:$G$171, 'Expenditure Breakdown'!$H$6:$H$171, "&gt;="&amp;BT1,'Expenditure Breakdown'!$H$6:$H$171, "&lt;"&amp;BU1)</f>
        <v>0</v>
      </c>
      <c r="BU5" s="112">
        <f>SUMIFS('Expenditure Breakdown'!$G$6:$G$171, 'Expenditure Breakdown'!$H$6:$H$171, "&gt;="&amp;BU1,'Expenditure Breakdown'!$H$6:$H$171, "&lt;"&amp;BV1)</f>
        <v>0</v>
      </c>
      <c r="BV5" s="112">
        <f>SUMIFS('Expenditure Breakdown'!$G$6:$G$171, 'Expenditure Breakdown'!$H$6:$H$171, "&gt;="&amp;BV1,'Expenditure Breakdown'!$H$6:$H$171, "&lt;"&amp;BW1)</f>
        <v>0</v>
      </c>
      <c r="BW5" s="112">
        <f>SUMIFS('Expenditure Breakdown'!$G$6:$G$171, 'Expenditure Breakdown'!$H$6:$H$171, "&gt;="&amp;BW1,'Expenditure Breakdown'!$H$6:$H$171, "&lt;"&amp;BX1)</f>
        <v>0</v>
      </c>
      <c r="BX5" s="112">
        <f>SUMIFS('Expenditure Breakdown'!$G$6:$G$171, 'Expenditure Breakdown'!$H$6:$H$171, "&gt;="&amp;BX1,'Expenditure Breakdown'!$H$6:$H$171, "&lt;"&amp;BY1)</f>
        <v>0</v>
      </c>
      <c r="BY5" s="112">
        <f>SUMIFS('Expenditure Breakdown'!$G$6:$G$171, 'Expenditure Breakdown'!$H$6:$H$171, "&gt;="&amp;BY1,'Expenditure Breakdown'!$H$6:$H$171, "&lt;"&amp;BZ1)</f>
        <v>0</v>
      </c>
      <c r="BZ5" s="112">
        <f>SUMIFS('Expenditure Breakdown'!$G$6:$G$171, 'Expenditure Breakdown'!$H$6:$H$171, "&gt;="&amp;BZ1,'Expenditure Breakdown'!$H$6:$H$171, "&lt;"&amp;CA1)</f>
        <v>0</v>
      </c>
      <c r="CA5" s="112">
        <f>SUMIFS('Expenditure Breakdown'!$G$6:$G$171, 'Expenditure Breakdown'!$H$6:$H$171, "&gt;="&amp;CA1,'Expenditure Breakdown'!$H$6:$H$171, "&lt;"&amp;CB1)</f>
        <v>0</v>
      </c>
      <c r="CB5" s="112">
        <f>SUMIFS('Expenditure Breakdown'!$G$6:$G$171, 'Expenditure Breakdown'!$H$6:$H$171, "&gt;="&amp;CB1,'Expenditure Breakdown'!$H$6:$H$171, "&lt;"&amp;CC1)</f>
        <v>0</v>
      </c>
      <c r="CC5" s="112">
        <f>SUMIFS('Expenditure Breakdown'!$G$6:$G$171, 'Expenditure Breakdown'!$H$6:$H$171, "&gt;="&amp;CC1,'Expenditure Breakdown'!$H$6:$H$171, "&lt;"&amp;CD1)</f>
        <v>0</v>
      </c>
      <c r="CD5" s="112">
        <f>SUMIFS('Expenditure Breakdown'!$G$6:$G$171, 'Expenditure Breakdown'!$H$6:$H$171, "&gt;="&amp;CD1,'Expenditure Breakdown'!$H$6:$H$171, "&lt;"&amp;CE1)</f>
        <v>0</v>
      </c>
      <c r="CE5" s="112">
        <f>SUMIFS('Expenditure Breakdown'!$G$6:$G$171, 'Expenditure Breakdown'!$H$6:$H$171, "&gt;="&amp;CE1,'Expenditure Breakdown'!$H$6:$H$171, "&lt;"&amp;CF1)</f>
        <v>0</v>
      </c>
      <c r="CF5" s="112">
        <f>SUMIFS('Expenditure Breakdown'!$G$6:$G$171, 'Expenditure Breakdown'!$H$6:$H$171, "&gt;="&amp;CF1,'Expenditure Breakdown'!$H$6:$H$171, "&lt;"&amp;CG1)</f>
        <v>0</v>
      </c>
      <c r="CG5" s="112">
        <f>SUMIFS('Expenditure Breakdown'!$G$6:$G$171, 'Expenditure Breakdown'!$H$6:$H$171, "&gt;="&amp;CG1,'Expenditure Breakdown'!$H$6:$H$171, "&lt;"&amp;CH1)</f>
        <v>0</v>
      </c>
      <c r="CH5" s="112">
        <f>SUMIFS('Expenditure Breakdown'!$G$6:$G$171, 'Expenditure Breakdown'!$H$6:$H$171, "&gt;="&amp;CH1,'Expenditure Breakdown'!$H$6:$H$171, "&lt;"&amp;CI1)</f>
        <v>0</v>
      </c>
      <c r="CI5" s="112">
        <f>SUMIFS('Expenditure Breakdown'!$G$6:$G$171, 'Expenditure Breakdown'!$H$6:$H$171, "&gt;="&amp;CI1,'Expenditure Breakdown'!$H$6:$H$171, "&lt;"&amp;CJ1)</f>
        <v>0</v>
      </c>
      <c r="CJ5" s="112">
        <f>SUMIFS('Expenditure Breakdown'!$G$6:$G$171, 'Expenditure Breakdown'!$H$6:$H$171, "&gt;="&amp;CJ1,'Expenditure Breakdown'!$H$6:$H$171, "&lt;"&amp;CK1)</f>
        <v>0</v>
      </c>
      <c r="CK5" s="112">
        <f>SUMIFS('Expenditure Breakdown'!$G$6:$G$171, 'Expenditure Breakdown'!$H$6:$H$171, "&gt;="&amp;CK1,'Expenditure Breakdown'!$H$6:$H$171, "&lt;"&amp;CL1)</f>
        <v>0</v>
      </c>
      <c r="CL5" s="112">
        <f>SUMIFS('Expenditure Breakdown'!$G$6:$G$171, 'Expenditure Breakdown'!$H$6:$H$171, "&gt;="&amp;CL1,'Expenditure Breakdown'!$H$6:$H$171, "&lt;"&amp;CM1)</f>
        <v>0</v>
      </c>
      <c r="CM5" s="112">
        <f>SUMIFS('Expenditure Breakdown'!$G$6:$G$171, 'Expenditure Breakdown'!$H$6:$H$171, "&gt;="&amp;CM1,'Expenditure Breakdown'!$H$6:$H$171, "&lt;"&amp;CN1)</f>
        <v>0</v>
      </c>
      <c r="CN5" s="112">
        <f>SUMIFS('Expenditure Breakdown'!$G$6:$G$171, 'Expenditure Breakdown'!$H$6:$H$171, "&gt;="&amp;CN1,'Expenditure Breakdown'!$H$6:$H$171, "&lt;"&amp;CO1)</f>
        <v>0</v>
      </c>
      <c r="CO5" s="112">
        <f>SUMIFS('Expenditure Breakdown'!$G$6:$G$171, 'Expenditure Breakdown'!$H$6:$H$171, "&gt;="&amp;CO1,'Expenditure Breakdown'!$H$6:$H$171, "&lt;"&amp;CP1)</f>
        <v>0</v>
      </c>
      <c r="CP5" s="112">
        <f>SUMIFS('Expenditure Breakdown'!$G$6:$G$171, 'Expenditure Breakdown'!$H$6:$H$171, "&gt;="&amp;CP1,'Expenditure Breakdown'!$H$6:$H$171, "&lt;"&amp;CQ1)</f>
        <v>0</v>
      </c>
      <c r="CQ5" s="112">
        <f>SUMIFS('Expenditure Breakdown'!$G$6:$G$171, 'Expenditure Breakdown'!$H$6:$H$171, "&gt;="&amp;CQ1,'Expenditure Breakdown'!$H$6:$H$171, "&lt;"&amp;CR1)</f>
        <v>0</v>
      </c>
      <c r="CR5" s="112">
        <f>SUMIFS('Expenditure Breakdown'!$G$6:$G$171, 'Expenditure Breakdown'!$H$6:$H$171, "&gt;="&amp;CR1,'Expenditure Breakdown'!$H$6:$H$171, "&lt;"&amp;CS1)</f>
        <v>0</v>
      </c>
      <c r="CS5" s="112">
        <f>SUMIFS('Expenditure Breakdown'!$G$6:$G$171, 'Expenditure Breakdown'!$H$6:$H$171, "&gt;="&amp;CS1,'Expenditure Breakdown'!$H$6:$H$171, "&lt;"&amp;CT1)</f>
        <v>0</v>
      </c>
      <c r="CT5" s="112">
        <f>SUMIFS('Expenditure Breakdown'!$G$6:$G$171, 'Expenditure Breakdown'!$H$6:$H$171, "&gt;="&amp;CT1,'Expenditure Breakdown'!$H$6:$H$171, "&lt;"&amp;CU1)</f>
        <v>0</v>
      </c>
      <c r="CU5" s="112">
        <f>SUMIFS('Expenditure Breakdown'!$G$6:$G$171, 'Expenditure Breakdown'!$H$6:$H$171, "&gt;="&amp;CU1,'Expenditure Breakdown'!$H$6:$H$171, "&lt;"&amp;CV1)</f>
        <v>0</v>
      </c>
      <c r="CV5" s="112">
        <f>SUMIFS('Expenditure Breakdown'!$G$6:$G$171, 'Expenditure Breakdown'!$H$6:$H$171, "&gt;="&amp;CV1,'Expenditure Breakdown'!$H$6:$H$171, "&lt;"&amp;CW1)</f>
        <v>0</v>
      </c>
      <c r="CW5" s="112">
        <f>SUMIFS('Expenditure Breakdown'!$G$6:$G$171, 'Expenditure Breakdown'!$H$6:$H$171, "&gt;="&amp;CW1,'Expenditure Breakdown'!$H$6:$H$171, "&lt;"&amp;CX1)</f>
        <v>0</v>
      </c>
      <c r="CX5" s="112">
        <f>SUMIFS('Expenditure Breakdown'!$G$6:$G$171, 'Expenditure Breakdown'!$H$6:$H$171, "&gt;="&amp;CX1,'Expenditure Breakdown'!$H$6:$H$171, "&lt;"&amp;CY1)</f>
        <v>0</v>
      </c>
      <c r="CY5" s="112">
        <f>SUMIFS('Expenditure Breakdown'!$G$6:$G$171, 'Expenditure Breakdown'!$H$6:$H$171, "&gt;="&amp;CY1,'Expenditure Breakdown'!$H$6:$H$171, "&lt;"&amp;CZ1)</f>
        <v>0</v>
      </c>
      <c r="CZ5" s="112">
        <f>SUMIFS('Expenditure Breakdown'!$G$6:$G$171, 'Expenditure Breakdown'!$H$6:$H$171, "&gt;="&amp;CZ1,'Expenditure Breakdown'!$H$6:$H$171, "&lt;"&amp;DA1)</f>
        <v>0</v>
      </c>
      <c r="DA5" s="112">
        <f>SUMIFS('Expenditure Breakdown'!$G$6:$G$171, 'Expenditure Breakdown'!$H$6:$H$171, "&gt;="&amp;DA1,'Expenditure Breakdown'!$H$6:$H$171, "&lt;"&amp;DB1)</f>
        <v>0</v>
      </c>
      <c r="DB5" s="112">
        <f>SUMIFS('Expenditure Breakdown'!$G$6:$G$171, 'Expenditure Breakdown'!$H$6:$H$171, "&gt;="&amp;DB1,'Expenditure Breakdown'!$H$6:$H$171, "&lt;"&amp;DC1)</f>
        <v>0</v>
      </c>
      <c r="DC5" s="112">
        <f>SUMIFS('Expenditure Breakdown'!$G$6:$G$171, 'Expenditure Breakdown'!$H$6:$H$171, "&gt;="&amp;DC1,'Expenditure Breakdown'!$H$6:$H$171, "&lt;"&amp;DD1)</f>
        <v>0</v>
      </c>
      <c r="DD5" s="112">
        <f>SUMIFS('Expenditure Breakdown'!$G$6:$G$171, 'Expenditure Breakdown'!$H$6:$H$171, "&gt;="&amp;DD1,'Expenditure Breakdown'!$H$6:$H$171, "&lt;"&amp;DE1)</f>
        <v>0</v>
      </c>
      <c r="DE5" s="112">
        <f>SUMIFS('Expenditure Breakdown'!$G$6:$G$171, 'Expenditure Breakdown'!$H$6:$H$171, "&gt;="&amp;DE1,'Expenditure Breakdown'!$H$6:$H$171, "&lt;"&amp;DF1)</f>
        <v>0</v>
      </c>
      <c r="DF5" s="112">
        <f>SUMIFS('Expenditure Breakdown'!$G$6:$G$171, 'Expenditure Breakdown'!$H$6:$H$171, "&gt;="&amp;DF1,'Expenditure Breakdown'!$H$6:$H$171, "&lt;"&amp;DG1)</f>
        <v>0</v>
      </c>
      <c r="DG5" s="112">
        <f>SUMIFS('Expenditure Breakdown'!$G$6:$G$171, 'Expenditure Breakdown'!$H$6:$H$171, "&gt;="&amp;DG1,'Expenditure Breakdown'!$H$6:$H$171, "&lt;"&amp;DH1)</f>
        <v>0</v>
      </c>
      <c r="DH5" s="112">
        <f>SUMIFS('Expenditure Breakdown'!$G$6:$G$171, 'Expenditure Breakdown'!$H$6:$H$171, "&gt;="&amp;DH1,'Expenditure Breakdown'!$H$6:$H$171, "&lt;"&amp;DI1)</f>
        <v>0</v>
      </c>
      <c r="DI5" s="112">
        <f>SUMIFS('Expenditure Breakdown'!$G$6:$G$171, 'Expenditure Breakdown'!$H$6:$H$171, "&gt;="&amp;DI1,'Expenditure Breakdown'!$H$6:$H$171, "&lt;"&amp;DJ1)</f>
        <v>0</v>
      </c>
      <c r="DJ5" s="112">
        <f>SUMIFS('Expenditure Breakdown'!$G$6:$G$171, 'Expenditure Breakdown'!$H$6:$H$171, "&gt;="&amp;DJ1,'Expenditure Breakdown'!$H$6:$H$171, "&lt;"&amp;DK1)</f>
        <v>0</v>
      </c>
      <c r="DK5" s="112">
        <f>SUMIFS('Expenditure Breakdown'!$G$6:$G$171, 'Expenditure Breakdown'!$H$6:$H$171, "&gt;="&amp;DK1,'Expenditure Breakdown'!$H$6:$H$171, "&lt;"&amp;DL1)</f>
        <v>0</v>
      </c>
      <c r="DL5" s="112">
        <f>SUMIFS('Expenditure Breakdown'!$G$6:$G$171, 'Expenditure Breakdown'!$H$6:$H$171, "&gt;="&amp;DL1,'Expenditure Breakdown'!$H$6:$H$171, "&lt;"&amp;DM1)</f>
        <v>0</v>
      </c>
      <c r="DM5" s="112">
        <f>SUMIFS('Expenditure Breakdown'!$G$6:$G$171, 'Expenditure Breakdown'!$H$6:$H$171, "&gt;="&amp;DM1,'Expenditure Breakdown'!$H$6:$H$171, "&lt;"&amp;DN1)</f>
        <v>0</v>
      </c>
      <c r="DN5" s="112">
        <f>SUMIFS('Expenditure Breakdown'!$G$6:$G$171, 'Expenditure Breakdown'!$H$6:$H$171, "&gt;="&amp;DN1,'Expenditure Breakdown'!$H$6:$H$171, "&lt;"&amp;DO1)</f>
        <v>0</v>
      </c>
      <c r="DO5" s="112">
        <f>SUMIFS('Expenditure Breakdown'!$G$6:$G$171, 'Expenditure Breakdown'!$H$6:$H$171, "&gt;="&amp;DO1,'Expenditure Breakdown'!$H$6:$H$171, "&lt;"&amp;DP1)</f>
        <v>0</v>
      </c>
      <c r="DP5" s="112">
        <f>SUMIFS('Expenditure Breakdown'!$G$6:$G$171, 'Expenditure Breakdown'!$H$6:$H$171, "&gt;="&amp;DP1,'Expenditure Breakdown'!$H$6:$H$171, "&lt;"&amp;DQ1)</f>
        <v>0</v>
      </c>
      <c r="DQ5" s="112">
        <f>SUMIFS('Expenditure Breakdown'!$G$6:$G$171, 'Expenditure Breakdown'!$H$6:$H$171, "&gt;="&amp;DQ1,'Expenditure Breakdown'!$H$6:$H$171, "&lt;"&amp;DR1)</f>
        <v>0</v>
      </c>
      <c r="DR5" s="112">
        <f>SUMIFS('Expenditure Breakdown'!$G$6:$G$171, 'Expenditure Breakdown'!$H$6:$H$171, "&gt;="&amp;DR1,'Expenditure Breakdown'!$H$6:$H$171, "&lt;"&amp;DS1)</f>
        <v>0</v>
      </c>
      <c r="DS5" s="112">
        <f>SUMIFS('Expenditure Breakdown'!$G$6:$G$171, 'Expenditure Breakdown'!$H$6:$H$171, "&gt;="&amp;DS1,'Expenditure Breakdown'!$H$6:$H$171, "&lt;"&amp;DT1)</f>
        <v>0</v>
      </c>
      <c r="DT5" s="112">
        <f>SUMIFS('Expenditure Breakdown'!$G$6:$G$171, 'Expenditure Breakdown'!$H$6:$H$171, "&gt;="&amp;DT1,'Expenditure Breakdown'!$H$6:$H$171, "&lt;"&amp;DU1)</f>
        <v>0</v>
      </c>
      <c r="DU5" s="112">
        <f>SUMIFS('Expenditure Breakdown'!$G$6:$G$171, 'Expenditure Breakdown'!$H$6:$H$171, "&gt;="&amp;DU1,'Expenditure Breakdown'!$H$6:$H$171, "&lt;"&amp;DV1)</f>
        <v>0</v>
      </c>
      <c r="DV5" s="112">
        <f>SUMIFS('Expenditure Breakdown'!$G$6:$G$171, 'Expenditure Breakdown'!$H$6:$H$171, "&gt;="&amp;DV1,'Expenditure Breakdown'!$H$6:$H$171, "&lt;"&amp;DW1)</f>
        <v>0</v>
      </c>
      <c r="DW5" s="112">
        <f>SUMIFS('Expenditure Breakdown'!$G$6:$G$171, 'Expenditure Breakdown'!$H$6:$H$171, "&gt;="&amp;DW1,'Expenditure Breakdown'!$H$6:$H$171, "&lt;"&amp;DX1)</f>
        <v>0</v>
      </c>
      <c r="DX5" s="112">
        <f>SUMIFS('Expenditure Breakdown'!$G$6:$G$171, 'Expenditure Breakdown'!$H$6:$H$171, "&gt;="&amp;DX1,'Expenditure Breakdown'!$H$6:$H$171, "&lt;"&amp;DY1)</f>
        <v>0</v>
      </c>
      <c r="DY5" s="112">
        <f>SUMIFS('Expenditure Breakdown'!$G$6:$G$171, 'Expenditure Breakdown'!$H$6:$H$171, "&gt;="&amp;DY1,'Expenditure Breakdown'!$H$6:$H$171, "&lt;"&amp;DZ1)</f>
        <v>0</v>
      </c>
      <c r="DZ5" s="112">
        <f>SUMIFS('Expenditure Breakdown'!$G$6:$G$171, 'Expenditure Breakdown'!$H$6:$H$171, "&gt;="&amp;DZ1,'Expenditure Breakdown'!$H$6:$H$171, "&lt;"&amp;EA1)</f>
        <v>0</v>
      </c>
      <c r="EA5" s="112">
        <f>SUMIFS('Expenditure Breakdown'!$G$6:$G$171, 'Expenditure Breakdown'!$H$6:$H$171, "&gt;="&amp;EA1,'Expenditure Breakdown'!$H$6:$H$171, "&lt;"&amp;EB1)</f>
        <v>0</v>
      </c>
      <c r="EB5" s="112">
        <f>SUMIFS('Expenditure Breakdown'!$G$6:$G$171, 'Expenditure Breakdown'!$H$6:$H$171, "&gt;="&amp;EB1,'Expenditure Breakdown'!$H$6:$H$171, "&lt;"&amp;EC1)</f>
        <v>0</v>
      </c>
      <c r="EC5" s="112">
        <f>SUMIFS('Expenditure Breakdown'!$G$6:$G$171, 'Expenditure Breakdown'!$H$6:$H$171, "&gt;="&amp;EC1,'Expenditure Breakdown'!$H$6:$H$171, "&lt;"&amp;ED1)</f>
        <v>0</v>
      </c>
      <c r="ED5" s="112">
        <f>SUMIFS('Expenditure Breakdown'!$G$6:$G$171, 'Expenditure Breakdown'!$H$6:$H$171, "&gt;="&amp;ED1,'Expenditure Breakdown'!$H$6:$H$171, "&lt;"&amp;EE1)</f>
        <v>0</v>
      </c>
      <c r="EE5" s="112">
        <f>SUMIFS('Expenditure Breakdown'!$G$6:$G$171, 'Expenditure Breakdown'!$H$6:$H$171, "&gt;="&amp;EE1,'Expenditure Breakdown'!$H$6:$H$171, "&lt;"&amp;EF1)</f>
        <v>0</v>
      </c>
      <c r="EF5" s="112">
        <f>SUMIFS('Expenditure Breakdown'!$G$6:$G$171, 'Expenditure Breakdown'!$H$6:$H$171, "&gt;="&amp;EF1,'Expenditure Breakdown'!$H$6:$H$171, "&lt;"&amp;EG1)</f>
        <v>0</v>
      </c>
      <c r="EG5" s="112">
        <f>SUMIFS('Expenditure Breakdown'!$G$6:$G$171, 'Expenditure Breakdown'!$H$6:$H$171, "&gt;="&amp;EG1,'Expenditure Breakdown'!$H$6:$H$171, "&lt;"&amp;EH1)</f>
        <v>0</v>
      </c>
      <c r="EH5" s="112">
        <f>SUMIFS('Expenditure Breakdown'!$G$6:$G$171, 'Expenditure Breakdown'!$H$6:$H$171, "&gt;="&amp;EH1,'Expenditure Breakdown'!$H$6:$H$171, "&lt;"&amp;EI1)</f>
        <v>0</v>
      </c>
      <c r="EI5" s="112">
        <f>SUMIFS('Expenditure Breakdown'!$G$6:$G$171, 'Expenditure Breakdown'!$H$6:$H$171, "&gt;="&amp;EI1,'Expenditure Breakdown'!$H$6:$H$171, "&lt;"&amp;EJ1)</f>
        <v>0</v>
      </c>
      <c r="EJ5" s="112">
        <f>SUMIFS('Expenditure Breakdown'!$G$6:$G$171, 'Expenditure Breakdown'!$H$6:$H$171, "&gt;="&amp;EJ1,'Expenditure Breakdown'!$H$6:$H$171, "&lt;"&amp;EK1)</f>
        <v>0</v>
      </c>
      <c r="EK5" s="112">
        <f>SUMIFS('Expenditure Breakdown'!$G$6:$G$171, 'Expenditure Breakdown'!$H$6:$H$171, "&gt;="&amp;EK1,'Expenditure Breakdown'!$H$6:$H$171, "&lt;"&amp;EL1)</f>
        <v>0</v>
      </c>
      <c r="EL5" s="112">
        <f>SUMIFS('Expenditure Breakdown'!$G$6:$G$171, 'Expenditure Breakdown'!$H$6:$H$171, "&gt;="&amp;EL1,'Expenditure Breakdown'!$H$6:$H$171, "&lt;"&amp;EM1)</f>
        <v>0</v>
      </c>
      <c r="EM5" s="112">
        <f>SUMIFS('Expenditure Breakdown'!$G$6:$G$171, 'Expenditure Breakdown'!$H$6:$H$171, "&gt;="&amp;EM1,'Expenditure Breakdown'!$H$6:$H$171, "&lt;"&amp;EN1)</f>
        <v>0</v>
      </c>
      <c r="EN5" s="112">
        <f>SUMIFS('Expenditure Breakdown'!$G$6:$G$171, 'Expenditure Breakdown'!$H$6:$H$171, "&gt;="&amp;EN1,'Expenditure Breakdown'!$H$6:$H$171, "&lt;"&amp;EO1)</f>
        <v>0</v>
      </c>
      <c r="EO5" s="112">
        <f>SUMIFS('Expenditure Breakdown'!$G$6:$G$171, 'Expenditure Breakdown'!$H$6:$H$171, "&gt;="&amp;EO1,'Expenditure Breakdown'!$H$6:$H$171, "&lt;"&amp;EP1)</f>
        <v>0</v>
      </c>
      <c r="EP5" s="112">
        <f>SUMIFS('Expenditure Breakdown'!$G$6:$G$171, 'Expenditure Breakdown'!$H$6:$H$171, "&gt;="&amp;EP1,'Expenditure Breakdown'!$H$6:$H$171, "&lt;"&amp;EQ1)</f>
        <v>0</v>
      </c>
      <c r="EQ5" s="112">
        <f>SUMIFS('Expenditure Breakdown'!$G$6:$G$171, 'Expenditure Breakdown'!$H$6:$H$171, "&gt;="&amp;EQ1,'Expenditure Breakdown'!$H$6:$H$171, "&lt;"&amp;ER1)</f>
        <v>0</v>
      </c>
      <c r="ER5" s="112">
        <f>SUMIFS('Expenditure Breakdown'!$G$6:$G$171, 'Expenditure Breakdown'!$H$6:$H$171, "&gt;="&amp;ER1,'Expenditure Breakdown'!$H$6:$H$171, "&lt;"&amp;ES1)</f>
        <v>0</v>
      </c>
      <c r="ES5" s="112">
        <f>SUMIFS('Expenditure Breakdown'!$G$6:$G$171, 'Expenditure Breakdown'!$H$6:$H$171, "&gt;="&amp;ES1,'Expenditure Breakdown'!$H$6:$H$171, "&lt;"&amp;ET1)</f>
        <v>0</v>
      </c>
      <c r="ET5" s="112">
        <f>SUMIFS('Expenditure Breakdown'!$G$6:$G$171, 'Expenditure Breakdown'!$H$6:$H$171, "&gt;="&amp;ET1,'Expenditure Breakdown'!$H$6:$H$171, "&lt;"&amp;EU1)</f>
        <v>0</v>
      </c>
      <c r="EU5" s="112">
        <f>SUMIFS('Expenditure Breakdown'!$G$6:$G$171, 'Expenditure Breakdown'!$H$6:$H$171, "&gt;="&amp;EU1,'Expenditure Breakdown'!$H$6:$H$171, "&lt;"&amp;EV1)</f>
        <v>0</v>
      </c>
      <c r="EV5" s="112">
        <f>SUMIFS('Expenditure Breakdown'!$G$6:$G$171, 'Expenditure Breakdown'!$H$6:$H$171, "&gt;="&amp;EV1,'Expenditure Breakdown'!$H$6:$H$171, "&lt;"&amp;EW1)</f>
        <v>0</v>
      </c>
      <c r="EW5" s="112">
        <f>SUMIFS('Expenditure Breakdown'!$G$6:$G$171, 'Expenditure Breakdown'!$H$6:$H$171, "&gt;="&amp;EW1,'Expenditure Breakdown'!$H$6:$H$171, "&lt;"&amp;EX1)</f>
        <v>0</v>
      </c>
      <c r="EX5" s="112">
        <f>SUMIFS('Expenditure Breakdown'!$G$6:$G$171, 'Expenditure Breakdown'!$H$6:$H$171, "&gt;="&amp;EX1,'Expenditure Breakdown'!$H$6:$H$171, "&lt;"&amp;EY1)</f>
        <v>0</v>
      </c>
      <c r="EY5" s="112">
        <f>SUMIFS('Expenditure Breakdown'!$G$6:$G$171, 'Expenditure Breakdown'!$H$6:$H$171, "&gt;="&amp;EY1,'Expenditure Breakdown'!$H$6:$H$171, "&lt;"&amp;EZ1)</f>
        <v>0</v>
      </c>
      <c r="EZ5" s="112">
        <f>SUMIFS('Expenditure Breakdown'!$G$6:$G$171, 'Expenditure Breakdown'!$H$6:$H$171, "&gt;="&amp;EZ1,'Expenditure Breakdown'!$H$6:$H$171, "&lt;"&amp;FA1)</f>
        <v>0</v>
      </c>
      <c r="FA5" s="112">
        <f>SUMIFS('Expenditure Breakdown'!$G$6:$G$171, 'Expenditure Breakdown'!$H$6:$H$171, "&gt;="&amp;FA1,'Expenditure Breakdown'!$H$6:$H$171, "&lt;"&amp;FB1)</f>
        <v>0</v>
      </c>
      <c r="FB5" s="112">
        <f>SUMIFS('Expenditure Breakdown'!$G$6:$G$171, 'Expenditure Breakdown'!$H$6:$H$171, "&gt;="&amp;FB1,'Expenditure Breakdown'!$H$6:$H$171, "&lt;"&amp;FC1)</f>
        <v>0</v>
      </c>
      <c r="FC5" s="112">
        <f>SUMIFS('Expenditure Breakdown'!$G$6:$G$171, 'Expenditure Breakdown'!$H$6:$H$171, "&gt;="&amp;FC1,'Expenditure Breakdown'!$H$6:$H$171, "&lt;"&amp;FD1)</f>
        <v>0</v>
      </c>
      <c r="FD5" s="112">
        <f>SUMIFS('Expenditure Breakdown'!$G$6:$G$171, 'Expenditure Breakdown'!$H$6:$H$171, "&gt;="&amp;FD1,'Expenditure Breakdown'!$H$6:$H$171, "&lt;"&amp;FE1)</f>
        <v>0</v>
      </c>
      <c r="FE5" s="112">
        <f>SUMIFS('Expenditure Breakdown'!$G$6:$G$171, 'Expenditure Breakdown'!$H$6:$H$171, "&gt;="&amp;FE1,'Expenditure Breakdown'!$H$6:$H$171, "&lt;"&amp;FF1)</f>
        <v>0</v>
      </c>
      <c r="FF5" s="112">
        <f>SUMIFS('Expenditure Breakdown'!$G$6:$G$171, 'Expenditure Breakdown'!$H$6:$H$171, "&gt;="&amp;FF1,'Expenditure Breakdown'!$H$6:$H$171, "&lt;"&amp;FG1)</f>
        <v>0</v>
      </c>
      <c r="FG5" s="112">
        <f>SUMIFS('Expenditure Breakdown'!$G$6:$G$171, 'Expenditure Breakdown'!$H$6:$H$171, "&gt;="&amp;FG1,'Expenditure Breakdown'!$H$6:$H$171, "&lt;"&amp;FH1)</f>
        <v>0</v>
      </c>
      <c r="FH5" s="112">
        <f>SUMIFS('Expenditure Breakdown'!$G$6:$G$171, 'Expenditure Breakdown'!$H$6:$H$171, "&gt;="&amp;FH1,'Expenditure Breakdown'!$H$6:$H$171, "&lt;"&amp;FI1)</f>
        <v>0</v>
      </c>
      <c r="FI5" s="112">
        <f>SUMIFS('Expenditure Breakdown'!$G$6:$G$171, 'Expenditure Breakdown'!$H$6:$H$171, "&gt;="&amp;FI1,'Expenditure Breakdown'!$H$6:$H$171, "&lt;"&amp;FJ1)</f>
        <v>0</v>
      </c>
      <c r="FJ5" s="112">
        <f>SUMIFS('Expenditure Breakdown'!$G$6:$G$171, 'Expenditure Breakdown'!$H$6:$H$171, "&gt;="&amp;FJ1,'Expenditure Breakdown'!$H$6:$H$171, "&lt;"&amp;FK1)</f>
        <v>0</v>
      </c>
      <c r="FK5" s="112">
        <f>SUMIFS('Expenditure Breakdown'!$G$6:$G$171, 'Expenditure Breakdown'!$H$6:$H$171, "&gt;="&amp;FK1,'Expenditure Breakdown'!$H$6:$H$171, "&lt;"&amp;FL1)</f>
        <v>0</v>
      </c>
      <c r="FL5" s="112">
        <f>SUMIFS('Expenditure Breakdown'!$G$6:$G$171, 'Expenditure Breakdown'!$H$6:$H$171, "&gt;="&amp;FL1,'Expenditure Breakdown'!$H$6:$H$171, "&lt;"&amp;FM1)</f>
        <v>0</v>
      </c>
      <c r="FM5" s="112">
        <f>SUMIFS('Expenditure Breakdown'!$G$6:$G$171, 'Expenditure Breakdown'!$H$6:$H$171, "&gt;="&amp;FM1,'Expenditure Breakdown'!$H$6:$H$171, "&lt;"&amp;FN1)</f>
        <v>0</v>
      </c>
      <c r="FN5" s="112">
        <f>SUMIFS('Expenditure Breakdown'!$G$6:$G$171, 'Expenditure Breakdown'!$H$6:$H$171, "&gt;="&amp;FN1,'Expenditure Breakdown'!$H$6:$H$171, "&lt;"&amp;FO1)</f>
        <v>0</v>
      </c>
      <c r="FO5" s="112">
        <f>SUMIFS('Expenditure Breakdown'!$G$6:$G$171, 'Expenditure Breakdown'!$H$6:$H$171, "&gt;="&amp;FO1,'Expenditure Breakdown'!$H$6:$H$171, "&lt;"&amp;FP1)</f>
        <v>0</v>
      </c>
      <c r="FP5" s="112">
        <f>SUMIFS('Expenditure Breakdown'!$G$6:$G$171, 'Expenditure Breakdown'!$H$6:$H$171, "&gt;="&amp;FP1,'Expenditure Breakdown'!$H$6:$H$171, "&lt;"&amp;FQ1)</f>
        <v>0</v>
      </c>
      <c r="FQ5" s="112">
        <f>SUMIFS('Expenditure Breakdown'!$G$6:$G$171, 'Expenditure Breakdown'!$H$6:$H$171, "&gt;="&amp;FQ1,'Expenditure Breakdown'!$H$6:$H$171, "&lt;"&amp;FR1)</f>
        <v>0</v>
      </c>
      <c r="FR5" s="112">
        <f>SUMIFS('Expenditure Breakdown'!$G$6:$G$171, 'Expenditure Breakdown'!$H$6:$H$171, "&gt;="&amp;FR1,'Expenditure Breakdown'!$H$6:$H$171, "&lt;"&amp;FS1)</f>
        <v>0</v>
      </c>
      <c r="FS5" s="112">
        <f>SUMIFS('Expenditure Breakdown'!$G$6:$G$171, 'Expenditure Breakdown'!$H$6:$H$171, "&gt;="&amp;FS1,'Expenditure Breakdown'!$H$6:$H$171, "&lt;"&amp;FT1)</f>
        <v>0</v>
      </c>
      <c r="FT5" s="112">
        <f>SUMIFS('Expenditure Breakdown'!$G$6:$G$171, 'Expenditure Breakdown'!$H$6:$H$171, "&gt;="&amp;FT1,'Expenditure Breakdown'!$H$6:$H$171, "&lt;"&amp;FU1)</f>
        <v>0</v>
      </c>
      <c r="FU5" s="112">
        <f>SUMIFS('Expenditure Breakdown'!$G$6:$G$171, 'Expenditure Breakdown'!$H$6:$H$171, "&gt;="&amp;FU1,'Expenditure Breakdown'!$H$6:$H$171, "&lt;"&amp;FV1)</f>
        <v>0</v>
      </c>
      <c r="FV5" s="112">
        <f>SUMIFS('Expenditure Breakdown'!$G$6:$G$171, 'Expenditure Breakdown'!$H$6:$H$171, "&gt;="&amp;FV1,'Expenditure Breakdown'!$H$6:$H$171, "&lt;"&amp;FW1)</f>
        <v>0</v>
      </c>
      <c r="FW5" s="112">
        <f>SUMIFS('Expenditure Breakdown'!$G$6:$G$171, 'Expenditure Breakdown'!$H$6:$H$171, "&gt;="&amp;FW1,'Expenditure Breakdown'!$H$6:$H$171, "&lt;"&amp;FX1)</f>
        <v>0</v>
      </c>
      <c r="FX5" s="112">
        <f>SUMIFS('Expenditure Breakdown'!$G$6:$G$171, 'Expenditure Breakdown'!$H$6:$H$171, "&gt;="&amp;FX1,'Expenditure Breakdown'!$H$6:$H$171, "&lt;"&amp;FY1)</f>
        <v>0</v>
      </c>
      <c r="FY5" s="112">
        <f>SUMIFS('Expenditure Breakdown'!$G$6:$G$171, 'Expenditure Breakdown'!$H$6:$H$171, "&gt;="&amp;FY1,'Expenditure Breakdown'!$H$6:$H$171, "&lt;"&amp;FZ1)</f>
        <v>0</v>
      </c>
      <c r="FZ5" s="112">
        <f>SUMIFS('Expenditure Breakdown'!$G$6:$G$171, 'Expenditure Breakdown'!$H$6:$H$171, "&gt;="&amp;FZ1,'Expenditure Breakdown'!$H$6:$H$171, "&lt;"&amp;GA1)</f>
        <v>0</v>
      </c>
      <c r="GA5" s="112">
        <f>SUMIFS('Expenditure Breakdown'!$G$6:$G$171, 'Expenditure Breakdown'!$H$6:$H$171, "&gt;="&amp;GA1,'Expenditure Breakdown'!$H$6:$H$171, "&lt;"&amp;GB1)</f>
        <v>0</v>
      </c>
      <c r="GB5" s="112">
        <f>SUMIFS('Expenditure Breakdown'!$G$6:$G$171, 'Expenditure Breakdown'!$H$6:$H$171, "&gt;="&amp;GB1,'Expenditure Breakdown'!$H$6:$H$171, "&lt;"&amp;GC1)</f>
        <v>0</v>
      </c>
      <c r="GC5" s="112">
        <f>SUMIFS('Expenditure Breakdown'!$G$6:$G$171, 'Expenditure Breakdown'!$H$6:$H$171, "&gt;="&amp;GC1,'Expenditure Breakdown'!$H$6:$H$171, "&lt;"&amp;GD1)</f>
        <v>0</v>
      </c>
      <c r="GD5" s="112">
        <f>SUMIFS('Expenditure Breakdown'!$G$6:$G$171, 'Expenditure Breakdown'!$H$6:$H$171, "&gt;="&amp;GD1,'Expenditure Breakdown'!$H$6:$H$171, "&lt;"&amp;GE1)</f>
        <v>0</v>
      </c>
      <c r="GE5" s="112">
        <f>SUMIFS('Expenditure Breakdown'!$G$6:$G$171, 'Expenditure Breakdown'!$H$6:$H$171, "&gt;="&amp;GE1,'Expenditure Breakdown'!$H$6:$H$171, "&lt;"&amp;GF1)</f>
        <v>0</v>
      </c>
      <c r="GF5" s="112">
        <f>SUMIFS('Expenditure Breakdown'!$G$6:$G$171, 'Expenditure Breakdown'!$H$6:$H$171, "&gt;="&amp;GF1,'Expenditure Breakdown'!$H$6:$H$171, "&lt;"&amp;GG1)</f>
        <v>0</v>
      </c>
      <c r="GG5" s="112">
        <f>SUMIFS('Expenditure Breakdown'!$G$6:$G$171, 'Expenditure Breakdown'!$H$6:$H$171, "&gt;="&amp;GG1,'Expenditure Breakdown'!$H$6:$H$171, "&lt;"&amp;GH1)</f>
        <v>0</v>
      </c>
      <c r="GH5" s="112">
        <f>SUMIFS('Expenditure Breakdown'!$G$6:$G$171, 'Expenditure Breakdown'!$H$6:$H$171, "&gt;="&amp;GH1,'Expenditure Breakdown'!$H$6:$H$171, "&lt;"&amp;GI1)</f>
        <v>0</v>
      </c>
      <c r="GI5" s="112">
        <f>SUMIFS('Expenditure Breakdown'!$G$6:$G$171, 'Expenditure Breakdown'!$H$6:$H$171, "&gt;="&amp;GI1,'Expenditure Breakdown'!$H$6:$H$171, "&lt;"&amp;GJ1)</f>
        <v>0</v>
      </c>
      <c r="GJ5" s="112">
        <f>SUMIFS('Expenditure Breakdown'!$G$6:$G$171, 'Expenditure Breakdown'!$H$6:$H$171, "&gt;="&amp;GJ1,'Expenditure Breakdown'!$H$6:$H$171, "&lt;"&amp;GK1)</f>
        <v>0</v>
      </c>
      <c r="GK5" s="112">
        <f>SUMIFS('Expenditure Breakdown'!$G$6:$G$171, 'Expenditure Breakdown'!$H$6:$H$171, "&gt;="&amp;GK1,'Expenditure Breakdown'!$H$6:$H$171, "&lt;"&amp;GL1)</f>
        <v>0</v>
      </c>
      <c r="GL5" s="112">
        <f>SUMIFS('Expenditure Breakdown'!$G$6:$G$171, 'Expenditure Breakdown'!$H$6:$H$171, "&gt;="&amp;GL1,'Expenditure Breakdown'!$H$6:$H$171, "&lt;"&amp;GM1)</f>
        <v>0</v>
      </c>
      <c r="GM5" s="112">
        <f>SUMIFS('Expenditure Breakdown'!$G$6:$G$171, 'Expenditure Breakdown'!$H$6:$H$171, "&gt;="&amp;GM1,'Expenditure Breakdown'!$H$6:$H$171, "&lt;"&amp;GN1)</f>
        <v>0</v>
      </c>
      <c r="GN5" s="112">
        <f>SUMIFS('Expenditure Breakdown'!$G$6:$G$171, 'Expenditure Breakdown'!$H$6:$H$171, "&gt;="&amp;GN1,'Expenditure Breakdown'!$H$6:$H$171, "&lt;"&amp;GO1)</f>
        <v>0</v>
      </c>
      <c r="GO5" s="112">
        <f>SUMIFS('Expenditure Breakdown'!$G$6:$G$171, 'Expenditure Breakdown'!$H$6:$H$171, "&gt;="&amp;GO1,'Expenditure Breakdown'!$H$6:$H$171, "&lt;"&amp;GP1)</f>
        <v>0</v>
      </c>
      <c r="GP5" s="112">
        <f>SUMIFS('Expenditure Breakdown'!$G$6:$G$171, 'Expenditure Breakdown'!$H$6:$H$171, "&gt;="&amp;GP1,'Expenditure Breakdown'!$H$6:$H$171, "&lt;"&amp;GQ1)</f>
        <v>0</v>
      </c>
      <c r="GQ5" s="112">
        <f>SUMIFS('Expenditure Breakdown'!$G$6:$G$171, 'Expenditure Breakdown'!$H$6:$H$171, "&gt;="&amp;GQ1,'Expenditure Breakdown'!$H$6:$H$171, "&lt;"&amp;GR1)</f>
        <v>0</v>
      </c>
      <c r="GR5" s="112">
        <f>SUMIFS('Expenditure Breakdown'!$G$6:$G$171, 'Expenditure Breakdown'!$H$6:$H$171, "&gt;="&amp;GR1,'Expenditure Breakdown'!$H$6:$H$171, "&lt;"&amp;GS1)</f>
        <v>0</v>
      </c>
      <c r="GS5" s="112">
        <f>SUMIFS('Expenditure Breakdown'!$G$6:$G$171, 'Expenditure Breakdown'!$H$6:$H$171, "&gt;="&amp;GS1,'Expenditure Breakdown'!$H$6:$H$171, "&lt;"&amp;GT1)</f>
        <v>0</v>
      </c>
      <c r="GT5" s="112">
        <f>SUMIFS('Expenditure Breakdown'!$G$6:$G$171, 'Expenditure Breakdown'!$H$6:$H$171, "&gt;="&amp;GT1,'Expenditure Breakdown'!$H$6:$H$171, "&lt;"&amp;GU1)</f>
        <v>0</v>
      </c>
      <c r="GU5" s="112">
        <f>SUMIFS('Expenditure Breakdown'!$G$6:$G$171, 'Expenditure Breakdown'!$H$6:$H$171, "&gt;="&amp;GU1,'Expenditure Breakdown'!$H$6:$H$171, "&lt;"&amp;GV1)</f>
        <v>0</v>
      </c>
      <c r="GV5" s="112">
        <f>SUMIFS('Expenditure Breakdown'!$G$6:$G$171, 'Expenditure Breakdown'!$H$6:$H$171, "&gt;="&amp;GV1,'Expenditure Breakdown'!$H$6:$H$171, "&lt;"&amp;GW1)</f>
        <v>0</v>
      </c>
      <c r="GW5" s="112">
        <f>SUMIFS('Expenditure Breakdown'!$G$6:$G$171, 'Expenditure Breakdown'!$H$6:$H$171, "&gt;="&amp;GW1,'Expenditure Breakdown'!$H$6:$H$171, "&lt;"&amp;GX1)</f>
        <v>0</v>
      </c>
      <c r="GX5" s="112">
        <f>SUMIFS('Expenditure Breakdown'!$G$6:$G$171, 'Expenditure Breakdown'!$H$6:$H$171, "&gt;="&amp;GX1,'Expenditure Breakdown'!$H$6:$H$171, "&lt;"&amp;GY1)</f>
        <v>0</v>
      </c>
      <c r="GY5" s="112">
        <f>SUMIFS('Expenditure Breakdown'!$G$6:$G$171, 'Expenditure Breakdown'!$H$6:$H$171, "&gt;="&amp;GY1,'Expenditure Breakdown'!$H$6:$H$171, "&lt;"&amp;GZ1)</f>
        <v>0</v>
      </c>
      <c r="GZ5" s="112">
        <f>SUMIFS('Expenditure Breakdown'!$G$6:$G$171, 'Expenditure Breakdown'!$H$6:$H$171, "&gt;="&amp;GZ1,'Expenditure Breakdown'!$H$6:$H$171, "&lt;"&amp;HA1)</f>
        <v>0</v>
      </c>
      <c r="HA5" s="112">
        <f>SUMIFS('Expenditure Breakdown'!$G$6:$G$171, 'Expenditure Breakdown'!$H$6:$H$171, "&gt;="&amp;HA1,'Expenditure Breakdown'!$H$6:$H$171, "&lt;"&amp;HB1)</f>
        <v>0</v>
      </c>
      <c r="HB5" s="112">
        <f>SUMIFS('Expenditure Breakdown'!$G$6:$G$171, 'Expenditure Breakdown'!$H$6:$H$171, "&gt;="&amp;HB1,'Expenditure Breakdown'!$H$6:$H$171, "&lt;"&amp;HC1)</f>
        <v>0</v>
      </c>
      <c r="HC5" s="112">
        <f>SUMIFS('Expenditure Breakdown'!$G$6:$G$171, 'Expenditure Breakdown'!$H$6:$H$171, "&gt;="&amp;HC1,'Expenditure Breakdown'!$H$6:$H$171, "&lt;"&amp;HD1)</f>
        <v>0</v>
      </c>
      <c r="HD5" s="112">
        <f>SUMIFS('Expenditure Breakdown'!$G$6:$G$171, 'Expenditure Breakdown'!$H$6:$H$171, "&gt;="&amp;HD1,'Expenditure Breakdown'!$H$6:$H$171, "&lt;"&amp;HE1)</f>
        <v>0</v>
      </c>
      <c r="HE5" s="112">
        <f>SUMIFS('Expenditure Breakdown'!$G$6:$G$171, 'Expenditure Breakdown'!$H$6:$H$171, "&gt;="&amp;HE1,'Expenditure Breakdown'!$H$6:$H$171, "&lt;"&amp;HF1)</f>
        <v>0</v>
      </c>
      <c r="HF5" s="112">
        <f>SUMIFS('Expenditure Breakdown'!$G$6:$G$171, 'Expenditure Breakdown'!$H$6:$H$171, "&gt;="&amp;HF1,'Expenditure Breakdown'!$H$6:$H$171, "&lt;"&amp;HG1)</f>
        <v>0</v>
      </c>
      <c r="HG5" s="112">
        <f>SUMIFS('Expenditure Breakdown'!$G$6:$G$171, 'Expenditure Breakdown'!$H$6:$H$171, "&gt;="&amp;HG1,'Expenditure Breakdown'!$H$6:$H$171, "&lt;"&amp;HH1)</f>
        <v>0</v>
      </c>
      <c r="HH5" s="112">
        <f>SUMIFS('Expenditure Breakdown'!$G$6:$G$171, 'Expenditure Breakdown'!$H$6:$H$171, "&gt;="&amp;HH1,'Expenditure Breakdown'!$H$6:$H$171, "&lt;"&amp;HI1)</f>
        <v>0</v>
      </c>
      <c r="HI5" s="112">
        <f>SUMIFS('Expenditure Breakdown'!$G$6:$G$171, 'Expenditure Breakdown'!$H$6:$H$171, "&gt;="&amp;HI1,'Expenditure Breakdown'!$H$6:$H$171, "&lt;"&amp;HJ1)</f>
        <v>0</v>
      </c>
      <c r="HJ5" s="112">
        <f>SUMIFS('Expenditure Breakdown'!$G$6:$G$171, 'Expenditure Breakdown'!$H$6:$H$171, "&gt;="&amp;HJ1,'Expenditure Breakdown'!$H$6:$H$171, "&lt;"&amp;HK1)</f>
        <v>0</v>
      </c>
      <c r="HK5" s="112">
        <f>SUMIFS('Expenditure Breakdown'!$G$6:$G$171, 'Expenditure Breakdown'!$H$6:$H$171, "&gt;="&amp;HK1,'Expenditure Breakdown'!$H$6:$H$171, "&lt;"&amp;HL1)</f>
        <v>0</v>
      </c>
      <c r="HL5" s="112">
        <f>SUMIFS('Expenditure Breakdown'!$G$6:$G$171, 'Expenditure Breakdown'!$H$6:$H$171, "&gt;="&amp;HL1,'Expenditure Breakdown'!$H$6:$H$171, "&lt;"&amp;HM1)</f>
        <v>0</v>
      </c>
      <c r="HM5" s="112">
        <f>SUMIFS('Expenditure Breakdown'!$G$6:$G$171, 'Expenditure Breakdown'!$H$6:$H$171, "&gt;="&amp;HM1,'Expenditure Breakdown'!$H$6:$H$171, "&lt;"&amp;HN1)</f>
        <v>0</v>
      </c>
      <c r="HN5" s="112">
        <f>SUMIFS('Expenditure Breakdown'!$G$6:$G$171, 'Expenditure Breakdown'!$H$6:$H$171, "&gt;="&amp;HN1,'Expenditure Breakdown'!$H$6:$H$171, "&lt;"&amp;HO1)</f>
        <v>0</v>
      </c>
      <c r="HO5" s="112">
        <f>SUMIFS('Expenditure Breakdown'!$G$6:$G$171, 'Expenditure Breakdown'!$H$6:$H$171, "&gt;="&amp;HO1,'Expenditure Breakdown'!$H$6:$H$171, "&lt;"&amp;HP1)</f>
        <v>0</v>
      </c>
      <c r="HP5" s="112">
        <f>SUMIFS('Expenditure Breakdown'!$G$6:$G$171, 'Expenditure Breakdown'!$H$6:$H$171, "&gt;="&amp;HP1,'Expenditure Breakdown'!$H$6:$H$171, "&lt;"&amp;HQ1)</f>
        <v>0</v>
      </c>
      <c r="HQ5" s="112">
        <f>SUMIFS('Expenditure Breakdown'!$G$6:$G$171, 'Expenditure Breakdown'!$H$6:$H$171, "&gt;="&amp;HQ1,'Expenditure Breakdown'!$H$6:$H$171, "&lt;"&amp;HR1)</f>
        <v>0</v>
      </c>
      <c r="HR5" s="112">
        <f>SUMIFS('Expenditure Breakdown'!$G$6:$G$171, 'Expenditure Breakdown'!$H$6:$H$171, "&gt;="&amp;HR1,'Expenditure Breakdown'!$H$6:$H$171, "&lt;"&amp;HS1)</f>
        <v>0</v>
      </c>
      <c r="HS5" s="112">
        <f>SUMIFS('Expenditure Breakdown'!$G$6:$G$171, 'Expenditure Breakdown'!$H$6:$H$171, "&gt;="&amp;HS1,'Expenditure Breakdown'!$H$6:$H$171, "&lt;"&amp;HT1)</f>
        <v>0</v>
      </c>
      <c r="HT5" s="112">
        <f>SUMIFS('Expenditure Breakdown'!$G$6:$G$171, 'Expenditure Breakdown'!$H$6:$H$171, "&gt;="&amp;HT1,'Expenditure Breakdown'!$H$6:$H$171, "&lt;"&amp;HU1)</f>
        <v>0</v>
      </c>
      <c r="HU5" s="112">
        <f>SUMIFS('Expenditure Breakdown'!$G$6:$G$171, 'Expenditure Breakdown'!$H$6:$H$171, "&gt;="&amp;HU1,'Expenditure Breakdown'!$H$6:$H$171, "&lt;"&amp;HV1)</f>
        <v>0</v>
      </c>
      <c r="HV5" s="112">
        <f>SUMIFS('Expenditure Breakdown'!$G$6:$G$171, 'Expenditure Breakdown'!$H$6:$H$171, "&gt;="&amp;HV1,'Expenditure Breakdown'!$H$6:$H$171, "&lt;"&amp;HW1)</f>
        <v>0</v>
      </c>
      <c r="HW5" s="112">
        <f>SUMIFS('Expenditure Breakdown'!$G$6:$G$171, 'Expenditure Breakdown'!$H$6:$H$171, "&gt;="&amp;HW1,'Expenditure Breakdown'!$H$6:$H$171, "&lt;"&amp;HX1)</f>
        <v>0</v>
      </c>
      <c r="HX5" s="112">
        <f>SUMIFS('Expenditure Breakdown'!$G$6:$G$171, 'Expenditure Breakdown'!$H$6:$H$171, "&gt;="&amp;HX1,'Expenditure Breakdown'!$H$6:$H$171, "&lt;"&amp;HY1)</f>
        <v>0</v>
      </c>
      <c r="HY5" s="112">
        <f>SUMIFS('Expenditure Breakdown'!$G$6:$G$171, 'Expenditure Breakdown'!$H$6:$H$171, "&gt;="&amp;HY1,'Expenditure Breakdown'!$H$6:$H$171, "&lt;"&amp;HZ1)</f>
        <v>0</v>
      </c>
      <c r="HZ5" s="112">
        <f>SUMIFS('Expenditure Breakdown'!$G$6:$G$171, 'Expenditure Breakdown'!$H$6:$H$171, "&gt;="&amp;HZ1,'Expenditure Breakdown'!$H$6:$H$171, "&lt;"&amp;IA1)</f>
        <v>0</v>
      </c>
      <c r="IA5" s="112">
        <f>SUMIFS('Expenditure Breakdown'!$G$6:$G$171, 'Expenditure Breakdown'!$H$6:$H$171, "&gt;="&amp;IA1,'Expenditure Breakdown'!$H$6:$H$171, "&lt;"&amp;IB1)</f>
        <v>0</v>
      </c>
      <c r="IB5" s="112">
        <f>SUMIFS('Expenditure Breakdown'!$G$6:$G$171, 'Expenditure Breakdown'!$H$6:$H$171, "&gt;="&amp;IB1,'Expenditure Breakdown'!$H$6:$H$171, "&lt;"&amp;IC1)</f>
        <v>0</v>
      </c>
      <c r="IC5" s="112">
        <f>SUMIFS('Expenditure Breakdown'!$G$6:$G$171, 'Expenditure Breakdown'!$H$6:$H$171, "&gt;="&amp;IC1,'Expenditure Breakdown'!$H$6:$H$171, "&lt;"&amp;ID1)</f>
        <v>0</v>
      </c>
      <c r="ID5" s="112">
        <f>SUMIFS('Expenditure Breakdown'!$G$6:$G$171, 'Expenditure Breakdown'!$H$6:$H$171, "&gt;="&amp;ID1,'Expenditure Breakdown'!$H$6:$H$171, "&lt;"&amp;IE1)</f>
        <v>0</v>
      </c>
      <c r="IE5" s="112">
        <f>SUMIFS('Expenditure Breakdown'!$G$6:$G$171, 'Expenditure Breakdown'!$H$6:$H$171, "&gt;="&amp;IE1,'Expenditure Breakdown'!$H$6:$H$171, "&lt;"&amp;IF1)</f>
        <v>0</v>
      </c>
      <c r="IF5" s="112">
        <f>SUMIFS('Expenditure Breakdown'!$G$6:$G$171, 'Expenditure Breakdown'!$H$6:$H$171, "&gt;="&amp;IF1,'Expenditure Breakdown'!$H$6:$H$171, "&lt;"&amp;IG1)</f>
        <v>0</v>
      </c>
      <c r="IG5" s="112">
        <f>SUMIFS('Expenditure Breakdown'!$G$6:$G$171, 'Expenditure Breakdown'!$H$6:$H$171, "&gt;="&amp;IG1,'Expenditure Breakdown'!$H$6:$H$171, "&lt;"&amp;IH1)</f>
        <v>0</v>
      </c>
      <c r="IH5" s="112">
        <f>SUMIFS('Expenditure Breakdown'!$G$6:$G$171, 'Expenditure Breakdown'!$H$6:$H$171, "&gt;="&amp;IH1,'Expenditure Breakdown'!$H$6:$H$171, "&lt;"&amp;II1)</f>
        <v>0</v>
      </c>
      <c r="II5" s="112">
        <f>SUMIFS('Expenditure Breakdown'!$G$6:$G$171, 'Expenditure Breakdown'!$H$6:$H$171, "&gt;="&amp;II1,'Expenditure Breakdown'!$H$6:$H$171, "&lt;"&amp;IJ1)</f>
        <v>0</v>
      </c>
      <c r="IJ5" s="112">
        <f>SUMIFS('Expenditure Breakdown'!$G$6:$G$171, 'Expenditure Breakdown'!$H$6:$H$171, "&gt;="&amp;IJ1,'Expenditure Breakdown'!$H$6:$H$171, "&lt;"&amp;IK1)</f>
        <v>0</v>
      </c>
      <c r="IK5" s="112">
        <f>SUMIFS('Expenditure Breakdown'!$G$6:$G$171, 'Expenditure Breakdown'!$H$6:$H$171, "&gt;="&amp;IK1,'Expenditure Breakdown'!$H$6:$H$171, "&lt;"&amp;IL1)</f>
        <v>0</v>
      </c>
      <c r="IL5" s="112">
        <f>SUMIFS('Expenditure Breakdown'!$G$6:$G$171, 'Expenditure Breakdown'!$H$6:$H$171, "&gt;="&amp;IL1,'Expenditure Breakdown'!$H$6:$H$171, "&lt;"&amp;IM1)</f>
        <v>0</v>
      </c>
      <c r="IM5" s="112">
        <f>SUMIFS('Expenditure Breakdown'!$G$6:$G$171, 'Expenditure Breakdown'!$H$6:$H$171, "&gt;="&amp;IM1,'Expenditure Breakdown'!$H$6:$H$171, "&lt;"&amp;IN1)</f>
        <v>0</v>
      </c>
      <c r="IN5" s="112">
        <f>SUMIFS('Expenditure Breakdown'!$G$6:$G$171, 'Expenditure Breakdown'!$H$6:$H$171, "&gt;="&amp;IN1,'Expenditure Breakdown'!$H$6:$H$171, "&lt;"&amp;IO1)</f>
        <v>0</v>
      </c>
      <c r="IO5" s="112">
        <f>SUMIFS('Expenditure Breakdown'!$G$6:$G$171, 'Expenditure Breakdown'!$H$6:$H$171, "&gt;="&amp;IO1,'Expenditure Breakdown'!$H$6:$H$171, "&lt;"&amp;IP1)</f>
        <v>0</v>
      </c>
      <c r="IP5" s="112">
        <f>SUMIFS('Expenditure Breakdown'!$G$6:$G$171, 'Expenditure Breakdown'!$H$6:$H$171, "&gt;="&amp;IP1,'Expenditure Breakdown'!$H$6:$H$171, "&lt;"&amp;IQ1)</f>
        <v>0</v>
      </c>
      <c r="IQ5" s="112">
        <f>SUMIFS('Expenditure Breakdown'!$G$6:$G$171, 'Expenditure Breakdown'!$H$6:$H$171, "&gt;="&amp;IQ1,'Expenditure Breakdown'!$H$6:$H$171, "&lt;"&amp;IR1)</f>
        <v>0</v>
      </c>
      <c r="IR5" s="112">
        <f>SUMIFS('Expenditure Breakdown'!$G$6:$G$171, 'Expenditure Breakdown'!$H$6:$H$171, "&gt;="&amp;IR1,'Expenditure Breakdown'!$H$6:$H$171, "&lt;"&amp;IS1)</f>
        <v>0</v>
      </c>
      <c r="IS5" s="112">
        <f>SUMIFS('Expenditure Breakdown'!$G$6:$G$171, 'Expenditure Breakdown'!$H$6:$H$171, "&gt;="&amp;IS1,'Expenditure Breakdown'!$H$6:$H$171, "&lt;"&amp;IT1)</f>
        <v>0</v>
      </c>
      <c r="IT5" s="112">
        <f>SUMIFS('Expenditure Breakdown'!$G$6:$G$171, 'Expenditure Breakdown'!$H$6:$H$171, "&gt;="&amp;IT1,'Expenditure Breakdown'!$H$6:$H$171, "&lt;"&amp;IU1)</f>
        <v>0</v>
      </c>
      <c r="IU5" s="112">
        <f>SUMIFS('Expenditure Breakdown'!$G$6:$G$171, 'Expenditure Breakdown'!$H$6:$H$171, "&gt;="&amp;IU1,'Expenditure Breakdown'!$H$6:$H$171, "&lt;"&amp;IV1)</f>
        <v>0</v>
      </c>
      <c r="IV5" s="112">
        <f>SUMIFS('Expenditure Breakdown'!$G$6:$G$171, 'Expenditure Breakdown'!$H$6:$H$171, "&gt;="&amp;IV1,'Expenditure Breakdown'!$H$6:$H$171, "&lt;"&amp;IW1)</f>
        <v>0</v>
      </c>
      <c r="IW5" s="112">
        <f>SUMIFS('Expenditure Breakdown'!$G$6:$G$171, 'Expenditure Breakdown'!$H$6:$H$171, "&gt;="&amp;IW1,'Expenditure Breakdown'!$H$6:$H$171, "&lt;"&amp;IX1)</f>
        <v>0</v>
      </c>
      <c r="IX5" s="112">
        <f>SUMIFS('Expenditure Breakdown'!$G$6:$G$171, 'Expenditure Breakdown'!$H$6:$H$171, "&gt;="&amp;IX1,'Expenditure Breakdown'!$H$6:$H$171, "&lt;"&amp;IY1)</f>
        <v>0</v>
      </c>
      <c r="IY5" s="112">
        <f>SUMIFS('Expenditure Breakdown'!$G$6:$G$171, 'Expenditure Breakdown'!$H$6:$H$171, "&gt;="&amp;IY1,'Expenditure Breakdown'!$H$6:$H$171, "&lt;"&amp;IZ1)</f>
        <v>0</v>
      </c>
      <c r="IZ5" s="112">
        <f>SUMIFS('Expenditure Breakdown'!$G$6:$G$171, 'Expenditure Breakdown'!$H$6:$H$171, "&gt;="&amp;IZ1,'Expenditure Breakdown'!$H$6:$H$171, "&lt;"&amp;JA1)</f>
        <v>0</v>
      </c>
      <c r="JA5" s="112">
        <f>SUMIFS('Expenditure Breakdown'!$G$6:$G$171, 'Expenditure Breakdown'!$H$6:$H$171, "&gt;="&amp;JA1,'Expenditure Breakdown'!$H$6:$H$171, "&lt;"&amp;JB1)</f>
        <v>0</v>
      </c>
      <c r="JB5" s="112">
        <f>SUMIFS('Expenditure Breakdown'!$G$6:$G$171, 'Expenditure Breakdown'!$H$6:$H$171, "&gt;="&amp;JB1,'Expenditure Breakdown'!$H$6:$H$171, "&lt;"&amp;JC1)</f>
        <v>0</v>
      </c>
      <c r="JC5" s="112">
        <f>SUMIFS('Expenditure Breakdown'!$G$6:$G$171, 'Expenditure Breakdown'!$H$6:$H$171, "&gt;="&amp;JC1,'Expenditure Breakdown'!$H$6:$H$171, "&lt;"&amp;JD1)</f>
        <v>0</v>
      </c>
      <c r="JD5" s="112">
        <f>SUMIFS('Expenditure Breakdown'!$G$6:$G$171, 'Expenditure Breakdown'!$H$6:$H$171, "&gt;="&amp;JD1,'Expenditure Breakdown'!$H$6:$H$171, "&lt;"&amp;JE1)</f>
        <v>0</v>
      </c>
      <c r="JE5" s="112">
        <f>SUMIFS('Expenditure Breakdown'!$G$6:$G$171, 'Expenditure Breakdown'!$H$6:$H$171, "&gt;="&amp;JE1,'Expenditure Breakdown'!$H$6:$H$171, "&lt;"&amp;JF1)</f>
        <v>0</v>
      </c>
      <c r="JF5" s="112">
        <f>SUMIFS('Expenditure Breakdown'!$G$6:$G$171, 'Expenditure Breakdown'!$H$6:$H$171, "&gt;="&amp;JF1,'Expenditure Breakdown'!$H$6:$H$171, "&lt;"&amp;JG1)</f>
        <v>0</v>
      </c>
      <c r="JG5" s="112">
        <f>SUMIFS('Expenditure Breakdown'!$G$6:$G$171, 'Expenditure Breakdown'!$H$6:$H$171, "&gt;="&amp;JG1,'Expenditure Breakdown'!$H$6:$H$171, "&lt;"&amp;JH1)</f>
        <v>0</v>
      </c>
      <c r="JH5" s="112">
        <f>SUMIFS('Expenditure Breakdown'!$G$6:$G$171, 'Expenditure Breakdown'!$H$6:$H$171, "&gt;="&amp;JH1,'Expenditure Breakdown'!$H$6:$H$171, "&lt;"&amp;JI1)</f>
        <v>0</v>
      </c>
      <c r="JI5" s="112">
        <f>SUMIFS('Expenditure Breakdown'!$G$6:$G$171, 'Expenditure Breakdown'!$H$6:$H$171, "&gt;="&amp;JI1,'Expenditure Breakdown'!$H$6:$H$171, "&lt;"&amp;JJ1)</f>
        <v>0</v>
      </c>
      <c r="JJ5" s="112">
        <f>SUMIFS('Expenditure Breakdown'!$G$6:$G$171, 'Expenditure Breakdown'!$H$6:$H$171, "&gt;="&amp;JJ1,'Expenditure Breakdown'!$H$6:$H$171, "&lt;"&amp;JK1)</f>
        <v>0</v>
      </c>
      <c r="JK5" s="112">
        <f>SUMIFS('Expenditure Breakdown'!$G$6:$G$171, 'Expenditure Breakdown'!$H$6:$H$171, "&gt;="&amp;JK1,'Expenditure Breakdown'!$H$6:$H$171, "&lt;"&amp;JL1)</f>
        <v>0</v>
      </c>
      <c r="JL5" s="112">
        <f>SUMIFS('Expenditure Breakdown'!$G$6:$G$171, 'Expenditure Breakdown'!$H$6:$H$171, "&gt;="&amp;JL1,'Expenditure Breakdown'!$H$6:$H$171, "&lt;"&amp;JM1)</f>
        <v>0</v>
      </c>
      <c r="JM5" s="112">
        <f>SUMIFS('Expenditure Breakdown'!$G$6:$G$171, 'Expenditure Breakdown'!$H$6:$H$171, "&gt;="&amp;JM1,'Expenditure Breakdown'!$H$6:$H$171, "&lt;"&amp;JN1)</f>
        <v>0</v>
      </c>
      <c r="JN5" s="112">
        <f>SUMIFS('Expenditure Breakdown'!$G$6:$G$171, 'Expenditure Breakdown'!$H$6:$H$171, "&gt;="&amp;JN1,'Expenditure Breakdown'!$H$6:$H$171, "&lt;"&amp;JO1)</f>
        <v>0</v>
      </c>
      <c r="JO5" s="112">
        <f>SUMIFS('Expenditure Breakdown'!$G$6:$G$171, 'Expenditure Breakdown'!$H$6:$H$171, "&gt;="&amp;JO1,'Expenditure Breakdown'!$H$6:$H$171, "&lt;"&amp;JP1)</f>
        <v>0</v>
      </c>
      <c r="JP5" s="112">
        <f>SUMIFS('Expenditure Breakdown'!$G$6:$G$171, 'Expenditure Breakdown'!$H$6:$H$171, "&gt;="&amp;JP1,'Expenditure Breakdown'!$H$6:$H$171, "&lt;"&amp;JQ1)</f>
        <v>0</v>
      </c>
      <c r="JQ5" s="112">
        <f>SUMIFS('Expenditure Breakdown'!$G$6:$G$171, 'Expenditure Breakdown'!$H$6:$H$171, "&gt;="&amp;JQ1,'Expenditure Breakdown'!$H$6:$H$171, "&lt;"&amp;JR1)</f>
        <v>0</v>
      </c>
      <c r="JR5" s="112">
        <f>SUMIFS('Expenditure Breakdown'!$G$6:$G$171, 'Expenditure Breakdown'!$H$6:$H$171, "&gt;="&amp;JR1,'Expenditure Breakdown'!$H$6:$H$171, "&lt;"&amp;JS1)</f>
        <v>0</v>
      </c>
      <c r="JS5" s="112">
        <f>SUMIFS('Expenditure Breakdown'!$G$6:$G$171, 'Expenditure Breakdown'!$H$6:$H$171, "&gt;="&amp;JS1,'Expenditure Breakdown'!$H$6:$H$171, "&lt;"&amp;JT1)</f>
        <v>0</v>
      </c>
      <c r="JT5" s="112">
        <f>SUMIFS('Expenditure Breakdown'!$G$6:$G$171, 'Expenditure Breakdown'!$H$6:$H$171, "&gt;="&amp;JT1,'Expenditure Breakdown'!$H$6:$H$171, "&lt;"&amp;JU1)</f>
        <v>0</v>
      </c>
      <c r="JU5" s="112">
        <f>SUMIFS('Expenditure Breakdown'!$G$6:$G$171, 'Expenditure Breakdown'!$H$6:$H$171, "&gt;="&amp;JU1,'Expenditure Breakdown'!$H$6:$H$171, "&lt;"&amp;JV1)</f>
        <v>0</v>
      </c>
      <c r="JV5" s="112">
        <f>SUMIFS('Expenditure Breakdown'!$G$6:$G$171, 'Expenditure Breakdown'!$H$6:$H$171, "&gt;="&amp;JV1,'Expenditure Breakdown'!$H$6:$H$171, "&lt;"&amp;JW1)</f>
        <v>0</v>
      </c>
      <c r="JW5" s="112">
        <f>SUMIFS('Expenditure Breakdown'!$G$6:$G$171, 'Expenditure Breakdown'!$H$6:$H$171, "&gt;="&amp;JW1,'Expenditure Breakdown'!$H$6:$H$171, "&lt;"&amp;JX1)</f>
        <v>0</v>
      </c>
      <c r="JX5" s="112">
        <f>SUMIFS('Expenditure Breakdown'!$G$6:$G$171, 'Expenditure Breakdown'!$H$6:$H$171, "&gt;="&amp;JX1,'Expenditure Breakdown'!$H$6:$H$171, "&lt;"&amp;JY1)</f>
        <v>0</v>
      </c>
      <c r="JY5" s="112">
        <f>SUMIFS('Expenditure Breakdown'!$G$6:$G$171, 'Expenditure Breakdown'!$H$6:$H$171, "&gt;="&amp;JY1,'Expenditure Breakdown'!$H$6:$H$171, "&lt;"&amp;JZ1)</f>
        <v>0</v>
      </c>
      <c r="JZ5" s="112">
        <f>SUMIFS('Expenditure Breakdown'!$G$6:$G$171, 'Expenditure Breakdown'!$H$6:$H$171, "&gt;="&amp;JZ1,'Expenditure Breakdown'!$H$6:$H$171, "&lt;"&amp;KA1)</f>
        <v>0</v>
      </c>
      <c r="KA5" s="112">
        <f>SUMIFS('Expenditure Breakdown'!$G$6:$G$171, 'Expenditure Breakdown'!$H$6:$H$171, "&gt;="&amp;KA1,'Expenditure Breakdown'!$H$6:$H$171, "&lt;"&amp;KB1)</f>
        <v>0</v>
      </c>
      <c r="KB5" s="112">
        <f>SUMIFS('Expenditure Breakdown'!$G$6:$G$171, 'Expenditure Breakdown'!$H$6:$H$171, "&gt;="&amp;KB1,'Expenditure Breakdown'!$H$6:$H$171, "&lt;"&amp;KC1)</f>
        <v>0</v>
      </c>
      <c r="KC5" s="112">
        <f>SUMIFS('Expenditure Breakdown'!$G$6:$G$171, 'Expenditure Breakdown'!$H$6:$H$171, "&gt;="&amp;KC1,'Expenditure Breakdown'!$H$6:$H$171, "&lt;"&amp;KD1)</f>
        <v>0</v>
      </c>
      <c r="KD5" s="112">
        <f>SUMIFS('Expenditure Breakdown'!$G$6:$G$171, 'Expenditure Breakdown'!$H$6:$H$171, "&gt;="&amp;KD1,'Expenditure Breakdown'!$H$6:$H$171, "&lt;"&amp;KE1)</f>
        <v>0</v>
      </c>
      <c r="KE5" s="112">
        <f>SUMIFS('Expenditure Breakdown'!$G$6:$G$171, 'Expenditure Breakdown'!$H$6:$H$171, "&gt;="&amp;KE1,'Expenditure Breakdown'!$H$6:$H$171, "&lt;"&amp;KF1)</f>
        <v>0</v>
      </c>
      <c r="KF5" s="112">
        <f>SUMIFS('Expenditure Breakdown'!$G$6:$G$171, 'Expenditure Breakdown'!$H$6:$H$171, "&gt;="&amp;KF1,'Expenditure Breakdown'!$H$6:$H$171, "&lt;"&amp;#REF!)</f>
        <v>0</v>
      </c>
      <c r="KG5" s="102"/>
      <c r="KH5" s="113"/>
      <c r="KI5" s="113"/>
    </row>
    <row r="6" spans="1:770" s="114" customFormat="1">
      <c r="A6" s="728"/>
      <c r="B6" s="110" t="s">
        <v>405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28"/>
      <c r="B7" s="115" t="s">
        <v>406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720615.23861657875</v>
      </c>
      <c r="R7" s="118">
        <f t="shared" si="16"/>
        <v>720615.23861657875</v>
      </c>
      <c r="S7" s="118">
        <f t="shared" si="16"/>
        <v>720615.23861657875</v>
      </c>
      <c r="T7" s="118">
        <f t="shared" si="16"/>
        <v>720615.23861657875</v>
      </c>
      <c r="U7" s="118">
        <f t="shared" si="16"/>
        <v>720615.23861657875</v>
      </c>
      <c r="V7" s="118">
        <f t="shared" si="16"/>
        <v>1225045.905648184</v>
      </c>
      <c r="W7" s="118">
        <f t="shared" si="16"/>
        <v>804913.23869166221</v>
      </c>
      <c r="X7" s="118">
        <f t="shared" si="16"/>
        <v>754090.43869166216</v>
      </c>
      <c r="Y7" s="118">
        <f t="shared" si="16"/>
        <v>619798.43869166216</v>
      </c>
      <c r="Z7" s="118">
        <f t="shared" si="16"/>
        <v>530798.43869166216</v>
      </c>
      <c r="AA7" s="118">
        <f t="shared" si="16"/>
        <v>674921.48641497782</v>
      </c>
      <c r="AB7" s="118">
        <f t="shared" si="16"/>
        <v>689314.68331467907</v>
      </c>
      <c r="AC7" s="118">
        <f t="shared" si="16"/>
        <v>204928.15331467893</v>
      </c>
      <c r="AD7" s="118">
        <f t="shared" si="16"/>
        <v>204928.15331467893</v>
      </c>
      <c r="AE7" s="118">
        <f t="shared" si="16"/>
        <v>204928.15331467893</v>
      </c>
      <c r="AF7" s="118">
        <f t="shared" si="16"/>
        <v>204928.15331467893</v>
      </c>
      <c r="AG7" s="118">
        <f t="shared" si="16"/>
        <v>204928.15331467893</v>
      </c>
      <c r="AH7" s="118">
        <f t="shared" si="16"/>
        <v>204928.15331467893</v>
      </c>
      <c r="AI7" s="118">
        <f t="shared" si="16"/>
        <v>204928.15331467893</v>
      </c>
      <c r="AJ7" s="118">
        <f t="shared" si="16"/>
        <v>204928.15331467893</v>
      </c>
      <c r="AK7" s="118">
        <f t="shared" si="16"/>
        <v>204928.15331467893</v>
      </c>
      <c r="AL7" s="118">
        <f t="shared" si="16"/>
        <v>204928.15331467893</v>
      </c>
      <c r="AM7" s="118">
        <f t="shared" si="16"/>
        <v>204928.15331467893</v>
      </c>
      <c r="AN7" s="118">
        <f t="shared" si="16"/>
        <v>204928.15331467893</v>
      </c>
      <c r="AO7" s="118">
        <f t="shared" si="16"/>
        <v>204928.15331467893</v>
      </c>
      <c r="AP7" s="118">
        <f t="shared" si="16"/>
        <v>204928.15331467893</v>
      </c>
      <c r="AQ7" s="118">
        <f t="shared" si="16"/>
        <v>204928.15331467893</v>
      </c>
      <c r="AR7" s="118">
        <f t="shared" si="16"/>
        <v>204928.15331467893</v>
      </c>
      <c r="AS7" s="118">
        <f t="shared" si="16"/>
        <v>204928.15331467893</v>
      </c>
      <c r="AT7" s="118">
        <f t="shared" si="16"/>
        <v>204928.15331467893</v>
      </c>
      <c r="AU7" s="118">
        <f t="shared" si="16"/>
        <v>204928.15331467893</v>
      </c>
      <c r="AV7" s="118">
        <f t="shared" si="16"/>
        <v>204928.15331467893</v>
      </c>
      <c r="AW7" s="118">
        <f t="shared" si="16"/>
        <v>204928.15331467893</v>
      </c>
      <c r="AX7" s="118">
        <f t="shared" si="16"/>
        <v>204928.15331467893</v>
      </c>
      <c r="AY7" s="118">
        <f t="shared" si="16"/>
        <v>204928.15331467893</v>
      </c>
      <c r="AZ7" s="118">
        <f t="shared" si="16"/>
        <v>204928.15331467893</v>
      </c>
      <c r="BA7" s="118">
        <f t="shared" si="16"/>
        <v>204928.15331467893</v>
      </c>
      <c r="BB7" s="118">
        <f t="shared" si="16"/>
        <v>204928.15331467893</v>
      </c>
      <c r="BC7" s="118">
        <f t="shared" si="16"/>
        <v>204928.15331467893</v>
      </c>
      <c r="BD7" s="118">
        <f t="shared" si="16"/>
        <v>204928.15331467893</v>
      </c>
      <c r="BE7" s="118">
        <f t="shared" si="16"/>
        <v>204928.15331467893</v>
      </c>
      <c r="BF7" s="118">
        <f t="shared" si="16"/>
        <v>204928.15331467893</v>
      </c>
      <c r="BG7" s="118">
        <f t="shared" si="16"/>
        <v>204928.15331467893</v>
      </c>
      <c r="BH7" s="118">
        <f t="shared" si="16"/>
        <v>204928.15331467893</v>
      </c>
      <c r="BI7" s="118">
        <f t="shared" si="16"/>
        <v>204928.15331467893</v>
      </c>
      <c r="BJ7" s="118">
        <f t="shared" si="16"/>
        <v>204928.15331467893</v>
      </c>
      <c r="BK7" s="118">
        <f t="shared" si="16"/>
        <v>204928.15331467893</v>
      </c>
      <c r="BL7" s="118">
        <f t="shared" si="16"/>
        <v>204928.15331467893</v>
      </c>
      <c r="BM7" s="118">
        <f t="shared" si="16"/>
        <v>204928.15331467893</v>
      </c>
      <c r="BN7" s="118">
        <f t="shared" si="16"/>
        <v>204928.15331467893</v>
      </c>
      <c r="BO7" s="118">
        <f t="shared" si="16"/>
        <v>204928.15331467893</v>
      </c>
      <c r="BP7" s="118">
        <f t="shared" si="16"/>
        <v>204928.15331467893</v>
      </c>
      <c r="BQ7" s="118">
        <f t="shared" si="16"/>
        <v>204928.15331467893</v>
      </c>
      <c r="BR7" s="118">
        <f t="shared" si="16"/>
        <v>204928.15331467893</v>
      </c>
      <c r="BS7" s="118">
        <f t="shared" si="16"/>
        <v>204928.15331467893</v>
      </c>
      <c r="BT7" s="118">
        <f t="shared" si="16"/>
        <v>204928.15331467893</v>
      </c>
      <c r="BU7" s="118">
        <f t="shared" ref="BU7:EF7" si="17">BU4-BU6</f>
        <v>204928.15331467893</v>
      </c>
      <c r="BV7" s="118">
        <f t="shared" si="17"/>
        <v>204928.15331467893</v>
      </c>
      <c r="BW7" s="118">
        <f t="shared" si="17"/>
        <v>204928.15331467893</v>
      </c>
      <c r="BX7" s="118">
        <f t="shared" si="17"/>
        <v>204928.15331467893</v>
      </c>
      <c r="BY7" s="118">
        <f t="shared" si="17"/>
        <v>204928.15331467893</v>
      </c>
      <c r="BZ7" s="118">
        <f t="shared" si="17"/>
        <v>204928.15331467893</v>
      </c>
      <c r="CA7" s="118">
        <f t="shared" si="17"/>
        <v>204928.15331467893</v>
      </c>
      <c r="CB7" s="118">
        <f t="shared" si="17"/>
        <v>204928.15331467893</v>
      </c>
      <c r="CC7" s="118">
        <f t="shared" si="17"/>
        <v>204928.15331467893</v>
      </c>
      <c r="CD7" s="118">
        <f t="shared" si="17"/>
        <v>204928.15331467893</v>
      </c>
      <c r="CE7" s="118">
        <f t="shared" si="17"/>
        <v>204928.15331467893</v>
      </c>
      <c r="CF7" s="118">
        <f t="shared" si="17"/>
        <v>204928.15331467893</v>
      </c>
      <c r="CG7" s="118">
        <f t="shared" si="17"/>
        <v>204928.15331467893</v>
      </c>
      <c r="CH7" s="118">
        <f t="shared" si="17"/>
        <v>204928.15331467893</v>
      </c>
      <c r="CI7" s="118">
        <f t="shared" si="17"/>
        <v>204928.15331467893</v>
      </c>
      <c r="CJ7" s="118">
        <f t="shared" si="17"/>
        <v>204928.15331467893</v>
      </c>
      <c r="CK7" s="118">
        <f t="shared" si="17"/>
        <v>204928.15331467893</v>
      </c>
      <c r="CL7" s="118">
        <f t="shared" si="17"/>
        <v>204928.15331467893</v>
      </c>
      <c r="CM7" s="118">
        <f t="shared" si="17"/>
        <v>204928.15331467893</v>
      </c>
      <c r="CN7" s="118">
        <f t="shared" si="17"/>
        <v>204928.15331467893</v>
      </c>
      <c r="CO7" s="118">
        <f t="shared" si="17"/>
        <v>204928.15331467893</v>
      </c>
      <c r="CP7" s="118">
        <f t="shared" si="17"/>
        <v>204928.15331467893</v>
      </c>
      <c r="CQ7" s="118">
        <f t="shared" si="17"/>
        <v>204928.15331467893</v>
      </c>
      <c r="CR7" s="118">
        <f t="shared" si="17"/>
        <v>204928.15331467893</v>
      </c>
      <c r="CS7" s="118">
        <f t="shared" si="17"/>
        <v>204928.15331467893</v>
      </c>
      <c r="CT7" s="118">
        <f t="shared" si="17"/>
        <v>204928.15331467893</v>
      </c>
      <c r="CU7" s="118">
        <f t="shared" si="17"/>
        <v>204928.15331467893</v>
      </c>
      <c r="CV7" s="118">
        <f t="shared" si="17"/>
        <v>204928.15331467893</v>
      </c>
      <c r="CW7" s="118">
        <f t="shared" si="17"/>
        <v>204928.15331467893</v>
      </c>
      <c r="CX7" s="118">
        <f t="shared" si="17"/>
        <v>204928.15331467893</v>
      </c>
      <c r="CY7" s="118">
        <f t="shared" si="17"/>
        <v>204928.15331467893</v>
      </c>
      <c r="CZ7" s="118">
        <f t="shared" si="17"/>
        <v>204928.15331467893</v>
      </c>
      <c r="DA7" s="118">
        <f t="shared" si="17"/>
        <v>204928.15331467893</v>
      </c>
      <c r="DB7" s="118">
        <f t="shared" si="17"/>
        <v>204928.15331467893</v>
      </c>
      <c r="DC7" s="118">
        <f t="shared" si="17"/>
        <v>204928.15331467893</v>
      </c>
      <c r="DD7" s="118">
        <f t="shared" si="17"/>
        <v>204928.15331467893</v>
      </c>
      <c r="DE7" s="118">
        <f t="shared" si="17"/>
        <v>204928.15331467893</v>
      </c>
      <c r="DF7" s="118">
        <f t="shared" si="17"/>
        <v>204928.15331467893</v>
      </c>
      <c r="DG7" s="118">
        <f t="shared" si="17"/>
        <v>204928.15331467893</v>
      </c>
      <c r="DH7" s="118">
        <f t="shared" si="17"/>
        <v>204928.15331467893</v>
      </c>
      <c r="DI7" s="118">
        <f t="shared" si="17"/>
        <v>204928.15331467893</v>
      </c>
      <c r="DJ7" s="118">
        <f t="shared" si="17"/>
        <v>204928.15331467893</v>
      </c>
      <c r="DK7" s="118">
        <f t="shared" si="17"/>
        <v>204928.15331467893</v>
      </c>
      <c r="DL7" s="118">
        <f t="shared" si="17"/>
        <v>204928.15331467893</v>
      </c>
      <c r="DM7" s="118">
        <f t="shared" si="17"/>
        <v>204928.15331467893</v>
      </c>
      <c r="DN7" s="118">
        <f t="shared" si="17"/>
        <v>204928.15331467893</v>
      </c>
      <c r="DO7" s="118">
        <f t="shared" si="17"/>
        <v>204928.15331467893</v>
      </c>
      <c r="DP7" s="118">
        <f t="shared" si="17"/>
        <v>204928.15331467893</v>
      </c>
      <c r="DQ7" s="118">
        <f t="shared" si="17"/>
        <v>204928.15331467893</v>
      </c>
      <c r="DR7" s="118">
        <f t="shared" si="17"/>
        <v>204928.15331467893</v>
      </c>
      <c r="DS7" s="118">
        <f t="shared" si="17"/>
        <v>204928.15331467893</v>
      </c>
      <c r="DT7" s="118">
        <f t="shared" si="17"/>
        <v>204928.15331467893</v>
      </c>
      <c r="DU7" s="118">
        <f t="shared" si="17"/>
        <v>204928.15331467893</v>
      </c>
      <c r="DV7" s="118">
        <f t="shared" si="17"/>
        <v>204928.15331467893</v>
      </c>
      <c r="DW7" s="118">
        <f t="shared" si="17"/>
        <v>204928.15331467893</v>
      </c>
      <c r="DX7" s="118">
        <f t="shared" si="17"/>
        <v>204928.15331467893</v>
      </c>
      <c r="DY7" s="118">
        <f t="shared" si="17"/>
        <v>204928.15331467893</v>
      </c>
      <c r="DZ7" s="118">
        <f t="shared" si="17"/>
        <v>204928.15331467893</v>
      </c>
      <c r="EA7" s="118">
        <f t="shared" si="17"/>
        <v>204928.15331467893</v>
      </c>
      <c r="EB7" s="118">
        <f t="shared" si="17"/>
        <v>204928.15331467893</v>
      </c>
      <c r="EC7" s="118">
        <f t="shared" si="17"/>
        <v>204928.15331467893</v>
      </c>
      <c r="ED7" s="118">
        <f t="shared" si="17"/>
        <v>204928.15331467893</v>
      </c>
      <c r="EE7" s="118">
        <f t="shared" si="17"/>
        <v>204928.15331467893</v>
      </c>
      <c r="EF7" s="118">
        <f t="shared" si="17"/>
        <v>204928.15331467893</v>
      </c>
      <c r="EG7" s="118">
        <f t="shared" ref="EG7:GR7" si="18">EG4-EG6</f>
        <v>204928.15331467893</v>
      </c>
      <c r="EH7" s="118">
        <f t="shared" si="18"/>
        <v>204928.15331467893</v>
      </c>
      <c r="EI7" s="118">
        <f t="shared" si="18"/>
        <v>204928.15331467893</v>
      </c>
      <c r="EJ7" s="118">
        <f t="shared" si="18"/>
        <v>204928.15331467893</v>
      </c>
      <c r="EK7" s="118">
        <f t="shared" si="18"/>
        <v>204928.15331467893</v>
      </c>
      <c r="EL7" s="118">
        <f t="shared" si="18"/>
        <v>204928.15331467893</v>
      </c>
      <c r="EM7" s="118">
        <f t="shared" si="18"/>
        <v>204928.15331467893</v>
      </c>
      <c r="EN7" s="118">
        <f t="shared" si="18"/>
        <v>204928.15331467893</v>
      </c>
      <c r="EO7" s="118">
        <f t="shared" si="18"/>
        <v>204928.15331467893</v>
      </c>
      <c r="EP7" s="118">
        <f t="shared" si="18"/>
        <v>204928.15331467893</v>
      </c>
      <c r="EQ7" s="118">
        <f t="shared" si="18"/>
        <v>204928.15331467893</v>
      </c>
      <c r="ER7" s="118">
        <f t="shared" si="18"/>
        <v>204928.15331467893</v>
      </c>
      <c r="ES7" s="118">
        <f t="shared" si="18"/>
        <v>204928.15331467893</v>
      </c>
      <c r="ET7" s="118">
        <f t="shared" si="18"/>
        <v>204928.15331467893</v>
      </c>
      <c r="EU7" s="118">
        <f t="shared" si="18"/>
        <v>204928.15331467893</v>
      </c>
      <c r="EV7" s="118">
        <f t="shared" si="18"/>
        <v>204928.15331467893</v>
      </c>
      <c r="EW7" s="118">
        <f t="shared" si="18"/>
        <v>204928.15331467893</v>
      </c>
      <c r="EX7" s="118">
        <f t="shared" si="18"/>
        <v>204928.15331467893</v>
      </c>
      <c r="EY7" s="118">
        <f t="shared" si="18"/>
        <v>204928.15331467893</v>
      </c>
      <c r="EZ7" s="118">
        <f t="shared" si="18"/>
        <v>204928.15331467893</v>
      </c>
      <c r="FA7" s="118">
        <f t="shared" si="18"/>
        <v>204928.15331467893</v>
      </c>
      <c r="FB7" s="118">
        <f t="shared" si="18"/>
        <v>204928.15331467893</v>
      </c>
      <c r="FC7" s="118">
        <f t="shared" si="18"/>
        <v>204928.15331467893</v>
      </c>
      <c r="FD7" s="118">
        <f t="shared" si="18"/>
        <v>204928.15331467893</v>
      </c>
      <c r="FE7" s="118">
        <f t="shared" si="18"/>
        <v>204928.15331467893</v>
      </c>
      <c r="FF7" s="118">
        <f t="shared" si="18"/>
        <v>204928.15331467893</v>
      </c>
      <c r="FG7" s="118">
        <f t="shared" si="18"/>
        <v>204928.15331467893</v>
      </c>
      <c r="FH7" s="118">
        <f t="shared" si="18"/>
        <v>204928.15331467893</v>
      </c>
      <c r="FI7" s="118">
        <f t="shared" si="18"/>
        <v>204928.15331467893</v>
      </c>
      <c r="FJ7" s="118">
        <f t="shared" si="18"/>
        <v>204928.15331467893</v>
      </c>
      <c r="FK7" s="118">
        <f t="shared" si="18"/>
        <v>204928.15331467893</v>
      </c>
      <c r="FL7" s="118">
        <f t="shared" si="18"/>
        <v>204928.15331467893</v>
      </c>
      <c r="FM7" s="118">
        <f t="shared" si="18"/>
        <v>204928.15331467893</v>
      </c>
      <c r="FN7" s="118">
        <f t="shared" si="18"/>
        <v>204928.15331467893</v>
      </c>
      <c r="FO7" s="118">
        <f t="shared" si="18"/>
        <v>204928.15331467893</v>
      </c>
      <c r="FP7" s="118">
        <f t="shared" si="18"/>
        <v>204928.15331467893</v>
      </c>
      <c r="FQ7" s="118">
        <f t="shared" si="18"/>
        <v>204928.15331467893</v>
      </c>
      <c r="FR7" s="118">
        <f t="shared" si="18"/>
        <v>204928.15331467893</v>
      </c>
      <c r="FS7" s="118">
        <f t="shared" si="18"/>
        <v>204928.15331467893</v>
      </c>
      <c r="FT7" s="118">
        <f t="shared" si="18"/>
        <v>204928.15331467893</v>
      </c>
      <c r="FU7" s="118">
        <f t="shared" si="18"/>
        <v>204928.15331467893</v>
      </c>
      <c r="FV7" s="118">
        <f t="shared" si="18"/>
        <v>204928.15331467893</v>
      </c>
      <c r="FW7" s="118">
        <f t="shared" si="18"/>
        <v>204928.15331467893</v>
      </c>
      <c r="FX7" s="118">
        <f t="shared" si="18"/>
        <v>204928.15331467893</v>
      </c>
      <c r="FY7" s="118">
        <f t="shared" si="18"/>
        <v>204928.15331467893</v>
      </c>
      <c r="FZ7" s="118">
        <f t="shared" si="18"/>
        <v>204928.15331467893</v>
      </c>
      <c r="GA7" s="118">
        <f t="shared" si="18"/>
        <v>204928.15331467893</v>
      </c>
      <c r="GB7" s="118">
        <f t="shared" si="18"/>
        <v>204928.15331467893</v>
      </c>
      <c r="GC7" s="118">
        <f t="shared" si="18"/>
        <v>204928.15331467893</v>
      </c>
      <c r="GD7" s="118">
        <f t="shared" si="18"/>
        <v>204928.15331467893</v>
      </c>
      <c r="GE7" s="118">
        <f t="shared" si="18"/>
        <v>204928.15331467893</v>
      </c>
      <c r="GF7" s="118">
        <f t="shared" si="18"/>
        <v>204928.15331467893</v>
      </c>
      <c r="GG7" s="118">
        <f t="shared" si="18"/>
        <v>204928.15331467893</v>
      </c>
      <c r="GH7" s="118">
        <f t="shared" si="18"/>
        <v>204928.15331467893</v>
      </c>
      <c r="GI7" s="118">
        <f t="shared" si="18"/>
        <v>204928.15331467893</v>
      </c>
      <c r="GJ7" s="118">
        <f t="shared" si="18"/>
        <v>204928.15331467893</v>
      </c>
      <c r="GK7" s="118">
        <f t="shared" si="18"/>
        <v>204928.15331467893</v>
      </c>
      <c r="GL7" s="118">
        <f t="shared" si="18"/>
        <v>204928.15331467893</v>
      </c>
      <c r="GM7" s="118">
        <f t="shared" si="18"/>
        <v>204928.15331467893</v>
      </c>
      <c r="GN7" s="118">
        <f t="shared" si="18"/>
        <v>204928.15331467893</v>
      </c>
      <c r="GO7" s="118">
        <f t="shared" si="18"/>
        <v>204928.15331467893</v>
      </c>
      <c r="GP7" s="118">
        <f t="shared" si="18"/>
        <v>204928.15331467893</v>
      </c>
      <c r="GQ7" s="118">
        <f t="shared" si="18"/>
        <v>204928.15331467893</v>
      </c>
      <c r="GR7" s="118">
        <f t="shared" si="18"/>
        <v>204928.15331467893</v>
      </c>
      <c r="GS7" s="118">
        <f t="shared" ref="GS7:JD7" si="19">GS4-GS6</f>
        <v>204928.15331467893</v>
      </c>
      <c r="GT7" s="118">
        <f t="shared" si="19"/>
        <v>204928.15331467893</v>
      </c>
      <c r="GU7" s="118">
        <f t="shared" si="19"/>
        <v>204928.15331467893</v>
      </c>
      <c r="GV7" s="118">
        <f t="shared" si="19"/>
        <v>204928.15331467893</v>
      </c>
      <c r="GW7" s="118">
        <f t="shared" si="19"/>
        <v>204928.15331467893</v>
      </c>
      <c r="GX7" s="118">
        <f t="shared" si="19"/>
        <v>204928.15331467893</v>
      </c>
      <c r="GY7" s="118">
        <f t="shared" si="19"/>
        <v>204928.15331467893</v>
      </c>
      <c r="GZ7" s="118">
        <f t="shared" si="19"/>
        <v>204928.15331467893</v>
      </c>
      <c r="HA7" s="118">
        <f t="shared" si="19"/>
        <v>204928.15331467893</v>
      </c>
      <c r="HB7" s="118">
        <f t="shared" si="19"/>
        <v>204928.15331467893</v>
      </c>
      <c r="HC7" s="118">
        <f t="shared" si="19"/>
        <v>204928.15331467893</v>
      </c>
      <c r="HD7" s="118">
        <f t="shared" si="19"/>
        <v>204928.15331467893</v>
      </c>
      <c r="HE7" s="118">
        <f t="shared" si="19"/>
        <v>204928.15331467893</v>
      </c>
      <c r="HF7" s="118">
        <f t="shared" si="19"/>
        <v>204928.15331467893</v>
      </c>
      <c r="HG7" s="118">
        <f t="shared" si="19"/>
        <v>204928.15331467893</v>
      </c>
      <c r="HH7" s="118">
        <f t="shared" si="19"/>
        <v>204928.15331467893</v>
      </c>
      <c r="HI7" s="118">
        <f t="shared" si="19"/>
        <v>204928.15331467893</v>
      </c>
      <c r="HJ7" s="118">
        <f t="shared" si="19"/>
        <v>204928.15331467893</v>
      </c>
      <c r="HK7" s="118">
        <f t="shared" si="19"/>
        <v>204928.15331467893</v>
      </c>
      <c r="HL7" s="118">
        <f t="shared" si="19"/>
        <v>204928.15331467893</v>
      </c>
      <c r="HM7" s="118">
        <f t="shared" si="19"/>
        <v>204928.15331467893</v>
      </c>
      <c r="HN7" s="118">
        <f t="shared" si="19"/>
        <v>204928.15331467893</v>
      </c>
      <c r="HO7" s="118">
        <f t="shared" si="19"/>
        <v>204928.15331467893</v>
      </c>
      <c r="HP7" s="118">
        <f t="shared" si="19"/>
        <v>204928.15331467893</v>
      </c>
      <c r="HQ7" s="118">
        <f t="shared" si="19"/>
        <v>204928.15331467893</v>
      </c>
      <c r="HR7" s="118">
        <f t="shared" si="19"/>
        <v>204928.15331467893</v>
      </c>
      <c r="HS7" s="118">
        <f t="shared" si="19"/>
        <v>204928.15331467893</v>
      </c>
      <c r="HT7" s="118">
        <f t="shared" si="19"/>
        <v>204928.15331467893</v>
      </c>
      <c r="HU7" s="118">
        <f t="shared" si="19"/>
        <v>204928.15331467893</v>
      </c>
      <c r="HV7" s="118">
        <f t="shared" si="19"/>
        <v>204928.15331467893</v>
      </c>
      <c r="HW7" s="118">
        <f t="shared" si="19"/>
        <v>204928.15331467893</v>
      </c>
      <c r="HX7" s="118">
        <f t="shared" si="19"/>
        <v>204928.15331467893</v>
      </c>
      <c r="HY7" s="118">
        <f t="shared" si="19"/>
        <v>204928.15331467893</v>
      </c>
      <c r="HZ7" s="118">
        <f t="shared" si="19"/>
        <v>204928.15331467893</v>
      </c>
      <c r="IA7" s="118">
        <f t="shared" si="19"/>
        <v>204928.15331467893</v>
      </c>
      <c r="IB7" s="118">
        <f t="shared" si="19"/>
        <v>204928.15331467893</v>
      </c>
      <c r="IC7" s="118">
        <f t="shared" si="19"/>
        <v>204928.15331467893</v>
      </c>
      <c r="ID7" s="118">
        <f t="shared" si="19"/>
        <v>204928.15331467893</v>
      </c>
      <c r="IE7" s="118">
        <f t="shared" si="19"/>
        <v>204928.15331467893</v>
      </c>
      <c r="IF7" s="118">
        <f t="shared" si="19"/>
        <v>204928.15331467893</v>
      </c>
      <c r="IG7" s="118">
        <f t="shared" si="19"/>
        <v>204928.15331467893</v>
      </c>
      <c r="IH7" s="118">
        <f t="shared" si="19"/>
        <v>204928.15331467893</v>
      </c>
      <c r="II7" s="118">
        <f t="shared" si="19"/>
        <v>204928.15331467893</v>
      </c>
      <c r="IJ7" s="118">
        <f t="shared" si="19"/>
        <v>204928.15331467893</v>
      </c>
      <c r="IK7" s="118">
        <f t="shared" si="19"/>
        <v>204928.15331467893</v>
      </c>
      <c r="IL7" s="118">
        <f t="shared" si="19"/>
        <v>204928.15331467893</v>
      </c>
      <c r="IM7" s="118">
        <f t="shared" si="19"/>
        <v>204928.15331467893</v>
      </c>
      <c r="IN7" s="118">
        <f t="shared" si="19"/>
        <v>204928.15331467893</v>
      </c>
      <c r="IO7" s="118">
        <f t="shared" si="19"/>
        <v>204928.15331467893</v>
      </c>
      <c r="IP7" s="118">
        <f t="shared" si="19"/>
        <v>204928.15331467893</v>
      </c>
      <c r="IQ7" s="118">
        <f t="shared" si="19"/>
        <v>204928.15331467893</v>
      </c>
      <c r="IR7" s="118">
        <f t="shared" si="19"/>
        <v>204928.15331467893</v>
      </c>
      <c r="IS7" s="118">
        <f t="shared" si="19"/>
        <v>204928.15331467893</v>
      </c>
      <c r="IT7" s="118">
        <f t="shared" si="19"/>
        <v>204928.15331467893</v>
      </c>
      <c r="IU7" s="118">
        <f t="shared" si="19"/>
        <v>204928.15331467893</v>
      </c>
      <c r="IV7" s="118">
        <f t="shared" si="19"/>
        <v>204928.15331467893</v>
      </c>
      <c r="IW7" s="118">
        <f t="shared" si="19"/>
        <v>204928.15331467893</v>
      </c>
      <c r="IX7" s="118">
        <f t="shared" si="19"/>
        <v>204928.15331467893</v>
      </c>
      <c r="IY7" s="118">
        <f t="shared" si="19"/>
        <v>204928.15331467893</v>
      </c>
      <c r="IZ7" s="118">
        <f t="shared" si="19"/>
        <v>204928.15331467893</v>
      </c>
      <c r="JA7" s="118">
        <f t="shared" si="19"/>
        <v>204928.15331467893</v>
      </c>
      <c r="JB7" s="118">
        <f t="shared" si="19"/>
        <v>204928.15331467893</v>
      </c>
      <c r="JC7" s="118">
        <f t="shared" si="19"/>
        <v>204928.15331467893</v>
      </c>
      <c r="JD7" s="118">
        <f t="shared" si="19"/>
        <v>204928.15331467893</v>
      </c>
      <c r="JE7" s="118">
        <f t="shared" ref="JE7:KF7" si="20">JE4-JE6</f>
        <v>204928.15331467893</v>
      </c>
      <c r="JF7" s="118">
        <f t="shared" si="20"/>
        <v>204928.15331467893</v>
      </c>
      <c r="JG7" s="118">
        <f t="shared" si="20"/>
        <v>204928.15331467893</v>
      </c>
      <c r="JH7" s="118">
        <f t="shared" si="20"/>
        <v>204928.15331467893</v>
      </c>
      <c r="JI7" s="118">
        <f t="shared" si="20"/>
        <v>204928.15331467893</v>
      </c>
      <c r="JJ7" s="118">
        <f t="shared" si="20"/>
        <v>204928.15331467893</v>
      </c>
      <c r="JK7" s="118">
        <f t="shared" si="20"/>
        <v>204928.15331467893</v>
      </c>
      <c r="JL7" s="118">
        <f t="shared" si="20"/>
        <v>204928.15331467893</v>
      </c>
      <c r="JM7" s="118">
        <f t="shared" si="20"/>
        <v>204928.15331467893</v>
      </c>
      <c r="JN7" s="118">
        <f t="shared" si="20"/>
        <v>204928.15331467893</v>
      </c>
      <c r="JO7" s="118">
        <f t="shared" si="20"/>
        <v>204928.15331467893</v>
      </c>
      <c r="JP7" s="118">
        <f t="shared" si="20"/>
        <v>204928.15331467893</v>
      </c>
      <c r="JQ7" s="118">
        <f t="shared" si="20"/>
        <v>204928.15331467893</v>
      </c>
      <c r="JR7" s="118">
        <f t="shared" si="20"/>
        <v>204928.15331467893</v>
      </c>
      <c r="JS7" s="118">
        <f t="shared" si="20"/>
        <v>204928.15331467893</v>
      </c>
      <c r="JT7" s="118">
        <f t="shared" si="20"/>
        <v>204928.15331467893</v>
      </c>
      <c r="JU7" s="118">
        <f t="shared" si="20"/>
        <v>204928.15331467893</v>
      </c>
      <c r="JV7" s="118">
        <f t="shared" si="20"/>
        <v>204928.15331467893</v>
      </c>
      <c r="JW7" s="118">
        <f t="shared" si="20"/>
        <v>204928.15331467893</v>
      </c>
      <c r="JX7" s="118">
        <f t="shared" si="20"/>
        <v>204928.15331467893</v>
      </c>
      <c r="JY7" s="118">
        <f t="shared" si="20"/>
        <v>204928.15331467893</v>
      </c>
      <c r="JZ7" s="118">
        <f t="shared" si="20"/>
        <v>204928.15331467893</v>
      </c>
      <c r="KA7" s="118">
        <f t="shared" si="20"/>
        <v>204928.15331467893</v>
      </c>
      <c r="KB7" s="118">
        <f t="shared" si="20"/>
        <v>204928.15331467893</v>
      </c>
      <c r="KC7" s="118">
        <f t="shared" si="20"/>
        <v>204928.15331467893</v>
      </c>
      <c r="KD7" s="118">
        <f t="shared" si="20"/>
        <v>204928.15331467893</v>
      </c>
      <c r="KE7" s="118">
        <f t="shared" si="20"/>
        <v>204928.15331467893</v>
      </c>
      <c r="KF7" s="118">
        <f t="shared" si="20"/>
        <v>204928.15331467893</v>
      </c>
    </row>
    <row r="8" spans="1:770" s="102" customFormat="1">
      <c r="A8" s="727" t="s">
        <v>206</v>
      </c>
      <c r="B8" s="103"/>
      <c r="C8" s="104" t="s">
        <v>270</v>
      </c>
      <c r="D8" s="104" t="s">
        <v>270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8"/>
      <c r="B9" s="120" t="s">
        <v>407</v>
      </c>
      <c r="C9" s="121">
        <f>'Revenue Tracking'!F4</f>
        <v>1399380.6092331572</v>
      </c>
      <c r="D9" s="121">
        <f>SUM(F9:KF9)</f>
        <v>1399380.6092331577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720615.23861657875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504430.66703160515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174334.70358497358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28"/>
      <c r="B10" s="120" t="s">
        <v>408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720615.23861657875</v>
      </c>
      <c r="U10" s="122">
        <f t="shared" si="21"/>
        <v>720615.23861657875</v>
      </c>
      <c r="V10" s="122">
        <f t="shared" si="21"/>
        <v>1225045.905648184</v>
      </c>
      <c r="W10" s="122">
        <f t="shared" si="21"/>
        <v>1225045.905648184</v>
      </c>
      <c r="X10" s="122">
        <f t="shared" si="21"/>
        <v>1225045.905648184</v>
      </c>
      <c r="Y10" s="122">
        <f t="shared" si="21"/>
        <v>1225045.905648184</v>
      </c>
      <c r="Z10" s="122">
        <f t="shared" si="21"/>
        <v>1225045.905648184</v>
      </c>
      <c r="AA10" s="122">
        <f t="shared" si="21"/>
        <v>1399380.6092331577</v>
      </c>
      <c r="AB10" s="122">
        <f t="shared" si="21"/>
        <v>1399380.6092331577</v>
      </c>
      <c r="AC10" s="122">
        <f t="shared" si="21"/>
        <v>1399380.6092331577</v>
      </c>
      <c r="AD10" s="122">
        <f>AC10+AD9</f>
        <v>1399380.6092331577</v>
      </c>
      <c r="AE10" s="122">
        <f t="shared" si="21"/>
        <v>1399380.6092331577</v>
      </c>
      <c r="AF10" s="122">
        <f t="shared" si="21"/>
        <v>1399380.6092331577</v>
      </c>
      <c r="AG10" s="122">
        <f t="shared" si="21"/>
        <v>1399380.6092331577</v>
      </c>
      <c r="AH10" s="122">
        <f t="shared" si="21"/>
        <v>1399380.6092331577</v>
      </c>
      <c r="AI10" s="122">
        <f t="shared" si="21"/>
        <v>1399380.6092331577</v>
      </c>
      <c r="AJ10" s="122">
        <f t="shared" si="21"/>
        <v>1399380.6092331577</v>
      </c>
      <c r="AK10" s="122">
        <f t="shared" si="21"/>
        <v>1399380.6092331577</v>
      </c>
      <c r="AL10" s="122">
        <f t="shared" si="21"/>
        <v>1399380.6092331577</v>
      </c>
      <c r="AM10" s="122">
        <f t="shared" si="21"/>
        <v>1399380.6092331577</v>
      </c>
      <c r="AN10" s="122">
        <f t="shared" si="21"/>
        <v>1399380.6092331577</v>
      </c>
      <c r="AO10" s="122">
        <f t="shared" si="21"/>
        <v>1399380.6092331577</v>
      </c>
      <c r="AP10" s="122">
        <f t="shared" si="21"/>
        <v>1399380.6092331577</v>
      </c>
      <c r="AQ10" s="122">
        <f t="shared" si="21"/>
        <v>1399380.6092331577</v>
      </c>
      <c r="AR10" s="122">
        <f t="shared" si="21"/>
        <v>1399380.6092331577</v>
      </c>
      <c r="AS10" s="122">
        <f t="shared" si="21"/>
        <v>1399380.6092331577</v>
      </c>
      <c r="AT10" s="122">
        <f t="shared" si="21"/>
        <v>1399380.6092331577</v>
      </c>
      <c r="AU10" s="122">
        <f t="shared" si="21"/>
        <v>1399380.6092331577</v>
      </c>
      <c r="AV10" s="122">
        <f t="shared" si="21"/>
        <v>1399380.6092331577</v>
      </c>
      <c r="AW10" s="122">
        <f t="shared" si="21"/>
        <v>1399380.6092331577</v>
      </c>
      <c r="AX10" s="122">
        <f t="shared" si="21"/>
        <v>1399380.6092331577</v>
      </c>
      <c r="AY10" s="122">
        <f t="shared" si="21"/>
        <v>1399380.6092331577</v>
      </c>
      <c r="AZ10" s="122">
        <f t="shared" si="21"/>
        <v>1399380.6092331577</v>
      </c>
      <c r="BA10" s="122">
        <f t="shared" si="21"/>
        <v>1399380.6092331577</v>
      </c>
      <c r="BB10" s="122">
        <f t="shared" si="21"/>
        <v>1399380.6092331577</v>
      </c>
      <c r="BC10" s="122">
        <f t="shared" si="21"/>
        <v>1399380.6092331577</v>
      </c>
      <c r="BD10" s="122">
        <f t="shared" si="21"/>
        <v>1399380.6092331577</v>
      </c>
      <c r="BE10" s="122">
        <f t="shared" si="21"/>
        <v>1399380.6092331577</v>
      </c>
      <c r="BF10" s="122">
        <f t="shared" si="21"/>
        <v>1399380.6092331577</v>
      </c>
      <c r="BG10" s="122">
        <f t="shared" si="21"/>
        <v>1399380.6092331577</v>
      </c>
      <c r="BH10" s="122">
        <f t="shared" si="21"/>
        <v>1399380.6092331577</v>
      </c>
      <c r="BI10" s="122">
        <f t="shared" si="21"/>
        <v>1399380.6092331577</v>
      </c>
      <c r="BJ10" s="122">
        <f t="shared" si="21"/>
        <v>1399380.6092331577</v>
      </c>
      <c r="BK10" s="122">
        <f t="shared" si="21"/>
        <v>1399380.6092331577</v>
      </c>
      <c r="BL10" s="122">
        <f t="shared" si="21"/>
        <v>1399380.6092331577</v>
      </c>
      <c r="BM10" s="122">
        <f t="shared" si="21"/>
        <v>1399380.6092331577</v>
      </c>
      <c r="BN10" s="122">
        <f t="shared" si="21"/>
        <v>1399380.6092331577</v>
      </c>
      <c r="BO10" s="122">
        <f t="shared" si="21"/>
        <v>1399380.6092331577</v>
      </c>
      <c r="BP10" s="122">
        <f t="shared" si="21"/>
        <v>1399380.6092331577</v>
      </c>
      <c r="BQ10" s="122">
        <f t="shared" si="21"/>
        <v>1399380.6092331577</v>
      </c>
      <c r="BR10" s="122">
        <f t="shared" si="21"/>
        <v>1399380.6092331577</v>
      </c>
      <c r="BS10" s="122">
        <f t="shared" si="21"/>
        <v>1399380.6092331577</v>
      </c>
      <c r="BT10" s="122">
        <f t="shared" si="21"/>
        <v>1399380.6092331577</v>
      </c>
      <c r="BU10" s="122">
        <f t="shared" ref="BU10:EF10" si="22">BT10+BU9</f>
        <v>1399380.6092331577</v>
      </c>
      <c r="BV10" s="122">
        <f t="shared" si="22"/>
        <v>1399380.6092331577</v>
      </c>
      <c r="BW10" s="122">
        <f t="shared" si="22"/>
        <v>1399380.6092331577</v>
      </c>
      <c r="BX10" s="122">
        <f t="shared" si="22"/>
        <v>1399380.6092331577</v>
      </c>
      <c r="BY10" s="122">
        <f t="shared" si="22"/>
        <v>1399380.6092331577</v>
      </c>
      <c r="BZ10" s="122">
        <f t="shared" si="22"/>
        <v>1399380.6092331577</v>
      </c>
      <c r="CA10" s="122">
        <f t="shared" si="22"/>
        <v>1399380.6092331577</v>
      </c>
      <c r="CB10" s="122">
        <f t="shared" si="22"/>
        <v>1399380.6092331577</v>
      </c>
      <c r="CC10" s="122">
        <f t="shared" si="22"/>
        <v>1399380.6092331577</v>
      </c>
      <c r="CD10" s="122">
        <f t="shared" si="22"/>
        <v>1399380.6092331577</v>
      </c>
      <c r="CE10" s="122">
        <f t="shared" si="22"/>
        <v>1399380.6092331577</v>
      </c>
      <c r="CF10" s="122">
        <f t="shared" si="22"/>
        <v>1399380.6092331577</v>
      </c>
      <c r="CG10" s="122">
        <f t="shared" si="22"/>
        <v>1399380.6092331577</v>
      </c>
      <c r="CH10" s="122">
        <f t="shared" si="22"/>
        <v>1399380.6092331577</v>
      </c>
      <c r="CI10" s="122">
        <f t="shared" si="22"/>
        <v>1399380.6092331577</v>
      </c>
      <c r="CJ10" s="122">
        <f t="shared" si="22"/>
        <v>1399380.6092331577</v>
      </c>
      <c r="CK10" s="122">
        <f t="shared" si="22"/>
        <v>1399380.6092331577</v>
      </c>
      <c r="CL10" s="122">
        <f t="shared" si="22"/>
        <v>1399380.6092331577</v>
      </c>
      <c r="CM10" s="122">
        <f t="shared" si="22"/>
        <v>1399380.6092331577</v>
      </c>
      <c r="CN10" s="122">
        <f t="shared" si="22"/>
        <v>1399380.6092331577</v>
      </c>
      <c r="CO10" s="122">
        <f t="shared" si="22"/>
        <v>1399380.6092331577</v>
      </c>
      <c r="CP10" s="122">
        <f t="shared" si="22"/>
        <v>1399380.6092331577</v>
      </c>
      <c r="CQ10" s="122">
        <f t="shared" si="22"/>
        <v>1399380.6092331577</v>
      </c>
      <c r="CR10" s="122">
        <f t="shared" si="22"/>
        <v>1399380.6092331577</v>
      </c>
      <c r="CS10" s="122">
        <f t="shared" si="22"/>
        <v>1399380.6092331577</v>
      </c>
      <c r="CT10" s="122">
        <f t="shared" si="22"/>
        <v>1399380.6092331577</v>
      </c>
      <c r="CU10" s="122">
        <f t="shared" si="22"/>
        <v>1399380.6092331577</v>
      </c>
      <c r="CV10" s="122">
        <f t="shared" si="22"/>
        <v>1399380.6092331577</v>
      </c>
      <c r="CW10" s="122">
        <f t="shared" si="22"/>
        <v>1399380.6092331577</v>
      </c>
      <c r="CX10" s="122">
        <f t="shared" si="22"/>
        <v>1399380.6092331577</v>
      </c>
      <c r="CY10" s="122">
        <f t="shared" si="22"/>
        <v>1399380.6092331577</v>
      </c>
      <c r="CZ10" s="122">
        <f t="shared" si="22"/>
        <v>1399380.6092331577</v>
      </c>
      <c r="DA10" s="122">
        <f t="shared" si="22"/>
        <v>1399380.6092331577</v>
      </c>
      <c r="DB10" s="122">
        <f t="shared" si="22"/>
        <v>1399380.6092331577</v>
      </c>
      <c r="DC10" s="122">
        <f t="shared" si="22"/>
        <v>1399380.6092331577</v>
      </c>
      <c r="DD10" s="122">
        <f t="shared" si="22"/>
        <v>1399380.6092331577</v>
      </c>
      <c r="DE10" s="122">
        <f t="shared" si="22"/>
        <v>1399380.6092331577</v>
      </c>
      <c r="DF10" s="122">
        <f t="shared" si="22"/>
        <v>1399380.6092331577</v>
      </c>
      <c r="DG10" s="122">
        <f t="shared" si="22"/>
        <v>1399380.6092331577</v>
      </c>
      <c r="DH10" s="122">
        <f t="shared" si="22"/>
        <v>1399380.6092331577</v>
      </c>
      <c r="DI10" s="122">
        <f t="shared" si="22"/>
        <v>1399380.6092331577</v>
      </c>
      <c r="DJ10" s="122">
        <f t="shared" si="22"/>
        <v>1399380.6092331577</v>
      </c>
      <c r="DK10" s="122">
        <f t="shared" si="22"/>
        <v>1399380.6092331577</v>
      </c>
      <c r="DL10" s="122">
        <f t="shared" si="22"/>
        <v>1399380.6092331577</v>
      </c>
      <c r="DM10" s="122">
        <f t="shared" si="22"/>
        <v>1399380.6092331577</v>
      </c>
      <c r="DN10" s="122">
        <f t="shared" si="22"/>
        <v>1399380.6092331577</v>
      </c>
      <c r="DO10" s="122">
        <f t="shared" si="22"/>
        <v>1399380.6092331577</v>
      </c>
      <c r="DP10" s="122">
        <f t="shared" si="22"/>
        <v>1399380.6092331577</v>
      </c>
      <c r="DQ10" s="122">
        <f t="shared" si="22"/>
        <v>1399380.6092331577</v>
      </c>
      <c r="DR10" s="122">
        <f t="shared" si="22"/>
        <v>1399380.6092331577</v>
      </c>
      <c r="DS10" s="122">
        <f t="shared" si="22"/>
        <v>1399380.6092331577</v>
      </c>
      <c r="DT10" s="122">
        <f t="shared" si="22"/>
        <v>1399380.6092331577</v>
      </c>
      <c r="DU10" s="122">
        <f t="shared" si="22"/>
        <v>1399380.6092331577</v>
      </c>
      <c r="DV10" s="122">
        <f t="shared" si="22"/>
        <v>1399380.6092331577</v>
      </c>
      <c r="DW10" s="122">
        <f t="shared" si="22"/>
        <v>1399380.6092331577</v>
      </c>
      <c r="DX10" s="122">
        <f t="shared" si="22"/>
        <v>1399380.6092331577</v>
      </c>
      <c r="DY10" s="122">
        <f t="shared" si="22"/>
        <v>1399380.6092331577</v>
      </c>
      <c r="DZ10" s="122">
        <f t="shared" si="22"/>
        <v>1399380.6092331577</v>
      </c>
      <c r="EA10" s="122">
        <f t="shared" si="22"/>
        <v>1399380.6092331577</v>
      </c>
      <c r="EB10" s="122">
        <f t="shared" si="22"/>
        <v>1399380.6092331577</v>
      </c>
      <c r="EC10" s="122">
        <f t="shared" si="22"/>
        <v>1399380.6092331577</v>
      </c>
      <c r="ED10" s="122">
        <f t="shared" si="22"/>
        <v>1399380.6092331577</v>
      </c>
      <c r="EE10" s="122">
        <f t="shared" si="22"/>
        <v>1399380.6092331577</v>
      </c>
      <c r="EF10" s="122">
        <f t="shared" si="22"/>
        <v>1399380.6092331577</v>
      </c>
      <c r="EG10" s="122">
        <f t="shared" ref="EG10:GR10" si="23">EF10+EG9</f>
        <v>1399380.6092331577</v>
      </c>
      <c r="EH10" s="122">
        <f t="shared" si="23"/>
        <v>1399380.6092331577</v>
      </c>
      <c r="EI10" s="122">
        <f t="shared" si="23"/>
        <v>1399380.6092331577</v>
      </c>
      <c r="EJ10" s="122">
        <f t="shared" si="23"/>
        <v>1399380.6092331577</v>
      </c>
      <c r="EK10" s="122">
        <f t="shared" si="23"/>
        <v>1399380.6092331577</v>
      </c>
      <c r="EL10" s="122">
        <f t="shared" si="23"/>
        <v>1399380.6092331577</v>
      </c>
      <c r="EM10" s="122">
        <f t="shared" si="23"/>
        <v>1399380.6092331577</v>
      </c>
      <c r="EN10" s="122">
        <f t="shared" si="23"/>
        <v>1399380.6092331577</v>
      </c>
      <c r="EO10" s="122">
        <f t="shared" si="23"/>
        <v>1399380.6092331577</v>
      </c>
      <c r="EP10" s="122">
        <f t="shared" si="23"/>
        <v>1399380.6092331577</v>
      </c>
      <c r="EQ10" s="122">
        <f t="shared" si="23"/>
        <v>1399380.6092331577</v>
      </c>
      <c r="ER10" s="122">
        <f t="shared" si="23"/>
        <v>1399380.6092331577</v>
      </c>
      <c r="ES10" s="122">
        <f t="shared" si="23"/>
        <v>1399380.6092331577</v>
      </c>
      <c r="ET10" s="122">
        <f t="shared" si="23"/>
        <v>1399380.6092331577</v>
      </c>
      <c r="EU10" s="122">
        <f t="shared" si="23"/>
        <v>1399380.6092331577</v>
      </c>
      <c r="EV10" s="122">
        <f t="shared" si="23"/>
        <v>1399380.6092331577</v>
      </c>
      <c r="EW10" s="122">
        <f t="shared" si="23"/>
        <v>1399380.6092331577</v>
      </c>
      <c r="EX10" s="122">
        <f t="shared" si="23"/>
        <v>1399380.6092331577</v>
      </c>
      <c r="EY10" s="122">
        <f t="shared" si="23"/>
        <v>1399380.6092331577</v>
      </c>
      <c r="EZ10" s="122">
        <f t="shared" si="23"/>
        <v>1399380.6092331577</v>
      </c>
      <c r="FA10" s="122">
        <f t="shared" si="23"/>
        <v>1399380.6092331577</v>
      </c>
      <c r="FB10" s="122">
        <f t="shared" si="23"/>
        <v>1399380.6092331577</v>
      </c>
      <c r="FC10" s="122">
        <f t="shared" si="23"/>
        <v>1399380.6092331577</v>
      </c>
      <c r="FD10" s="122">
        <f t="shared" si="23"/>
        <v>1399380.6092331577</v>
      </c>
      <c r="FE10" s="122">
        <f t="shared" si="23"/>
        <v>1399380.6092331577</v>
      </c>
      <c r="FF10" s="122">
        <f t="shared" si="23"/>
        <v>1399380.6092331577</v>
      </c>
      <c r="FG10" s="122">
        <f t="shared" si="23"/>
        <v>1399380.6092331577</v>
      </c>
      <c r="FH10" s="122">
        <f t="shared" si="23"/>
        <v>1399380.6092331577</v>
      </c>
      <c r="FI10" s="122">
        <f t="shared" si="23"/>
        <v>1399380.6092331577</v>
      </c>
      <c r="FJ10" s="122">
        <f t="shared" si="23"/>
        <v>1399380.6092331577</v>
      </c>
      <c r="FK10" s="122">
        <f t="shared" si="23"/>
        <v>1399380.6092331577</v>
      </c>
      <c r="FL10" s="122">
        <f t="shared" si="23"/>
        <v>1399380.6092331577</v>
      </c>
      <c r="FM10" s="122">
        <f t="shared" si="23"/>
        <v>1399380.6092331577</v>
      </c>
      <c r="FN10" s="122">
        <f t="shared" si="23"/>
        <v>1399380.6092331577</v>
      </c>
      <c r="FO10" s="122">
        <f t="shared" si="23"/>
        <v>1399380.6092331577</v>
      </c>
      <c r="FP10" s="122">
        <f t="shared" si="23"/>
        <v>1399380.6092331577</v>
      </c>
      <c r="FQ10" s="122">
        <f t="shared" si="23"/>
        <v>1399380.6092331577</v>
      </c>
      <c r="FR10" s="122">
        <f t="shared" si="23"/>
        <v>1399380.6092331577</v>
      </c>
      <c r="FS10" s="122">
        <f t="shared" si="23"/>
        <v>1399380.6092331577</v>
      </c>
      <c r="FT10" s="122">
        <f t="shared" si="23"/>
        <v>1399380.6092331577</v>
      </c>
      <c r="FU10" s="122">
        <f t="shared" si="23"/>
        <v>1399380.6092331577</v>
      </c>
      <c r="FV10" s="122">
        <f t="shared" si="23"/>
        <v>1399380.6092331577</v>
      </c>
      <c r="FW10" s="122">
        <f t="shared" si="23"/>
        <v>1399380.6092331577</v>
      </c>
      <c r="FX10" s="122">
        <f t="shared" si="23"/>
        <v>1399380.6092331577</v>
      </c>
      <c r="FY10" s="122">
        <f t="shared" si="23"/>
        <v>1399380.6092331577</v>
      </c>
      <c r="FZ10" s="122">
        <f t="shared" si="23"/>
        <v>1399380.6092331577</v>
      </c>
      <c r="GA10" s="122">
        <f t="shared" si="23"/>
        <v>1399380.6092331577</v>
      </c>
      <c r="GB10" s="122">
        <f t="shared" si="23"/>
        <v>1399380.6092331577</v>
      </c>
      <c r="GC10" s="122">
        <f t="shared" si="23"/>
        <v>1399380.6092331577</v>
      </c>
      <c r="GD10" s="122">
        <f t="shared" si="23"/>
        <v>1399380.6092331577</v>
      </c>
      <c r="GE10" s="122">
        <f t="shared" si="23"/>
        <v>1399380.6092331577</v>
      </c>
      <c r="GF10" s="122">
        <f t="shared" si="23"/>
        <v>1399380.6092331577</v>
      </c>
      <c r="GG10" s="122">
        <f t="shared" si="23"/>
        <v>1399380.6092331577</v>
      </c>
      <c r="GH10" s="122">
        <f t="shared" si="23"/>
        <v>1399380.6092331577</v>
      </c>
      <c r="GI10" s="122">
        <f t="shared" si="23"/>
        <v>1399380.6092331577</v>
      </c>
      <c r="GJ10" s="122">
        <f t="shared" si="23"/>
        <v>1399380.6092331577</v>
      </c>
      <c r="GK10" s="122">
        <f t="shared" si="23"/>
        <v>1399380.6092331577</v>
      </c>
      <c r="GL10" s="122">
        <f t="shared" si="23"/>
        <v>1399380.6092331577</v>
      </c>
      <c r="GM10" s="122">
        <f t="shared" si="23"/>
        <v>1399380.6092331577</v>
      </c>
      <c r="GN10" s="122">
        <f t="shared" si="23"/>
        <v>1399380.6092331577</v>
      </c>
      <c r="GO10" s="122">
        <f t="shared" si="23"/>
        <v>1399380.6092331577</v>
      </c>
      <c r="GP10" s="122">
        <f t="shared" si="23"/>
        <v>1399380.6092331577</v>
      </c>
      <c r="GQ10" s="122">
        <f t="shared" si="23"/>
        <v>1399380.6092331577</v>
      </c>
      <c r="GR10" s="122">
        <f t="shared" si="23"/>
        <v>1399380.6092331577</v>
      </c>
      <c r="GS10" s="122">
        <f t="shared" ref="GS10:JD10" si="24">GR10+GS9</f>
        <v>1399380.6092331577</v>
      </c>
      <c r="GT10" s="122">
        <f t="shared" si="24"/>
        <v>1399380.6092331577</v>
      </c>
      <c r="GU10" s="122">
        <f t="shared" si="24"/>
        <v>1399380.6092331577</v>
      </c>
      <c r="GV10" s="122">
        <f t="shared" si="24"/>
        <v>1399380.6092331577</v>
      </c>
      <c r="GW10" s="122">
        <f t="shared" si="24"/>
        <v>1399380.6092331577</v>
      </c>
      <c r="GX10" s="122">
        <f t="shared" si="24"/>
        <v>1399380.6092331577</v>
      </c>
      <c r="GY10" s="122">
        <f t="shared" si="24"/>
        <v>1399380.6092331577</v>
      </c>
      <c r="GZ10" s="122">
        <f t="shared" si="24"/>
        <v>1399380.6092331577</v>
      </c>
      <c r="HA10" s="122">
        <f t="shared" si="24"/>
        <v>1399380.6092331577</v>
      </c>
      <c r="HB10" s="122">
        <f t="shared" si="24"/>
        <v>1399380.6092331577</v>
      </c>
      <c r="HC10" s="122">
        <f t="shared" si="24"/>
        <v>1399380.6092331577</v>
      </c>
      <c r="HD10" s="122">
        <f t="shared" si="24"/>
        <v>1399380.6092331577</v>
      </c>
      <c r="HE10" s="122">
        <f t="shared" si="24"/>
        <v>1399380.6092331577</v>
      </c>
      <c r="HF10" s="122">
        <f t="shared" si="24"/>
        <v>1399380.6092331577</v>
      </c>
      <c r="HG10" s="122">
        <f t="shared" si="24"/>
        <v>1399380.6092331577</v>
      </c>
      <c r="HH10" s="122">
        <f t="shared" si="24"/>
        <v>1399380.6092331577</v>
      </c>
      <c r="HI10" s="122">
        <f t="shared" si="24"/>
        <v>1399380.6092331577</v>
      </c>
      <c r="HJ10" s="122">
        <f t="shared" si="24"/>
        <v>1399380.6092331577</v>
      </c>
      <c r="HK10" s="122">
        <f t="shared" si="24"/>
        <v>1399380.6092331577</v>
      </c>
      <c r="HL10" s="122">
        <f t="shared" si="24"/>
        <v>1399380.6092331577</v>
      </c>
      <c r="HM10" s="122">
        <f t="shared" si="24"/>
        <v>1399380.6092331577</v>
      </c>
      <c r="HN10" s="122">
        <f t="shared" si="24"/>
        <v>1399380.6092331577</v>
      </c>
      <c r="HO10" s="122">
        <f t="shared" si="24"/>
        <v>1399380.6092331577</v>
      </c>
      <c r="HP10" s="122">
        <f t="shared" si="24"/>
        <v>1399380.6092331577</v>
      </c>
      <c r="HQ10" s="122">
        <f t="shared" si="24"/>
        <v>1399380.6092331577</v>
      </c>
      <c r="HR10" s="122">
        <f t="shared" si="24"/>
        <v>1399380.6092331577</v>
      </c>
      <c r="HS10" s="122">
        <f t="shared" si="24"/>
        <v>1399380.6092331577</v>
      </c>
      <c r="HT10" s="122">
        <f t="shared" si="24"/>
        <v>1399380.6092331577</v>
      </c>
      <c r="HU10" s="122">
        <f t="shared" si="24"/>
        <v>1399380.6092331577</v>
      </c>
      <c r="HV10" s="122">
        <f t="shared" si="24"/>
        <v>1399380.6092331577</v>
      </c>
      <c r="HW10" s="122">
        <f t="shared" si="24"/>
        <v>1399380.6092331577</v>
      </c>
      <c r="HX10" s="122">
        <f t="shared" si="24"/>
        <v>1399380.6092331577</v>
      </c>
      <c r="HY10" s="122">
        <f t="shared" si="24"/>
        <v>1399380.6092331577</v>
      </c>
      <c r="HZ10" s="122">
        <f t="shared" si="24"/>
        <v>1399380.6092331577</v>
      </c>
      <c r="IA10" s="122">
        <f t="shared" si="24"/>
        <v>1399380.6092331577</v>
      </c>
      <c r="IB10" s="122">
        <f t="shared" si="24"/>
        <v>1399380.6092331577</v>
      </c>
      <c r="IC10" s="122">
        <f t="shared" si="24"/>
        <v>1399380.6092331577</v>
      </c>
      <c r="ID10" s="122">
        <f t="shared" si="24"/>
        <v>1399380.6092331577</v>
      </c>
      <c r="IE10" s="122">
        <f t="shared" si="24"/>
        <v>1399380.6092331577</v>
      </c>
      <c r="IF10" s="122">
        <f t="shared" si="24"/>
        <v>1399380.6092331577</v>
      </c>
      <c r="IG10" s="122">
        <f t="shared" si="24"/>
        <v>1399380.6092331577</v>
      </c>
      <c r="IH10" s="122">
        <f t="shared" si="24"/>
        <v>1399380.6092331577</v>
      </c>
      <c r="II10" s="122">
        <f t="shared" si="24"/>
        <v>1399380.6092331577</v>
      </c>
      <c r="IJ10" s="122">
        <f t="shared" si="24"/>
        <v>1399380.6092331577</v>
      </c>
      <c r="IK10" s="122">
        <f t="shared" si="24"/>
        <v>1399380.6092331577</v>
      </c>
      <c r="IL10" s="122">
        <f t="shared" si="24"/>
        <v>1399380.6092331577</v>
      </c>
      <c r="IM10" s="122">
        <f t="shared" si="24"/>
        <v>1399380.6092331577</v>
      </c>
      <c r="IN10" s="122">
        <f t="shared" si="24"/>
        <v>1399380.6092331577</v>
      </c>
      <c r="IO10" s="122">
        <f t="shared" si="24"/>
        <v>1399380.6092331577</v>
      </c>
      <c r="IP10" s="122">
        <f t="shared" si="24"/>
        <v>1399380.6092331577</v>
      </c>
      <c r="IQ10" s="122">
        <f t="shared" si="24"/>
        <v>1399380.6092331577</v>
      </c>
      <c r="IR10" s="122">
        <f t="shared" si="24"/>
        <v>1399380.6092331577</v>
      </c>
      <c r="IS10" s="122">
        <f t="shared" si="24"/>
        <v>1399380.6092331577</v>
      </c>
      <c r="IT10" s="122">
        <f t="shared" si="24"/>
        <v>1399380.6092331577</v>
      </c>
      <c r="IU10" s="122">
        <f t="shared" si="24"/>
        <v>1399380.6092331577</v>
      </c>
      <c r="IV10" s="122">
        <f t="shared" si="24"/>
        <v>1399380.6092331577</v>
      </c>
      <c r="IW10" s="122">
        <f t="shared" si="24"/>
        <v>1399380.6092331577</v>
      </c>
      <c r="IX10" s="122">
        <f t="shared" si="24"/>
        <v>1399380.6092331577</v>
      </c>
      <c r="IY10" s="122">
        <f t="shared" si="24"/>
        <v>1399380.6092331577</v>
      </c>
      <c r="IZ10" s="122">
        <f t="shared" si="24"/>
        <v>1399380.6092331577</v>
      </c>
      <c r="JA10" s="122">
        <f t="shared" si="24"/>
        <v>1399380.6092331577</v>
      </c>
      <c r="JB10" s="122">
        <f t="shared" si="24"/>
        <v>1399380.6092331577</v>
      </c>
      <c r="JC10" s="122">
        <f t="shared" si="24"/>
        <v>1399380.6092331577</v>
      </c>
      <c r="JD10" s="122">
        <f t="shared" si="24"/>
        <v>1399380.6092331577</v>
      </c>
      <c r="JE10" s="122">
        <f t="shared" ref="JE10:KF10" si="25">JD10+JE9</f>
        <v>1399380.6092331577</v>
      </c>
      <c r="JF10" s="122">
        <f t="shared" si="25"/>
        <v>1399380.6092331577</v>
      </c>
      <c r="JG10" s="122">
        <f t="shared" si="25"/>
        <v>1399380.6092331577</v>
      </c>
      <c r="JH10" s="122">
        <f t="shared" si="25"/>
        <v>1399380.6092331577</v>
      </c>
      <c r="JI10" s="122">
        <f t="shared" si="25"/>
        <v>1399380.6092331577</v>
      </c>
      <c r="JJ10" s="122">
        <f t="shared" si="25"/>
        <v>1399380.6092331577</v>
      </c>
      <c r="JK10" s="122">
        <f t="shared" si="25"/>
        <v>1399380.6092331577</v>
      </c>
      <c r="JL10" s="122">
        <f t="shared" si="25"/>
        <v>1399380.6092331577</v>
      </c>
      <c r="JM10" s="122">
        <f t="shared" si="25"/>
        <v>1399380.6092331577</v>
      </c>
      <c r="JN10" s="122">
        <f t="shared" si="25"/>
        <v>1399380.6092331577</v>
      </c>
      <c r="JO10" s="122">
        <f t="shared" si="25"/>
        <v>1399380.6092331577</v>
      </c>
      <c r="JP10" s="122">
        <f t="shared" si="25"/>
        <v>1399380.6092331577</v>
      </c>
      <c r="JQ10" s="122">
        <f t="shared" si="25"/>
        <v>1399380.6092331577</v>
      </c>
      <c r="JR10" s="122">
        <f t="shared" si="25"/>
        <v>1399380.6092331577</v>
      </c>
      <c r="JS10" s="122">
        <f t="shared" si="25"/>
        <v>1399380.6092331577</v>
      </c>
      <c r="JT10" s="122">
        <f t="shared" si="25"/>
        <v>1399380.6092331577</v>
      </c>
      <c r="JU10" s="122">
        <f t="shared" si="25"/>
        <v>1399380.6092331577</v>
      </c>
      <c r="JV10" s="122">
        <f t="shared" si="25"/>
        <v>1399380.6092331577</v>
      </c>
      <c r="JW10" s="122">
        <f t="shared" si="25"/>
        <v>1399380.6092331577</v>
      </c>
      <c r="JX10" s="122">
        <f t="shared" si="25"/>
        <v>1399380.6092331577</v>
      </c>
      <c r="JY10" s="122">
        <f t="shared" si="25"/>
        <v>1399380.6092331577</v>
      </c>
      <c r="JZ10" s="122">
        <f t="shared" si="25"/>
        <v>1399380.6092331577</v>
      </c>
      <c r="KA10" s="122">
        <f t="shared" si="25"/>
        <v>1399380.6092331577</v>
      </c>
      <c r="KB10" s="122">
        <f t="shared" si="25"/>
        <v>1399380.6092331577</v>
      </c>
      <c r="KC10" s="122">
        <f t="shared" si="25"/>
        <v>1399380.6092331577</v>
      </c>
      <c r="KD10" s="122">
        <f t="shared" si="25"/>
        <v>1399380.6092331577</v>
      </c>
      <c r="KE10" s="122">
        <f t="shared" si="25"/>
        <v>1399380.6092331577</v>
      </c>
      <c r="KF10" s="122">
        <f t="shared" si="25"/>
        <v>1399380.6092331577</v>
      </c>
    </row>
    <row r="11" spans="1:770" s="114" customFormat="1">
      <c r="A11" s="728"/>
      <c r="B11" s="123" t="s">
        <v>409</v>
      </c>
      <c r="C11" s="124">
        <f>'Revenue Tracking'!F5</f>
        <v>915376.68096541462</v>
      </c>
      <c r="D11" s="124">
        <f>SUM(F11:KF11)</f>
        <v>901896.6809654145</v>
      </c>
      <c r="E11" s="108"/>
      <c r="F11" s="125">
        <f>SUMIFS('Expenditure Breakdown'!$Q$6:$Q$171, 'Expenditure Breakdown'!$W$6:$W$171, "&gt;="&amp;F1,'Expenditure Breakdown'!$W$6:$W$171, "&lt;"&amp;G1)</f>
        <v>0</v>
      </c>
      <c r="G11" s="125">
        <f>SUMIFS('Expenditure Breakdown'!$Q$6:$Q$171, 'Expenditure Breakdown'!$W$6:$W$171, "&gt;="&amp;G1,'Expenditure Breakdown'!$W$6:$W$171, "&lt;"&amp;H1)</f>
        <v>0</v>
      </c>
      <c r="H11" s="125">
        <f>SUMIFS('Expenditure Breakdown'!$Q$6:$Q$171, 'Expenditure Breakdown'!$W$6:$W$171, "&gt;="&amp;H1,'Expenditure Breakdown'!$W$6:$W$171, "&lt;"&amp;I1)</f>
        <v>1742.08</v>
      </c>
      <c r="I11" s="125">
        <f>SUMIFS('Expenditure Breakdown'!$Q$6:$Q$171, 'Expenditure Breakdown'!$W$6:$W$171, "&gt;="&amp;I1,'Expenditure Breakdown'!$W$6:$W$171, "&lt;"&amp;J1)</f>
        <v>0</v>
      </c>
      <c r="J11" s="125">
        <f>SUMIFS('Expenditure Breakdown'!$Q$6:$Q$171, 'Expenditure Breakdown'!$W$6:$W$171, "&gt;="&amp;J1,'Expenditure Breakdown'!$W$6:$W$171, "&lt;"&amp;K1)</f>
        <v>0</v>
      </c>
      <c r="K11" s="125">
        <f>SUMIFS('Expenditure Breakdown'!$Q$6:$Q$171, 'Expenditure Breakdown'!$W$6:$W$171, "&gt;="&amp;K1,'Expenditure Breakdown'!$W$6:$W$171, "&lt;"&amp;L1)</f>
        <v>0</v>
      </c>
      <c r="L11" s="125">
        <f>SUMIFS('Expenditure Breakdown'!$Q$6:$Q$171, 'Expenditure Breakdown'!$W$6:$W$171, "&gt;="&amp;L1,'Expenditure Breakdown'!$W$6:$W$171, "&lt;"&amp;M1)</f>
        <v>9900</v>
      </c>
      <c r="M11" s="125">
        <f>SUMIFS('Expenditure Breakdown'!$Q$6:$Q$171, 'Expenditure Breakdown'!$W$6:$W$171, "&gt;="&amp;M1,'Expenditure Breakdown'!$W$6:$W$171, "&lt;"&amp;N1)</f>
        <v>0</v>
      </c>
      <c r="N11" s="125">
        <f>SUMIFS('Expenditure Breakdown'!$Q$6:$Q$171, 'Expenditure Breakdown'!$W$6:$W$171, "&gt;="&amp;N1,'Expenditure Breakdown'!$W$6:$W$171, "&lt;"&amp;O1)</f>
        <v>2870</v>
      </c>
      <c r="O11" s="125">
        <f>SUMIFS('Expenditure Breakdown'!$Q$6:$Q$171, 'Expenditure Breakdown'!$W$6:$W$171, "&gt;="&amp;O1,'Expenditure Breakdown'!$W$6:$W$171, "&lt;"&amp;P1)</f>
        <v>0</v>
      </c>
      <c r="P11" s="125">
        <f>SUMIFS('Expenditure Breakdown'!$Q$6:$Q$171, 'Expenditure Breakdown'!$W$6:$W$171, "&gt;="&amp;P1,'Expenditure Breakdown'!$W$6:$W$171, "&lt;"&amp;Q1)</f>
        <v>0</v>
      </c>
      <c r="Q11" s="125">
        <f>SUMIFS('Expenditure Breakdown'!$Q$6:$Q$171, 'Expenditure Breakdown'!$W$6:$W$171, "&gt;="&amp;Q1,'Expenditure Breakdown'!$W$6:$W$171, "&lt;"&amp;R1)</f>
        <v>0</v>
      </c>
      <c r="R11" s="125">
        <f>SUMIFS('Expenditure Breakdown'!$Q$6:$Q$171, 'Expenditure Breakdown'!$W$6:$W$171, "&gt;="&amp;R1,'Expenditure Breakdown'!$W$6:$W$171, "&lt;"&amp;S1)</f>
        <v>0</v>
      </c>
      <c r="S11" s="125">
        <f>SUMIFS('Expenditure Breakdown'!$Q$6:$Q$171, 'Expenditure Breakdown'!$W$6:$W$171, "&gt;="&amp;S1,'Expenditure Breakdown'!$W$6:$W$171, "&lt;"&amp;T1)</f>
        <v>0</v>
      </c>
      <c r="T11" s="125">
        <f>SUMIFS('Expenditure Breakdown'!$Q$6:$Q$171, 'Expenditure Breakdown'!$W$6:$W$171, "&gt;="&amp;T1,'Expenditure Breakdown'!$W$6:$W$171, "&lt;"&amp;U1)</f>
        <v>0</v>
      </c>
      <c r="U11" s="125">
        <f>SUMIFS('Expenditure Breakdown'!$Q$6:$Q$171, 'Expenditure Breakdown'!$W$6:$W$171, "&gt;="&amp;U1,'Expenditure Breakdown'!$W$6:$W$171, "&lt;"&amp;V1)</f>
        <v>67791.59</v>
      </c>
      <c r="V11" s="125">
        <f>SUMIFS('Expenditure Breakdown'!$Q$6:$Q$171, 'Expenditure Breakdown'!$W$6:$W$171, "&gt;="&amp;V1,'Expenditure Breakdown'!$W$6:$W$171, "&lt;"&amp;W1)</f>
        <v>525</v>
      </c>
      <c r="W11" s="125">
        <f>SUMIFS('Expenditure Breakdown'!$Q$6:$Q$171, 'Expenditure Breakdown'!$W$6:$W$171, "&gt;="&amp;W1,'Expenditure Breakdown'!$W$6:$W$171, "&lt;"&amp;X1)</f>
        <v>54233.271999999997</v>
      </c>
      <c r="X11" s="125">
        <f>SUMIFS('Expenditure Breakdown'!$Q$6:$Q$171, 'Expenditure Breakdown'!$W$6:$W$171, "&gt;="&amp;X1,'Expenditure Breakdown'!$W$6:$W$171, "&lt;"&amp;Y1)</f>
        <v>0</v>
      </c>
      <c r="Y11" s="125">
        <f>SUMIFS('Expenditure Breakdown'!$Q$6:$Q$171, 'Expenditure Breakdown'!$W$6:$W$171, "&gt;="&amp;Y1,'Expenditure Breakdown'!$W$6:$W$171, "&lt;"&amp;Z1)</f>
        <v>67791.59</v>
      </c>
      <c r="Z11" s="125">
        <f>SUMIFS('Expenditure Breakdown'!$Q$6:$Q$171, 'Expenditure Breakdown'!$W$6:$W$171, "&gt;="&amp;Z1,'Expenditure Breakdown'!$W$6:$W$171, "&lt;"&amp;AA1)</f>
        <v>229162.40096541445</v>
      </c>
      <c r="AA11" s="125">
        <f>SUMIFS('Expenditure Breakdown'!$Q$6:$Q$171, 'Expenditure Breakdown'!$W$6:$W$171, "&gt;="&amp;AA1,'Expenditure Breakdown'!$W$6:$W$171, "&lt;"&amp;AB1)</f>
        <v>74316.590000000011</v>
      </c>
      <c r="AB11" s="125">
        <f>SUMIFS('Expenditure Breakdown'!$Q$6:$Q$171, 'Expenditure Breakdown'!$W$6:$W$171, "&gt;="&amp;AB1,'Expenditure Breakdown'!$W$6:$W$171, "&lt;"&amp;AC1)</f>
        <v>12577.5</v>
      </c>
      <c r="AC11" s="125">
        <f>SUMIFS('Expenditure Breakdown'!$Q$6:$Q$171, 'Expenditure Breakdown'!$W$6:$W$171, "&gt;="&amp;AC1,'Expenditure Breakdown'!$W$6:$W$171, "&lt;"&amp;AD1)</f>
        <v>366378.34</v>
      </c>
      <c r="AD11" s="125">
        <f>SUMIFS('Expenditure Breakdown'!$Q$6:$Q$171, 'Expenditure Breakdown'!$W$6:$W$171, "&gt;="&amp;AD1,'Expenditure Breakdown'!$W$6:$W$171, "&lt;"&amp;AE1)</f>
        <v>13558.317999999999</v>
      </c>
      <c r="AE11" s="125">
        <f>SUMIFS('Expenditure Breakdown'!$Q$6:$Q$171, 'Expenditure Breakdown'!$W$6:$W$171, "&gt;="&amp;AE1,'Expenditure Breakdown'!$W$6:$W$171, "&lt;"&amp;AF1)</f>
        <v>525</v>
      </c>
      <c r="AF11" s="125">
        <f>SUMIFS('Expenditure Breakdown'!$Q$6:$Q$171, 'Expenditure Breakdown'!$W$6:$W$171, "&gt;="&amp;AF1,'Expenditure Breakdown'!$W$6:$W$171, "&lt;"&amp;AG1)</f>
        <v>0</v>
      </c>
      <c r="AG11" s="125">
        <f>SUMIFS('Expenditure Breakdown'!$Q$6:$Q$171, 'Expenditure Breakdown'!$W$6:$W$171, "&gt;="&amp;AG1,'Expenditure Breakdown'!$W$6:$W$171, "&lt;"&amp;AH1)</f>
        <v>0</v>
      </c>
      <c r="AH11" s="125">
        <f>SUMIFS('Expenditure Breakdown'!$Q$6:$Q$171, 'Expenditure Breakdown'!$W$6:$W$171, "&gt;="&amp;AH1,'Expenditure Breakdown'!$W$6:$W$171, "&lt;"&amp;AI1)</f>
        <v>0</v>
      </c>
      <c r="AI11" s="125">
        <f>SUMIFS('Expenditure Breakdown'!$Q$6:$Q$171, 'Expenditure Breakdown'!$W$6:$W$171, "&gt;="&amp;AI1,'Expenditure Breakdown'!$W$6:$W$171, "&lt;"&amp;AJ1)</f>
        <v>525</v>
      </c>
      <c r="AJ11" s="125">
        <f>SUMIFS('Expenditure Breakdown'!$Q$6:$Q$171, 'Expenditure Breakdown'!$W$6:$W$171, "&gt;="&amp;AJ1,'Expenditure Breakdown'!$W$6:$W$171, "&lt;"&amp;AK1)</f>
        <v>0</v>
      </c>
      <c r="AK11" s="125">
        <f>SUMIFS('Expenditure Breakdown'!$Q$6:$Q$171, 'Expenditure Breakdown'!$W$6:$W$171, "&gt;="&amp;AK1,'Expenditure Breakdown'!$W$6:$W$171, "&lt;"&amp;AL1)</f>
        <v>0</v>
      </c>
      <c r="AL11" s="125">
        <f>SUMIFS('Expenditure Breakdown'!$Q$6:$Q$171, 'Expenditure Breakdown'!$W$6:$W$171, "&gt;="&amp;AL1,'Expenditure Breakdown'!$W$6:$W$171, "&lt;"&amp;AM1)</f>
        <v>0</v>
      </c>
      <c r="AM11" s="125">
        <f>SUMIFS('Expenditure Breakdown'!$Q$6:$Q$171, 'Expenditure Breakdown'!$W$6:$W$171, "&gt;="&amp;AM1,'Expenditure Breakdown'!$W$6:$W$171, "&lt;"&amp;AN1)</f>
        <v>0</v>
      </c>
      <c r="AN11" s="125">
        <f>SUMIFS('Expenditure Breakdown'!$Q$6:$Q$171, 'Expenditure Breakdown'!$W$6:$W$171, "&gt;="&amp;AN1,'Expenditure Breakdown'!$W$6:$W$171, "&lt;"&amp;AO1)</f>
        <v>0</v>
      </c>
      <c r="AO11" s="125">
        <f>SUMIFS('Expenditure Breakdown'!$Q$6:$Q$171, 'Expenditure Breakdown'!$W$6:$W$171, "&gt;="&amp;AO1,'Expenditure Breakdown'!$W$6:$W$171, "&lt;"&amp;AP1)</f>
        <v>0</v>
      </c>
      <c r="AP11" s="125">
        <f>SUMIFS('Expenditure Breakdown'!$Q$6:$Q$171, 'Expenditure Breakdown'!$W$6:$W$171, "&gt;="&amp;AP1,'Expenditure Breakdown'!$W$6:$W$171, "&lt;"&amp;AQ1)</f>
        <v>0</v>
      </c>
      <c r="AQ11" s="125">
        <f>SUMIFS('Expenditure Breakdown'!$Q$6:$Q$171, 'Expenditure Breakdown'!$W$6:$W$171, "&gt;="&amp;AQ1,'Expenditure Breakdown'!$W$6:$W$171, "&lt;"&amp;AR1)</f>
        <v>0</v>
      </c>
      <c r="AR11" s="125">
        <f>SUMIFS('Expenditure Breakdown'!$Q$6:$Q$171, 'Expenditure Breakdown'!$W$6:$W$171, "&gt;="&amp;AR1,'Expenditure Breakdown'!$W$6:$W$171, "&lt;"&amp;AS1)</f>
        <v>0</v>
      </c>
      <c r="AS11" s="125">
        <f>SUMIFS('Expenditure Breakdown'!$Q$6:$Q$171, 'Expenditure Breakdown'!$W$6:$W$171, "&gt;="&amp;AS1,'Expenditure Breakdown'!$W$6:$W$171, "&lt;"&amp;AT1)</f>
        <v>0</v>
      </c>
      <c r="AT11" s="125">
        <f>SUMIFS('Expenditure Breakdown'!$Q$6:$Q$171, 'Expenditure Breakdown'!$W$6:$W$171, "&gt;="&amp;AT1,'Expenditure Breakdown'!$W$6:$W$171, "&lt;"&amp;AU1)</f>
        <v>0</v>
      </c>
      <c r="AU11" s="125">
        <f>SUMIFS('Expenditure Breakdown'!$Q$6:$Q$171, 'Expenditure Breakdown'!$W$6:$W$171, "&gt;="&amp;AU1,'Expenditure Breakdown'!$W$6:$W$171, "&lt;"&amp;AV1)</f>
        <v>0</v>
      </c>
      <c r="AV11" s="125">
        <f>SUMIFS('Expenditure Breakdown'!$Q$6:$Q$171, 'Expenditure Breakdown'!$W$6:$W$171, "&gt;="&amp;AV1,'Expenditure Breakdown'!$W$6:$W$171, "&lt;"&amp;AW1)</f>
        <v>0</v>
      </c>
      <c r="AW11" s="125">
        <f>SUMIFS('Expenditure Breakdown'!$Q$6:$Q$171, 'Expenditure Breakdown'!$W$6:$W$171, "&gt;="&amp;AW1,'Expenditure Breakdown'!$W$6:$W$171, "&lt;"&amp;AX1)</f>
        <v>0</v>
      </c>
      <c r="AX11" s="125">
        <f>SUMIFS('Expenditure Breakdown'!$Q$6:$Q$171, 'Expenditure Breakdown'!$W$6:$W$171, "&gt;="&amp;AX1,'Expenditure Breakdown'!$W$6:$W$171, "&lt;"&amp;AY1)</f>
        <v>0</v>
      </c>
      <c r="AY11" s="125">
        <f>SUMIFS('Expenditure Breakdown'!$Q$6:$Q$171, 'Expenditure Breakdown'!$W$6:$W$171, "&gt;="&amp;AY1,'Expenditure Breakdown'!$W$6:$W$171, "&lt;"&amp;AZ1)</f>
        <v>0</v>
      </c>
      <c r="AZ11" s="125">
        <f>SUMIFS('Expenditure Breakdown'!$Q$6:$Q$171, 'Expenditure Breakdown'!$W$6:$W$171, "&gt;="&amp;AZ1,'Expenditure Breakdown'!$W$6:$W$171, "&lt;"&amp;BA1)</f>
        <v>0</v>
      </c>
      <c r="BA11" s="125">
        <f>SUMIFS('Expenditure Breakdown'!$Q$6:$Q$171, 'Expenditure Breakdown'!$W$6:$W$171, "&gt;="&amp;BA1,'Expenditure Breakdown'!$W$6:$W$171, "&lt;"&amp;BB1)</f>
        <v>0</v>
      </c>
      <c r="BB11" s="125">
        <f>SUMIFS('Expenditure Breakdown'!$Q$6:$Q$171, 'Expenditure Breakdown'!$W$6:$W$171, "&gt;="&amp;BB1,'Expenditure Breakdown'!$W$6:$W$171, "&lt;"&amp;BC1)</f>
        <v>0</v>
      </c>
      <c r="BC11" s="125">
        <f>SUMIFS('Expenditure Breakdown'!$Q$6:$Q$171, 'Expenditure Breakdown'!$W$6:$W$171, "&gt;="&amp;BC1,'Expenditure Breakdown'!$W$6:$W$171, "&lt;"&amp;BD1)</f>
        <v>0</v>
      </c>
      <c r="BD11" s="125">
        <f>SUMIFS('Expenditure Breakdown'!$Q$6:$Q$171, 'Expenditure Breakdown'!$W$6:$W$171, "&gt;="&amp;BD1,'Expenditure Breakdown'!$W$6:$W$171, "&lt;"&amp;BE1)</f>
        <v>0</v>
      </c>
      <c r="BE11" s="125">
        <f>SUMIFS('Expenditure Breakdown'!$Q$6:$Q$171, 'Expenditure Breakdown'!$W$6:$W$171, "&gt;="&amp;BE1,'Expenditure Breakdown'!$W$6:$W$171, "&lt;"&amp;BF1)</f>
        <v>0</v>
      </c>
      <c r="BF11" s="125">
        <f>SUMIFS('Expenditure Breakdown'!$Q$6:$Q$171, 'Expenditure Breakdown'!$W$6:$W$171, "&gt;="&amp;BF1,'Expenditure Breakdown'!$W$6:$W$171, "&lt;"&amp;BG1)</f>
        <v>0</v>
      </c>
      <c r="BG11" s="125">
        <f>SUMIFS('Expenditure Breakdown'!$Q$6:$Q$171, 'Expenditure Breakdown'!$W$6:$W$171, "&gt;="&amp;BG1,'Expenditure Breakdown'!$W$6:$W$171, "&lt;"&amp;BH1)</f>
        <v>0</v>
      </c>
      <c r="BH11" s="125">
        <f>SUMIFS('Expenditure Breakdown'!$Q$6:$Q$171, 'Expenditure Breakdown'!$W$6:$W$171, "&gt;="&amp;BH1,'Expenditure Breakdown'!$W$6:$W$171, "&lt;"&amp;BI1)</f>
        <v>0</v>
      </c>
      <c r="BI11" s="125">
        <f>SUMIFS('Expenditure Breakdown'!$Q$6:$Q$171, 'Expenditure Breakdown'!$W$6:$W$171, "&gt;="&amp;BI1,'Expenditure Breakdown'!$W$6:$W$171, "&lt;"&amp;BJ1)</f>
        <v>0</v>
      </c>
      <c r="BJ11" s="125">
        <f>SUMIFS('Expenditure Breakdown'!$Q$6:$Q$171, 'Expenditure Breakdown'!$W$6:$W$171, "&gt;="&amp;BJ1,'Expenditure Breakdown'!$W$6:$W$171, "&lt;"&amp;BK1)</f>
        <v>0</v>
      </c>
      <c r="BK11" s="125">
        <f>SUMIFS('Expenditure Breakdown'!$Q$6:$Q$171, 'Expenditure Breakdown'!$W$6:$W$171, "&gt;="&amp;BK1,'Expenditure Breakdown'!$W$6:$W$171, "&lt;"&amp;BL1)</f>
        <v>0</v>
      </c>
      <c r="BL11" s="125">
        <f>SUMIFS('Expenditure Breakdown'!$Q$6:$Q$171, 'Expenditure Breakdown'!$W$6:$W$171, "&gt;="&amp;BL1,'Expenditure Breakdown'!$W$6:$W$171, "&lt;"&amp;BM1)</f>
        <v>0</v>
      </c>
      <c r="BM11" s="125">
        <f>SUMIFS('Expenditure Breakdown'!$Q$6:$Q$171, 'Expenditure Breakdown'!$W$6:$W$171, "&gt;="&amp;BM1,'Expenditure Breakdown'!$W$6:$W$171, "&lt;"&amp;BN1)</f>
        <v>0</v>
      </c>
      <c r="BN11" s="125">
        <f>SUMIFS('Expenditure Breakdown'!$Q$6:$Q$171, 'Expenditure Breakdown'!$W$6:$W$171, "&gt;="&amp;BN1,'Expenditure Breakdown'!$W$6:$W$171, "&lt;"&amp;BO1)</f>
        <v>0</v>
      </c>
      <c r="BO11" s="125">
        <f>SUMIFS('Expenditure Breakdown'!$Q$6:$Q$171, 'Expenditure Breakdown'!$W$6:$W$171, "&gt;="&amp;BO1,'Expenditure Breakdown'!$W$6:$W$171, "&lt;"&amp;BP1)</f>
        <v>0</v>
      </c>
      <c r="BP11" s="125">
        <f>SUMIFS('Expenditure Breakdown'!$Q$6:$Q$171, 'Expenditure Breakdown'!$W$6:$W$171, "&gt;="&amp;BP1,'Expenditure Breakdown'!$W$6:$W$171, "&lt;"&amp;BQ1)</f>
        <v>0</v>
      </c>
      <c r="BQ11" s="125">
        <f>SUMIFS('Expenditure Breakdown'!$Q$6:$Q$171, 'Expenditure Breakdown'!$W$6:$W$171, "&gt;="&amp;BQ1,'Expenditure Breakdown'!$W$6:$W$171, "&lt;"&amp;BR1)</f>
        <v>0</v>
      </c>
      <c r="BR11" s="125">
        <f>SUMIFS('Expenditure Breakdown'!$Q$6:$Q$171, 'Expenditure Breakdown'!$W$6:$W$171, "&gt;="&amp;BR1,'Expenditure Breakdown'!$W$6:$W$171, "&lt;"&amp;BS1)</f>
        <v>0</v>
      </c>
      <c r="BS11" s="125">
        <f>SUMIFS('Expenditure Breakdown'!$Q$6:$Q$171, 'Expenditure Breakdown'!$W$6:$W$171, "&gt;="&amp;BS1,'Expenditure Breakdown'!$W$6:$W$171, "&lt;"&amp;BT1)</f>
        <v>0</v>
      </c>
      <c r="BT11" s="125">
        <f>SUMIFS('Expenditure Breakdown'!$Q$6:$Q$171, 'Expenditure Breakdown'!$W$6:$W$171, "&gt;="&amp;BT1,'Expenditure Breakdown'!$W$6:$W$171, "&lt;"&amp;BU1)</f>
        <v>0</v>
      </c>
      <c r="BU11" s="125">
        <f>SUMIFS('Expenditure Breakdown'!$Q$6:$Q$171, 'Expenditure Breakdown'!$W$6:$W$171, "&gt;="&amp;BU1,'Expenditure Breakdown'!$W$6:$W$171, "&lt;"&amp;BV1)</f>
        <v>0</v>
      </c>
      <c r="BV11" s="125">
        <f>SUMIFS('Expenditure Breakdown'!$Q$6:$Q$171, 'Expenditure Breakdown'!$W$6:$W$171, "&gt;="&amp;BV1,'Expenditure Breakdown'!$W$6:$W$171, "&lt;"&amp;BW1)</f>
        <v>0</v>
      </c>
      <c r="BW11" s="125">
        <f>SUMIFS('Expenditure Breakdown'!$Q$6:$Q$171, 'Expenditure Breakdown'!$W$6:$W$171, "&gt;="&amp;BW1,'Expenditure Breakdown'!$W$6:$W$171, "&lt;"&amp;BX1)</f>
        <v>0</v>
      </c>
      <c r="BX11" s="125">
        <f>SUMIFS('Expenditure Breakdown'!$Q$6:$Q$171, 'Expenditure Breakdown'!$W$6:$W$171, "&gt;="&amp;BX1,'Expenditure Breakdown'!$W$6:$W$171, "&lt;"&amp;BY1)</f>
        <v>0</v>
      </c>
      <c r="BY11" s="125">
        <f>SUMIFS('Expenditure Breakdown'!$Q$6:$Q$171, 'Expenditure Breakdown'!$W$6:$W$171, "&gt;="&amp;BY1,'Expenditure Breakdown'!$W$6:$W$171, "&lt;"&amp;BZ1)</f>
        <v>0</v>
      </c>
      <c r="BZ11" s="125">
        <f>SUMIFS('Expenditure Breakdown'!$Q$6:$Q$171, 'Expenditure Breakdown'!$W$6:$W$171, "&gt;="&amp;BZ1,'Expenditure Breakdown'!$W$6:$W$171, "&lt;"&amp;CA1)</f>
        <v>0</v>
      </c>
      <c r="CA11" s="125">
        <f>SUMIFS('Expenditure Breakdown'!$Q$6:$Q$171, 'Expenditure Breakdown'!$W$6:$W$171, "&gt;="&amp;CA1,'Expenditure Breakdown'!$W$6:$W$171, "&lt;"&amp;CB1)</f>
        <v>0</v>
      </c>
      <c r="CB11" s="125">
        <f>SUMIFS('Expenditure Breakdown'!$Q$6:$Q$171, 'Expenditure Breakdown'!$W$6:$W$171, "&gt;="&amp;CB1,'Expenditure Breakdown'!$W$6:$W$171, "&lt;"&amp;CC1)</f>
        <v>0</v>
      </c>
      <c r="CC11" s="125">
        <f>SUMIFS('Expenditure Breakdown'!$Q$6:$Q$171, 'Expenditure Breakdown'!$W$6:$W$171, "&gt;="&amp;CC1,'Expenditure Breakdown'!$W$6:$W$171, "&lt;"&amp;CD1)</f>
        <v>0</v>
      </c>
      <c r="CD11" s="125">
        <f>SUMIFS('Expenditure Breakdown'!$Q$6:$Q$171, 'Expenditure Breakdown'!$W$6:$W$171, "&gt;="&amp;CD1,'Expenditure Breakdown'!$W$6:$W$171, "&lt;"&amp;CE1)</f>
        <v>0</v>
      </c>
      <c r="CE11" s="125">
        <f>SUMIFS('Expenditure Breakdown'!$Q$6:$Q$171, 'Expenditure Breakdown'!$W$6:$W$171, "&gt;="&amp;CE1,'Expenditure Breakdown'!$W$6:$W$171, "&lt;"&amp;CF1)</f>
        <v>0</v>
      </c>
      <c r="CF11" s="125">
        <f>SUMIFS('Expenditure Breakdown'!$Q$6:$Q$171, 'Expenditure Breakdown'!$W$6:$W$171, "&gt;="&amp;CF1,'Expenditure Breakdown'!$W$6:$W$171, "&lt;"&amp;CG1)</f>
        <v>0</v>
      </c>
      <c r="CG11" s="125">
        <f>SUMIFS('Expenditure Breakdown'!$Q$6:$Q$171, 'Expenditure Breakdown'!$W$6:$W$171, "&gt;="&amp;CG1,'Expenditure Breakdown'!$W$6:$W$171, "&lt;"&amp;CH1)</f>
        <v>0</v>
      </c>
      <c r="CH11" s="125">
        <f>SUMIFS('Expenditure Breakdown'!$Q$6:$Q$171, 'Expenditure Breakdown'!$W$6:$W$171, "&gt;="&amp;CH1,'Expenditure Breakdown'!$W$6:$W$171, "&lt;"&amp;CI1)</f>
        <v>0</v>
      </c>
      <c r="CI11" s="125">
        <f>SUMIFS('Expenditure Breakdown'!$Q$6:$Q$171, 'Expenditure Breakdown'!$W$6:$W$171, "&gt;="&amp;CI1,'Expenditure Breakdown'!$W$6:$W$171, "&lt;"&amp;CJ1)</f>
        <v>0</v>
      </c>
      <c r="CJ11" s="125">
        <f>SUMIFS('Expenditure Breakdown'!$Q$6:$Q$171, 'Expenditure Breakdown'!$W$6:$W$171, "&gt;="&amp;CJ1,'Expenditure Breakdown'!$W$6:$W$171, "&lt;"&amp;CK1)</f>
        <v>0</v>
      </c>
      <c r="CK11" s="125">
        <f>SUMIFS('Expenditure Breakdown'!$Q$6:$Q$171, 'Expenditure Breakdown'!$W$6:$W$171, "&gt;="&amp;CK1,'Expenditure Breakdown'!$W$6:$W$171, "&lt;"&amp;CL1)</f>
        <v>0</v>
      </c>
      <c r="CL11" s="125">
        <f>SUMIFS('Expenditure Breakdown'!$Q$6:$Q$171, 'Expenditure Breakdown'!$W$6:$W$171, "&gt;="&amp;CL1,'Expenditure Breakdown'!$W$6:$W$171, "&lt;"&amp;CM1)</f>
        <v>0</v>
      </c>
      <c r="CM11" s="125">
        <f>SUMIFS('Expenditure Breakdown'!$Q$6:$Q$171, 'Expenditure Breakdown'!$W$6:$W$171, "&gt;="&amp;CM1,'Expenditure Breakdown'!$W$6:$W$171, "&lt;"&amp;CN1)</f>
        <v>0</v>
      </c>
      <c r="CN11" s="125">
        <f>SUMIFS('Expenditure Breakdown'!$Q$6:$Q$171, 'Expenditure Breakdown'!$W$6:$W$171, "&gt;="&amp;CN1,'Expenditure Breakdown'!$W$6:$W$171, "&lt;"&amp;CO1)</f>
        <v>0</v>
      </c>
      <c r="CO11" s="125">
        <f>SUMIFS('Expenditure Breakdown'!$Q$6:$Q$171, 'Expenditure Breakdown'!$W$6:$W$171, "&gt;="&amp;CO1,'Expenditure Breakdown'!$W$6:$W$171, "&lt;"&amp;CP1)</f>
        <v>0</v>
      </c>
      <c r="CP11" s="125">
        <f>SUMIFS('Expenditure Breakdown'!$Q$6:$Q$171, 'Expenditure Breakdown'!$W$6:$W$171, "&gt;="&amp;CP1,'Expenditure Breakdown'!$W$6:$W$171, "&lt;"&amp;CQ1)</f>
        <v>0</v>
      </c>
      <c r="CQ11" s="125">
        <f>SUMIFS('Expenditure Breakdown'!$Q$6:$Q$171, 'Expenditure Breakdown'!$W$6:$W$171, "&gt;="&amp;CQ1,'Expenditure Breakdown'!$W$6:$W$171, "&lt;"&amp;CR1)</f>
        <v>0</v>
      </c>
      <c r="CR11" s="125">
        <f>SUMIFS('Expenditure Breakdown'!$Q$6:$Q$171, 'Expenditure Breakdown'!$W$6:$W$171, "&gt;="&amp;CR1,'Expenditure Breakdown'!$W$6:$W$171, "&lt;"&amp;CS1)</f>
        <v>0</v>
      </c>
      <c r="CS11" s="125">
        <f>SUMIFS('Expenditure Breakdown'!$Q$6:$Q$171, 'Expenditure Breakdown'!$W$6:$W$171, "&gt;="&amp;CS1,'Expenditure Breakdown'!$W$6:$W$171, "&lt;"&amp;CT1)</f>
        <v>0</v>
      </c>
      <c r="CT11" s="125">
        <f>SUMIFS('Expenditure Breakdown'!$Q$6:$Q$171, 'Expenditure Breakdown'!$W$6:$W$171, "&gt;="&amp;CT1,'Expenditure Breakdown'!$W$6:$W$171, "&lt;"&amp;CU1)</f>
        <v>0</v>
      </c>
      <c r="CU11" s="125">
        <f>SUMIFS('Expenditure Breakdown'!$Q$6:$Q$171, 'Expenditure Breakdown'!$W$6:$W$171, "&gt;="&amp;CU1,'Expenditure Breakdown'!$W$6:$W$171, "&lt;"&amp;CV1)</f>
        <v>0</v>
      </c>
      <c r="CV11" s="125">
        <f>SUMIFS('Expenditure Breakdown'!$Q$6:$Q$171, 'Expenditure Breakdown'!$W$6:$W$171, "&gt;="&amp;CV1,'Expenditure Breakdown'!$W$6:$W$171, "&lt;"&amp;CW1)</f>
        <v>0</v>
      </c>
      <c r="CW11" s="125">
        <f>SUMIFS('Expenditure Breakdown'!$Q$6:$Q$171, 'Expenditure Breakdown'!$W$6:$W$171, "&gt;="&amp;CW1,'Expenditure Breakdown'!$W$6:$W$171, "&lt;"&amp;CX1)</f>
        <v>0</v>
      </c>
      <c r="CX11" s="125">
        <f>SUMIFS('Expenditure Breakdown'!$Q$6:$Q$171, 'Expenditure Breakdown'!$W$6:$W$171, "&gt;="&amp;CX1,'Expenditure Breakdown'!$W$6:$W$171, "&lt;"&amp;CY1)</f>
        <v>0</v>
      </c>
      <c r="CY11" s="125">
        <f>SUMIFS('Expenditure Breakdown'!$Q$6:$Q$171, 'Expenditure Breakdown'!$W$6:$W$171, "&gt;="&amp;CY1,'Expenditure Breakdown'!$W$6:$W$171, "&lt;"&amp;CZ1)</f>
        <v>0</v>
      </c>
      <c r="CZ11" s="125">
        <f>SUMIFS('Expenditure Breakdown'!$Q$6:$Q$171, 'Expenditure Breakdown'!$W$6:$W$171, "&gt;="&amp;CZ1,'Expenditure Breakdown'!$W$6:$W$171, "&lt;"&amp;DA1)</f>
        <v>0</v>
      </c>
      <c r="DA11" s="125">
        <f>SUMIFS('Expenditure Breakdown'!$Q$6:$Q$171, 'Expenditure Breakdown'!$W$6:$W$171, "&gt;="&amp;DA1,'Expenditure Breakdown'!$W$6:$W$171, "&lt;"&amp;DB1)</f>
        <v>0</v>
      </c>
      <c r="DB11" s="125">
        <f>SUMIFS('Expenditure Breakdown'!$Q$6:$Q$171, 'Expenditure Breakdown'!$W$6:$W$171, "&gt;="&amp;DB1,'Expenditure Breakdown'!$W$6:$W$171, "&lt;"&amp;DC1)</f>
        <v>0</v>
      </c>
      <c r="DC11" s="125">
        <f>SUMIFS('Expenditure Breakdown'!$Q$6:$Q$171, 'Expenditure Breakdown'!$W$6:$W$171, "&gt;="&amp;DC1,'Expenditure Breakdown'!$W$6:$W$171, "&lt;"&amp;DD1)</f>
        <v>0</v>
      </c>
      <c r="DD11" s="125">
        <f>SUMIFS('Expenditure Breakdown'!$Q$6:$Q$171, 'Expenditure Breakdown'!$W$6:$W$171, "&gt;="&amp;DD1,'Expenditure Breakdown'!$W$6:$W$171, "&lt;"&amp;DE1)</f>
        <v>0</v>
      </c>
      <c r="DE11" s="125">
        <f>SUMIFS('Expenditure Breakdown'!$Q$6:$Q$171, 'Expenditure Breakdown'!$W$6:$W$171, "&gt;="&amp;DE1,'Expenditure Breakdown'!$W$6:$W$171, "&lt;"&amp;DF1)</f>
        <v>0</v>
      </c>
      <c r="DF11" s="125">
        <f>SUMIFS('Expenditure Breakdown'!$Q$6:$Q$171, 'Expenditure Breakdown'!$W$6:$W$171, "&gt;="&amp;DF1,'Expenditure Breakdown'!$W$6:$W$171, "&lt;"&amp;DG1)</f>
        <v>0</v>
      </c>
      <c r="DG11" s="125">
        <f>SUMIFS('Expenditure Breakdown'!$Q$6:$Q$171, 'Expenditure Breakdown'!$W$6:$W$171, "&gt;="&amp;DG1,'Expenditure Breakdown'!$W$6:$W$171, "&lt;"&amp;DH1)</f>
        <v>0</v>
      </c>
      <c r="DH11" s="125">
        <f>SUMIFS('Expenditure Breakdown'!$Q$6:$Q$171, 'Expenditure Breakdown'!$W$6:$W$171, "&gt;="&amp;DH1,'Expenditure Breakdown'!$W$6:$W$171, "&lt;"&amp;DI1)</f>
        <v>0</v>
      </c>
      <c r="DI11" s="125">
        <f>SUMIFS('Expenditure Breakdown'!$Q$6:$Q$171, 'Expenditure Breakdown'!$W$6:$W$171, "&gt;="&amp;DI1,'Expenditure Breakdown'!$W$6:$W$171, "&lt;"&amp;DJ1)</f>
        <v>0</v>
      </c>
      <c r="DJ11" s="125">
        <f>SUMIFS('Expenditure Breakdown'!$Q$6:$Q$171, 'Expenditure Breakdown'!$W$6:$W$171, "&gt;="&amp;DJ1,'Expenditure Breakdown'!$W$6:$W$171, "&lt;"&amp;DK1)</f>
        <v>0</v>
      </c>
      <c r="DK11" s="125">
        <f>SUMIFS('Expenditure Breakdown'!$Q$6:$Q$171, 'Expenditure Breakdown'!$W$6:$W$171, "&gt;="&amp;DK1,'Expenditure Breakdown'!$W$6:$W$171, "&lt;"&amp;DL1)</f>
        <v>0</v>
      </c>
      <c r="DL11" s="125">
        <f>SUMIFS('Expenditure Breakdown'!$Q$6:$Q$171, 'Expenditure Breakdown'!$W$6:$W$171, "&gt;="&amp;DL1,'Expenditure Breakdown'!$W$6:$W$171, "&lt;"&amp;DM1)</f>
        <v>0</v>
      </c>
      <c r="DM11" s="125">
        <f>SUMIFS('Expenditure Breakdown'!$Q$6:$Q$171, 'Expenditure Breakdown'!$W$6:$W$171, "&gt;="&amp;DM1,'Expenditure Breakdown'!$W$6:$W$171, "&lt;"&amp;DN1)</f>
        <v>0</v>
      </c>
      <c r="DN11" s="125">
        <f>SUMIFS('Expenditure Breakdown'!$Q$6:$Q$171, 'Expenditure Breakdown'!$W$6:$W$171, "&gt;="&amp;DN1,'Expenditure Breakdown'!$W$6:$W$171, "&lt;"&amp;DO1)</f>
        <v>0</v>
      </c>
      <c r="DO11" s="125">
        <f>SUMIFS('Expenditure Breakdown'!$Q$6:$Q$171, 'Expenditure Breakdown'!$W$6:$W$171, "&gt;="&amp;DO1,'Expenditure Breakdown'!$W$6:$W$171, "&lt;"&amp;DP1)</f>
        <v>0</v>
      </c>
      <c r="DP11" s="125">
        <f>SUMIFS('Expenditure Breakdown'!$Q$6:$Q$171, 'Expenditure Breakdown'!$W$6:$W$171, "&gt;="&amp;DP1,'Expenditure Breakdown'!$W$6:$W$171, "&lt;"&amp;DQ1)</f>
        <v>0</v>
      </c>
      <c r="DQ11" s="125">
        <f>SUMIFS('Expenditure Breakdown'!$Q$6:$Q$171, 'Expenditure Breakdown'!$W$6:$W$171, "&gt;="&amp;DQ1,'Expenditure Breakdown'!$W$6:$W$171, "&lt;"&amp;DR1)</f>
        <v>0</v>
      </c>
      <c r="DR11" s="125">
        <f>SUMIFS('Expenditure Breakdown'!$Q$6:$Q$171, 'Expenditure Breakdown'!$W$6:$W$171, "&gt;="&amp;DR1,'Expenditure Breakdown'!$W$6:$W$171, "&lt;"&amp;DS1)</f>
        <v>0</v>
      </c>
      <c r="DS11" s="125">
        <f>SUMIFS('Expenditure Breakdown'!$Q$6:$Q$171, 'Expenditure Breakdown'!$W$6:$W$171, "&gt;="&amp;DS1,'Expenditure Breakdown'!$W$6:$W$171, "&lt;"&amp;DT1)</f>
        <v>0</v>
      </c>
      <c r="DT11" s="125">
        <f>SUMIFS('Expenditure Breakdown'!$Q$6:$Q$171, 'Expenditure Breakdown'!$W$6:$W$171, "&gt;="&amp;DT1,'Expenditure Breakdown'!$W$6:$W$171, "&lt;"&amp;DU1)</f>
        <v>0</v>
      </c>
      <c r="DU11" s="125">
        <f>SUMIFS('Expenditure Breakdown'!$Q$6:$Q$171, 'Expenditure Breakdown'!$W$6:$W$171, "&gt;="&amp;DU1,'Expenditure Breakdown'!$W$6:$W$171, "&lt;"&amp;DV1)</f>
        <v>0</v>
      </c>
      <c r="DV11" s="125">
        <f>SUMIFS('Expenditure Breakdown'!$Q$6:$Q$171, 'Expenditure Breakdown'!$W$6:$W$171, "&gt;="&amp;DV1,'Expenditure Breakdown'!$W$6:$W$171, "&lt;"&amp;DW1)</f>
        <v>0</v>
      </c>
      <c r="DW11" s="125">
        <f>SUMIFS('Expenditure Breakdown'!$Q$6:$Q$171, 'Expenditure Breakdown'!$W$6:$W$171, "&gt;="&amp;DW1,'Expenditure Breakdown'!$W$6:$W$171, "&lt;"&amp;DX1)</f>
        <v>0</v>
      </c>
      <c r="DX11" s="125">
        <f>SUMIFS('Expenditure Breakdown'!$Q$6:$Q$171, 'Expenditure Breakdown'!$W$6:$W$171, "&gt;="&amp;DX1,'Expenditure Breakdown'!$W$6:$W$171, "&lt;"&amp;DY1)</f>
        <v>0</v>
      </c>
      <c r="DY11" s="125">
        <f>SUMIFS('Expenditure Breakdown'!$Q$6:$Q$171, 'Expenditure Breakdown'!$W$6:$W$171, "&gt;="&amp;DY1,'Expenditure Breakdown'!$W$6:$W$171, "&lt;"&amp;DZ1)</f>
        <v>0</v>
      </c>
      <c r="DZ11" s="125">
        <f>SUMIFS('Expenditure Breakdown'!$Q$6:$Q$171, 'Expenditure Breakdown'!$W$6:$W$171, "&gt;="&amp;DZ1,'Expenditure Breakdown'!$W$6:$W$171, "&lt;"&amp;EA1)</f>
        <v>0</v>
      </c>
      <c r="EA11" s="125">
        <f>SUMIFS('Expenditure Breakdown'!$Q$6:$Q$171, 'Expenditure Breakdown'!$W$6:$W$171, "&gt;="&amp;EA1,'Expenditure Breakdown'!$W$6:$W$171, "&lt;"&amp;EB1)</f>
        <v>0</v>
      </c>
      <c r="EB11" s="125">
        <f>SUMIFS('Expenditure Breakdown'!$Q$6:$Q$171, 'Expenditure Breakdown'!$W$6:$W$171, "&gt;="&amp;EB1,'Expenditure Breakdown'!$W$6:$W$171, "&lt;"&amp;EC1)</f>
        <v>0</v>
      </c>
      <c r="EC11" s="125">
        <f>SUMIFS('Expenditure Breakdown'!$Q$6:$Q$171, 'Expenditure Breakdown'!$W$6:$W$171, "&gt;="&amp;EC1,'Expenditure Breakdown'!$W$6:$W$171, "&lt;"&amp;ED1)</f>
        <v>0</v>
      </c>
      <c r="ED11" s="125">
        <f>SUMIFS('Expenditure Breakdown'!$Q$6:$Q$171, 'Expenditure Breakdown'!$W$6:$W$171, "&gt;="&amp;ED1,'Expenditure Breakdown'!$W$6:$W$171, "&lt;"&amp;EE1)</f>
        <v>0</v>
      </c>
      <c r="EE11" s="125">
        <f>SUMIFS('Expenditure Breakdown'!$Q$6:$Q$171, 'Expenditure Breakdown'!$W$6:$W$171, "&gt;="&amp;EE1,'Expenditure Breakdown'!$W$6:$W$171, "&lt;"&amp;EF1)</f>
        <v>0</v>
      </c>
      <c r="EF11" s="125">
        <f>SUMIFS('Expenditure Breakdown'!$Q$6:$Q$171, 'Expenditure Breakdown'!$W$6:$W$171, "&gt;="&amp;EF1,'Expenditure Breakdown'!$W$6:$W$171, "&lt;"&amp;EG1)</f>
        <v>0</v>
      </c>
      <c r="EG11" s="125">
        <f>SUMIFS('Expenditure Breakdown'!$Q$6:$Q$171, 'Expenditure Breakdown'!$W$6:$W$171, "&gt;="&amp;EG1,'Expenditure Breakdown'!$W$6:$W$171, "&lt;"&amp;EH1)</f>
        <v>0</v>
      </c>
      <c r="EH11" s="125">
        <f>SUMIFS('Expenditure Breakdown'!$Q$6:$Q$171, 'Expenditure Breakdown'!$W$6:$W$171, "&gt;="&amp;EH1,'Expenditure Breakdown'!$W$6:$W$171, "&lt;"&amp;EI1)</f>
        <v>0</v>
      </c>
      <c r="EI11" s="125">
        <f>SUMIFS('Expenditure Breakdown'!$Q$6:$Q$171, 'Expenditure Breakdown'!$W$6:$W$171, "&gt;="&amp;EI1,'Expenditure Breakdown'!$W$6:$W$171, "&lt;"&amp;EJ1)</f>
        <v>0</v>
      </c>
      <c r="EJ11" s="125">
        <f>SUMIFS('Expenditure Breakdown'!$Q$6:$Q$171, 'Expenditure Breakdown'!$W$6:$W$171, "&gt;="&amp;EJ1,'Expenditure Breakdown'!$W$6:$W$171, "&lt;"&amp;EK1)</f>
        <v>0</v>
      </c>
      <c r="EK11" s="125">
        <f>SUMIFS('Expenditure Breakdown'!$Q$6:$Q$171, 'Expenditure Breakdown'!$W$6:$W$171, "&gt;="&amp;EK1,'Expenditure Breakdown'!$W$6:$W$171, "&lt;"&amp;EL1)</f>
        <v>0</v>
      </c>
      <c r="EL11" s="125">
        <f>SUMIFS('Expenditure Breakdown'!$Q$6:$Q$171, 'Expenditure Breakdown'!$W$6:$W$171, "&gt;="&amp;EL1,'Expenditure Breakdown'!$W$6:$W$171, "&lt;"&amp;EM1)</f>
        <v>0</v>
      </c>
      <c r="EM11" s="125">
        <f>SUMIFS('Expenditure Breakdown'!$Q$6:$Q$171, 'Expenditure Breakdown'!$W$6:$W$171, "&gt;="&amp;EM1,'Expenditure Breakdown'!$W$6:$W$171, "&lt;"&amp;EN1)</f>
        <v>0</v>
      </c>
      <c r="EN11" s="125">
        <f>SUMIFS('Expenditure Breakdown'!$Q$6:$Q$171, 'Expenditure Breakdown'!$W$6:$W$171, "&gt;="&amp;EN1,'Expenditure Breakdown'!$W$6:$W$171, "&lt;"&amp;EO1)</f>
        <v>0</v>
      </c>
      <c r="EO11" s="125">
        <f>SUMIFS('Expenditure Breakdown'!$Q$6:$Q$171, 'Expenditure Breakdown'!$W$6:$W$171, "&gt;="&amp;EO1,'Expenditure Breakdown'!$W$6:$W$171, "&lt;"&amp;EP1)</f>
        <v>0</v>
      </c>
      <c r="EP11" s="125">
        <f>SUMIFS('Expenditure Breakdown'!$Q$6:$Q$171, 'Expenditure Breakdown'!$W$6:$W$171, "&gt;="&amp;EP1,'Expenditure Breakdown'!$W$6:$W$171, "&lt;"&amp;EQ1)</f>
        <v>0</v>
      </c>
      <c r="EQ11" s="125">
        <f>SUMIFS('Expenditure Breakdown'!$Q$6:$Q$171, 'Expenditure Breakdown'!$W$6:$W$171, "&gt;="&amp;EQ1,'Expenditure Breakdown'!$W$6:$W$171, "&lt;"&amp;ER1)</f>
        <v>0</v>
      </c>
      <c r="ER11" s="125">
        <f>SUMIFS('Expenditure Breakdown'!$Q$6:$Q$171, 'Expenditure Breakdown'!$W$6:$W$171, "&gt;="&amp;ER1,'Expenditure Breakdown'!$W$6:$W$171, "&lt;"&amp;ES1)</f>
        <v>0</v>
      </c>
      <c r="ES11" s="125">
        <f>SUMIFS('Expenditure Breakdown'!$Q$6:$Q$171, 'Expenditure Breakdown'!$W$6:$W$171, "&gt;="&amp;ES1,'Expenditure Breakdown'!$W$6:$W$171, "&lt;"&amp;ET1)</f>
        <v>0</v>
      </c>
      <c r="ET11" s="125">
        <f>SUMIFS('Expenditure Breakdown'!$Q$6:$Q$171, 'Expenditure Breakdown'!$W$6:$W$171, "&gt;="&amp;ET1,'Expenditure Breakdown'!$W$6:$W$171, "&lt;"&amp;EU1)</f>
        <v>0</v>
      </c>
      <c r="EU11" s="125">
        <f>SUMIFS('Expenditure Breakdown'!$Q$6:$Q$171, 'Expenditure Breakdown'!$W$6:$W$171, "&gt;="&amp;EU1,'Expenditure Breakdown'!$W$6:$W$171, "&lt;"&amp;EV1)</f>
        <v>0</v>
      </c>
      <c r="EV11" s="125">
        <f>SUMIFS('Expenditure Breakdown'!$Q$6:$Q$171, 'Expenditure Breakdown'!$W$6:$W$171, "&gt;="&amp;EV1,'Expenditure Breakdown'!$W$6:$W$171, "&lt;"&amp;EW1)</f>
        <v>0</v>
      </c>
      <c r="EW11" s="125">
        <f>SUMIFS('Expenditure Breakdown'!$Q$6:$Q$171, 'Expenditure Breakdown'!$W$6:$W$171, "&gt;="&amp;EW1,'Expenditure Breakdown'!$W$6:$W$171, "&lt;"&amp;EX1)</f>
        <v>0</v>
      </c>
      <c r="EX11" s="125">
        <f>SUMIFS('Expenditure Breakdown'!$Q$6:$Q$171, 'Expenditure Breakdown'!$W$6:$W$171, "&gt;="&amp;EX1,'Expenditure Breakdown'!$W$6:$W$171, "&lt;"&amp;EY1)</f>
        <v>0</v>
      </c>
      <c r="EY11" s="125">
        <f>SUMIFS('Expenditure Breakdown'!$Q$6:$Q$171, 'Expenditure Breakdown'!$W$6:$W$171, "&gt;="&amp;EY1,'Expenditure Breakdown'!$W$6:$W$171, "&lt;"&amp;EZ1)</f>
        <v>0</v>
      </c>
      <c r="EZ11" s="125">
        <f>SUMIFS('Expenditure Breakdown'!$Q$6:$Q$171, 'Expenditure Breakdown'!$W$6:$W$171, "&gt;="&amp;EZ1,'Expenditure Breakdown'!$W$6:$W$171, "&lt;"&amp;FA1)</f>
        <v>0</v>
      </c>
      <c r="FA11" s="125">
        <f>SUMIFS('Expenditure Breakdown'!$Q$6:$Q$171, 'Expenditure Breakdown'!$W$6:$W$171, "&gt;="&amp;FA1,'Expenditure Breakdown'!$W$6:$W$171, "&lt;"&amp;FB1)</f>
        <v>0</v>
      </c>
      <c r="FB11" s="125">
        <f>SUMIFS('Expenditure Breakdown'!$Q$6:$Q$171, 'Expenditure Breakdown'!$W$6:$W$171, "&gt;="&amp;FB1,'Expenditure Breakdown'!$W$6:$W$171, "&lt;"&amp;FC1)</f>
        <v>0</v>
      </c>
      <c r="FC11" s="125">
        <f>SUMIFS('Expenditure Breakdown'!$Q$6:$Q$171, 'Expenditure Breakdown'!$W$6:$W$171, "&gt;="&amp;FC1,'Expenditure Breakdown'!$W$6:$W$171, "&lt;"&amp;FD1)</f>
        <v>0</v>
      </c>
      <c r="FD11" s="125">
        <f>SUMIFS('Expenditure Breakdown'!$Q$6:$Q$171, 'Expenditure Breakdown'!$W$6:$W$171, "&gt;="&amp;FD1,'Expenditure Breakdown'!$W$6:$W$171, "&lt;"&amp;FE1)</f>
        <v>0</v>
      </c>
      <c r="FE11" s="125">
        <f>SUMIFS('Expenditure Breakdown'!$Q$6:$Q$171, 'Expenditure Breakdown'!$W$6:$W$171, "&gt;="&amp;FE1,'Expenditure Breakdown'!$W$6:$W$171, "&lt;"&amp;FF1)</f>
        <v>0</v>
      </c>
      <c r="FF11" s="125">
        <f>SUMIFS('Expenditure Breakdown'!$Q$6:$Q$171, 'Expenditure Breakdown'!$W$6:$W$171, "&gt;="&amp;FF1,'Expenditure Breakdown'!$W$6:$W$171, "&lt;"&amp;FG1)</f>
        <v>0</v>
      </c>
      <c r="FG11" s="125">
        <f>SUMIFS('Expenditure Breakdown'!$Q$6:$Q$171, 'Expenditure Breakdown'!$W$6:$W$171, "&gt;="&amp;FG1,'Expenditure Breakdown'!$W$6:$W$171, "&lt;"&amp;FH1)</f>
        <v>0</v>
      </c>
      <c r="FH11" s="125">
        <f>SUMIFS('Expenditure Breakdown'!$Q$6:$Q$171, 'Expenditure Breakdown'!$W$6:$W$171, "&gt;="&amp;FH1,'Expenditure Breakdown'!$W$6:$W$171, "&lt;"&amp;FI1)</f>
        <v>0</v>
      </c>
      <c r="FI11" s="125">
        <f>SUMIFS('Expenditure Breakdown'!$Q$6:$Q$171, 'Expenditure Breakdown'!$W$6:$W$171, "&gt;="&amp;FI1,'Expenditure Breakdown'!$W$6:$W$171, "&lt;"&amp;FJ1)</f>
        <v>0</v>
      </c>
      <c r="FJ11" s="125">
        <f>SUMIFS('Expenditure Breakdown'!$Q$6:$Q$171, 'Expenditure Breakdown'!$W$6:$W$171, "&gt;="&amp;FJ1,'Expenditure Breakdown'!$W$6:$W$171, "&lt;"&amp;FK1)</f>
        <v>0</v>
      </c>
      <c r="FK11" s="125">
        <f>SUMIFS('Expenditure Breakdown'!$Q$6:$Q$171, 'Expenditure Breakdown'!$W$6:$W$171, "&gt;="&amp;FK1,'Expenditure Breakdown'!$W$6:$W$171, "&lt;"&amp;FL1)</f>
        <v>0</v>
      </c>
      <c r="FL11" s="125">
        <f>SUMIFS('Expenditure Breakdown'!$Q$6:$Q$171, 'Expenditure Breakdown'!$W$6:$W$171, "&gt;="&amp;FL1,'Expenditure Breakdown'!$W$6:$W$171, "&lt;"&amp;FM1)</f>
        <v>0</v>
      </c>
      <c r="FM11" s="125">
        <f>SUMIFS('Expenditure Breakdown'!$Q$6:$Q$171, 'Expenditure Breakdown'!$W$6:$W$171, "&gt;="&amp;FM1,'Expenditure Breakdown'!$W$6:$W$171, "&lt;"&amp;FN1)</f>
        <v>0</v>
      </c>
      <c r="FN11" s="125">
        <f>SUMIFS('Expenditure Breakdown'!$Q$6:$Q$171, 'Expenditure Breakdown'!$W$6:$W$171, "&gt;="&amp;FN1,'Expenditure Breakdown'!$W$6:$W$171, "&lt;"&amp;FO1)</f>
        <v>0</v>
      </c>
      <c r="FO11" s="125">
        <f>SUMIFS('Expenditure Breakdown'!$Q$6:$Q$171, 'Expenditure Breakdown'!$W$6:$W$171, "&gt;="&amp;FO1,'Expenditure Breakdown'!$W$6:$W$171, "&lt;"&amp;FP1)</f>
        <v>0</v>
      </c>
      <c r="FP11" s="125">
        <f>SUMIFS('Expenditure Breakdown'!$Q$6:$Q$171, 'Expenditure Breakdown'!$W$6:$W$171, "&gt;="&amp;FP1,'Expenditure Breakdown'!$W$6:$W$171, "&lt;"&amp;FQ1)</f>
        <v>0</v>
      </c>
      <c r="FQ11" s="125">
        <f>SUMIFS('Expenditure Breakdown'!$Q$6:$Q$171, 'Expenditure Breakdown'!$W$6:$W$171, "&gt;="&amp;FQ1,'Expenditure Breakdown'!$W$6:$W$171, "&lt;"&amp;FR1)</f>
        <v>0</v>
      </c>
      <c r="FR11" s="125">
        <f>SUMIFS('Expenditure Breakdown'!$Q$6:$Q$171, 'Expenditure Breakdown'!$W$6:$W$171, "&gt;="&amp;FR1,'Expenditure Breakdown'!$W$6:$W$171, "&lt;"&amp;FS1)</f>
        <v>0</v>
      </c>
      <c r="FS11" s="125">
        <f>SUMIFS('Expenditure Breakdown'!$Q$6:$Q$171, 'Expenditure Breakdown'!$W$6:$W$171, "&gt;="&amp;FS1,'Expenditure Breakdown'!$W$6:$W$171, "&lt;"&amp;FT1)</f>
        <v>0</v>
      </c>
      <c r="FT11" s="125">
        <f>SUMIFS('Expenditure Breakdown'!$Q$6:$Q$171, 'Expenditure Breakdown'!$W$6:$W$171, "&gt;="&amp;FT1,'Expenditure Breakdown'!$W$6:$W$171, "&lt;"&amp;FU1)</f>
        <v>0</v>
      </c>
      <c r="FU11" s="125">
        <f>SUMIFS('Expenditure Breakdown'!$Q$6:$Q$171, 'Expenditure Breakdown'!$W$6:$W$171, "&gt;="&amp;FU1,'Expenditure Breakdown'!$W$6:$W$171, "&lt;"&amp;FV1)</f>
        <v>0</v>
      </c>
      <c r="FV11" s="125">
        <f>SUMIFS('Expenditure Breakdown'!$Q$6:$Q$171, 'Expenditure Breakdown'!$W$6:$W$171, "&gt;="&amp;FV1,'Expenditure Breakdown'!$W$6:$W$171, "&lt;"&amp;FW1)</f>
        <v>0</v>
      </c>
      <c r="FW11" s="125">
        <f>SUMIFS('Expenditure Breakdown'!$Q$6:$Q$171, 'Expenditure Breakdown'!$W$6:$W$171, "&gt;="&amp;FW1,'Expenditure Breakdown'!$W$6:$W$171, "&lt;"&amp;FX1)</f>
        <v>0</v>
      </c>
      <c r="FX11" s="125">
        <f>SUMIFS('Expenditure Breakdown'!$Q$6:$Q$171, 'Expenditure Breakdown'!$W$6:$W$171, "&gt;="&amp;FX1,'Expenditure Breakdown'!$W$6:$W$171, "&lt;"&amp;FY1)</f>
        <v>0</v>
      </c>
      <c r="FY11" s="125">
        <f>SUMIFS('Expenditure Breakdown'!$Q$6:$Q$171, 'Expenditure Breakdown'!$W$6:$W$171, "&gt;="&amp;FY1,'Expenditure Breakdown'!$W$6:$W$171, "&lt;"&amp;FZ1)</f>
        <v>0</v>
      </c>
      <c r="FZ11" s="125">
        <f>SUMIFS('Expenditure Breakdown'!$Q$6:$Q$171, 'Expenditure Breakdown'!$W$6:$W$171, "&gt;="&amp;FZ1,'Expenditure Breakdown'!$W$6:$W$171, "&lt;"&amp;GA1)</f>
        <v>0</v>
      </c>
      <c r="GA11" s="125">
        <f>SUMIFS('Expenditure Breakdown'!$Q$6:$Q$171, 'Expenditure Breakdown'!$W$6:$W$171, "&gt;="&amp;GA1,'Expenditure Breakdown'!$W$6:$W$171, "&lt;"&amp;GB1)</f>
        <v>0</v>
      </c>
      <c r="GB11" s="125">
        <f>SUMIFS('Expenditure Breakdown'!$Q$6:$Q$171, 'Expenditure Breakdown'!$W$6:$W$171, "&gt;="&amp;GB1,'Expenditure Breakdown'!$W$6:$W$171, "&lt;"&amp;GC1)</f>
        <v>0</v>
      </c>
      <c r="GC11" s="125">
        <f>SUMIFS('Expenditure Breakdown'!$Q$6:$Q$171, 'Expenditure Breakdown'!$W$6:$W$171, "&gt;="&amp;GC1,'Expenditure Breakdown'!$W$6:$W$171, "&lt;"&amp;GD1)</f>
        <v>0</v>
      </c>
      <c r="GD11" s="125">
        <f>SUMIFS('Expenditure Breakdown'!$Q$6:$Q$171, 'Expenditure Breakdown'!$W$6:$W$171, "&gt;="&amp;GD1,'Expenditure Breakdown'!$W$6:$W$171, "&lt;"&amp;GE1)</f>
        <v>0</v>
      </c>
      <c r="GE11" s="125">
        <f>SUMIFS('Expenditure Breakdown'!$Q$6:$Q$171, 'Expenditure Breakdown'!$W$6:$W$171, "&gt;="&amp;GE1,'Expenditure Breakdown'!$W$6:$W$171, "&lt;"&amp;GF1)</f>
        <v>0</v>
      </c>
      <c r="GF11" s="125">
        <f>SUMIFS('Expenditure Breakdown'!$Q$6:$Q$171, 'Expenditure Breakdown'!$W$6:$W$171, "&gt;="&amp;GF1,'Expenditure Breakdown'!$W$6:$W$171, "&lt;"&amp;GG1)</f>
        <v>0</v>
      </c>
      <c r="GG11" s="125">
        <f>SUMIFS('Expenditure Breakdown'!$Q$6:$Q$171, 'Expenditure Breakdown'!$W$6:$W$171, "&gt;="&amp;GG1,'Expenditure Breakdown'!$W$6:$W$171, "&lt;"&amp;GH1)</f>
        <v>0</v>
      </c>
      <c r="GH11" s="125">
        <f>SUMIFS('Expenditure Breakdown'!$Q$6:$Q$171, 'Expenditure Breakdown'!$W$6:$W$171, "&gt;="&amp;GH1,'Expenditure Breakdown'!$W$6:$W$171, "&lt;"&amp;GI1)</f>
        <v>0</v>
      </c>
      <c r="GI11" s="125">
        <f>SUMIFS('Expenditure Breakdown'!$Q$6:$Q$171, 'Expenditure Breakdown'!$W$6:$W$171, "&gt;="&amp;GI1,'Expenditure Breakdown'!$W$6:$W$171, "&lt;"&amp;GJ1)</f>
        <v>0</v>
      </c>
      <c r="GJ11" s="125">
        <f>SUMIFS('Expenditure Breakdown'!$Q$6:$Q$171, 'Expenditure Breakdown'!$W$6:$W$171, "&gt;="&amp;GJ1,'Expenditure Breakdown'!$W$6:$W$171, "&lt;"&amp;GK1)</f>
        <v>0</v>
      </c>
      <c r="GK11" s="125">
        <f>SUMIFS('Expenditure Breakdown'!$Q$6:$Q$171, 'Expenditure Breakdown'!$W$6:$W$171, "&gt;="&amp;GK1,'Expenditure Breakdown'!$W$6:$W$171, "&lt;"&amp;GL1)</f>
        <v>0</v>
      </c>
      <c r="GL11" s="125">
        <f>SUMIFS('Expenditure Breakdown'!$Q$6:$Q$171, 'Expenditure Breakdown'!$W$6:$W$171, "&gt;="&amp;GL1,'Expenditure Breakdown'!$W$6:$W$171, "&lt;"&amp;GM1)</f>
        <v>0</v>
      </c>
      <c r="GM11" s="125">
        <f>SUMIFS('Expenditure Breakdown'!$Q$6:$Q$171, 'Expenditure Breakdown'!$W$6:$W$171, "&gt;="&amp;GM1,'Expenditure Breakdown'!$W$6:$W$171, "&lt;"&amp;GN1)</f>
        <v>0</v>
      </c>
      <c r="GN11" s="125">
        <f>SUMIFS('Expenditure Breakdown'!$Q$6:$Q$171, 'Expenditure Breakdown'!$W$6:$W$171, "&gt;="&amp;GN1,'Expenditure Breakdown'!$W$6:$W$171, "&lt;"&amp;GO1)</f>
        <v>0</v>
      </c>
      <c r="GO11" s="125">
        <f>SUMIFS('Expenditure Breakdown'!$Q$6:$Q$171, 'Expenditure Breakdown'!$W$6:$W$171, "&gt;="&amp;GO1,'Expenditure Breakdown'!$W$6:$W$171, "&lt;"&amp;GP1)</f>
        <v>0</v>
      </c>
      <c r="GP11" s="125">
        <f>SUMIFS('Expenditure Breakdown'!$Q$6:$Q$171, 'Expenditure Breakdown'!$W$6:$W$171, "&gt;="&amp;GP1,'Expenditure Breakdown'!$W$6:$W$171, "&lt;"&amp;GQ1)</f>
        <v>0</v>
      </c>
      <c r="GQ11" s="125">
        <f>SUMIFS('Expenditure Breakdown'!$Q$6:$Q$171, 'Expenditure Breakdown'!$W$6:$W$171, "&gt;="&amp;GQ1,'Expenditure Breakdown'!$W$6:$W$171, "&lt;"&amp;GR1)</f>
        <v>0</v>
      </c>
      <c r="GR11" s="125">
        <f>SUMIFS('Expenditure Breakdown'!$Q$6:$Q$171, 'Expenditure Breakdown'!$W$6:$W$171, "&gt;="&amp;GR1,'Expenditure Breakdown'!$W$6:$W$171, "&lt;"&amp;GS1)</f>
        <v>0</v>
      </c>
      <c r="GS11" s="125">
        <f>SUMIFS('Expenditure Breakdown'!$Q$6:$Q$171, 'Expenditure Breakdown'!$W$6:$W$171, "&gt;="&amp;GS1,'Expenditure Breakdown'!$W$6:$W$171, "&lt;"&amp;GT1)</f>
        <v>0</v>
      </c>
      <c r="GT11" s="125">
        <f>SUMIFS('Expenditure Breakdown'!$Q$6:$Q$171, 'Expenditure Breakdown'!$W$6:$W$171, "&gt;="&amp;GT1,'Expenditure Breakdown'!$W$6:$W$171, "&lt;"&amp;GU1)</f>
        <v>0</v>
      </c>
      <c r="GU11" s="125">
        <f>SUMIFS('Expenditure Breakdown'!$Q$6:$Q$171, 'Expenditure Breakdown'!$W$6:$W$171, "&gt;="&amp;GU1,'Expenditure Breakdown'!$W$6:$W$171, "&lt;"&amp;GV1)</f>
        <v>0</v>
      </c>
      <c r="GV11" s="125">
        <f>SUMIFS('Expenditure Breakdown'!$Q$6:$Q$171, 'Expenditure Breakdown'!$W$6:$W$171, "&gt;="&amp;GV1,'Expenditure Breakdown'!$W$6:$W$171, "&lt;"&amp;GW1)</f>
        <v>0</v>
      </c>
      <c r="GW11" s="125">
        <f>SUMIFS('Expenditure Breakdown'!$Q$6:$Q$171, 'Expenditure Breakdown'!$W$6:$W$171, "&gt;="&amp;GW1,'Expenditure Breakdown'!$W$6:$W$171, "&lt;"&amp;GX1)</f>
        <v>0</v>
      </c>
      <c r="GX11" s="125">
        <f>SUMIFS('Expenditure Breakdown'!$Q$6:$Q$171, 'Expenditure Breakdown'!$W$6:$W$171, "&gt;="&amp;GX1,'Expenditure Breakdown'!$W$6:$W$171, "&lt;"&amp;GY1)</f>
        <v>0</v>
      </c>
      <c r="GY11" s="125">
        <f>SUMIFS('Expenditure Breakdown'!$Q$6:$Q$171, 'Expenditure Breakdown'!$W$6:$W$171, "&gt;="&amp;GY1,'Expenditure Breakdown'!$W$6:$W$171, "&lt;"&amp;GZ1)</f>
        <v>0</v>
      </c>
      <c r="GZ11" s="125">
        <f>SUMIFS('Expenditure Breakdown'!$Q$6:$Q$171, 'Expenditure Breakdown'!$W$6:$W$171, "&gt;="&amp;GZ1,'Expenditure Breakdown'!$W$6:$W$171, "&lt;"&amp;HA1)</f>
        <v>0</v>
      </c>
      <c r="HA11" s="125">
        <f>SUMIFS('Expenditure Breakdown'!$Q$6:$Q$171, 'Expenditure Breakdown'!$W$6:$W$171, "&gt;="&amp;HA1,'Expenditure Breakdown'!$W$6:$W$171, "&lt;"&amp;HB1)</f>
        <v>0</v>
      </c>
      <c r="HB11" s="125">
        <f>SUMIFS('Expenditure Breakdown'!$Q$6:$Q$171, 'Expenditure Breakdown'!$W$6:$W$171, "&gt;="&amp;HB1,'Expenditure Breakdown'!$W$6:$W$171, "&lt;"&amp;HC1)</f>
        <v>0</v>
      </c>
      <c r="HC11" s="125">
        <f>SUMIFS('Expenditure Breakdown'!$Q$6:$Q$171, 'Expenditure Breakdown'!$W$6:$W$171, "&gt;="&amp;HC1,'Expenditure Breakdown'!$W$6:$W$171, "&lt;"&amp;HD1)</f>
        <v>0</v>
      </c>
      <c r="HD11" s="125">
        <f>SUMIFS('Expenditure Breakdown'!$Q$6:$Q$171, 'Expenditure Breakdown'!$W$6:$W$171, "&gt;="&amp;HD1,'Expenditure Breakdown'!$W$6:$W$171, "&lt;"&amp;HE1)</f>
        <v>0</v>
      </c>
      <c r="HE11" s="125">
        <f>SUMIFS('Expenditure Breakdown'!$Q$6:$Q$171, 'Expenditure Breakdown'!$W$6:$W$171, "&gt;="&amp;HE1,'Expenditure Breakdown'!$W$6:$W$171, "&lt;"&amp;HF1)</f>
        <v>0</v>
      </c>
      <c r="HF11" s="125">
        <f>SUMIFS('Expenditure Breakdown'!$Q$6:$Q$171, 'Expenditure Breakdown'!$W$6:$W$171, "&gt;="&amp;HF1,'Expenditure Breakdown'!$W$6:$W$171, "&lt;"&amp;HG1)</f>
        <v>0</v>
      </c>
      <c r="HG11" s="125">
        <f>SUMIFS('Expenditure Breakdown'!$Q$6:$Q$171, 'Expenditure Breakdown'!$W$6:$W$171, "&gt;="&amp;HG1,'Expenditure Breakdown'!$W$6:$W$171, "&lt;"&amp;HH1)</f>
        <v>0</v>
      </c>
      <c r="HH11" s="125">
        <f>SUMIFS('Expenditure Breakdown'!$Q$6:$Q$171, 'Expenditure Breakdown'!$W$6:$W$171, "&gt;="&amp;HH1,'Expenditure Breakdown'!$W$6:$W$171, "&lt;"&amp;HI1)</f>
        <v>0</v>
      </c>
      <c r="HI11" s="125">
        <f>SUMIFS('Expenditure Breakdown'!$Q$6:$Q$171, 'Expenditure Breakdown'!$W$6:$W$171, "&gt;="&amp;HI1,'Expenditure Breakdown'!$W$6:$W$171, "&lt;"&amp;HJ1)</f>
        <v>0</v>
      </c>
      <c r="HJ11" s="125">
        <f>SUMIFS('Expenditure Breakdown'!$Q$6:$Q$171, 'Expenditure Breakdown'!$W$6:$W$171, "&gt;="&amp;HJ1,'Expenditure Breakdown'!$W$6:$W$171, "&lt;"&amp;HK1)</f>
        <v>0</v>
      </c>
      <c r="HK11" s="125">
        <f>SUMIFS('Expenditure Breakdown'!$Q$6:$Q$171, 'Expenditure Breakdown'!$W$6:$W$171, "&gt;="&amp;HK1,'Expenditure Breakdown'!$W$6:$W$171, "&lt;"&amp;HL1)</f>
        <v>0</v>
      </c>
      <c r="HL11" s="125">
        <f>SUMIFS('Expenditure Breakdown'!$Q$6:$Q$171, 'Expenditure Breakdown'!$W$6:$W$171, "&gt;="&amp;HL1,'Expenditure Breakdown'!$W$6:$W$171, "&lt;"&amp;HM1)</f>
        <v>0</v>
      </c>
      <c r="HM11" s="125">
        <f>SUMIFS('Expenditure Breakdown'!$Q$6:$Q$171, 'Expenditure Breakdown'!$W$6:$W$171, "&gt;="&amp;HM1,'Expenditure Breakdown'!$W$6:$W$171, "&lt;"&amp;HN1)</f>
        <v>0</v>
      </c>
      <c r="HN11" s="125">
        <f>SUMIFS('Expenditure Breakdown'!$Q$6:$Q$171, 'Expenditure Breakdown'!$W$6:$W$171, "&gt;="&amp;HN1,'Expenditure Breakdown'!$W$6:$W$171, "&lt;"&amp;HO1)</f>
        <v>0</v>
      </c>
      <c r="HO11" s="125">
        <f>SUMIFS('Expenditure Breakdown'!$Q$6:$Q$171, 'Expenditure Breakdown'!$W$6:$W$171, "&gt;="&amp;HO1,'Expenditure Breakdown'!$W$6:$W$171, "&lt;"&amp;HP1)</f>
        <v>0</v>
      </c>
      <c r="HP11" s="125">
        <f>SUMIFS('Expenditure Breakdown'!$Q$6:$Q$171, 'Expenditure Breakdown'!$W$6:$W$171, "&gt;="&amp;HP1,'Expenditure Breakdown'!$W$6:$W$171, "&lt;"&amp;HQ1)</f>
        <v>0</v>
      </c>
      <c r="HQ11" s="125">
        <f>SUMIFS('Expenditure Breakdown'!$Q$6:$Q$171, 'Expenditure Breakdown'!$W$6:$W$171, "&gt;="&amp;HQ1,'Expenditure Breakdown'!$W$6:$W$171, "&lt;"&amp;HR1)</f>
        <v>0</v>
      </c>
      <c r="HR11" s="125">
        <f>SUMIFS('Expenditure Breakdown'!$Q$6:$Q$171, 'Expenditure Breakdown'!$W$6:$W$171, "&gt;="&amp;HR1,'Expenditure Breakdown'!$W$6:$W$171, "&lt;"&amp;HS1)</f>
        <v>0</v>
      </c>
      <c r="HS11" s="125">
        <f>SUMIFS('Expenditure Breakdown'!$Q$6:$Q$171, 'Expenditure Breakdown'!$W$6:$W$171, "&gt;="&amp;HS1,'Expenditure Breakdown'!$W$6:$W$171, "&lt;"&amp;HT1)</f>
        <v>0</v>
      </c>
      <c r="HT11" s="125">
        <f>SUMIFS('Expenditure Breakdown'!$Q$6:$Q$171, 'Expenditure Breakdown'!$W$6:$W$171, "&gt;="&amp;HT1,'Expenditure Breakdown'!$W$6:$W$171, "&lt;"&amp;HU1)</f>
        <v>0</v>
      </c>
      <c r="HU11" s="125">
        <f>SUMIFS('Expenditure Breakdown'!$Q$6:$Q$171, 'Expenditure Breakdown'!$W$6:$W$171, "&gt;="&amp;HU1,'Expenditure Breakdown'!$W$6:$W$171, "&lt;"&amp;HV1)</f>
        <v>0</v>
      </c>
      <c r="HV11" s="125">
        <f>SUMIFS('Expenditure Breakdown'!$Q$6:$Q$171, 'Expenditure Breakdown'!$W$6:$W$171, "&gt;="&amp;HV1,'Expenditure Breakdown'!$W$6:$W$171, "&lt;"&amp;HW1)</f>
        <v>0</v>
      </c>
      <c r="HW11" s="125">
        <f>SUMIFS('Expenditure Breakdown'!$Q$6:$Q$171, 'Expenditure Breakdown'!$W$6:$W$171, "&gt;="&amp;HW1,'Expenditure Breakdown'!$W$6:$W$171, "&lt;"&amp;HX1)</f>
        <v>0</v>
      </c>
      <c r="HX11" s="125">
        <f>SUMIFS('Expenditure Breakdown'!$Q$6:$Q$171, 'Expenditure Breakdown'!$W$6:$W$171, "&gt;="&amp;HX1,'Expenditure Breakdown'!$W$6:$W$171, "&lt;"&amp;HY1)</f>
        <v>0</v>
      </c>
      <c r="HY11" s="125">
        <f>SUMIFS('Expenditure Breakdown'!$Q$6:$Q$171, 'Expenditure Breakdown'!$W$6:$W$171, "&gt;="&amp;HY1,'Expenditure Breakdown'!$W$6:$W$171, "&lt;"&amp;HZ1)</f>
        <v>0</v>
      </c>
      <c r="HZ11" s="125">
        <f>SUMIFS('Expenditure Breakdown'!$Q$6:$Q$171, 'Expenditure Breakdown'!$W$6:$W$171, "&gt;="&amp;HZ1,'Expenditure Breakdown'!$W$6:$W$171, "&lt;"&amp;IA1)</f>
        <v>0</v>
      </c>
      <c r="IA11" s="125">
        <f>SUMIFS('Expenditure Breakdown'!$Q$6:$Q$171, 'Expenditure Breakdown'!$W$6:$W$171, "&gt;="&amp;IA1,'Expenditure Breakdown'!$W$6:$W$171, "&lt;"&amp;IB1)</f>
        <v>0</v>
      </c>
      <c r="IB11" s="125">
        <f>SUMIFS('Expenditure Breakdown'!$Q$6:$Q$171, 'Expenditure Breakdown'!$W$6:$W$171, "&gt;="&amp;IB1,'Expenditure Breakdown'!$W$6:$W$171, "&lt;"&amp;IC1)</f>
        <v>0</v>
      </c>
      <c r="IC11" s="125">
        <f>SUMIFS('Expenditure Breakdown'!$Q$6:$Q$171, 'Expenditure Breakdown'!$W$6:$W$171, "&gt;="&amp;IC1,'Expenditure Breakdown'!$W$6:$W$171, "&lt;"&amp;ID1)</f>
        <v>0</v>
      </c>
      <c r="ID11" s="125">
        <f>SUMIFS('Expenditure Breakdown'!$Q$6:$Q$171, 'Expenditure Breakdown'!$W$6:$W$171, "&gt;="&amp;ID1,'Expenditure Breakdown'!$W$6:$W$171, "&lt;"&amp;IE1)</f>
        <v>0</v>
      </c>
      <c r="IE11" s="125">
        <f>SUMIFS('Expenditure Breakdown'!$Q$6:$Q$171, 'Expenditure Breakdown'!$W$6:$W$171, "&gt;="&amp;IE1,'Expenditure Breakdown'!$W$6:$W$171, "&lt;"&amp;IF1)</f>
        <v>0</v>
      </c>
      <c r="IF11" s="125">
        <f>SUMIFS('Expenditure Breakdown'!$Q$6:$Q$171, 'Expenditure Breakdown'!$W$6:$W$171, "&gt;="&amp;IF1,'Expenditure Breakdown'!$W$6:$W$171, "&lt;"&amp;IG1)</f>
        <v>0</v>
      </c>
      <c r="IG11" s="125">
        <f>SUMIFS('Expenditure Breakdown'!$Q$6:$Q$171, 'Expenditure Breakdown'!$W$6:$W$171, "&gt;="&amp;IG1,'Expenditure Breakdown'!$W$6:$W$171, "&lt;"&amp;IH1)</f>
        <v>0</v>
      </c>
      <c r="IH11" s="125">
        <f>SUMIFS('Expenditure Breakdown'!$Q$6:$Q$171, 'Expenditure Breakdown'!$W$6:$W$171, "&gt;="&amp;IH1,'Expenditure Breakdown'!$W$6:$W$171, "&lt;"&amp;II1)</f>
        <v>0</v>
      </c>
      <c r="II11" s="125">
        <f>SUMIFS('Expenditure Breakdown'!$Q$6:$Q$171, 'Expenditure Breakdown'!$W$6:$W$171, "&gt;="&amp;II1,'Expenditure Breakdown'!$W$6:$W$171, "&lt;"&amp;IJ1)</f>
        <v>0</v>
      </c>
      <c r="IJ11" s="125">
        <f>SUMIFS('Expenditure Breakdown'!$Q$6:$Q$171, 'Expenditure Breakdown'!$W$6:$W$171, "&gt;="&amp;IJ1,'Expenditure Breakdown'!$W$6:$W$171, "&lt;"&amp;IK1)</f>
        <v>0</v>
      </c>
      <c r="IK11" s="125">
        <f>SUMIFS('Expenditure Breakdown'!$Q$6:$Q$171, 'Expenditure Breakdown'!$W$6:$W$171, "&gt;="&amp;IK1,'Expenditure Breakdown'!$W$6:$W$171, "&lt;"&amp;IL1)</f>
        <v>0</v>
      </c>
      <c r="IL11" s="125">
        <f>SUMIFS('Expenditure Breakdown'!$Q$6:$Q$171, 'Expenditure Breakdown'!$W$6:$W$171, "&gt;="&amp;IL1,'Expenditure Breakdown'!$W$6:$W$171, "&lt;"&amp;IM1)</f>
        <v>0</v>
      </c>
      <c r="IM11" s="125">
        <f>SUMIFS('Expenditure Breakdown'!$Q$6:$Q$171, 'Expenditure Breakdown'!$W$6:$W$171, "&gt;="&amp;IM1,'Expenditure Breakdown'!$W$6:$W$171, "&lt;"&amp;IN1)</f>
        <v>0</v>
      </c>
      <c r="IN11" s="125">
        <f>SUMIFS('Expenditure Breakdown'!$Q$6:$Q$171, 'Expenditure Breakdown'!$W$6:$W$171, "&gt;="&amp;IN1,'Expenditure Breakdown'!$W$6:$W$171, "&lt;"&amp;IO1)</f>
        <v>0</v>
      </c>
      <c r="IO11" s="125">
        <f>SUMIFS('Expenditure Breakdown'!$Q$6:$Q$171, 'Expenditure Breakdown'!$W$6:$W$171, "&gt;="&amp;IO1,'Expenditure Breakdown'!$W$6:$W$171, "&lt;"&amp;IP1)</f>
        <v>0</v>
      </c>
      <c r="IP11" s="125">
        <f>SUMIFS('Expenditure Breakdown'!$Q$6:$Q$171, 'Expenditure Breakdown'!$W$6:$W$171, "&gt;="&amp;IP1,'Expenditure Breakdown'!$W$6:$W$171, "&lt;"&amp;IQ1)</f>
        <v>0</v>
      </c>
      <c r="IQ11" s="125">
        <f>SUMIFS('Expenditure Breakdown'!$Q$6:$Q$171, 'Expenditure Breakdown'!$W$6:$W$171, "&gt;="&amp;IQ1,'Expenditure Breakdown'!$W$6:$W$171, "&lt;"&amp;IR1)</f>
        <v>0</v>
      </c>
      <c r="IR11" s="125">
        <f>SUMIFS('Expenditure Breakdown'!$Q$6:$Q$171, 'Expenditure Breakdown'!$W$6:$W$171, "&gt;="&amp;IR1,'Expenditure Breakdown'!$W$6:$W$171, "&lt;"&amp;IS1)</f>
        <v>0</v>
      </c>
      <c r="IS11" s="125">
        <f>SUMIFS('Expenditure Breakdown'!$Q$6:$Q$171, 'Expenditure Breakdown'!$W$6:$W$171, "&gt;="&amp;IS1,'Expenditure Breakdown'!$W$6:$W$171, "&lt;"&amp;IT1)</f>
        <v>0</v>
      </c>
      <c r="IT11" s="125">
        <f>SUMIFS('Expenditure Breakdown'!$Q$6:$Q$171, 'Expenditure Breakdown'!$W$6:$W$171, "&gt;="&amp;IT1,'Expenditure Breakdown'!$W$6:$W$171, "&lt;"&amp;IU1)</f>
        <v>0</v>
      </c>
      <c r="IU11" s="125">
        <f>SUMIFS('Expenditure Breakdown'!$Q$6:$Q$171, 'Expenditure Breakdown'!$W$6:$W$171, "&gt;="&amp;IU1,'Expenditure Breakdown'!$W$6:$W$171, "&lt;"&amp;IV1)</f>
        <v>0</v>
      </c>
      <c r="IV11" s="125">
        <f>SUMIFS('Expenditure Breakdown'!$Q$6:$Q$171, 'Expenditure Breakdown'!$W$6:$W$171, "&gt;="&amp;IV1,'Expenditure Breakdown'!$W$6:$W$171, "&lt;"&amp;IW1)</f>
        <v>0</v>
      </c>
      <c r="IW11" s="125">
        <f>SUMIFS('Expenditure Breakdown'!$Q$6:$Q$171, 'Expenditure Breakdown'!$W$6:$W$171, "&gt;="&amp;IW1,'Expenditure Breakdown'!$W$6:$W$171, "&lt;"&amp;IX1)</f>
        <v>0</v>
      </c>
      <c r="IX11" s="125">
        <f>SUMIFS('Expenditure Breakdown'!$Q$6:$Q$171, 'Expenditure Breakdown'!$W$6:$W$171, "&gt;="&amp;IX1,'Expenditure Breakdown'!$W$6:$W$171, "&lt;"&amp;IY1)</f>
        <v>0</v>
      </c>
      <c r="IY11" s="125">
        <f>SUMIFS('Expenditure Breakdown'!$Q$6:$Q$171, 'Expenditure Breakdown'!$W$6:$W$171, "&gt;="&amp;IY1,'Expenditure Breakdown'!$W$6:$W$171, "&lt;"&amp;IZ1)</f>
        <v>0</v>
      </c>
      <c r="IZ11" s="125">
        <f>SUMIFS('Expenditure Breakdown'!$Q$6:$Q$171, 'Expenditure Breakdown'!$W$6:$W$171, "&gt;="&amp;IZ1,'Expenditure Breakdown'!$W$6:$W$171, "&lt;"&amp;JA1)</f>
        <v>0</v>
      </c>
      <c r="JA11" s="125">
        <f>SUMIFS('Expenditure Breakdown'!$Q$6:$Q$171, 'Expenditure Breakdown'!$W$6:$W$171, "&gt;="&amp;JA1,'Expenditure Breakdown'!$W$6:$W$171, "&lt;"&amp;JB1)</f>
        <v>0</v>
      </c>
      <c r="JB11" s="125">
        <f>SUMIFS('Expenditure Breakdown'!$Q$6:$Q$171, 'Expenditure Breakdown'!$W$6:$W$171, "&gt;="&amp;JB1,'Expenditure Breakdown'!$W$6:$W$171, "&lt;"&amp;JC1)</f>
        <v>0</v>
      </c>
      <c r="JC11" s="125">
        <f>SUMIFS('Expenditure Breakdown'!$Q$6:$Q$171, 'Expenditure Breakdown'!$W$6:$W$171, "&gt;="&amp;JC1,'Expenditure Breakdown'!$W$6:$W$171, "&lt;"&amp;JD1)</f>
        <v>0</v>
      </c>
      <c r="JD11" s="125">
        <f>SUMIFS('Expenditure Breakdown'!$Q$6:$Q$171, 'Expenditure Breakdown'!$W$6:$W$171, "&gt;="&amp;JD1,'Expenditure Breakdown'!$W$6:$W$171, "&lt;"&amp;JE1)</f>
        <v>0</v>
      </c>
      <c r="JE11" s="125">
        <f>SUMIFS('Expenditure Breakdown'!$Q$6:$Q$171, 'Expenditure Breakdown'!$W$6:$W$171, "&gt;="&amp;JE1,'Expenditure Breakdown'!$W$6:$W$171, "&lt;"&amp;JF1)</f>
        <v>0</v>
      </c>
      <c r="JF11" s="125">
        <f>SUMIFS('Expenditure Breakdown'!$Q$6:$Q$171, 'Expenditure Breakdown'!$W$6:$W$171, "&gt;="&amp;JF1,'Expenditure Breakdown'!$W$6:$W$171, "&lt;"&amp;JG1)</f>
        <v>0</v>
      </c>
      <c r="JG11" s="125">
        <f>SUMIFS('Expenditure Breakdown'!$Q$6:$Q$171, 'Expenditure Breakdown'!$W$6:$W$171, "&gt;="&amp;JG1,'Expenditure Breakdown'!$W$6:$W$171, "&lt;"&amp;JH1)</f>
        <v>0</v>
      </c>
      <c r="JH11" s="125">
        <f>SUMIFS('Expenditure Breakdown'!$Q$6:$Q$171, 'Expenditure Breakdown'!$W$6:$W$171, "&gt;="&amp;JH1,'Expenditure Breakdown'!$W$6:$W$171, "&lt;"&amp;JI1)</f>
        <v>0</v>
      </c>
      <c r="JI11" s="125">
        <f>SUMIFS('Expenditure Breakdown'!$Q$6:$Q$171, 'Expenditure Breakdown'!$W$6:$W$171, "&gt;="&amp;JI1,'Expenditure Breakdown'!$W$6:$W$171, "&lt;"&amp;JJ1)</f>
        <v>0</v>
      </c>
      <c r="JJ11" s="125">
        <f>SUMIFS('Expenditure Breakdown'!$Q$6:$Q$171, 'Expenditure Breakdown'!$W$6:$W$171, "&gt;="&amp;JJ1,'Expenditure Breakdown'!$W$6:$W$171, "&lt;"&amp;JK1)</f>
        <v>0</v>
      </c>
      <c r="JK11" s="125">
        <f>SUMIFS('Expenditure Breakdown'!$Q$6:$Q$171, 'Expenditure Breakdown'!$W$6:$W$171, "&gt;="&amp;JK1,'Expenditure Breakdown'!$W$6:$W$171, "&lt;"&amp;JL1)</f>
        <v>0</v>
      </c>
      <c r="JL11" s="125">
        <f>SUMIFS('Expenditure Breakdown'!$Q$6:$Q$171, 'Expenditure Breakdown'!$W$6:$W$171, "&gt;="&amp;JL1,'Expenditure Breakdown'!$W$6:$W$171, "&lt;"&amp;JM1)</f>
        <v>0</v>
      </c>
      <c r="JM11" s="125">
        <f>SUMIFS('Expenditure Breakdown'!$Q$6:$Q$171, 'Expenditure Breakdown'!$W$6:$W$171, "&gt;="&amp;JM1,'Expenditure Breakdown'!$W$6:$W$171, "&lt;"&amp;JN1)</f>
        <v>0</v>
      </c>
      <c r="JN11" s="125">
        <f>SUMIFS('Expenditure Breakdown'!$Q$6:$Q$171, 'Expenditure Breakdown'!$W$6:$W$171, "&gt;="&amp;JN1,'Expenditure Breakdown'!$W$6:$W$171, "&lt;"&amp;JO1)</f>
        <v>0</v>
      </c>
      <c r="JO11" s="125">
        <f>SUMIFS('Expenditure Breakdown'!$Q$6:$Q$171, 'Expenditure Breakdown'!$W$6:$W$171, "&gt;="&amp;JO1,'Expenditure Breakdown'!$W$6:$W$171, "&lt;"&amp;JP1)</f>
        <v>0</v>
      </c>
      <c r="JP11" s="125">
        <f>SUMIFS('Expenditure Breakdown'!$Q$6:$Q$171, 'Expenditure Breakdown'!$W$6:$W$171, "&gt;="&amp;JP1,'Expenditure Breakdown'!$W$6:$W$171, "&lt;"&amp;JQ1)</f>
        <v>0</v>
      </c>
      <c r="JQ11" s="125">
        <f>SUMIFS('Expenditure Breakdown'!$Q$6:$Q$171, 'Expenditure Breakdown'!$W$6:$W$171, "&gt;="&amp;JQ1,'Expenditure Breakdown'!$W$6:$W$171, "&lt;"&amp;JR1)</f>
        <v>0</v>
      </c>
      <c r="JR11" s="125">
        <f>SUMIFS('Expenditure Breakdown'!$Q$6:$Q$171, 'Expenditure Breakdown'!$W$6:$W$171, "&gt;="&amp;JR1,'Expenditure Breakdown'!$W$6:$W$171, "&lt;"&amp;JS1)</f>
        <v>0</v>
      </c>
      <c r="JS11" s="125">
        <f>SUMIFS('Expenditure Breakdown'!$Q$6:$Q$171, 'Expenditure Breakdown'!$W$6:$W$171, "&gt;="&amp;JS1,'Expenditure Breakdown'!$W$6:$W$171, "&lt;"&amp;JT1)</f>
        <v>0</v>
      </c>
      <c r="JT11" s="125">
        <f>SUMIFS('Expenditure Breakdown'!$Q$6:$Q$171, 'Expenditure Breakdown'!$W$6:$W$171, "&gt;="&amp;JT1,'Expenditure Breakdown'!$W$6:$W$171, "&lt;"&amp;JU1)</f>
        <v>0</v>
      </c>
      <c r="JU11" s="125">
        <f>SUMIFS('Expenditure Breakdown'!$Q$6:$Q$171, 'Expenditure Breakdown'!$W$6:$W$171, "&gt;="&amp;JU1,'Expenditure Breakdown'!$W$6:$W$171, "&lt;"&amp;JV1)</f>
        <v>0</v>
      </c>
      <c r="JV11" s="125">
        <f>SUMIFS('Expenditure Breakdown'!$Q$6:$Q$171, 'Expenditure Breakdown'!$W$6:$W$171, "&gt;="&amp;JV1,'Expenditure Breakdown'!$W$6:$W$171, "&lt;"&amp;JW1)</f>
        <v>0</v>
      </c>
      <c r="JW11" s="125">
        <f>SUMIFS('Expenditure Breakdown'!$Q$6:$Q$171, 'Expenditure Breakdown'!$W$6:$W$171, "&gt;="&amp;JW1,'Expenditure Breakdown'!$W$6:$W$171, "&lt;"&amp;JX1)</f>
        <v>0</v>
      </c>
      <c r="JX11" s="125">
        <f>SUMIFS('Expenditure Breakdown'!$Q$6:$Q$171, 'Expenditure Breakdown'!$W$6:$W$171, "&gt;="&amp;JX1,'Expenditure Breakdown'!$W$6:$W$171, "&lt;"&amp;JY1)</f>
        <v>0</v>
      </c>
      <c r="JY11" s="125">
        <f>SUMIFS('Expenditure Breakdown'!$Q$6:$Q$171, 'Expenditure Breakdown'!$W$6:$W$171, "&gt;="&amp;JY1,'Expenditure Breakdown'!$W$6:$W$171, "&lt;"&amp;JZ1)</f>
        <v>0</v>
      </c>
      <c r="JZ11" s="125">
        <f>SUMIFS('Expenditure Breakdown'!$Q$6:$Q$171, 'Expenditure Breakdown'!$W$6:$W$171, "&gt;="&amp;JZ1,'Expenditure Breakdown'!$W$6:$W$171, "&lt;"&amp;KA1)</f>
        <v>0</v>
      </c>
      <c r="KA11" s="125">
        <f>SUMIFS('Expenditure Breakdown'!$Q$6:$Q$171, 'Expenditure Breakdown'!$W$6:$W$171, "&gt;="&amp;KA1,'Expenditure Breakdown'!$W$6:$W$171, "&lt;"&amp;KB1)</f>
        <v>0</v>
      </c>
      <c r="KB11" s="125">
        <f>SUMIFS('Expenditure Breakdown'!$Q$6:$Q$171, 'Expenditure Breakdown'!$W$6:$W$171, "&gt;="&amp;KB1,'Expenditure Breakdown'!$W$6:$W$171, "&lt;"&amp;KC1)</f>
        <v>0</v>
      </c>
      <c r="KC11" s="125">
        <f>SUMIFS('Expenditure Breakdown'!$Q$6:$Q$171, 'Expenditure Breakdown'!$W$6:$W$171, "&gt;="&amp;KC1,'Expenditure Breakdown'!$W$6:$W$171, "&lt;"&amp;KD1)</f>
        <v>0</v>
      </c>
      <c r="KD11" s="125">
        <f>SUMIFS('Expenditure Breakdown'!$Q$6:$Q$171, 'Expenditure Breakdown'!$W$6:$W$171, "&gt;="&amp;KD1,'Expenditure Breakdown'!$W$6:$W$171, "&lt;"&amp;KE1)</f>
        <v>0</v>
      </c>
      <c r="KE11" s="125">
        <f>SUMIFS('Expenditure Breakdown'!$Q$6:$Q$171, 'Expenditure Breakdown'!$W$6:$W$171, "&gt;="&amp;KE1,'Expenditure Breakdown'!$W$6:$W$171, "&lt;"&amp;KF1)</f>
        <v>0</v>
      </c>
      <c r="KF11" s="125">
        <f>SUMIFS('Expenditure Breakdown'!$Q$6:$Q$171, 'Expenditure Breakdown'!$W$6:$W$171, "&gt;="&amp;KF1,'Expenditure Breakdown'!$W$6:$W$171, "&lt;"&amp;#REF!)</f>
        <v>0</v>
      </c>
      <c r="KG11" s="102"/>
      <c r="KH11" s="113"/>
      <c r="KI11" s="113"/>
    </row>
    <row r="12" spans="1:770" s="114" customFormat="1">
      <c r="A12" s="728"/>
      <c r="B12" s="123" t="s">
        <v>410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14512.08</v>
      </c>
      <c r="U12" s="125">
        <f t="shared" si="26"/>
        <v>82303.67</v>
      </c>
      <c r="V12" s="125">
        <f t="shared" si="26"/>
        <v>82828.67</v>
      </c>
      <c r="W12" s="125">
        <f t="shared" si="26"/>
        <v>137061.94199999998</v>
      </c>
      <c r="X12" s="125">
        <f t="shared" si="26"/>
        <v>137061.94199999998</v>
      </c>
      <c r="Y12" s="125">
        <f t="shared" si="26"/>
        <v>204853.53199999998</v>
      </c>
      <c r="Z12" s="125">
        <f t="shared" si="26"/>
        <v>434015.93296541442</v>
      </c>
      <c r="AA12" s="125">
        <f t="shared" si="26"/>
        <v>508332.52296541445</v>
      </c>
      <c r="AB12" s="125">
        <f t="shared" si="26"/>
        <v>520910.02296541445</v>
      </c>
      <c r="AC12" s="125">
        <f t="shared" si="26"/>
        <v>887288.36296541453</v>
      </c>
      <c r="AD12" s="125">
        <f>AC12+AD11</f>
        <v>900846.6809654145</v>
      </c>
      <c r="AE12" s="125">
        <f t="shared" si="26"/>
        <v>901371.6809654145</v>
      </c>
      <c r="AF12" s="125">
        <f t="shared" si="26"/>
        <v>901371.6809654145</v>
      </c>
      <c r="AG12" s="125">
        <f t="shared" si="26"/>
        <v>901371.6809654145</v>
      </c>
      <c r="AH12" s="125">
        <f t="shared" si="26"/>
        <v>901371.6809654145</v>
      </c>
      <c r="AI12" s="125">
        <f t="shared" si="26"/>
        <v>901896.6809654145</v>
      </c>
      <c r="AJ12" s="125">
        <f t="shared" si="26"/>
        <v>901896.6809654145</v>
      </c>
      <c r="AK12" s="125">
        <f t="shared" si="26"/>
        <v>901896.6809654145</v>
      </c>
      <c r="AL12" s="125">
        <f t="shared" si="26"/>
        <v>901896.6809654145</v>
      </c>
      <c r="AM12" s="125">
        <f t="shared" si="26"/>
        <v>901896.6809654145</v>
      </c>
      <c r="AN12" s="125">
        <f t="shared" si="26"/>
        <v>901896.6809654145</v>
      </c>
      <c r="AO12" s="125">
        <f t="shared" si="26"/>
        <v>901896.6809654145</v>
      </c>
      <c r="AP12" s="125">
        <f t="shared" si="26"/>
        <v>901896.6809654145</v>
      </c>
      <c r="AQ12" s="125">
        <f t="shared" si="26"/>
        <v>901896.6809654145</v>
      </c>
      <c r="AR12" s="125">
        <f t="shared" si="26"/>
        <v>901896.6809654145</v>
      </c>
      <c r="AS12" s="125">
        <f t="shared" si="26"/>
        <v>901896.6809654145</v>
      </c>
      <c r="AT12" s="125">
        <f t="shared" si="26"/>
        <v>901896.6809654145</v>
      </c>
      <c r="AU12" s="125">
        <f t="shared" si="26"/>
        <v>901896.6809654145</v>
      </c>
      <c r="AV12" s="125">
        <f t="shared" si="26"/>
        <v>901896.6809654145</v>
      </c>
      <c r="AW12" s="125">
        <f t="shared" si="26"/>
        <v>901896.6809654145</v>
      </c>
      <c r="AX12" s="125">
        <f t="shared" si="26"/>
        <v>901896.6809654145</v>
      </c>
      <c r="AY12" s="125">
        <f t="shared" si="26"/>
        <v>901896.6809654145</v>
      </c>
      <c r="AZ12" s="125">
        <f t="shared" si="26"/>
        <v>901896.6809654145</v>
      </c>
      <c r="BA12" s="125">
        <f t="shared" si="26"/>
        <v>901896.6809654145</v>
      </c>
      <c r="BB12" s="125">
        <f t="shared" si="26"/>
        <v>901896.6809654145</v>
      </c>
      <c r="BC12" s="125">
        <f t="shared" si="26"/>
        <v>901896.6809654145</v>
      </c>
      <c r="BD12" s="125">
        <f t="shared" si="26"/>
        <v>901896.6809654145</v>
      </c>
      <c r="BE12" s="125">
        <f t="shared" si="26"/>
        <v>901896.6809654145</v>
      </c>
      <c r="BF12" s="125">
        <f t="shared" si="26"/>
        <v>901896.6809654145</v>
      </c>
      <c r="BG12" s="125">
        <f t="shared" si="26"/>
        <v>901896.6809654145</v>
      </c>
      <c r="BH12" s="125">
        <f t="shared" si="26"/>
        <v>901896.6809654145</v>
      </c>
      <c r="BI12" s="125">
        <f t="shared" si="26"/>
        <v>901896.6809654145</v>
      </c>
      <c r="BJ12" s="125">
        <f t="shared" si="26"/>
        <v>901896.6809654145</v>
      </c>
      <c r="BK12" s="125">
        <f t="shared" si="26"/>
        <v>901896.6809654145</v>
      </c>
      <c r="BL12" s="125">
        <f t="shared" si="26"/>
        <v>901896.6809654145</v>
      </c>
      <c r="BM12" s="125">
        <f t="shared" si="26"/>
        <v>901896.6809654145</v>
      </c>
      <c r="BN12" s="125">
        <f t="shared" si="26"/>
        <v>901896.6809654145</v>
      </c>
      <c r="BO12" s="125">
        <f t="shared" si="26"/>
        <v>901896.6809654145</v>
      </c>
      <c r="BP12" s="125">
        <f t="shared" si="26"/>
        <v>901896.6809654145</v>
      </c>
      <c r="BQ12" s="125">
        <f t="shared" si="26"/>
        <v>901896.6809654145</v>
      </c>
      <c r="BR12" s="125">
        <f t="shared" si="26"/>
        <v>901896.6809654145</v>
      </c>
      <c r="BS12" s="125">
        <f t="shared" si="26"/>
        <v>901896.6809654145</v>
      </c>
      <c r="BT12" s="125">
        <f t="shared" si="26"/>
        <v>901896.6809654145</v>
      </c>
      <c r="BU12" s="125">
        <f t="shared" ref="BU12:EF12" si="27">BT12+BU11</f>
        <v>901896.6809654145</v>
      </c>
      <c r="BV12" s="125">
        <f t="shared" si="27"/>
        <v>901896.6809654145</v>
      </c>
      <c r="BW12" s="125">
        <f t="shared" si="27"/>
        <v>901896.6809654145</v>
      </c>
      <c r="BX12" s="125">
        <f t="shared" si="27"/>
        <v>901896.6809654145</v>
      </c>
      <c r="BY12" s="125">
        <f t="shared" si="27"/>
        <v>901896.6809654145</v>
      </c>
      <c r="BZ12" s="125">
        <f t="shared" si="27"/>
        <v>901896.6809654145</v>
      </c>
      <c r="CA12" s="125">
        <f t="shared" si="27"/>
        <v>901896.6809654145</v>
      </c>
      <c r="CB12" s="125">
        <f t="shared" si="27"/>
        <v>901896.6809654145</v>
      </c>
      <c r="CC12" s="125">
        <f t="shared" si="27"/>
        <v>901896.6809654145</v>
      </c>
      <c r="CD12" s="125">
        <f t="shared" si="27"/>
        <v>901896.6809654145</v>
      </c>
      <c r="CE12" s="125">
        <f t="shared" si="27"/>
        <v>901896.6809654145</v>
      </c>
      <c r="CF12" s="125">
        <f t="shared" si="27"/>
        <v>901896.6809654145</v>
      </c>
      <c r="CG12" s="125">
        <f t="shared" si="27"/>
        <v>901896.6809654145</v>
      </c>
      <c r="CH12" s="125">
        <f t="shared" si="27"/>
        <v>901896.6809654145</v>
      </c>
      <c r="CI12" s="125">
        <f t="shared" si="27"/>
        <v>901896.6809654145</v>
      </c>
      <c r="CJ12" s="125">
        <f t="shared" si="27"/>
        <v>901896.6809654145</v>
      </c>
      <c r="CK12" s="125">
        <f t="shared" si="27"/>
        <v>901896.6809654145</v>
      </c>
      <c r="CL12" s="125">
        <f t="shared" si="27"/>
        <v>901896.6809654145</v>
      </c>
      <c r="CM12" s="125">
        <f t="shared" si="27"/>
        <v>901896.6809654145</v>
      </c>
      <c r="CN12" s="125">
        <f t="shared" si="27"/>
        <v>901896.6809654145</v>
      </c>
      <c r="CO12" s="125">
        <f t="shared" si="27"/>
        <v>901896.6809654145</v>
      </c>
      <c r="CP12" s="125">
        <f t="shared" si="27"/>
        <v>901896.6809654145</v>
      </c>
      <c r="CQ12" s="125">
        <f t="shared" si="27"/>
        <v>901896.6809654145</v>
      </c>
      <c r="CR12" s="125">
        <f t="shared" si="27"/>
        <v>901896.6809654145</v>
      </c>
      <c r="CS12" s="125">
        <f t="shared" si="27"/>
        <v>901896.6809654145</v>
      </c>
      <c r="CT12" s="125">
        <f t="shared" si="27"/>
        <v>901896.6809654145</v>
      </c>
      <c r="CU12" s="125">
        <f t="shared" si="27"/>
        <v>901896.6809654145</v>
      </c>
      <c r="CV12" s="125">
        <f t="shared" si="27"/>
        <v>901896.6809654145</v>
      </c>
      <c r="CW12" s="125">
        <f t="shared" si="27"/>
        <v>901896.6809654145</v>
      </c>
      <c r="CX12" s="125">
        <f t="shared" si="27"/>
        <v>901896.6809654145</v>
      </c>
      <c r="CY12" s="125">
        <f t="shared" si="27"/>
        <v>901896.6809654145</v>
      </c>
      <c r="CZ12" s="125">
        <f t="shared" si="27"/>
        <v>901896.6809654145</v>
      </c>
      <c r="DA12" s="125">
        <f t="shared" si="27"/>
        <v>901896.6809654145</v>
      </c>
      <c r="DB12" s="125">
        <f t="shared" si="27"/>
        <v>901896.6809654145</v>
      </c>
      <c r="DC12" s="125">
        <f t="shared" si="27"/>
        <v>901896.6809654145</v>
      </c>
      <c r="DD12" s="125">
        <f t="shared" si="27"/>
        <v>901896.6809654145</v>
      </c>
      <c r="DE12" s="125">
        <f t="shared" si="27"/>
        <v>901896.6809654145</v>
      </c>
      <c r="DF12" s="125">
        <f t="shared" si="27"/>
        <v>901896.6809654145</v>
      </c>
      <c r="DG12" s="125">
        <f t="shared" si="27"/>
        <v>901896.6809654145</v>
      </c>
      <c r="DH12" s="125">
        <f t="shared" si="27"/>
        <v>901896.6809654145</v>
      </c>
      <c r="DI12" s="125">
        <f t="shared" si="27"/>
        <v>901896.6809654145</v>
      </c>
      <c r="DJ12" s="125">
        <f t="shared" si="27"/>
        <v>901896.6809654145</v>
      </c>
      <c r="DK12" s="125">
        <f t="shared" si="27"/>
        <v>901896.6809654145</v>
      </c>
      <c r="DL12" s="125">
        <f t="shared" si="27"/>
        <v>901896.6809654145</v>
      </c>
      <c r="DM12" s="125">
        <f t="shared" si="27"/>
        <v>901896.6809654145</v>
      </c>
      <c r="DN12" s="125">
        <f t="shared" si="27"/>
        <v>901896.6809654145</v>
      </c>
      <c r="DO12" s="125">
        <f t="shared" si="27"/>
        <v>901896.6809654145</v>
      </c>
      <c r="DP12" s="125">
        <f t="shared" si="27"/>
        <v>901896.6809654145</v>
      </c>
      <c r="DQ12" s="125">
        <f t="shared" si="27"/>
        <v>901896.6809654145</v>
      </c>
      <c r="DR12" s="125">
        <f t="shared" si="27"/>
        <v>901896.6809654145</v>
      </c>
      <c r="DS12" s="125">
        <f t="shared" si="27"/>
        <v>901896.6809654145</v>
      </c>
      <c r="DT12" s="125">
        <f t="shared" si="27"/>
        <v>901896.6809654145</v>
      </c>
      <c r="DU12" s="125">
        <f t="shared" si="27"/>
        <v>901896.6809654145</v>
      </c>
      <c r="DV12" s="125">
        <f t="shared" si="27"/>
        <v>901896.6809654145</v>
      </c>
      <c r="DW12" s="125">
        <f t="shared" si="27"/>
        <v>901896.6809654145</v>
      </c>
      <c r="DX12" s="125">
        <f t="shared" si="27"/>
        <v>901896.6809654145</v>
      </c>
      <c r="DY12" s="125">
        <f t="shared" si="27"/>
        <v>901896.6809654145</v>
      </c>
      <c r="DZ12" s="125">
        <f t="shared" si="27"/>
        <v>901896.6809654145</v>
      </c>
      <c r="EA12" s="125">
        <f t="shared" si="27"/>
        <v>901896.6809654145</v>
      </c>
      <c r="EB12" s="125">
        <f t="shared" si="27"/>
        <v>901896.6809654145</v>
      </c>
      <c r="EC12" s="125">
        <f t="shared" si="27"/>
        <v>901896.6809654145</v>
      </c>
      <c r="ED12" s="125">
        <f t="shared" si="27"/>
        <v>901896.6809654145</v>
      </c>
      <c r="EE12" s="125">
        <f t="shared" si="27"/>
        <v>901896.6809654145</v>
      </c>
      <c r="EF12" s="125">
        <f t="shared" si="27"/>
        <v>901896.6809654145</v>
      </c>
      <c r="EG12" s="125">
        <f t="shared" ref="EG12:GR12" si="28">EF12+EG11</f>
        <v>901896.6809654145</v>
      </c>
      <c r="EH12" s="125">
        <f t="shared" si="28"/>
        <v>901896.6809654145</v>
      </c>
      <c r="EI12" s="125">
        <f t="shared" si="28"/>
        <v>901896.6809654145</v>
      </c>
      <c r="EJ12" s="125">
        <f t="shared" si="28"/>
        <v>901896.6809654145</v>
      </c>
      <c r="EK12" s="125">
        <f t="shared" si="28"/>
        <v>901896.6809654145</v>
      </c>
      <c r="EL12" s="125">
        <f t="shared" si="28"/>
        <v>901896.6809654145</v>
      </c>
      <c r="EM12" s="125">
        <f t="shared" si="28"/>
        <v>901896.6809654145</v>
      </c>
      <c r="EN12" s="125">
        <f t="shared" si="28"/>
        <v>901896.6809654145</v>
      </c>
      <c r="EO12" s="125">
        <f t="shared" si="28"/>
        <v>901896.6809654145</v>
      </c>
      <c r="EP12" s="125">
        <f t="shared" si="28"/>
        <v>901896.6809654145</v>
      </c>
      <c r="EQ12" s="125">
        <f t="shared" si="28"/>
        <v>901896.6809654145</v>
      </c>
      <c r="ER12" s="125">
        <f t="shared" si="28"/>
        <v>901896.6809654145</v>
      </c>
      <c r="ES12" s="125">
        <f t="shared" si="28"/>
        <v>901896.6809654145</v>
      </c>
      <c r="ET12" s="125">
        <f t="shared" si="28"/>
        <v>901896.6809654145</v>
      </c>
      <c r="EU12" s="125">
        <f t="shared" si="28"/>
        <v>901896.6809654145</v>
      </c>
      <c r="EV12" s="125">
        <f t="shared" si="28"/>
        <v>901896.6809654145</v>
      </c>
      <c r="EW12" s="125">
        <f t="shared" si="28"/>
        <v>901896.6809654145</v>
      </c>
      <c r="EX12" s="125">
        <f t="shared" si="28"/>
        <v>901896.6809654145</v>
      </c>
      <c r="EY12" s="125">
        <f t="shared" si="28"/>
        <v>901896.6809654145</v>
      </c>
      <c r="EZ12" s="125">
        <f t="shared" si="28"/>
        <v>901896.6809654145</v>
      </c>
      <c r="FA12" s="125">
        <f t="shared" si="28"/>
        <v>901896.6809654145</v>
      </c>
      <c r="FB12" s="125">
        <f t="shared" si="28"/>
        <v>901896.6809654145</v>
      </c>
      <c r="FC12" s="125">
        <f t="shared" si="28"/>
        <v>901896.6809654145</v>
      </c>
      <c r="FD12" s="125">
        <f t="shared" si="28"/>
        <v>901896.6809654145</v>
      </c>
      <c r="FE12" s="125">
        <f t="shared" si="28"/>
        <v>901896.6809654145</v>
      </c>
      <c r="FF12" s="125">
        <f t="shared" si="28"/>
        <v>901896.6809654145</v>
      </c>
      <c r="FG12" s="125">
        <f t="shared" si="28"/>
        <v>901896.6809654145</v>
      </c>
      <c r="FH12" s="125">
        <f t="shared" si="28"/>
        <v>901896.6809654145</v>
      </c>
      <c r="FI12" s="125">
        <f t="shared" si="28"/>
        <v>901896.6809654145</v>
      </c>
      <c r="FJ12" s="125">
        <f t="shared" si="28"/>
        <v>901896.6809654145</v>
      </c>
      <c r="FK12" s="125">
        <f t="shared" si="28"/>
        <v>901896.6809654145</v>
      </c>
      <c r="FL12" s="125">
        <f t="shared" si="28"/>
        <v>901896.6809654145</v>
      </c>
      <c r="FM12" s="125">
        <f t="shared" si="28"/>
        <v>901896.6809654145</v>
      </c>
      <c r="FN12" s="125">
        <f t="shared" si="28"/>
        <v>901896.6809654145</v>
      </c>
      <c r="FO12" s="125">
        <f t="shared" si="28"/>
        <v>901896.6809654145</v>
      </c>
      <c r="FP12" s="125">
        <f t="shared" si="28"/>
        <v>901896.6809654145</v>
      </c>
      <c r="FQ12" s="125">
        <f t="shared" si="28"/>
        <v>901896.6809654145</v>
      </c>
      <c r="FR12" s="125">
        <f t="shared" si="28"/>
        <v>901896.6809654145</v>
      </c>
      <c r="FS12" s="125">
        <f t="shared" si="28"/>
        <v>901896.6809654145</v>
      </c>
      <c r="FT12" s="125">
        <f t="shared" si="28"/>
        <v>901896.6809654145</v>
      </c>
      <c r="FU12" s="125">
        <f t="shared" si="28"/>
        <v>901896.6809654145</v>
      </c>
      <c r="FV12" s="125">
        <f t="shared" si="28"/>
        <v>901896.6809654145</v>
      </c>
      <c r="FW12" s="125">
        <f t="shared" si="28"/>
        <v>901896.6809654145</v>
      </c>
      <c r="FX12" s="125">
        <f t="shared" si="28"/>
        <v>901896.6809654145</v>
      </c>
      <c r="FY12" s="125">
        <f t="shared" si="28"/>
        <v>901896.6809654145</v>
      </c>
      <c r="FZ12" s="125">
        <f t="shared" si="28"/>
        <v>901896.6809654145</v>
      </c>
      <c r="GA12" s="125">
        <f t="shared" si="28"/>
        <v>901896.6809654145</v>
      </c>
      <c r="GB12" s="125">
        <f t="shared" si="28"/>
        <v>901896.6809654145</v>
      </c>
      <c r="GC12" s="125">
        <f t="shared" si="28"/>
        <v>901896.6809654145</v>
      </c>
      <c r="GD12" s="125">
        <f t="shared" si="28"/>
        <v>901896.6809654145</v>
      </c>
      <c r="GE12" s="125">
        <f t="shared" si="28"/>
        <v>901896.6809654145</v>
      </c>
      <c r="GF12" s="125">
        <f t="shared" si="28"/>
        <v>901896.6809654145</v>
      </c>
      <c r="GG12" s="125">
        <f t="shared" si="28"/>
        <v>901896.6809654145</v>
      </c>
      <c r="GH12" s="125">
        <f t="shared" si="28"/>
        <v>901896.6809654145</v>
      </c>
      <c r="GI12" s="125">
        <f t="shared" si="28"/>
        <v>901896.6809654145</v>
      </c>
      <c r="GJ12" s="125">
        <f t="shared" si="28"/>
        <v>901896.6809654145</v>
      </c>
      <c r="GK12" s="125">
        <f t="shared" si="28"/>
        <v>901896.6809654145</v>
      </c>
      <c r="GL12" s="125">
        <f t="shared" si="28"/>
        <v>901896.6809654145</v>
      </c>
      <c r="GM12" s="125">
        <f t="shared" si="28"/>
        <v>901896.6809654145</v>
      </c>
      <c r="GN12" s="125">
        <f t="shared" si="28"/>
        <v>901896.6809654145</v>
      </c>
      <c r="GO12" s="125">
        <f t="shared" si="28"/>
        <v>901896.6809654145</v>
      </c>
      <c r="GP12" s="125">
        <f t="shared" si="28"/>
        <v>901896.6809654145</v>
      </c>
      <c r="GQ12" s="125">
        <f t="shared" si="28"/>
        <v>901896.6809654145</v>
      </c>
      <c r="GR12" s="125">
        <f t="shared" si="28"/>
        <v>901896.6809654145</v>
      </c>
      <c r="GS12" s="125">
        <f t="shared" ref="GS12:JD12" si="29">GR12+GS11</f>
        <v>901896.6809654145</v>
      </c>
      <c r="GT12" s="125">
        <f t="shared" si="29"/>
        <v>901896.6809654145</v>
      </c>
      <c r="GU12" s="125">
        <f t="shared" si="29"/>
        <v>901896.6809654145</v>
      </c>
      <c r="GV12" s="125">
        <f t="shared" si="29"/>
        <v>901896.6809654145</v>
      </c>
      <c r="GW12" s="125">
        <f t="shared" si="29"/>
        <v>901896.6809654145</v>
      </c>
      <c r="GX12" s="125">
        <f t="shared" si="29"/>
        <v>901896.6809654145</v>
      </c>
      <c r="GY12" s="125">
        <f t="shared" si="29"/>
        <v>901896.6809654145</v>
      </c>
      <c r="GZ12" s="125">
        <f t="shared" si="29"/>
        <v>901896.6809654145</v>
      </c>
      <c r="HA12" s="125">
        <f t="shared" si="29"/>
        <v>901896.6809654145</v>
      </c>
      <c r="HB12" s="125">
        <f t="shared" si="29"/>
        <v>901896.6809654145</v>
      </c>
      <c r="HC12" s="125">
        <f t="shared" si="29"/>
        <v>901896.6809654145</v>
      </c>
      <c r="HD12" s="125">
        <f t="shared" si="29"/>
        <v>901896.6809654145</v>
      </c>
      <c r="HE12" s="125">
        <f t="shared" si="29"/>
        <v>901896.6809654145</v>
      </c>
      <c r="HF12" s="125">
        <f t="shared" si="29"/>
        <v>901896.6809654145</v>
      </c>
      <c r="HG12" s="125">
        <f t="shared" si="29"/>
        <v>901896.6809654145</v>
      </c>
      <c r="HH12" s="125">
        <f t="shared" si="29"/>
        <v>901896.6809654145</v>
      </c>
      <c r="HI12" s="125">
        <f t="shared" si="29"/>
        <v>901896.6809654145</v>
      </c>
      <c r="HJ12" s="125">
        <f t="shared" si="29"/>
        <v>901896.6809654145</v>
      </c>
      <c r="HK12" s="125">
        <f t="shared" si="29"/>
        <v>901896.6809654145</v>
      </c>
      <c r="HL12" s="125">
        <f t="shared" si="29"/>
        <v>901896.6809654145</v>
      </c>
      <c r="HM12" s="125">
        <f t="shared" si="29"/>
        <v>901896.6809654145</v>
      </c>
      <c r="HN12" s="125">
        <f t="shared" si="29"/>
        <v>901896.6809654145</v>
      </c>
      <c r="HO12" s="125">
        <f t="shared" si="29"/>
        <v>901896.6809654145</v>
      </c>
      <c r="HP12" s="125">
        <f t="shared" si="29"/>
        <v>901896.6809654145</v>
      </c>
      <c r="HQ12" s="125">
        <f t="shared" si="29"/>
        <v>901896.6809654145</v>
      </c>
      <c r="HR12" s="125">
        <f t="shared" si="29"/>
        <v>901896.6809654145</v>
      </c>
      <c r="HS12" s="125">
        <f t="shared" si="29"/>
        <v>901896.6809654145</v>
      </c>
      <c r="HT12" s="125">
        <f t="shared" si="29"/>
        <v>901896.6809654145</v>
      </c>
      <c r="HU12" s="125">
        <f t="shared" si="29"/>
        <v>901896.6809654145</v>
      </c>
      <c r="HV12" s="125">
        <f t="shared" si="29"/>
        <v>901896.6809654145</v>
      </c>
      <c r="HW12" s="125">
        <f t="shared" si="29"/>
        <v>901896.6809654145</v>
      </c>
      <c r="HX12" s="125">
        <f t="shared" si="29"/>
        <v>901896.6809654145</v>
      </c>
      <c r="HY12" s="125">
        <f t="shared" si="29"/>
        <v>901896.6809654145</v>
      </c>
      <c r="HZ12" s="125">
        <f t="shared" si="29"/>
        <v>901896.6809654145</v>
      </c>
      <c r="IA12" s="125">
        <f t="shared" si="29"/>
        <v>901896.6809654145</v>
      </c>
      <c r="IB12" s="125">
        <f t="shared" si="29"/>
        <v>901896.6809654145</v>
      </c>
      <c r="IC12" s="125">
        <f t="shared" si="29"/>
        <v>901896.6809654145</v>
      </c>
      <c r="ID12" s="125">
        <f t="shared" si="29"/>
        <v>901896.6809654145</v>
      </c>
      <c r="IE12" s="125">
        <f t="shared" si="29"/>
        <v>901896.6809654145</v>
      </c>
      <c r="IF12" s="125">
        <f t="shared" si="29"/>
        <v>901896.6809654145</v>
      </c>
      <c r="IG12" s="125">
        <f t="shared" si="29"/>
        <v>901896.6809654145</v>
      </c>
      <c r="IH12" s="125">
        <f t="shared" si="29"/>
        <v>901896.6809654145</v>
      </c>
      <c r="II12" s="125">
        <f t="shared" si="29"/>
        <v>901896.6809654145</v>
      </c>
      <c r="IJ12" s="125">
        <f t="shared" si="29"/>
        <v>901896.6809654145</v>
      </c>
      <c r="IK12" s="125">
        <f t="shared" si="29"/>
        <v>901896.6809654145</v>
      </c>
      <c r="IL12" s="125">
        <f t="shared" si="29"/>
        <v>901896.6809654145</v>
      </c>
      <c r="IM12" s="125">
        <f t="shared" si="29"/>
        <v>901896.6809654145</v>
      </c>
      <c r="IN12" s="125">
        <f t="shared" si="29"/>
        <v>901896.6809654145</v>
      </c>
      <c r="IO12" s="125">
        <f t="shared" si="29"/>
        <v>901896.6809654145</v>
      </c>
      <c r="IP12" s="125">
        <f t="shared" si="29"/>
        <v>901896.6809654145</v>
      </c>
      <c r="IQ12" s="125">
        <f t="shared" si="29"/>
        <v>901896.6809654145</v>
      </c>
      <c r="IR12" s="125">
        <f t="shared" si="29"/>
        <v>901896.6809654145</v>
      </c>
      <c r="IS12" s="125">
        <f t="shared" si="29"/>
        <v>901896.6809654145</v>
      </c>
      <c r="IT12" s="125">
        <f t="shared" si="29"/>
        <v>901896.6809654145</v>
      </c>
      <c r="IU12" s="125">
        <f t="shared" si="29"/>
        <v>901896.6809654145</v>
      </c>
      <c r="IV12" s="125">
        <f t="shared" si="29"/>
        <v>901896.6809654145</v>
      </c>
      <c r="IW12" s="125">
        <f t="shared" si="29"/>
        <v>901896.6809654145</v>
      </c>
      <c r="IX12" s="125">
        <f t="shared" si="29"/>
        <v>901896.6809654145</v>
      </c>
      <c r="IY12" s="125">
        <f t="shared" si="29"/>
        <v>901896.6809654145</v>
      </c>
      <c r="IZ12" s="125">
        <f t="shared" si="29"/>
        <v>901896.6809654145</v>
      </c>
      <c r="JA12" s="125">
        <f t="shared" si="29"/>
        <v>901896.6809654145</v>
      </c>
      <c r="JB12" s="125">
        <f t="shared" si="29"/>
        <v>901896.6809654145</v>
      </c>
      <c r="JC12" s="125">
        <f t="shared" si="29"/>
        <v>901896.6809654145</v>
      </c>
      <c r="JD12" s="125">
        <f t="shared" si="29"/>
        <v>901896.6809654145</v>
      </c>
      <c r="JE12" s="125">
        <f t="shared" ref="JE12:KF12" si="30">JD12+JE11</f>
        <v>901896.6809654145</v>
      </c>
      <c r="JF12" s="125">
        <f t="shared" si="30"/>
        <v>901896.6809654145</v>
      </c>
      <c r="JG12" s="125">
        <f t="shared" si="30"/>
        <v>901896.6809654145</v>
      </c>
      <c r="JH12" s="125">
        <f t="shared" si="30"/>
        <v>901896.6809654145</v>
      </c>
      <c r="JI12" s="125">
        <f t="shared" si="30"/>
        <v>901896.6809654145</v>
      </c>
      <c r="JJ12" s="125">
        <f t="shared" si="30"/>
        <v>901896.6809654145</v>
      </c>
      <c r="JK12" s="125">
        <f t="shared" si="30"/>
        <v>901896.6809654145</v>
      </c>
      <c r="JL12" s="125">
        <f t="shared" si="30"/>
        <v>901896.6809654145</v>
      </c>
      <c r="JM12" s="125">
        <f t="shared" si="30"/>
        <v>901896.6809654145</v>
      </c>
      <c r="JN12" s="125">
        <f t="shared" si="30"/>
        <v>901896.6809654145</v>
      </c>
      <c r="JO12" s="125">
        <f t="shared" si="30"/>
        <v>901896.6809654145</v>
      </c>
      <c r="JP12" s="125">
        <f t="shared" si="30"/>
        <v>901896.6809654145</v>
      </c>
      <c r="JQ12" s="125">
        <f t="shared" si="30"/>
        <v>901896.6809654145</v>
      </c>
      <c r="JR12" s="125">
        <f t="shared" si="30"/>
        <v>901896.6809654145</v>
      </c>
      <c r="JS12" s="125">
        <f t="shared" si="30"/>
        <v>901896.6809654145</v>
      </c>
      <c r="JT12" s="125">
        <f t="shared" si="30"/>
        <v>901896.6809654145</v>
      </c>
      <c r="JU12" s="125">
        <f t="shared" si="30"/>
        <v>901896.6809654145</v>
      </c>
      <c r="JV12" s="125">
        <f t="shared" si="30"/>
        <v>901896.6809654145</v>
      </c>
      <c r="JW12" s="125">
        <f t="shared" si="30"/>
        <v>901896.6809654145</v>
      </c>
      <c r="JX12" s="125">
        <f t="shared" si="30"/>
        <v>901896.6809654145</v>
      </c>
      <c r="JY12" s="125">
        <f t="shared" si="30"/>
        <v>901896.6809654145</v>
      </c>
      <c r="JZ12" s="125">
        <f t="shared" si="30"/>
        <v>901896.6809654145</v>
      </c>
      <c r="KA12" s="125">
        <f t="shared" si="30"/>
        <v>901896.6809654145</v>
      </c>
      <c r="KB12" s="125">
        <f t="shared" si="30"/>
        <v>901896.6809654145</v>
      </c>
      <c r="KC12" s="125">
        <f t="shared" si="30"/>
        <v>901896.6809654145</v>
      </c>
      <c r="KD12" s="125">
        <f t="shared" si="30"/>
        <v>901896.6809654145</v>
      </c>
      <c r="KE12" s="125">
        <f t="shared" si="30"/>
        <v>901896.6809654145</v>
      </c>
      <c r="KF12" s="125">
        <f t="shared" si="30"/>
        <v>901896.6809654145</v>
      </c>
      <c r="KG12" s="102"/>
      <c r="KH12" s="113"/>
    </row>
    <row r="13" spans="1:770" s="102" customFormat="1">
      <c r="A13" s="72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8"/>
      <c r="B14" s="115" t="s">
        <v>411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706103.15861657879</v>
      </c>
      <c r="U14" s="118">
        <f t="shared" si="32"/>
        <v>638311.5686165787</v>
      </c>
      <c r="V14" s="118">
        <f t="shared" si="32"/>
        <v>1142217.2356481841</v>
      </c>
      <c r="W14" s="118">
        <f t="shared" si="32"/>
        <v>1087983.963648184</v>
      </c>
      <c r="X14" s="118">
        <f t="shared" si="32"/>
        <v>1087983.963648184</v>
      </c>
      <c r="Y14" s="118">
        <f t="shared" si="32"/>
        <v>1020192.373648184</v>
      </c>
      <c r="Z14" s="118">
        <f t="shared" si="32"/>
        <v>791029.97268276964</v>
      </c>
      <c r="AA14" s="118">
        <f t="shared" si="32"/>
        <v>891048.08626774326</v>
      </c>
      <c r="AB14" s="118">
        <f t="shared" si="32"/>
        <v>878470.58626774326</v>
      </c>
      <c r="AC14" s="118">
        <f t="shared" si="32"/>
        <v>512092.24626774318</v>
      </c>
      <c r="AD14" s="118">
        <f t="shared" si="32"/>
        <v>498533.92826774321</v>
      </c>
      <c r="AE14" s="118">
        <f t="shared" si="32"/>
        <v>498008.92826774321</v>
      </c>
      <c r="AF14" s="118">
        <f t="shared" si="32"/>
        <v>498008.92826774321</v>
      </c>
      <c r="AG14" s="118">
        <f t="shared" si="32"/>
        <v>498008.92826774321</v>
      </c>
      <c r="AH14" s="118">
        <f t="shared" si="32"/>
        <v>498008.92826774321</v>
      </c>
      <c r="AI14" s="118">
        <f t="shared" si="32"/>
        <v>497483.92826774321</v>
      </c>
      <c r="AJ14" s="118">
        <f t="shared" si="32"/>
        <v>497483.92826774321</v>
      </c>
      <c r="AK14" s="118">
        <f t="shared" si="32"/>
        <v>497483.92826774321</v>
      </c>
      <c r="AL14" s="118">
        <f t="shared" si="32"/>
        <v>497483.92826774321</v>
      </c>
      <c r="AM14" s="118">
        <f t="shared" si="32"/>
        <v>497483.92826774321</v>
      </c>
      <c r="AN14" s="118">
        <f t="shared" si="32"/>
        <v>497483.92826774321</v>
      </c>
      <c r="AO14" s="118">
        <f t="shared" si="32"/>
        <v>497483.92826774321</v>
      </c>
      <c r="AP14" s="118">
        <f t="shared" si="32"/>
        <v>497483.92826774321</v>
      </c>
      <c r="AQ14" s="118">
        <f t="shared" si="32"/>
        <v>497483.92826774321</v>
      </c>
      <c r="AR14" s="118">
        <f t="shared" si="32"/>
        <v>497483.92826774321</v>
      </c>
      <c r="AS14" s="118">
        <f t="shared" si="32"/>
        <v>497483.92826774321</v>
      </c>
      <c r="AT14" s="118">
        <f t="shared" si="32"/>
        <v>497483.92826774321</v>
      </c>
      <c r="AU14" s="118">
        <f t="shared" si="32"/>
        <v>497483.92826774321</v>
      </c>
      <c r="AV14" s="118">
        <f t="shared" si="32"/>
        <v>497483.92826774321</v>
      </c>
      <c r="AW14" s="118">
        <f t="shared" si="32"/>
        <v>497483.92826774321</v>
      </c>
      <c r="AX14" s="118">
        <f t="shared" si="32"/>
        <v>497483.92826774321</v>
      </c>
      <c r="AY14" s="118">
        <f t="shared" si="32"/>
        <v>497483.92826774321</v>
      </c>
      <c r="AZ14" s="118">
        <f t="shared" si="32"/>
        <v>497483.92826774321</v>
      </c>
      <c r="BA14" s="118">
        <f t="shared" si="32"/>
        <v>497483.92826774321</v>
      </c>
      <c r="BB14" s="118">
        <f t="shared" si="32"/>
        <v>497483.92826774321</v>
      </c>
      <c r="BC14" s="118">
        <f t="shared" si="32"/>
        <v>497483.92826774321</v>
      </c>
      <c r="BD14" s="118">
        <f t="shared" si="32"/>
        <v>497483.92826774321</v>
      </c>
      <c r="BE14" s="118">
        <f t="shared" si="32"/>
        <v>497483.92826774321</v>
      </c>
      <c r="BF14" s="118">
        <f t="shared" si="32"/>
        <v>497483.92826774321</v>
      </c>
      <c r="BG14" s="118">
        <f t="shared" si="32"/>
        <v>497483.92826774321</v>
      </c>
      <c r="BH14" s="118">
        <f t="shared" si="32"/>
        <v>497483.92826774321</v>
      </c>
      <c r="BI14" s="118">
        <f t="shared" si="32"/>
        <v>497483.92826774321</v>
      </c>
      <c r="BJ14" s="118">
        <f t="shared" si="32"/>
        <v>497483.92826774321</v>
      </c>
      <c r="BK14" s="118">
        <f t="shared" si="32"/>
        <v>497483.92826774321</v>
      </c>
      <c r="BL14" s="118">
        <f t="shared" si="32"/>
        <v>497483.92826774321</v>
      </c>
      <c r="BM14" s="118">
        <f t="shared" si="32"/>
        <v>497483.92826774321</v>
      </c>
      <c r="BN14" s="118">
        <f t="shared" si="32"/>
        <v>497483.92826774321</v>
      </c>
      <c r="BO14" s="118">
        <f t="shared" si="32"/>
        <v>497483.92826774321</v>
      </c>
      <c r="BP14" s="118">
        <f t="shared" si="32"/>
        <v>497483.92826774321</v>
      </c>
      <c r="BQ14" s="118">
        <f t="shared" si="32"/>
        <v>497483.92826774321</v>
      </c>
      <c r="BR14" s="118">
        <f t="shared" si="32"/>
        <v>497483.92826774321</v>
      </c>
      <c r="BS14" s="118">
        <f t="shared" si="32"/>
        <v>497483.92826774321</v>
      </c>
      <c r="BT14" s="118">
        <f t="shared" si="32"/>
        <v>497483.92826774321</v>
      </c>
      <c r="BU14" s="118">
        <f t="shared" ref="BU14:EF14" si="33">BU10-BU12</f>
        <v>497483.92826774321</v>
      </c>
      <c r="BV14" s="118">
        <f t="shared" si="33"/>
        <v>497483.92826774321</v>
      </c>
      <c r="BW14" s="118">
        <f t="shared" si="33"/>
        <v>497483.92826774321</v>
      </c>
      <c r="BX14" s="118">
        <f t="shared" si="33"/>
        <v>497483.92826774321</v>
      </c>
      <c r="BY14" s="118">
        <f t="shared" si="33"/>
        <v>497483.92826774321</v>
      </c>
      <c r="BZ14" s="118">
        <f t="shared" si="33"/>
        <v>497483.92826774321</v>
      </c>
      <c r="CA14" s="118">
        <f t="shared" si="33"/>
        <v>497483.92826774321</v>
      </c>
      <c r="CB14" s="118">
        <f t="shared" si="33"/>
        <v>497483.92826774321</v>
      </c>
      <c r="CC14" s="118">
        <f t="shared" si="33"/>
        <v>497483.92826774321</v>
      </c>
      <c r="CD14" s="118">
        <f t="shared" si="33"/>
        <v>497483.92826774321</v>
      </c>
      <c r="CE14" s="118">
        <f t="shared" si="33"/>
        <v>497483.92826774321</v>
      </c>
      <c r="CF14" s="118">
        <f t="shared" si="33"/>
        <v>497483.92826774321</v>
      </c>
      <c r="CG14" s="118">
        <f t="shared" si="33"/>
        <v>497483.92826774321</v>
      </c>
      <c r="CH14" s="118">
        <f t="shared" si="33"/>
        <v>497483.92826774321</v>
      </c>
      <c r="CI14" s="118">
        <f t="shared" si="33"/>
        <v>497483.92826774321</v>
      </c>
      <c r="CJ14" s="118">
        <f t="shared" si="33"/>
        <v>497483.92826774321</v>
      </c>
      <c r="CK14" s="118">
        <f t="shared" si="33"/>
        <v>497483.92826774321</v>
      </c>
      <c r="CL14" s="118">
        <f t="shared" si="33"/>
        <v>497483.92826774321</v>
      </c>
      <c r="CM14" s="118">
        <f t="shared" si="33"/>
        <v>497483.92826774321</v>
      </c>
      <c r="CN14" s="118">
        <f t="shared" si="33"/>
        <v>497483.92826774321</v>
      </c>
      <c r="CO14" s="118">
        <f t="shared" si="33"/>
        <v>497483.92826774321</v>
      </c>
      <c r="CP14" s="118">
        <f t="shared" si="33"/>
        <v>497483.92826774321</v>
      </c>
      <c r="CQ14" s="118">
        <f t="shared" si="33"/>
        <v>497483.92826774321</v>
      </c>
      <c r="CR14" s="118">
        <f t="shared" si="33"/>
        <v>497483.92826774321</v>
      </c>
      <c r="CS14" s="118">
        <f t="shared" si="33"/>
        <v>497483.92826774321</v>
      </c>
      <c r="CT14" s="118">
        <f t="shared" si="33"/>
        <v>497483.92826774321</v>
      </c>
      <c r="CU14" s="118">
        <f t="shared" si="33"/>
        <v>497483.92826774321</v>
      </c>
      <c r="CV14" s="118">
        <f t="shared" si="33"/>
        <v>497483.92826774321</v>
      </c>
      <c r="CW14" s="118">
        <f t="shared" si="33"/>
        <v>497483.92826774321</v>
      </c>
      <c r="CX14" s="118">
        <f t="shared" si="33"/>
        <v>497483.92826774321</v>
      </c>
      <c r="CY14" s="118">
        <f t="shared" si="33"/>
        <v>497483.92826774321</v>
      </c>
      <c r="CZ14" s="118">
        <f t="shared" si="33"/>
        <v>497483.92826774321</v>
      </c>
      <c r="DA14" s="118">
        <f t="shared" si="33"/>
        <v>497483.92826774321</v>
      </c>
      <c r="DB14" s="118">
        <f t="shared" si="33"/>
        <v>497483.92826774321</v>
      </c>
      <c r="DC14" s="118">
        <f t="shared" si="33"/>
        <v>497483.92826774321</v>
      </c>
      <c r="DD14" s="118">
        <f t="shared" si="33"/>
        <v>497483.92826774321</v>
      </c>
      <c r="DE14" s="118">
        <f t="shared" si="33"/>
        <v>497483.92826774321</v>
      </c>
      <c r="DF14" s="118">
        <f t="shared" si="33"/>
        <v>497483.92826774321</v>
      </c>
      <c r="DG14" s="118">
        <f t="shared" si="33"/>
        <v>497483.92826774321</v>
      </c>
      <c r="DH14" s="118">
        <f t="shared" si="33"/>
        <v>497483.92826774321</v>
      </c>
      <c r="DI14" s="118">
        <f t="shared" si="33"/>
        <v>497483.92826774321</v>
      </c>
      <c r="DJ14" s="118">
        <f t="shared" si="33"/>
        <v>497483.92826774321</v>
      </c>
      <c r="DK14" s="118">
        <f t="shared" si="33"/>
        <v>497483.92826774321</v>
      </c>
      <c r="DL14" s="118">
        <f t="shared" si="33"/>
        <v>497483.92826774321</v>
      </c>
      <c r="DM14" s="118">
        <f t="shared" si="33"/>
        <v>497483.92826774321</v>
      </c>
      <c r="DN14" s="118">
        <f t="shared" si="33"/>
        <v>497483.92826774321</v>
      </c>
      <c r="DO14" s="118">
        <f t="shared" si="33"/>
        <v>497483.92826774321</v>
      </c>
      <c r="DP14" s="118">
        <f t="shared" si="33"/>
        <v>497483.92826774321</v>
      </c>
      <c r="DQ14" s="118">
        <f t="shared" si="33"/>
        <v>497483.92826774321</v>
      </c>
      <c r="DR14" s="118">
        <f t="shared" si="33"/>
        <v>497483.92826774321</v>
      </c>
      <c r="DS14" s="118">
        <f t="shared" si="33"/>
        <v>497483.92826774321</v>
      </c>
      <c r="DT14" s="118">
        <f t="shared" si="33"/>
        <v>497483.92826774321</v>
      </c>
      <c r="DU14" s="118">
        <f t="shared" si="33"/>
        <v>497483.92826774321</v>
      </c>
      <c r="DV14" s="118">
        <f t="shared" si="33"/>
        <v>497483.92826774321</v>
      </c>
      <c r="DW14" s="118">
        <f t="shared" si="33"/>
        <v>497483.92826774321</v>
      </c>
      <c r="DX14" s="118">
        <f t="shared" si="33"/>
        <v>497483.92826774321</v>
      </c>
      <c r="DY14" s="118">
        <f t="shared" si="33"/>
        <v>497483.92826774321</v>
      </c>
      <c r="DZ14" s="118">
        <f t="shared" si="33"/>
        <v>497483.92826774321</v>
      </c>
      <c r="EA14" s="118">
        <f t="shared" si="33"/>
        <v>497483.92826774321</v>
      </c>
      <c r="EB14" s="118">
        <f t="shared" si="33"/>
        <v>497483.92826774321</v>
      </c>
      <c r="EC14" s="118">
        <f t="shared" si="33"/>
        <v>497483.92826774321</v>
      </c>
      <c r="ED14" s="118">
        <f t="shared" si="33"/>
        <v>497483.92826774321</v>
      </c>
      <c r="EE14" s="118">
        <f t="shared" si="33"/>
        <v>497483.92826774321</v>
      </c>
      <c r="EF14" s="118">
        <f t="shared" si="33"/>
        <v>497483.92826774321</v>
      </c>
      <c r="EG14" s="118">
        <f t="shared" ref="EG14:GR14" si="34">EG10-EG12</f>
        <v>497483.92826774321</v>
      </c>
      <c r="EH14" s="118">
        <f t="shared" si="34"/>
        <v>497483.92826774321</v>
      </c>
      <c r="EI14" s="118">
        <f t="shared" si="34"/>
        <v>497483.92826774321</v>
      </c>
      <c r="EJ14" s="118">
        <f t="shared" si="34"/>
        <v>497483.92826774321</v>
      </c>
      <c r="EK14" s="118">
        <f t="shared" si="34"/>
        <v>497483.92826774321</v>
      </c>
      <c r="EL14" s="118">
        <f t="shared" si="34"/>
        <v>497483.92826774321</v>
      </c>
      <c r="EM14" s="118">
        <f t="shared" si="34"/>
        <v>497483.92826774321</v>
      </c>
      <c r="EN14" s="118">
        <f t="shared" si="34"/>
        <v>497483.92826774321</v>
      </c>
      <c r="EO14" s="118">
        <f t="shared" si="34"/>
        <v>497483.92826774321</v>
      </c>
      <c r="EP14" s="118">
        <f t="shared" si="34"/>
        <v>497483.92826774321</v>
      </c>
      <c r="EQ14" s="118">
        <f t="shared" si="34"/>
        <v>497483.92826774321</v>
      </c>
      <c r="ER14" s="118">
        <f t="shared" si="34"/>
        <v>497483.92826774321</v>
      </c>
      <c r="ES14" s="118">
        <f t="shared" si="34"/>
        <v>497483.92826774321</v>
      </c>
      <c r="ET14" s="118">
        <f t="shared" si="34"/>
        <v>497483.92826774321</v>
      </c>
      <c r="EU14" s="118">
        <f t="shared" si="34"/>
        <v>497483.92826774321</v>
      </c>
      <c r="EV14" s="118">
        <f t="shared" si="34"/>
        <v>497483.92826774321</v>
      </c>
      <c r="EW14" s="118">
        <f t="shared" si="34"/>
        <v>497483.92826774321</v>
      </c>
      <c r="EX14" s="118">
        <f t="shared" si="34"/>
        <v>497483.92826774321</v>
      </c>
      <c r="EY14" s="118">
        <f t="shared" si="34"/>
        <v>497483.92826774321</v>
      </c>
      <c r="EZ14" s="118">
        <f t="shared" si="34"/>
        <v>497483.92826774321</v>
      </c>
      <c r="FA14" s="118">
        <f t="shared" si="34"/>
        <v>497483.92826774321</v>
      </c>
      <c r="FB14" s="118">
        <f t="shared" si="34"/>
        <v>497483.92826774321</v>
      </c>
      <c r="FC14" s="118">
        <f t="shared" si="34"/>
        <v>497483.92826774321</v>
      </c>
      <c r="FD14" s="118">
        <f t="shared" si="34"/>
        <v>497483.92826774321</v>
      </c>
      <c r="FE14" s="118">
        <f t="shared" si="34"/>
        <v>497483.92826774321</v>
      </c>
      <c r="FF14" s="118">
        <f t="shared" si="34"/>
        <v>497483.92826774321</v>
      </c>
      <c r="FG14" s="118">
        <f t="shared" si="34"/>
        <v>497483.92826774321</v>
      </c>
      <c r="FH14" s="118">
        <f t="shared" si="34"/>
        <v>497483.92826774321</v>
      </c>
      <c r="FI14" s="118">
        <f t="shared" si="34"/>
        <v>497483.92826774321</v>
      </c>
      <c r="FJ14" s="118">
        <f t="shared" si="34"/>
        <v>497483.92826774321</v>
      </c>
      <c r="FK14" s="118">
        <f t="shared" si="34"/>
        <v>497483.92826774321</v>
      </c>
      <c r="FL14" s="118">
        <f t="shared" si="34"/>
        <v>497483.92826774321</v>
      </c>
      <c r="FM14" s="118">
        <f t="shared" si="34"/>
        <v>497483.92826774321</v>
      </c>
      <c r="FN14" s="118">
        <f t="shared" si="34"/>
        <v>497483.92826774321</v>
      </c>
      <c r="FO14" s="118">
        <f t="shared" si="34"/>
        <v>497483.92826774321</v>
      </c>
      <c r="FP14" s="118">
        <f t="shared" si="34"/>
        <v>497483.92826774321</v>
      </c>
      <c r="FQ14" s="118">
        <f t="shared" si="34"/>
        <v>497483.92826774321</v>
      </c>
      <c r="FR14" s="118">
        <f t="shared" si="34"/>
        <v>497483.92826774321</v>
      </c>
      <c r="FS14" s="118">
        <f t="shared" si="34"/>
        <v>497483.92826774321</v>
      </c>
      <c r="FT14" s="118">
        <f t="shared" si="34"/>
        <v>497483.92826774321</v>
      </c>
      <c r="FU14" s="118">
        <f t="shared" si="34"/>
        <v>497483.92826774321</v>
      </c>
      <c r="FV14" s="118">
        <f t="shared" si="34"/>
        <v>497483.92826774321</v>
      </c>
      <c r="FW14" s="118">
        <f t="shared" si="34"/>
        <v>497483.92826774321</v>
      </c>
      <c r="FX14" s="118">
        <f t="shared" si="34"/>
        <v>497483.92826774321</v>
      </c>
      <c r="FY14" s="118">
        <f t="shared" si="34"/>
        <v>497483.92826774321</v>
      </c>
      <c r="FZ14" s="118">
        <f t="shared" si="34"/>
        <v>497483.92826774321</v>
      </c>
      <c r="GA14" s="118">
        <f t="shared" si="34"/>
        <v>497483.92826774321</v>
      </c>
      <c r="GB14" s="118">
        <f t="shared" si="34"/>
        <v>497483.92826774321</v>
      </c>
      <c r="GC14" s="118">
        <f t="shared" si="34"/>
        <v>497483.92826774321</v>
      </c>
      <c r="GD14" s="118">
        <f t="shared" si="34"/>
        <v>497483.92826774321</v>
      </c>
      <c r="GE14" s="118">
        <f t="shared" si="34"/>
        <v>497483.92826774321</v>
      </c>
      <c r="GF14" s="118">
        <f t="shared" si="34"/>
        <v>497483.92826774321</v>
      </c>
      <c r="GG14" s="118">
        <f t="shared" si="34"/>
        <v>497483.92826774321</v>
      </c>
      <c r="GH14" s="118">
        <f t="shared" si="34"/>
        <v>497483.92826774321</v>
      </c>
      <c r="GI14" s="118">
        <f t="shared" si="34"/>
        <v>497483.92826774321</v>
      </c>
      <c r="GJ14" s="118">
        <f t="shared" si="34"/>
        <v>497483.92826774321</v>
      </c>
      <c r="GK14" s="118">
        <f t="shared" si="34"/>
        <v>497483.92826774321</v>
      </c>
      <c r="GL14" s="118">
        <f t="shared" si="34"/>
        <v>497483.92826774321</v>
      </c>
      <c r="GM14" s="118">
        <f t="shared" si="34"/>
        <v>497483.92826774321</v>
      </c>
      <c r="GN14" s="118">
        <f t="shared" si="34"/>
        <v>497483.92826774321</v>
      </c>
      <c r="GO14" s="118">
        <f t="shared" si="34"/>
        <v>497483.92826774321</v>
      </c>
      <c r="GP14" s="118">
        <f t="shared" si="34"/>
        <v>497483.92826774321</v>
      </c>
      <c r="GQ14" s="118">
        <f t="shared" si="34"/>
        <v>497483.92826774321</v>
      </c>
      <c r="GR14" s="118">
        <f t="shared" si="34"/>
        <v>497483.92826774321</v>
      </c>
      <c r="GS14" s="118">
        <f t="shared" ref="GS14:JD14" si="35">GS10-GS12</f>
        <v>497483.92826774321</v>
      </c>
      <c r="GT14" s="118">
        <f t="shared" si="35"/>
        <v>497483.92826774321</v>
      </c>
      <c r="GU14" s="118">
        <f t="shared" si="35"/>
        <v>497483.92826774321</v>
      </c>
      <c r="GV14" s="118">
        <f t="shared" si="35"/>
        <v>497483.92826774321</v>
      </c>
      <c r="GW14" s="118">
        <f t="shared" si="35"/>
        <v>497483.92826774321</v>
      </c>
      <c r="GX14" s="118">
        <f t="shared" si="35"/>
        <v>497483.92826774321</v>
      </c>
      <c r="GY14" s="118">
        <f t="shared" si="35"/>
        <v>497483.92826774321</v>
      </c>
      <c r="GZ14" s="118">
        <f t="shared" si="35"/>
        <v>497483.92826774321</v>
      </c>
      <c r="HA14" s="118">
        <f t="shared" si="35"/>
        <v>497483.92826774321</v>
      </c>
      <c r="HB14" s="118">
        <f t="shared" si="35"/>
        <v>497483.92826774321</v>
      </c>
      <c r="HC14" s="118">
        <f t="shared" si="35"/>
        <v>497483.92826774321</v>
      </c>
      <c r="HD14" s="118">
        <f t="shared" si="35"/>
        <v>497483.92826774321</v>
      </c>
      <c r="HE14" s="118">
        <f t="shared" si="35"/>
        <v>497483.92826774321</v>
      </c>
      <c r="HF14" s="118">
        <f t="shared" si="35"/>
        <v>497483.92826774321</v>
      </c>
      <c r="HG14" s="118">
        <f t="shared" si="35"/>
        <v>497483.92826774321</v>
      </c>
      <c r="HH14" s="118">
        <f t="shared" si="35"/>
        <v>497483.92826774321</v>
      </c>
      <c r="HI14" s="118">
        <f t="shared" si="35"/>
        <v>497483.92826774321</v>
      </c>
      <c r="HJ14" s="118">
        <f t="shared" si="35"/>
        <v>497483.92826774321</v>
      </c>
      <c r="HK14" s="118">
        <f t="shared" si="35"/>
        <v>497483.92826774321</v>
      </c>
      <c r="HL14" s="118">
        <f t="shared" si="35"/>
        <v>497483.92826774321</v>
      </c>
      <c r="HM14" s="118">
        <f t="shared" si="35"/>
        <v>497483.92826774321</v>
      </c>
      <c r="HN14" s="118">
        <f t="shared" si="35"/>
        <v>497483.92826774321</v>
      </c>
      <c r="HO14" s="118">
        <f t="shared" si="35"/>
        <v>497483.92826774321</v>
      </c>
      <c r="HP14" s="118">
        <f t="shared" si="35"/>
        <v>497483.92826774321</v>
      </c>
      <c r="HQ14" s="118">
        <f t="shared" si="35"/>
        <v>497483.92826774321</v>
      </c>
      <c r="HR14" s="118">
        <f t="shared" si="35"/>
        <v>497483.92826774321</v>
      </c>
      <c r="HS14" s="118">
        <f t="shared" si="35"/>
        <v>497483.92826774321</v>
      </c>
      <c r="HT14" s="118">
        <f t="shared" si="35"/>
        <v>497483.92826774321</v>
      </c>
      <c r="HU14" s="118">
        <f t="shared" si="35"/>
        <v>497483.92826774321</v>
      </c>
      <c r="HV14" s="118">
        <f t="shared" si="35"/>
        <v>497483.92826774321</v>
      </c>
      <c r="HW14" s="118">
        <f t="shared" si="35"/>
        <v>497483.92826774321</v>
      </c>
      <c r="HX14" s="118">
        <f t="shared" si="35"/>
        <v>497483.92826774321</v>
      </c>
      <c r="HY14" s="118">
        <f t="shared" si="35"/>
        <v>497483.92826774321</v>
      </c>
      <c r="HZ14" s="118">
        <f t="shared" si="35"/>
        <v>497483.92826774321</v>
      </c>
      <c r="IA14" s="118">
        <f t="shared" si="35"/>
        <v>497483.92826774321</v>
      </c>
      <c r="IB14" s="118">
        <f t="shared" si="35"/>
        <v>497483.92826774321</v>
      </c>
      <c r="IC14" s="118">
        <f t="shared" si="35"/>
        <v>497483.92826774321</v>
      </c>
      <c r="ID14" s="118">
        <f t="shared" si="35"/>
        <v>497483.92826774321</v>
      </c>
      <c r="IE14" s="118">
        <f t="shared" si="35"/>
        <v>497483.92826774321</v>
      </c>
      <c r="IF14" s="118">
        <f t="shared" si="35"/>
        <v>497483.92826774321</v>
      </c>
      <c r="IG14" s="118">
        <f t="shared" si="35"/>
        <v>497483.92826774321</v>
      </c>
      <c r="IH14" s="118">
        <f t="shared" si="35"/>
        <v>497483.92826774321</v>
      </c>
      <c r="II14" s="118">
        <f t="shared" si="35"/>
        <v>497483.92826774321</v>
      </c>
      <c r="IJ14" s="118">
        <f t="shared" si="35"/>
        <v>497483.92826774321</v>
      </c>
      <c r="IK14" s="118">
        <f t="shared" si="35"/>
        <v>497483.92826774321</v>
      </c>
      <c r="IL14" s="118">
        <f t="shared" si="35"/>
        <v>497483.92826774321</v>
      </c>
      <c r="IM14" s="118">
        <f t="shared" si="35"/>
        <v>497483.92826774321</v>
      </c>
      <c r="IN14" s="118">
        <f t="shared" si="35"/>
        <v>497483.92826774321</v>
      </c>
      <c r="IO14" s="118">
        <f t="shared" si="35"/>
        <v>497483.92826774321</v>
      </c>
      <c r="IP14" s="118">
        <f t="shared" si="35"/>
        <v>497483.92826774321</v>
      </c>
      <c r="IQ14" s="118">
        <f t="shared" si="35"/>
        <v>497483.92826774321</v>
      </c>
      <c r="IR14" s="118">
        <f t="shared" si="35"/>
        <v>497483.92826774321</v>
      </c>
      <c r="IS14" s="118">
        <f t="shared" si="35"/>
        <v>497483.92826774321</v>
      </c>
      <c r="IT14" s="118">
        <f t="shared" si="35"/>
        <v>497483.92826774321</v>
      </c>
      <c r="IU14" s="118">
        <f t="shared" si="35"/>
        <v>497483.92826774321</v>
      </c>
      <c r="IV14" s="118">
        <f t="shared" si="35"/>
        <v>497483.92826774321</v>
      </c>
      <c r="IW14" s="118">
        <f t="shared" si="35"/>
        <v>497483.92826774321</v>
      </c>
      <c r="IX14" s="118">
        <f t="shared" si="35"/>
        <v>497483.92826774321</v>
      </c>
      <c r="IY14" s="118">
        <f t="shared" si="35"/>
        <v>497483.92826774321</v>
      </c>
      <c r="IZ14" s="118">
        <f t="shared" si="35"/>
        <v>497483.92826774321</v>
      </c>
      <c r="JA14" s="118">
        <f t="shared" si="35"/>
        <v>497483.92826774321</v>
      </c>
      <c r="JB14" s="118">
        <f t="shared" si="35"/>
        <v>497483.92826774321</v>
      </c>
      <c r="JC14" s="118">
        <f t="shared" si="35"/>
        <v>497483.92826774321</v>
      </c>
      <c r="JD14" s="118">
        <f t="shared" si="35"/>
        <v>497483.92826774321</v>
      </c>
      <c r="JE14" s="118">
        <f t="shared" ref="JE14:KF14" si="36">JE10-JE12</f>
        <v>497483.92826774321</v>
      </c>
      <c r="JF14" s="118">
        <f t="shared" si="36"/>
        <v>497483.92826774321</v>
      </c>
      <c r="JG14" s="118">
        <f t="shared" si="36"/>
        <v>497483.92826774321</v>
      </c>
      <c r="JH14" s="118">
        <f t="shared" si="36"/>
        <v>497483.92826774321</v>
      </c>
      <c r="JI14" s="118">
        <f t="shared" si="36"/>
        <v>497483.92826774321</v>
      </c>
      <c r="JJ14" s="118">
        <f t="shared" si="36"/>
        <v>497483.92826774321</v>
      </c>
      <c r="JK14" s="118">
        <f t="shared" si="36"/>
        <v>497483.92826774321</v>
      </c>
      <c r="JL14" s="118">
        <f t="shared" si="36"/>
        <v>497483.92826774321</v>
      </c>
      <c r="JM14" s="118">
        <f t="shared" si="36"/>
        <v>497483.92826774321</v>
      </c>
      <c r="JN14" s="118">
        <f t="shared" si="36"/>
        <v>497483.92826774321</v>
      </c>
      <c r="JO14" s="118">
        <f t="shared" si="36"/>
        <v>497483.92826774321</v>
      </c>
      <c r="JP14" s="118">
        <f t="shared" si="36"/>
        <v>497483.92826774321</v>
      </c>
      <c r="JQ14" s="118">
        <f t="shared" si="36"/>
        <v>497483.92826774321</v>
      </c>
      <c r="JR14" s="118">
        <f t="shared" si="36"/>
        <v>497483.92826774321</v>
      </c>
      <c r="JS14" s="118">
        <f t="shared" si="36"/>
        <v>497483.92826774321</v>
      </c>
      <c r="JT14" s="118">
        <f t="shared" si="36"/>
        <v>497483.92826774321</v>
      </c>
      <c r="JU14" s="118">
        <f t="shared" si="36"/>
        <v>497483.92826774321</v>
      </c>
      <c r="JV14" s="118">
        <f t="shared" si="36"/>
        <v>497483.92826774321</v>
      </c>
      <c r="JW14" s="118">
        <f t="shared" si="36"/>
        <v>497483.92826774321</v>
      </c>
      <c r="JX14" s="118">
        <f t="shared" si="36"/>
        <v>497483.92826774321</v>
      </c>
      <c r="JY14" s="118">
        <f t="shared" si="36"/>
        <v>497483.92826774321</v>
      </c>
      <c r="JZ14" s="118">
        <f t="shared" si="36"/>
        <v>497483.92826774321</v>
      </c>
      <c r="KA14" s="118">
        <f t="shared" si="36"/>
        <v>497483.92826774321</v>
      </c>
      <c r="KB14" s="118">
        <f t="shared" si="36"/>
        <v>497483.92826774321</v>
      </c>
      <c r="KC14" s="118">
        <f t="shared" si="36"/>
        <v>497483.92826774321</v>
      </c>
      <c r="KD14" s="118">
        <f t="shared" si="36"/>
        <v>497483.92826774321</v>
      </c>
      <c r="KE14" s="118">
        <f t="shared" si="36"/>
        <v>497483.92826774321</v>
      </c>
      <c r="KF14" s="118">
        <f t="shared" si="36"/>
        <v>497483.92826774321</v>
      </c>
    </row>
    <row r="15" spans="1:770" s="102" customFormat="1"/>
    <row r="16" spans="1:770" s="102" customFormat="1">
      <c r="C16" s="104" t="s">
        <v>270</v>
      </c>
      <c r="D16" s="104" t="s">
        <v>270</v>
      </c>
    </row>
    <row r="17" spans="1:292">
      <c r="A17" s="729"/>
      <c r="B17" s="106" t="s">
        <v>412</v>
      </c>
      <c r="C17" s="275">
        <f>C3-D17</f>
        <v>4494.3820224716328</v>
      </c>
      <c r="D17" s="107">
        <f>SUM(F17:KF17)</f>
        <v>1436736.0952106859</v>
      </c>
      <c r="E17" s="117"/>
      <c r="F17" s="125">
        <f>SUMIFS('Expenditure Breakdown'!$U$6:$U$171, 'Expenditure Breakdown'!$T$6:$T$171, "&gt;="&amp;F1,'Expenditure Breakdown'!$T$6:$T$171, "&lt;"&amp;G1)</f>
        <v>0</v>
      </c>
      <c r="G17" s="125">
        <f>SUMIFS('Expenditure Breakdown'!$U$6:$U$171, 'Expenditure Breakdown'!$T$6:$T$171, "&gt;="&amp;G1,'Expenditure Breakdown'!$T$6:$T$171, "&lt;"&amp;H1)</f>
        <v>0</v>
      </c>
      <c r="H17" s="125">
        <f>SUMIFS('Expenditure Breakdown'!$U$6:$U$171, 'Expenditure Breakdown'!$T$6:$T$171, "&gt;="&amp;H1,'Expenditure Breakdown'!$T$6:$T$171, "&lt;"&amp;I1)</f>
        <v>0</v>
      </c>
      <c r="I17" s="125">
        <f>SUMIFS('Expenditure Breakdown'!$U$6:$U$171, 'Expenditure Breakdown'!$T$6:$T$171, "&gt;="&amp;I1,'Expenditure Breakdown'!$T$6:$T$171, "&lt;"&amp;J1)</f>
        <v>0</v>
      </c>
      <c r="J17" s="125">
        <f>SUMIFS('Expenditure Breakdown'!$U$6:$U$171, 'Expenditure Breakdown'!$T$6:$T$171, "&gt;="&amp;J1,'Expenditure Breakdown'!$T$6:$T$171, "&lt;"&amp;K1)</f>
        <v>0</v>
      </c>
      <c r="K17" s="125">
        <f>SUMIFS('Expenditure Breakdown'!$U$6:$U$171, 'Expenditure Breakdown'!$T$6:$T$171, "&gt;="&amp;K1,'Expenditure Breakdown'!$T$6:$T$171, "&lt;"&amp;L1)</f>
        <v>0</v>
      </c>
      <c r="L17" s="125">
        <f>SUMIFS('Expenditure Breakdown'!$U$6:$U$171, 'Expenditure Breakdown'!$T$6:$T$171, "&gt;="&amp;L1,'Expenditure Breakdown'!$T$6:$T$171, "&lt;"&amp;M1)</f>
        <v>0</v>
      </c>
      <c r="M17" s="125">
        <f>SUMIFS('Expenditure Breakdown'!$U$6:$U$171, 'Expenditure Breakdown'!$T$6:$T$171, "&gt;="&amp;M1,'Expenditure Breakdown'!$T$6:$T$171, "&lt;"&amp;N1)</f>
        <v>0</v>
      </c>
      <c r="N17" s="125">
        <f>SUMIFS('Expenditure Breakdown'!$U$6:$U$171, 'Expenditure Breakdown'!$T$6:$T$171, "&gt;="&amp;N1,'Expenditure Breakdown'!$T$6:$T$171, "&lt;"&amp;O1)</f>
        <v>0</v>
      </c>
      <c r="O17" s="125">
        <f>SUMIFS('Expenditure Breakdown'!$U$6:$U$171, 'Expenditure Breakdown'!$T$6:$T$171, "&gt;="&amp;O1,'Expenditure Breakdown'!$T$6:$T$171, "&lt;"&amp;P1)</f>
        <v>0</v>
      </c>
      <c r="P17" s="125">
        <f>SUMIFS('Expenditure Breakdown'!$U$6:$U$171, 'Expenditure Breakdown'!$T$6:$T$171, "&gt;="&amp;P1,'Expenditure Breakdown'!$T$6:$T$171, "&lt;"&amp;Q1)</f>
        <v>0</v>
      </c>
      <c r="Q17" s="125">
        <f>SUMIFS('Expenditure Breakdown'!$U$6:$U$171, 'Expenditure Breakdown'!$T$6:$T$171, "&gt;="&amp;Q1,'Expenditure Breakdown'!$T$6:$T$171, "&lt;"&amp;R1)</f>
        <v>33991.142706004328</v>
      </c>
      <c r="R17" s="125">
        <f>SUMIFS('Expenditure Breakdown'!$U$6:$U$171, 'Expenditure Breakdown'!$T$6:$T$171, "&gt;="&amp;R1,'Expenditure Breakdown'!$T$6:$T$171, "&lt;"&amp;S1)</f>
        <v>0</v>
      </c>
      <c r="S17" s="125">
        <f>SUMIFS('Expenditure Breakdown'!$U$6:$U$171, 'Expenditure Breakdown'!$T$6:$T$171, "&gt;="&amp;S1,'Expenditure Breakdown'!$T$6:$T$171, "&lt;"&amp;T1)</f>
        <v>0</v>
      </c>
      <c r="T17" s="125">
        <f>SUMIFS('Expenditure Breakdown'!$U$6:$U$171, 'Expenditure Breakdown'!$T$6:$T$171, "&gt;="&amp;T1,'Expenditure Breakdown'!$T$6:$T$171, "&lt;"&amp;U1)</f>
        <v>0</v>
      </c>
      <c r="U17" s="125">
        <f>SUMIFS('Expenditure Breakdown'!$U$6:$U$171, 'Expenditure Breakdown'!$T$6:$T$171, "&gt;="&amp;U1,'Expenditure Breakdown'!$T$6:$T$171, "&lt;"&amp;V1)</f>
        <v>974647.27148760518</v>
      </c>
      <c r="V17" s="125">
        <f>SUMIFS('Expenditure Breakdown'!$U$6:$U$171, 'Expenditure Breakdown'!$T$6:$T$171, "&gt;="&amp;V1,'Expenditure Breakdown'!$T$6:$T$171, "&lt;"&amp;W1)</f>
        <v>0</v>
      </c>
      <c r="W17" s="125">
        <f>SUMIFS('Expenditure Breakdown'!$U$6:$U$171, 'Expenditure Breakdown'!$T$6:$T$171, "&gt;="&amp;W1,'Expenditure Breakdown'!$T$6:$T$171, "&lt;"&amp;X1)</f>
        <v>0</v>
      </c>
      <c r="X17" s="125">
        <f>SUMIFS('Expenditure Breakdown'!$U$6:$U$171, 'Expenditure Breakdown'!$T$6:$T$171, "&gt;="&amp;X1,'Expenditure Breakdown'!$T$6:$T$171, "&lt;"&amp;Y1)</f>
        <v>0</v>
      </c>
      <c r="Y17" s="125">
        <f>SUMIFS('Expenditure Breakdown'!$U$6:$U$171, 'Expenditure Breakdown'!$T$6:$T$171, "&gt;="&amp;Y1,'Expenditure Breakdown'!$T$6:$T$171, "&lt;"&amp;Z1)</f>
        <v>0</v>
      </c>
      <c r="Z17" s="125">
        <f>SUMIFS('Expenditure Breakdown'!$U$6:$U$171, 'Expenditure Breakdown'!$T$6:$T$171, "&gt;="&amp;Z1,'Expenditure Breakdown'!$T$6:$T$171, "&lt;"&amp;AA1)</f>
        <v>292999.79961166013</v>
      </c>
      <c r="AA17" s="125">
        <f>SUMIFS('Expenditure Breakdown'!$U$6:$U$171, 'Expenditure Breakdown'!$T$6:$T$171, "&gt;="&amp;AA1,'Expenditure Breakdown'!$T$6:$T$171, "&lt;"&amp;AB1)</f>
        <v>0</v>
      </c>
      <c r="AB17" s="125">
        <f>SUMIFS('Expenditure Breakdown'!$U$6:$U$171, 'Expenditure Breakdown'!$T$6:$T$171, "&gt;="&amp;AB1,'Expenditure Breakdown'!$T$6:$T$171, "&lt;"&amp;AC1)</f>
        <v>0</v>
      </c>
      <c r="AC17" s="125">
        <f>SUMIFS('Expenditure Breakdown'!$U$6:$U$171, 'Expenditure Breakdown'!$T$6:$T$171, "&gt;="&amp;AC1,'Expenditure Breakdown'!$T$6:$T$171, "&lt;"&amp;AD1)</f>
        <v>0</v>
      </c>
      <c r="AD17" s="125">
        <f>SUMIFS('Expenditure Breakdown'!$U$6:$U$171, 'Expenditure Breakdown'!$T$6:$T$171, "&gt;="&amp;AD1,'Expenditure Breakdown'!$T$6:$T$171, "&lt;"&amp;AE1)</f>
        <v>134480.23434659245</v>
      </c>
      <c r="AE17" s="125">
        <f>SUMIFS('Expenditure Breakdown'!$U$6:$U$171, 'Expenditure Breakdown'!$T$6:$T$171, "&gt;="&amp;AE1,'Expenditure Breakdown'!$T$6:$T$171, "&lt;"&amp;AF1)</f>
        <v>0</v>
      </c>
      <c r="AF17" s="125">
        <f>SUMIFS('Expenditure Breakdown'!$U$6:$U$171, 'Expenditure Breakdown'!$T$6:$T$171, "&gt;="&amp;AF1,'Expenditure Breakdown'!$T$6:$T$171, "&lt;"&amp;AG1)</f>
        <v>0</v>
      </c>
      <c r="AG17" s="125">
        <f>SUMIFS('Expenditure Breakdown'!$U$6:$U$171, 'Expenditure Breakdown'!$T$6:$T$171, "&gt;="&amp;AG1,'Expenditure Breakdown'!$T$6:$T$171, "&lt;"&amp;AH1)</f>
        <v>0</v>
      </c>
      <c r="AH17" s="125">
        <f>SUMIFS('Expenditure Breakdown'!$U$6:$U$171, 'Expenditure Breakdown'!$T$6:$T$171, "&gt;="&amp;AH1,'Expenditure Breakdown'!$T$6:$T$171, "&lt;"&amp;AI1)</f>
        <v>617.64705882352939</v>
      </c>
      <c r="AI17" s="125">
        <f>SUMIFS('Expenditure Breakdown'!$U$6:$U$171, 'Expenditure Breakdown'!$T$6:$T$171, "&gt;="&amp;AI1,'Expenditure Breakdown'!$T$6:$T$171, "&lt;"&amp;AJ1)</f>
        <v>0</v>
      </c>
      <c r="AJ17" s="125">
        <f>SUMIFS('Expenditure Breakdown'!$U$6:$U$171, 'Expenditure Breakdown'!$T$6:$T$171, "&gt;="&amp;AJ1,'Expenditure Breakdown'!$T$6:$T$171, "&lt;"&amp;AK1)</f>
        <v>0</v>
      </c>
      <c r="AK17" s="125">
        <f>SUMIFS('Expenditure Breakdown'!$U$6:$U$171, 'Expenditure Breakdown'!$T$6:$T$171, "&gt;="&amp;AK1,'Expenditure Breakdown'!$T$6:$T$171, "&lt;"&amp;AL1)</f>
        <v>0</v>
      </c>
      <c r="AL17" s="125">
        <f>SUMIFS('Expenditure Breakdown'!$U$6:$U$171, 'Expenditure Breakdown'!$T$6:$T$171, "&gt;="&amp;AL1,'Expenditure Breakdown'!$T$6:$T$171, "&lt;"&amp;AM1)</f>
        <v>0</v>
      </c>
      <c r="AM17" s="125">
        <f>SUMIFS('Expenditure Breakdown'!$U$6:$U$171, 'Expenditure Breakdown'!$T$6:$T$171, "&gt;="&amp;AM1,'Expenditure Breakdown'!$T$6:$T$171, "&lt;"&amp;AN1)</f>
        <v>0</v>
      </c>
      <c r="AN17" s="125">
        <f>SUMIFS('Expenditure Breakdown'!$U$6:$U$171, 'Expenditure Breakdown'!$T$6:$T$171, "&gt;="&amp;AN1,'Expenditure Breakdown'!$T$6:$T$171, "&lt;"&amp;AO1)</f>
        <v>0</v>
      </c>
      <c r="AO17" s="125">
        <f>SUMIFS('Expenditure Breakdown'!$U$6:$U$171, 'Expenditure Breakdown'!$T$6:$T$171, "&gt;="&amp;AO1,'Expenditure Breakdown'!$T$6:$T$171, "&lt;"&amp;AP1)</f>
        <v>0</v>
      </c>
      <c r="AP17" s="125">
        <f>SUMIFS('Expenditure Breakdown'!$U$6:$U$171, 'Expenditure Breakdown'!$T$6:$T$171, "&gt;="&amp;AP1,'Expenditure Breakdown'!$T$6:$T$171, "&lt;"&amp;AQ1)</f>
        <v>0</v>
      </c>
      <c r="AQ17" s="125">
        <f>SUMIFS('Expenditure Breakdown'!$U$6:$U$171, 'Expenditure Breakdown'!$T$6:$T$171, "&gt;="&amp;AQ1,'Expenditure Breakdown'!$T$6:$T$171, "&lt;"&amp;AR1)</f>
        <v>0</v>
      </c>
      <c r="AR17" s="125">
        <f>SUMIFS('Expenditure Breakdown'!$U$6:$U$171, 'Expenditure Breakdown'!$T$6:$T$171, "&gt;="&amp;AR1,'Expenditure Breakdown'!$T$6:$T$171, "&lt;"&amp;AS1)</f>
        <v>0</v>
      </c>
      <c r="AS17" s="125">
        <f>SUMIFS('Expenditure Breakdown'!$U$6:$U$171, 'Expenditure Breakdown'!$T$6:$T$171, "&gt;="&amp;AS1,'Expenditure Breakdown'!$T$6:$T$171, "&lt;"&amp;AT1)</f>
        <v>0</v>
      </c>
      <c r="AT17" s="125">
        <f>SUMIFS('Expenditure Breakdown'!$U$6:$U$171, 'Expenditure Breakdown'!$T$6:$T$171, "&gt;="&amp;AT1,'Expenditure Breakdown'!$T$6:$T$171, "&lt;"&amp;AU1)</f>
        <v>0</v>
      </c>
      <c r="AU17" s="125">
        <f>SUMIFS('Expenditure Breakdown'!$U$6:$U$171, 'Expenditure Breakdown'!$T$6:$T$171, "&gt;="&amp;AU1,'Expenditure Breakdown'!$T$6:$T$171, "&lt;"&amp;AV1)</f>
        <v>0</v>
      </c>
      <c r="AV17" s="125">
        <f>SUMIFS('Expenditure Breakdown'!$U$6:$U$171, 'Expenditure Breakdown'!$T$6:$T$171, "&gt;="&amp;AV1,'Expenditure Breakdown'!$T$6:$T$171, "&lt;"&amp;AW1)</f>
        <v>0</v>
      </c>
      <c r="AW17" s="125">
        <f>SUMIFS('Expenditure Breakdown'!$U$6:$U$171, 'Expenditure Breakdown'!$T$6:$T$171, "&gt;="&amp;AW1,'Expenditure Breakdown'!$T$6:$T$171, "&lt;"&amp;AX1)</f>
        <v>0</v>
      </c>
      <c r="AX17" s="125">
        <f>SUMIFS('Expenditure Breakdown'!$U$6:$U$171, 'Expenditure Breakdown'!$T$6:$T$171, "&gt;="&amp;AX1,'Expenditure Breakdown'!$T$6:$T$171, "&lt;"&amp;AY1)</f>
        <v>0</v>
      </c>
      <c r="AY17" s="125">
        <f>SUMIFS('Expenditure Breakdown'!$U$6:$U$171, 'Expenditure Breakdown'!$T$6:$T$171, "&gt;="&amp;AY1,'Expenditure Breakdown'!$T$6:$T$171, "&lt;"&amp;AZ1)</f>
        <v>0</v>
      </c>
      <c r="AZ17" s="125">
        <f>SUMIFS('Expenditure Breakdown'!$U$6:$U$171, 'Expenditure Breakdown'!$T$6:$T$171, "&gt;="&amp;AZ1,'Expenditure Breakdown'!$T$6:$T$171, "&lt;"&amp;BA1)</f>
        <v>0</v>
      </c>
      <c r="BA17" s="125">
        <f>SUMIFS('Expenditure Breakdown'!$U$6:$U$171, 'Expenditure Breakdown'!$T$6:$T$171, "&gt;="&amp;BA1,'Expenditure Breakdown'!$T$6:$T$171, "&lt;"&amp;BB1)</f>
        <v>0</v>
      </c>
      <c r="BB17" s="125">
        <f>SUMIFS('Expenditure Breakdown'!$U$6:$U$171, 'Expenditure Breakdown'!$T$6:$T$171, "&gt;="&amp;BB1,'Expenditure Breakdown'!$T$6:$T$171, "&lt;"&amp;BC1)</f>
        <v>0</v>
      </c>
      <c r="BC17" s="125">
        <f>SUMIFS('Expenditure Breakdown'!$U$6:$U$171, 'Expenditure Breakdown'!$T$6:$T$171, "&gt;="&amp;BC1,'Expenditure Breakdown'!$T$6:$T$171, "&lt;"&amp;BD1)</f>
        <v>0</v>
      </c>
      <c r="BD17" s="125">
        <f>SUMIFS('Expenditure Breakdown'!$U$6:$U$171, 'Expenditure Breakdown'!$T$6:$T$171, "&gt;="&amp;BD1,'Expenditure Breakdown'!$T$6:$T$171, "&lt;"&amp;BE1)</f>
        <v>0</v>
      </c>
      <c r="BE17" s="125">
        <f>SUMIFS('Expenditure Breakdown'!$U$6:$U$171, 'Expenditure Breakdown'!$T$6:$T$171, "&gt;="&amp;BE1,'Expenditure Breakdown'!$T$6:$T$171, "&lt;"&amp;BF1)</f>
        <v>0</v>
      </c>
      <c r="BF17" s="125">
        <f>SUMIFS('Expenditure Breakdown'!$U$6:$U$171, 'Expenditure Breakdown'!$T$6:$T$171, "&gt;="&amp;BF1,'Expenditure Breakdown'!$T$6:$T$171, "&lt;"&amp;BG1)</f>
        <v>0</v>
      </c>
      <c r="BG17" s="125">
        <f>SUMIFS('Expenditure Breakdown'!$U$6:$U$171, 'Expenditure Breakdown'!$T$6:$T$171, "&gt;="&amp;BG1,'Expenditure Breakdown'!$T$6:$T$171, "&lt;"&amp;BH1)</f>
        <v>0</v>
      </c>
      <c r="BH17" s="125">
        <f>SUMIFS('Expenditure Breakdown'!$U$6:$U$171, 'Expenditure Breakdown'!$T$6:$T$171, "&gt;="&amp;BH1,'Expenditure Breakdown'!$T$6:$T$171, "&lt;"&amp;BI1)</f>
        <v>0</v>
      </c>
      <c r="BI17" s="125">
        <f>SUMIFS('Expenditure Breakdown'!$U$6:$U$171, 'Expenditure Breakdown'!$T$6:$T$171, "&gt;="&amp;BI1,'Expenditure Breakdown'!$T$6:$T$171, "&lt;"&amp;BJ1)</f>
        <v>0</v>
      </c>
      <c r="BJ17" s="125">
        <f>SUMIFS('Expenditure Breakdown'!$U$6:$U$171, 'Expenditure Breakdown'!$T$6:$T$171, "&gt;="&amp;BJ1,'Expenditure Breakdown'!$T$6:$T$171, "&lt;"&amp;BK1)</f>
        <v>0</v>
      </c>
      <c r="BK17" s="125">
        <f>SUMIFS('Expenditure Breakdown'!$U$6:$U$171, 'Expenditure Breakdown'!$T$6:$T$171, "&gt;="&amp;BK1,'Expenditure Breakdown'!$T$6:$T$171, "&lt;"&amp;BL1)</f>
        <v>0</v>
      </c>
      <c r="BL17" s="125">
        <f>SUMIFS('Expenditure Breakdown'!$U$6:$U$171, 'Expenditure Breakdown'!$T$6:$T$171, "&gt;="&amp;BL1,'Expenditure Breakdown'!$T$6:$T$171, "&lt;"&amp;BM1)</f>
        <v>0</v>
      </c>
      <c r="BM17" s="125">
        <f>SUMIFS('Expenditure Breakdown'!$U$6:$U$171, 'Expenditure Breakdown'!$T$6:$T$171, "&gt;="&amp;BM1,'Expenditure Breakdown'!$T$6:$T$171, "&lt;"&amp;BN1)</f>
        <v>0</v>
      </c>
      <c r="BN17" s="125">
        <f>SUMIFS('Expenditure Breakdown'!$U$6:$U$171, 'Expenditure Breakdown'!$T$6:$T$171, "&gt;="&amp;BN1,'Expenditure Breakdown'!$T$6:$T$171, "&lt;"&amp;BO1)</f>
        <v>0</v>
      </c>
      <c r="BO17" s="125">
        <f>SUMIFS('Expenditure Breakdown'!$U$6:$U$171, 'Expenditure Breakdown'!$T$6:$T$171, "&gt;="&amp;BO1,'Expenditure Breakdown'!$T$6:$T$171, "&lt;"&amp;BP1)</f>
        <v>0</v>
      </c>
      <c r="BP17" s="125">
        <f>SUMIFS('Expenditure Breakdown'!$U$6:$U$171, 'Expenditure Breakdown'!$T$6:$T$171, "&gt;="&amp;BP1,'Expenditure Breakdown'!$T$6:$T$171, "&lt;"&amp;BQ1)</f>
        <v>0</v>
      </c>
      <c r="BQ17" s="125">
        <f>SUMIFS('Expenditure Breakdown'!$U$6:$U$171, 'Expenditure Breakdown'!$T$6:$T$171, "&gt;="&amp;BQ1,'Expenditure Breakdown'!$T$6:$T$171, "&lt;"&amp;BR1)</f>
        <v>0</v>
      </c>
      <c r="BR17" s="125">
        <f>SUMIFS('Expenditure Breakdown'!$U$6:$U$171, 'Expenditure Breakdown'!$T$6:$T$171, "&gt;="&amp;BR1,'Expenditure Breakdown'!$T$6:$T$171, "&lt;"&amp;BS1)</f>
        <v>0</v>
      </c>
      <c r="BS17" s="125">
        <f>SUMIFS('Expenditure Breakdown'!$U$6:$U$171, 'Expenditure Breakdown'!$T$6:$T$171, "&gt;="&amp;BS1,'Expenditure Breakdown'!$T$6:$T$171, "&lt;"&amp;BT1)</f>
        <v>0</v>
      </c>
      <c r="BT17" s="125">
        <f>SUMIFS('Expenditure Breakdown'!$U$6:$U$171, 'Expenditure Breakdown'!$T$6:$T$171, "&gt;="&amp;BT1,'Expenditure Breakdown'!$T$6:$T$171, "&lt;"&amp;BU1)</f>
        <v>0</v>
      </c>
      <c r="BU17" s="125">
        <f>SUMIFS('Expenditure Breakdown'!$U$6:$U$171, 'Expenditure Breakdown'!$T$6:$T$171, "&gt;="&amp;BU1,'Expenditure Breakdown'!$T$6:$T$171, "&lt;"&amp;BV1)</f>
        <v>0</v>
      </c>
      <c r="BV17" s="125">
        <f>SUMIFS('Expenditure Breakdown'!$U$6:$U$171, 'Expenditure Breakdown'!$T$6:$T$171, "&gt;="&amp;BV1,'Expenditure Breakdown'!$T$6:$T$171, "&lt;"&amp;BW1)</f>
        <v>0</v>
      </c>
      <c r="BW17" s="125">
        <f>SUMIFS('Expenditure Breakdown'!$U$6:$U$171, 'Expenditure Breakdown'!$T$6:$T$171, "&gt;="&amp;BW1,'Expenditure Breakdown'!$T$6:$T$171, "&lt;"&amp;BX1)</f>
        <v>0</v>
      </c>
      <c r="BX17" s="125">
        <f>SUMIFS('Expenditure Breakdown'!$U$6:$U$171, 'Expenditure Breakdown'!$T$6:$T$171, "&gt;="&amp;BX1,'Expenditure Breakdown'!$T$6:$T$171, "&lt;"&amp;BY1)</f>
        <v>0</v>
      </c>
      <c r="BY17" s="125">
        <f>SUMIFS('Expenditure Breakdown'!$U$6:$U$171, 'Expenditure Breakdown'!$T$6:$T$171, "&gt;="&amp;BY1,'Expenditure Breakdown'!$T$6:$T$171, "&lt;"&amp;BZ1)</f>
        <v>0</v>
      </c>
      <c r="BZ17" s="125">
        <f>SUMIFS('Expenditure Breakdown'!$U$6:$U$171, 'Expenditure Breakdown'!$T$6:$T$171, "&gt;="&amp;BZ1,'Expenditure Breakdown'!$T$6:$T$171, "&lt;"&amp;CA1)</f>
        <v>0</v>
      </c>
      <c r="CA17" s="125">
        <f>SUMIFS('Expenditure Breakdown'!$U$6:$U$171, 'Expenditure Breakdown'!$T$6:$T$171, "&gt;="&amp;CA1,'Expenditure Breakdown'!$T$6:$T$171, "&lt;"&amp;CB1)</f>
        <v>0</v>
      </c>
      <c r="CB17" s="125">
        <f>SUMIFS('Expenditure Breakdown'!$U$6:$U$171, 'Expenditure Breakdown'!$T$6:$T$171, "&gt;="&amp;CB1,'Expenditure Breakdown'!$T$6:$T$171, "&lt;"&amp;CC1)</f>
        <v>0</v>
      </c>
      <c r="CC17" s="125">
        <f>SUMIFS('Expenditure Breakdown'!$U$6:$U$171, 'Expenditure Breakdown'!$T$6:$T$171, "&gt;="&amp;CC1,'Expenditure Breakdown'!$T$6:$T$171, "&lt;"&amp;CD1)</f>
        <v>0</v>
      </c>
      <c r="CD17" s="125">
        <f>SUMIFS('Expenditure Breakdown'!$U$6:$U$171, 'Expenditure Breakdown'!$T$6:$T$171, "&gt;="&amp;CD1,'Expenditure Breakdown'!$T$6:$T$171, "&lt;"&amp;CE1)</f>
        <v>0</v>
      </c>
      <c r="CE17" s="125">
        <f>SUMIFS('Expenditure Breakdown'!$U$6:$U$171, 'Expenditure Breakdown'!$T$6:$T$171, "&gt;="&amp;CE1,'Expenditure Breakdown'!$T$6:$T$171, "&lt;"&amp;CF1)</f>
        <v>0</v>
      </c>
      <c r="CF17" s="125">
        <f>SUMIFS('Expenditure Breakdown'!$U$6:$U$171, 'Expenditure Breakdown'!$T$6:$T$171, "&gt;="&amp;CF1,'Expenditure Breakdown'!$T$6:$T$171, "&lt;"&amp;CG1)</f>
        <v>0</v>
      </c>
      <c r="CG17" s="125">
        <f>SUMIFS('Expenditure Breakdown'!$U$6:$U$171, 'Expenditure Breakdown'!$T$6:$T$171, "&gt;="&amp;CG1,'Expenditure Breakdown'!$T$6:$T$171, "&lt;"&amp;CH1)</f>
        <v>0</v>
      </c>
      <c r="CH17" s="125">
        <f>SUMIFS('Expenditure Breakdown'!$U$6:$U$171, 'Expenditure Breakdown'!$T$6:$T$171, "&gt;="&amp;CH1,'Expenditure Breakdown'!$T$6:$T$171, "&lt;"&amp;CI1)</f>
        <v>0</v>
      </c>
      <c r="CI17" s="125">
        <f>SUMIFS('Expenditure Breakdown'!$U$6:$U$171, 'Expenditure Breakdown'!$T$6:$T$171, "&gt;="&amp;CI1,'Expenditure Breakdown'!$T$6:$T$171, "&lt;"&amp;CJ1)</f>
        <v>0</v>
      </c>
      <c r="CJ17" s="125">
        <f>SUMIFS('Expenditure Breakdown'!$U$6:$U$171, 'Expenditure Breakdown'!$T$6:$T$171, "&gt;="&amp;CJ1,'Expenditure Breakdown'!$T$6:$T$171, "&lt;"&amp;CK1)</f>
        <v>0</v>
      </c>
      <c r="CK17" s="125">
        <f>SUMIFS('Expenditure Breakdown'!$U$6:$U$171, 'Expenditure Breakdown'!$T$6:$T$171, "&gt;="&amp;CK1,'Expenditure Breakdown'!$T$6:$T$171, "&lt;"&amp;CL1)</f>
        <v>0</v>
      </c>
      <c r="CL17" s="125">
        <f>SUMIFS('Expenditure Breakdown'!$U$6:$U$171, 'Expenditure Breakdown'!$T$6:$T$171, "&gt;="&amp;CL1,'Expenditure Breakdown'!$T$6:$T$171, "&lt;"&amp;CM1)</f>
        <v>0</v>
      </c>
      <c r="CM17" s="125">
        <f>SUMIFS('Expenditure Breakdown'!$U$6:$U$171, 'Expenditure Breakdown'!$T$6:$T$171, "&gt;="&amp;CM1,'Expenditure Breakdown'!$T$6:$T$171, "&lt;"&amp;CN1)</f>
        <v>0</v>
      </c>
      <c r="CN17" s="125">
        <f>SUMIFS('Expenditure Breakdown'!$U$6:$U$171, 'Expenditure Breakdown'!$T$6:$T$171, "&gt;="&amp;CN1,'Expenditure Breakdown'!$T$6:$T$171, "&lt;"&amp;CO1)</f>
        <v>0</v>
      </c>
      <c r="CO17" s="125">
        <f>SUMIFS('Expenditure Breakdown'!$U$6:$U$171, 'Expenditure Breakdown'!$T$6:$T$171, "&gt;="&amp;CO1,'Expenditure Breakdown'!$T$6:$T$171, "&lt;"&amp;CP1)</f>
        <v>0</v>
      </c>
      <c r="CP17" s="125">
        <f>SUMIFS('Expenditure Breakdown'!$U$6:$U$171, 'Expenditure Breakdown'!$T$6:$T$171, "&gt;="&amp;CP1,'Expenditure Breakdown'!$T$6:$T$171, "&lt;"&amp;CQ1)</f>
        <v>0</v>
      </c>
      <c r="CQ17" s="125">
        <f>SUMIFS('Expenditure Breakdown'!$U$6:$U$171, 'Expenditure Breakdown'!$T$6:$T$171, "&gt;="&amp;CQ1,'Expenditure Breakdown'!$T$6:$T$171, "&lt;"&amp;CR1)</f>
        <v>0</v>
      </c>
      <c r="CR17" s="125">
        <f>SUMIFS('Expenditure Breakdown'!$U$6:$U$171, 'Expenditure Breakdown'!$T$6:$T$171, "&gt;="&amp;CR1,'Expenditure Breakdown'!$T$6:$T$171, "&lt;"&amp;CS1)</f>
        <v>0</v>
      </c>
      <c r="CS17" s="125">
        <f>SUMIFS('Expenditure Breakdown'!$U$6:$U$171, 'Expenditure Breakdown'!$T$6:$T$171, "&gt;="&amp;CS1,'Expenditure Breakdown'!$T$6:$T$171, "&lt;"&amp;CT1)</f>
        <v>0</v>
      </c>
      <c r="CT17" s="125">
        <f>SUMIFS('Expenditure Breakdown'!$U$6:$U$171, 'Expenditure Breakdown'!$T$6:$T$171, "&gt;="&amp;CT1,'Expenditure Breakdown'!$T$6:$T$171, "&lt;"&amp;CU1)</f>
        <v>0</v>
      </c>
      <c r="CU17" s="125">
        <f>SUMIFS('Expenditure Breakdown'!$U$6:$U$171, 'Expenditure Breakdown'!$T$6:$T$171, "&gt;="&amp;CU1,'Expenditure Breakdown'!$T$6:$T$171, "&lt;"&amp;CV1)</f>
        <v>0</v>
      </c>
      <c r="CV17" s="125">
        <f>SUMIFS('Expenditure Breakdown'!$U$6:$U$171, 'Expenditure Breakdown'!$T$6:$T$171, "&gt;="&amp;CV1,'Expenditure Breakdown'!$T$6:$T$171, "&lt;"&amp;CW1)</f>
        <v>0</v>
      </c>
      <c r="CW17" s="125">
        <f>SUMIFS('Expenditure Breakdown'!$U$6:$U$171, 'Expenditure Breakdown'!$T$6:$T$171, "&gt;="&amp;CW1,'Expenditure Breakdown'!$T$6:$T$171, "&lt;"&amp;CX1)</f>
        <v>0</v>
      </c>
      <c r="CX17" s="125">
        <f>SUMIFS('Expenditure Breakdown'!$U$6:$U$171, 'Expenditure Breakdown'!$T$6:$T$171, "&gt;="&amp;CX1,'Expenditure Breakdown'!$T$6:$T$171, "&lt;"&amp;CY1)</f>
        <v>0</v>
      </c>
      <c r="CY17" s="125">
        <f>SUMIFS('Expenditure Breakdown'!$U$6:$U$171, 'Expenditure Breakdown'!$T$6:$T$171, "&gt;="&amp;CY1,'Expenditure Breakdown'!$T$6:$T$171, "&lt;"&amp;CZ1)</f>
        <v>0</v>
      </c>
      <c r="CZ17" s="125">
        <f>SUMIFS('Expenditure Breakdown'!$U$6:$U$171, 'Expenditure Breakdown'!$T$6:$T$171, "&gt;="&amp;CZ1,'Expenditure Breakdown'!$T$6:$T$171, "&lt;"&amp;DA1)</f>
        <v>0</v>
      </c>
      <c r="DA17" s="125">
        <f>SUMIFS('Expenditure Breakdown'!$U$6:$U$171, 'Expenditure Breakdown'!$T$6:$T$171, "&gt;="&amp;DA1,'Expenditure Breakdown'!$T$6:$T$171, "&lt;"&amp;DB1)</f>
        <v>0</v>
      </c>
      <c r="DB17" s="125">
        <f>SUMIFS('Expenditure Breakdown'!$U$6:$U$171, 'Expenditure Breakdown'!$T$6:$T$171, "&gt;="&amp;DB1,'Expenditure Breakdown'!$T$6:$T$171, "&lt;"&amp;DC1)</f>
        <v>0</v>
      </c>
      <c r="DC17" s="125">
        <f>SUMIFS('Expenditure Breakdown'!$U$6:$U$171, 'Expenditure Breakdown'!$T$6:$T$171, "&gt;="&amp;DC1,'Expenditure Breakdown'!$T$6:$T$171, "&lt;"&amp;DD1)</f>
        <v>0</v>
      </c>
      <c r="DD17" s="125">
        <f>SUMIFS('Expenditure Breakdown'!$U$6:$U$171, 'Expenditure Breakdown'!$T$6:$T$171, "&gt;="&amp;DD1,'Expenditure Breakdown'!$T$6:$T$171, "&lt;"&amp;DE1)</f>
        <v>0</v>
      </c>
      <c r="DE17" s="125">
        <f>SUMIFS('Expenditure Breakdown'!$U$6:$U$171, 'Expenditure Breakdown'!$T$6:$T$171, "&gt;="&amp;DE1,'Expenditure Breakdown'!$T$6:$T$171, "&lt;"&amp;DF1)</f>
        <v>0</v>
      </c>
      <c r="DF17" s="125">
        <f>SUMIFS('Expenditure Breakdown'!$U$6:$U$171, 'Expenditure Breakdown'!$T$6:$T$171, "&gt;="&amp;DF1,'Expenditure Breakdown'!$T$6:$T$171, "&lt;"&amp;DG1)</f>
        <v>0</v>
      </c>
      <c r="DG17" s="125">
        <f>SUMIFS('Expenditure Breakdown'!$U$6:$U$171, 'Expenditure Breakdown'!$T$6:$T$171, "&gt;="&amp;DG1,'Expenditure Breakdown'!$T$6:$T$171, "&lt;"&amp;DH1)</f>
        <v>0</v>
      </c>
      <c r="DH17" s="125">
        <f>SUMIFS('Expenditure Breakdown'!$U$6:$U$171, 'Expenditure Breakdown'!$T$6:$T$171, "&gt;="&amp;DH1,'Expenditure Breakdown'!$T$6:$T$171, "&lt;"&amp;DI1)</f>
        <v>0</v>
      </c>
      <c r="DI17" s="125">
        <f>SUMIFS('Expenditure Breakdown'!$U$6:$U$171, 'Expenditure Breakdown'!$T$6:$T$171, "&gt;="&amp;DI1,'Expenditure Breakdown'!$T$6:$T$171, "&lt;"&amp;DJ1)</f>
        <v>0</v>
      </c>
      <c r="DJ17" s="125">
        <f>SUMIFS('Expenditure Breakdown'!$U$6:$U$171, 'Expenditure Breakdown'!$T$6:$T$171, "&gt;="&amp;DJ1,'Expenditure Breakdown'!$T$6:$T$171, "&lt;"&amp;DK1)</f>
        <v>0</v>
      </c>
      <c r="DK17" s="125">
        <f>SUMIFS('Expenditure Breakdown'!$U$6:$U$171, 'Expenditure Breakdown'!$T$6:$T$171, "&gt;="&amp;DK1,'Expenditure Breakdown'!$T$6:$T$171, "&lt;"&amp;DL1)</f>
        <v>0</v>
      </c>
      <c r="DL17" s="125">
        <f>SUMIFS('Expenditure Breakdown'!$U$6:$U$171, 'Expenditure Breakdown'!$T$6:$T$171, "&gt;="&amp;DL1,'Expenditure Breakdown'!$T$6:$T$171, "&lt;"&amp;DM1)</f>
        <v>0</v>
      </c>
      <c r="DM17" s="125">
        <f>SUMIFS('Expenditure Breakdown'!$U$6:$U$171, 'Expenditure Breakdown'!$T$6:$T$171, "&gt;="&amp;DM1,'Expenditure Breakdown'!$T$6:$T$171, "&lt;"&amp;DN1)</f>
        <v>0</v>
      </c>
      <c r="DN17" s="125">
        <f>SUMIFS('Expenditure Breakdown'!$U$6:$U$171, 'Expenditure Breakdown'!$T$6:$T$171, "&gt;="&amp;DN1,'Expenditure Breakdown'!$T$6:$T$171, "&lt;"&amp;DO1)</f>
        <v>0</v>
      </c>
      <c r="DO17" s="125">
        <f>SUMIFS('Expenditure Breakdown'!$U$6:$U$171, 'Expenditure Breakdown'!$T$6:$T$171, "&gt;="&amp;DO1,'Expenditure Breakdown'!$T$6:$T$171, "&lt;"&amp;DP1)</f>
        <v>0</v>
      </c>
      <c r="DP17" s="125">
        <f>SUMIFS('Expenditure Breakdown'!$U$6:$U$171, 'Expenditure Breakdown'!$T$6:$T$171, "&gt;="&amp;DP1,'Expenditure Breakdown'!$T$6:$T$171, "&lt;"&amp;DQ1)</f>
        <v>0</v>
      </c>
      <c r="DQ17" s="125">
        <f>SUMIFS('Expenditure Breakdown'!$U$6:$U$171, 'Expenditure Breakdown'!$T$6:$T$171, "&gt;="&amp;DQ1,'Expenditure Breakdown'!$T$6:$T$171, "&lt;"&amp;DR1)</f>
        <v>0</v>
      </c>
      <c r="DR17" s="125">
        <f>SUMIFS('Expenditure Breakdown'!$U$6:$U$171, 'Expenditure Breakdown'!$T$6:$T$171, "&gt;="&amp;DR1,'Expenditure Breakdown'!$T$6:$T$171, "&lt;"&amp;DS1)</f>
        <v>0</v>
      </c>
      <c r="DS17" s="125">
        <f>SUMIFS('Expenditure Breakdown'!$U$6:$U$171, 'Expenditure Breakdown'!$T$6:$T$171, "&gt;="&amp;DS1,'Expenditure Breakdown'!$T$6:$T$171, "&lt;"&amp;DT1)</f>
        <v>0</v>
      </c>
      <c r="DT17" s="125">
        <f>SUMIFS('Expenditure Breakdown'!$U$6:$U$171, 'Expenditure Breakdown'!$T$6:$T$171, "&gt;="&amp;DT1,'Expenditure Breakdown'!$T$6:$T$171, "&lt;"&amp;DU1)</f>
        <v>0</v>
      </c>
      <c r="DU17" s="125">
        <f>SUMIFS('Expenditure Breakdown'!$U$6:$U$171, 'Expenditure Breakdown'!$T$6:$T$171, "&gt;="&amp;DU1,'Expenditure Breakdown'!$T$6:$T$171, "&lt;"&amp;DV1)</f>
        <v>0</v>
      </c>
      <c r="DV17" s="125">
        <f>SUMIFS('Expenditure Breakdown'!$U$6:$U$171, 'Expenditure Breakdown'!$T$6:$T$171, "&gt;="&amp;DV1,'Expenditure Breakdown'!$T$6:$T$171, "&lt;"&amp;DW1)</f>
        <v>0</v>
      </c>
      <c r="DW17" s="125">
        <f>SUMIFS('Expenditure Breakdown'!$U$6:$U$171, 'Expenditure Breakdown'!$T$6:$T$171, "&gt;="&amp;DW1,'Expenditure Breakdown'!$T$6:$T$171, "&lt;"&amp;DX1)</f>
        <v>0</v>
      </c>
      <c r="DX17" s="125">
        <f>SUMIFS('Expenditure Breakdown'!$U$6:$U$171, 'Expenditure Breakdown'!$T$6:$T$171, "&gt;="&amp;DX1,'Expenditure Breakdown'!$T$6:$T$171, "&lt;"&amp;DY1)</f>
        <v>0</v>
      </c>
      <c r="DY17" s="125">
        <f>SUMIFS('Expenditure Breakdown'!$U$6:$U$171, 'Expenditure Breakdown'!$T$6:$T$171, "&gt;="&amp;DY1,'Expenditure Breakdown'!$T$6:$T$171, "&lt;"&amp;DZ1)</f>
        <v>0</v>
      </c>
      <c r="DZ17" s="125">
        <f>SUMIFS('Expenditure Breakdown'!$U$6:$U$171, 'Expenditure Breakdown'!$T$6:$T$171, "&gt;="&amp;DZ1,'Expenditure Breakdown'!$T$6:$T$171, "&lt;"&amp;EA1)</f>
        <v>0</v>
      </c>
      <c r="EA17" s="125">
        <f>SUMIFS('Expenditure Breakdown'!$U$6:$U$171, 'Expenditure Breakdown'!$T$6:$T$171, "&gt;="&amp;EA1,'Expenditure Breakdown'!$T$6:$T$171, "&lt;"&amp;EB1)</f>
        <v>0</v>
      </c>
      <c r="EB17" s="125">
        <f>SUMIFS('Expenditure Breakdown'!$U$6:$U$171, 'Expenditure Breakdown'!$T$6:$T$171, "&gt;="&amp;EB1,'Expenditure Breakdown'!$T$6:$T$171, "&lt;"&amp;EC1)</f>
        <v>0</v>
      </c>
      <c r="EC17" s="125">
        <f>SUMIFS('Expenditure Breakdown'!$U$6:$U$171, 'Expenditure Breakdown'!$T$6:$T$171, "&gt;="&amp;EC1,'Expenditure Breakdown'!$T$6:$T$171, "&lt;"&amp;ED1)</f>
        <v>0</v>
      </c>
      <c r="ED17" s="125">
        <f>SUMIFS('Expenditure Breakdown'!$U$6:$U$171, 'Expenditure Breakdown'!$T$6:$T$171, "&gt;="&amp;ED1,'Expenditure Breakdown'!$T$6:$T$171, "&lt;"&amp;EE1)</f>
        <v>0</v>
      </c>
      <c r="EE17" s="125">
        <f>SUMIFS('Expenditure Breakdown'!$U$6:$U$171, 'Expenditure Breakdown'!$T$6:$T$171, "&gt;="&amp;EE1,'Expenditure Breakdown'!$T$6:$T$171, "&lt;"&amp;EF1)</f>
        <v>0</v>
      </c>
      <c r="EF17" s="125">
        <f>SUMIFS('Expenditure Breakdown'!$U$6:$U$171, 'Expenditure Breakdown'!$T$6:$T$171, "&gt;="&amp;EF1,'Expenditure Breakdown'!$T$6:$T$171, "&lt;"&amp;EG1)</f>
        <v>0</v>
      </c>
      <c r="EG17" s="125">
        <f>SUMIFS('Expenditure Breakdown'!$U$6:$U$171, 'Expenditure Breakdown'!$T$6:$T$171, "&gt;="&amp;EG1,'Expenditure Breakdown'!$T$6:$T$171, "&lt;"&amp;EH1)</f>
        <v>0</v>
      </c>
      <c r="EH17" s="125">
        <f>SUMIFS('Expenditure Breakdown'!$U$6:$U$171, 'Expenditure Breakdown'!$T$6:$T$171, "&gt;="&amp;EH1,'Expenditure Breakdown'!$T$6:$T$171, "&lt;"&amp;EI1)</f>
        <v>0</v>
      </c>
      <c r="EI17" s="125">
        <f>SUMIFS('Expenditure Breakdown'!$U$6:$U$171, 'Expenditure Breakdown'!$T$6:$T$171, "&gt;="&amp;EI1,'Expenditure Breakdown'!$T$6:$T$171, "&lt;"&amp;EJ1)</f>
        <v>0</v>
      </c>
      <c r="EJ17" s="125">
        <f>SUMIFS('Expenditure Breakdown'!$U$6:$U$171, 'Expenditure Breakdown'!$T$6:$T$171, "&gt;="&amp;EJ1,'Expenditure Breakdown'!$T$6:$T$171, "&lt;"&amp;EK1)</f>
        <v>0</v>
      </c>
      <c r="EK17" s="125">
        <f>SUMIFS('Expenditure Breakdown'!$U$6:$U$171, 'Expenditure Breakdown'!$T$6:$T$171, "&gt;="&amp;EK1,'Expenditure Breakdown'!$T$6:$T$171, "&lt;"&amp;EL1)</f>
        <v>0</v>
      </c>
      <c r="EL17" s="125">
        <f>SUMIFS('Expenditure Breakdown'!$U$6:$U$171, 'Expenditure Breakdown'!$T$6:$T$171, "&gt;="&amp;EL1,'Expenditure Breakdown'!$T$6:$T$171, "&lt;"&amp;EM1)</f>
        <v>0</v>
      </c>
      <c r="EM17" s="125">
        <f>SUMIFS('Expenditure Breakdown'!$U$6:$U$171, 'Expenditure Breakdown'!$T$6:$T$171, "&gt;="&amp;EM1,'Expenditure Breakdown'!$T$6:$T$171, "&lt;"&amp;EN1)</f>
        <v>0</v>
      </c>
      <c r="EN17" s="125">
        <f>SUMIFS('Expenditure Breakdown'!$U$6:$U$171, 'Expenditure Breakdown'!$T$6:$T$171, "&gt;="&amp;EN1,'Expenditure Breakdown'!$T$6:$T$171, "&lt;"&amp;EO1)</f>
        <v>0</v>
      </c>
      <c r="EO17" s="125">
        <f>SUMIFS('Expenditure Breakdown'!$U$6:$U$171, 'Expenditure Breakdown'!$T$6:$T$171, "&gt;="&amp;EO1,'Expenditure Breakdown'!$T$6:$T$171, "&lt;"&amp;EP1)</f>
        <v>0</v>
      </c>
      <c r="EP17" s="125">
        <f>SUMIFS('Expenditure Breakdown'!$U$6:$U$171, 'Expenditure Breakdown'!$T$6:$T$171, "&gt;="&amp;EP1,'Expenditure Breakdown'!$T$6:$T$171, "&lt;"&amp;EQ1)</f>
        <v>0</v>
      </c>
      <c r="EQ17" s="125">
        <f>SUMIFS('Expenditure Breakdown'!$U$6:$U$171, 'Expenditure Breakdown'!$T$6:$T$171, "&gt;="&amp;EQ1,'Expenditure Breakdown'!$T$6:$T$171, "&lt;"&amp;ER1)</f>
        <v>0</v>
      </c>
      <c r="ER17" s="125">
        <f>SUMIFS('Expenditure Breakdown'!$U$6:$U$171, 'Expenditure Breakdown'!$T$6:$T$171, "&gt;="&amp;ER1,'Expenditure Breakdown'!$T$6:$T$171, "&lt;"&amp;ES1)</f>
        <v>0</v>
      </c>
      <c r="ES17" s="125">
        <f>SUMIFS('Expenditure Breakdown'!$U$6:$U$171, 'Expenditure Breakdown'!$T$6:$T$171, "&gt;="&amp;ES1,'Expenditure Breakdown'!$T$6:$T$171, "&lt;"&amp;ET1)</f>
        <v>0</v>
      </c>
      <c r="ET17" s="125">
        <f>SUMIFS('Expenditure Breakdown'!$U$6:$U$171, 'Expenditure Breakdown'!$T$6:$T$171, "&gt;="&amp;ET1,'Expenditure Breakdown'!$T$6:$T$171, "&lt;"&amp;EU1)</f>
        <v>0</v>
      </c>
      <c r="EU17" s="125">
        <f>SUMIFS('Expenditure Breakdown'!$U$6:$U$171, 'Expenditure Breakdown'!$T$6:$T$171, "&gt;="&amp;EU1,'Expenditure Breakdown'!$T$6:$T$171, "&lt;"&amp;EV1)</f>
        <v>0</v>
      </c>
      <c r="EV17" s="125">
        <f>SUMIFS('Expenditure Breakdown'!$U$6:$U$171, 'Expenditure Breakdown'!$T$6:$T$171, "&gt;="&amp;EV1,'Expenditure Breakdown'!$T$6:$T$171, "&lt;"&amp;EW1)</f>
        <v>0</v>
      </c>
      <c r="EW17" s="125">
        <f>SUMIFS('Expenditure Breakdown'!$U$6:$U$171, 'Expenditure Breakdown'!$T$6:$T$171, "&gt;="&amp;EW1,'Expenditure Breakdown'!$T$6:$T$171, "&lt;"&amp;EX1)</f>
        <v>0</v>
      </c>
      <c r="EX17" s="125">
        <f>SUMIFS('Expenditure Breakdown'!$U$6:$U$171, 'Expenditure Breakdown'!$T$6:$T$171, "&gt;="&amp;EX1,'Expenditure Breakdown'!$T$6:$T$171, "&lt;"&amp;EY1)</f>
        <v>0</v>
      </c>
      <c r="EY17" s="125">
        <f>SUMIFS('Expenditure Breakdown'!$U$6:$U$171, 'Expenditure Breakdown'!$T$6:$T$171, "&gt;="&amp;EY1,'Expenditure Breakdown'!$T$6:$T$171, "&lt;"&amp;EZ1)</f>
        <v>0</v>
      </c>
      <c r="EZ17" s="125">
        <f>SUMIFS('Expenditure Breakdown'!$U$6:$U$171, 'Expenditure Breakdown'!$T$6:$T$171, "&gt;="&amp;EZ1,'Expenditure Breakdown'!$T$6:$T$171, "&lt;"&amp;FA1)</f>
        <v>0</v>
      </c>
      <c r="FA17" s="125">
        <f>SUMIFS('Expenditure Breakdown'!$U$6:$U$171, 'Expenditure Breakdown'!$T$6:$T$171, "&gt;="&amp;FA1,'Expenditure Breakdown'!$T$6:$T$171, "&lt;"&amp;FB1)</f>
        <v>0</v>
      </c>
      <c r="FB17" s="125">
        <f>SUMIFS('Expenditure Breakdown'!$U$6:$U$171, 'Expenditure Breakdown'!$T$6:$T$171, "&gt;="&amp;FB1,'Expenditure Breakdown'!$T$6:$T$171, "&lt;"&amp;FC1)</f>
        <v>0</v>
      </c>
      <c r="FC17" s="125">
        <f>SUMIFS('Expenditure Breakdown'!$U$6:$U$171, 'Expenditure Breakdown'!$T$6:$T$171, "&gt;="&amp;FC1,'Expenditure Breakdown'!$T$6:$T$171, "&lt;"&amp;FD1)</f>
        <v>0</v>
      </c>
      <c r="FD17" s="125">
        <f>SUMIFS('Expenditure Breakdown'!$U$6:$U$171, 'Expenditure Breakdown'!$T$6:$T$171, "&gt;="&amp;FD1,'Expenditure Breakdown'!$T$6:$T$171, "&lt;"&amp;FE1)</f>
        <v>0</v>
      </c>
      <c r="FE17" s="125">
        <f>SUMIFS('Expenditure Breakdown'!$U$6:$U$171, 'Expenditure Breakdown'!$T$6:$T$171, "&gt;="&amp;FE1,'Expenditure Breakdown'!$T$6:$T$171, "&lt;"&amp;FF1)</f>
        <v>0</v>
      </c>
      <c r="FF17" s="125">
        <f>SUMIFS('Expenditure Breakdown'!$U$6:$U$171, 'Expenditure Breakdown'!$T$6:$T$171, "&gt;="&amp;FF1,'Expenditure Breakdown'!$T$6:$T$171, "&lt;"&amp;FG1)</f>
        <v>0</v>
      </c>
      <c r="FG17" s="125">
        <f>SUMIFS('Expenditure Breakdown'!$U$6:$U$171, 'Expenditure Breakdown'!$T$6:$T$171, "&gt;="&amp;FG1,'Expenditure Breakdown'!$T$6:$T$171, "&lt;"&amp;FH1)</f>
        <v>0</v>
      </c>
      <c r="FH17" s="125">
        <f>SUMIFS('Expenditure Breakdown'!$U$6:$U$171, 'Expenditure Breakdown'!$T$6:$T$171, "&gt;="&amp;FH1,'Expenditure Breakdown'!$T$6:$T$171, "&lt;"&amp;FI1)</f>
        <v>0</v>
      </c>
      <c r="FI17" s="125">
        <f>SUMIFS('Expenditure Breakdown'!$U$6:$U$171, 'Expenditure Breakdown'!$T$6:$T$171, "&gt;="&amp;FI1,'Expenditure Breakdown'!$T$6:$T$171, "&lt;"&amp;FJ1)</f>
        <v>0</v>
      </c>
      <c r="FJ17" s="125">
        <f>SUMIFS('Expenditure Breakdown'!$U$6:$U$171, 'Expenditure Breakdown'!$T$6:$T$171, "&gt;="&amp;FJ1,'Expenditure Breakdown'!$T$6:$T$171, "&lt;"&amp;FK1)</f>
        <v>0</v>
      </c>
      <c r="FK17" s="125">
        <f>SUMIFS('Expenditure Breakdown'!$U$6:$U$171, 'Expenditure Breakdown'!$T$6:$T$171, "&gt;="&amp;FK1,'Expenditure Breakdown'!$T$6:$T$171, "&lt;"&amp;FL1)</f>
        <v>0</v>
      </c>
      <c r="FL17" s="125">
        <f>SUMIFS('Expenditure Breakdown'!$U$6:$U$171, 'Expenditure Breakdown'!$T$6:$T$171, "&gt;="&amp;FL1,'Expenditure Breakdown'!$T$6:$T$171, "&lt;"&amp;FM1)</f>
        <v>0</v>
      </c>
      <c r="FM17" s="125">
        <f>SUMIFS('Expenditure Breakdown'!$U$6:$U$171, 'Expenditure Breakdown'!$T$6:$T$171, "&gt;="&amp;FM1,'Expenditure Breakdown'!$T$6:$T$171, "&lt;"&amp;FN1)</f>
        <v>0</v>
      </c>
      <c r="FN17" s="125">
        <f>SUMIFS('Expenditure Breakdown'!$U$6:$U$171, 'Expenditure Breakdown'!$T$6:$T$171, "&gt;="&amp;FN1,'Expenditure Breakdown'!$T$6:$T$171, "&lt;"&amp;FO1)</f>
        <v>0</v>
      </c>
      <c r="FO17" s="125">
        <f>SUMIFS('Expenditure Breakdown'!$U$6:$U$171, 'Expenditure Breakdown'!$T$6:$T$171, "&gt;="&amp;FO1,'Expenditure Breakdown'!$T$6:$T$171, "&lt;"&amp;FP1)</f>
        <v>0</v>
      </c>
      <c r="FP17" s="125">
        <f>SUMIFS('Expenditure Breakdown'!$U$6:$U$171, 'Expenditure Breakdown'!$T$6:$T$171, "&gt;="&amp;FP1,'Expenditure Breakdown'!$T$6:$T$171, "&lt;"&amp;FQ1)</f>
        <v>0</v>
      </c>
      <c r="FQ17" s="125">
        <f>SUMIFS('Expenditure Breakdown'!$U$6:$U$171, 'Expenditure Breakdown'!$T$6:$T$171, "&gt;="&amp;FQ1,'Expenditure Breakdown'!$T$6:$T$171, "&lt;"&amp;FR1)</f>
        <v>0</v>
      </c>
      <c r="FR17" s="125">
        <f>SUMIFS('Expenditure Breakdown'!$U$6:$U$171, 'Expenditure Breakdown'!$T$6:$T$171, "&gt;="&amp;FR1,'Expenditure Breakdown'!$T$6:$T$171, "&lt;"&amp;FS1)</f>
        <v>0</v>
      </c>
      <c r="FS17" s="125">
        <f>SUMIFS('Expenditure Breakdown'!$U$6:$U$171, 'Expenditure Breakdown'!$T$6:$T$171, "&gt;="&amp;FS1,'Expenditure Breakdown'!$T$6:$T$171, "&lt;"&amp;FT1)</f>
        <v>0</v>
      </c>
      <c r="FT17" s="125">
        <f>SUMIFS('Expenditure Breakdown'!$U$6:$U$171, 'Expenditure Breakdown'!$T$6:$T$171, "&gt;="&amp;FT1,'Expenditure Breakdown'!$T$6:$T$171, "&lt;"&amp;FU1)</f>
        <v>0</v>
      </c>
      <c r="FU17" s="125">
        <f>SUMIFS('Expenditure Breakdown'!$U$6:$U$171, 'Expenditure Breakdown'!$T$6:$T$171, "&gt;="&amp;FU1,'Expenditure Breakdown'!$T$6:$T$171, "&lt;"&amp;FV1)</f>
        <v>0</v>
      </c>
      <c r="FV17" s="125">
        <f>SUMIFS('Expenditure Breakdown'!$U$6:$U$171, 'Expenditure Breakdown'!$T$6:$T$171, "&gt;="&amp;FV1,'Expenditure Breakdown'!$T$6:$T$171, "&lt;"&amp;FW1)</f>
        <v>0</v>
      </c>
      <c r="FW17" s="125">
        <f>SUMIFS('Expenditure Breakdown'!$U$6:$U$171, 'Expenditure Breakdown'!$T$6:$T$171, "&gt;="&amp;FW1,'Expenditure Breakdown'!$T$6:$T$171, "&lt;"&amp;FX1)</f>
        <v>0</v>
      </c>
      <c r="FX17" s="125">
        <f>SUMIFS('Expenditure Breakdown'!$U$6:$U$171, 'Expenditure Breakdown'!$T$6:$T$171, "&gt;="&amp;FX1,'Expenditure Breakdown'!$T$6:$T$171, "&lt;"&amp;FY1)</f>
        <v>0</v>
      </c>
      <c r="FY17" s="125">
        <f>SUMIFS('Expenditure Breakdown'!$U$6:$U$171, 'Expenditure Breakdown'!$T$6:$T$171, "&gt;="&amp;FY1,'Expenditure Breakdown'!$T$6:$T$171, "&lt;"&amp;FZ1)</f>
        <v>0</v>
      </c>
      <c r="FZ17" s="125">
        <f>SUMIFS('Expenditure Breakdown'!$U$6:$U$171, 'Expenditure Breakdown'!$T$6:$T$171, "&gt;="&amp;FZ1,'Expenditure Breakdown'!$T$6:$T$171, "&lt;"&amp;GA1)</f>
        <v>0</v>
      </c>
      <c r="GA17" s="125">
        <f>SUMIFS('Expenditure Breakdown'!$U$6:$U$171, 'Expenditure Breakdown'!$T$6:$T$171, "&gt;="&amp;GA1,'Expenditure Breakdown'!$T$6:$T$171, "&lt;"&amp;GB1)</f>
        <v>0</v>
      </c>
      <c r="GB17" s="125">
        <f>SUMIFS('Expenditure Breakdown'!$U$6:$U$171, 'Expenditure Breakdown'!$T$6:$T$171, "&gt;="&amp;GB1,'Expenditure Breakdown'!$T$6:$T$171, "&lt;"&amp;GC1)</f>
        <v>0</v>
      </c>
      <c r="GC17" s="125">
        <f>SUMIFS('Expenditure Breakdown'!$U$6:$U$171, 'Expenditure Breakdown'!$T$6:$T$171, "&gt;="&amp;GC1,'Expenditure Breakdown'!$T$6:$T$171, "&lt;"&amp;GD1)</f>
        <v>0</v>
      </c>
      <c r="GD17" s="125">
        <f>SUMIFS('Expenditure Breakdown'!$U$6:$U$171, 'Expenditure Breakdown'!$T$6:$T$171, "&gt;="&amp;GD1,'Expenditure Breakdown'!$T$6:$T$171, "&lt;"&amp;GE1)</f>
        <v>0</v>
      </c>
      <c r="GE17" s="125">
        <f>SUMIFS('Expenditure Breakdown'!$U$6:$U$171, 'Expenditure Breakdown'!$T$6:$T$171, "&gt;="&amp;GE1,'Expenditure Breakdown'!$T$6:$T$171, "&lt;"&amp;GF1)</f>
        <v>0</v>
      </c>
      <c r="GF17" s="125">
        <f>SUMIFS('Expenditure Breakdown'!$U$6:$U$171, 'Expenditure Breakdown'!$T$6:$T$171, "&gt;="&amp;GF1,'Expenditure Breakdown'!$T$6:$T$171, "&lt;"&amp;GG1)</f>
        <v>0</v>
      </c>
      <c r="GG17" s="125">
        <f>SUMIFS('Expenditure Breakdown'!$U$6:$U$171, 'Expenditure Breakdown'!$T$6:$T$171, "&gt;="&amp;GG1,'Expenditure Breakdown'!$T$6:$T$171, "&lt;"&amp;GH1)</f>
        <v>0</v>
      </c>
      <c r="GH17" s="125">
        <f>SUMIFS('Expenditure Breakdown'!$U$6:$U$171, 'Expenditure Breakdown'!$T$6:$T$171, "&gt;="&amp;GH1,'Expenditure Breakdown'!$T$6:$T$171, "&lt;"&amp;GI1)</f>
        <v>0</v>
      </c>
      <c r="GI17" s="125">
        <f>SUMIFS('Expenditure Breakdown'!$U$6:$U$171, 'Expenditure Breakdown'!$T$6:$T$171, "&gt;="&amp;GI1,'Expenditure Breakdown'!$T$6:$T$171, "&lt;"&amp;GJ1)</f>
        <v>0</v>
      </c>
      <c r="GJ17" s="125">
        <f>SUMIFS('Expenditure Breakdown'!$U$6:$U$171, 'Expenditure Breakdown'!$T$6:$T$171, "&gt;="&amp;GJ1,'Expenditure Breakdown'!$T$6:$T$171, "&lt;"&amp;GK1)</f>
        <v>0</v>
      </c>
      <c r="GK17" s="125">
        <f>SUMIFS('Expenditure Breakdown'!$U$6:$U$171, 'Expenditure Breakdown'!$T$6:$T$171, "&gt;="&amp;GK1,'Expenditure Breakdown'!$T$6:$T$171, "&lt;"&amp;GL1)</f>
        <v>0</v>
      </c>
      <c r="GL17" s="125">
        <f>SUMIFS('Expenditure Breakdown'!$U$6:$U$171, 'Expenditure Breakdown'!$T$6:$T$171, "&gt;="&amp;GL1,'Expenditure Breakdown'!$T$6:$T$171, "&lt;"&amp;GM1)</f>
        <v>0</v>
      </c>
      <c r="GM17" s="125">
        <f>SUMIFS('Expenditure Breakdown'!$U$6:$U$171, 'Expenditure Breakdown'!$T$6:$T$171, "&gt;="&amp;GM1,'Expenditure Breakdown'!$T$6:$T$171, "&lt;"&amp;GN1)</f>
        <v>0</v>
      </c>
      <c r="GN17" s="125">
        <f>SUMIFS('Expenditure Breakdown'!$U$6:$U$171, 'Expenditure Breakdown'!$T$6:$T$171, "&gt;="&amp;GN1,'Expenditure Breakdown'!$T$6:$T$171, "&lt;"&amp;GO1)</f>
        <v>0</v>
      </c>
      <c r="GO17" s="125">
        <f>SUMIFS('Expenditure Breakdown'!$U$6:$U$171, 'Expenditure Breakdown'!$T$6:$T$171, "&gt;="&amp;GO1,'Expenditure Breakdown'!$T$6:$T$171, "&lt;"&amp;GP1)</f>
        <v>0</v>
      </c>
      <c r="GP17" s="125">
        <f>SUMIFS('Expenditure Breakdown'!$U$6:$U$171, 'Expenditure Breakdown'!$T$6:$T$171, "&gt;="&amp;GP1,'Expenditure Breakdown'!$T$6:$T$171, "&lt;"&amp;GQ1)</f>
        <v>0</v>
      </c>
      <c r="GQ17" s="125">
        <f>SUMIFS('Expenditure Breakdown'!$U$6:$U$171, 'Expenditure Breakdown'!$T$6:$T$171, "&gt;="&amp;GQ1,'Expenditure Breakdown'!$T$6:$T$171, "&lt;"&amp;GR1)</f>
        <v>0</v>
      </c>
      <c r="GR17" s="125">
        <f>SUMIFS('Expenditure Breakdown'!$U$6:$U$171, 'Expenditure Breakdown'!$T$6:$T$171, "&gt;="&amp;GR1,'Expenditure Breakdown'!$T$6:$T$171, "&lt;"&amp;GS1)</f>
        <v>0</v>
      </c>
      <c r="GS17" s="125">
        <f>SUMIFS('Expenditure Breakdown'!$U$6:$U$171, 'Expenditure Breakdown'!$T$6:$T$171, "&gt;="&amp;GS1,'Expenditure Breakdown'!$T$6:$T$171, "&lt;"&amp;GT1)</f>
        <v>0</v>
      </c>
      <c r="GT17" s="125">
        <f>SUMIFS('Expenditure Breakdown'!$U$6:$U$171, 'Expenditure Breakdown'!$T$6:$T$171, "&gt;="&amp;GT1,'Expenditure Breakdown'!$T$6:$T$171, "&lt;"&amp;GU1)</f>
        <v>0</v>
      </c>
      <c r="GU17" s="125">
        <f>SUMIFS('Expenditure Breakdown'!$U$6:$U$171, 'Expenditure Breakdown'!$T$6:$T$171, "&gt;="&amp;GU1,'Expenditure Breakdown'!$T$6:$T$171, "&lt;"&amp;GV1)</f>
        <v>0</v>
      </c>
      <c r="GV17" s="125">
        <f>SUMIFS('Expenditure Breakdown'!$U$6:$U$171, 'Expenditure Breakdown'!$T$6:$T$171, "&gt;="&amp;GV1,'Expenditure Breakdown'!$T$6:$T$171, "&lt;"&amp;GW1)</f>
        <v>0</v>
      </c>
      <c r="GW17" s="125">
        <f>SUMIFS('Expenditure Breakdown'!$U$6:$U$171, 'Expenditure Breakdown'!$T$6:$T$171, "&gt;="&amp;GW1,'Expenditure Breakdown'!$T$6:$T$171, "&lt;"&amp;GX1)</f>
        <v>0</v>
      </c>
      <c r="GX17" s="125">
        <f>SUMIFS('Expenditure Breakdown'!$U$6:$U$171, 'Expenditure Breakdown'!$T$6:$T$171, "&gt;="&amp;GX1,'Expenditure Breakdown'!$T$6:$T$171, "&lt;"&amp;GY1)</f>
        <v>0</v>
      </c>
      <c r="GY17" s="125">
        <f>SUMIFS('Expenditure Breakdown'!$U$6:$U$171, 'Expenditure Breakdown'!$T$6:$T$171, "&gt;="&amp;GY1,'Expenditure Breakdown'!$T$6:$T$171, "&lt;"&amp;GZ1)</f>
        <v>0</v>
      </c>
      <c r="GZ17" s="125">
        <f>SUMIFS('Expenditure Breakdown'!$U$6:$U$171, 'Expenditure Breakdown'!$T$6:$T$171, "&gt;="&amp;GZ1,'Expenditure Breakdown'!$T$6:$T$171, "&lt;"&amp;HA1)</f>
        <v>0</v>
      </c>
      <c r="HA17" s="125">
        <f>SUMIFS('Expenditure Breakdown'!$U$6:$U$171, 'Expenditure Breakdown'!$T$6:$T$171, "&gt;="&amp;HA1,'Expenditure Breakdown'!$T$6:$T$171, "&lt;"&amp;HB1)</f>
        <v>0</v>
      </c>
      <c r="HB17" s="125">
        <f>SUMIFS('Expenditure Breakdown'!$U$6:$U$171, 'Expenditure Breakdown'!$T$6:$T$171, "&gt;="&amp;HB1,'Expenditure Breakdown'!$T$6:$T$171, "&lt;"&amp;HC1)</f>
        <v>0</v>
      </c>
      <c r="HC17" s="125">
        <f>SUMIFS('Expenditure Breakdown'!$U$6:$U$171, 'Expenditure Breakdown'!$T$6:$T$171, "&gt;="&amp;HC1,'Expenditure Breakdown'!$T$6:$T$171, "&lt;"&amp;HD1)</f>
        <v>0</v>
      </c>
      <c r="HD17" s="125">
        <f>SUMIFS('Expenditure Breakdown'!$U$6:$U$171, 'Expenditure Breakdown'!$T$6:$T$171, "&gt;="&amp;HD1,'Expenditure Breakdown'!$T$6:$T$171, "&lt;"&amp;HE1)</f>
        <v>0</v>
      </c>
      <c r="HE17" s="125">
        <f>SUMIFS('Expenditure Breakdown'!$U$6:$U$171, 'Expenditure Breakdown'!$T$6:$T$171, "&gt;="&amp;HE1,'Expenditure Breakdown'!$T$6:$T$171, "&lt;"&amp;HF1)</f>
        <v>0</v>
      </c>
      <c r="HF17" s="125">
        <f>SUMIFS('Expenditure Breakdown'!$U$6:$U$171, 'Expenditure Breakdown'!$T$6:$T$171, "&gt;="&amp;HF1,'Expenditure Breakdown'!$T$6:$T$171, "&lt;"&amp;HG1)</f>
        <v>0</v>
      </c>
      <c r="HG17" s="125">
        <f>SUMIFS('Expenditure Breakdown'!$U$6:$U$171, 'Expenditure Breakdown'!$T$6:$T$171, "&gt;="&amp;HG1,'Expenditure Breakdown'!$T$6:$T$171, "&lt;"&amp;HH1)</f>
        <v>0</v>
      </c>
      <c r="HH17" s="125">
        <f>SUMIFS('Expenditure Breakdown'!$U$6:$U$171, 'Expenditure Breakdown'!$T$6:$T$171, "&gt;="&amp;HH1,'Expenditure Breakdown'!$T$6:$T$171, "&lt;"&amp;HI1)</f>
        <v>0</v>
      </c>
      <c r="HI17" s="125">
        <f>SUMIFS('Expenditure Breakdown'!$U$6:$U$171, 'Expenditure Breakdown'!$T$6:$T$171, "&gt;="&amp;HI1,'Expenditure Breakdown'!$T$6:$T$171, "&lt;"&amp;HJ1)</f>
        <v>0</v>
      </c>
      <c r="HJ17" s="125">
        <f>SUMIFS('Expenditure Breakdown'!$U$6:$U$171, 'Expenditure Breakdown'!$T$6:$T$171, "&gt;="&amp;HJ1,'Expenditure Breakdown'!$T$6:$T$171, "&lt;"&amp;HK1)</f>
        <v>0</v>
      </c>
      <c r="HK17" s="125">
        <f>SUMIFS('Expenditure Breakdown'!$U$6:$U$171, 'Expenditure Breakdown'!$T$6:$T$171, "&gt;="&amp;HK1,'Expenditure Breakdown'!$T$6:$T$171, "&lt;"&amp;HL1)</f>
        <v>0</v>
      </c>
      <c r="HL17" s="125">
        <f>SUMIFS('Expenditure Breakdown'!$U$6:$U$171, 'Expenditure Breakdown'!$T$6:$T$171, "&gt;="&amp;HL1,'Expenditure Breakdown'!$T$6:$T$171, "&lt;"&amp;HM1)</f>
        <v>0</v>
      </c>
      <c r="HM17" s="125">
        <f>SUMIFS('Expenditure Breakdown'!$U$6:$U$171, 'Expenditure Breakdown'!$T$6:$T$171, "&gt;="&amp;HM1,'Expenditure Breakdown'!$T$6:$T$171, "&lt;"&amp;HN1)</f>
        <v>0</v>
      </c>
      <c r="HN17" s="125">
        <f>SUMIFS('Expenditure Breakdown'!$U$6:$U$171, 'Expenditure Breakdown'!$T$6:$T$171, "&gt;="&amp;HN1,'Expenditure Breakdown'!$T$6:$T$171, "&lt;"&amp;HO1)</f>
        <v>0</v>
      </c>
      <c r="HO17" s="125">
        <f>SUMIFS('Expenditure Breakdown'!$U$6:$U$171, 'Expenditure Breakdown'!$T$6:$T$171, "&gt;="&amp;HO1,'Expenditure Breakdown'!$T$6:$T$171, "&lt;"&amp;HP1)</f>
        <v>0</v>
      </c>
      <c r="HP17" s="125">
        <f>SUMIFS('Expenditure Breakdown'!$U$6:$U$171, 'Expenditure Breakdown'!$T$6:$T$171, "&gt;="&amp;HP1,'Expenditure Breakdown'!$T$6:$T$171, "&lt;"&amp;HQ1)</f>
        <v>0</v>
      </c>
      <c r="HQ17" s="125">
        <f>SUMIFS('Expenditure Breakdown'!$U$6:$U$171, 'Expenditure Breakdown'!$T$6:$T$171, "&gt;="&amp;HQ1,'Expenditure Breakdown'!$T$6:$T$171, "&lt;"&amp;HR1)</f>
        <v>0</v>
      </c>
      <c r="HR17" s="125">
        <f>SUMIFS('Expenditure Breakdown'!$U$6:$U$171, 'Expenditure Breakdown'!$T$6:$T$171, "&gt;="&amp;HR1,'Expenditure Breakdown'!$T$6:$T$171, "&lt;"&amp;HS1)</f>
        <v>0</v>
      </c>
      <c r="HS17" s="125">
        <f>SUMIFS('Expenditure Breakdown'!$U$6:$U$171, 'Expenditure Breakdown'!$T$6:$T$171, "&gt;="&amp;HS1,'Expenditure Breakdown'!$T$6:$T$171, "&lt;"&amp;HT1)</f>
        <v>0</v>
      </c>
      <c r="HT17" s="125">
        <f>SUMIFS('Expenditure Breakdown'!$U$6:$U$171, 'Expenditure Breakdown'!$T$6:$T$171, "&gt;="&amp;HT1,'Expenditure Breakdown'!$T$6:$T$171, "&lt;"&amp;HU1)</f>
        <v>0</v>
      </c>
      <c r="HU17" s="125">
        <f>SUMIFS('Expenditure Breakdown'!$U$6:$U$171, 'Expenditure Breakdown'!$T$6:$T$171, "&gt;="&amp;HU1,'Expenditure Breakdown'!$T$6:$T$171, "&lt;"&amp;HV1)</f>
        <v>0</v>
      </c>
      <c r="HV17" s="125">
        <f>SUMIFS('Expenditure Breakdown'!$U$6:$U$171, 'Expenditure Breakdown'!$T$6:$T$171, "&gt;="&amp;HV1,'Expenditure Breakdown'!$T$6:$T$171, "&lt;"&amp;HW1)</f>
        <v>0</v>
      </c>
      <c r="HW17" s="125">
        <f>SUMIFS('Expenditure Breakdown'!$U$6:$U$171, 'Expenditure Breakdown'!$T$6:$T$171, "&gt;="&amp;HW1,'Expenditure Breakdown'!$T$6:$T$171, "&lt;"&amp;HX1)</f>
        <v>0</v>
      </c>
      <c r="HX17" s="125">
        <f>SUMIFS('Expenditure Breakdown'!$U$6:$U$171, 'Expenditure Breakdown'!$T$6:$T$171, "&gt;="&amp;HX1,'Expenditure Breakdown'!$T$6:$T$171, "&lt;"&amp;HY1)</f>
        <v>0</v>
      </c>
      <c r="HY17" s="125">
        <f>SUMIFS('Expenditure Breakdown'!$U$6:$U$171, 'Expenditure Breakdown'!$T$6:$T$171, "&gt;="&amp;HY1,'Expenditure Breakdown'!$T$6:$T$171, "&lt;"&amp;HZ1)</f>
        <v>0</v>
      </c>
      <c r="HZ17" s="125">
        <f>SUMIFS('Expenditure Breakdown'!$U$6:$U$171, 'Expenditure Breakdown'!$T$6:$T$171, "&gt;="&amp;HZ1,'Expenditure Breakdown'!$T$6:$T$171, "&lt;"&amp;IA1)</f>
        <v>0</v>
      </c>
      <c r="IA17" s="125">
        <f>SUMIFS('Expenditure Breakdown'!$U$6:$U$171, 'Expenditure Breakdown'!$T$6:$T$171, "&gt;="&amp;IA1,'Expenditure Breakdown'!$T$6:$T$171, "&lt;"&amp;IB1)</f>
        <v>0</v>
      </c>
      <c r="IB17" s="125">
        <f>SUMIFS('Expenditure Breakdown'!$U$6:$U$171, 'Expenditure Breakdown'!$T$6:$T$171, "&gt;="&amp;IB1,'Expenditure Breakdown'!$T$6:$T$171, "&lt;"&amp;IC1)</f>
        <v>0</v>
      </c>
      <c r="IC17" s="125">
        <f>SUMIFS('Expenditure Breakdown'!$U$6:$U$171, 'Expenditure Breakdown'!$T$6:$T$171, "&gt;="&amp;IC1,'Expenditure Breakdown'!$T$6:$T$171, "&lt;"&amp;ID1)</f>
        <v>0</v>
      </c>
      <c r="ID17" s="125">
        <f>SUMIFS('Expenditure Breakdown'!$U$6:$U$171, 'Expenditure Breakdown'!$T$6:$T$171, "&gt;="&amp;ID1,'Expenditure Breakdown'!$T$6:$T$171, "&lt;"&amp;IE1)</f>
        <v>0</v>
      </c>
      <c r="IE17" s="125">
        <f>SUMIFS('Expenditure Breakdown'!$U$6:$U$171, 'Expenditure Breakdown'!$T$6:$T$171, "&gt;="&amp;IE1,'Expenditure Breakdown'!$T$6:$T$171, "&lt;"&amp;IF1)</f>
        <v>0</v>
      </c>
      <c r="IF17" s="125">
        <f>SUMIFS('Expenditure Breakdown'!$U$6:$U$171, 'Expenditure Breakdown'!$T$6:$T$171, "&gt;="&amp;IF1,'Expenditure Breakdown'!$T$6:$T$171, "&lt;"&amp;IG1)</f>
        <v>0</v>
      </c>
      <c r="IG17" s="125">
        <f>SUMIFS('Expenditure Breakdown'!$U$6:$U$171, 'Expenditure Breakdown'!$T$6:$T$171, "&gt;="&amp;IG1,'Expenditure Breakdown'!$T$6:$T$171, "&lt;"&amp;IH1)</f>
        <v>0</v>
      </c>
      <c r="IH17" s="125">
        <f>SUMIFS('Expenditure Breakdown'!$U$6:$U$171, 'Expenditure Breakdown'!$T$6:$T$171, "&gt;="&amp;IH1,'Expenditure Breakdown'!$T$6:$T$171, "&lt;"&amp;II1)</f>
        <v>0</v>
      </c>
      <c r="II17" s="125">
        <f>SUMIFS('Expenditure Breakdown'!$U$6:$U$171, 'Expenditure Breakdown'!$T$6:$T$171, "&gt;="&amp;II1,'Expenditure Breakdown'!$T$6:$T$171, "&lt;"&amp;IJ1)</f>
        <v>0</v>
      </c>
      <c r="IJ17" s="125">
        <f>SUMIFS('Expenditure Breakdown'!$U$6:$U$171, 'Expenditure Breakdown'!$T$6:$T$171, "&gt;="&amp;IJ1,'Expenditure Breakdown'!$T$6:$T$171, "&lt;"&amp;IK1)</f>
        <v>0</v>
      </c>
      <c r="IK17" s="125">
        <f>SUMIFS('Expenditure Breakdown'!$U$6:$U$171, 'Expenditure Breakdown'!$T$6:$T$171, "&gt;="&amp;IK1,'Expenditure Breakdown'!$T$6:$T$171, "&lt;"&amp;IL1)</f>
        <v>0</v>
      </c>
      <c r="IL17" s="125">
        <f>SUMIFS('Expenditure Breakdown'!$U$6:$U$171, 'Expenditure Breakdown'!$T$6:$T$171, "&gt;="&amp;IL1,'Expenditure Breakdown'!$T$6:$T$171, "&lt;"&amp;IM1)</f>
        <v>0</v>
      </c>
      <c r="IM17" s="125">
        <f>SUMIFS('Expenditure Breakdown'!$U$6:$U$171, 'Expenditure Breakdown'!$T$6:$T$171, "&gt;="&amp;IM1,'Expenditure Breakdown'!$T$6:$T$171, "&lt;"&amp;IN1)</f>
        <v>0</v>
      </c>
      <c r="IN17" s="125">
        <f>SUMIFS('Expenditure Breakdown'!$U$6:$U$171, 'Expenditure Breakdown'!$T$6:$T$171, "&gt;="&amp;IN1,'Expenditure Breakdown'!$T$6:$T$171, "&lt;"&amp;IO1)</f>
        <v>0</v>
      </c>
      <c r="IO17" s="125">
        <f>SUMIFS('Expenditure Breakdown'!$U$6:$U$171, 'Expenditure Breakdown'!$T$6:$T$171, "&gt;="&amp;IO1,'Expenditure Breakdown'!$T$6:$T$171, "&lt;"&amp;IP1)</f>
        <v>0</v>
      </c>
      <c r="IP17" s="125">
        <f>SUMIFS('Expenditure Breakdown'!$U$6:$U$171, 'Expenditure Breakdown'!$T$6:$T$171, "&gt;="&amp;IP1,'Expenditure Breakdown'!$T$6:$T$171, "&lt;"&amp;IQ1)</f>
        <v>0</v>
      </c>
      <c r="IQ17" s="125">
        <f>SUMIFS('Expenditure Breakdown'!$U$6:$U$171, 'Expenditure Breakdown'!$T$6:$T$171, "&gt;="&amp;IQ1,'Expenditure Breakdown'!$T$6:$T$171, "&lt;"&amp;IR1)</f>
        <v>0</v>
      </c>
      <c r="IR17" s="125">
        <f>SUMIFS('Expenditure Breakdown'!$U$6:$U$171, 'Expenditure Breakdown'!$T$6:$T$171, "&gt;="&amp;IR1,'Expenditure Breakdown'!$T$6:$T$171, "&lt;"&amp;IS1)</f>
        <v>0</v>
      </c>
      <c r="IS17" s="125">
        <f>SUMIFS('Expenditure Breakdown'!$U$6:$U$171, 'Expenditure Breakdown'!$T$6:$T$171, "&gt;="&amp;IS1,'Expenditure Breakdown'!$T$6:$T$171, "&lt;"&amp;IT1)</f>
        <v>0</v>
      </c>
      <c r="IT17" s="125">
        <f>SUMIFS('Expenditure Breakdown'!$U$6:$U$171, 'Expenditure Breakdown'!$T$6:$T$171, "&gt;="&amp;IT1,'Expenditure Breakdown'!$T$6:$T$171, "&lt;"&amp;IU1)</f>
        <v>0</v>
      </c>
      <c r="IU17" s="125">
        <f>SUMIFS('Expenditure Breakdown'!$U$6:$U$171, 'Expenditure Breakdown'!$T$6:$T$171, "&gt;="&amp;IU1,'Expenditure Breakdown'!$T$6:$T$171, "&lt;"&amp;IV1)</f>
        <v>0</v>
      </c>
      <c r="IV17" s="125">
        <f>SUMIFS('Expenditure Breakdown'!$U$6:$U$171, 'Expenditure Breakdown'!$T$6:$T$171, "&gt;="&amp;IV1,'Expenditure Breakdown'!$T$6:$T$171, "&lt;"&amp;IW1)</f>
        <v>0</v>
      </c>
      <c r="IW17" s="125">
        <f>SUMIFS('Expenditure Breakdown'!$U$6:$U$171, 'Expenditure Breakdown'!$T$6:$T$171, "&gt;="&amp;IW1,'Expenditure Breakdown'!$T$6:$T$171, "&lt;"&amp;IX1)</f>
        <v>0</v>
      </c>
      <c r="IX17" s="125">
        <f>SUMIFS('Expenditure Breakdown'!$U$6:$U$171, 'Expenditure Breakdown'!$T$6:$T$171, "&gt;="&amp;IX1,'Expenditure Breakdown'!$T$6:$T$171, "&lt;"&amp;IY1)</f>
        <v>0</v>
      </c>
      <c r="IY17" s="125">
        <f>SUMIFS('Expenditure Breakdown'!$U$6:$U$171, 'Expenditure Breakdown'!$T$6:$T$171, "&gt;="&amp;IY1,'Expenditure Breakdown'!$T$6:$T$171, "&lt;"&amp;IZ1)</f>
        <v>0</v>
      </c>
      <c r="IZ17" s="125">
        <f>SUMIFS('Expenditure Breakdown'!$U$6:$U$171, 'Expenditure Breakdown'!$T$6:$T$171, "&gt;="&amp;IZ1,'Expenditure Breakdown'!$T$6:$T$171, "&lt;"&amp;JA1)</f>
        <v>0</v>
      </c>
      <c r="JA17" s="125">
        <f>SUMIFS('Expenditure Breakdown'!$U$6:$U$171, 'Expenditure Breakdown'!$T$6:$T$171, "&gt;="&amp;JA1,'Expenditure Breakdown'!$T$6:$T$171, "&lt;"&amp;JB1)</f>
        <v>0</v>
      </c>
      <c r="JB17" s="125">
        <f>SUMIFS('Expenditure Breakdown'!$U$6:$U$171, 'Expenditure Breakdown'!$T$6:$T$171, "&gt;="&amp;JB1,'Expenditure Breakdown'!$T$6:$T$171, "&lt;"&amp;JC1)</f>
        <v>0</v>
      </c>
      <c r="JC17" s="125">
        <f>SUMIFS('Expenditure Breakdown'!$U$6:$U$171, 'Expenditure Breakdown'!$T$6:$T$171, "&gt;="&amp;JC1,'Expenditure Breakdown'!$T$6:$T$171, "&lt;"&amp;JD1)</f>
        <v>0</v>
      </c>
      <c r="JD17" s="125">
        <f>SUMIFS('Expenditure Breakdown'!$U$6:$U$171, 'Expenditure Breakdown'!$T$6:$T$171, "&gt;="&amp;JD1,'Expenditure Breakdown'!$T$6:$T$171, "&lt;"&amp;JE1)</f>
        <v>0</v>
      </c>
      <c r="JE17" s="125">
        <f>SUMIFS('Expenditure Breakdown'!$U$6:$U$171, 'Expenditure Breakdown'!$T$6:$T$171, "&gt;="&amp;JE1,'Expenditure Breakdown'!$T$6:$T$171, "&lt;"&amp;JF1)</f>
        <v>0</v>
      </c>
      <c r="JF17" s="125">
        <f>SUMIFS('Expenditure Breakdown'!$U$6:$U$171, 'Expenditure Breakdown'!$T$6:$T$171, "&gt;="&amp;JF1,'Expenditure Breakdown'!$T$6:$T$171, "&lt;"&amp;JG1)</f>
        <v>0</v>
      </c>
      <c r="JG17" s="125">
        <f>SUMIFS('Expenditure Breakdown'!$U$6:$U$171, 'Expenditure Breakdown'!$T$6:$T$171, "&gt;="&amp;JG1,'Expenditure Breakdown'!$T$6:$T$171, "&lt;"&amp;JH1)</f>
        <v>0</v>
      </c>
      <c r="JH17" s="125">
        <f>SUMIFS('Expenditure Breakdown'!$U$6:$U$171, 'Expenditure Breakdown'!$T$6:$T$171, "&gt;="&amp;JH1,'Expenditure Breakdown'!$T$6:$T$171, "&lt;"&amp;JI1)</f>
        <v>0</v>
      </c>
      <c r="JI17" s="125">
        <f>SUMIFS('Expenditure Breakdown'!$U$6:$U$171, 'Expenditure Breakdown'!$T$6:$T$171, "&gt;="&amp;JI1,'Expenditure Breakdown'!$T$6:$T$171, "&lt;"&amp;JJ1)</f>
        <v>0</v>
      </c>
      <c r="JJ17" s="125">
        <f>SUMIFS('Expenditure Breakdown'!$U$6:$U$171, 'Expenditure Breakdown'!$T$6:$T$171, "&gt;="&amp;JJ1,'Expenditure Breakdown'!$T$6:$T$171, "&lt;"&amp;JK1)</f>
        <v>0</v>
      </c>
      <c r="JK17" s="125">
        <f>SUMIFS('Expenditure Breakdown'!$U$6:$U$171, 'Expenditure Breakdown'!$T$6:$T$171, "&gt;="&amp;JK1,'Expenditure Breakdown'!$T$6:$T$171, "&lt;"&amp;JL1)</f>
        <v>0</v>
      </c>
      <c r="JL17" s="125">
        <f>SUMIFS('Expenditure Breakdown'!$U$6:$U$171, 'Expenditure Breakdown'!$T$6:$T$171, "&gt;="&amp;JL1,'Expenditure Breakdown'!$T$6:$T$171, "&lt;"&amp;JM1)</f>
        <v>0</v>
      </c>
      <c r="JM17" s="125">
        <f>SUMIFS('Expenditure Breakdown'!$U$6:$U$171, 'Expenditure Breakdown'!$T$6:$T$171, "&gt;="&amp;JM1,'Expenditure Breakdown'!$T$6:$T$171, "&lt;"&amp;JN1)</f>
        <v>0</v>
      </c>
      <c r="JN17" s="125">
        <f>SUMIFS('Expenditure Breakdown'!$U$6:$U$171, 'Expenditure Breakdown'!$T$6:$T$171, "&gt;="&amp;JN1,'Expenditure Breakdown'!$T$6:$T$171, "&lt;"&amp;JO1)</f>
        <v>0</v>
      </c>
      <c r="JO17" s="125">
        <f>SUMIFS('Expenditure Breakdown'!$U$6:$U$171, 'Expenditure Breakdown'!$T$6:$T$171, "&gt;="&amp;JO1,'Expenditure Breakdown'!$T$6:$T$171, "&lt;"&amp;JP1)</f>
        <v>0</v>
      </c>
      <c r="JP17" s="125">
        <f>SUMIFS('Expenditure Breakdown'!$U$6:$U$171, 'Expenditure Breakdown'!$T$6:$T$171, "&gt;="&amp;JP1,'Expenditure Breakdown'!$T$6:$T$171, "&lt;"&amp;JQ1)</f>
        <v>0</v>
      </c>
      <c r="JQ17" s="125">
        <f>SUMIFS('Expenditure Breakdown'!$U$6:$U$171, 'Expenditure Breakdown'!$T$6:$T$171, "&gt;="&amp;JQ1,'Expenditure Breakdown'!$T$6:$T$171, "&lt;"&amp;JR1)</f>
        <v>0</v>
      </c>
      <c r="JR17" s="125">
        <f>SUMIFS('Expenditure Breakdown'!$U$6:$U$171, 'Expenditure Breakdown'!$T$6:$T$171, "&gt;="&amp;JR1,'Expenditure Breakdown'!$T$6:$T$171, "&lt;"&amp;JS1)</f>
        <v>0</v>
      </c>
      <c r="JS17" s="125">
        <f>SUMIFS('Expenditure Breakdown'!$U$6:$U$171, 'Expenditure Breakdown'!$T$6:$T$171, "&gt;="&amp;JS1,'Expenditure Breakdown'!$T$6:$T$171, "&lt;"&amp;JT1)</f>
        <v>0</v>
      </c>
      <c r="JT17" s="125">
        <f>SUMIFS('Expenditure Breakdown'!$U$6:$U$171, 'Expenditure Breakdown'!$T$6:$T$171, "&gt;="&amp;JT1,'Expenditure Breakdown'!$T$6:$T$171, "&lt;"&amp;JU1)</f>
        <v>0</v>
      </c>
      <c r="JU17" s="125">
        <f>SUMIFS('Expenditure Breakdown'!$U$6:$U$171, 'Expenditure Breakdown'!$T$6:$T$171, "&gt;="&amp;JU1,'Expenditure Breakdown'!$T$6:$T$171, "&lt;"&amp;JV1)</f>
        <v>0</v>
      </c>
      <c r="JV17" s="125">
        <f>SUMIFS('Expenditure Breakdown'!$U$6:$U$171, 'Expenditure Breakdown'!$T$6:$T$171, "&gt;="&amp;JV1,'Expenditure Breakdown'!$T$6:$T$171, "&lt;"&amp;JW1)</f>
        <v>0</v>
      </c>
      <c r="JW17" s="125">
        <f>SUMIFS('Expenditure Breakdown'!$U$6:$U$171, 'Expenditure Breakdown'!$T$6:$T$171, "&gt;="&amp;JW1,'Expenditure Breakdown'!$T$6:$T$171, "&lt;"&amp;JX1)</f>
        <v>0</v>
      </c>
      <c r="JX17" s="125">
        <f>SUMIFS('Expenditure Breakdown'!$U$6:$U$171, 'Expenditure Breakdown'!$T$6:$T$171, "&gt;="&amp;JX1,'Expenditure Breakdown'!$T$6:$T$171, "&lt;"&amp;JY1)</f>
        <v>0</v>
      </c>
      <c r="JY17" s="125">
        <f>SUMIFS('Expenditure Breakdown'!$U$6:$U$171, 'Expenditure Breakdown'!$T$6:$T$171, "&gt;="&amp;JY1,'Expenditure Breakdown'!$T$6:$T$171, "&lt;"&amp;JZ1)</f>
        <v>0</v>
      </c>
      <c r="JZ17" s="125">
        <f>SUMIFS('Expenditure Breakdown'!$U$6:$U$171, 'Expenditure Breakdown'!$T$6:$T$171, "&gt;="&amp;JZ1,'Expenditure Breakdown'!$T$6:$T$171, "&lt;"&amp;KA1)</f>
        <v>0</v>
      </c>
      <c r="KA17" s="125">
        <f>SUMIFS('Expenditure Breakdown'!$U$6:$U$171, 'Expenditure Breakdown'!$T$6:$T$171, "&gt;="&amp;KA1,'Expenditure Breakdown'!$T$6:$T$171, "&lt;"&amp;KB1)</f>
        <v>0</v>
      </c>
      <c r="KB17" s="125">
        <f>SUMIFS('Expenditure Breakdown'!$U$6:$U$171, 'Expenditure Breakdown'!$T$6:$T$171, "&gt;="&amp;KB1,'Expenditure Breakdown'!$T$6:$T$171, "&lt;"&amp;KC1)</f>
        <v>0</v>
      </c>
      <c r="KC17" s="125">
        <f>SUMIFS('Expenditure Breakdown'!$U$6:$U$171, 'Expenditure Breakdown'!$T$6:$T$171, "&gt;="&amp;KC1,'Expenditure Breakdown'!$T$6:$T$171, "&lt;"&amp;KD1)</f>
        <v>0</v>
      </c>
      <c r="KD17" s="125">
        <f>SUMIFS('Expenditure Breakdown'!$U$6:$U$171, 'Expenditure Breakdown'!$T$6:$T$171, "&gt;="&amp;KD1,'Expenditure Breakdown'!$T$6:$T$171, "&lt;"&amp;KE1)</f>
        <v>0</v>
      </c>
      <c r="KE17" s="125">
        <f>SUMIFS('Expenditure Breakdown'!$U$6:$U$171, 'Expenditure Breakdown'!$T$6:$T$171, "&gt;="&amp;KE1,'Expenditure Breakdown'!$T$6:$T$171, "&lt;"&amp;KF1)</f>
        <v>0</v>
      </c>
      <c r="KF17" s="125">
        <f>SUMIFS('Expenditure Breakdown'!$U$6:$U$171, 'Expenditure Breakdown'!$T$6:$T$171, "&gt;="&amp;KF1,'Expenditure Breakdown'!$T$6:$T$171, "&lt;"&amp;#REF!)</f>
        <v>0</v>
      </c>
    </row>
    <row r="18" spans="1:292">
      <c r="A18" s="729"/>
      <c r="B18" s="106" t="s">
        <v>413</v>
      </c>
      <c r="C18" s="275">
        <f>D17-D18</f>
        <v>0</v>
      </c>
      <c r="D18" s="107">
        <f>MAX(F18:KF18)</f>
        <v>1436736.0952106859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33991.142706004328</v>
      </c>
      <c r="R18" s="125">
        <f t="shared" si="37"/>
        <v>33991.142706004328</v>
      </c>
      <c r="S18" s="125">
        <f t="shared" si="37"/>
        <v>33991.142706004328</v>
      </c>
      <c r="T18" s="125">
        <f t="shared" si="37"/>
        <v>33991.142706004328</v>
      </c>
      <c r="U18" s="125">
        <f t="shared" si="37"/>
        <v>1008638.4141936095</v>
      </c>
      <c r="V18" s="125">
        <f t="shared" si="37"/>
        <v>1008638.4141936095</v>
      </c>
      <c r="W18" s="125">
        <f t="shared" si="37"/>
        <v>1008638.4141936095</v>
      </c>
      <c r="X18" s="125">
        <f t="shared" si="37"/>
        <v>1008638.4141936095</v>
      </c>
      <c r="Y18" s="125">
        <f t="shared" si="37"/>
        <v>1008638.4141936095</v>
      </c>
      <c r="Z18" s="125">
        <f t="shared" si="37"/>
        <v>1301638.2138052697</v>
      </c>
      <c r="AA18" s="125">
        <f t="shared" si="37"/>
        <v>1301638.2138052697</v>
      </c>
      <c r="AB18" s="125">
        <f t="shared" si="37"/>
        <v>1301638.2138052697</v>
      </c>
      <c r="AC18" s="125">
        <f t="shared" si="37"/>
        <v>1301638.2138052697</v>
      </c>
      <c r="AD18" s="125">
        <f>AC18+AD17</f>
        <v>1436118.4481518622</v>
      </c>
      <c r="AE18" s="125">
        <f t="shared" si="37"/>
        <v>1436118.4481518622</v>
      </c>
      <c r="AF18" s="125">
        <f t="shared" si="37"/>
        <v>1436118.4481518622</v>
      </c>
      <c r="AG18" s="125">
        <f t="shared" si="37"/>
        <v>1436118.4481518622</v>
      </c>
      <c r="AH18" s="125">
        <f t="shared" si="37"/>
        <v>1436736.0952106859</v>
      </c>
      <c r="AI18" s="125">
        <f t="shared" si="37"/>
        <v>1436736.0952106859</v>
      </c>
      <c r="AJ18" s="125">
        <f t="shared" si="37"/>
        <v>1436736.0952106859</v>
      </c>
      <c r="AK18" s="125">
        <f t="shared" si="37"/>
        <v>1436736.0952106859</v>
      </c>
      <c r="AL18" s="125">
        <f t="shared" si="37"/>
        <v>1436736.0952106859</v>
      </c>
      <c r="AM18" s="125">
        <f t="shared" si="37"/>
        <v>1436736.0952106859</v>
      </c>
      <c r="AN18" s="125">
        <f t="shared" si="37"/>
        <v>1436736.0952106859</v>
      </c>
      <c r="AO18" s="125">
        <f t="shared" si="37"/>
        <v>1436736.0952106859</v>
      </c>
      <c r="AP18" s="125">
        <f t="shared" si="37"/>
        <v>1436736.0952106859</v>
      </c>
      <c r="AQ18" s="125">
        <f t="shared" si="37"/>
        <v>1436736.0952106859</v>
      </c>
      <c r="AR18" s="125">
        <f t="shared" si="37"/>
        <v>1436736.0952106859</v>
      </c>
      <c r="AS18" s="125">
        <f t="shared" si="37"/>
        <v>1436736.0952106859</v>
      </c>
      <c r="AT18" s="125">
        <f t="shared" si="37"/>
        <v>1436736.0952106859</v>
      </c>
      <c r="AU18" s="125">
        <f t="shared" si="37"/>
        <v>1436736.0952106859</v>
      </c>
      <c r="AV18" s="125">
        <f t="shared" si="37"/>
        <v>1436736.0952106859</v>
      </c>
      <c r="AW18" s="125">
        <f t="shared" si="37"/>
        <v>1436736.0952106859</v>
      </c>
      <c r="AX18" s="125">
        <f t="shared" si="37"/>
        <v>1436736.0952106859</v>
      </c>
      <c r="AY18" s="125">
        <f t="shared" si="37"/>
        <v>1436736.0952106859</v>
      </c>
      <c r="AZ18" s="125">
        <f t="shared" si="37"/>
        <v>1436736.0952106859</v>
      </c>
      <c r="BA18" s="125">
        <f t="shared" si="37"/>
        <v>1436736.0952106859</v>
      </c>
      <c r="BB18" s="125">
        <f t="shared" si="37"/>
        <v>1436736.0952106859</v>
      </c>
      <c r="BC18" s="125">
        <f t="shared" si="37"/>
        <v>1436736.0952106859</v>
      </c>
      <c r="BD18" s="125">
        <f t="shared" si="37"/>
        <v>1436736.0952106859</v>
      </c>
      <c r="BE18" s="125">
        <f t="shared" si="37"/>
        <v>1436736.0952106859</v>
      </c>
      <c r="BF18" s="125">
        <f t="shared" si="37"/>
        <v>1436736.0952106859</v>
      </c>
      <c r="BG18" s="125">
        <f t="shared" si="37"/>
        <v>1436736.0952106859</v>
      </c>
      <c r="BH18" s="125">
        <f t="shared" si="37"/>
        <v>1436736.0952106859</v>
      </c>
      <c r="BI18" s="125">
        <f t="shared" si="37"/>
        <v>1436736.0952106859</v>
      </c>
      <c r="BJ18" s="125">
        <f t="shared" si="37"/>
        <v>1436736.0952106859</v>
      </c>
      <c r="BK18" s="125">
        <f t="shared" si="37"/>
        <v>1436736.0952106859</v>
      </c>
      <c r="BL18" s="125">
        <f t="shared" si="37"/>
        <v>1436736.0952106859</v>
      </c>
      <c r="BM18" s="125">
        <f t="shared" si="37"/>
        <v>1436736.0952106859</v>
      </c>
      <c r="BN18" s="125">
        <f t="shared" si="37"/>
        <v>1436736.0952106859</v>
      </c>
      <c r="BO18" s="125">
        <f t="shared" si="37"/>
        <v>1436736.0952106859</v>
      </c>
      <c r="BP18" s="125">
        <f t="shared" si="37"/>
        <v>1436736.0952106859</v>
      </c>
      <c r="BQ18" s="125">
        <f t="shared" si="37"/>
        <v>1436736.0952106859</v>
      </c>
      <c r="BR18" s="125">
        <f t="shared" si="37"/>
        <v>1436736.0952106859</v>
      </c>
      <c r="BS18" s="125">
        <f t="shared" si="37"/>
        <v>1436736.0952106859</v>
      </c>
      <c r="BT18" s="125">
        <f t="shared" si="37"/>
        <v>1436736.0952106859</v>
      </c>
      <c r="BU18" s="125">
        <f t="shared" ref="BU18:EF18" si="38">BT18+BU17</f>
        <v>1436736.0952106859</v>
      </c>
      <c r="BV18" s="125">
        <f t="shared" si="38"/>
        <v>1436736.0952106859</v>
      </c>
      <c r="BW18" s="125">
        <f t="shared" si="38"/>
        <v>1436736.0952106859</v>
      </c>
      <c r="BX18" s="125">
        <f t="shared" si="38"/>
        <v>1436736.0952106859</v>
      </c>
      <c r="BY18" s="125">
        <f t="shared" si="38"/>
        <v>1436736.0952106859</v>
      </c>
      <c r="BZ18" s="125">
        <f t="shared" si="38"/>
        <v>1436736.0952106859</v>
      </c>
      <c r="CA18" s="125">
        <f t="shared" si="38"/>
        <v>1436736.0952106859</v>
      </c>
      <c r="CB18" s="125">
        <f t="shared" si="38"/>
        <v>1436736.0952106859</v>
      </c>
      <c r="CC18" s="125">
        <f t="shared" si="38"/>
        <v>1436736.0952106859</v>
      </c>
      <c r="CD18" s="125">
        <f t="shared" si="38"/>
        <v>1436736.0952106859</v>
      </c>
      <c r="CE18" s="125">
        <f t="shared" si="38"/>
        <v>1436736.0952106859</v>
      </c>
      <c r="CF18" s="125">
        <f t="shared" si="38"/>
        <v>1436736.0952106859</v>
      </c>
      <c r="CG18" s="125">
        <f t="shared" si="38"/>
        <v>1436736.0952106859</v>
      </c>
      <c r="CH18" s="125">
        <f t="shared" si="38"/>
        <v>1436736.0952106859</v>
      </c>
      <c r="CI18" s="125">
        <f t="shared" si="38"/>
        <v>1436736.0952106859</v>
      </c>
      <c r="CJ18" s="125">
        <f t="shared" si="38"/>
        <v>1436736.0952106859</v>
      </c>
      <c r="CK18" s="125">
        <f t="shared" si="38"/>
        <v>1436736.0952106859</v>
      </c>
      <c r="CL18" s="125">
        <f t="shared" si="38"/>
        <v>1436736.0952106859</v>
      </c>
      <c r="CM18" s="125">
        <f t="shared" si="38"/>
        <v>1436736.0952106859</v>
      </c>
      <c r="CN18" s="125">
        <f t="shared" si="38"/>
        <v>1436736.0952106859</v>
      </c>
      <c r="CO18" s="125">
        <f t="shared" si="38"/>
        <v>1436736.0952106859</v>
      </c>
      <c r="CP18" s="125">
        <f t="shared" si="38"/>
        <v>1436736.0952106859</v>
      </c>
      <c r="CQ18" s="125">
        <f t="shared" si="38"/>
        <v>1436736.0952106859</v>
      </c>
      <c r="CR18" s="125">
        <f t="shared" si="38"/>
        <v>1436736.0952106859</v>
      </c>
      <c r="CS18" s="125">
        <f t="shared" si="38"/>
        <v>1436736.0952106859</v>
      </c>
      <c r="CT18" s="125">
        <f t="shared" si="38"/>
        <v>1436736.0952106859</v>
      </c>
      <c r="CU18" s="125">
        <f t="shared" si="38"/>
        <v>1436736.0952106859</v>
      </c>
      <c r="CV18" s="125">
        <f t="shared" si="38"/>
        <v>1436736.0952106859</v>
      </c>
      <c r="CW18" s="125">
        <f t="shared" si="38"/>
        <v>1436736.0952106859</v>
      </c>
      <c r="CX18" s="125">
        <f t="shared" si="38"/>
        <v>1436736.0952106859</v>
      </c>
      <c r="CY18" s="125">
        <f t="shared" si="38"/>
        <v>1436736.0952106859</v>
      </c>
      <c r="CZ18" s="125">
        <f t="shared" si="38"/>
        <v>1436736.0952106859</v>
      </c>
      <c r="DA18" s="125">
        <f t="shared" si="38"/>
        <v>1436736.0952106859</v>
      </c>
      <c r="DB18" s="125">
        <f t="shared" si="38"/>
        <v>1436736.0952106859</v>
      </c>
      <c r="DC18" s="125">
        <f t="shared" si="38"/>
        <v>1436736.0952106859</v>
      </c>
      <c r="DD18" s="125">
        <f t="shared" si="38"/>
        <v>1436736.0952106859</v>
      </c>
      <c r="DE18" s="125">
        <f t="shared" si="38"/>
        <v>1436736.0952106859</v>
      </c>
      <c r="DF18" s="125">
        <f t="shared" si="38"/>
        <v>1436736.0952106859</v>
      </c>
      <c r="DG18" s="125">
        <f t="shared" si="38"/>
        <v>1436736.0952106859</v>
      </c>
      <c r="DH18" s="125">
        <f t="shared" si="38"/>
        <v>1436736.0952106859</v>
      </c>
      <c r="DI18" s="125">
        <f t="shared" si="38"/>
        <v>1436736.0952106859</v>
      </c>
      <c r="DJ18" s="125">
        <f t="shared" si="38"/>
        <v>1436736.0952106859</v>
      </c>
      <c r="DK18" s="125">
        <f t="shared" si="38"/>
        <v>1436736.0952106859</v>
      </c>
      <c r="DL18" s="125">
        <f t="shared" si="38"/>
        <v>1436736.0952106859</v>
      </c>
      <c r="DM18" s="125">
        <f t="shared" si="38"/>
        <v>1436736.0952106859</v>
      </c>
      <c r="DN18" s="125">
        <f t="shared" si="38"/>
        <v>1436736.0952106859</v>
      </c>
      <c r="DO18" s="125">
        <f t="shared" si="38"/>
        <v>1436736.0952106859</v>
      </c>
      <c r="DP18" s="125">
        <f t="shared" si="38"/>
        <v>1436736.0952106859</v>
      </c>
      <c r="DQ18" s="125">
        <f t="shared" si="38"/>
        <v>1436736.0952106859</v>
      </c>
      <c r="DR18" s="125">
        <f t="shared" si="38"/>
        <v>1436736.0952106859</v>
      </c>
      <c r="DS18" s="125">
        <f t="shared" si="38"/>
        <v>1436736.0952106859</v>
      </c>
      <c r="DT18" s="125">
        <f t="shared" si="38"/>
        <v>1436736.0952106859</v>
      </c>
      <c r="DU18" s="125">
        <f t="shared" si="38"/>
        <v>1436736.0952106859</v>
      </c>
      <c r="DV18" s="125">
        <f t="shared" si="38"/>
        <v>1436736.0952106859</v>
      </c>
      <c r="DW18" s="125">
        <f t="shared" si="38"/>
        <v>1436736.0952106859</v>
      </c>
      <c r="DX18" s="125">
        <f t="shared" si="38"/>
        <v>1436736.0952106859</v>
      </c>
      <c r="DY18" s="125">
        <f t="shared" si="38"/>
        <v>1436736.0952106859</v>
      </c>
      <c r="DZ18" s="125">
        <f t="shared" si="38"/>
        <v>1436736.0952106859</v>
      </c>
      <c r="EA18" s="125">
        <f t="shared" si="38"/>
        <v>1436736.0952106859</v>
      </c>
      <c r="EB18" s="125">
        <f t="shared" si="38"/>
        <v>1436736.0952106859</v>
      </c>
      <c r="EC18" s="125">
        <f t="shared" si="38"/>
        <v>1436736.0952106859</v>
      </c>
      <c r="ED18" s="125">
        <f t="shared" si="38"/>
        <v>1436736.0952106859</v>
      </c>
      <c r="EE18" s="125">
        <f t="shared" si="38"/>
        <v>1436736.0952106859</v>
      </c>
      <c r="EF18" s="125">
        <f t="shared" si="38"/>
        <v>1436736.0952106859</v>
      </c>
      <c r="EG18" s="125">
        <f t="shared" ref="EG18:GR18" si="39">EF18+EG17</f>
        <v>1436736.0952106859</v>
      </c>
      <c r="EH18" s="125">
        <f t="shared" si="39"/>
        <v>1436736.0952106859</v>
      </c>
      <c r="EI18" s="125">
        <f t="shared" si="39"/>
        <v>1436736.0952106859</v>
      </c>
      <c r="EJ18" s="125">
        <f t="shared" si="39"/>
        <v>1436736.0952106859</v>
      </c>
      <c r="EK18" s="125">
        <f t="shared" si="39"/>
        <v>1436736.0952106859</v>
      </c>
      <c r="EL18" s="125">
        <f t="shared" si="39"/>
        <v>1436736.0952106859</v>
      </c>
      <c r="EM18" s="125">
        <f t="shared" si="39"/>
        <v>1436736.0952106859</v>
      </c>
      <c r="EN18" s="125">
        <f t="shared" si="39"/>
        <v>1436736.0952106859</v>
      </c>
      <c r="EO18" s="125">
        <f t="shared" si="39"/>
        <v>1436736.0952106859</v>
      </c>
      <c r="EP18" s="125">
        <f t="shared" si="39"/>
        <v>1436736.0952106859</v>
      </c>
      <c r="EQ18" s="125">
        <f t="shared" si="39"/>
        <v>1436736.0952106859</v>
      </c>
      <c r="ER18" s="125">
        <f t="shared" si="39"/>
        <v>1436736.0952106859</v>
      </c>
      <c r="ES18" s="125">
        <f t="shared" si="39"/>
        <v>1436736.0952106859</v>
      </c>
      <c r="ET18" s="125">
        <f t="shared" si="39"/>
        <v>1436736.0952106859</v>
      </c>
      <c r="EU18" s="125">
        <f t="shared" si="39"/>
        <v>1436736.0952106859</v>
      </c>
      <c r="EV18" s="125">
        <f t="shared" si="39"/>
        <v>1436736.0952106859</v>
      </c>
      <c r="EW18" s="125">
        <f t="shared" si="39"/>
        <v>1436736.0952106859</v>
      </c>
      <c r="EX18" s="125">
        <f t="shared" si="39"/>
        <v>1436736.0952106859</v>
      </c>
      <c r="EY18" s="125">
        <f t="shared" si="39"/>
        <v>1436736.0952106859</v>
      </c>
      <c r="EZ18" s="125">
        <f t="shared" si="39"/>
        <v>1436736.0952106859</v>
      </c>
      <c r="FA18" s="125">
        <f t="shared" si="39"/>
        <v>1436736.0952106859</v>
      </c>
      <c r="FB18" s="125">
        <f t="shared" si="39"/>
        <v>1436736.0952106859</v>
      </c>
      <c r="FC18" s="125">
        <f t="shared" si="39"/>
        <v>1436736.0952106859</v>
      </c>
      <c r="FD18" s="125">
        <f t="shared" si="39"/>
        <v>1436736.0952106859</v>
      </c>
      <c r="FE18" s="125">
        <f t="shared" si="39"/>
        <v>1436736.0952106859</v>
      </c>
      <c r="FF18" s="125">
        <f t="shared" si="39"/>
        <v>1436736.0952106859</v>
      </c>
      <c r="FG18" s="125">
        <f t="shared" si="39"/>
        <v>1436736.0952106859</v>
      </c>
      <c r="FH18" s="125">
        <f t="shared" si="39"/>
        <v>1436736.0952106859</v>
      </c>
      <c r="FI18" s="125">
        <f t="shared" si="39"/>
        <v>1436736.0952106859</v>
      </c>
      <c r="FJ18" s="125">
        <f t="shared" si="39"/>
        <v>1436736.0952106859</v>
      </c>
      <c r="FK18" s="125">
        <f t="shared" si="39"/>
        <v>1436736.0952106859</v>
      </c>
      <c r="FL18" s="125">
        <f t="shared" si="39"/>
        <v>1436736.0952106859</v>
      </c>
      <c r="FM18" s="125">
        <f t="shared" si="39"/>
        <v>1436736.0952106859</v>
      </c>
      <c r="FN18" s="125">
        <f t="shared" si="39"/>
        <v>1436736.0952106859</v>
      </c>
      <c r="FO18" s="125">
        <f t="shared" si="39"/>
        <v>1436736.0952106859</v>
      </c>
      <c r="FP18" s="125">
        <f t="shared" si="39"/>
        <v>1436736.0952106859</v>
      </c>
      <c r="FQ18" s="125">
        <f t="shared" si="39"/>
        <v>1436736.0952106859</v>
      </c>
      <c r="FR18" s="125">
        <f t="shared" si="39"/>
        <v>1436736.0952106859</v>
      </c>
      <c r="FS18" s="125">
        <f t="shared" si="39"/>
        <v>1436736.0952106859</v>
      </c>
      <c r="FT18" s="125">
        <f t="shared" si="39"/>
        <v>1436736.0952106859</v>
      </c>
      <c r="FU18" s="125">
        <f t="shared" si="39"/>
        <v>1436736.0952106859</v>
      </c>
      <c r="FV18" s="125">
        <f t="shared" si="39"/>
        <v>1436736.0952106859</v>
      </c>
      <c r="FW18" s="125">
        <f t="shared" si="39"/>
        <v>1436736.0952106859</v>
      </c>
      <c r="FX18" s="125">
        <f t="shared" si="39"/>
        <v>1436736.0952106859</v>
      </c>
      <c r="FY18" s="125">
        <f t="shared" si="39"/>
        <v>1436736.0952106859</v>
      </c>
      <c r="FZ18" s="125">
        <f t="shared" si="39"/>
        <v>1436736.0952106859</v>
      </c>
      <c r="GA18" s="125">
        <f t="shared" si="39"/>
        <v>1436736.0952106859</v>
      </c>
      <c r="GB18" s="125">
        <f t="shared" si="39"/>
        <v>1436736.0952106859</v>
      </c>
      <c r="GC18" s="125">
        <f t="shared" si="39"/>
        <v>1436736.0952106859</v>
      </c>
      <c r="GD18" s="125">
        <f t="shared" si="39"/>
        <v>1436736.0952106859</v>
      </c>
      <c r="GE18" s="125">
        <f t="shared" si="39"/>
        <v>1436736.0952106859</v>
      </c>
      <c r="GF18" s="125">
        <f t="shared" si="39"/>
        <v>1436736.0952106859</v>
      </c>
      <c r="GG18" s="125">
        <f t="shared" si="39"/>
        <v>1436736.0952106859</v>
      </c>
      <c r="GH18" s="125">
        <f t="shared" si="39"/>
        <v>1436736.0952106859</v>
      </c>
      <c r="GI18" s="125">
        <f t="shared" si="39"/>
        <v>1436736.0952106859</v>
      </c>
      <c r="GJ18" s="125">
        <f t="shared" si="39"/>
        <v>1436736.0952106859</v>
      </c>
      <c r="GK18" s="125">
        <f t="shared" si="39"/>
        <v>1436736.0952106859</v>
      </c>
      <c r="GL18" s="125">
        <f t="shared" si="39"/>
        <v>1436736.0952106859</v>
      </c>
      <c r="GM18" s="125">
        <f t="shared" si="39"/>
        <v>1436736.0952106859</v>
      </c>
      <c r="GN18" s="125">
        <f t="shared" si="39"/>
        <v>1436736.0952106859</v>
      </c>
      <c r="GO18" s="125">
        <f t="shared" si="39"/>
        <v>1436736.0952106859</v>
      </c>
      <c r="GP18" s="125">
        <f t="shared" si="39"/>
        <v>1436736.0952106859</v>
      </c>
      <c r="GQ18" s="125">
        <f t="shared" si="39"/>
        <v>1436736.0952106859</v>
      </c>
      <c r="GR18" s="125">
        <f t="shared" si="39"/>
        <v>1436736.0952106859</v>
      </c>
      <c r="GS18" s="125">
        <f t="shared" ref="GS18:JD18" si="40">GR18+GS17</f>
        <v>1436736.0952106859</v>
      </c>
      <c r="GT18" s="125">
        <f t="shared" si="40"/>
        <v>1436736.0952106859</v>
      </c>
      <c r="GU18" s="125">
        <f t="shared" si="40"/>
        <v>1436736.0952106859</v>
      </c>
      <c r="GV18" s="125">
        <f t="shared" si="40"/>
        <v>1436736.0952106859</v>
      </c>
      <c r="GW18" s="125">
        <f t="shared" si="40"/>
        <v>1436736.0952106859</v>
      </c>
      <c r="GX18" s="125">
        <f t="shared" si="40"/>
        <v>1436736.0952106859</v>
      </c>
      <c r="GY18" s="125">
        <f t="shared" si="40"/>
        <v>1436736.0952106859</v>
      </c>
      <c r="GZ18" s="125">
        <f t="shared" si="40"/>
        <v>1436736.0952106859</v>
      </c>
      <c r="HA18" s="125">
        <f t="shared" si="40"/>
        <v>1436736.0952106859</v>
      </c>
      <c r="HB18" s="125">
        <f t="shared" si="40"/>
        <v>1436736.0952106859</v>
      </c>
      <c r="HC18" s="125">
        <f t="shared" si="40"/>
        <v>1436736.0952106859</v>
      </c>
      <c r="HD18" s="125">
        <f t="shared" si="40"/>
        <v>1436736.0952106859</v>
      </c>
      <c r="HE18" s="125">
        <f t="shared" si="40"/>
        <v>1436736.0952106859</v>
      </c>
      <c r="HF18" s="125">
        <f t="shared" si="40"/>
        <v>1436736.0952106859</v>
      </c>
      <c r="HG18" s="125">
        <f t="shared" si="40"/>
        <v>1436736.0952106859</v>
      </c>
      <c r="HH18" s="125">
        <f t="shared" si="40"/>
        <v>1436736.0952106859</v>
      </c>
      <c r="HI18" s="125">
        <f t="shared" si="40"/>
        <v>1436736.0952106859</v>
      </c>
      <c r="HJ18" s="125">
        <f t="shared" si="40"/>
        <v>1436736.0952106859</v>
      </c>
      <c r="HK18" s="125">
        <f t="shared" si="40"/>
        <v>1436736.0952106859</v>
      </c>
      <c r="HL18" s="125">
        <f t="shared" si="40"/>
        <v>1436736.0952106859</v>
      </c>
      <c r="HM18" s="125">
        <f t="shared" si="40"/>
        <v>1436736.0952106859</v>
      </c>
      <c r="HN18" s="125">
        <f t="shared" si="40"/>
        <v>1436736.0952106859</v>
      </c>
      <c r="HO18" s="125">
        <f t="shared" si="40"/>
        <v>1436736.0952106859</v>
      </c>
      <c r="HP18" s="125">
        <f t="shared" si="40"/>
        <v>1436736.0952106859</v>
      </c>
      <c r="HQ18" s="125">
        <f t="shared" si="40"/>
        <v>1436736.0952106859</v>
      </c>
      <c r="HR18" s="125">
        <f t="shared" si="40"/>
        <v>1436736.0952106859</v>
      </c>
      <c r="HS18" s="125">
        <f t="shared" si="40"/>
        <v>1436736.0952106859</v>
      </c>
      <c r="HT18" s="125">
        <f t="shared" si="40"/>
        <v>1436736.0952106859</v>
      </c>
      <c r="HU18" s="125">
        <f t="shared" si="40"/>
        <v>1436736.0952106859</v>
      </c>
      <c r="HV18" s="125">
        <f t="shared" si="40"/>
        <v>1436736.0952106859</v>
      </c>
      <c r="HW18" s="125">
        <f t="shared" si="40"/>
        <v>1436736.0952106859</v>
      </c>
      <c r="HX18" s="125">
        <f t="shared" si="40"/>
        <v>1436736.0952106859</v>
      </c>
      <c r="HY18" s="125">
        <f t="shared" si="40"/>
        <v>1436736.0952106859</v>
      </c>
      <c r="HZ18" s="125">
        <f t="shared" si="40"/>
        <v>1436736.0952106859</v>
      </c>
      <c r="IA18" s="125">
        <f t="shared" si="40"/>
        <v>1436736.0952106859</v>
      </c>
      <c r="IB18" s="125">
        <f t="shared" si="40"/>
        <v>1436736.0952106859</v>
      </c>
      <c r="IC18" s="125">
        <f t="shared" si="40"/>
        <v>1436736.0952106859</v>
      </c>
      <c r="ID18" s="125">
        <f t="shared" si="40"/>
        <v>1436736.0952106859</v>
      </c>
      <c r="IE18" s="125">
        <f t="shared" si="40"/>
        <v>1436736.0952106859</v>
      </c>
      <c r="IF18" s="125">
        <f t="shared" si="40"/>
        <v>1436736.0952106859</v>
      </c>
      <c r="IG18" s="125">
        <f t="shared" si="40"/>
        <v>1436736.0952106859</v>
      </c>
      <c r="IH18" s="125">
        <f t="shared" si="40"/>
        <v>1436736.0952106859</v>
      </c>
      <c r="II18" s="125">
        <f t="shared" si="40"/>
        <v>1436736.0952106859</v>
      </c>
      <c r="IJ18" s="125">
        <f t="shared" si="40"/>
        <v>1436736.0952106859</v>
      </c>
      <c r="IK18" s="125">
        <f t="shared" si="40"/>
        <v>1436736.0952106859</v>
      </c>
      <c r="IL18" s="125">
        <f t="shared" si="40"/>
        <v>1436736.0952106859</v>
      </c>
      <c r="IM18" s="125">
        <f t="shared" si="40"/>
        <v>1436736.0952106859</v>
      </c>
      <c r="IN18" s="125">
        <f t="shared" si="40"/>
        <v>1436736.0952106859</v>
      </c>
      <c r="IO18" s="125">
        <f t="shared" si="40"/>
        <v>1436736.0952106859</v>
      </c>
      <c r="IP18" s="125">
        <f t="shared" si="40"/>
        <v>1436736.0952106859</v>
      </c>
      <c r="IQ18" s="125">
        <f t="shared" si="40"/>
        <v>1436736.0952106859</v>
      </c>
      <c r="IR18" s="125">
        <f t="shared" si="40"/>
        <v>1436736.0952106859</v>
      </c>
      <c r="IS18" s="125">
        <f t="shared" si="40"/>
        <v>1436736.0952106859</v>
      </c>
      <c r="IT18" s="125">
        <f t="shared" si="40"/>
        <v>1436736.0952106859</v>
      </c>
      <c r="IU18" s="125">
        <f t="shared" si="40"/>
        <v>1436736.0952106859</v>
      </c>
      <c r="IV18" s="125">
        <f t="shared" si="40"/>
        <v>1436736.0952106859</v>
      </c>
      <c r="IW18" s="125">
        <f t="shared" si="40"/>
        <v>1436736.0952106859</v>
      </c>
      <c r="IX18" s="125">
        <f t="shared" si="40"/>
        <v>1436736.0952106859</v>
      </c>
      <c r="IY18" s="125">
        <f t="shared" si="40"/>
        <v>1436736.0952106859</v>
      </c>
      <c r="IZ18" s="125">
        <f t="shared" si="40"/>
        <v>1436736.0952106859</v>
      </c>
      <c r="JA18" s="125">
        <f t="shared" si="40"/>
        <v>1436736.0952106859</v>
      </c>
      <c r="JB18" s="125">
        <f t="shared" si="40"/>
        <v>1436736.0952106859</v>
      </c>
      <c r="JC18" s="125">
        <f t="shared" si="40"/>
        <v>1436736.0952106859</v>
      </c>
      <c r="JD18" s="125">
        <f t="shared" si="40"/>
        <v>1436736.0952106859</v>
      </c>
      <c r="JE18" s="125">
        <f t="shared" ref="JE18:KF18" si="41">JD18+JE17</f>
        <v>1436736.0952106859</v>
      </c>
      <c r="JF18" s="125">
        <f t="shared" si="41"/>
        <v>1436736.0952106859</v>
      </c>
      <c r="JG18" s="125">
        <f t="shared" si="41"/>
        <v>1436736.0952106859</v>
      </c>
      <c r="JH18" s="125">
        <f t="shared" si="41"/>
        <v>1436736.0952106859</v>
      </c>
      <c r="JI18" s="125">
        <f t="shared" si="41"/>
        <v>1436736.0952106859</v>
      </c>
      <c r="JJ18" s="125">
        <f t="shared" si="41"/>
        <v>1436736.0952106859</v>
      </c>
      <c r="JK18" s="125">
        <f t="shared" si="41"/>
        <v>1436736.0952106859</v>
      </c>
      <c r="JL18" s="125">
        <f t="shared" si="41"/>
        <v>1436736.0952106859</v>
      </c>
      <c r="JM18" s="125">
        <f t="shared" si="41"/>
        <v>1436736.0952106859</v>
      </c>
      <c r="JN18" s="125">
        <f t="shared" si="41"/>
        <v>1436736.0952106859</v>
      </c>
      <c r="JO18" s="125">
        <f t="shared" si="41"/>
        <v>1436736.0952106859</v>
      </c>
      <c r="JP18" s="125">
        <f t="shared" si="41"/>
        <v>1436736.0952106859</v>
      </c>
      <c r="JQ18" s="125">
        <f t="shared" si="41"/>
        <v>1436736.0952106859</v>
      </c>
      <c r="JR18" s="125">
        <f t="shared" si="41"/>
        <v>1436736.0952106859</v>
      </c>
      <c r="JS18" s="125">
        <f t="shared" si="41"/>
        <v>1436736.0952106859</v>
      </c>
      <c r="JT18" s="125">
        <f t="shared" si="41"/>
        <v>1436736.0952106859</v>
      </c>
      <c r="JU18" s="125">
        <f t="shared" si="41"/>
        <v>1436736.0952106859</v>
      </c>
      <c r="JV18" s="125">
        <f t="shared" si="41"/>
        <v>1436736.0952106859</v>
      </c>
      <c r="JW18" s="125">
        <f t="shared" si="41"/>
        <v>1436736.0952106859</v>
      </c>
      <c r="JX18" s="125">
        <f t="shared" si="41"/>
        <v>1436736.0952106859</v>
      </c>
      <c r="JY18" s="125">
        <f t="shared" si="41"/>
        <v>1436736.0952106859</v>
      </c>
      <c r="JZ18" s="125">
        <f t="shared" si="41"/>
        <v>1436736.0952106859</v>
      </c>
      <c r="KA18" s="125">
        <f t="shared" si="41"/>
        <v>1436736.0952106859</v>
      </c>
      <c r="KB18" s="125">
        <f t="shared" si="41"/>
        <v>1436736.0952106859</v>
      </c>
      <c r="KC18" s="125">
        <f t="shared" si="41"/>
        <v>1436736.0952106859</v>
      </c>
      <c r="KD18" s="125">
        <f t="shared" si="41"/>
        <v>1436736.0952106859</v>
      </c>
      <c r="KE18" s="125">
        <f t="shared" si="41"/>
        <v>1436736.0952106859</v>
      </c>
      <c r="KF18" s="125">
        <f t="shared" si="41"/>
        <v>1436736.0952106859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5" priority="1" operator="greaterThan">
      <formula>0.1</formula>
    </cfRule>
  </conditionalFormatting>
  <conditionalFormatting sqref="D3">
    <cfRule type="cellIs" dxfId="4" priority="10" operator="notEqual">
      <formula>$C$3</formula>
    </cfRule>
  </conditionalFormatting>
  <conditionalFormatting sqref="D5">
    <cfRule type="cellIs" dxfId="3" priority="8" operator="notEqual">
      <formula>$C$5</formula>
    </cfRule>
  </conditionalFormatting>
  <conditionalFormatting sqref="D9">
    <cfRule type="cellIs" dxfId="2" priority="9" operator="notEqual">
      <formula>$C$9</formula>
    </cfRule>
  </conditionalFormatting>
  <conditionalFormatting sqref="D11">
    <cfRule type="cellIs" dxfId="1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81640625" style="269" bestFit="1" customWidth="1"/>
    <col min="5" max="7" width="12.90625" style="269" bestFit="1" customWidth="1"/>
    <col min="8" max="8" width="11.1796875" style="269" bestFit="1" customWidth="1"/>
    <col min="9" max="10" width="14.54296875" style="269" bestFit="1" customWidth="1"/>
    <col min="11" max="11" width="11.26953125" style="269" bestFit="1" customWidth="1"/>
    <col min="12" max="12" width="6.269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414</v>
      </c>
      <c r="B3" s="541" t="s">
        <v>415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416</v>
      </c>
      <c r="B4" t="s">
        <v>417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418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417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274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281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291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305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324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338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343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347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350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354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368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376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379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365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340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418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81640625" style="308" bestFit="1" customWidth="1"/>
    <col min="5" max="7" width="12.90625" style="308" bestFit="1" customWidth="1"/>
    <col min="8" max="8" width="11.1796875" style="308" bestFit="1" customWidth="1"/>
    <col min="9" max="9" width="12.90625" style="308" bestFit="1" customWidth="1"/>
    <col min="10" max="10" width="14.5429687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1" t="s">
        <v>419</v>
      </c>
      <c r="B3" s="541" t="s">
        <v>415</v>
      </c>
      <c r="C3"/>
      <c r="D3"/>
      <c r="E3"/>
      <c r="F3"/>
      <c r="G3"/>
      <c r="H3"/>
      <c r="I3"/>
    </row>
    <row r="4" spans="1:9">
      <c r="A4" s="541" t="s">
        <v>416</v>
      </c>
      <c r="B4" t="s">
        <v>417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418</v>
      </c>
    </row>
    <row r="5" spans="1:9">
      <c r="A5" s="345" t="s">
        <v>417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274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281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291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305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324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338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343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347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350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354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368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376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379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365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340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418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420</v>
      </c>
      <c r="F2" s="19" t="s">
        <v>421</v>
      </c>
    </row>
    <row r="3" spans="3:8">
      <c r="C3" s="15">
        <v>45658</v>
      </c>
      <c r="D3" s="9" t="s">
        <v>422</v>
      </c>
      <c r="F3" s="17" t="s">
        <v>423</v>
      </c>
    </row>
    <row r="4" spans="3:8">
      <c r="C4" s="15">
        <v>45737</v>
      </c>
      <c r="D4" s="9" t="s">
        <v>424</v>
      </c>
      <c r="F4" s="17" t="s">
        <v>425</v>
      </c>
    </row>
    <row r="5" spans="3:8">
      <c r="C5" s="15">
        <v>45765</v>
      </c>
      <c r="D5" s="9" t="s">
        <v>426</v>
      </c>
      <c r="F5" s="17" t="s">
        <v>427</v>
      </c>
    </row>
    <row r="6" spans="3:8" ht="13" thickBot="1">
      <c r="C6" s="15">
        <v>45768</v>
      </c>
      <c r="D6" s="9" t="s">
        <v>428</v>
      </c>
      <c r="F6" s="18" t="s">
        <v>429</v>
      </c>
    </row>
    <row r="7" spans="3:8">
      <c r="C7" s="15">
        <v>45774</v>
      </c>
      <c r="D7" s="9" t="s">
        <v>430</v>
      </c>
    </row>
    <row r="8" spans="3:8">
      <c r="C8" s="15">
        <v>45765</v>
      </c>
      <c r="D8" s="9" t="s">
        <v>431</v>
      </c>
    </row>
    <row r="9" spans="3:8">
      <c r="C9" s="15">
        <v>45778</v>
      </c>
      <c r="D9" s="9" t="s">
        <v>432</v>
      </c>
    </row>
    <row r="10" spans="3:8">
      <c r="C10" s="15">
        <v>45824</v>
      </c>
      <c r="D10" s="9" t="s">
        <v>433</v>
      </c>
    </row>
    <row r="11" spans="3:8">
      <c r="C11" s="15">
        <v>45878</v>
      </c>
      <c r="D11" s="9" t="s">
        <v>434</v>
      </c>
    </row>
    <row r="12" spans="3:8">
      <c r="C12" s="15">
        <v>45924</v>
      </c>
      <c r="D12" s="9" t="s">
        <v>435</v>
      </c>
    </row>
    <row r="13" spans="3:8">
      <c r="C13" s="15">
        <v>46007</v>
      </c>
      <c r="D13" s="9" t="s">
        <v>436</v>
      </c>
      <c r="F13" s="20"/>
      <c r="H13" s="9" t="s">
        <v>437</v>
      </c>
    </row>
    <row r="14" spans="3:8">
      <c r="C14" s="15">
        <v>46016</v>
      </c>
      <c r="D14" s="9" t="s">
        <v>438</v>
      </c>
    </row>
    <row r="15" spans="3:8">
      <c r="C15" s="15">
        <v>46017</v>
      </c>
      <c r="D15" s="9" t="s">
        <v>439</v>
      </c>
    </row>
    <row r="16" spans="3:8">
      <c r="C16" s="15">
        <v>46006</v>
      </c>
      <c r="D16" s="9" t="s">
        <v>440</v>
      </c>
    </row>
    <row r="17" spans="3:4">
      <c r="C17" s="15">
        <v>46007</v>
      </c>
      <c r="D17" s="9" t="s">
        <v>440</v>
      </c>
    </row>
    <row r="18" spans="3:4">
      <c r="C18" s="15">
        <v>46008</v>
      </c>
      <c r="D18" s="9" t="s">
        <v>440</v>
      </c>
    </row>
    <row r="19" spans="3:4">
      <c r="C19" s="15">
        <v>46009</v>
      </c>
      <c r="D19" s="9" t="s">
        <v>440</v>
      </c>
    </row>
    <row r="20" spans="3:4">
      <c r="C20" s="15">
        <v>46010</v>
      </c>
      <c r="D20" s="9" t="s">
        <v>440</v>
      </c>
    </row>
    <row r="21" spans="3:4">
      <c r="C21" s="15">
        <v>46011</v>
      </c>
      <c r="D21" s="9" t="s">
        <v>440</v>
      </c>
    </row>
    <row r="22" spans="3:4">
      <c r="C22" s="15">
        <v>46012</v>
      </c>
      <c r="D22" s="9" t="s">
        <v>440</v>
      </c>
    </row>
    <row r="23" spans="3:4">
      <c r="C23" s="15">
        <v>46013</v>
      </c>
      <c r="D23" s="9" t="s">
        <v>440</v>
      </c>
    </row>
    <row r="24" spans="3:4">
      <c r="C24" s="15">
        <v>46014</v>
      </c>
      <c r="D24" s="9" t="s">
        <v>440</v>
      </c>
    </row>
    <row r="25" spans="3:4">
      <c r="C25" s="15">
        <v>46015</v>
      </c>
      <c r="D25" s="9" t="s">
        <v>440</v>
      </c>
    </row>
    <row r="26" spans="3:4">
      <c r="C26" s="15">
        <v>46016</v>
      </c>
      <c r="D26" s="9" t="s">
        <v>440</v>
      </c>
    </row>
    <row r="27" spans="3:4">
      <c r="C27" s="15">
        <v>46017</v>
      </c>
      <c r="D27" s="9" t="s">
        <v>440</v>
      </c>
    </row>
    <row r="28" spans="3:4">
      <c r="C28" s="15">
        <v>46018</v>
      </c>
      <c r="D28" s="9" t="s">
        <v>440</v>
      </c>
    </row>
    <row r="29" spans="3:4">
      <c r="C29" s="15">
        <v>46019</v>
      </c>
      <c r="D29" s="9" t="s">
        <v>440</v>
      </c>
    </row>
    <row r="30" spans="3:4">
      <c r="C30" s="15">
        <v>46020</v>
      </c>
      <c r="D30" s="9" t="s">
        <v>440</v>
      </c>
    </row>
    <row r="31" spans="3:4">
      <c r="C31" s="15">
        <v>46021</v>
      </c>
      <c r="D31" s="9" t="s">
        <v>440</v>
      </c>
    </row>
    <row r="32" spans="3:4">
      <c r="C32" s="15">
        <v>46022</v>
      </c>
      <c r="D32" s="9" t="s">
        <v>440</v>
      </c>
    </row>
    <row r="33" spans="3:4">
      <c r="C33" s="15">
        <v>46023</v>
      </c>
      <c r="D33" s="9" t="s">
        <v>440</v>
      </c>
    </row>
    <row r="34" spans="3:4">
      <c r="C34" s="15">
        <v>46024</v>
      </c>
      <c r="D34" s="9" t="s">
        <v>440</v>
      </c>
    </row>
    <row r="35" spans="3:4">
      <c r="C35" s="15">
        <v>46025</v>
      </c>
      <c r="D35" s="9" t="s">
        <v>440</v>
      </c>
    </row>
    <row r="36" spans="3:4">
      <c r="C36" s="15">
        <v>46026</v>
      </c>
      <c r="D36" s="9" t="s">
        <v>440</v>
      </c>
    </row>
    <row r="37" spans="3:4">
      <c r="C37" s="15">
        <v>46027</v>
      </c>
      <c r="D37" s="9" t="s">
        <v>440</v>
      </c>
    </row>
    <row r="38" spans="3:4">
      <c r="C38" s="15">
        <v>46028</v>
      </c>
      <c r="D38" s="9" t="s">
        <v>440</v>
      </c>
    </row>
    <row r="39" spans="3:4">
      <c r="C39" s="15">
        <v>46029</v>
      </c>
      <c r="D39" s="9" t="s">
        <v>440</v>
      </c>
    </row>
    <row r="40" spans="3:4">
      <c r="C40" s="15">
        <v>46030</v>
      </c>
      <c r="D40" s="9" t="s">
        <v>440</v>
      </c>
    </row>
    <row r="41" spans="3:4">
      <c r="C41" s="15">
        <v>46031</v>
      </c>
      <c r="D41" s="9" t="s">
        <v>440</v>
      </c>
    </row>
    <row r="42" spans="3:4">
      <c r="C42" s="15">
        <v>46032</v>
      </c>
      <c r="D42" s="9" t="s">
        <v>440</v>
      </c>
    </row>
    <row r="43" spans="3:4">
      <c r="C43" s="15">
        <v>46033</v>
      </c>
      <c r="D43" s="9" t="s">
        <v>440</v>
      </c>
    </row>
    <row r="44" spans="3:4">
      <c r="C44" s="15">
        <v>46034</v>
      </c>
      <c r="D44" s="9" t="s">
        <v>440</v>
      </c>
    </row>
    <row r="45" spans="3:4">
      <c r="C45" s="15">
        <v>46035</v>
      </c>
      <c r="D45" s="9" t="s">
        <v>440</v>
      </c>
    </row>
    <row r="46" spans="3:4">
      <c r="C46" s="15">
        <v>46036</v>
      </c>
      <c r="D46" s="9" t="s">
        <v>440</v>
      </c>
    </row>
    <row r="47" spans="3:4">
      <c r="C47" s="15">
        <v>46037</v>
      </c>
      <c r="D47" s="9" t="s">
        <v>440</v>
      </c>
    </row>
    <row r="48" spans="3:4">
      <c r="C48" s="15">
        <v>46038</v>
      </c>
      <c r="D48" s="9" t="s">
        <v>440</v>
      </c>
    </row>
    <row r="49" spans="3:4">
      <c r="C49" s="15">
        <v>46102</v>
      </c>
      <c r="D49" s="9" t="s">
        <v>424</v>
      </c>
    </row>
    <row r="50" spans="3:4">
      <c r="C50" s="15">
        <v>46115</v>
      </c>
      <c r="D50" s="9" t="s">
        <v>426</v>
      </c>
    </row>
    <row r="51" spans="3:4">
      <c r="C51" s="15">
        <v>46118</v>
      </c>
      <c r="D51" s="9" t="s">
        <v>428</v>
      </c>
    </row>
    <row r="52" spans="3:4">
      <c r="C52" s="15">
        <v>46139</v>
      </c>
      <c r="D52" s="9" t="s">
        <v>430</v>
      </c>
    </row>
    <row r="53" spans="3:4">
      <c r="C53" s="15">
        <v>46143</v>
      </c>
      <c r="D53" s="9" t="s">
        <v>432</v>
      </c>
    </row>
    <row r="54" spans="3:4">
      <c r="C54" s="15">
        <v>46189</v>
      </c>
      <c r="D54" s="9" t="s">
        <v>433</v>
      </c>
    </row>
    <row r="55" spans="3:4">
      <c r="C55" s="15">
        <v>46243</v>
      </c>
      <c r="D55" s="9" t="s">
        <v>434</v>
      </c>
    </row>
    <row r="56" spans="3:4">
      <c r="C56" s="15">
        <v>46244</v>
      </c>
      <c r="D56" s="9" t="s">
        <v>441</v>
      </c>
    </row>
    <row r="57" spans="3:4">
      <c r="C57" s="15">
        <v>46289</v>
      </c>
      <c r="D57" s="9" t="s">
        <v>435</v>
      </c>
    </row>
    <row r="58" spans="3:4">
      <c r="C58" s="15">
        <v>46372</v>
      </c>
      <c r="D58" s="9" t="s">
        <v>436</v>
      </c>
    </row>
    <row r="59" spans="3:4">
      <c r="C59" s="15">
        <v>46381</v>
      </c>
      <c r="D59" s="9" t="s">
        <v>438</v>
      </c>
    </row>
    <row r="60" spans="3:4" ht="13" thickBot="1">
      <c r="C60" s="16">
        <v>46382</v>
      </c>
      <c r="D60" s="9" t="s">
        <v>439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2026-02-12T11:43:56Z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