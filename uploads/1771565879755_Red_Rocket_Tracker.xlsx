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61" documentId="13_ncr:1_{E2999245-D0E5-4BF8-BAA5-58B74EAADB0C}" xr6:coauthVersionLast="47" xr6:coauthVersionMax="47" xr10:uidLastSave="{1D84C074-DE5B-4BA6-8AC3-93B68AF9C57A}"/>
  <bookViews>
    <workbookView xWindow="-108" yWindow="-108" windowWidth="23256" windowHeight="12456" tabRatio="860" firstSheet="1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6" i="18" l="1"/>
  <c r="Q214" i="18"/>
  <c r="X206" i="18" s="1"/>
  <c r="H23" i="3" s="1"/>
  <c r="F9" i="2"/>
  <c r="K23" i="13"/>
  <c r="K24" i="13"/>
  <c r="L23" i="13"/>
  <c r="I24" i="13"/>
  <c r="H24" i="13"/>
  <c r="G24" i="13"/>
  <c r="F24" i="13"/>
  <c r="M25" i="13"/>
  <c r="Q53" i="18"/>
  <c r="Q26" i="18"/>
  <c r="Q23" i="18"/>
  <c r="X22" i="18" s="1"/>
  <c r="H11" i="3" s="1"/>
  <c r="Q10" i="18"/>
  <c r="Q9" i="18"/>
  <c r="W108" i="18"/>
  <c r="N75" i="2"/>
  <c r="K75" i="2"/>
  <c r="Q108" i="18"/>
  <c r="W56" i="18"/>
  <c r="AA34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3" i="18"/>
  <c r="X113" i="18" s="1"/>
  <c r="Q35" i="18"/>
  <c r="Q34" i="18"/>
  <c r="K62" i="2"/>
  <c r="N62" i="2" s="1"/>
  <c r="K61" i="2"/>
  <c r="N61" i="2"/>
  <c r="K60" i="2"/>
  <c r="N60" i="2" s="1"/>
  <c r="K59" i="2"/>
  <c r="N59" i="2" s="1"/>
  <c r="K67" i="2"/>
  <c r="N67" i="2" s="1"/>
  <c r="Q73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8" i="18"/>
  <c r="W167" i="18"/>
  <c r="W40" i="18"/>
  <c r="W39" i="18"/>
  <c r="W95" i="18"/>
  <c r="W94" i="18"/>
  <c r="S17" i="2"/>
  <c r="W76" i="18"/>
  <c r="T168" i="18"/>
  <c r="T169" i="18"/>
  <c r="H190" i="18"/>
  <c r="H189" i="18"/>
  <c r="H188" i="18"/>
  <c r="H187" i="18"/>
  <c r="H166" i="18"/>
  <c r="H145" i="18"/>
  <c r="H44" i="18"/>
  <c r="H144" i="18"/>
  <c r="H143" i="18"/>
  <c r="H42" i="18" s="1"/>
  <c r="H142" i="18"/>
  <c r="H96" i="18" s="1"/>
  <c r="H141" i="18"/>
  <c r="H40" i="18"/>
  <c r="H140" i="18"/>
  <c r="H92" i="18"/>
  <c r="H108" i="18"/>
  <c r="H93" i="18"/>
  <c r="H73" i="18"/>
  <c r="H71" i="18"/>
  <c r="H68" i="18"/>
  <c r="H67" i="18"/>
  <c r="H64" i="18"/>
  <c r="H59" i="18"/>
  <c r="H55" i="18"/>
  <c r="H38" i="18"/>
  <c r="H37" i="18"/>
  <c r="H29" i="18"/>
  <c r="H165" i="18"/>
  <c r="W73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7" i="18"/>
  <c r="W64" i="18"/>
  <c r="W68" i="18"/>
  <c r="W67" i="18"/>
  <c r="T170" i="18"/>
  <c r="T171" i="18"/>
  <c r="T172" i="18"/>
  <c r="W59" i="18"/>
  <c r="Q52" i="18"/>
  <c r="Q51" i="18"/>
  <c r="O165" i="18"/>
  <c r="Q165" i="18" s="1"/>
  <c r="Q166" i="18"/>
  <c r="W180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3" i="18"/>
  <c r="W32" i="18"/>
  <c r="P7" i="18"/>
  <c r="K17" i="2"/>
  <c r="N17" i="2"/>
  <c r="K16" i="2"/>
  <c r="N16" i="2" s="1"/>
  <c r="K12" i="2"/>
  <c r="N12" i="2" s="1"/>
  <c r="H14" i="5"/>
  <c r="Q105" i="18"/>
  <c r="Q104" i="18"/>
  <c r="X104" i="18" s="1"/>
  <c r="O6" i="18"/>
  <c r="Q32" i="18"/>
  <c r="Q15" i="18"/>
  <c r="Q14" i="18"/>
  <c r="J104" i="18"/>
  <c r="I19" i="2"/>
  <c r="T12" i="2" s="1"/>
  <c r="T14" i="2" s="1"/>
  <c r="K13" i="2"/>
  <c r="N13" i="2"/>
  <c r="W138" i="18"/>
  <c r="W37" i="18" s="1"/>
  <c r="W165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3" i="18"/>
  <c r="W93" i="18"/>
  <c r="T217" i="18"/>
  <c r="T216" i="18"/>
  <c r="T215" i="18"/>
  <c r="T205" i="18"/>
  <c r="T204" i="18"/>
  <c r="T203" i="18"/>
  <c r="T202" i="18"/>
  <c r="T192" i="18"/>
  <c r="T184" i="18"/>
  <c r="T183" i="18"/>
  <c r="T182" i="18"/>
  <c r="T181" i="18"/>
  <c r="T176" i="18"/>
  <c r="T175" i="18"/>
  <c r="T174" i="18"/>
  <c r="T173" i="18"/>
  <c r="T149" i="18"/>
  <c r="T148" i="18"/>
  <c r="T146" i="18"/>
  <c r="T137" i="18"/>
  <c r="T136" i="18"/>
  <c r="T118" i="18"/>
  <c r="T112" i="18"/>
  <c r="T111" i="18"/>
  <c r="T110" i="18"/>
  <c r="T103" i="18"/>
  <c r="T102" i="18"/>
  <c r="T101" i="18"/>
  <c r="T100" i="18"/>
  <c r="T91" i="18"/>
  <c r="T90" i="18"/>
  <c r="T89" i="18"/>
  <c r="T88" i="18"/>
  <c r="T86" i="18"/>
  <c r="T85" i="18"/>
  <c r="T84" i="18"/>
  <c r="T48" i="18"/>
  <c r="T47" i="18"/>
  <c r="T46" i="18"/>
  <c r="T45" i="18"/>
  <c r="T20" i="18"/>
  <c r="T19" i="18"/>
  <c r="T166" i="18"/>
  <c r="W166" i="18"/>
  <c r="W38" i="18"/>
  <c r="T38" i="18"/>
  <c r="T165" i="18"/>
  <c r="T37" i="18"/>
  <c r="E32" i="18"/>
  <c r="H32" i="18"/>
  <c r="I183" i="18"/>
  <c r="F20" i="3"/>
  <c r="J206" i="18"/>
  <c r="G193" i="18"/>
  <c r="I193" i="18"/>
  <c r="F22" i="3"/>
  <c r="X177" i="18"/>
  <c r="G162" i="18"/>
  <c r="G155" i="18"/>
  <c r="G151" i="18"/>
  <c r="G150" i="18"/>
  <c r="I150" i="18" s="1"/>
  <c r="F18" i="3" s="1"/>
  <c r="G138" i="18"/>
  <c r="Z16" i="18"/>
  <c r="G137" i="18"/>
  <c r="Z15" i="18" s="1"/>
  <c r="G86" i="18"/>
  <c r="Z13" i="18" s="1"/>
  <c r="G49" i="18"/>
  <c r="I49" i="18" s="1"/>
  <c r="F13" i="3"/>
  <c r="G33" i="18"/>
  <c r="G22" i="18"/>
  <c r="I22" i="18"/>
  <c r="F11" i="3"/>
  <c r="G14" i="18"/>
  <c r="I14" i="18" s="1"/>
  <c r="F10" i="3" s="1"/>
  <c r="G6" i="18"/>
  <c r="I6" i="18" s="1"/>
  <c r="F9" i="3"/>
  <c r="J150" i="18"/>
  <c r="Y38" i="18"/>
  <c r="Y37" i="18"/>
  <c r="Y35" i="18"/>
  <c r="Y34" i="18"/>
  <c r="Y33" i="18"/>
  <c r="Y32" i="18"/>
  <c r="Y31" i="18"/>
  <c r="T191" i="18"/>
  <c r="T185" i="18"/>
  <c r="T31" i="18"/>
  <c r="T21" i="18"/>
  <c r="T13" i="18"/>
  <c r="T12" i="18"/>
  <c r="T8" i="18"/>
  <c r="T7" i="18"/>
  <c r="J193" i="18"/>
  <c r="J186" i="18"/>
  <c r="J177" i="18"/>
  <c r="J137" i="18"/>
  <c r="J86" i="18"/>
  <c r="J49" i="18"/>
  <c r="J32" i="18"/>
  <c r="J22" i="18"/>
  <c r="V22" i="18"/>
  <c r="J14" i="18"/>
  <c r="V14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206" i="18"/>
  <c r="F23" i="3" s="1"/>
  <c r="X183" i="18"/>
  <c r="H20" i="3"/>
  <c r="I104" i="18"/>
  <c r="F15" i="3" s="1"/>
  <c r="I113" i="18"/>
  <c r="F16" i="3" s="1"/>
  <c r="I186" i="18"/>
  <c r="F21" i="3"/>
  <c r="M65" i="2"/>
  <c r="W19" i="2"/>
  <c r="M69" i="2"/>
  <c r="W20" i="2" s="1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7" i="18"/>
  <c r="Q44" i="18"/>
  <c r="Q40" i="18"/>
  <c r="O138" i="18"/>
  <c r="Q142" i="18"/>
  <c r="O92" i="18"/>
  <c r="Q93" i="18" s="1"/>
  <c r="I177" i="18"/>
  <c r="F19" i="3"/>
  <c r="Z43" i="18"/>
  <c r="Z44" i="18"/>
  <c r="N26" i="2"/>
  <c r="M26" i="2"/>
  <c r="I1" i="6"/>
  <c r="X193" i="18"/>
  <c r="U201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K82" i="2"/>
  <c r="N82" i="2"/>
  <c r="Q96" i="18"/>
  <c r="H95" i="18"/>
  <c r="J20" i="3"/>
  <c r="H168" i="18"/>
  <c r="Q97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3" i="18"/>
  <c r="W97" i="18" s="1"/>
  <c r="W144" i="18"/>
  <c r="W98" i="18" s="1"/>
  <c r="Z28" i="18"/>
  <c r="Q143" i="18"/>
  <c r="Q37" i="18"/>
  <c r="Q39" i="18"/>
  <c r="Q42" i="18"/>
  <c r="Q41" i="18"/>
  <c r="Q43" i="18"/>
  <c r="X186" i="18"/>
  <c r="U187" i="18" s="1"/>
  <c r="Q38" i="18"/>
  <c r="U204" i="18"/>
  <c r="W96" i="18"/>
  <c r="V18" i="2"/>
  <c r="N56" i="2"/>
  <c r="W41" i="18"/>
  <c r="W169" i="18"/>
  <c r="W92" i="18"/>
  <c r="X6" i="18"/>
  <c r="H170" i="18"/>
  <c r="Q144" i="18"/>
  <c r="Q138" i="18"/>
  <c r="Q139" i="18"/>
  <c r="Q140" i="18"/>
  <c r="Q141" i="18"/>
  <c r="Q145" i="18"/>
  <c r="W172" i="18"/>
  <c r="W44" i="18"/>
  <c r="N71" i="2"/>
  <c r="W43" i="18"/>
  <c r="N17" i="5"/>
  <c r="X17" i="2"/>
  <c r="H9" i="3"/>
  <c r="J9" i="3" s="1"/>
  <c r="P18" i="5"/>
  <c r="E24" i="13"/>
  <c r="C24" i="13"/>
  <c r="D24" i="13"/>
  <c r="M23" i="13" l="1"/>
  <c r="M27" i="13" s="1"/>
  <c r="L24" i="13"/>
  <c r="I137" i="18"/>
  <c r="F17" i="3" s="1"/>
  <c r="X14" i="18"/>
  <c r="H10" i="3" s="1"/>
  <c r="J10" i="3" s="1"/>
  <c r="W42" i="18"/>
  <c r="Q99" i="18"/>
  <c r="I86" i="18"/>
  <c r="F14" i="3" s="1"/>
  <c r="Q172" i="18"/>
  <c r="J11" i="3"/>
  <c r="H6" i="5"/>
  <c r="U203" i="18"/>
  <c r="X49" i="18"/>
  <c r="U79" i="18" s="1"/>
  <c r="Q170" i="18"/>
  <c r="Q94" i="18"/>
  <c r="Q98" i="18"/>
  <c r="Q171" i="18"/>
  <c r="H97" i="18"/>
  <c r="W170" i="18"/>
  <c r="Q167" i="18"/>
  <c r="Q92" i="18"/>
  <c r="H41" i="18"/>
  <c r="H169" i="18"/>
  <c r="Q95" i="18"/>
  <c r="Q4" i="5" s="1"/>
  <c r="Q168" i="18"/>
  <c r="Q169" i="18"/>
  <c r="U190" i="18"/>
  <c r="U111" i="18"/>
  <c r="H15" i="3"/>
  <c r="L23" i="9"/>
  <c r="H23" i="9"/>
  <c r="H9" i="9"/>
  <c r="H43" i="9" s="1"/>
  <c r="L9" i="9"/>
  <c r="L43" i="9" s="1"/>
  <c r="J15" i="3"/>
  <c r="H98" i="18"/>
  <c r="H171" i="18"/>
  <c r="H43" i="18"/>
  <c r="Z14" i="18"/>
  <c r="I32" i="18"/>
  <c r="U189" i="18"/>
  <c r="H21" i="3"/>
  <c r="J21" i="3" s="1"/>
  <c r="L29" i="9"/>
  <c r="L36" i="9"/>
  <c r="H36" i="9"/>
  <c r="H29" i="9"/>
  <c r="J12" i="7"/>
  <c r="O12" i="7"/>
  <c r="O26" i="7"/>
  <c r="U110" i="18"/>
  <c r="J19" i="2"/>
  <c r="M19" i="2" s="1"/>
  <c r="W12" i="2" s="1"/>
  <c r="V12" i="2"/>
  <c r="U12" i="2" s="1"/>
  <c r="U191" i="18"/>
  <c r="U11" i="2"/>
  <c r="K57" i="2"/>
  <c r="O7" i="7"/>
  <c r="E7" i="7"/>
  <c r="J7" i="7"/>
  <c r="O21" i="7"/>
  <c r="U106" i="18"/>
  <c r="D43" i="9"/>
  <c r="X32" i="18"/>
  <c r="H19" i="3"/>
  <c r="J19" i="3" s="1"/>
  <c r="U181" i="18"/>
  <c r="V177" i="18" s="1"/>
  <c r="H172" i="18"/>
  <c r="H99" i="18"/>
  <c r="U188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7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8" i="18"/>
  <c r="W171" i="18"/>
  <c r="U202" i="18"/>
  <c r="H22" i="3"/>
  <c r="J22" i="3" s="1"/>
  <c r="U116" i="18"/>
  <c r="V113" i="18" s="1"/>
  <c r="H9" i="6"/>
  <c r="H16" i="3"/>
  <c r="J16" i="3" s="1"/>
  <c r="F17" i="5"/>
  <c r="F16" i="5"/>
  <c r="C3" i="6"/>
  <c r="AB34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4" i="18"/>
  <c r="H39" i="18"/>
  <c r="H167" i="18"/>
  <c r="O20" i="7"/>
  <c r="O29" i="7" s="1"/>
  <c r="O11" i="7"/>
  <c r="O25" i="7"/>
  <c r="O10" i="7"/>
  <c r="O24" i="7"/>
  <c r="Z17" i="18"/>
  <c r="J23" i="3"/>
  <c r="F17" i="6"/>
  <c r="F18" i="6" s="1"/>
  <c r="J17" i="6"/>
  <c r="G17" i="6"/>
  <c r="H17" i="6"/>
  <c r="I17" i="6"/>
  <c r="R4" i="5"/>
  <c r="G4" i="6"/>
  <c r="U4" i="5"/>
  <c r="V186" i="18"/>
  <c r="N69" i="2"/>
  <c r="X19" i="2" s="1"/>
  <c r="G5" i="6" l="1"/>
  <c r="S4" i="5"/>
  <c r="X86" i="18"/>
  <c r="X150" i="18"/>
  <c r="G11" i="6"/>
  <c r="U61" i="18"/>
  <c r="U63" i="18"/>
  <c r="U83" i="18"/>
  <c r="U82" i="18"/>
  <c r="U80" i="18"/>
  <c r="U60" i="18"/>
  <c r="U69" i="18"/>
  <c r="U84" i="18"/>
  <c r="U81" i="18"/>
  <c r="U49" i="18"/>
  <c r="U70" i="18"/>
  <c r="H13" i="3"/>
  <c r="J13" i="3" s="1"/>
  <c r="U58" i="18"/>
  <c r="U62" i="18"/>
  <c r="I5" i="6"/>
  <c r="V193" i="18"/>
  <c r="F11" i="6"/>
  <c r="F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3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8" i="18"/>
  <c r="U137" i="18"/>
  <c r="U146" i="18"/>
  <c r="U46" i="18"/>
  <c r="U47" i="18"/>
  <c r="H12" i="3"/>
  <c r="U45" i="18"/>
  <c r="V32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4" i="18"/>
  <c r="G18" i="6"/>
  <c r="H18" i="6" s="1"/>
  <c r="I18" i="6" s="1"/>
  <c r="J18" i="6" s="1"/>
  <c r="M9" i="2"/>
  <c r="P4" i="5"/>
  <c r="C9" i="6"/>
  <c r="H4" i="6"/>
  <c r="I4" i="6" s="1"/>
  <c r="J4" i="6" s="1"/>
  <c r="G12" i="6" l="1"/>
  <c r="H12" i="6" s="1"/>
  <c r="I12" i="6" s="1"/>
  <c r="I14" i="6" s="1"/>
  <c r="V49" i="18"/>
  <c r="H18" i="3"/>
  <c r="J18" i="3" s="1"/>
  <c r="U175" i="18"/>
  <c r="U174" i="18"/>
  <c r="U173" i="18"/>
  <c r="U150" i="18"/>
  <c r="V150" i="18" s="1"/>
  <c r="U91" i="18"/>
  <c r="U100" i="18"/>
  <c r="X2" i="18"/>
  <c r="U90" i="18"/>
  <c r="U88" i="18"/>
  <c r="U89" i="18"/>
  <c r="U86" i="18"/>
  <c r="U102" i="18"/>
  <c r="H14" i="3"/>
  <c r="J14" i="3" s="1"/>
  <c r="U101" i="18"/>
  <c r="N31" i="2"/>
  <c r="X14" i="2" s="1"/>
  <c r="V14" i="2"/>
  <c r="U14" i="2" s="1"/>
  <c r="J31" i="2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7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G14" i="6" l="1"/>
  <c r="V86" i="18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6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<sst xmlns="http://schemas.openxmlformats.org/spreadsheetml/2006/main" count="1086" uniqueCount="659">
  <si>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</si>
  <si>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</si>
  <si>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</si>
  <si>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</si>
  <si>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</si>
  <si>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</si>
  <si>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</si>
  <si>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</si>
  <si>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</si>
  <si>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</si>
  <si>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</si>
  <si>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</si>
  <si>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</si>
  <si>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</si>
  <si>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</si>
  <si>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</si>
  <si>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</si>
  <si>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</si>
  <si>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</si>
  <si>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</si>
  <si>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</si>
  <si>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</si>
  <si>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</si>
  <si>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</si>
  <si>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</si>
  <si>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</si>
  <si>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</si>
  <si>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</si>
  <si>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</si>
  <si>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</si>
  <si>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</si>
  <si>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</si>
  <si>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</si>
  <si>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</si>
  <si>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</si>
  <si>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</si>
  <si>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</si>
  <si>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</si>
  <si>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</si>
  <si>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</si>
  <si>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</si>
  <si>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</si>
  <si>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</si>
  <si>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</si>
  <si>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</si>
  <si>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</si>
  <si>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</si>
  <si>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</si>
  <si>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</si>
  <si>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</si>
  <si>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</si>
  <si>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</si>
  <si>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</si>
  <si>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</si>
  <si>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</si>
  <si>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</si>
  <si>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</si>
  <si>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</si>
  <si>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</si>
  <si>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</si>
  <si>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</si>
  <si>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</si>
  <si>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</si>
  <si>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</si>
  <si>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</si>
  <si>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</si>
  <si>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</si>
  <si>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</si>
  <si>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</si>
  <si>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</si>
  <si>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</si>
  <si>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</si>
  <si>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</si>
  <si>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</si>
  <si>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</si>
  <si>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</si>
  <si>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</si>
  <si>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</si>
  <si>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</si>
  <si>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</si>
  <si>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</si>
  <si>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</si>
  <si>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</si>
  <si>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</si>
  <si>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</si>
  <si>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</si>
  <si>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</si>
  <si>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</si>
  <si>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</si>
  <si>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</si>
  <si>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</si>
  <si>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</si>
  <si>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</si>
  <si>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</si>
  <si>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</si>
  <si>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</si>
  <si>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</si>
  <si>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</si>
  <si>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</si>
  <si>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</si>
  <si>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</si>
  <si>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</si>
  <si>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</si>
  <si>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</si>
  <si>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</si>
  <si>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</si>
  <si>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</si>
  <si>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</si>
  <si>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</si>
  <si>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</si>
  <si>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</si>
  <si>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</si>
  <si>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</si>
  <si>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</si>
  <si>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</si>
  <si>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</si>
  <si>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</si>
  <si>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</si>
  <si>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</si>
  <si>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</si>
  <si>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</si>
  <si>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</si>
  <si>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</si>
  <si>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</si>
  <si>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</si>
  <si>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</si>
  <si>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</si>
  <si>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</si>
  <si>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</si>
  <si>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</si>
  <si>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</si>
  <si>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</si>
  <si>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</si>
  <si>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</si>
  <si>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</si>
  <si>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</si>
  <si>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</si>
  <si>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</si>
  <si>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</si>
  <si>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</si>
  <si>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</si>
  <si>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</si>
  <si>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</si>
  <si>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</si>
  <si>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</si>
  <si>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</si>
  <si>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</si>
  <si>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</si>
  <si>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</si>
  <si>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</si>
  <si>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</si>
  <si>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</si>
  <si>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</si>
  <si>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</si>
  <si>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</si>
  <si>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</si>
  <si>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</si>
  <si>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</si>
  <si>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</si>
  <si>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</si>
  <si>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</si>
  <si>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</si>
  <si>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</si>
  <si>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</si>
  <si>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</si>
  <si>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</si>
  <si>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</si>
  <si>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</si>
  <si>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</si>
  <si>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</si>
  <si>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</si>
  <si>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</si>
  <si>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</si>
  <si>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</si>
  <si>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</si>
  <si>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</si>
  <si>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</si>
  <si>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</si>
  <si>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</si>
  <si>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</si>
  <si>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</si>
  <si>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</si>
  <si>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</si>
  <si>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</si>
  <si>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</si>
  <si>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</si>
  <si>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</si>
  <si>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</si>
  <si>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</si>
  <si>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</si>
  <si>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</si>
  <si>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</si>
  <si>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</si>
  <si>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</si>
  <si>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</si>
  <si>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</si>
  <si>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</si>
  <si>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</si>
  <si>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</si>
  <si>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</si>
  <si>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</si>
  <si>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</si>
  <si>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</si>
  <si>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</si>
  <si>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</si>
  <si>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</si>
  <si>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</si>
  <si>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</si>
  <si>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</si>
  <si>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</si>
  <si>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</si>
  <si>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</si>
  <si>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</si>
  <si>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</si>
  <si>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</si>
  <si>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</si>
  <si>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</si>
  <si>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</si>
  <si>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</si>
  <si>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</si>
  <si>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</si>
  <si>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</si>
  <si>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</si>
  <si>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</si>
  <si>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</si>
  <si>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</si>
  <si>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</si>
  <si>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</si>
  <si>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</si>
  <si>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</si>
  <si>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</si>
  <si>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</si>
  <si>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</si>
  <si>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</si>
  <si>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</si>
  <si>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</si>
  <si>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</si>
  <si>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</si>
  <si>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</si>
  <si>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</si>
  <si>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</si>
  <si>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</si>
  <si>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</si>
  <si>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</si>
  <si>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</si>
  <si>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</si>
  <si>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</si>
  <si>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</si>
  <si>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</si>
  <si>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</si>
  <si>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</si>
  <si>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Submitted to Matriarch Fri - 7 Nov .(PG to be validated)</t>
  </si>
  <si>
    <t>PrEng Signoff</t>
  </si>
  <si>
    <t>Fritz HSE incident</t>
  </si>
  <si>
    <t>8.10</t>
  </si>
  <si>
    <t>Handover documentation</t>
  </si>
  <si>
    <t>To be printed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</si>
  <si>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</si>
  <si>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</si>
  <si>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</si>
  <si>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</si>
  <si>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</si>
  <si>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</si>
  <si>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</si>
  <si>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</si>
  <si>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</si>
  <si>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</si>
  <si>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</si>
  <si>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</si>
  <si>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</si>
  <si>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</si>
  <si>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</si>
  <si>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</si>
  <si>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</si>
  <si>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</si>
  <si>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</si>
  <si>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</si>
  <si>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</si>
  <si>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</si>
  <si>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</si>
  <si>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</si>
  <si>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</si>
  <si>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</si>
  <si>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</si>
  <si>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</si>
  <si>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</si>
  <si>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</si>
  <si>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</si>
  <si>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</si>
  <si>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</si>
  <si>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</si>
  <si>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</si>
  <si>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</si>
  <si>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</si>
  <si>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</si>
  <si>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</si>
  <si>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</si>
  <si>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</si>
  <si>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</si>
  <si>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</si>
  <si>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</si>
  <si>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</si>
  <si>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</si>
  <si>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</si>
  <si>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</si>
  <si>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</si>
  <si>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</si>
  <si>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</si>
  <si>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</si>
  <si>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</si>
  <si>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</si>
  <si>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</si>
  <si>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</si>
  <si>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</si>
  <si>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</si>
  <si>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</si>
  <si>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Reduction in Size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</si>
  <si>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</si>
  <si>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</si>
  <si>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</si>
  <si>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</si>
  <si>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</si>
  <si>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</si>
  <si>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</si>
  <si>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</si>
  <si>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</si>
  <si>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</si>
  <si>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</si>
  <si>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</si>
  <si>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</si>
  <si>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</si>
  <si>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</si>
  <si>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</si>
  <si>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</si>
  <si>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</si>
  <si>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</si>
  <si>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</si>
  <si>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</si>
  <si>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</si>
  <si>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</si>
  <si>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</si>
  <si>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</si>
  <si>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</si>
  <si>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</si>
  <si>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</si>
  <si>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</si>
  <si>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</si>
  <si>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</si>
  <si>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</si>
  <si>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</si>
  <si>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</si>
  <si>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</si>
  <si>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</si>
  <si>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</si>
  <si>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</si>
  <si>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</si>
  <si>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</si>
  <si>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</si>
  <si>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</si>
  <si>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</si>
  <si>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</si>
  <si>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</si>
  <si>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</si>
  <si>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</si>
  <si>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</si>
  <si>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</si>
  <si>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</si>
  <si>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</si>
  <si>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</si>
  <si>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</si>
  <si>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</si>
  <si>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</si>
  <si>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</si>
  <si>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</si>
  <si>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</si>
  <si>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</si>
  <si>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</si>
  <si>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</si>
  <si>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</si>
  <si>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</si>
  <si>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</si>
  <si>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</si>
  <si>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</si>
  <si>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</si>
  <si>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</si>
  <si>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</si>
  <si>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</si>
  <si>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</si>
  <si>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</si>
  <si>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</si>
  <si>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</si>
  <si>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</si>
  <si>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</si>
  <si>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</si>
  <si>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</si>
  <si>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</si>
  <si>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</si>
  <si>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</si>
  <si>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</si>
  <si>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</si>
  <si>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</si>
  <si>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</si>
  <si>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</si>
  <si>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</si>
  <si>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</si>
  <si>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</si>
  <si>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</si>
  <si>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</si>
  <si>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</si>
  <si>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</si>
  <si>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</si>
  <si>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</si>
  <si>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</si>
  <si>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</si>
  <si>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</si>
  <si>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</si>
  <si>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</si>
  <si>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</si>
  <si>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</si>
  <si>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</si>
  <si>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</si>
  <si>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</si>
  <si>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</si>
  <si>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</si>
  <si>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</si>
  <si>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</si>
  <si>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</si>
  <si>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</si>
  <si>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</si>
  <si>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</si>
  <si>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</si>
  <si>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</si>
  <si>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</si>
  <si>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</si>
  <si>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</si>
  <si>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</si>
  <si>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</si>
  <si>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</si>
  <si>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</si>
  <si>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</si>
  <si>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</si>
  <si>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</si>
  <si>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</si>
  <si>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</si>
  <si>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</si>
  <si>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</si>
  <si>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</si>
  <si>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</si>
  <si>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</si>
  <si>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</si>
  <si>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</si>
  <si>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</si>
  <si>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</si>
  <si>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</si>
  <si>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</si>
  <si>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</si>
  <si>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</si>
  <si>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</si>
  <si>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</si>
  <si>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</si>
  <si>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</si>
  <si>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</si>
  <si>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</si>
  <si>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</si>
  <si>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</si>
  <si>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</si>
  <si>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</si>
  <si>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</si>
  <si>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</si>
  <si>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</si>
  <si>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</si>
  <si>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</si>
  <si>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</si>
  <si>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</si>
  <si>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</si>
  <si>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</si>
  <si>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</si>
  <si>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</si>
  <si>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</si>
  <si>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</si>
  <si>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</si>
  <si>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</si>
  <si>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</si>
  <si>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</si>
  <si>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</si>
  <si>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</si>
  <si>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</si>
  <si>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</si>
  <si>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</si>
  <si>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</si>
  <si>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</si>
  <si>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</si>
  <si>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</si>
  <si>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</si>
  <si>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</si>
  <si>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</si>
  <si>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</si>
  <si>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</si>
  <si>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</si>
  <si>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</si>
  <si>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</si>
  <si>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</si>
  <si>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</si>
  <si>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</si>
  <si>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</si>
  <si>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</si>
  <si>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</si>
  <si>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</si>
  <si>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</si>
  <si>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</si>
  <si>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</si>
  <si>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</si>
  <si>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</si>
  <si>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</si>
  <si>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</si>
  <si>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</si>
  <si>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</si>
  <si>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</si>
  <si>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</si>
  <si>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</si>
  <si>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</si>
  <si>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</si>
  <si>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</si>
  <si>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</si>
  <si>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</si>
  <si>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</si>
  <si>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</si>
  <si>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</si>
  <si>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</si>
  <si>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</si>
  <si>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</si>
  <si>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</si>
  <si>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</si>
  <si>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</si>
  <si>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</si>
  <si>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</si>
  <si>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</si>
  <si>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</si>
  <si>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</si>
  <si>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</si>
  <si>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</si>
  <si>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</si>
  <si>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JA Electrical - Additional scope and EE changes - VO</t>
  </si>
  <si>
    <t>PO4513-RR-20251202 - RV Approved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</si>
  <si>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</si>
  <si>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</si>
  <si>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</si>
  <si>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</si>
  <si>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</si>
  <si>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</si>
  <si>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</si>
  <si>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</si>
  <si>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</si>
  <si>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</si>
  <si>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</si>
  <si>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</si>
  <si>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</si>
  <si>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</si>
  <si>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</si>
  <si>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</si>
  <si>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</si>
  <si>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</si>
  <si>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</si>
  <si>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</si>
  <si>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</si>
  <si>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</si>
  <si>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</si>
  <si>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</si>
  <si>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</si>
  <si>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</si>
  <si>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</si>
  <si>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</si>
  <si>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</si>
  <si>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</si>
  <si>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</si>
  <si>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</si>
  <si>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</si>
  <si>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</si>
  <si>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</si>
  <si>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</si>
  <si>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</si>
  <si>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</si>
  <si>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</si>
  <si>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</si>
  <si>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</si>
  <si>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</si>
  <si>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</si>
  <si>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</si>
  <si>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</si>
  <si>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</si>
  <si>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</si>
  <si>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</si>
  <si>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</si>
  <si>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</si>
  <si>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</si>
  <si>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</si>
  <si>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</si>
  <si>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</si>
  <si>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</si>
  <si>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</si>
  <si>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</si>
  <si>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</si>
  <si>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</si>
  <si>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</si>
  <si>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</si>
  <si>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</si>
  <si>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</si>
  <si>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</si>
  <si>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</si>
  <si>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</si>
  <si>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</si>
  <si>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</si>
  <si>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</si>
  <si>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</si>
  <si>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</si>
  <si>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</si>
  <si>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</si>
  <si>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</si>
  <si>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</si>
  <si>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</si>
  <si>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</si>
  <si>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</si>
  <si>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</si>
  <si>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</si>
  <si>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</si>
  <si>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</si>
  <si>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</si>
  <si>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</si>
  <si>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</si>
  <si>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</si>
  <si>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</si>
  <si>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</si>
  <si>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</si>
  <si>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</si>
  <si>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</si>
  <si>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</si>
  <si>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</si>
  <si>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</si>
  <si>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</si>
  <si>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</si>
  <si>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</si>
  <si>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</si>
  <si>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</si>
  <si>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</si>
  <si>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</si>
  <si>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</si>
  <si>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</si>
  <si>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</si>
  <si>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</si>
  <si>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</si>
  <si>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</si>
  <si>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</si>
  <si>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</si>
  <si>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</si>
  <si>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</si>
  <si>
    <t>Tie - in 2 Isolation Transformer Bypass</t>
  </si>
  <si>
    <t>JP Approved (no PO)</t>
  </si>
  <si>
    <t>HappySolar - INV-0353</t>
  </si>
  <si>
    <t>JA Electrical - INV 1158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</si>
</sst>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3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5" fontId="5" fillId="11" borderId="55" xfId="0" applyNumberFormat="1" applyFont="1" applyFill="1" applyBorder="1" applyAlignment="1" applyProtection="1">
      <alignment horizontal="center"/>
      <protection locked="0"/>
    </xf>
    <xf numFmtId="165" fontId="5" fillId="13" borderId="51" xfId="0" applyNumberFormat="1" applyFont="1" applyFill="1" applyBorder="1" applyAlignment="1" applyProtection="1">
      <alignment horizontal="center"/>
      <protection locked="0"/>
    </xf>
    <xf numFmtId="165" fontId="5" fillId="13" borderId="52" xfId="0" applyNumberFormat="1" applyFont="1" applyFill="1" applyBorder="1" applyAlignment="1" applyProtection="1">
      <alignment horizontal="center"/>
      <protection locked="0"/>
    </xf>
    <xf numFmtId="165" fontId="5" fillId="11" borderId="51" xfId="0" applyNumberFormat="1" applyFont="1" applyFill="1" applyBorder="1" applyAlignment="1" applyProtection="1">
      <alignment horizontal="center"/>
      <protection locked="0"/>
    </xf>
    <xf numFmtId="165" fontId="5" fillId="10" borderId="51" xfId="0" applyNumberFormat="1" applyFont="1" applyFill="1" applyBorder="1" applyAlignment="1" applyProtection="1">
      <alignment horizontal="center"/>
      <protection locked="0"/>
    </xf>
    <xf numFmtId="165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5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44" fontId="6" fillId="11" borderId="3" xfId="3" applyFont="1" applyFill="1" applyBorder="1" applyAlignment="1" applyProtection="1">
      <alignment horizontal="center"/>
      <protection locked="0"/>
    </xf>
    <xf numFmtId="165" fontId="5" fillId="11" borderId="3" xfId="0" applyNumberFormat="1" applyFont="1" applyFill="1" applyBorder="1" applyAlignment="1" applyProtection="1">
      <alignment horizontal="center"/>
      <protection locked="0"/>
    </xf>
    <xf numFmtId="165" fontId="5" fillId="11" borderId="78" xfId="0" applyNumberFormat="1" applyFont="1" applyFill="1" applyBorder="1" applyAlignment="1" applyProtection="1">
      <alignment horizontal="center"/>
      <protection locked="0"/>
    </xf>
    <xf numFmtId="165" fontId="5" fillId="11" borderId="71" xfId="0" applyNumberFormat="1" applyFont="1" applyFill="1" applyBorder="1" applyAlignment="1" applyProtection="1">
      <alignment horizontal="center"/>
      <protection locked="0"/>
    </xf>
    <xf numFmtId="44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5" fontId="5" fillId="13" borderId="55" xfId="0" applyNumberFormat="1" applyFont="1" applyFill="1" applyBorder="1" applyAlignment="1" applyProtection="1">
      <alignment horizontal="center"/>
      <protection locked="0"/>
    </xf>
    <xf numFmtId="165" fontId="5" fillId="10" borderId="67" xfId="0" applyNumberFormat="1" applyFont="1" applyFill="1" applyBorder="1" applyAlignment="1" applyProtection="1">
      <alignment horizontal="center"/>
      <protection locked="0"/>
    </xf>
    <xf numFmtId="165" fontId="5" fillId="11" borderId="80" xfId="0" applyNumberFormat="1" applyFont="1" applyFill="1" applyBorder="1" applyAlignment="1" applyProtection="1">
      <alignment horizontal="center"/>
      <protection locked="0"/>
    </xf>
    <xf numFmtId="165" fontId="5" fillId="11" borderId="79" xfId="0" applyNumberFormat="1" applyFont="1" applyFill="1" applyBorder="1" applyAlignment="1" applyProtection="1">
      <alignment horizontal="center"/>
      <protection locked="0"/>
    </xf>
    <xf numFmtId="165" fontId="5" fillId="11" borderId="27" xfId="0" applyNumberFormat="1" applyFont="1" applyFill="1" applyBorder="1" applyAlignment="1" applyProtection="1">
      <alignment horizontal="center"/>
      <protection locked="0"/>
    </xf>
    <xf numFmtId="165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5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5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44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44" fontId="6" fillId="0" borderId="2" xfId="3" applyFont="1" applyFill="1" applyBorder="1" applyProtection="1">
      <protection locked="0"/>
    </xf>
    <xf numFmtId="165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44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44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44" fontId="6" fillId="13" borderId="3" xfId="3" applyFont="1" applyFill="1" applyBorder="1" applyAlignment="1" applyProtection="1">
      <alignment horizontal="center"/>
      <protection locked="0"/>
    </xf>
    <xf numFmtId="165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44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5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5" fontId="52" fillId="11" borderId="55" xfId="0" applyNumberFormat="1" applyFont="1" applyFill="1" applyBorder="1" applyAlignment="1" applyProtection="1">
      <alignment horizontal="center"/>
      <protection locked="0"/>
    </xf>
    <xf numFmtId="165" fontId="52" fillId="11" borderId="52" xfId="0" applyNumberFormat="1" applyFont="1" applyFill="1" applyBorder="1" applyAlignment="1" applyProtection="1">
      <alignment horizontal="center"/>
      <protection locked="0"/>
    </xf>
    <xf numFmtId="165" fontId="52" fillId="11" borderId="51" xfId="0" applyNumberFormat="1" applyFont="1" applyFill="1" applyBorder="1" applyAlignment="1" applyProtection="1">
      <alignment horizontal="center"/>
      <protection locked="0"/>
    </xf>
    <xf numFmtId="165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44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5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164" fontId="0" fillId="0" borderId="0" xfId="0" applyNumberFormat="1"/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5" fontId="13" fillId="10" borderId="27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8096014.79</c:v>
                </c:pt>
                <c:pt idx="54">
                  <c:v>8096652.6299999999</c:v>
                </c:pt>
                <c:pt idx="55">
                  <c:v>8096652.6299999999</c:v>
                </c:pt>
                <c:pt idx="56">
                  <c:v>8168335.6039130436</c:v>
                </c:pt>
                <c:pt idx="57">
                  <c:v>8234019.3139130436</c:v>
                </c:pt>
                <c:pt idx="58">
                  <c:v>8234669.3139130436</c:v>
                </c:pt>
                <c:pt idx="59">
                  <c:v>8234669.3139130436</c:v>
                </c:pt>
                <c:pt idx="60">
                  <c:v>8234669.3139130436</c:v>
                </c:pt>
                <c:pt idx="61">
                  <c:v>8234669.3139130436</c:v>
                </c:pt>
                <c:pt idx="62">
                  <c:v>8234669.3139130436</c:v>
                </c:pt>
                <c:pt idx="63">
                  <c:v>8234669.3139130436</c:v>
                </c:pt>
                <c:pt idx="64">
                  <c:v>8234669.3139130436</c:v>
                </c:pt>
                <c:pt idx="65">
                  <c:v>8234669.3139130436</c:v>
                </c:pt>
                <c:pt idx="66">
                  <c:v>8234669.3139130436</c:v>
                </c:pt>
                <c:pt idx="67">
                  <c:v>8234669.3139130436</c:v>
                </c:pt>
                <c:pt idx="68">
                  <c:v>8234669.3139130436</c:v>
                </c:pt>
                <c:pt idx="69">
                  <c:v>8234669.3139130436</c:v>
                </c:pt>
                <c:pt idx="70">
                  <c:v>8234669.3139130436</c:v>
                </c:pt>
                <c:pt idx="71">
                  <c:v>8234669.3139130436</c:v>
                </c:pt>
                <c:pt idx="72">
                  <c:v>8234669.3139130436</c:v>
                </c:pt>
                <c:pt idx="73">
                  <c:v>8234669.3139130436</c:v>
                </c:pt>
                <c:pt idx="74">
                  <c:v>8234669.3139130436</c:v>
                </c:pt>
                <c:pt idx="75">
                  <c:v>8234669.3139130436</c:v>
                </c:pt>
                <c:pt idx="76">
                  <c:v>8234669.3139130436</c:v>
                </c:pt>
                <c:pt idx="77">
                  <c:v>8234669.3139130436</c:v>
                </c:pt>
                <c:pt idx="78">
                  <c:v>8234669.3139130436</c:v>
                </c:pt>
                <c:pt idx="79">
                  <c:v>8234669.3139130436</c:v>
                </c:pt>
                <c:pt idx="80">
                  <c:v>8234669.3139130436</c:v>
                </c:pt>
                <c:pt idx="81">
                  <c:v>8234669.3139130436</c:v>
                </c:pt>
                <c:pt idx="82">
                  <c:v>8234669.3139130436</c:v>
                </c:pt>
                <c:pt idx="83">
                  <c:v>8234669.3139130436</c:v>
                </c:pt>
                <c:pt idx="84">
                  <c:v>8234669.3139130436</c:v>
                </c:pt>
                <c:pt idx="85">
                  <c:v>8234669.3139130436</c:v>
                </c:pt>
                <c:pt idx="86">
                  <c:v>8234669.3139130436</c:v>
                </c:pt>
                <c:pt idx="87">
                  <c:v>8234669.3139130436</c:v>
                </c:pt>
                <c:pt idx="88">
                  <c:v>8234669.3139130436</c:v>
                </c:pt>
                <c:pt idx="89">
                  <c:v>8234669.3139130436</c:v>
                </c:pt>
                <c:pt idx="90">
                  <c:v>8234669.3139130436</c:v>
                </c:pt>
                <c:pt idx="91">
                  <c:v>8234669.3139130436</c:v>
                </c:pt>
                <c:pt idx="92">
                  <c:v>8234669.3139130436</c:v>
                </c:pt>
                <c:pt idx="93">
                  <c:v>8234669.3139130436</c:v>
                </c:pt>
                <c:pt idx="94">
                  <c:v>8234669.3139130436</c:v>
                </c:pt>
                <c:pt idx="95">
                  <c:v>8234669.3139130436</c:v>
                </c:pt>
                <c:pt idx="96">
                  <c:v>8234669.3139130436</c:v>
                </c:pt>
                <c:pt idx="97">
                  <c:v>8234669.3139130436</c:v>
                </c:pt>
                <c:pt idx="98">
                  <c:v>8234669.3139130436</c:v>
                </c:pt>
                <c:pt idx="99">
                  <c:v>8234669.3139130436</c:v>
                </c:pt>
                <c:pt idx="100">
                  <c:v>8234669.3139130436</c:v>
                </c:pt>
                <c:pt idx="101">
                  <c:v>8234669.3139130436</c:v>
                </c:pt>
                <c:pt idx="102">
                  <c:v>8234669.3139130436</c:v>
                </c:pt>
                <c:pt idx="103">
                  <c:v>8234669.3139130436</c:v>
                </c:pt>
                <c:pt idx="104">
                  <c:v>8234669.3139130436</c:v>
                </c:pt>
                <c:pt idx="105">
                  <c:v>8234669.3139130436</c:v>
                </c:pt>
                <c:pt idx="106">
                  <c:v>8234669.3139130436</c:v>
                </c:pt>
                <c:pt idx="107">
                  <c:v>8234669.3139130436</c:v>
                </c:pt>
                <c:pt idx="108">
                  <c:v>8234669.3139130436</c:v>
                </c:pt>
                <c:pt idx="109">
                  <c:v>8234669.3139130436</c:v>
                </c:pt>
                <c:pt idx="110">
                  <c:v>8234669.3139130436</c:v>
                </c:pt>
                <c:pt idx="111">
                  <c:v>8234669.3139130436</c:v>
                </c:pt>
                <c:pt idx="112">
                  <c:v>8234669.3139130436</c:v>
                </c:pt>
                <c:pt idx="113">
                  <c:v>8234669.3139130436</c:v>
                </c:pt>
                <c:pt idx="114">
                  <c:v>8234669.3139130436</c:v>
                </c:pt>
                <c:pt idx="115">
                  <c:v>8234669.3139130436</c:v>
                </c:pt>
                <c:pt idx="116">
                  <c:v>8234669.3139130436</c:v>
                </c:pt>
                <c:pt idx="117">
                  <c:v>8234669.3139130436</c:v>
                </c:pt>
                <c:pt idx="118">
                  <c:v>8234669.3139130436</c:v>
                </c:pt>
                <c:pt idx="119">
                  <c:v>8234669.3139130436</c:v>
                </c:pt>
                <c:pt idx="120">
                  <c:v>8234669.3139130436</c:v>
                </c:pt>
                <c:pt idx="121">
                  <c:v>8234669.3139130436</c:v>
                </c:pt>
                <c:pt idx="122">
                  <c:v>8234669.3139130436</c:v>
                </c:pt>
                <c:pt idx="123">
                  <c:v>8234669.3139130436</c:v>
                </c:pt>
                <c:pt idx="124">
                  <c:v>8234669.3139130436</c:v>
                </c:pt>
                <c:pt idx="125">
                  <c:v>8234669.3139130436</c:v>
                </c:pt>
                <c:pt idx="126">
                  <c:v>8234669.3139130436</c:v>
                </c:pt>
                <c:pt idx="127">
                  <c:v>8234669.3139130436</c:v>
                </c:pt>
                <c:pt idx="128">
                  <c:v>8234669.3139130436</c:v>
                </c:pt>
                <c:pt idx="129">
                  <c:v>8234669.3139130436</c:v>
                </c:pt>
                <c:pt idx="130">
                  <c:v>8234669.3139130436</c:v>
                </c:pt>
                <c:pt idx="131">
                  <c:v>8234669.3139130436</c:v>
                </c:pt>
                <c:pt idx="132">
                  <c:v>8234669.3139130436</c:v>
                </c:pt>
                <c:pt idx="133">
                  <c:v>8234669.3139130436</c:v>
                </c:pt>
                <c:pt idx="134">
                  <c:v>8234669.3139130436</c:v>
                </c:pt>
                <c:pt idx="135">
                  <c:v>8234669.3139130436</c:v>
                </c:pt>
                <c:pt idx="136">
                  <c:v>8234669.3139130436</c:v>
                </c:pt>
                <c:pt idx="137">
                  <c:v>8234669.3139130436</c:v>
                </c:pt>
                <c:pt idx="138">
                  <c:v>8234669.3139130436</c:v>
                </c:pt>
                <c:pt idx="139">
                  <c:v>8234669.3139130436</c:v>
                </c:pt>
                <c:pt idx="140">
                  <c:v>8234669.3139130436</c:v>
                </c:pt>
                <c:pt idx="141">
                  <c:v>8234669.3139130436</c:v>
                </c:pt>
                <c:pt idx="142">
                  <c:v>8234669.3139130436</c:v>
                </c:pt>
                <c:pt idx="143">
                  <c:v>8234669.3139130436</c:v>
                </c:pt>
                <c:pt idx="144">
                  <c:v>8234669.3139130436</c:v>
                </c:pt>
                <c:pt idx="145">
                  <c:v>8234669.3139130436</c:v>
                </c:pt>
                <c:pt idx="146">
                  <c:v>8234669.3139130436</c:v>
                </c:pt>
                <c:pt idx="147">
                  <c:v>8234669.3139130436</c:v>
                </c:pt>
                <c:pt idx="148">
                  <c:v>8234669.3139130436</c:v>
                </c:pt>
                <c:pt idx="149">
                  <c:v>8234669.3139130436</c:v>
                </c:pt>
                <c:pt idx="150">
                  <c:v>8234669.3139130436</c:v>
                </c:pt>
                <c:pt idx="151">
                  <c:v>8234669.3139130436</c:v>
                </c:pt>
                <c:pt idx="152">
                  <c:v>8234669.3139130436</c:v>
                </c:pt>
                <c:pt idx="153">
                  <c:v>8234669.3139130436</c:v>
                </c:pt>
                <c:pt idx="154">
                  <c:v>8234669.3139130436</c:v>
                </c:pt>
                <c:pt idx="155">
                  <c:v>8234669.3139130436</c:v>
                </c:pt>
                <c:pt idx="156">
                  <c:v>8234669.3139130436</c:v>
                </c:pt>
                <c:pt idx="157">
                  <c:v>8234669.3139130436</c:v>
                </c:pt>
                <c:pt idx="158">
                  <c:v>8234669.3139130436</c:v>
                </c:pt>
                <c:pt idx="159">
                  <c:v>8234669.3139130436</c:v>
                </c:pt>
                <c:pt idx="160">
                  <c:v>8234669.3139130436</c:v>
                </c:pt>
                <c:pt idx="161">
                  <c:v>8234669.3139130436</c:v>
                </c:pt>
                <c:pt idx="162">
                  <c:v>8234669.3139130436</c:v>
                </c:pt>
                <c:pt idx="163">
                  <c:v>8234669.3139130436</c:v>
                </c:pt>
                <c:pt idx="164">
                  <c:v>8234669.3139130436</c:v>
                </c:pt>
                <c:pt idx="165">
                  <c:v>8234669.3139130436</c:v>
                </c:pt>
                <c:pt idx="166">
                  <c:v>8234669.3139130436</c:v>
                </c:pt>
                <c:pt idx="167">
                  <c:v>8234669.3139130436</c:v>
                </c:pt>
                <c:pt idx="168">
                  <c:v>8234669.3139130436</c:v>
                </c:pt>
                <c:pt idx="169">
                  <c:v>8234669.3139130436</c:v>
                </c:pt>
                <c:pt idx="170">
                  <c:v>8234669.3139130436</c:v>
                </c:pt>
                <c:pt idx="171">
                  <c:v>8234669.3139130436</c:v>
                </c:pt>
                <c:pt idx="172">
                  <c:v>8234669.3139130436</c:v>
                </c:pt>
                <c:pt idx="173">
                  <c:v>8234669.3139130436</c:v>
                </c:pt>
                <c:pt idx="174">
                  <c:v>8234669.3139130436</c:v>
                </c:pt>
                <c:pt idx="175">
                  <c:v>8234669.3139130436</c:v>
                </c:pt>
                <c:pt idx="176">
                  <c:v>8234669.3139130436</c:v>
                </c:pt>
                <c:pt idx="177">
                  <c:v>8234669.3139130436</c:v>
                </c:pt>
                <c:pt idx="178">
                  <c:v>8234669.3139130436</c:v>
                </c:pt>
                <c:pt idx="179">
                  <c:v>8234669.3139130436</c:v>
                </c:pt>
                <c:pt idx="180">
                  <c:v>8234669.3139130436</c:v>
                </c:pt>
                <c:pt idx="181">
                  <c:v>8234669.3139130436</c:v>
                </c:pt>
                <c:pt idx="182">
                  <c:v>8234669.3139130436</c:v>
                </c:pt>
                <c:pt idx="183">
                  <c:v>8234669.3139130436</c:v>
                </c:pt>
                <c:pt idx="184">
                  <c:v>8234669.3139130436</c:v>
                </c:pt>
                <c:pt idx="185">
                  <c:v>8234669.3139130436</c:v>
                </c:pt>
                <c:pt idx="186">
                  <c:v>8234669.3139130436</c:v>
                </c:pt>
                <c:pt idx="187">
                  <c:v>8234669.3139130436</c:v>
                </c:pt>
                <c:pt idx="188">
                  <c:v>8234669.3139130436</c:v>
                </c:pt>
                <c:pt idx="189">
                  <c:v>8234669.3139130436</c:v>
                </c:pt>
                <c:pt idx="190">
                  <c:v>8234669.3139130436</c:v>
                </c:pt>
                <c:pt idx="191">
                  <c:v>8234669.3139130436</c:v>
                </c:pt>
                <c:pt idx="192">
                  <c:v>8234669.3139130436</c:v>
                </c:pt>
                <c:pt idx="193">
                  <c:v>8234669.3139130436</c:v>
                </c:pt>
                <c:pt idx="194">
                  <c:v>8234669.3139130436</c:v>
                </c:pt>
                <c:pt idx="195">
                  <c:v>8234669.3139130436</c:v>
                </c:pt>
                <c:pt idx="196">
                  <c:v>8234669.3139130436</c:v>
                </c:pt>
                <c:pt idx="197">
                  <c:v>8234669.3139130436</c:v>
                </c:pt>
                <c:pt idx="198">
                  <c:v>8234669.3139130436</c:v>
                </c:pt>
                <c:pt idx="199">
                  <c:v>8234669.3139130436</c:v>
                </c:pt>
                <c:pt idx="200">
                  <c:v>8234669.3139130436</c:v>
                </c:pt>
                <c:pt idx="201">
                  <c:v>8234669.3139130436</c:v>
                </c:pt>
                <c:pt idx="202">
                  <c:v>8234669.3139130436</c:v>
                </c:pt>
                <c:pt idx="203">
                  <c:v>8234669.3139130436</c:v>
                </c:pt>
                <c:pt idx="204">
                  <c:v>8234669.3139130436</c:v>
                </c:pt>
                <c:pt idx="205">
                  <c:v>8234669.3139130436</c:v>
                </c:pt>
                <c:pt idx="206">
                  <c:v>8234669.3139130436</c:v>
                </c:pt>
                <c:pt idx="207">
                  <c:v>8234669.3139130436</c:v>
                </c:pt>
                <c:pt idx="208">
                  <c:v>8234669.3139130436</c:v>
                </c:pt>
                <c:pt idx="209">
                  <c:v>8234669.3139130436</c:v>
                </c:pt>
                <c:pt idx="210">
                  <c:v>8234669.3139130436</c:v>
                </c:pt>
                <c:pt idx="211">
                  <c:v>8234669.3139130436</c:v>
                </c:pt>
                <c:pt idx="212">
                  <c:v>8234669.3139130436</c:v>
                </c:pt>
                <c:pt idx="213">
                  <c:v>8234669.3139130436</c:v>
                </c:pt>
                <c:pt idx="214">
                  <c:v>8234669.3139130436</c:v>
                </c:pt>
                <c:pt idx="215">
                  <c:v>8234669.3139130436</c:v>
                </c:pt>
                <c:pt idx="216">
                  <c:v>8234669.3139130436</c:v>
                </c:pt>
                <c:pt idx="217">
                  <c:v>8234669.3139130436</c:v>
                </c:pt>
                <c:pt idx="218">
                  <c:v>8234669.3139130436</c:v>
                </c:pt>
                <c:pt idx="219">
                  <c:v>8234669.3139130436</c:v>
                </c:pt>
                <c:pt idx="220">
                  <c:v>8234669.3139130436</c:v>
                </c:pt>
                <c:pt idx="221">
                  <c:v>8234669.3139130436</c:v>
                </c:pt>
                <c:pt idx="222">
                  <c:v>8234669.3139130436</c:v>
                </c:pt>
                <c:pt idx="223">
                  <c:v>8234669.3139130436</c:v>
                </c:pt>
                <c:pt idx="224">
                  <c:v>8234669.3139130436</c:v>
                </c:pt>
                <c:pt idx="225">
                  <c:v>8234669.3139130436</c:v>
                </c:pt>
                <c:pt idx="226">
                  <c:v>8234669.3139130436</c:v>
                </c:pt>
                <c:pt idx="227">
                  <c:v>8234669.3139130436</c:v>
                </c:pt>
                <c:pt idx="228">
                  <c:v>8234669.3139130436</c:v>
                </c:pt>
                <c:pt idx="229">
                  <c:v>8234669.3139130436</c:v>
                </c:pt>
                <c:pt idx="230">
                  <c:v>8234669.3139130436</c:v>
                </c:pt>
                <c:pt idx="231">
                  <c:v>8234669.3139130436</c:v>
                </c:pt>
                <c:pt idx="232">
                  <c:v>8234669.3139130436</c:v>
                </c:pt>
                <c:pt idx="233">
                  <c:v>8234669.3139130436</c:v>
                </c:pt>
                <c:pt idx="234">
                  <c:v>8234669.3139130436</c:v>
                </c:pt>
                <c:pt idx="235">
                  <c:v>8234669.3139130436</c:v>
                </c:pt>
                <c:pt idx="236">
                  <c:v>8234669.3139130436</c:v>
                </c:pt>
                <c:pt idx="237">
                  <c:v>8234669.3139130436</c:v>
                </c:pt>
                <c:pt idx="238">
                  <c:v>8234669.3139130436</c:v>
                </c:pt>
                <c:pt idx="239">
                  <c:v>8234669.3139130436</c:v>
                </c:pt>
                <c:pt idx="240">
                  <c:v>8234669.3139130436</c:v>
                </c:pt>
                <c:pt idx="241">
                  <c:v>8234669.3139130436</c:v>
                </c:pt>
                <c:pt idx="242">
                  <c:v>8234669.3139130436</c:v>
                </c:pt>
                <c:pt idx="243">
                  <c:v>8234669.3139130436</c:v>
                </c:pt>
                <c:pt idx="244">
                  <c:v>8234669.3139130436</c:v>
                </c:pt>
                <c:pt idx="245">
                  <c:v>8234669.3139130436</c:v>
                </c:pt>
                <c:pt idx="246">
                  <c:v>8234669.3139130436</c:v>
                </c:pt>
                <c:pt idx="247">
                  <c:v>8234669.3139130436</c:v>
                </c:pt>
                <c:pt idx="248">
                  <c:v>8234669.3139130436</c:v>
                </c:pt>
                <c:pt idx="249">
                  <c:v>8234669.3139130436</c:v>
                </c:pt>
                <c:pt idx="250">
                  <c:v>8234669.3139130436</c:v>
                </c:pt>
                <c:pt idx="251">
                  <c:v>8234669.3139130436</c:v>
                </c:pt>
                <c:pt idx="252">
                  <c:v>8234669.3139130436</c:v>
                </c:pt>
                <c:pt idx="253">
                  <c:v>8234669.3139130436</c:v>
                </c:pt>
                <c:pt idx="254">
                  <c:v>8234669.3139130436</c:v>
                </c:pt>
                <c:pt idx="255">
                  <c:v>8234669.3139130436</c:v>
                </c:pt>
                <c:pt idx="256">
                  <c:v>8234669.3139130436</c:v>
                </c:pt>
                <c:pt idx="257">
                  <c:v>8234669.3139130436</c:v>
                </c:pt>
                <c:pt idx="258">
                  <c:v>8234669.3139130436</c:v>
                </c:pt>
                <c:pt idx="259">
                  <c:v>8234669.3139130436</c:v>
                </c:pt>
                <c:pt idx="260">
                  <c:v>8234669.3139130436</c:v>
                </c:pt>
                <c:pt idx="261">
                  <c:v>8234669.3139130436</c:v>
                </c:pt>
                <c:pt idx="262">
                  <c:v>8234669.3139130436</c:v>
                </c:pt>
                <c:pt idx="263">
                  <c:v>8234669.3139130436</c:v>
                </c:pt>
                <c:pt idx="264">
                  <c:v>8234669.3139130436</c:v>
                </c:pt>
                <c:pt idx="265">
                  <c:v>8234669.3139130436</c:v>
                </c:pt>
                <c:pt idx="266">
                  <c:v>8234669.3139130436</c:v>
                </c:pt>
                <c:pt idx="267">
                  <c:v>8234669.3139130436</c:v>
                </c:pt>
                <c:pt idx="268">
                  <c:v>8234669.3139130436</c:v>
                </c:pt>
                <c:pt idx="269">
                  <c:v>8234669.3139130436</c:v>
                </c:pt>
                <c:pt idx="270">
                  <c:v>8234669.3139130436</c:v>
                </c:pt>
                <c:pt idx="271">
                  <c:v>8234669.3139130436</c:v>
                </c:pt>
                <c:pt idx="272">
                  <c:v>8234669.3139130436</c:v>
                </c:pt>
                <c:pt idx="273">
                  <c:v>8234669.3139130436</c:v>
                </c:pt>
                <c:pt idx="274">
                  <c:v>8234669.3139130436</c:v>
                </c:pt>
                <c:pt idx="275">
                  <c:v>8234669.3139130436</c:v>
                </c:pt>
                <c:pt idx="276">
                  <c:v>8234669.3139130436</c:v>
                </c:pt>
                <c:pt idx="277">
                  <c:v>8234669.3139130436</c:v>
                </c:pt>
                <c:pt idx="278">
                  <c:v>8234669.3139130436</c:v>
                </c:pt>
                <c:pt idx="279">
                  <c:v>8234669.3139130436</c:v>
                </c:pt>
                <c:pt idx="280">
                  <c:v>8234669.3139130436</c:v>
                </c:pt>
                <c:pt idx="281">
                  <c:v>8234669.3139130436</c:v>
                </c:pt>
                <c:pt idx="282">
                  <c:v>8234669.3139130436</c:v>
                </c:pt>
                <c:pt idx="283">
                  <c:v>8234669.3139130436</c:v>
                </c:pt>
                <c:pt idx="284">
                  <c:v>8234669.3139130436</c:v>
                </c:pt>
                <c:pt idx="285">
                  <c:v>8234669.3139130436</c:v>
                </c:pt>
                <c:pt idx="286">
                  <c:v>8234669.3139130436</c:v>
                </c:pt>
                <c:pt idx="287">
                  <c:v>8234669.3139130436</c:v>
                </c:pt>
                <c:pt idx="288">
                  <c:v>8234669.3139130436</c:v>
                </c:pt>
                <c:pt idx="289">
                  <c:v>8234669.3139130436</c:v>
                </c:pt>
                <c:pt idx="290">
                  <c:v>8234669.3139130436</c:v>
                </c:pt>
                <c:pt idx="291">
                  <c:v>8234669.3139130436</c:v>
                </c:pt>
                <c:pt idx="292">
                  <c:v>8234669.3139130436</c:v>
                </c:pt>
                <c:pt idx="293">
                  <c:v>8234669.3139130436</c:v>
                </c:pt>
                <c:pt idx="294">
                  <c:v>8234669.3139130436</c:v>
                </c:pt>
                <c:pt idx="295">
                  <c:v>8234669.3139130436</c:v>
                </c:pt>
                <c:pt idx="296">
                  <c:v>8234669.3139130436</c:v>
                </c:pt>
                <c:pt idx="297">
                  <c:v>8234669.3139130436</c:v>
                </c:pt>
                <c:pt idx="298">
                  <c:v>8234669.3139130436</c:v>
                </c:pt>
                <c:pt idx="299">
                  <c:v>8234669.3139130436</c:v>
                </c:pt>
                <c:pt idx="300">
                  <c:v>8234669.3139130436</c:v>
                </c:pt>
                <c:pt idx="301">
                  <c:v>8234669.3139130436</c:v>
                </c:pt>
                <c:pt idx="302">
                  <c:v>8234669.3139130436</c:v>
                </c:pt>
                <c:pt idx="303">
                  <c:v>8234669.3139130436</c:v>
                </c:pt>
                <c:pt idx="304">
                  <c:v>8234669.3139130436</c:v>
                </c:pt>
                <c:pt idx="305">
                  <c:v>8234669.3139130436</c:v>
                </c:pt>
                <c:pt idx="306">
                  <c:v>8234669.3139130436</c:v>
                </c:pt>
                <c:pt idx="307">
                  <c:v>8234669.3139130436</c:v>
                </c:pt>
                <c:pt idx="308">
                  <c:v>8234669.3139130436</c:v>
                </c:pt>
                <c:pt idx="309">
                  <c:v>8234669.3139130436</c:v>
                </c:pt>
                <c:pt idx="310">
                  <c:v>8234669.3139130436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4296579.2524382165</c:v>
                </c:pt>
                <c:pt idx="54">
                  <c:v>4295941.4124382166</c:v>
                </c:pt>
                <c:pt idx="55">
                  <c:v>4295941.4124382166</c:v>
                </c:pt>
                <c:pt idx="56">
                  <c:v>4224258.4385251729</c:v>
                </c:pt>
                <c:pt idx="57">
                  <c:v>4158574.7285251729</c:v>
                </c:pt>
                <c:pt idx="58">
                  <c:v>4157924.7285251729</c:v>
                </c:pt>
                <c:pt idx="59">
                  <c:v>4157924.7285251729</c:v>
                </c:pt>
                <c:pt idx="60">
                  <c:v>4157924.7285251729</c:v>
                </c:pt>
                <c:pt idx="61">
                  <c:v>4157924.7285251729</c:v>
                </c:pt>
                <c:pt idx="62">
                  <c:v>4157924.7285251729</c:v>
                </c:pt>
                <c:pt idx="63">
                  <c:v>4157924.7285251729</c:v>
                </c:pt>
                <c:pt idx="64">
                  <c:v>4157924.7285251729</c:v>
                </c:pt>
                <c:pt idx="65">
                  <c:v>4157924.7285251729</c:v>
                </c:pt>
                <c:pt idx="66">
                  <c:v>4157924.7285251729</c:v>
                </c:pt>
                <c:pt idx="67">
                  <c:v>4157924.7285251729</c:v>
                </c:pt>
                <c:pt idx="68">
                  <c:v>4157924.7285251729</c:v>
                </c:pt>
                <c:pt idx="69">
                  <c:v>4157924.7285251729</c:v>
                </c:pt>
                <c:pt idx="70">
                  <c:v>4157924.7285251729</c:v>
                </c:pt>
                <c:pt idx="71">
                  <c:v>4157924.7285251729</c:v>
                </c:pt>
                <c:pt idx="72">
                  <c:v>4157924.7285251729</c:v>
                </c:pt>
                <c:pt idx="73">
                  <c:v>4157924.7285251729</c:v>
                </c:pt>
                <c:pt idx="74">
                  <c:v>4157924.7285251729</c:v>
                </c:pt>
                <c:pt idx="75">
                  <c:v>4157924.7285251729</c:v>
                </c:pt>
                <c:pt idx="76">
                  <c:v>4157924.7285251729</c:v>
                </c:pt>
                <c:pt idx="77">
                  <c:v>4157924.7285251729</c:v>
                </c:pt>
                <c:pt idx="78">
                  <c:v>4157924.7285251729</c:v>
                </c:pt>
                <c:pt idx="79">
                  <c:v>4157924.7285251729</c:v>
                </c:pt>
                <c:pt idx="80">
                  <c:v>4157924.7285251729</c:v>
                </c:pt>
                <c:pt idx="81">
                  <c:v>4157924.7285251729</c:v>
                </c:pt>
                <c:pt idx="82">
                  <c:v>4157924.7285251729</c:v>
                </c:pt>
                <c:pt idx="83">
                  <c:v>4157924.7285251729</c:v>
                </c:pt>
                <c:pt idx="84">
                  <c:v>4157924.7285251729</c:v>
                </c:pt>
                <c:pt idx="85">
                  <c:v>4157924.7285251729</c:v>
                </c:pt>
                <c:pt idx="86">
                  <c:v>4157924.7285251729</c:v>
                </c:pt>
                <c:pt idx="87">
                  <c:v>4157924.7285251729</c:v>
                </c:pt>
                <c:pt idx="88">
                  <c:v>4157924.7285251729</c:v>
                </c:pt>
                <c:pt idx="89">
                  <c:v>4157924.7285251729</c:v>
                </c:pt>
                <c:pt idx="90">
                  <c:v>4157924.7285251729</c:v>
                </c:pt>
                <c:pt idx="91">
                  <c:v>4157924.7285251729</c:v>
                </c:pt>
                <c:pt idx="92">
                  <c:v>4157924.7285251729</c:v>
                </c:pt>
                <c:pt idx="93">
                  <c:v>4157924.7285251729</c:v>
                </c:pt>
                <c:pt idx="94">
                  <c:v>4157924.7285251729</c:v>
                </c:pt>
                <c:pt idx="95">
                  <c:v>4157924.7285251729</c:v>
                </c:pt>
                <c:pt idx="96">
                  <c:v>4157924.7285251729</c:v>
                </c:pt>
                <c:pt idx="97">
                  <c:v>4157924.7285251729</c:v>
                </c:pt>
                <c:pt idx="98">
                  <c:v>4157924.7285251729</c:v>
                </c:pt>
                <c:pt idx="99">
                  <c:v>4157924.7285251729</c:v>
                </c:pt>
                <c:pt idx="100">
                  <c:v>4157924.7285251729</c:v>
                </c:pt>
                <c:pt idx="101">
                  <c:v>4157924.7285251729</c:v>
                </c:pt>
                <c:pt idx="102">
                  <c:v>4157924.7285251729</c:v>
                </c:pt>
                <c:pt idx="103">
                  <c:v>4157924.7285251729</c:v>
                </c:pt>
                <c:pt idx="104">
                  <c:v>4157924.7285251729</c:v>
                </c:pt>
                <c:pt idx="105">
                  <c:v>4157924.7285251729</c:v>
                </c:pt>
                <c:pt idx="106">
                  <c:v>4157924.7285251729</c:v>
                </c:pt>
                <c:pt idx="107">
                  <c:v>4157924.7285251729</c:v>
                </c:pt>
                <c:pt idx="108">
                  <c:v>4157924.7285251729</c:v>
                </c:pt>
                <c:pt idx="109">
                  <c:v>4157924.7285251729</c:v>
                </c:pt>
                <c:pt idx="110">
                  <c:v>4157924.7285251729</c:v>
                </c:pt>
                <c:pt idx="111">
                  <c:v>4157924.7285251729</c:v>
                </c:pt>
                <c:pt idx="112">
                  <c:v>4157924.7285251729</c:v>
                </c:pt>
                <c:pt idx="113">
                  <c:v>4157924.7285251729</c:v>
                </c:pt>
                <c:pt idx="114">
                  <c:v>4157924.7285251729</c:v>
                </c:pt>
                <c:pt idx="115">
                  <c:v>4157924.7285251729</c:v>
                </c:pt>
                <c:pt idx="116">
                  <c:v>4157924.7285251729</c:v>
                </c:pt>
                <c:pt idx="117">
                  <c:v>4157924.7285251729</c:v>
                </c:pt>
                <c:pt idx="118">
                  <c:v>4157924.7285251729</c:v>
                </c:pt>
                <c:pt idx="119">
                  <c:v>4157924.7285251729</c:v>
                </c:pt>
                <c:pt idx="120">
                  <c:v>4157924.7285251729</c:v>
                </c:pt>
                <c:pt idx="121">
                  <c:v>4157924.7285251729</c:v>
                </c:pt>
                <c:pt idx="122">
                  <c:v>4157924.7285251729</c:v>
                </c:pt>
                <c:pt idx="123">
                  <c:v>4157924.7285251729</c:v>
                </c:pt>
                <c:pt idx="124">
                  <c:v>4157924.7285251729</c:v>
                </c:pt>
                <c:pt idx="125">
                  <c:v>4157924.7285251729</c:v>
                </c:pt>
                <c:pt idx="126">
                  <c:v>4157924.7285251729</c:v>
                </c:pt>
                <c:pt idx="127">
                  <c:v>4157924.7285251729</c:v>
                </c:pt>
                <c:pt idx="128">
                  <c:v>4157924.7285251729</c:v>
                </c:pt>
                <c:pt idx="129">
                  <c:v>4157924.7285251729</c:v>
                </c:pt>
                <c:pt idx="130">
                  <c:v>4157924.7285251729</c:v>
                </c:pt>
                <c:pt idx="131">
                  <c:v>4157924.7285251729</c:v>
                </c:pt>
                <c:pt idx="132">
                  <c:v>4157924.7285251729</c:v>
                </c:pt>
                <c:pt idx="133">
                  <c:v>4157924.7285251729</c:v>
                </c:pt>
                <c:pt idx="134">
                  <c:v>4157924.7285251729</c:v>
                </c:pt>
                <c:pt idx="135">
                  <c:v>4157924.7285251729</c:v>
                </c:pt>
                <c:pt idx="136">
                  <c:v>4157924.7285251729</c:v>
                </c:pt>
                <c:pt idx="137">
                  <c:v>4157924.7285251729</c:v>
                </c:pt>
                <c:pt idx="138">
                  <c:v>4157924.7285251729</c:v>
                </c:pt>
                <c:pt idx="139">
                  <c:v>4157924.7285251729</c:v>
                </c:pt>
                <c:pt idx="140">
                  <c:v>4157924.7285251729</c:v>
                </c:pt>
                <c:pt idx="141">
                  <c:v>4157924.7285251729</c:v>
                </c:pt>
                <c:pt idx="142">
                  <c:v>4157924.7285251729</c:v>
                </c:pt>
                <c:pt idx="143">
                  <c:v>4157924.7285251729</c:v>
                </c:pt>
                <c:pt idx="144">
                  <c:v>4157924.7285251729</c:v>
                </c:pt>
                <c:pt idx="145">
                  <c:v>4157924.7285251729</c:v>
                </c:pt>
                <c:pt idx="146">
                  <c:v>4157924.7285251729</c:v>
                </c:pt>
                <c:pt idx="147">
                  <c:v>4157924.7285251729</c:v>
                </c:pt>
                <c:pt idx="148">
                  <c:v>4157924.7285251729</c:v>
                </c:pt>
                <c:pt idx="149">
                  <c:v>4157924.7285251729</c:v>
                </c:pt>
                <c:pt idx="150">
                  <c:v>4157924.7285251729</c:v>
                </c:pt>
                <c:pt idx="151">
                  <c:v>4157924.7285251729</c:v>
                </c:pt>
                <c:pt idx="152">
                  <c:v>4157924.7285251729</c:v>
                </c:pt>
                <c:pt idx="153">
                  <c:v>4157924.7285251729</c:v>
                </c:pt>
                <c:pt idx="154">
                  <c:v>4157924.7285251729</c:v>
                </c:pt>
                <c:pt idx="155">
                  <c:v>4157924.7285251729</c:v>
                </c:pt>
                <c:pt idx="156">
                  <c:v>4157924.7285251729</c:v>
                </c:pt>
                <c:pt idx="157">
                  <c:v>4157924.7285251729</c:v>
                </c:pt>
                <c:pt idx="158">
                  <c:v>4157924.7285251729</c:v>
                </c:pt>
                <c:pt idx="159">
                  <c:v>4157924.7285251729</c:v>
                </c:pt>
                <c:pt idx="160">
                  <c:v>4157924.7285251729</c:v>
                </c:pt>
                <c:pt idx="161">
                  <c:v>4157924.7285251729</c:v>
                </c:pt>
                <c:pt idx="162">
                  <c:v>4157924.7285251729</c:v>
                </c:pt>
                <c:pt idx="163">
                  <c:v>4157924.7285251729</c:v>
                </c:pt>
                <c:pt idx="164">
                  <c:v>4157924.7285251729</c:v>
                </c:pt>
                <c:pt idx="165">
                  <c:v>4157924.7285251729</c:v>
                </c:pt>
                <c:pt idx="166">
                  <c:v>4157924.7285251729</c:v>
                </c:pt>
                <c:pt idx="167">
                  <c:v>4157924.7285251729</c:v>
                </c:pt>
                <c:pt idx="168">
                  <c:v>4157924.7285251729</c:v>
                </c:pt>
                <c:pt idx="169">
                  <c:v>4157924.7285251729</c:v>
                </c:pt>
                <c:pt idx="170">
                  <c:v>4157924.7285251729</c:v>
                </c:pt>
                <c:pt idx="171">
                  <c:v>4157924.7285251729</c:v>
                </c:pt>
                <c:pt idx="172">
                  <c:v>4157924.7285251729</c:v>
                </c:pt>
                <c:pt idx="173">
                  <c:v>4157924.7285251729</c:v>
                </c:pt>
                <c:pt idx="174">
                  <c:v>4157924.7285251729</c:v>
                </c:pt>
                <c:pt idx="175">
                  <c:v>4157924.7285251729</c:v>
                </c:pt>
                <c:pt idx="176">
                  <c:v>4157924.7285251729</c:v>
                </c:pt>
                <c:pt idx="177">
                  <c:v>4157924.7285251729</c:v>
                </c:pt>
                <c:pt idx="178">
                  <c:v>4157924.7285251729</c:v>
                </c:pt>
                <c:pt idx="179">
                  <c:v>4157924.7285251729</c:v>
                </c:pt>
                <c:pt idx="180">
                  <c:v>4157924.7285251729</c:v>
                </c:pt>
                <c:pt idx="181">
                  <c:v>4157924.7285251729</c:v>
                </c:pt>
                <c:pt idx="182">
                  <c:v>4157924.7285251729</c:v>
                </c:pt>
                <c:pt idx="183">
                  <c:v>4157924.7285251729</c:v>
                </c:pt>
                <c:pt idx="184">
                  <c:v>4157924.7285251729</c:v>
                </c:pt>
                <c:pt idx="185">
                  <c:v>4157924.7285251729</c:v>
                </c:pt>
                <c:pt idx="186">
                  <c:v>4157924.7285251729</c:v>
                </c:pt>
                <c:pt idx="187">
                  <c:v>4157924.7285251729</c:v>
                </c:pt>
                <c:pt idx="188">
                  <c:v>4157924.7285251729</c:v>
                </c:pt>
                <c:pt idx="189">
                  <c:v>4157924.7285251729</c:v>
                </c:pt>
                <c:pt idx="190">
                  <c:v>4157924.7285251729</c:v>
                </c:pt>
                <c:pt idx="191">
                  <c:v>4157924.7285251729</c:v>
                </c:pt>
                <c:pt idx="192">
                  <c:v>4157924.7285251729</c:v>
                </c:pt>
                <c:pt idx="193">
                  <c:v>4157924.7285251729</c:v>
                </c:pt>
                <c:pt idx="194">
                  <c:v>4157924.7285251729</c:v>
                </c:pt>
                <c:pt idx="195">
                  <c:v>4157924.7285251729</c:v>
                </c:pt>
                <c:pt idx="196">
                  <c:v>4157924.7285251729</c:v>
                </c:pt>
                <c:pt idx="197">
                  <c:v>4157924.7285251729</c:v>
                </c:pt>
                <c:pt idx="198">
                  <c:v>4157924.7285251729</c:v>
                </c:pt>
                <c:pt idx="199">
                  <c:v>4157924.7285251729</c:v>
                </c:pt>
                <c:pt idx="200">
                  <c:v>4157924.7285251729</c:v>
                </c:pt>
                <c:pt idx="201">
                  <c:v>4157924.7285251729</c:v>
                </c:pt>
                <c:pt idx="202">
                  <c:v>4157924.7285251729</c:v>
                </c:pt>
                <c:pt idx="203">
                  <c:v>4157924.7285251729</c:v>
                </c:pt>
                <c:pt idx="204">
                  <c:v>4157924.7285251729</c:v>
                </c:pt>
                <c:pt idx="205">
                  <c:v>4157924.7285251729</c:v>
                </c:pt>
                <c:pt idx="206">
                  <c:v>4157924.7285251729</c:v>
                </c:pt>
                <c:pt idx="207">
                  <c:v>4157924.7285251729</c:v>
                </c:pt>
                <c:pt idx="208">
                  <c:v>4157924.7285251729</c:v>
                </c:pt>
                <c:pt idx="209">
                  <c:v>4157924.7285251729</c:v>
                </c:pt>
                <c:pt idx="210">
                  <c:v>4157924.7285251729</c:v>
                </c:pt>
                <c:pt idx="211">
                  <c:v>4157924.7285251729</c:v>
                </c:pt>
                <c:pt idx="212">
                  <c:v>4157924.7285251729</c:v>
                </c:pt>
                <c:pt idx="213">
                  <c:v>4157924.7285251729</c:v>
                </c:pt>
                <c:pt idx="214">
                  <c:v>4157924.7285251729</c:v>
                </c:pt>
                <c:pt idx="215">
                  <c:v>4157924.7285251729</c:v>
                </c:pt>
                <c:pt idx="216">
                  <c:v>4157924.7285251729</c:v>
                </c:pt>
                <c:pt idx="217">
                  <c:v>4157924.7285251729</c:v>
                </c:pt>
                <c:pt idx="218">
                  <c:v>4157924.7285251729</c:v>
                </c:pt>
                <c:pt idx="219">
                  <c:v>4157924.7285251729</c:v>
                </c:pt>
                <c:pt idx="220">
                  <c:v>4157924.7285251729</c:v>
                </c:pt>
                <c:pt idx="221">
                  <c:v>4157924.7285251729</c:v>
                </c:pt>
                <c:pt idx="222">
                  <c:v>4157924.7285251729</c:v>
                </c:pt>
                <c:pt idx="223">
                  <c:v>4157924.7285251729</c:v>
                </c:pt>
                <c:pt idx="224">
                  <c:v>4157924.7285251729</c:v>
                </c:pt>
                <c:pt idx="225">
                  <c:v>4157924.7285251729</c:v>
                </c:pt>
                <c:pt idx="226">
                  <c:v>4157924.7285251729</c:v>
                </c:pt>
                <c:pt idx="227">
                  <c:v>4157924.7285251729</c:v>
                </c:pt>
                <c:pt idx="228">
                  <c:v>4157924.7285251729</c:v>
                </c:pt>
                <c:pt idx="229">
                  <c:v>4157924.7285251729</c:v>
                </c:pt>
                <c:pt idx="230">
                  <c:v>4157924.7285251729</c:v>
                </c:pt>
                <c:pt idx="231">
                  <c:v>4157924.7285251729</c:v>
                </c:pt>
                <c:pt idx="232">
                  <c:v>4157924.7285251729</c:v>
                </c:pt>
                <c:pt idx="233">
                  <c:v>4157924.7285251729</c:v>
                </c:pt>
                <c:pt idx="234">
                  <c:v>4157924.7285251729</c:v>
                </c:pt>
                <c:pt idx="235">
                  <c:v>4157924.7285251729</c:v>
                </c:pt>
                <c:pt idx="236">
                  <c:v>4157924.7285251729</c:v>
                </c:pt>
                <c:pt idx="237">
                  <c:v>4157924.7285251729</c:v>
                </c:pt>
                <c:pt idx="238">
                  <c:v>4157924.7285251729</c:v>
                </c:pt>
                <c:pt idx="239">
                  <c:v>4157924.7285251729</c:v>
                </c:pt>
                <c:pt idx="240">
                  <c:v>4157924.7285251729</c:v>
                </c:pt>
                <c:pt idx="241">
                  <c:v>4157924.7285251729</c:v>
                </c:pt>
                <c:pt idx="242">
                  <c:v>4157924.7285251729</c:v>
                </c:pt>
                <c:pt idx="243">
                  <c:v>4157924.7285251729</c:v>
                </c:pt>
                <c:pt idx="244">
                  <c:v>4157924.7285251729</c:v>
                </c:pt>
                <c:pt idx="245">
                  <c:v>4157924.7285251729</c:v>
                </c:pt>
                <c:pt idx="246">
                  <c:v>4157924.7285251729</c:v>
                </c:pt>
                <c:pt idx="247">
                  <c:v>4157924.7285251729</c:v>
                </c:pt>
                <c:pt idx="248">
                  <c:v>4157924.7285251729</c:v>
                </c:pt>
                <c:pt idx="249">
                  <c:v>4157924.7285251729</c:v>
                </c:pt>
                <c:pt idx="250">
                  <c:v>4157924.7285251729</c:v>
                </c:pt>
                <c:pt idx="251">
                  <c:v>4157924.7285251729</c:v>
                </c:pt>
                <c:pt idx="252">
                  <c:v>4157924.7285251729</c:v>
                </c:pt>
                <c:pt idx="253">
                  <c:v>4157924.7285251729</c:v>
                </c:pt>
                <c:pt idx="254">
                  <c:v>4157924.7285251729</c:v>
                </c:pt>
                <c:pt idx="255">
                  <c:v>4157924.7285251729</c:v>
                </c:pt>
                <c:pt idx="256">
                  <c:v>4157924.7285251729</c:v>
                </c:pt>
                <c:pt idx="257">
                  <c:v>4157924.7285251729</c:v>
                </c:pt>
                <c:pt idx="258">
                  <c:v>4157924.7285251729</c:v>
                </c:pt>
                <c:pt idx="259">
                  <c:v>4157924.7285251729</c:v>
                </c:pt>
                <c:pt idx="260">
                  <c:v>4157924.7285251729</c:v>
                </c:pt>
                <c:pt idx="261">
                  <c:v>4157924.7285251729</c:v>
                </c:pt>
                <c:pt idx="262">
                  <c:v>4157924.7285251729</c:v>
                </c:pt>
                <c:pt idx="263">
                  <c:v>4157924.7285251729</c:v>
                </c:pt>
                <c:pt idx="264">
                  <c:v>4157924.7285251729</c:v>
                </c:pt>
                <c:pt idx="265">
                  <c:v>4157924.7285251729</c:v>
                </c:pt>
                <c:pt idx="266">
                  <c:v>4157924.7285251729</c:v>
                </c:pt>
                <c:pt idx="267">
                  <c:v>4157924.7285251729</c:v>
                </c:pt>
                <c:pt idx="268">
                  <c:v>4157924.7285251729</c:v>
                </c:pt>
                <c:pt idx="269">
                  <c:v>4157924.7285251729</c:v>
                </c:pt>
                <c:pt idx="270">
                  <c:v>4157924.7285251729</c:v>
                </c:pt>
                <c:pt idx="271">
                  <c:v>4157924.7285251729</c:v>
                </c:pt>
                <c:pt idx="272">
                  <c:v>4157924.7285251729</c:v>
                </c:pt>
                <c:pt idx="273">
                  <c:v>4157924.7285251729</c:v>
                </c:pt>
                <c:pt idx="274">
                  <c:v>4157924.7285251729</c:v>
                </c:pt>
                <c:pt idx="275">
                  <c:v>4157924.7285251729</c:v>
                </c:pt>
                <c:pt idx="276">
                  <c:v>4157924.7285251729</c:v>
                </c:pt>
                <c:pt idx="277">
                  <c:v>4157924.7285251729</c:v>
                </c:pt>
                <c:pt idx="278">
                  <c:v>4157924.7285251729</c:v>
                </c:pt>
                <c:pt idx="279">
                  <c:v>4157924.7285251729</c:v>
                </c:pt>
                <c:pt idx="280">
                  <c:v>4157924.7285251729</c:v>
                </c:pt>
                <c:pt idx="281">
                  <c:v>4157924.7285251729</c:v>
                </c:pt>
                <c:pt idx="282">
                  <c:v>4157924.7285251729</c:v>
                </c:pt>
                <c:pt idx="283">
                  <c:v>4157924.7285251729</c:v>
                </c:pt>
                <c:pt idx="284">
                  <c:v>4157924.7285251729</c:v>
                </c:pt>
                <c:pt idx="285">
                  <c:v>4157924.7285251729</c:v>
                </c:pt>
                <c:pt idx="286">
                  <c:v>4157924.7285251729</c:v>
                </c:pt>
                <c:pt idx="287">
                  <c:v>4157924.7285251729</c:v>
                </c:pt>
                <c:pt idx="288">
                  <c:v>4157924.7285251729</c:v>
                </c:pt>
                <c:pt idx="289">
                  <c:v>4157924.7285251729</c:v>
                </c:pt>
                <c:pt idx="290">
                  <c:v>4157924.7285251729</c:v>
                </c:pt>
                <c:pt idx="291">
                  <c:v>4157924.7285251729</c:v>
                </c:pt>
                <c:pt idx="292">
                  <c:v>4157924.7285251729</c:v>
                </c:pt>
                <c:pt idx="293">
                  <c:v>4157924.7285251729</c:v>
                </c:pt>
                <c:pt idx="294">
                  <c:v>4157924.7285251729</c:v>
                </c:pt>
                <c:pt idx="295">
                  <c:v>4157924.7285251729</c:v>
                </c:pt>
                <c:pt idx="296">
                  <c:v>4157924.7285251729</c:v>
                </c:pt>
                <c:pt idx="297">
                  <c:v>4157924.7285251729</c:v>
                </c:pt>
                <c:pt idx="298">
                  <c:v>4157924.7285251729</c:v>
                </c:pt>
                <c:pt idx="299">
                  <c:v>4157924.7285251729</c:v>
                </c:pt>
                <c:pt idx="300">
                  <c:v>4157924.7285251729</c:v>
                </c:pt>
                <c:pt idx="301">
                  <c:v>4157924.7285251729</c:v>
                </c:pt>
                <c:pt idx="302">
                  <c:v>4157924.7285251729</c:v>
                </c:pt>
                <c:pt idx="303">
                  <c:v>4157924.7285251729</c:v>
                </c:pt>
                <c:pt idx="304">
                  <c:v>4157924.7285251729</c:v>
                </c:pt>
                <c:pt idx="305">
                  <c:v>4157924.7285251729</c:v>
                </c:pt>
                <c:pt idx="306">
                  <c:v>4157924.7285251729</c:v>
                </c:pt>
                <c:pt idx="307">
                  <c:v>4157924.7285251729</c:v>
                </c:pt>
                <c:pt idx="308">
                  <c:v>4157924.7285251729</c:v>
                </c:pt>
                <c:pt idx="309">
                  <c:v>4157924.7285251729</c:v>
                </c:pt>
                <c:pt idx="310">
                  <c:v>4157924.7285251729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12385662.271585092</c:v>
                </c:pt>
                <c:pt idx="54">
                  <c:v>12385662.271585092</c:v>
                </c:pt>
                <c:pt idx="55">
                  <c:v>12385662.271585092</c:v>
                </c:pt>
                <c:pt idx="56">
                  <c:v>12385662.271585092</c:v>
                </c:pt>
                <c:pt idx="57">
                  <c:v>12392594.039851155</c:v>
                </c:pt>
                <c:pt idx="58">
                  <c:v>12392594.039851155</c:v>
                </c:pt>
                <c:pt idx="59">
                  <c:v>12392594.039851155</c:v>
                </c:pt>
                <c:pt idx="60">
                  <c:v>12392594.039851155</c:v>
                </c:pt>
                <c:pt idx="61">
                  <c:v>12392594.039851155</c:v>
                </c:pt>
                <c:pt idx="62">
                  <c:v>12392594.039851155</c:v>
                </c:pt>
                <c:pt idx="63">
                  <c:v>12392594.039851155</c:v>
                </c:pt>
                <c:pt idx="64">
                  <c:v>12392594.039851155</c:v>
                </c:pt>
                <c:pt idx="65">
                  <c:v>12392594.039851155</c:v>
                </c:pt>
                <c:pt idx="66">
                  <c:v>12392594.039851155</c:v>
                </c:pt>
                <c:pt idx="67">
                  <c:v>12392594.039851155</c:v>
                </c:pt>
                <c:pt idx="68">
                  <c:v>12392594.039851155</c:v>
                </c:pt>
                <c:pt idx="69">
                  <c:v>12392594.039851155</c:v>
                </c:pt>
                <c:pt idx="70">
                  <c:v>12392594.039851155</c:v>
                </c:pt>
                <c:pt idx="71">
                  <c:v>12392594.039851155</c:v>
                </c:pt>
                <c:pt idx="72">
                  <c:v>12392594.039851155</c:v>
                </c:pt>
                <c:pt idx="73">
                  <c:v>12392594.039851155</c:v>
                </c:pt>
                <c:pt idx="74">
                  <c:v>12392594.039851155</c:v>
                </c:pt>
                <c:pt idx="75">
                  <c:v>12392594.039851155</c:v>
                </c:pt>
                <c:pt idx="76">
                  <c:v>12392594.039851155</c:v>
                </c:pt>
                <c:pt idx="77">
                  <c:v>12392594.039851155</c:v>
                </c:pt>
                <c:pt idx="78">
                  <c:v>12392594.039851155</c:v>
                </c:pt>
                <c:pt idx="79">
                  <c:v>12392594.039851155</c:v>
                </c:pt>
                <c:pt idx="80">
                  <c:v>12392594.039851155</c:v>
                </c:pt>
                <c:pt idx="81">
                  <c:v>12392594.039851155</c:v>
                </c:pt>
                <c:pt idx="82">
                  <c:v>12392594.039851155</c:v>
                </c:pt>
                <c:pt idx="83">
                  <c:v>12392594.039851155</c:v>
                </c:pt>
                <c:pt idx="84">
                  <c:v>12392594.039851155</c:v>
                </c:pt>
                <c:pt idx="85">
                  <c:v>12392594.039851155</c:v>
                </c:pt>
                <c:pt idx="86">
                  <c:v>12392594.039851155</c:v>
                </c:pt>
                <c:pt idx="87">
                  <c:v>12392594.039851155</c:v>
                </c:pt>
                <c:pt idx="88">
                  <c:v>12392594.039851155</c:v>
                </c:pt>
                <c:pt idx="89">
                  <c:v>12392594.039851155</c:v>
                </c:pt>
                <c:pt idx="90">
                  <c:v>12392594.039851155</c:v>
                </c:pt>
                <c:pt idx="91">
                  <c:v>12392594.039851155</c:v>
                </c:pt>
                <c:pt idx="92">
                  <c:v>12392594.039851155</c:v>
                </c:pt>
                <c:pt idx="93">
                  <c:v>12392594.039851155</c:v>
                </c:pt>
                <c:pt idx="94">
                  <c:v>12392594.039851155</c:v>
                </c:pt>
                <c:pt idx="95">
                  <c:v>12392594.039851155</c:v>
                </c:pt>
                <c:pt idx="96">
                  <c:v>12392594.039851155</c:v>
                </c:pt>
                <c:pt idx="97">
                  <c:v>12392594.039851155</c:v>
                </c:pt>
                <c:pt idx="98">
                  <c:v>12392594.039851155</c:v>
                </c:pt>
                <c:pt idx="99">
                  <c:v>12392594.039851155</c:v>
                </c:pt>
                <c:pt idx="100">
                  <c:v>12392594.039851155</c:v>
                </c:pt>
                <c:pt idx="101">
                  <c:v>12392594.039851155</c:v>
                </c:pt>
                <c:pt idx="102">
                  <c:v>12392594.039851155</c:v>
                </c:pt>
                <c:pt idx="103">
                  <c:v>12392594.039851155</c:v>
                </c:pt>
                <c:pt idx="104">
                  <c:v>12392594.039851155</c:v>
                </c:pt>
                <c:pt idx="105">
                  <c:v>12392594.039851155</c:v>
                </c:pt>
                <c:pt idx="106">
                  <c:v>12392594.039851155</c:v>
                </c:pt>
                <c:pt idx="107">
                  <c:v>12392594.039851155</c:v>
                </c:pt>
                <c:pt idx="108">
                  <c:v>12392594.039851155</c:v>
                </c:pt>
                <c:pt idx="109">
                  <c:v>12392594.039851155</c:v>
                </c:pt>
                <c:pt idx="110">
                  <c:v>12392594.039851155</c:v>
                </c:pt>
                <c:pt idx="111">
                  <c:v>12392594.039851155</c:v>
                </c:pt>
                <c:pt idx="112">
                  <c:v>12392594.039851155</c:v>
                </c:pt>
                <c:pt idx="113">
                  <c:v>12392594.039851155</c:v>
                </c:pt>
                <c:pt idx="114">
                  <c:v>12392594.039851155</c:v>
                </c:pt>
                <c:pt idx="115">
                  <c:v>12392594.039851155</c:v>
                </c:pt>
                <c:pt idx="116">
                  <c:v>12392594.039851155</c:v>
                </c:pt>
                <c:pt idx="117">
                  <c:v>12392594.039851155</c:v>
                </c:pt>
                <c:pt idx="118">
                  <c:v>12392594.039851155</c:v>
                </c:pt>
                <c:pt idx="119">
                  <c:v>12392594.039851155</c:v>
                </c:pt>
                <c:pt idx="120">
                  <c:v>12392594.039851155</c:v>
                </c:pt>
                <c:pt idx="121">
                  <c:v>12392594.039851155</c:v>
                </c:pt>
                <c:pt idx="122">
                  <c:v>12392594.039851155</c:v>
                </c:pt>
                <c:pt idx="123">
                  <c:v>12392594.039851155</c:v>
                </c:pt>
                <c:pt idx="124">
                  <c:v>12392594.039851155</c:v>
                </c:pt>
                <c:pt idx="125">
                  <c:v>12392594.039851155</c:v>
                </c:pt>
                <c:pt idx="126">
                  <c:v>12392594.039851155</c:v>
                </c:pt>
                <c:pt idx="127">
                  <c:v>12392594.039851155</c:v>
                </c:pt>
                <c:pt idx="128">
                  <c:v>12392594.039851155</c:v>
                </c:pt>
                <c:pt idx="129">
                  <c:v>12392594.039851155</c:v>
                </c:pt>
                <c:pt idx="130">
                  <c:v>12392594.039851155</c:v>
                </c:pt>
                <c:pt idx="131">
                  <c:v>12392594.039851155</c:v>
                </c:pt>
                <c:pt idx="132">
                  <c:v>12392594.039851155</c:v>
                </c:pt>
                <c:pt idx="133">
                  <c:v>12392594.039851155</c:v>
                </c:pt>
                <c:pt idx="134">
                  <c:v>12392594.039851155</c:v>
                </c:pt>
                <c:pt idx="135">
                  <c:v>12392594.039851155</c:v>
                </c:pt>
                <c:pt idx="136">
                  <c:v>12392594.039851155</c:v>
                </c:pt>
                <c:pt idx="137">
                  <c:v>12392594.039851155</c:v>
                </c:pt>
                <c:pt idx="138">
                  <c:v>12392594.039851155</c:v>
                </c:pt>
                <c:pt idx="139">
                  <c:v>12392594.039851155</c:v>
                </c:pt>
                <c:pt idx="140">
                  <c:v>12392594.039851155</c:v>
                </c:pt>
                <c:pt idx="141">
                  <c:v>12392594.039851155</c:v>
                </c:pt>
                <c:pt idx="142">
                  <c:v>12392594.039851155</c:v>
                </c:pt>
                <c:pt idx="143">
                  <c:v>12392594.039851155</c:v>
                </c:pt>
                <c:pt idx="144">
                  <c:v>12392594.039851155</c:v>
                </c:pt>
                <c:pt idx="145">
                  <c:v>12392594.039851155</c:v>
                </c:pt>
                <c:pt idx="146">
                  <c:v>12392594.039851155</c:v>
                </c:pt>
                <c:pt idx="147">
                  <c:v>12392594.039851155</c:v>
                </c:pt>
                <c:pt idx="148">
                  <c:v>12392594.039851155</c:v>
                </c:pt>
                <c:pt idx="149">
                  <c:v>12392594.039851155</c:v>
                </c:pt>
                <c:pt idx="150">
                  <c:v>12392594.039851155</c:v>
                </c:pt>
                <c:pt idx="151">
                  <c:v>12392594.039851155</c:v>
                </c:pt>
                <c:pt idx="152">
                  <c:v>12392594.039851155</c:v>
                </c:pt>
                <c:pt idx="153">
                  <c:v>12392594.039851155</c:v>
                </c:pt>
                <c:pt idx="154">
                  <c:v>12392594.039851155</c:v>
                </c:pt>
                <c:pt idx="155">
                  <c:v>12392594.039851155</c:v>
                </c:pt>
                <c:pt idx="156">
                  <c:v>12392594.039851155</c:v>
                </c:pt>
                <c:pt idx="157">
                  <c:v>12392594.039851155</c:v>
                </c:pt>
                <c:pt idx="158">
                  <c:v>12392594.039851155</c:v>
                </c:pt>
                <c:pt idx="159">
                  <c:v>12392594.039851155</c:v>
                </c:pt>
                <c:pt idx="160">
                  <c:v>12392594.039851155</c:v>
                </c:pt>
                <c:pt idx="161">
                  <c:v>12392594.039851155</c:v>
                </c:pt>
                <c:pt idx="162">
                  <c:v>12392594.039851155</c:v>
                </c:pt>
                <c:pt idx="163">
                  <c:v>12392594.039851155</c:v>
                </c:pt>
                <c:pt idx="164">
                  <c:v>12392594.039851155</c:v>
                </c:pt>
                <c:pt idx="165">
                  <c:v>12392594.039851155</c:v>
                </c:pt>
                <c:pt idx="166">
                  <c:v>12392594.039851155</c:v>
                </c:pt>
                <c:pt idx="167">
                  <c:v>12392594.039851155</c:v>
                </c:pt>
                <c:pt idx="168">
                  <c:v>12392594.039851155</c:v>
                </c:pt>
                <c:pt idx="169">
                  <c:v>12392594.039851155</c:v>
                </c:pt>
                <c:pt idx="170">
                  <c:v>12392594.039851155</c:v>
                </c:pt>
                <c:pt idx="171">
                  <c:v>12392594.039851155</c:v>
                </c:pt>
                <c:pt idx="172">
                  <c:v>12392594.039851155</c:v>
                </c:pt>
                <c:pt idx="173">
                  <c:v>12392594.039851155</c:v>
                </c:pt>
                <c:pt idx="174">
                  <c:v>12392594.039851155</c:v>
                </c:pt>
                <c:pt idx="175">
                  <c:v>12392594.039851155</c:v>
                </c:pt>
                <c:pt idx="176">
                  <c:v>12392594.039851155</c:v>
                </c:pt>
                <c:pt idx="177">
                  <c:v>12392594.039851155</c:v>
                </c:pt>
                <c:pt idx="178">
                  <c:v>12392594.039851155</c:v>
                </c:pt>
                <c:pt idx="179">
                  <c:v>12392594.039851155</c:v>
                </c:pt>
                <c:pt idx="180">
                  <c:v>12392594.039851155</c:v>
                </c:pt>
                <c:pt idx="181">
                  <c:v>12392594.039851155</c:v>
                </c:pt>
                <c:pt idx="182">
                  <c:v>12392594.039851155</c:v>
                </c:pt>
                <c:pt idx="183">
                  <c:v>12392594.039851155</c:v>
                </c:pt>
                <c:pt idx="184">
                  <c:v>12392594.039851155</c:v>
                </c:pt>
                <c:pt idx="185">
                  <c:v>12392594.039851155</c:v>
                </c:pt>
                <c:pt idx="186">
                  <c:v>12392594.039851155</c:v>
                </c:pt>
                <c:pt idx="187">
                  <c:v>12392594.039851155</c:v>
                </c:pt>
                <c:pt idx="188">
                  <c:v>12392594.039851155</c:v>
                </c:pt>
                <c:pt idx="189">
                  <c:v>12392594.039851155</c:v>
                </c:pt>
                <c:pt idx="190">
                  <c:v>12392594.039851155</c:v>
                </c:pt>
                <c:pt idx="191">
                  <c:v>12392594.039851155</c:v>
                </c:pt>
                <c:pt idx="192">
                  <c:v>12392594.039851155</c:v>
                </c:pt>
                <c:pt idx="193">
                  <c:v>12392594.039851155</c:v>
                </c:pt>
                <c:pt idx="194">
                  <c:v>12392594.039851155</c:v>
                </c:pt>
                <c:pt idx="195">
                  <c:v>12392594.039851155</c:v>
                </c:pt>
                <c:pt idx="196">
                  <c:v>12392594.039851155</c:v>
                </c:pt>
                <c:pt idx="197">
                  <c:v>12392594.039851155</c:v>
                </c:pt>
                <c:pt idx="198">
                  <c:v>12392594.039851155</c:v>
                </c:pt>
                <c:pt idx="199">
                  <c:v>12392594.039851155</c:v>
                </c:pt>
                <c:pt idx="200">
                  <c:v>12392594.039851155</c:v>
                </c:pt>
                <c:pt idx="201">
                  <c:v>12392594.039851155</c:v>
                </c:pt>
                <c:pt idx="202">
                  <c:v>12392594.039851155</c:v>
                </c:pt>
                <c:pt idx="203">
                  <c:v>12392594.039851155</c:v>
                </c:pt>
                <c:pt idx="204">
                  <c:v>12392594.039851155</c:v>
                </c:pt>
                <c:pt idx="205">
                  <c:v>12392594.039851155</c:v>
                </c:pt>
                <c:pt idx="206">
                  <c:v>12392594.039851155</c:v>
                </c:pt>
                <c:pt idx="207">
                  <c:v>12392594.039851155</c:v>
                </c:pt>
                <c:pt idx="208">
                  <c:v>12392594.039851155</c:v>
                </c:pt>
                <c:pt idx="209">
                  <c:v>12392594.039851155</c:v>
                </c:pt>
                <c:pt idx="210">
                  <c:v>12392594.039851155</c:v>
                </c:pt>
                <c:pt idx="211">
                  <c:v>12392594.039851155</c:v>
                </c:pt>
                <c:pt idx="212">
                  <c:v>12392594.039851155</c:v>
                </c:pt>
                <c:pt idx="213">
                  <c:v>12392594.039851155</c:v>
                </c:pt>
                <c:pt idx="214">
                  <c:v>12392594.039851155</c:v>
                </c:pt>
                <c:pt idx="215">
                  <c:v>12392594.039851155</c:v>
                </c:pt>
                <c:pt idx="216">
                  <c:v>12392594.039851155</c:v>
                </c:pt>
                <c:pt idx="217">
                  <c:v>12392594.039851155</c:v>
                </c:pt>
                <c:pt idx="218">
                  <c:v>12392594.039851155</c:v>
                </c:pt>
                <c:pt idx="219">
                  <c:v>12392594.039851155</c:v>
                </c:pt>
                <c:pt idx="220">
                  <c:v>12392594.039851155</c:v>
                </c:pt>
                <c:pt idx="221">
                  <c:v>12392594.039851155</c:v>
                </c:pt>
                <c:pt idx="222">
                  <c:v>12392594.039851155</c:v>
                </c:pt>
                <c:pt idx="223">
                  <c:v>12392594.039851155</c:v>
                </c:pt>
                <c:pt idx="224">
                  <c:v>12392594.039851155</c:v>
                </c:pt>
                <c:pt idx="225">
                  <c:v>12392594.039851155</c:v>
                </c:pt>
                <c:pt idx="226">
                  <c:v>12392594.039851155</c:v>
                </c:pt>
                <c:pt idx="227">
                  <c:v>12392594.039851155</c:v>
                </c:pt>
                <c:pt idx="228">
                  <c:v>12392594.039851155</c:v>
                </c:pt>
                <c:pt idx="229">
                  <c:v>12392594.039851155</c:v>
                </c:pt>
                <c:pt idx="230">
                  <c:v>12392594.039851155</c:v>
                </c:pt>
                <c:pt idx="231">
                  <c:v>12392594.039851155</c:v>
                </c:pt>
                <c:pt idx="232">
                  <c:v>12392594.039851155</c:v>
                </c:pt>
                <c:pt idx="233">
                  <c:v>12392594.039851155</c:v>
                </c:pt>
                <c:pt idx="234">
                  <c:v>12392594.039851155</c:v>
                </c:pt>
                <c:pt idx="235">
                  <c:v>12392594.039851155</c:v>
                </c:pt>
                <c:pt idx="236">
                  <c:v>12392594.039851155</c:v>
                </c:pt>
                <c:pt idx="237">
                  <c:v>12392594.039851155</c:v>
                </c:pt>
                <c:pt idx="238">
                  <c:v>12392594.039851155</c:v>
                </c:pt>
                <c:pt idx="239">
                  <c:v>12392594.039851155</c:v>
                </c:pt>
                <c:pt idx="240">
                  <c:v>12392594.039851155</c:v>
                </c:pt>
                <c:pt idx="241">
                  <c:v>12392594.039851155</c:v>
                </c:pt>
                <c:pt idx="242">
                  <c:v>12392594.039851155</c:v>
                </c:pt>
                <c:pt idx="243">
                  <c:v>12392594.039851155</c:v>
                </c:pt>
                <c:pt idx="244">
                  <c:v>12392594.039851155</c:v>
                </c:pt>
                <c:pt idx="245">
                  <c:v>12392594.039851155</c:v>
                </c:pt>
                <c:pt idx="246">
                  <c:v>12392594.039851155</c:v>
                </c:pt>
                <c:pt idx="247">
                  <c:v>12392594.039851155</c:v>
                </c:pt>
                <c:pt idx="248">
                  <c:v>12392594.039851155</c:v>
                </c:pt>
                <c:pt idx="249">
                  <c:v>12392594.039851155</c:v>
                </c:pt>
                <c:pt idx="250">
                  <c:v>12392594.039851155</c:v>
                </c:pt>
                <c:pt idx="251">
                  <c:v>12392594.039851155</c:v>
                </c:pt>
                <c:pt idx="252">
                  <c:v>12392594.039851155</c:v>
                </c:pt>
                <c:pt idx="253">
                  <c:v>12392594.039851155</c:v>
                </c:pt>
                <c:pt idx="254">
                  <c:v>12392594.039851155</c:v>
                </c:pt>
                <c:pt idx="255">
                  <c:v>12392594.039851155</c:v>
                </c:pt>
                <c:pt idx="256">
                  <c:v>12392594.039851155</c:v>
                </c:pt>
                <c:pt idx="257">
                  <c:v>12392594.039851155</c:v>
                </c:pt>
                <c:pt idx="258">
                  <c:v>12392594.039851155</c:v>
                </c:pt>
                <c:pt idx="259">
                  <c:v>12392594.039851155</c:v>
                </c:pt>
                <c:pt idx="260">
                  <c:v>12392594.039851155</c:v>
                </c:pt>
                <c:pt idx="261">
                  <c:v>12392594.039851155</c:v>
                </c:pt>
                <c:pt idx="262">
                  <c:v>12392594.039851155</c:v>
                </c:pt>
                <c:pt idx="263">
                  <c:v>12392594.039851155</c:v>
                </c:pt>
                <c:pt idx="264">
                  <c:v>12392594.039851155</c:v>
                </c:pt>
                <c:pt idx="265">
                  <c:v>12392594.039851155</c:v>
                </c:pt>
                <c:pt idx="266">
                  <c:v>12392594.039851155</c:v>
                </c:pt>
                <c:pt idx="267">
                  <c:v>12392594.039851155</c:v>
                </c:pt>
                <c:pt idx="268">
                  <c:v>12392594.039851155</c:v>
                </c:pt>
                <c:pt idx="269">
                  <c:v>12392594.039851155</c:v>
                </c:pt>
                <c:pt idx="270">
                  <c:v>12392594.039851155</c:v>
                </c:pt>
                <c:pt idx="271">
                  <c:v>12392594.039851155</c:v>
                </c:pt>
                <c:pt idx="272">
                  <c:v>12392594.039851155</c:v>
                </c:pt>
                <c:pt idx="273">
                  <c:v>12392594.039851155</c:v>
                </c:pt>
                <c:pt idx="274">
                  <c:v>12392594.039851155</c:v>
                </c:pt>
                <c:pt idx="275">
                  <c:v>12392594.039851155</c:v>
                </c:pt>
                <c:pt idx="276">
                  <c:v>12392594.039851155</c:v>
                </c:pt>
                <c:pt idx="277">
                  <c:v>12392594.039851155</c:v>
                </c:pt>
                <c:pt idx="278">
                  <c:v>12392594.039851155</c:v>
                </c:pt>
                <c:pt idx="279">
                  <c:v>12392594.039851155</c:v>
                </c:pt>
                <c:pt idx="280">
                  <c:v>12392594.039851155</c:v>
                </c:pt>
                <c:pt idx="281">
                  <c:v>12392594.039851155</c:v>
                </c:pt>
                <c:pt idx="282">
                  <c:v>12392594.039851155</c:v>
                </c:pt>
                <c:pt idx="283">
                  <c:v>12392594.039851155</c:v>
                </c:pt>
                <c:pt idx="284">
                  <c:v>12392594.039851155</c:v>
                </c:pt>
                <c:pt idx="285">
                  <c:v>12392594.039851155</c:v>
                </c:pt>
                <c:pt idx="286">
                  <c:v>12392594.039851155</c:v>
                </c:pt>
                <c:pt idx="287">
                  <c:v>12392594.039851155</c:v>
                </c:pt>
                <c:pt idx="288">
                  <c:v>12392594.039851155</c:v>
                </c:pt>
                <c:pt idx="289">
                  <c:v>12392594.039851155</c:v>
                </c:pt>
                <c:pt idx="290">
                  <c:v>12392594.039851155</c:v>
                </c:pt>
                <c:pt idx="291">
                  <c:v>12392594.039851155</c:v>
                </c:pt>
                <c:pt idx="292">
                  <c:v>12392594.039851155</c:v>
                </c:pt>
                <c:pt idx="293">
                  <c:v>12392594.039851155</c:v>
                </c:pt>
                <c:pt idx="294">
                  <c:v>12392594.039851155</c:v>
                </c:pt>
                <c:pt idx="295">
                  <c:v>12392594.039851155</c:v>
                </c:pt>
                <c:pt idx="296">
                  <c:v>12392594.039851155</c:v>
                </c:pt>
                <c:pt idx="297">
                  <c:v>12392594.039851155</c:v>
                </c:pt>
                <c:pt idx="298">
                  <c:v>12392594.039851155</c:v>
                </c:pt>
                <c:pt idx="299">
                  <c:v>12392594.039851155</c:v>
                </c:pt>
                <c:pt idx="300">
                  <c:v>12392594.039851155</c:v>
                </c:pt>
                <c:pt idx="301">
                  <c:v>12392594.039851155</c:v>
                </c:pt>
                <c:pt idx="302">
                  <c:v>12392594.039851155</c:v>
                </c:pt>
                <c:pt idx="303">
                  <c:v>12392594.039851155</c:v>
                </c:pt>
                <c:pt idx="304">
                  <c:v>12392594.039851155</c:v>
                </c:pt>
                <c:pt idx="305">
                  <c:v>12392594.039851155</c:v>
                </c:pt>
                <c:pt idx="306">
                  <c:v>12392594.039851155</c:v>
                </c:pt>
                <c:pt idx="307">
                  <c:v>12392594.039851155</c:v>
                </c:pt>
                <c:pt idx="308">
                  <c:v>12392594.039851155</c:v>
                </c:pt>
                <c:pt idx="309">
                  <c:v>12392594.039851155</c:v>
                </c:pt>
                <c:pt idx="310">
                  <c:v>12392594.039851155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36743518517" createdVersion="8" refreshedVersion="8" minRefreshableVersion="3" recordCount="213" xr:uid="{D37A5069-1A2D-4864-A726-735BFBE61275}">
  <cacheSource type="worksheet">
    <worksheetSource ref="L4:X217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9">
        <m/>
        <d v="2025-06-30T00:00:00"/>
        <s v=""/>
        <d v="2025-11-30T00:00:00"/>
        <d v="2026-01-31T00:00:00"/>
        <d v="2025-10-31T00:00:00"/>
        <d v="2025-12-31T00:00:00"/>
        <d v="2025-07-31T00:00:00"/>
        <d v="2025-08-31T00:00:00"/>
        <d v="2025-09-30T00:00:00"/>
        <d v="2026-02-28T00:00:00"/>
        <s v="31/01/2026" u="1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42222.164261083119"/>
    </cacheField>
    <cacheField name="FINANCE PAYMENT DATE" numFmtId="0">
      <sharedItems containsDate="1" containsBlank="1" containsMixedTypes="1" minDate="2025-06-27T00:00:00" maxDate="2026-03-06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42222.164261083119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s v="Reduction in Size"/>
    <m/>
    <m/>
    <m/>
    <m/>
    <m/>
    <x v="4"/>
    <n v="-42222.16426108306"/>
    <m/>
    <d v="2026-01-31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643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5"/>
    <n v="0"/>
    <m/>
    <d v="2025-11-28T00:00:00"/>
    <m/>
  </r>
  <r>
    <n v="2"/>
    <x v="2"/>
    <s v="Sungrow SG125CX - RMA"/>
    <m/>
    <m/>
    <n v="-69140"/>
    <s v="RMA"/>
    <s v="Herholdts - CN130769"/>
    <x v="4"/>
    <n v="0"/>
    <m/>
    <d v="2026-01-31T00:00:00"/>
    <m/>
  </r>
  <r>
    <n v="2"/>
    <x v="2"/>
    <s v="courier of RMA"/>
    <m/>
    <m/>
    <n v="1646.04"/>
    <m/>
    <s v="DSV Inv: 180155155"/>
    <x v="3"/>
    <n v="0"/>
    <m/>
    <d v="2025-12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s v="Allocated to 7th Avenue"/>
    <x v="4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5"/>
    <n v="-0.02"/>
    <m/>
    <d v="2025-11-13T00:00:00"/>
    <m/>
  </r>
  <r>
    <n v="3"/>
    <x v="3"/>
    <s v="Delivery of Clamps"/>
    <m/>
    <m/>
    <n v="205"/>
    <m/>
    <s v="Uber Deilvery"/>
    <x v="5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5"/>
    <n v="0"/>
    <m/>
    <d v="2025-10-31T00:00:00"/>
    <m/>
  </r>
  <r>
    <n v="4"/>
    <x v="4"/>
    <s v="DC Cable - Red"/>
    <n v="-7000"/>
    <n v="13.5"/>
    <n v="-94500"/>
    <m/>
    <s v="Allocated to Stock"/>
    <x v="5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0056.2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5"/>
    <n v="3098.8520637391098"/>
    <m/>
    <d v="2025-11-13T00:00:00"/>
    <m/>
  </r>
  <r>
    <n v="5"/>
    <x v="5"/>
    <s v="Delivery of Techsitter"/>
    <m/>
    <m/>
    <n v="206.91"/>
    <m/>
    <s v="DSV Inv: 180150385"/>
    <x v="5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5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5"/>
    <n v="6376.4951883781287"/>
    <m/>
    <d v="2025-10-31T00:00:00"/>
    <m/>
  </r>
  <r>
    <n v="5"/>
    <x v="5"/>
    <m/>
    <m/>
    <m/>
    <n v="28219.32"/>
    <m/>
    <s v="WM Cabling - INV0001211"/>
    <x v="5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8 Port Switch"/>
    <m/>
    <m/>
    <n v="1767.5"/>
    <s v="PO4360-RR-20251014 - RV Approved"/>
    <s v="Accuenergy: ASAI-006611"/>
    <x v="5"/>
    <n v="490.39493443091385"/>
    <m/>
    <d v="2025-11-30T00:00:00"/>
    <m/>
  </r>
  <r>
    <n v="5"/>
    <x v="5"/>
    <s v="8 Port Switch"/>
    <m/>
    <m/>
    <n v="-1767.5"/>
    <m/>
    <s v="Allocated to riverside Mall"/>
    <x v="4"/>
    <n v="0"/>
    <m/>
    <d v="2026-01-31T00:00:00"/>
    <m/>
  </r>
  <r>
    <n v="5"/>
    <x v="5"/>
    <s v="Second Tie In UPS"/>
    <m/>
    <m/>
    <n v="2250.5"/>
    <s v="PO4367-RR-20251014 - RV Approved"/>
    <s v="Frontline INV746387"/>
    <x v="5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5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2-28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 - VO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n v="4"/>
    <m/>
    <n v="20597.8"/>
    <m/>
    <s v="Switchboard - 2-SOI002560"/>
    <x v="5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10"/>
    <m/>
    <m/>
    <d v="2026-02-19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 - VO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10"/>
    <n v="0"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5"/>
    <n v="189849.53326426126"/>
    <m/>
    <d v="2025-10-16T00:00:00"/>
    <m/>
  </r>
  <r>
    <n v="9"/>
    <x v="9"/>
    <s v="Commissioning Complete"/>
    <m/>
    <n v="0.1"/>
    <n v="90081.781000000017"/>
    <m/>
    <s v="JA Electrical Inv 1083"/>
    <x v="5"/>
    <n v="78336.673305704506"/>
    <m/>
    <d v="2025-11-28T00:00:00"/>
    <m/>
  </r>
  <r>
    <n v="9"/>
    <x v="9"/>
    <s v="Site De-establisment"/>
    <m/>
    <n v="0.1"/>
    <n v="90081.781000000017"/>
    <m/>
    <s v="JA Electrical Inv 1083"/>
    <x v="5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5"/>
    <n v="39168.336652852253"/>
    <m/>
    <d v="2025-12-05T00:00:00"/>
    <m/>
  </r>
  <r>
    <n v="9"/>
    <x v="9"/>
    <s v="End of Defects Period"/>
    <m/>
    <n v="0.05"/>
    <n v="45040.890500000009"/>
    <m/>
    <s v="JA Electrical Inv 1083"/>
    <x v="5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5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5"/>
    <n v="2253.8503641809048"/>
    <m/>
    <d v="2025-10-16T00:00:00"/>
    <m/>
  </r>
  <r>
    <n v="10"/>
    <x v="10"/>
    <s v="Commissioning Complete"/>
    <m/>
    <n v="0.1"/>
    <n v="20754.48"/>
    <m/>
    <s v="JA Electrical Inv 1083"/>
    <x v="5"/>
    <n v="901.54014567236186"/>
    <m/>
    <d v="2025-11-28T00:00:00"/>
    <m/>
  </r>
  <r>
    <n v="10"/>
    <x v="10"/>
    <s v="Site De-establisment"/>
    <m/>
    <n v="0.1"/>
    <n v="20754.48"/>
    <m/>
    <s v="JA Electrical Inv 1083"/>
    <x v="5"/>
    <n v="901.54014567236186"/>
    <m/>
    <d v="2025-12-05T00:00:00"/>
    <m/>
  </r>
  <r>
    <n v="10"/>
    <x v="10"/>
    <s v="Handover Document Complete"/>
    <m/>
    <n v="0.05"/>
    <n v="10377.24"/>
    <m/>
    <s v="JA Electrical Inv 1083"/>
    <x v="5"/>
    <n v="450.77007283618093"/>
    <m/>
    <d v="2025-12-05T00:00:00"/>
    <m/>
  </r>
  <r>
    <n v="10"/>
    <x v="10"/>
    <s v="End of Defects Period"/>
    <m/>
    <n v="0.05"/>
    <n v="10377.24"/>
    <m/>
    <s v="JA Electrical Inv 1083"/>
    <x v="5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5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29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0814647032239009E-3"/>
    <d v="2025-07-04T00:00:00"/>
    <n v="8514.52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5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637.84"/>
    <m/>
    <s v="Expense Claim"/>
    <x v="4"/>
    <n v="1001.6327957313051"/>
    <m/>
    <d v="2026-02-05T00:00:00"/>
    <m/>
  </r>
  <r>
    <n v="14"/>
    <x v="14"/>
    <m/>
    <m/>
    <m/>
    <n v="650"/>
    <m/>
    <m/>
    <x v="10"/>
    <n v="6931.7682660625678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 - VO"/>
    <m/>
    <m/>
    <n v="60591.17"/>
    <s v="PO4513-RR-20251202 - RV Approved"/>
    <m/>
    <x v="10"/>
    <m/>
    <n v="0"/>
    <d v="2026-02-19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5"/>
    <m/>
    <m/>
    <d v="2025-11-28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 - VO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4"/>
    <n v="70757.8"/>
    <m/>
    <d v="2026-01-15T00:00:00"/>
    <m/>
  </r>
  <r>
    <n v="15"/>
    <x v="15"/>
    <s v="Installation of Meter"/>
    <m/>
    <m/>
    <n v="9520"/>
    <s v="PO4532-RR-20251209 - RV Approved"/>
    <s v="HappySolar - INV-0351"/>
    <x v="4"/>
    <m/>
    <m/>
    <s v="2026/01(29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Actual Total " fld="5" baseField="0" baseItem="0" numFmtId="165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6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21875" style="65" bestFit="1" customWidth="1"/>
    <col min="3" max="3" width="19" style="24" customWidth="1"/>
    <col min="4" max="4" width="13.44140625" style="70" customWidth="1"/>
    <col min="5" max="5" width="17.2187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21875" style="24" customWidth="1"/>
    <col min="10" max="10" width="47.2187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18" t="s">
        <v>57</v>
      </c>
      <c r="E47" s="818"/>
      <c r="F47" s="819"/>
      <c r="G47" s="67"/>
      <c r="I47" s="68"/>
      <c r="J47" s="68"/>
    </row>
    <row r="48" spans="1:49" ht="14.4" thickBot="1">
      <c r="C48" s="69">
        <v>44014</v>
      </c>
      <c r="D48" s="820"/>
      <c r="E48" s="820"/>
      <c r="F48" s="8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21875" customWidth="1"/>
    <col min="6" max="6" width="33.44140625" customWidth="1"/>
  </cols>
  <sheetData>
    <row r="1" spans="2:10" ht="15" thickBot="1"/>
    <row r="2" spans="2:10" ht="15.6" thickTop="1" thickBot="1">
      <c r="B2" s="822" t="s">
        <v>58</v>
      </c>
      <c r="C2" s="823"/>
      <c r="D2" s="823"/>
      <c r="E2" s="823"/>
      <c r="F2" s="82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22" t="s">
        <v>69</v>
      </c>
      <c r="C16" s="823"/>
      <c r="D16" s="823"/>
      <c r="E16" s="823"/>
      <c r="F16" s="82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F37" sqref="F37"/>
    </sheetView>
  </sheetViews>
  <sheetFormatPr defaultColWidth="8.2187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5.5546875" style="129" bestFit="1" customWidth="1"/>
    <col min="7" max="7" width="12.5546875" style="129" bestFit="1" customWidth="1"/>
    <col min="8" max="8" width="15.21875" style="129" customWidth="1"/>
    <col min="9" max="9" width="1.44140625" style="129" customWidth="1"/>
    <col min="10" max="10" width="3.21875" style="93" customWidth="1"/>
    <col min="11" max="11" width="1.44140625" style="174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21875" style="93" customWidth="1"/>
    <col min="16" max="16" width="20" style="129" customWidth="1"/>
    <col min="17" max="17" width="14.77734375" style="129" bestFit="1" customWidth="1"/>
    <col min="18" max="18" width="19.5546875" style="129" customWidth="1"/>
    <col min="19" max="19" width="16" style="129" customWidth="1"/>
    <col min="20" max="20" width="18" style="129" bestFit="1" customWidth="1"/>
    <col min="21" max="21" width="15.21875" style="93" bestFit="1" customWidth="1"/>
    <col min="22" max="23" width="8.21875" style="93"/>
    <col min="24" max="24" width="5.5546875" style="93" bestFit="1" customWidth="1"/>
    <col min="25" max="25" width="14.44140625" style="93" bestFit="1" customWidth="1"/>
    <col min="26" max="26" width="8.21875" style="93"/>
    <col min="27" max="27" width="14.44140625" style="93" bestFit="1" customWidth="1"/>
    <col min="28" max="28" width="8.21875" style="129"/>
    <col min="29" max="29" width="12.5546875" style="129" bestFit="1" customWidth="1"/>
    <col min="30" max="16384" width="8.2187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.2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.2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1203406.5042778139</v>
      </c>
      <c r="S4" s="718">
        <f>SUMIFS('Expenditure Breakdown'!$Q:$Q,
        'Expenditure Breakdown'!$T:$T, "&gt;"&amp;DATE(2025,8,31),
        'Expenditure Breakdown'!$T:$T, "&lt;="&amp;DATE(2026,8,31))</f>
        <v>1273261.3914130437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1238696.9002728346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1226321.6414130437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8234669.3139130436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4157924.7285251748</v>
      </c>
      <c r="G6" s="720">
        <f>D6*0.05</f>
        <v>97385.9296357899</v>
      </c>
      <c r="H6" s="116">
        <f>SUMIF('Expenditure Breakdown'!N:N,"*VO*",'Expenditure Breakdown'!Q:Q)</f>
        <v>183011.86391304349</v>
      </c>
      <c r="J6" s="140"/>
      <c r="L6" s="373"/>
      <c r="N6" s="373" t="s">
        <v>90</v>
      </c>
      <c r="S6" s="140"/>
    </row>
    <row r="7" spans="1:21" s="93" customFormat="1" ht="13.8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0.33551689939059048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.2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26.4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.2">
      <c r="B13" s="351">
        <v>1</v>
      </c>
      <c r="C13" s="827" t="s">
        <v>102</v>
      </c>
      <c r="D13" s="828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3.2">
      <c r="B14" s="153">
        <v>2</v>
      </c>
      <c r="C14" s="827" t="s">
        <v>104</v>
      </c>
      <c r="D14" s="828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3.2">
      <c r="B15" s="351">
        <v>3</v>
      </c>
      <c r="C15" s="827" t="s">
        <v>106</v>
      </c>
      <c r="D15" s="828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3.2">
      <c r="B16" s="351">
        <v>4</v>
      </c>
      <c r="C16" s="825" t="s">
        <v>107</v>
      </c>
      <c r="D16" s="826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3.2">
      <c r="B17" s="351">
        <v>5</v>
      </c>
      <c r="C17" s="825" t="s">
        <v>54</v>
      </c>
      <c r="D17" s="826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3.2">
      <c r="B18" s="351">
        <v>6</v>
      </c>
      <c r="C18" s="825" t="s">
        <v>110</v>
      </c>
      <c r="D18" s="826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3.2">
      <c r="B19" s="351">
        <v>7</v>
      </c>
      <c r="C19" s="827" t="s">
        <v>111</v>
      </c>
      <c r="D19" s="828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.2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3.2">
      <c r="C24" s="146" t="s">
        <v>114</v>
      </c>
      <c r="D24" s="147"/>
      <c r="F24" s="148"/>
    </row>
    <row r="25" spans="2:19" s="93" customFormat="1" ht="13.2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3.2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3.2">
      <c r="C27" s="151" t="s">
        <v>119</v>
      </c>
      <c r="D27" s="147"/>
      <c r="N27" s="93">
        <f>N25-N26</f>
        <v>12880</v>
      </c>
    </row>
    <row r="28" spans="2:19" s="93" customFormat="1" ht="13.2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3.2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3.2">
      <c r="B31" s="117"/>
      <c r="F31" s="145"/>
    </row>
    <row r="32" spans="2:19" s="93" customFormat="1" ht="13.2">
      <c r="B32" s="117"/>
      <c r="F32" s="145"/>
      <c r="R32" s="116"/>
    </row>
    <row r="33" spans="2:16" s="93" customFormat="1" ht="13.2">
      <c r="B33" s="117"/>
      <c r="F33" s="145"/>
    </row>
    <row r="34" spans="2:16" s="93" customFormat="1" ht="13.2">
      <c r="B34" s="117"/>
      <c r="F34" s="145"/>
    </row>
    <row r="35" spans="2:16" s="93" customFormat="1" ht="13.2">
      <c r="B35" s="117"/>
    </row>
    <row r="36" spans="2:16" s="93" customFormat="1" ht="13.2">
      <c r="B36" s="117"/>
      <c r="P36" s="720"/>
    </row>
    <row r="37" spans="2:16" s="93" customFormat="1" ht="13.2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3.2">
      <c r="B49" s="117"/>
    </row>
    <row r="50" spans="2:6" s="93" customFormat="1" ht="13.2">
      <c r="B50" s="117"/>
      <c r="F50" s="756"/>
    </row>
    <row r="51" spans="2:6" s="93" customFormat="1" ht="13.2">
      <c r="B51" s="117"/>
    </row>
    <row r="52" spans="2:6" s="93" customFormat="1" ht="13.2">
      <c r="B52" s="117"/>
    </row>
    <row r="53" spans="2:6" s="93" customFormat="1" ht="13.2">
      <c r="B53" s="117"/>
    </row>
    <row r="54" spans="2:6" s="93" customFormat="1" ht="13.2">
      <c r="B54" s="117"/>
    </row>
    <row r="55" spans="2:6" s="93" customFormat="1" ht="13.2">
      <c r="B55" s="117"/>
    </row>
    <row r="56" spans="2:6" s="93" customFormat="1" ht="13.2">
      <c r="B56" s="117"/>
    </row>
    <row r="57" spans="2:6" s="93" customFormat="1" ht="13.2">
      <c r="B57" s="117"/>
    </row>
    <row r="58" spans="2:6" s="93" customFormat="1" ht="13.2">
      <c r="B58" s="117"/>
    </row>
    <row r="59" spans="2:6" s="93" customFormat="1" ht="13.2">
      <c r="B59" s="117"/>
    </row>
    <row r="60" spans="2:6" s="93" customFormat="1" ht="13.2">
      <c r="B60" s="117"/>
    </row>
    <row r="61" spans="2:6" s="93" customFormat="1" ht="13.2">
      <c r="B61" s="117"/>
    </row>
    <row r="62" spans="2:6" s="93" customFormat="1" ht="13.2">
      <c r="B62" s="117"/>
    </row>
    <row r="63" spans="2:6" s="93" customFormat="1" ht="13.2">
      <c r="B63" s="117"/>
    </row>
    <row r="64" spans="2:6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opLeftCell="A49" zoomScaleNormal="100" workbookViewId="0">
      <selection activeCell="M82" sqref="M82"/>
    </sheetView>
  </sheetViews>
  <sheetFormatPr defaultColWidth="8.21875" defaultRowHeight="13.8"/>
  <cols>
    <col min="1" max="1" width="1.21875" style="112" customWidth="1"/>
    <col min="2" max="2" width="6.44140625" style="170" bestFit="1" customWidth="1"/>
    <col min="3" max="3" width="46" style="24" customWidth="1"/>
    <col min="4" max="4" width="3.21875" style="112" customWidth="1"/>
    <col min="5" max="5" width="14.77734375" style="24" customWidth="1"/>
    <col min="6" max="6" width="10.21875" style="167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77734375" style="112" customWidth="1"/>
    <col min="12" max="12" width="2.44140625" style="112" customWidth="1"/>
    <col min="13" max="13" width="12.5546875" style="112" customWidth="1"/>
    <col min="14" max="14" width="12.77734375" style="112" customWidth="1"/>
    <col min="15" max="15" width="70.21875" style="112" bestFit="1" customWidth="1"/>
    <col min="16" max="16" width="1.21875" style="112" customWidth="1"/>
    <col min="17" max="17" width="5.5546875" style="3" customWidth="1"/>
    <col min="18" max="18" width="8.21875" style="112"/>
    <col min="19" max="19" width="28.77734375" style="112" bestFit="1" customWidth="1"/>
    <col min="20" max="20" width="15.21875" style="112" bestFit="1" customWidth="1"/>
    <col min="21" max="21" width="15.5546875" style="24" bestFit="1" customWidth="1"/>
    <col min="22" max="22" width="11.44140625" style="24" bestFit="1" customWidth="1"/>
    <col min="23" max="23" width="7.44140625" style="24" bestFit="1" customWidth="1"/>
    <col min="24" max="24" width="13.5546875" style="24" hidden="1" customWidth="1"/>
    <col min="25" max="25" width="8.21875" style="24"/>
    <col min="26" max="26" width="21.21875" style="24" bestFit="1" customWidth="1"/>
    <col min="27" max="27" width="10.21875" style="24" bestFit="1" customWidth="1"/>
    <col min="28" max="16384" width="8.2187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46071</v>
      </c>
      <c r="O1" s="402">
        <f ca="1">TODAY()</f>
        <v>46071</v>
      </c>
      <c r="Q1" s="3"/>
    </row>
    <row r="2" spans="2:27">
      <c r="B2" s="175"/>
      <c r="C2" s="176" t="s">
        <v>0</v>
      </c>
      <c r="D2" s="177"/>
      <c r="E2" s="832" t="s">
        <v>127</v>
      </c>
      <c r="F2" s="833"/>
      <c r="G2" s="833"/>
      <c r="H2" s="834"/>
      <c r="N2" s="403">
        <v>0</v>
      </c>
      <c r="O2" s="403">
        <v>1</v>
      </c>
    </row>
    <row r="3" spans="2:27" s="112" customFormat="1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>
      <c r="B4" s="178"/>
      <c r="C4" s="179" t="s">
        <v>129</v>
      </c>
      <c r="D4" s="177"/>
      <c r="E4" s="835" t="s">
        <v>130</v>
      </c>
      <c r="F4" s="836"/>
      <c r="G4" s="836"/>
      <c r="H4" s="837"/>
      <c r="J4" s="640" t="s">
        <v>131</v>
      </c>
      <c r="K4" s="641">
        <v>45869</v>
      </c>
      <c r="Q4" s="3"/>
    </row>
    <row r="5" spans="2:27" s="112" customFormat="1">
      <c r="B5" s="178"/>
      <c r="C5" s="179" t="s">
        <v>132</v>
      </c>
      <c r="D5" s="177"/>
      <c r="E5" s="835" t="s">
        <v>133</v>
      </c>
      <c r="F5" s="836"/>
      <c r="G5" s="836"/>
      <c r="H5" s="837"/>
      <c r="J5" s="113"/>
      <c r="Q5" s="3"/>
    </row>
    <row r="6" spans="2:27">
      <c r="B6" s="183"/>
      <c r="C6" s="184" t="s">
        <v>134</v>
      </c>
      <c r="D6" s="177"/>
      <c r="E6" s="838">
        <v>12364058.4066993</v>
      </c>
      <c r="F6" s="839"/>
      <c r="G6" s="839"/>
      <c r="H6" s="840"/>
    </row>
    <row r="7" spans="2:27" s="112" customFormat="1">
      <c r="B7" s="166"/>
      <c r="C7" s="753" t="s">
        <v>135</v>
      </c>
      <c r="D7" s="754"/>
      <c r="E7" s="755" t="s">
        <v>654</v>
      </c>
      <c r="F7" s="167"/>
      <c r="G7" s="185"/>
      <c r="J7" s="113"/>
      <c r="Q7" s="3"/>
    </row>
    <row r="8" spans="2:27" ht="30" customHeight="1">
      <c r="B8" s="829" t="s">
        <v>93</v>
      </c>
      <c r="C8" s="830" t="s">
        <v>136</v>
      </c>
      <c r="D8" s="214"/>
      <c r="E8" s="831" t="s">
        <v>137</v>
      </c>
      <c r="F8" s="236" t="s">
        <v>138</v>
      </c>
      <c r="G8" s="831" t="s">
        <v>139</v>
      </c>
      <c r="H8" s="237"/>
      <c r="I8" s="831" t="s">
        <v>140</v>
      </c>
      <c r="J8" s="236" t="s">
        <v>138</v>
      </c>
      <c r="K8" s="831" t="s">
        <v>141</v>
      </c>
      <c r="M8" s="409" t="s">
        <v>60</v>
      </c>
      <c r="N8" s="693" t="s">
        <v>142</v>
      </c>
      <c r="O8" s="841" t="s">
        <v>143</v>
      </c>
      <c r="U8" s="112"/>
      <c r="V8" s="112"/>
    </row>
    <row r="9" spans="2:27">
      <c r="B9" s="829"/>
      <c r="C9" s="830"/>
      <c r="D9" s="214"/>
      <c r="E9" s="831"/>
      <c r="F9" s="126">
        <f>G52-E20</f>
        <v>89</v>
      </c>
      <c r="G9" s="831"/>
      <c r="H9" s="237"/>
      <c r="I9" s="831"/>
      <c r="J9" s="127">
        <f>K52-I20</f>
        <v>105</v>
      </c>
      <c r="K9" s="831"/>
      <c r="M9" s="361">
        <f ca="1">AVERAGE(M11,M19,M22,M31,M41,M52,M69,M65)</f>
        <v>0.93241525423728822</v>
      </c>
      <c r="N9" s="361">
        <f ca="1">AVERAGE(N11,N19,N22,N31,N41,N52,N69,N65)</f>
        <v>0.94491525423728817</v>
      </c>
      <c r="O9" s="842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>
      <c r="B11" s="243">
        <v>1</v>
      </c>
      <c r="C11" s="244" t="s">
        <v>144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>
      <c r="B12" s="247" t="s">
        <v>145</v>
      </c>
      <c r="C12" s="248" t="s">
        <v>146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147</v>
      </c>
      <c r="AA12" s="666">
        <v>45849</v>
      </c>
    </row>
    <row r="13" spans="2:27" s="112" customFormat="1">
      <c r="B13" s="247" t="s">
        <v>148</v>
      </c>
      <c r="C13" s="248" t="s">
        <v>149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>
      <c r="B14" s="247" t="s">
        <v>150</v>
      </c>
      <c r="C14" s="248" t="s">
        <v>151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>
      <c r="B15" s="247" t="s">
        <v>152</v>
      </c>
      <c r="C15" s="680" t="s">
        <v>153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>
      <c r="B16" s="247" t="s">
        <v>154</v>
      </c>
      <c r="C16" s="248" t="s">
        <v>155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>
      <c r="B17" s="247" t="s">
        <v>156</v>
      </c>
      <c r="C17" s="248" t="s">
        <v>157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158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>
      <c r="B19" s="243">
        <v>2</v>
      </c>
      <c r="C19" s="244" t="s">
        <v>159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 ca="1">N69</f>
        <v>0.55932203389830504</v>
      </c>
    </row>
    <row r="20" spans="2:26" s="112" customFormat="1">
      <c r="B20" s="247" t="s">
        <v>160</v>
      </c>
      <c r="C20" s="248" t="s">
        <v>161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0.55932203389830504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>
      <c r="B22" s="243">
        <v>3</v>
      </c>
      <c r="C22" s="244" t="s">
        <v>162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>
      <c r="B23" s="247" t="s">
        <v>163</v>
      </c>
      <c r="C23" s="248" t="s">
        <v>164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>
      <c r="B24" s="247" t="s">
        <v>165</v>
      </c>
      <c r="C24" s="248" t="s">
        <v>166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>
      <c r="B25" s="247" t="s">
        <v>167</v>
      </c>
      <c r="C25" s="248" t="s">
        <v>168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>
      <c r="B26" s="247" t="s">
        <v>169</v>
      </c>
      <c r="C26" s="699" t="s">
        <v>170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171</v>
      </c>
      <c r="Q26" s="124"/>
      <c r="R26" s="121"/>
      <c r="S26" s="121"/>
      <c r="T26" s="121"/>
      <c r="U26" s="121"/>
      <c r="V26" s="121"/>
    </row>
    <row r="27" spans="2:26" s="112" customFormat="1">
      <c r="B27" s="247" t="s">
        <v>172</v>
      </c>
      <c r="C27" s="699" t="s">
        <v>173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>
      <c r="B28" s="247" t="s">
        <v>174</v>
      </c>
      <c r="C28" s="248" t="s">
        <v>175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>
      <c r="B29" s="247" t="s">
        <v>176</v>
      </c>
      <c r="C29" s="248" t="s">
        <v>177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>
      <c r="B31" s="243">
        <v>4</v>
      </c>
      <c r="C31" s="244" t="s">
        <v>178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idden="1">
      <c r="B32" s="247" t="s">
        <v>179</v>
      </c>
      <c r="C32" s="248" t="s">
        <v>180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>
      <c r="B33" s="247" t="s">
        <v>179</v>
      </c>
      <c r="C33" s="248" t="s">
        <v>164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>
      <c r="B34" s="247" t="s">
        <v>181</v>
      </c>
      <c r="C34" s="248" t="s">
        <v>166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>
      <c r="B35" s="247" t="s">
        <v>182</v>
      </c>
      <c r="C35" s="248" t="s">
        <v>168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>
      <c r="B36" s="698" t="s">
        <v>183</v>
      </c>
      <c r="C36" s="699" t="s">
        <v>184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>
      <c r="B37" s="698" t="s">
        <v>185</v>
      </c>
      <c r="C37" s="699" t="s">
        <v>173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>
      <c r="B38" s="247" t="s">
        <v>186</v>
      </c>
      <c r="C38" s="248" t="s">
        <v>187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>
      <c r="B39" s="247" t="s">
        <v>188</v>
      </c>
      <c r="C39" s="248" t="s">
        <v>189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>
      <c r="B42" s="247" t="s">
        <v>190</v>
      </c>
      <c r="C42" s="248" t="s">
        <v>191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>
      <c r="B43" s="247" t="s">
        <v>192</v>
      </c>
      <c r="C43" s="248" t="s">
        <v>193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>
      <c r="B44" s="247" t="s">
        <v>194</v>
      </c>
      <c r="C44" s="248" t="s">
        <v>195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>
      <c r="B45" s="247" t="s">
        <v>196</v>
      </c>
      <c r="C45" s="248" t="s">
        <v>197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>
      <c r="B46" s="247" t="s">
        <v>198</v>
      </c>
      <c r="C46" s="248" t="s">
        <v>199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>
      <c r="B47" s="247" t="s">
        <v>200</v>
      </c>
      <c r="C47" s="248" t="s">
        <v>201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>
      <c r="B48" s="247" t="s">
        <v>202</v>
      </c>
      <c r="C48" s="242" t="s">
        <v>203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>
      <c r="B49" s="247" t="s">
        <v>204</v>
      </c>
      <c r="C49" s="242" t="s">
        <v>205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>
      <c r="B50" s="698" t="s">
        <v>206</v>
      </c>
      <c r="C50" s="704" t="s">
        <v>207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>
      <c r="B52" s="243">
        <v>6</v>
      </c>
      <c r="C52" s="244" t="s">
        <v>208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0.9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>
      <c r="B53" s="247" t="s">
        <v>209</v>
      </c>
      <c r="C53" s="242" t="s">
        <v>210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>
      <c r="B54" s="247" t="s">
        <v>211</v>
      </c>
      <c r="C54" s="242" t="s">
        <v>212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>
      <c r="B55" s="247" t="s">
        <v>213</v>
      </c>
      <c r="C55" s="242" t="s">
        <v>214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>
      <c r="B56" s="247" t="s">
        <v>215</v>
      </c>
      <c r="C56" s="242" t="s">
        <v>158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216</v>
      </c>
      <c r="R56" s="24"/>
      <c r="S56" s="24"/>
      <c r="T56" s="24"/>
    </row>
    <row r="57" spans="2:30">
      <c r="B57" s="247" t="s">
        <v>217</v>
      </c>
      <c r="C57" s="242" t="s">
        <v>218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>
      <c r="B58" s="247" t="s">
        <v>219</v>
      </c>
      <c r="C58" s="242" t="s">
        <v>220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>
      <c r="B59" s="698" t="s">
        <v>221</v>
      </c>
      <c r="C59" s="704" t="s">
        <v>222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>
      <c r="B60" s="698" t="s">
        <v>223</v>
      </c>
      <c r="C60" s="704" t="s">
        <v>224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>
      <c r="B61" s="698" t="s">
        <v>225</v>
      </c>
      <c r="C61" s="704" t="s">
        <v>226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>
      <c r="B62" s="698" t="s">
        <v>227</v>
      </c>
      <c r="C62" s="704" t="s">
        <v>228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>
      <c r="B63" s="698" t="s">
        <v>229</v>
      </c>
      <c r="C63" s="704" t="s">
        <v>230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>
      <c r="B65" s="243">
        <v>7</v>
      </c>
      <c r="C65" s="244" t="s">
        <v>231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232</v>
      </c>
      <c r="T65" s="707" t="s">
        <v>233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>
      <c r="B66" s="247">
        <v>7.1</v>
      </c>
      <c r="C66" s="242" t="s">
        <v>234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147</v>
      </c>
      <c r="T66" s="708">
        <f>'Revenue Tracking'!P13</f>
        <v>45849</v>
      </c>
      <c r="U66" s="708">
        <f>T66</f>
        <v>45849</v>
      </c>
    </row>
    <row r="67" spans="2:30">
      <c r="B67" s="247" t="s">
        <v>235</v>
      </c>
      <c r="C67" s="242" t="s">
        <v>236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237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238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>
      <c r="B69" s="243">
        <v>8</v>
      </c>
      <c r="C69" s="244" t="s">
        <v>239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360">
        <f>(J70*M70+J71*M71+J72*M72+J80*M80+J81*M81+J82*M82)/SUM(J70:J82)</f>
        <v>0.55932203389830504</v>
      </c>
      <c r="N69" s="360">
        <f ca="1">(J70*N70+J71*N71+J72*N72+J80*N80+J81*N81+J82*N82)/SUM(J70:J82)</f>
        <v>0.55932203389830504</v>
      </c>
      <c r="O69" s="122"/>
      <c r="Q69" s="124"/>
      <c r="R69" s="706"/>
      <c r="S69" s="709" t="s">
        <v>240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>
      <c r="B70" s="247">
        <v>8.1</v>
      </c>
      <c r="C70" s="242" t="s">
        <v>241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242</v>
      </c>
      <c r="T70" s="710">
        <f>T69*20600</f>
        <v>556200</v>
      </c>
      <c r="U70" s="710"/>
    </row>
    <row r="71" spans="2:30">
      <c r="B71" s="247">
        <v>8.1999999999999993</v>
      </c>
      <c r="C71" s="741" t="s">
        <v>243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1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244</v>
      </c>
      <c r="R71" s="24"/>
      <c r="S71" s="24"/>
      <c r="T71" s="24"/>
    </row>
    <row r="72" spans="2:30">
      <c r="B72" s="247">
        <v>8.3000000000000007</v>
      </c>
      <c r="C72" s="242" t="s">
        <v>245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>
      <c r="B73" s="247">
        <v>8.4</v>
      </c>
      <c r="C73" s="242" t="s">
        <v>246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>
      <c r="B74" s="247">
        <v>8.5</v>
      </c>
      <c r="C74" s="242" t="s">
        <v>247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>
      <c r="B75" s="247"/>
      <c r="C75" s="242" t="s">
        <v>248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>
      <c r="B76" s="247">
        <v>8.6</v>
      </c>
      <c r="C76" s="242" t="s">
        <v>249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>
      <c r="B77" s="247">
        <v>8.6999999999999993</v>
      </c>
      <c r="C77" s="242" t="s">
        <v>250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1</v>
      </c>
      <c r="N77" s="253">
        <f t="shared" ca="1" si="8"/>
        <v>1</v>
      </c>
      <c r="O77" s="122" t="s">
        <v>251</v>
      </c>
      <c r="R77" s="24"/>
      <c r="S77" s="24"/>
      <c r="T77" s="24"/>
    </row>
    <row r="78" spans="2:30">
      <c r="B78" s="247">
        <v>8.8000000000000007</v>
      </c>
      <c r="C78" s="242" t="s">
        <v>252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>
      <c r="B79" s="247">
        <v>8.9</v>
      </c>
      <c r="C79" s="242" t="s">
        <v>253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>
      <c r="B80" s="247" t="s">
        <v>254</v>
      </c>
      <c r="C80" s="242" t="s">
        <v>255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1</v>
      </c>
      <c r="N80" s="253">
        <f t="shared" ca="1" si="8"/>
        <v>1</v>
      </c>
      <c r="O80" s="122" t="s">
        <v>256</v>
      </c>
      <c r="R80" s="24"/>
      <c r="S80" s="706"/>
      <c r="T80" s="706"/>
      <c r="U80" s="706"/>
    </row>
    <row r="81" spans="2:23">
      <c r="B81" s="247" t="s">
        <v>257</v>
      </c>
      <c r="C81" s="242" t="s">
        <v>258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>
      <c r="B82" s="247" t="s">
        <v>259</v>
      </c>
      <c r="C82" s="242" t="s">
        <v>260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1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20:N20 M32:N39 M42:N50 M66:N67 M23:N29 M53:N63 M70:N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2187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261</v>
      </c>
      <c r="F2" s="83" t="s">
        <v>262</v>
      </c>
    </row>
    <row r="3" spans="3:8">
      <c r="C3" s="79">
        <v>45658</v>
      </c>
      <c r="D3" s="73" t="s">
        <v>263</v>
      </c>
      <c r="F3" s="81" t="s">
        <v>264</v>
      </c>
    </row>
    <row r="4" spans="3:8">
      <c r="C4" s="79">
        <v>45737</v>
      </c>
      <c r="D4" s="73" t="s">
        <v>265</v>
      </c>
      <c r="F4" s="81" t="s">
        <v>266</v>
      </c>
    </row>
    <row r="5" spans="3:8">
      <c r="C5" s="79">
        <v>45765</v>
      </c>
      <c r="D5" s="73" t="s">
        <v>267</v>
      </c>
      <c r="F5" s="81" t="s">
        <v>268</v>
      </c>
    </row>
    <row r="6" spans="3:8" ht="13.8" thickBot="1">
      <c r="C6" s="79">
        <v>45768</v>
      </c>
      <c r="D6" s="73" t="s">
        <v>269</v>
      </c>
      <c r="F6" s="82" t="s">
        <v>270</v>
      </c>
    </row>
    <row r="7" spans="3:8">
      <c r="C7" s="79">
        <v>45774</v>
      </c>
      <c r="D7" s="73" t="s">
        <v>271</v>
      </c>
    </row>
    <row r="8" spans="3:8">
      <c r="C8" s="79">
        <v>45765</v>
      </c>
      <c r="D8" s="73" t="s">
        <v>272</v>
      </c>
    </row>
    <row r="9" spans="3:8">
      <c r="C9" s="79">
        <v>45778</v>
      </c>
      <c r="D9" s="73" t="s">
        <v>273</v>
      </c>
    </row>
    <row r="10" spans="3:8">
      <c r="C10" s="79">
        <v>45824</v>
      </c>
      <c r="D10" s="73" t="s">
        <v>274</v>
      </c>
    </row>
    <row r="11" spans="3:8">
      <c r="C11" s="79">
        <v>45878</v>
      </c>
      <c r="D11" s="73" t="s">
        <v>275</v>
      </c>
    </row>
    <row r="12" spans="3:8">
      <c r="C12" s="79">
        <v>45924</v>
      </c>
      <c r="D12" s="73" t="s">
        <v>276</v>
      </c>
    </row>
    <row r="13" spans="3:8">
      <c r="C13" s="79">
        <v>46007</v>
      </c>
      <c r="D13" s="73" t="s">
        <v>277</v>
      </c>
      <c r="F13" s="85"/>
      <c r="H13" s="73" t="s">
        <v>278</v>
      </c>
    </row>
    <row r="14" spans="3:8">
      <c r="C14" s="79">
        <v>46016</v>
      </c>
      <c r="D14" s="73" t="s">
        <v>279</v>
      </c>
    </row>
    <row r="15" spans="3:8" ht="13.8" thickBot="1">
      <c r="C15" s="80">
        <v>46017</v>
      </c>
      <c r="D15" s="73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1875" defaultRowHeight="13.8"/>
  <cols>
    <col min="1" max="1" width="1.21875" style="24" customWidth="1"/>
    <col min="2" max="2" width="8.21875" style="64"/>
    <col min="3" max="3" width="2.44140625" style="64" customWidth="1"/>
    <col min="4" max="4" width="21.21875" style="24" customWidth="1"/>
    <col min="5" max="5" width="1.21875" style="24" customWidth="1"/>
    <col min="6" max="6" width="19.5546875" style="24" customWidth="1"/>
    <col min="7" max="7" width="1.21875" style="24" customWidth="1"/>
    <col min="8" max="8" width="18.44140625" style="24" customWidth="1"/>
    <col min="9" max="9" width="3.21875" style="24" customWidth="1"/>
    <col min="10" max="10" width="21.77734375" style="24" customWidth="1"/>
    <col min="11" max="11" width="2" style="24" customWidth="1"/>
    <col min="12" max="12" width="53.44140625" style="24" customWidth="1"/>
    <col min="13" max="16384" width="8.218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281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843"/>
      <c r="C4" s="843"/>
      <c r="D4" s="843"/>
      <c r="E4" s="411"/>
      <c r="F4" s="219" t="s">
        <v>74</v>
      </c>
      <c r="G4" s="214"/>
      <c r="H4" s="219" t="s">
        <v>75</v>
      </c>
      <c r="I4" s="214"/>
      <c r="J4" s="220" t="s">
        <v>282</v>
      </c>
      <c r="K4" s="112"/>
      <c r="L4" s="112"/>
    </row>
    <row r="5" spans="1:12" ht="14.4" thickBot="1">
      <c r="A5" s="214"/>
      <c r="B5" s="844" t="s">
        <v>283</v>
      </c>
      <c r="C5" s="844"/>
      <c r="D5" s="844"/>
      <c r="E5" s="411"/>
      <c r="F5" s="221">
        <f>SUM(F9:F23)</f>
        <v>10416339.813983502</v>
      </c>
      <c r="G5" s="216"/>
      <c r="H5" s="221">
        <f>SUM(H9:H23)</f>
        <v>8234669.3139130436</v>
      </c>
      <c r="I5" s="214"/>
      <c r="J5" s="222">
        <f>SUM(J9:J23)</f>
        <v>2181670.5000704569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93</v>
      </c>
      <c r="C7" s="225"/>
      <c r="D7" s="224" t="s">
        <v>284</v>
      </c>
      <c r="E7" s="225"/>
      <c r="F7" s="226" t="s">
        <v>285</v>
      </c>
      <c r="G7" s="227"/>
      <c r="H7" s="226" t="s">
        <v>286</v>
      </c>
      <c r="I7" s="227"/>
      <c r="J7" s="226" t="s">
        <v>287</v>
      </c>
      <c r="K7" s="171"/>
      <c r="L7" s="115" t="s">
        <v>288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356200</v>
      </c>
      <c r="G10" s="86"/>
      <c r="H10" s="230">
        <f>'Expenditure Breakdown'!X14</f>
        <v>316436.03999999998</v>
      </c>
      <c r="I10" s="89"/>
      <c r="J10" s="231">
        <f t="shared" si="0"/>
        <v>39763.960000000021</v>
      </c>
      <c r="K10" s="172"/>
      <c r="L10" s="254"/>
    </row>
    <row r="11" spans="1:12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1186680</v>
      </c>
      <c r="G11" s="86"/>
      <c r="H11" s="230">
        <f>'Expenditure Breakdown'!X22</f>
        <v>887538.46</v>
      </c>
      <c r="I11" s="89"/>
      <c r="J11" s="231">
        <f t="shared" si="0"/>
        <v>299141.54000000004</v>
      </c>
      <c r="K11" s="172"/>
      <c r="L11" s="254"/>
    </row>
    <row r="12" spans="1:12">
      <c r="A12" s="214"/>
      <c r="B12" s="228">
        <f>'Expenditure Breakdown'!L32</f>
        <v>4</v>
      </c>
      <c r="C12" s="217"/>
      <c r="D12" s="229" t="str">
        <f>'Expenditure Breakdown'!M32</f>
        <v>4. DC Equipment</v>
      </c>
      <c r="E12" s="232"/>
      <c r="F12" s="230">
        <f>'Expenditure Breakdown'!I32</f>
        <v>1208947.5</v>
      </c>
      <c r="G12" s="86"/>
      <c r="H12" s="230">
        <f>'Expenditure Breakdown'!X32</f>
        <v>371619.9800000001</v>
      </c>
      <c r="I12" s="89"/>
      <c r="J12" s="231">
        <f t="shared" si="0"/>
        <v>837327.5199999999</v>
      </c>
      <c r="K12" s="172"/>
      <c r="L12" s="254"/>
    </row>
    <row r="13" spans="1:12">
      <c r="A13" s="214"/>
      <c r="B13" s="228">
        <f>'Expenditure Breakdown'!L49</f>
        <v>5</v>
      </c>
      <c r="C13" s="217"/>
      <c r="D13" s="229" t="str">
        <f>'Expenditure Breakdown'!M49</f>
        <v>5. Monitoring</v>
      </c>
      <c r="E13" s="232"/>
      <c r="F13" s="230">
        <f>'Expenditure Breakdown'!I49</f>
        <v>45636</v>
      </c>
      <c r="G13" s="86"/>
      <c r="H13" s="230">
        <f>'Expenditure Breakdown'!X49</f>
        <v>200056.25</v>
      </c>
      <c r="I13" s="89"/>
      <c r="J13" s="231">
        <f t="shared" si="0"/>
        <v>-154420.25</v>
      </c>
      <c r="K13" s="172"/>
      <c r="L13" s="254"/>
    </row>
    <row r="14" spans="1:12">
      <c r="A14" s="214"/>
      <c r="B14" s="228">
        <f>'Expenditure Breakdown'!L86</f>
        <v>6</v>
      </c>
      <c r="C14" s="217"/>
      <c r="D14" s="229" t="str">
        <f>'Expenditure Breakdown'!M86</f>
        <v>6. AC Equipment</v>
      </c>
      <c r="E14" s="232"/>
      <c r="F14" s="230">
        <f>'Expenditure Breakdown'!I86</f>
        <v>849891.5</v>
      </c>
      <c r="G14" s="86"/>
      <c r="H14" s="230">
        <f>'Expenditure Breakdown'!X86</f>
        <v>1071907.23</v>
      </c>
      <c r="I14" s="89"/>
      <c r="J14" s="231">
        <f t="shared" si="0"/>
        <v>-222015.72999999998</v>
      </c>
      <c r="K14" s="172"/>
      <c r="L14" s="254"/>
    </row>
    <row r="15" spans="1:12">
      <c r="A15" s="214"/>
      <c r="B15" s="228">
        <f>'Expenditure Breakdown'!L104</f>
        <v>7</v>
      </c>
      <c r="C15" s="217"/>
      <c r="D15" s="229" t="str">
        <f>'Expenditure Breakdown'!M104</f>
        <v>7.BESS</v>
      </c>
      <c r="E15" s="232"/>
      <c r="F15" s="230">
        <f>'Expenditure Breakdown'!I104</f>
        <v>3616080.6086956523</v>
      </c>
      <c r="G15" s="86"/>
      <c r="H15" s="230">
        <f>'Expenditure Breakdown'!X104</f>
        <v>2378460</v>
      </c>
      <c r="I15" s="89"/>
      <c r="J15" s="231">
        <f t="shared" si="0"/>
        <v>1237620.6086956523</v>
      </c>
      <c r="K15" s="172"/>
      <c r="L15" s="254"/>
    </row>
    <row r="16" spans="1:12">
      <c r="A16" s="214"/>
      <c r="B16" s="228">
        <f>'Expenditure Breakdown'!L113</f>
        <v>8</v>
      </c>
      <c r="C16" s="217"/>
      <c r="D16" s="229" t="str">
        <f>'Expenditure Breakdown'!M113</f>
        <v xml:space="preserve">8. Product Add On </v>
      </c>
      <c r="E16" s="232"/>
      <c r="F16" s="230">
        <f>'Expenditure Breakdown'!I113</f>
        <v>145000</v>
      </c>
      <c r="G16" s="86"/>
      <c r="H16" s="230">
        <f>'Expenditure Breakdown'!X113</f>
        <v>256749.19</v>
      </c>
      <c r="I16" s="89"/>
      <c r="J16" s="231">
        <f t="shared" si="0"/>
        <v>-111749.19</v>
      </c>
      <c r="K16" s="172"/>
      <c r="L16" s="254"/>
    </row>
    <row r="17" spans="1:12">
      <c r="A17" s="214"/>
      <c r="B17" s="228">
        <f>'Expenditure Breakdown'!L137</f>
        <v>9</v>
      </c>
      <c r="C17" s="217"/>
      <c r="D17" s="229" t="str">
        <f>'Expenditure Breakdown'!M137</f>
        <v>9. AC &amp; DC installation</v>
      </c>
      <c r="E17" s="232"/>
      <c r="F17" s="230">
        <f>'Expenditure Breakdown'!I137</f>
        <v>687500</v>
      </c>
      <c r="G17" s="86"/>
      <c r="H17" s="230">
        <f>'Expenditure Breakdown'!X137</f>
        <v>900817.81</v>
      </c>
      <c r="I17" s="89"/>
      <c r="J17" s="231">
        <f t="shared" si="0"/>
        <v>-213317.81000000006</v>
      </c>
      <c r="K17" s="172"/>
      <c r="L17" s="254"/>
    </row>
    <row r="18" spans="1:12">
      <c r="A18" s="214"/>
      <c r="B18" s="228">
        <f>'Expenditure Breakdown'!L150</f>
        <v>10</v>
      </c>
      <c r="C18" s="217"/>
      <c r="D18" s="229" t="str">
        <f>'Expenditure Breakdown'!M150</f>
        <v>10. Site Logistics</v>
      </c>
      <c r="E18" s="86"/>
      <c r="F18" s="230">
        <f>'Expenditure Breakdown'!I150</f>
        <v>8500</v>
      </c>
      <c r="G18" s="86"/>
      <c r="H18" s="230">
        <f>'Expenditure Breakdown'!X150</f>
        <v>216404.8</v>
      </c>
      <c r="I18" s="89"/>
      <c r="J18" s="231">
        <f t="shared" si="0"/>
        <v>-207904.8</v>
      </c>
      <c r="K18" s="172"/>
      <c r="L18" s="254"/>
    </row>
    <row r="19" spans="1:12">
      <c r="A19" s="214"/>
      <c r="B19" s="228">
        <f>'Expenditure Breakdown'!L177</f>
        <v>11</v>
      </c>
      <c r="C19" s="217"/>
      <c r="D19" s="229" t="str">
        <f>'Expenditure Breakdown'!M177</f>
        <v>11. Due Dilligence</v>
      </c>
      <c r="E19" s="86"/>
      <c r="F19" s="230">
        <f>'Expenditure Breakdown'!I177</f>
        <v>77050</v>
      </c>
      <c r="G19" s="86"/>
      <c r="H19" s="230">
        <f>'Expenditure Breakdown'!X177</f>
        <v>52000</v>
      </c>
      <c r="I19" s="89"/>
      <c r="J19" s="231">
        <f t="shared" si="0"/>
        <v>25050</v>
      </c>
      <c r="K19" s="172"/>
      <c r="L19" s="254"/>
    </row>
    <row r="20" spans="1:12">
      <c r="A20" s="214"/>
      <c r="B20" s="228">
        <f>'Expenditure Breakdown'!L183</f>
        <v>12</v>
      </c>
      <c r="C20" s="217"/>
      <c r="D20" s="229" t="str">
        <f>'Expenditure Breakdown'!M183</f>
        <v>12. BDP Commission</v>
      </c>
      <c r="E20" s="86"/>
      <c r="F20" s="230">
        <f>'Expenditure Breakdown'!I183</f>
        <v>0</v>
      </c>
      <c r="G20" s="86"/>
      <c r="H20" s="230">
        <f>'Expenditure Breakdown'!X183</f>
        <v>0</v>
      </c>
      <c r="I20" s="89"/>
      <c r="J20" s="231">
        <f t="shared" si="0"/>
        <v>0</v>
      </c>
      <c r="K20" s="172"/>
      <c r="L20" s="254"/>
    </row>
    <row r="21" spans="1:12">
      <c r="A21" s="214"/>
      <c r="B21" s="228">
        <f>'Expenditure Breakdown'!L186</f>
        <v>13</v>
      </c>
      <c r="C21" s="217"/>
      <c r="D21" s="229" t="str">
        <f>'Expenditure Breakdown'!M187</f>
        <v>13. Engineering</v>
      </c>
      <c r="E21" s="86"/>
      <c r="F21" s="230">
        <f>'Expenditure Breakdown'!I186</f>
        <v>434412.83720967284</v>
      </c>
      <c r="G21" s="86"/>
      <c r="H21" s="230">
        <f>'Expenditure Breakdown'!X186</f>
        <v>154022.95000000001</v>
      </c>
      <c r="I21" s="89"/>
      <c r="J21" s="231">
        <f t="shared" si="0"/>
        <v>280389.88720967283</v>
      </c>
      <c r="K21" s="172"/>
      <c r="L21" s="254"/>
    </row>
    <row r="22" spans="1:12">
      <c r="A22" s="214"/>
      <c r="B22" s="228">
        <f>'Expenditure Breakdown'!L193</f>
        <v>14</v>
      </c>
      <c r="C22" s="217"/>
      <c r="D22" s="229" t="str">
        <f>'Expenditure Breakdown'!M193</f>
        <v>14. General Expenses</v>
      </c>
      <c r="E22" s="86"/>
      <c r="F22" s="230">
        <f>'Expenditure Breakdown'!I193</f>
        <v>11900</v>
      </c>
      <c r="G22" s="86"/>
      <c r="H22" s="230">
        <f>'Expenditure Breakdown'!X193</f>
        <v>8514.52</v>
      </c>
      <c r="I22" s="89"/>
      <c r="J22" s="231">
        <f t="shared" si="0"/>
        <v>3385.4799999999996</v>
      </c>
      <c r="K22" s="172"/>
      <c r="L22" s="254"/>
    </row>
    <row r="23" spans="1:12">
      <c r="A23" s="214"/>
      <c r="B23" s="228">
        <f>'Expenditure Breakdown'!L206</f>
        <v>15</v>
      </c>
      <c r="C23" s="217"/>
      <c r="D23" s="229" t="str">
        <f>'Expenditure Breakdown'!M206</f>
        <v>15. Service Add On</v>
      </c>
      <c r="E23" s="86"/>
      <c r="F23" s="230">
        <f>'Expenditure Breakdown'!I206</f>
        <v>0</v>
      </c>
      <c r="G23" s="86"/>
      <c r="H23" s="230">
        <f>'Expenditure Breakdown'!X206</f>
        <v>156196.88391304348</v>
      </c>
      <c r="I23" s="89"/>
      <c r="J23" s="231">
        <f t="shared" si="0"/>
        <v>-156196.88391304348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289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7"/>
  <sheetViews>
    <sheetView tabSelected="1" topLeftCell="L1" zoomScale="85" zoomScaleNormal="85" workbookViewId="0">
      <pane ySplit="4" topLeftCell="A194" activePane="bottomLeft" state="frozen"/>
      <selection activeCell="X33" sqref="X33"/>
      <selection pane="bottomLeft" activeCell="R208" sqref="R208"/>
    </sheetView>
  </sheetViews>
  <sheetFormatPr defaultColWidth="9.44140625" defaultRowHeight="13.8"/>
  <cols>
    <col min="1" max="1" width="2.44140625" style="112" customWidth="1"/>
    <col min="2" max="2" width="6.44140625" style="24" customWidth="1"/>
    <col min="3" max="3" width="20.44140625" style="24" customWidth="1"/>
    <col min="4" max="4" width="51.77734375" style="24" customWidth="1"/>
    <col min="5" max="5" width="13" style="70" customWidth="1"/>
    <col min="6" max="6" width="16.5546875" style="472" customWidth="1"/>
    <col min="7" max="7" width="17.21875" style="24" customWidth="1"/>
    <col min="8" max="8" width="17.21875" style="541" customWidth="1"/>
    <col min="9" max="9" width="22.21875" style="349" customWidth="1"/>
    <col min="10" max="10" width="22.21875" style="349" bestFit="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6" style="112" bestFit="1" customWidth="1"/>
    <col min="16" max="17" width="17.21875" style="112" customWidth="1"/>
    <col min="18" max="18" width="38.21875" style="112" bestFit="1" customWidth="1"/>
    <col min="19" max="19" width="33.44140625" style="112" bestFit="1" customWidth="1"/>
    <col min="20" max="21" width="17.21875" style="541" customWidth="1"/>
    <col min="22" max="22" width="17.21875" style="112" customWidth="1"/>
    <col min="23" max="23" width="16.77734375" style="541" bestFit="1" customWidth="1"/>
    <col min="24" max="24" width="21.21875" style="112" customWidth="1"/>
    <col min="25" max="25" width="29.44140625" style="112" bestFit="1" customWidth="1"/>
    <col min="26" max="26" width="24.44140625" style="112" bestFit="1" customWidth="1"/>
    <col min="27" max="76" width="17.21875" style="112" customWidth="1"/>
    <col min="77" max="16384" width="9.441406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768" t="s">
        <v>290</v>
      </c>
      <c r="C2" s="769"/>
      <c r="D2" s="769"/>
      <c r="E2" s="769"/>
      <c r="F2" s="769"/>
      <c r="G2" s="769"/>
      <c r="H2" s="692"/>
      <c r="I2" s="257">
        <f>SUM(I6:I218)</f>
        <v>10416339.813983502</v>
      </c>
      <c r="J2" s="257">
        <f>SUM(J6:J218)</f>
        <v>12364058.406699263</v>
      </c>
      <c r="L2" s="770" t="s">
        <v>291</v>
      </c>
      <c r="M2" s="771"/>
      <c r="N2" s="771"/>
      <c r="O2" s="771"/>
      <c r="P2" s="771"/>
      <c r="Q2" s="771"/>
      <c r="R2" s="775" t="s">
        <v>292</v>
      </c>
      <c r="S2" s="776"/>
      <c r="T2" s="776"/>
      <c r="U2" s="776"/>
      <c r="V2" s="776"/>
      <c r="W2" s="777"/>
      <c r="X2" s="476">
        <f>SUM(X6:X218)</f>
        <v>8234669.3139130436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" thickBot="1">
      <c r="A4" s="164"/>
      <c r="B4" s="258" t="s">
        <v>293</v>
      </c>
      <c r="C4" s="259" t="s">
        <v>294</v>
      </c>
      <c r="D4" s="259" t="s">
        <v>295</v>
      </c>
      <c r="E4" s="259" t="s">
        <v>296</v>
      </c>
      <c r="F4" s="463" t="s">
        <v>297</v>
      </c>
      <c r="G4" s="260" t="s">
        <v>298</v>
      </c>
      <c r="H4" s="638" t="s">
        <v>299</v>
      </c>
      <c r="I4" s="261" t="s">
        <v>300</v>
      </c>
      <c r="J4" s="261" t="str">
        <f>IF(J2-'Revenue Tracking'!D4&gt;=0, "Total Revenue", "ERROR on REV" )</f>
        <v>ERROR on REV</v>
      </c>
      <c r="K4" s="164"/>
      <c r="L4" s="258" t="s">
        <v>293</v>
      </c>
      <c r="M4" s="259" t="s">
        <v>301</v>
      </c>
      <c r="N4" s="259" t="s">
        <v>295</v>
      </c>
      <c r="O4" s="259" t="s">
        <v>296</v>
      </c>
      <c r="P4" s="463" t="s">
        <v>297</v>
      </c>
      <c r="Q4" s="371" t="s">
        <v>302</v>
      </c>
      <c r="R4" s="613" t="s">
        <v>303</v>
      </c>
      <c r="S4" s="614" t="s">
        <v>98</v>
      </c>
      <c r="T4" s="638" t="s">
        <v>99</v>
      </c>
      <c r="U4" s="639" t="s">
        <v>304</v>
      </c>
      <c r="V4" s="371" t="s">
        <v>305</v>
      </c>
      <c r="W4" s="638" t="s">
        <v>299</v>
      </c>
      <c r="X4" s="478" t="s">
        <v>300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306</v>
      </c>
      <c r="D6" s="281" t="s">
        <v>307</v>
      </c>
      <c r="E6" s="282"/>
      <c r="F6" s="435"/>
      <c r="G6" s="389">
        <f>D219</f>
        <v>1788541.3680781755</v>
      </c>
      <c r="H6" s="565">
        <v>45898</v>
      </c>
      <c r="I6" s="772">
        <f>SUM(G6:G12)</f>
        <v>1788541.3680781755</v>
      </c>
      <c r="J6" s="772">
        <f>F219</f>
        <v>2235676.7100977194</v>
      </c>
      <c r="K6" s="386"/>
      <c r="L6" s="280">
        <v>1</v>
      </c>
      <c r="M6" s="415" t="s">
        <v>308</v>
      </c>
      <c r="N6" s="281" t="s">
        <v>309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310</v>
      </c>
      <c r="T6" s="646">
        <v>45838</v>
      </c>
      <c r="U6" s="649">
        <v>2235676.7100977194</v>
      </c>
      <c r="V6" s="762">
        <f>J6-SUM(U6:U12)</f>
        <v>42222.164261083119</v>
      </c>
      <c r="W6" s="722">
        <v>45901</v>
      </c>
      <c r="X6" s="759">
        <f>SUM(Q6:Q12)</f>
        <v>1263945.2000000002</v>
      </c>
      <c r="Y6" s="480"/>
    </row>
    <row r="7" spans="1:76" ht="15" customHeight="1">
      <c r="B7" s="310">
        <v>1</v>
      </c>
      <c r="C7" s="416"/>
      <c r="D7" s="387" t="s">
        <v>311</v>
      </c>
      <c r="E7" s="388"/>
      <c r="F7" s="457"/>
      <c r="G7" s="314"/>
      <c r="H7" s="566"/>
      <c r="I7" s="773"/>
      <c r="J7" s="773"/>
      <c r="K7" s="287"/>
      <c r="L7" s="310">
        <v>1</v>
      </c>
      <c r="M7" s="312" t="s">
        <v>308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3" si="0">IF(W7&gt;1,EOMONTH(W7,0),"")</f>
        <v/>
      </c>
      <c r="U7" s="649">
        <v>0</v>
      </c>
      <c r="V7" s="763"/>
      <c r="W7" s="566"/>
      <c r="X7" s="760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773"/>
      <c r="J8" s="773"/>
      <c r="K8" s="287"/>
      <c r="L8" s="310">
        <v>1</v>
      </c>
      <c r="M8" s="312" t="s">
        <v>308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63"/>
      <c r="W8" s="566"/>
      <c r="X8" s="760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773"/>
      <c r="J9" s="773"/>
      <c r="K9" s="287"/>
      <c r="L9" s="310">
        <v>1</v>
      </c>
      <c r="M9" s="312" t="s">
        <v>308</v>
      </c>
      <c r="N9" s="736" t="s">
        <v>312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313</v>
      </c>
      <c r="T9" s="726">
        <v>45991</v>
      </c>
      <c r="U9" s="649">
        <v>0</v>
      </c>
      <c r="V9" s="763"/>
      <c r="W9" s="725">
        <v>45991</v>
      </c>
      <c r="X9" s="760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773"/>
      <c r="J10" s="773"/>
      <c r="K10" s="287"/>
      <c r="L10" s="310">
        <v>1</v>
      </c>
      <c r="M10" s="312" t="s">
        <v>308</v>
      </c>
      <c r="N10" s="484" t="s">
        <v>314</v>
      </c>
      <c r="O10" s="544"/>
      <c r="P10" s="442">
        <v>1156.4000000000001</v>
      </c>
      <c r="Q10" s="384">
        <f>O10*P10</f>
        <v>0</v>
      </c>
      <c r="R10" s="582"/>
      <c r="S10" s="618" t="s">
        <v>315</v>
      </c>
      <c r="T10" s="726">
        <v>45991</v>
      </c>
      <c r="U10" s="649">
        <v>0</v>
      </c>
      <c r="V10" s="763"/>
      <c r="W10" s="725">
        <v>45991</v>
      </c>
      <c r="X10" s="760"/>
      <c r="Y10" s="480"/>
    </row>
    <row r="11" spans="1:76" ht="15" customHeight="1">
      <c r="B11" s="381"/>
      <c r="C11" s="483"/>
      <c r="D11" s="484"/>
      <c r="E11" s="485"/>
      <c r="F11" s="442"/>
      <c r="G11" s="384"/>
      <c r="H11" s="567"/>
      <c r="I11" s="773"/>
      <c r="J11" s="773"/>
      <c r="K11" s="287"/>
      <c r="L11" s="310">
        <v>1</v>
      </c>
      <c r="M11" s="312" t="s">
        <v>308</v>
      </c>
      <c r="N11" s="484" t="s">
        <v>316</v>
      </c>
      <c r="O11" s="544"/>
      <c r="P11" s="442"/>
      <c r="Q11" s="384"/>
      <c r="R11" s="582"/>
      <c r="S11" s="618"/>
      <c r="T11" s="726">
        <v>46053</v>
      </c>
      <c r="U11" s="649">
        <v>-42222.16426108306</v>
      </c>
      <c r="V11" s="763"/>
      <c r="W11" s="726">
        <v>46053</v>
      </c>
      <c r="X11" s="760"/>
    </row>
    <row r="12" spans="1:76" ht="15" customHeight="1" thickBot="1">
      <c r="B12" s="315">
        <v>1</v>
      </c>
      <c r="C12" s="417"/>
      <c r="D12" s="390"/>
      <c r="E12" s="391"/>
      <c r="F12" s="458"/>
      <c r="G12" s="329"/>
      <c r="H12" s="568"/>
      <c r="I12" s="774"/>
      <c r="J12" s="774"/>
      <c r="K12" s="288"/>
      <c r="L12" s="315">
        <v>1</v>
      </c>
      <c r="M12" s="417" t="s">
        <v>308</v>
      </c>
      <c r="N12" s="390"/>
      <c r="O12" s="545"/>
      <c r="P12" s="458"/>
      <c r="Q12" s="329"/>
      <c r="R12" s="583"/>
      <c r="S12" s="619"/>
      <c r="T12" s="518" t="str">
        <f t="shared" si="0"/>
        <v/>
      </c>
      <c r="U12" s="649">
        <v>0</v>
      </c>
      <c r="V12" s="764"/>
      <c r="W12" s="568"/>
      <c r="X12" s="761"/>
      <c r="Y12" s="597" t="s">
        <v>317</v>
      </c>
      <c r="Z12" s="598" t="s">
        <v>318</v>
      </c>
    </row>
    <row r="13" spans="1:76" ht="14.4" thickBot="1">
      <c r="A13" s="24"/>
      <c r="B13" s="275"/>
      <c r="C13" s="276"/>
      <c r="D13" s="277"/>
      <c r="E13" s="290"/>
      <c r="F13" s="454"/>
      <c r="G13" s="278"/>
      <c r="H13" s="569"/>
      <c r="I13" s="279"/>
      <c r="J13" s="279"/>
      <c r="K13" s="24"/>
      <c r="L13" s="275"/>
      <c r="M13" s="401"/>
      <c r="N13" s="277"/>
      <c r="O13" s="546"/>
      <c r="P13" s="454"/>
      <c r="Q13" s="278"/>
      <c r="R13" s="584"/>
      <c r="S13" s="620"/>
      <c r="T13" s="519" t="str">
        <f t="shared" si="0"/>
        <v/>
      </c>
      <c r="U13" s="504"/>
      <c r="V13" s="495"/>
      <c r="W13" s="569"/>
      <c r="X13" s="349"/>
      <c r="Y13" s="599" t="s">
        <v>319</v>
      </c>
      <c r="Z13" s="600">
        <f>G86</f>
        <v>849891.5</v>
      </c>
    </row>
    <row r="14" spans="1:76" ht="14.25" customHeight="1">
      <c r="B14" s="292">
        <v>2</v>
      </c>
      <c r="C14" s="318" t="s">
        <v>320</v>
      </c>
      <c r="D14" s="318" t="s">
        <v>321</v>
      </c>
      <c r="E14" s="364"/>
      <c r="F14" s="455"/>
      <c r="G14" s="295">
        <f>D220</f>
        <v>356200</v>
      </c>
      <c r="H14" s="532">
        <v>45867</v>
      </c>
      <c r="I14" s="781">
        <f>SUM(G14:G20)</f>
        <v>356200</v>
      </c>
      <c r="J14" s="781">
        <f>F220</f>
        <v>445250</v>
      </c>
      <c r="K14" s="296"/>
      <c r="L14" s="292">
        <v>2</v>
      </c>
      <c r="M14" s="418" t="s">
        <v>322</v>
      </c>
      <c r="N14" s="318" t="s">
        <v>323</v>
      </c>
      <c r="O14" s="547">
        <v>4</v>
      </c>
      <c r="P14" s="455">
        <v>69140</v>
      </c>
      <c r="Q14" s="295">
        <f>O14*P14</f>
        <v>276560</v>
      </c>
      <c r="R14" s="784" t="s">
        <v>324</v>
      </c>
      <c r="S14" s="621" t="s">
        <v>325</v>
      </c>
      <c r="T14" s="642">
        <v>45838</v>
      </c>
      <c r="U14" s="650">
        <v>389826.32645308343</v>
      </c>
      <c r="V14" s="765">
        <f>J14-SUM(U14:U20)</f>
        <v>0</v>
      </c>
      <c r="W14" s="532">
        <v>45867</v>
      </c>
      <c r="X14" s="778">
        <f>SUM(Q14:Q20)</f>
        <v>316436.03999999998</v>
      </c>
      <c r="Y14" s="599" t="s">
        <v>326</v>
      </c>
      <c r="Z14" s="601">
        <f>G33</f>
        <v>724197.5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33">
        <v>45867</v>
      </c>
      <c r="I15" s="782"/>
      <c r="J15" s="782"/>
      <c r="K15" s="300"/>
      <c r="L15" s="297">
        <v>2</v>
      </c>
      <c r="M15" s="424" t="s">
        <v>322</v>
      </c>
      <c r="N15" s="406" t="s">
        <v>327</v>
      </c>
      <c r="O15" s="548">
        <v>1</v>
      </c>
      <c r="P15" s="451">
        <v>39320</v>
      </c>
      <c r="Q15" s="475">
        <f>O15*P15</f>
        <v>39320</v>
      </c>
      <c r="R15" s="785"/>
      <c r="S15" s="621" t="s">
        <v>325</v>
      </c>
      <c r="T15" s="643">
        <v>45838</v>
      </c>
      <c r="U15" s="650">
        <v>55423.673546916551</v>
      </c>
      <c r="V15" s="766"/>
      <c r="W15" s="533">
        <v>45867</v>
      </c>
      <c r="X15" s="779"/>
      <c r="Y15" s="599" t="s">
        <v>328</v>
      </c>
      <c r="Z15" s="600">
        <f>G137</f>
        <v>341000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782"/>
      <c r="J16" s="782"/>
      <c r="K16" s="300"/>
      <c r="L16" s="297">
        <v>2</v>
      </c>
      <c r="M16" s="424" t="s">
        <v>322</v>
      </c>
      <c r="N16" s="406" t="s">
        <v>323</v>
      </c>
      <c r="O16" s="548">
        <v>1</v>
      </c>
      <c r="P16" s="451"/>
      <c r="Q16" s="475">
        <v>68050</v>
      </c>
      <c r="R16" s="586"/>
      <c r="S16" s="622" t="s">
        <v>329</v>
      </c>
      <c r="T16" s="643">
        <v>45961</v>
      </c>
      <c r="U16" s="650">
        <v>0</v>
      </c>
      <c r="V16" s="766"/>
      <c r="W16" s="533">
        <v>45989</v>
      </c>
      <c r="X16" s="779"/>
      <c r="Y16" s="599" t="s">
        <v>330</v>
      </c>
      <c r="Z16" s="600">
        <f>G138</f>
        <v>346500.00000000006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782"/>
      <c r="J17" s="782"/>
      <c r="K17" s="300"/>
      <c r="L17" s="297">
        <v>2</v>
      </c>
      <c r="M17" s="424" t="s">
        <v>322</v>
      </c>
      <c r="N17" s="406" t="s">
        <v>331</v>
      </c>
      <c r="O17" s="548"/>
      <c r="P17" s="451"/>
      <c r="Q17" s="475">
        <v>-69140</v>
      </c>
      <c r="R17" s="586" t="s">
        <v>332</v>
      </c>
      <c r="S17" s="622" t="s">
        <v>333</v>
      </c>
      <c r="T17" s="643">
        <v>46053</v>
      </c>
      <c r="U17" s="650">
        <v>0</v>
      </c>
      <c r="V17" s="766"/>
      <c r="W17" s="738">
        <v>46053</v>
      </c>
      <c r="X17" s="779"/>
      <c r="Y17" s="599" t="s">
        <v>334</v>
      </c>
      <c r="Z17" s="600">
        <f>G150</f>
        <v>8500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782"/>
      <c r="J18" s="782"/>
      <c r="K18" s="300"/>
      <c r="L18" s="297">
        <v>2</v>
      </c>
      <c r="M18" s="424" t="s">
        <v>322</v>
      </c>
      <c r="N18" s="406" t="s">
        <v>335</v>
      </c>
      <c r="O18" s="548"/>
      <c r="P18" s="451"/>
      <c r="Q18" s="475">
        <v>1646.04</v>
      </c>
      <c r="R18" s="586"/>
      <c r="S18" s="622" t="s">
        <v>336</v>
      </c>
      <c r="T18" s="738">
        <v>45991</v>
      </c>
      <c r="U18" s="650">
        <v>0</v>
      </c>
      <c r="V18" s="766"/>
      <c r="W18" s="724">
        <v>46021</v>
      </c>
      <c r="X18" s="779"/>
      <c r="Y18" s="599" t="s">
        <v>337</v>
      </c>
      <c r="Z18" s="600">
        <v>375000</v>
      </c>
    </row>
    <row r="19" spans="1:26" ht="14.25" customHeight="1">
      <c r="B19" s="297">
        <v>2</v>
      </c>
      <c r="C19" s="424"/>
      <c r="D19" s="406"/>
      <c r="E19" s="486"/>
      <c r="F19" s="451"/>
      <c r="G19" s="475"/>
      <c r="H19" s="571"/>
      <c r="I19" s="782"/>
      <c r="J19" s="782"/>
      <c r="K19" s="300"/>
      <c r="L19" s="297">
        <v>2</v>
      </c>
      <c r="M19" s="424" t="s">
        <v>322</v>
      </c>
      <c r="N19" s="406"/>
      <c r="O19" s="548"/>
      <c r="P19" s="451"/>
      <c r="Q19" s="475"/>
      <c r="R19" s="586"/>
      <c r="S19" s="622"/>
      <c r="T19" s="521" t="str">
        <f t="shared" si="0"/>
        <v/>
      </c>
      <c r="U19" s="650">
        <v>0</v>
      </c>
      <c r="V19" s="766"/>
      <c r="W19" s="571"/>
      <c r="X19" s="779"/>
      <c r="Y19" s="599" t="s">
        <v>338</v>
      </c>
      <c r="Z19" s="600">
        <v>50000</v>
      </c>
    </row>
    <row r="20" spans="1:26" ht="15" customHeight="1" thickBot="1">
      <c r="B20" s="393">
        <v>2</v>
      </c>
      <c r="C20" s="394"/>
      <c r="D20" s="394"/>
      <c r="E20" s="395"/>
      <c r="F20" s="465"/>
      <c r="G20" s="396"/>
      <c r="H20" s="572"/>
      <c r="I20" s="783"/>
      <c r="J20" s="783"/>
      <c r="K20" s="305"/>
      <c r="L20" s="393">
        <v>2</v>
      </c>
      <c r="M20" s="419" t="s">
        <v>322</v>
      </c>
      <c r="N20" s="394"/>
      <c r="O20" s="549"/>
      <c r="P20" s="465"/>
      <c r="Q20" s="396"/>
      <c r="R20" s="587"/>
      <c r="S20" s="623"/>
      <c r="T20" s="522" t="str">
        <f t="shared" si="0"/>
        <v/>
      </c>
      <c r="U20" s="651">
        <v>0</v>
      </c>
      <c r="V20" s="767"/>
      <c r="W20" s="572"/>
      <c r="X20" s="780"/>
      <c r="Y20" s="599" t="s">
        <v>339</v>
      </c>
      <c r="Z20" s="600">
        <v>0</v>
      </c>
    </row>
    <row r="21" spans="1:26" ht="14.4" thickBot="1">
      <c r="A21" s="24"/>
      <c r="B21" s="289"/>
      <c r="C21" s="276"/>
      <c r="D21" s="276"/>
      <c r="E21" s="290"/>
      <c r="F21" s="454"/>
      <c r="G21" s="291"/>
      <c r="H21" s="569"/>
      <c r="I21" s="279"/>
      <c r="J21" s="279"/>
      <c r="K21" s="24"/>
      <c r="L21" s="289"/>
      <c r="M21" s="276"/>
      <c r="N21" s="276"/>
      <c r="O21" s="546"/>
      <c r="P21" s="454"/>
      <c r="Q21" s="291"/>
      <c r="R21" s="584"/>
      <c r="S21" s="620"/>
      <c r="T21" s="519" t="str">
        <f t="shared" si="0"/>
        <v/>
      </c>
      <c r="U21" s="508"/>
      <c r="V21" s="491"/>
      <c r="W21" s="569"/>
      <c r="X21" s="349"/>
      <c r="Y21" s="599"/>
      <c r="Z21" s="600"/>
    </row>
    <row r="22" spans="1:26" ht="14.25" customHeight="1">
      <c r="B22" s="280">
        <v>3</v>
      </c>
      <c r="C22" s="308" t="s">
        <v>340</v>
      </c>
      <c r="D22" s="326" t="s">
        <v>341</v>
      </c>
      <c r="E22" s="282"/>
      <c r="F22" s="435"/>
      <c r="G22" s="283">
        <f>D221</f>
        <v>1186680</v>
      </c>
      <c r="H22" s="657">
        <v>45867</v>
      </c>
      <c r="I22" s="772">
        <f>SUM(G22:G30)</f>
        <v>1186680</v>
      </c>
      <c r="J22" s="772">
        <f>F221</f>
        <v>1483350</v>
      </c>
      <c r="K22" s="284"/>
      <c r="L22" s="280">
        <v>3</v>
      </c>
      <c r="M22" s="420" t="s">
        <v>342</v>
      </c>
      <c r="N22" s="326" t="s">
        <v>343</v>
      </c>
      <c r="O22" s="542"/>
      <c r="P22" s="435"/>
      <c r="Q22" s="283">
        <v>344822.96</v>
      </c>
      <c r="R22" s="588" t="s">
        <v>344</v>
      </c>
      <c r="S22" s="624" t="s">
        <v>345</v>
      </c>
      <c r="T22" s="645">
        <v>45838</v>
      </c>
      <c r="U22" s="649">
        <v>431028.7</v>
      </c>
      <c r="V22" s="762">
        <f>J22-SUM(U22:U30)</f>
        <v>-3.8501021917909384E-3</v>
      </c>
      <c r="W22" s="657">
        <v>45867</v>
      </c>
      <c r="X22" s="759">
        <f>SUM(Q22:Q30)</f>
        <v>887538.46</v>
      </c>
      <c r="Y22" s="599" t="s">
        <v>346</v>
      </c>
      <c r="Z22" s="602">
        <v>0</v>
      </c>
    </row>
    <row r="23" spans="1:26" ht="14.25" customHeight="1">
      <c r="B23" s="310">
        <v>3</v>
      </c>
      <c r="C23" s="311"/>
      <c r="D23" s="327"/>
      <c r="E23" s="313"/>
      <c r="F23" s="457"/>
      <c r="G23" s="314"/>
      <c r="H23" s="566"/>
      <c r="I23" s="773"/>
      <c r="J23" s="773"/>
      <c r="K23" s="287"/>
      <c r="L23" s="310">
        <v>3</v>
      </c>
      <c r="M23" s="421" t="s">
        <v>342</v>
      </c>
      <c r="N23" s="735" t="s">
        <v>347</v>
      </c>
      <c r="O23" s="543">
        <v>-120</v>
      </c>
      <c r="P23" s="457">
        <v>119.75</v>
      </c>
      <c r="Q23" s="314">
        <f>-16638.3-67.16</f>
        <v>-16705.46</v>
      </c>
      <c r="R23" s="581"/>
      <c r="S23" s="617" t="s">
        <v>348</v>
      </c>
      <c r="T23" s="690">
        <v>45991</v>
      </c>
      <c r="U23" s="744">
        <v>0</v>
      </c>
      <c r="V23" s="763"/>
      <c r="W23" s="691">
        <v>45991</v>
      </c>
      <c r="X23" s="760"/>
      <c r="Y23" s="599" t="s">
        <v>126</v>
      </c>
      <c r="Z23" s="600">
        <f>SUM(Z13:Z22)</f>
        <v>2695089</v>
      </c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773"/>
      <c r="J24" s="773"/>
      <c r="K24" s="287"/>
      <c r="L24" s="310" t="s">
        <v>349</v>
      </c>
      <c r="M24" s="421" t="s">
        <v>342</v>
      </c>
      <c r="N24" s="735" t="s">
        <v>350</v>
      </c>
      <c r="O24" s="543"/>
      <c r="P24" s="457"/>
      <c r="Q24" s="314">
        <v>1436.9</v>
      </c>
      <c r="R24" s="581"/>
      <c r="S24" s="617" t="s">
        <v>348</v>
      </c>
      <c r="T24" s="647">
        <v>45991</v>
      </c>
      <c r="U24" s="744">
        <v>0</v>
      </c>
      <c r="V24" s="763"/>
      <c r="W24" s="691">
        <v>45991</v>
      </c>
      <c r="X24" s="760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773"/>
      <c r="J25" s="773"/>
      <c r="K25" s="287"/>
      <c r="L25" s="310" t="s">
        <v>349</v>
      </c>
      <c r="M25" s="421" t="s">
        <v>342</v>
      </c>
      <c r="N25" s="735" t="s">
        <v>351</v>
      </c>
      <c r="O25" s="543">
        <v>-55</v>
      </c>
      <c r="P25" s="457">
        <v>78.400000000000006</v>
      </c>
      <c r="Q25" s="314"/>
      <c r="R25" s="581"/>
      <c r="S25" s="617"/>
      <c r="T25" s="690">
        <v>46022</v>
      </c>
      <c r="U25" s="744">
        <v>0</v>
      </c>
      <c r="V25" s="763"/>
      <c r="W25" s="691">
        <v>46022</v>
      </c>
      <c r="X25" s="760"/>
      <c r="Y25" s="599"/>
      <c r="Z25" s="600"/>
    </row>
    <row r="26" spans="1:26" ht="14.25" customHeight="1">
      <c r="B26" s="310"/>
      <c r="C26" s="311"/>
      <c r="D26" s="327"/>
      <c r="E26" s="313"/>
      <c r="F26" s="457"/>
      <c r="G26" s="314"/>
      <c r="H26" s="566"/>
      <c r="I26" s="773"/>
      <c r="J26" s="773"/>
      <c r="K26" s="287"/>
      <c r="L26" s="310" t="s">
        <v>349</v>
      </c>
      <c r="M26" s="421" t="s">
        <v>342</v>
      </c>
      <c r="N26" s="735" t="s">
        <v>352</v>
      </c>
      <c r="O26" s="543">
        <v>-65</v>
      </c>
      <c r="P26" s="457">
        <v>31.54</v>
      </c>
      <c r="Q26" s="314">
        <f>O26*P26</f>
        <v>-2050.1</v>
      </c>
      <c r="R26" s="581" t="s">
        <v>353</v>
      </c>
      <c r="S26" s="617" t="s">
        <v>354</v>
      </c>
      <c r="T26" s="690">
        <v>46053</v>
      </c>
      <c r="U26" s="744">
        <v>0</v>
      </c>
      <c r="V26" s="763"/>
      <c r="W26" s="691">
        <v>46053</v>
      </c>
      <c r="X26" s="760"/>
      <c r="Y26" s="599"/>
      <c r="Z26" s="600"/>
    </row>
    <row r="27" spans="1:26" ht="14.25" customHeight="1">
      <c r="B27" s="310"/>
      <c r="C27" s="382"/>
      <c r="D27" s="383"/>
      <c r="E27" s="404"/>
      <c r="F27" s="442"/>
      <c r="G27" s="384"/>
      <c r="H27" s="531">
        <v>45869</v>
      </c>
      <c r="I27" s="773"/>
      <c r="J27" s="773"/>
      <c r="K27" s="287"/>
      <c r="L27" s="310">
        <v>3</v>
      </c>
      <c r="M27" s="421" t="s">
        <v>342</v>
      </c>
      <c r="N27" s="383" t="s">
        <v>355</v>
      </c>
      <c r="O27" s="544"/>
      <c r="P27" s="442"/>
      <c r="Q27" s="384">
        <v>278899.15999999997</v>
      </c>
      <c r="R27" s="582" t="s">
        <v>356</v>
      </c>
      <c r="S27" s="618" t="s">
        <v>357</v>
      </c>
      <c r="T27" s="655">
        <v>45869</v>
      </c>
      <c r="U27" s="649">
        <v>525027.76742806623</v>
      </c>
      <c r="V27" s="763"/>
      <c r="W27" s="531">
        <v>45869</v>
      </c>
      <c r="X27" s="760"/>
      <c r="Y27" s="599"/>
      <c r="Z27" s="603"/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31">
        <v>45899</v>
      </c>
      <c r="I28" s="773"/>
      <c r="J28" s="773"/>
      <c r="K28" s="287"/>
      <c r="L28" s="310">
        <v>3</v>
      </c>
      <c r="M28" s="421" t="s">
        <v>342</v>
      </c>
      <c r="N28" s="383" t="s">
        <v>358</v>
      </c>
      <c r="O28" s="544"/>
      <c r="P28" s="442"/>
      <c r="Q28" s="384">
        <v>280280</v>
      </c>
      <c r="R28" s="582" t="s">
        <v>344</v>
      </c>
      <c r="S28" s="618" t="s">
        <v>359</v>
      </c>
      <c r="T28" s="655">
        <v>45869</v>
      </c>
      <c r="U28" s="649">
        <v>527293.55642203591</v>
      </c>
      <c r="V28" s="763"/>
      <c r="W28" s="531">
        <v>45899</v>
      </c>
      <c r="X28" s="760"/>
      <c r="Y28" s="604" t="s">
        <v>360</v>
      </c>
      <c r="Z28" s="602" t="e">
        <f>#REF!/'Project Plan'!$E$3/1000</f>
        <v>#REF!</v>
      </c>
    </row>
    <row r="29" spans="1:26" ht="14.25" customHeight="1">
      <c r="B29" s="310">
        <v>3</v>
      </c>
      <c r="C29" s="382"/>
      <c r="D29" s="383"/>
      <c r="E29" s="404"/>
      <c r="F29" s="442"/>
      <c r="G29" s="384"/>
      <c r="H29" s="567">
        <f>E29+30</f>
        <v>30</v>
      </c>
      <c r="I29" s="773"/>
      <c r="J29" s="773"/>
      <c r="K29" s="287"/>
      <c r="L29" s="310">
        <v>3</v>
      </c>
      <c r="M29" s="421" t="s">
        <v>342</v>
      </c>
      <c r="N29" s="383" t="s">
        <v>361</v>
      </c>
      <c r="O29" s="544"/>
      <c r="P29" s="442"/>
      <c r="Q29" s="384">
        <v>650</v>
      </c>
      <c r="R29" s="582" t="s">
        <v>362</v>
      </c>
      <c r="S29" s="618" t="s">
        <v>363</v>
      </c>
      <c r="T29" s="726">
        <v>45961</v>
      </c>
      <c r="U29" s="744">
        <v>-0.02</v>
      </c>
      <c r="V29" s="763"/>
      <c r="W29" s="531">
        <v>45974</v>
      </c>
      <c r="X29" s="760"/>
    </row>
    <row r="30" spans="1:26" ht="15" customHeight="1" thickBot="1">
      <c r="B30" s="315">
        <v>3</v>
      </c>
      <c r="C30" s="336"/>
      <c r="D30" s="328"/>
      <c r="E30" s="317"/>
      <c r="F30" s="458"/>
      <c r="G30" s="329"/>
      <c r="H30" s="568"/>
      <c r="I30" s="774"/>
      <c r="J30" s="774"/>
      <c r="K30" s="288"/>
      <c r="L30" s="315">
        <v>3</v>
      </c>
      <c r="M30" s="422" t="s">
        <v>342</v>
      </c>
      <c r="N30" s="328" t="s">
        <v>364</v>
      </c>
      <c r="O30" s="545"/>
      <c r="P30" s="458"/>
      <c r="Q30" s="329">
        <v>205</v>
      </c>
      <c r="R30" s="583"/>
      <c r="S30" s="619" t="s">
        <v>365</v>
      </c>
      <c r="T30" s="742">
        <v>45961</v>
      </c>
      <c r="U30" s="745">
        <v>0</v>
      </c>
      <c r="V30" s="764"/>
      <c r="W30" s="743">
        <v>45940</v>
      </c>
      <c r="X30" s="761"/>
      <c r="Y30" s="605" t="s">
        <v>366</v>
      </c>
      <c r="Z30" s="606" t="s">
        <v>367</v>
      </c>
    </row>
    <row r="31" spans="1:26" ht="14.4" thickBot="1">
      <c r="A31" s="24"/>
      <c r="B31" s="289"/>
      <c r="C31" s="306"/>
      <c r="D31" s="307"/>
      <c r="E31" s="290"/>
      <c r="F31" s="454"/>
      <c r="G31" s="291"/>
      <c r="H31" s="569"/>
      <c r="I31" s="279"/>
      <c r="J31" s="279"/>
      <c r="K31" s="24"/>
      <c r="L31" s="289"/>
      <c r="M31" s="306"/>
      <c r="N31" s="307"/>
      <c r="O31" s="546"/>
      <c r="P31" s="454"/>
      <c r="Q31" s="291"/>
      <c r="R31" s="584"/>
      <c r="S31" s="620"/>
      <c r="T31" s="519" t="str">
        <f t="shared" si="0"/>
        <v/>
      </c>
      <c r="U31" s="508"/>
      <c r="V31" s="491"/>
      <c r="W31" s="569"/>
      <c r="X31" s="349"/>
      <c r="Y31" s="607" t="str">
        <f t="shared" ref="Y31:Y35" si="1">Y13</f>
        <v>AC Equipment</v>
      </c>
      <c r="Z31" s="608">
        <v>1058756.23</v>
      </c>
    </row>
    <row r="32" spans="1:26" ht="14.25" customHeight="1">
      <c r="B32" s="292">
        <v>4</v>
      </c>
      <c r="C32" s="293" t="s">
        <v>326</v>
      </c>
      <c r="D32" s="293" t="s">
        <v>368</v>
      </c>
      <c r="E32" s="364">
        <f>G32/14*1.15</f>
        <v>39818.75</v>
      </c>
      <c r="F32" s="455"/>
      <c r="G32" s="295">
        <v>484750</v>
      </c>
      <c r="H32" s="570">
        <f>E32+30</f>
        <v>39848.75</v>
      </c>
      <c r="I32" s="781">
        <f>SUM(G32:G47)</f>
        <v>1208947.5</v>
      </c>
      <c r="J32" s="781">
        <f>F222</f>
        <v>1511184.375</v>
      </c>
      <c r="K32" s="296"/>
      <c r="L32" s="292">
        <v>4</v>
      </c>
      <c r="M32" s="423" t="s">
        <v>369</v>
      </c>
      <c r="N32" s="293" t="s">
        <v>370</v>
      </c>
      <c r="O32" s="539">
        <v>40000</v>
      </c>
      <c r="P32" s="455">
        <v>13.5</v>
      </c>
      <c r="Q32" s="295">
        <f>O32*P32</f>
        <v>540000</v>
      </c>
      <c r="R32" s="585" t="s">
        <v>371</v>
      </c>
      <c r="S32" s="621" t="s">
        <v>372</v>
      </c>
      <c r="T32" s="642">
        <v>45869</v>
      </c>
      <c r="U32" s="650">
        <v>1491518.4828380791</v>
      </c>
      <c r="V32" s="765">
        <f>J32-SUM(U32:U47)</f>
        <v>0</v>
      </c>
      <c r="W32" s="723">
        <f>T32+30</f>
        <v>45899</v>
      </c>
      <c r="X32" s="778">
        <f>SUM(Q32:Q47)</f>
        <v>371619.9800000001</v>
      </c>
      <c r="Y32" s="607" t="str">
        <f t="shared" si="1"/>
        <v>DC Equipment</v>
      </c>
      <c r="Z32" s="608">
        <v>223119.98</v>
      </c>
    </row>
    <row r="33" spans="1:28" ht="14.25" customHeight="1">
      <c r="B33" s="319">
        <v>4</v>
      </c>
      <c r="C33" s="406"/>
      <c r="D33" s="406" t="s">
        <v>373</v>
      </c>
      <c r="E33" s="392"/>
      <c r="F33" s="451"/>
      <c r="G33" s="633">
        <f>D222-G32</f>
        <v>724197.5</v>
      </c>
      <c r="H33" s="533">
        <v>45869</v>
      </c>
      <c r="I33" s="782"/>
      <c r="J33" s="782"/>
      <c r="K33" s="300"/>
      <c r="L33" s="297">
        <v>4</v>
      </c>
      <c r="M33" s="424" t="s">
        <v>369</v>
      </c>
      <c r="N33" s="406" t="s">
        <v>374</v>
      </c>
      <c r="O33" s="540">
        <v>-16000</v>
      </c>
      <c r="P33" s="451">
        <v>13.5</v>
      </c>
      <c r="Q33" s="299">
        <f>O33*P33</f>
        <v>-216000</v>
      </c>
      <c r="R33" s="586"/>
      <c r="S33" s="622" t="s">
        <v>375</v>
      </c>
      <c r="T33" s="643">
        <v>45869</v>
      </c>
      <c r="U33" s="650">
        <v>-596607.39313523169</v>
      </c>
      <c r="V33" s="766"/>
      <c r="W33" s="533">
        <v>45869</v>
      </c>
      <c r="X33" s="779"/>
      <c r="Y33" s="607" t="str">
        <f t="shared" si="1"/>
        <v>AC Labour</v>
      </c>
      <c r="Z33" s="608">
        <v>237440.63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782"/>
      <c r="J34" s="782"/>
      <c r="K34" s="300"/>
      <c r="L34" s="297">
        <v>4</v>
      </c>
      <c r="M34" s="424" t="s">
        <v>369</v>
      </c>
      <c r="N34" s="406" t="s">
        <v>376</v>
      </c>
      <c r="O34" s="540">
        <v>-6000</v>
      </c>
      <c r="P34" s="451">
        <v>13.5</v>
      </c>
      <c r="Q34" s="299">
        <f>O34*P34</f>
        <v>-81000</v>
      </c>
      <c r="R34" s="586"/>
      <c r="S34" s="622" t="s">
        <v>375</v>
      </c>
      <c r="T34" s="738">
        <v>45961</v>
      </c>
      <c r="U34" s="506">
        <v>0</v>
      </c>
      <c r="V34" s="766"/>
      <c r="W34" s="724">
        <v>45961</v>
      </c>
      <c r="X34" s="779"/>
      <c r="Y34" s="607" t="str">
        <f t="shared" si="1"/>
        <v>DC Labour</v>
      </c>
      <c r="Z34" s="608">
        <v>663377.18000000005</v>
      </c>
      <c r="AA34" s="734">
        <f>Z34/682000</f>
        <v>0.97269381231671559</v>
      </c>
      <c r="AB34" s="734">
        <f>AA34*'Revenue Tracking'!N27</f>
        <v>12528.296302639297</v>
      </c>
    </row>
    <row r="35" spans="1:28" ht="14.25" customHeight="1">
      <c r="B35" s="319">
        <v>4</v>
      </c>
      <c r="C35" s="406"/>
      <c r="D35" s="406"/>
      <c r="E35" s="392"/>
      <c r="F35" s="451"/>
      <c r="G35" s="299"/>
      <c r="H35" s="571"/>
      <c r="I35" s="782"/>
      <c r="J35" s="782"/>
      <c r="K35" s="300"/>
      <c r="L35" s="297">
        <v>4</v>
      </c>
      <c r="M35" s="424" t="s">
        <v>369</v>
      </c>
      <c r="N35" s="406" t="s">
        <v>377</v>
      </c>
      <c r="O35" s="548">
        <v>-7000</v>
      </c>
      <c r="P35" s="451">
        <v>13.5</v>
      </c>
      <c r="Q35" s="299">
        <f>O35*P35</f>
        <v>-94500</v>
      </c>
      <c r="R35" s="586"/>
      <c r="S35" s="622" t="s">
        <v>375</v>
      </c>
      <c r="T35" s="738">
        <v>45961</v>
      </c>
      <c r="U35" s="506">
        <v>0</v>
      </c>
      <c r="V35" s="766"/>
      <c r="W35" s="724">
        <v>45961</v>
      </c>
      <c r="X35" s="779"/>
      <c r="Y35" s="607" t="str">
        <f t="shared" si="1"/>
        <v>Offloading</v>
      </c>
      <c r="Z35" s="608">
        <v>51940</v>
      </c>
    </row>
    <row r="36" spans="1:28" ht="14.25" customHeight="1">
      <c r="B36" s="319"/>
      <c r="C36" s="406"/>
      <c r="D36" s="406"/>
      <c r="E36" s="392"/>
      <c r="F36" s="451"/>
      <c r="G36" s="299"/>
      <c r="H36" s="571"/>
      <c r="I36" s="782"/>
      <c r="J36" s="782"/>
      <c r="K36" s="300"/>
      <c r="L36" s="297">
        <v>4</v>
      </c>
      <c r="M36" s="424" t="s">
        <v>369</v>
      </c>
      <c r="N36" s="406"/>
      <c r="O36" s="548"/>
      <c r="P36" s="451"/>
      <c r="Q36" s="299"/>
      <c r="R36" s="590"/>
      <c r="S36" s="622"/>
      <c r="T36" s="738"/>
      <c r="U36" s="506"/>
      <c r="V36" s="766"/>
      <c r="W36" s="724"/>
      <c r="X36" s="779"/>
      <c r="Y36" s="607"/>
      <c r="Z36" s="608"/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>H138</f>
        <v>45897</v>
      </c>
      <c r="I37" s="782"/>
      <c r="J37" s="782"/>
      <c r="K37" s="300"/>
      <c r="L37" s="297">
        <v>4</v>
      </c>
      <c r="M37" s="424" t="s">
        <v>369</v>
      </c>
      <c r="N37" s="406" t="s">
        <v>378</v>
      </c>
      <c r="O37" s="559">
        <f>Z32</f>
        <v>223119.98</v>
      </c>
      <c r="P37" s="560">
        <v>0.1</v>
      </c>
      <c r="Q37" s="299">
        <f>$O$37*P37</f>
        <v>22311.998000000003</v>
      </c>
      <c r="R37" s="786"/>
      <c r="S37" s="622" t="s">
        <v>379</v>
      </c>
      <c r="T37" s="643">
        <f>T138</f>
        <v>45900</v>
      </c>
      <c r="U37" s="650">
        <v>61627.328529715305</v>
      </c>
      <c r="V37" s="766"/>
      <c r="W37" s="533">
        <f>W138</f>
        <v>45883</v>
      </c>
      <c r="X37" s="779"/>
      <c r="Y37" s="607" t="str">
        <f>Y18</f>
        <v>BESS Installation</v>
      </c>
      <c r="Z37" s="608">
        <v>110262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33">
        <f t="shared" ref="H38:H44" si="2">H139</f>
        <v>45898</v>
      </c>
      <c r="I38" s="782"/>
      <c r="J38" s="782"/>
      <c r="K38" s="300"/>
      <c r="L38" s="297">
        <v>4</v>
      </c>
      <c r="M38" s="424" t="s">
        <v>369</v>
      </c>
      <c r="N38" s="406" t="s">
        <v>159</v>
      </c>
      <c r="O38" s="548"/>
      <c r="P38" s="560">
        <v>0.15</v>
      </c>
      <c r="Q38" s="299">
        <f t="shared" ref="Q38:Q44" si="3">$O$37*P38</f>
        <v>33467.997000000003</v>
      </c>
      <c r="R38" s="787"/>
      <c r="S38" s="622" t="s">
        <v>379</v>
      </c>
      <c r="T38" s="643">
        <f t="shared" ref="T38" si="4">T139</f>
        <v>45900</v>
      </c>
      <c r="U38" s="650">
        <v>92440.992794572943</v>
      </c>
      <c r="V38" s="766"/>
      <c r="W38" s="533">
        <f t="shared" ref="W38:W44" si="5">W139</f>
        <v>45898</v>
      </c>
      <c r="X38" s="779"/>
      <c r="Y38" s="607" t="str">
        <f>Y19</f>
        <v>Inverter Room Upgrades</v>
      </c>
      <c r="Z38" s="608">
        <v>7284.8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782"/>
      <c r="J39" s="782"/>
      <c r="K39" s="300"/>
      <c r="L39" s="297">
        <v>4</v>
      </c>
      <c r="M39" s="424" t="s">
        <v>369</v>
      </c>
      <c r="N39" s="406" t="s">
        <v>380</v>
      </c>
      <c r="O39" s="711"/>
      <c r="P39" s="560">
        <v>0.2</v>
      </c>
      <c r="Q39" s="299">
        <f t="shared" si="3"/>
        <v>44623.996000000006</v>
      </c>
      <c r="R39" s="787"/>
      <c r="S39" s="622" t="s">
        <v>379</v>
      </c>
      <c r="T39" s="643">
        <v>45900</v>
      </c>
      <c r="U39" s="650">
        <v>123254.65705943061</v>
      </c>
      <c r="V39" s="766"/>
      <c r="W39" s="724">
        <f>W140</f>
        <v>45946</v>
      </c>
      <c r="X39" s="779"/>
      <c r="Y39" s="607" t="s">
        <v>381</v>
      </c>
      <c r="Z39" s="608">
        <v>15620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782"/>
      <c r="J40" s="782"/>
      <c r="K40" s="300"/>
      <c r="L40" s="297">
        <v>4</v>
      </c>
      <c r="M40" s="424" t="s">
        <v>369</v>
      </c>
      <c r="N40" s="406" t="s">
        <v>382</v>
      </c>
      <c r="O40" s="548"/>
      <c r="P40" s="560">
        <v>0.25</v>
      </c>
      <c r="Q40" s="299">
        <f t="shared" si="3"/>
        <v>55779.995000000003</v>
      </c>
      <c r="R40" s="787"/>
      <c r="S40" s="622" t="s">
        <v>379</v>
      </c>
      <c r="T40" s="643">
        <v>45900</v>
      </c>
      <c r="U40" s="650">
        <v>154068.32132428823</v>
      </c>
      <c r="V40" s="766"/>
      <c r="W40" s="724">
        <f>W141</f>
        <v>45946</v>
      </c>
      <c r="X40" s="779"/>
      <c r="Y40" s="607" t="s">
        <v>383</v>
      </c>
      <c r="Z40" s="608">
        <v>6583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782"/>
      <c r="J41" s="782"/>
      <c r="K41" s="300"/>
      <c r="L41" s="297">
        <v>4</v>
      </c>
      <c r="M41" s="424" t="s">
        <v>369</v>
      </c>
      <c r="N41" s="406" t="s">
        <v>384</v>
      </c>
      <c r="O41" s="548"/>
      <c r="P41" s="560">
        <v>0.1</v>
      </c>
      <c r="Q41" s="299">
        <f t="shared" si="3"/>
        <v>22311.998000000003</v>
      </c>
      <c r="R41" s="787"/>
      <c r="S41" s="622" t="s">
        <v>379</v>
      </c>
      <c r="T41" s="643">
        <v>45900</v>
      </c>
      <c r="U41" s="650">
        <v>61627.328529715305</v>
      </c>
      <c r="V41" s="766"/>
      <c r="W41" s="533">
        <f t="shared" si="5"/>
        <v>45989</v>
      </c>
      <c r="X41" s="779"/>
      <c r="Y41" s="607" t="s">
        <v>385</v>
      </c>
      <c r="Z41" s="608">
        <v>15855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782"/>
      <c r="J42" s="782"/>
      <c r="K42" s="300"/>
      <c r="L42" s="297">
        <v>4</v>
      </c>
      <c r="M42" s="424" t="s">
        <v>369</v>
      </c>
      <c r="N42" s="406" t="s">
        <v>386</v>
      </c>
      <c r="O42" s="548"/>
      <c r="P42" s="560">
        <v>0.1</v>
      </c>
      <c r="Q42" s="299">
        <f t="shared" si="3"/>
        <v>22311.998000000003</v>
      </c>
      <c r="R42" s="787"/>
      <c r="S42" s="622" t="s">
        <v>379</v>
      </c>
      <c r="T42" s="643">
        <v>45900</v>
      </c>
      <c r="U42" s="650">
        <v>61627.328529715305</v>
      </c>
      <c r="V42" s="766"/>
      <c r="W42" s="533">
        <f t="shared" si="5"/>
        <v>45996</v>
      </c>
      <c r="X42" s="779"/>
      <c r="Y42" s="607" t="s">
        <v>346</v>
      </c>
      <c r="Z42" s="609">
        <v>0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782"/>
      <c r="J43" s="782"/>
      <c r="K43" s="300"/>
      <c r="L43" s="297">
        <v>4</v>
      </c>
      <c r="M43" s="424" t="s">
        <v>369</v>
      </c>
      <c r="N43" s="406" t="s">
        <v>387</v>
      </c>
      <c r="O43" s="548"/>
      <c r="P43" s="560">
        <v>0.05</v>
      </c>
      <c r="Q43" s="299">
        <f t="shared" si="3"/>
        <v>11155.999000000002</v>
      </c>
      <c r="R43" s="787"/>
      <c r="S43" s="622" t="s">
        <v>379</v>
      </c>
      <c r="T43" s="643">
        <v>45900</v>
      </c>
      <c r="U43" s="650">
        <v>30813.664264857653</v>
      </c>
      <c r="V43" s="766"/>
      <c r="W43" s="533">
        <f t="shared" si="5"/>
        <v>45996</v>
      </c>
      <c r="X43" s="779"/>
      <c r="Y43" s="607" t="s">
        <v>126</v>
      </c>
      <c r="Z43" s="608">
        <f>SUM(Z31:Z42)</f>
        <v>2390238.8199999998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 t="e">
        <f t="shared" si="2"/>
        <v>#REF!</v>
      </c>
      <c r="I44" s="782"/>
      <c r="J44" s="782"/>
      <c r="K44" s="300"/>
      <c r="L44" s="297">
        <v>4</v>
      </c>
      <c r="M44" s="424" t="s">
        <v>369</v>
      </c>
      <c r="N44" s="406" t="s">
        <v>388</v>
      </c>
      <c r="O44" s="548"/>
      <c r="P44" s="560">
        <v>0.05</v>
      </c>
      <c r="Q44" s="299">
        <f t="shared" si="3"/>
        <v>11155.999000000002</v>
      </c>
      <c r="R44" s="785"/>
      <c r="S44" s="622" t="s">
        <v>379</v>
      </c>
      <c r="T44" s="643">
        <v>45900</v>
      </c>
      <c r="U44" s="650">
        <v>30813.664264857653</v>
      </c>
      <c r="V44" s="766"/>
      <c r="W44" s="533">
        <f t="shared" si="5"/>
        <v>46015</v>
      </c>
      <c r="X44" s="779"/>
      <c r="Y44" s="610" t="s">
        <v>360</v>
      </c>
      <c r="Z44" s="609">
        <f>Z43/'Project Plan'!$E$3/1000</f>
        <v>3.504749002932551</v>
      </c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782"/>
      <c r="J45" s="782"/>
      <c r="K45" s="300"/>
      <c r="L45" s="297">
        <v>4</v>
      </c>
      <c r="M45" s="424" t="s">
        <v>369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(Q45/$X$32*$J$32)</f>
        <v>0</v>
      </c>
      <c r="V45" s="766"/>
      <c r="W45" s="571"/>
      <c r="X45" s="779"/>
      <c r="Y45" s="480"/>
    </row>
    <row r="46" spans="1:28" ht="14.25" customHeight="1">
      <c r="B46" s="319">
        <v>4</v>
      </c>
      <c r="C46" s="406"/>
      <c r="D46" s="406"/>
      <c r="E46" s="392"/>
      <c r="F46" s="451"/>
      <c r="G46" s="299"/>
      <c r="H46" s="571"/>
      <c r="I46" s="782"/>
      <c r="J46" s="782"/>
      <c r="K46" s="300"/>
      <c r="L46" s="297">
        <v>4</v>
      </c>
      <c r="M46" s="424" t="s">
        <v>369</v>
      </c>
      <c r="N46" s="406"/>
      <c r="O46" s="548"/>
      <c r="P46" s="451"/>
      <c r="Q46" s="299"/>
      <c r="R46" s="586"/>
      <c r="S46" s="622"/>
      <c r="T46" s="521" t="str">
        <f t="shared" si="0"/>
        <v/>
      </c>
      <c r="U46" s="506">
        <f>(Q46/$X$32*$J$32)</f>
        <v>0</v>
      </c>
      <c r="V46" s="766"/>
      <c r="W46" s="571"/>
      <c r="X46" s="779"/>
      <c r="Y46" s="480"/>
    </row>
    <row r="47" spans="1:28" ht="15" customHeight="1" thickBot="1">
      <c r="B47" s="301">
        <v>4</v>
      </c>
      <c r="C47" s="324"/>
      <c r="D47" s="324"/>
      <c r="E47" s="395"/>
      <c r="F47" s="453"/>
      <c r="G47" s="304"/>
      <c r="H47" s="572"/>
      <c r="I47" s="783"/>
      <c r="J47" s="783"/>
      <c r="K47" s="305"/>
      <c r="L47" s="301">
        <v>4</v>
      </c>
      <c r="M47" s="425" t="s">
        <v>369</v>
      </c>
      <c r="N47" s="324"/>
      <c r="O47" s="549"/>
      <c r="P47" s="453"/>
      <c r="Q47" s="304"/>
      <c r="R47" s="587"/>
      <c r="S47" s="623"/>
      <c r="T47" s="522" t="str">
        <f t="shared" si="0"/>
        <v/>
      </c>
      <c r="U47" s="507">
        <f>(Q47/$X$32*$J$32)</f>
        <v>0</v>
      </c>
      <c r="V47" s="767"/>
      <c r="W47" s="572"/>
      <c r="X47" s="780"/>
      <c r="Y47" s="480"/>
    </row>
    <row r="48" spans="1:28" ht="14.4" thickBot="1">
      <c r="A48" s="24"/>
      <c r="B48" s="275"/>
      <c r="C48" s="276"/>
      <c r="D48" s="307"/>
      <c r="E48" s="290"/>
      <c r="F48" s="454"/>
      <c r="G48" s="291"/>
      <c r="H48" s="569"/>
      <c r="I48" s="279"/>
      <c r="J48" s="279"/>
      <c r="K48" s="24"/>
      <c r="L48" s="275"/>
      <c r="M48" s="276"/>
      <c r="N48" s="307"/>
      <c r="O48" s="546"/>
      <c r="P48" s="454"/>
      <c r="Q48" s="291"/>
      <c r="R48" s="589"/>
      <c r="S48" s="625"/>
      <c r="T48" s="519" t="str">
        <f t="shared" si="0"/>
        <v/>
      </c>
      <c r="U48" s="510"/>
      <c r="V48" s="494"/>
      <c r="W48" s="569"/>
      <c r="X48" s="349"/>
      <c r="Y48" s="480"/>
    </row>
    <row r="49" spans="2:25" ht="14.25" customHeight="1">
      <c r="B49" s="280">
        <v>5</v>
      </c>
      <c r="C49" s="308" t="s">
        <v>389</v>
      </c>
      <c r="D49" s="326" t="s">
        <v>390</v>
      </c>
      <c r="E49" s="282"/>
      <c r="F49" s="435"/>
      <c r="G49" s="283">
        <f>D224-G50</f>
        <v>30636</v>
      </c>
      <c r="H49" s="656">
        <v>45866</v>
      </c>
      <c r="I49" s="772">
        <f>SUM(G49:G84)</f>
        <v>45636</v>
      </c>
      <c r="J49" s="772">
        <f>F224</f>
        <v>57045</v>
      </c>
      <c r="K49" s="284"/>
      <c r="L49" s="280">
        <v>5</v>
      </c>
      <c r="M49" s="420" t="s">
        <v>391</v>
      </c>
      <c r="N49" s="326"/>
      <c r="O49" s="542"/>
      <c r="P49" s="435"/>
      <c r="Q49" s="283"/>
      <c r="R49" s="588"/>
      <c r="S49" s="624"/>
      <c r="T49" s="516"/>
      <c r="U49" s="501">
        <f>(Q49/$X$49*$J$49)</f>
        <v>0</v>
      </c>
      <c r="V49" s="762">
        <f>J49-SUM(U49:U84)</f>
        <v>2.218979483586736E-3</v>
      </c>
      <c r="W49" s="573"/>
      <c r="X49" s="759">
        <f>SUM(Q49:Q84)</f>
        <v>200056.25</v>
      </c>
      <c r="Y49" s="480"/>
    </row>
    <row r="50" spans="2:25" ht="14.25" customHeight="1">
      <c r="B50" s="285">
        <v>5</v>
      </c>
      <c r="C50" s="309"/>
      <c r="D50" s="312" t="s">
        <v>392</v>
      </c>
      <c r="E50" s="449"/>
      <c r="F50" s="450"/>
      <c r="G50" s="314">
        <v>15000</v>
      </c>
      <c r="H50" s="656">
        <v>45867</v>
      </c>
      <c r="I50" s="773"/>
      <c r="J50" s="773"/>
      <c r="K50" s="287"/>
      <c r="L50" s="285">
        <v>5</v>
      </c>
      <c r="M50" s="426" t="s">
        <v>391</v>
      </c>
      <c r="N50" s="286" t="s">
        <v>393</v>
      </c>
      <c r="O50" s="550"/>
      <c r="P50" s="450"/>
      <c r="Q50" s="314">
        <v>17131.5</v>
      </c>
      <c r="R50" s="634" t="s">
        <v>394</v>
      </c>
      <c r="S50" s="617" t="s">
        <v>395</v>
      </c>
      <c r="T50" s="647">
        <v>45838</v>
      </c>
      <c r="U50" s="652">
        <v>17332.950542726401</v>
      </c>
      <c r="V50" s="763"/>
      <c r="W50" s="656">
        <v>45867</v>
      </c>
      <c r="X50" s="760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773"/>
      <c r="J51" s="773"/>
      <c r="K51" s="287"/>
      <c r="L51" s="285">
        <v>5</v>
      </c>
      <c r="M51" s="426" t="s">
        <v>391</v>
      </c>
      <c r="N51" s="286" t="s">
        <v>396</v>
      </c>
      <c r="O51" s="550">
        <v>1</v>
      </c>
      <c r="P51" s="450">
        <v>2970</v>
      </c>
      <c r="Q51" s="314">
        <f>O51*P51*-1</f>
        <v>-2970</v>
      </c>
      <c r="R51" s="634"/>
      <c r="S51" s="617" t="s">
        <v>397</v>
      </c>
      <c r="T51" s="647">
        <v>45930</v>
      </c>
      <c r="U51" s="652">
        <v>0</v>
      </c>
      <c r="V51" s="763"/>
      <c r="W51" s="530">
        <v>45930</v>
      </c>
      <c r="X51" s="760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530">
        <v>45930</v>
      </c>
      <c r="I52" s="773"/>
      <c r="J52" s="773"/>
      <c r="K52" s="287"/>
      <c r="L52" s="285">
        <v>5</v>
      </c>
      <c r="M52" s="426" t="s">
        <v>391</v>
      </c>
      <c r="N52" s="286" t="s">
        <v>398</v>
      </c>
      <c r="O52" s="550">
        <v>3</v>
      </c>
      <c r="P52" s="450">
        <v>1260</v>
      </c>
      <c r="Q52" s="314">
        <f>O52*P52*-1</f>
        <v>-3780</v>
      </c>
      <c r="R52" s="634"/>
      <c r="S52" s="617" t="s">
        <v>397</v>
      </c>
      <c r="T52" s="647">
        <v>45930</v>
      </c>
      <c r="U52" s="652">
        <v>0</v>
      </c>
      <c r="V52" s="763"/>
      <c r="W52" s="530">
        <v>45930</v>
      </c>
      <c r="X52" s="760"/>
      <c r="Y52" s="480"/>
    </row>
    <row r="53" spans="2:25" ht="14.25" customHeight="1">
      <c r="B53" s="285"/>
      <c r="C53" s="309"/>
      <c r="D53" s="312"/>
      <c r="E53" s="449"/>
      <c r="F53" s="450"/>
      <c r="G53" s="314"/>
      <c r="H53" s="656"/>
      <c r="I53" s="773"/>
      <c r="J53" s="773"/>
      <c r="K53" s="287"/>
      <c r="L53" s="285">
        <v>5</v>
      </c>
      <c r="M53" s="426" t="s">
        <v>391</v>
      </c>
      <c r="N53" s="286" t="s">
        <v>398</v>
      </c>
      <c r="O53" s="550">
        <v>-3</v>
      </c>
      <c r="P53" s="450">
        <v>1260</v>
      </c>
      <c r="Q53" s="314">
        <f>O53*P53</f>
        <v>-3780</v>
      </c>
      <c r="R53" s="634"/>
      <c r="S53" s="617" t="s">
        <v>397</v>
      </c>
      <c r="T53" s="690">
        <v>45991</v>
      </c>
      <c r="U53" s="652">
        <v>0</v>
      </c>
      <c r="V53" s="763"/>
      <c r="W53" s="691">
        <v>45991</v>
      </c>
      <c r="X53" s="760"/>
      <c r="Y53" s="480"/>
    </row>
    <row r="54" spans="2:25" ht="14.25" customHeight="1">
      <c r="B54" s="285">
        <v>5</v>
      </c>
      <c r="C54" s="309"/>
      <c r="D54" s="312"/>
      <c r="E54" s="313"/>
      <c r="F54" s="457"/>
      <c r="G54" s="314"/>
      <c r="H54" s="566">
        <v>45869</v>
      </c>
      <c r="I54" s="773"/>
      <c r="J54" s="773"/>
      <c r="K54" s="287"/>
      <c r="L54" s="285">
        <v>5</v>
      </c>
      <c r="M54" s="426" t="s">
        <v>391</v>
      </c>
      <c r="N54" s="312" t="s">
        <v>399</v>
      </c>
      <c r="O54" s="543"/>
      <c r="P54" s="457"/>
      <c r="Q54" s="314">
        <v>11169</v>
      </c>
      <c r="R54" s="581"/>
      <c r="S54" s="617" t="s">
        <v>400</v>
      </c>
      <c r="T54" s="647">
        <v>45869</v>
      </c>
      <c r="U54" s="652">
        <v>1489.3545618197209</v>
      </c>
      <c r="V54" s="763"/>
      <c r="W54" s="691">
        <v>45869</v>
      </c>
      <c r="X54" s="760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>
        <f>E55+30</f>
        <v>30</v>
      </c>
      <c r="I55" s="773"/>
      <c r="J55" s="773"/>
      <c r="K55" s="287"/>
      <c r="L55" s="285">
        <v>5</v>
      </c>
      <c r="M55" s="426" t="s">
        <v>391</v>
      </c>
      <c r="N55" s="312" t="s">
        <v>399</v>
      </c>
      <c r="O55" s="543"/>
      <c r="P55" s="457"/>
      <c r="Q55" s="314">
        <v>11169</v>
      </c>
      <c r="R55" s="581"/>
      <c r="S55" s="617" t="s">
        <v>401</v>
      </c>
      <c r="T55" s="690">
        <v>45961</v>
      </c>
      <c r="U55" s="746">
        <v>3098.8520637391098</v>
      </c>
      <c r="V55" s="763"/>
      <c r="W55" s="530">
        <v>45974</v>
      </c>
      <c r="X55" s="760"/>
      <c r="Y55" s="480"/>
    </row>
    <row r="56" spans="2:25" ht="14.25" customHeight="1">
      <c r="B56" s="285"/>
      <c r="C56" s="309"/>
      <c r="D56" s="312"/>
      <c r="E56" s="313"/>
      <c r="F56" s="457"/>
      <c r="G56" s="314"/>
      <c r="H56" s="566"/>
      <c r="I56" s="773"/>
      <c r="J56" s="773"/>
      <c r="K56" s="287"/>
      <c r="L56" s="285">
        <v>5</v>
      </c>
      <c r="M56" s="426" t="s">
        <v>391</v>
      </c>
      <c r="N56" s="312" t="s">
        <v>402</v>
      </c>
      <c r="O56" s="543"/>
      <c r="P56" s="457"/>
      <c r="Q56" s="314">
        <v>206.91</v>
      </c>
      <c r="R56" s="581"/>
      <c r="S56" s="617" t="s">
        <v>403</v>
      </c>
      <c r="T56" s="690">
        <v>45961</v>
      </c>
      <c r="U56" s="746">
        <v>34.86</v>
      </c>
      <c r="V56" s="763"/>
      <c r="W56" s="530">
        <f>T56+30</f>
        <v>45991</v>
      </c>
      <c r="X56" s="760"/>
      <c r="Y56" s="480"/>
    </row>
    <row r="57" spans="2:25" ht="14.25" customHeight="1">
      <c r="B57" s="310">
        <v>5</v>
      </c>
      <c r="C57" s="311"/>
      <c r="D57" s="312"/>
      <c r="E57" s="313"/>
      <c r="F57" s="457"/>
      <c r="G57" s="314"/>
      <c r="H57" s="530">
        <v>45876</v>
      </c>
      <c r="I57" s="773"/>
      <c r="J57" s="773"/>
      <c r="K57" s="287"/>
      <c r="L57" s="310">
        <v>5</v>
      </c>
      <c r="M57" s="426" t="s">
        <v>391</v>
      </c>
      <c r="N57" s="312" t="s">
        <v>404</v>
      </c>
      <c r="O57" s="543"/>
      <c r="P57" s="457"/>
      <c r="Q57" s="314">
        <v>2250.5</v>
      </c>
      <c r="R57" s="581" t="s">
        <v>405</v>
      </c>
      <c r="S57" s="617" t="s">
        <v>406</v>
      </c>
      <c r="T57" s="647">
        <v>45869</v>
      </c>
      <c r="U57" s="652">
        <v>300.09781013298249</v>
      </c>
      <c r="V57" s="763"/>
      <c r="W57" s="530">
        <v>45876</v>
      </c>
      <c r="X57" s="760"/>
      <c r="Y57" s="480"/>
    </row>
    <row r="58" spans="2:25" ht="14.25" customHeight="1">
      <c r="B58" s="381">
        <v>5</v>
      </c>
      <c r="C58" s="382"/>
      <c r="D58" s="385"/>
      <c r="E58" s="404"/>
      <c r="F58" s="442"/>
      <c r="G58" s="384"/>
      <c r="H58" s="567"/>
      <c r="I58" s="773"/>
      <c r="J58" s="773"/>
      <c r="K58" s="287"/>
      <c r="L58" s="310">
        <v>5</v>
      </c>
      <c r="M58" s="426" t="s">
        <v>391</v>
      </c>
      <c r="N58" s="312" t="s">
        <v>407</v>
      </c>
      <c r="O58" s="543"/>
      <c r="P58" s="457"/>
      <c r="Q58" s="684">
        <v>0</v>
      </c>
      <c r="R58" s="582"/>
      <c r="S58" s="618"/>
      <c r="T58" s="517"/>
      <c r="U58" s="501">
        <f>(Q58/$X$49*$J$49)</f>
        <v>0</v>
      </c>
      <c r="V58" s="763"/>
      <c r="W58" s="567"/>
      <c r="X58" s="760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>
        <f>E59+30</f>
        <v>30</v>
      </c>
      <c r="I59" s="773"/>
      <c r="J59" s="773"/>
      <c r="K59" s="287"/>
      <c r="L59" s="310">
        <v>5</v>
      </c>
      <c r="M59" s="421" t="s">
        <v>391</v>
      </c>
      <c r="N59" s="687" t="s">
        <v>408</v>
      </c>
      <c r="O59" s="673"/>
      <c r="P59" s="674"/>
      <c r="Q59" s="683">
        <v>25703</v>
      </c>
      <c r="R59" s="671" t="s">
        <v>409</v>
      </c>
      <c r="S59" s="618" t="s">
        <v>410</v>
      </c>
      <c r="T59" s="655">
        <v>45900</v>
      </c>
      <c r="U59" s="652">
        <v>5254.222739440329</v>
      </c>
      <c r="V59" s="763"/>
      <c r="W59" s="725">
        <f>T59+30</f>
        <v>45930</v>
      </c>
      <c r="X59" s="760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773"/>
      <c r="J60" s="773"/>
      <c r="K60" s="287"/>
      <c r="L60" s="310">
        <v>5</v>
      </c>
      <c r="M60" s="426" t="s">
        <v>391</v>
      </c>
      <c r="N60" s="688" t="s">
        <v>411</v>
      </c>
      <c r="O60" s="544">
        <v>1</v>
      </c>
      <c r="P60" s="442"/>
      <c r="Q60" s="676"/>
      <c r="R60" s="671"/>
      <c r="S60" s="618"/>
      <c r="T60" s="517"/>
      <c r="U60" s="501">
        <f>(Q60/$X$49*$J$49)</f>
        <v>0</v>
      </c>
      <c r="V60" s="763"/>
      <c r="W60" s="567"/>
      <c r="X60" s="760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773"/>
      <c r="J61" s="773"/>
      <c r="K61" s="287"/>
      <c r="L61" s="310">
        <v>5</v>
      </c>
      <c r="M61" s="426" t="s">
        <v>391</v>
      </c>
      <c r="N61" s="688" t="s">
        <v>412</v>
      </c>
      <c r="O61" s="544">
        <v>3</v>
      </c>
      <c r="P61" s="442"/>
      <c r="Q61" s="676"/>
      <c r="R61" s="671"/>
      <c r="S61" s="618"/>
      <c r="T61" s="517"/>
      <c r="U61" s="501">
        <f>(Q61/$X$49*$J$49)</f>
        <v>0</v>
      </c>
      <c r="V61" s="763"/>
      <c r="W61" s="567"/>
      <c r="X61" s="760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773"/>
      <c r="J62" s="773"/>
      <c r="K62" s="287"/>
      <c r="L62" s="310">
        <v>5</v>
      </c>
      <c r="M62" s="426" t="s">
        <v>391</v>
      </c>
      <c r="N62" s="688" t="s">
        <v>413</v>
      </c>
      <c r="O62" s="544">
        <v>6</v>
      </c>
      <c r="P62" s="442"/>
      <c r="Q62" s="676"/>
      <c r="R62" s="671"/>
      <c r="S62" s="618"/>
      <c r="T62" s="517"/>
      <c r="U62" s="501">
        <f>(Q62/$X$49*$J$49)</f>
        <v>0</v>
      </c>
      <c r="V62" s="763"/>
      <c r="W62" s="567"/>
      <c r="X62" s="760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/>
      <c r="I63" s="773"/>
      <c r="J63" s="773"/>
      <c r="K63" s="287"/>
      <c r="L63" s="310">
        <v>5</v>
      </c>
      <c r="M63" s="426" t="s">
        <v>391</v>
      </c>
      <c r="N63" s="689" t="s">
        <v>414</v>
      </c>
      <c r="O63" s="543">
        <v>6</v>
      </c>
      <c r="P63" s="457"/>
      <c r="Q63" s="686"/>
      <c r="R63" s="671"/>
      <c r="S63" s="618"/>
      <c r="T63" s="517"/>
      <c r="U63" s="501">
        <f>(Q63/$X$49*$J$49)</f>
        <v>0</v>
      </c>
      <c r="V63" s="763"/>
      <c r="W63" s="567"/>
      <c r="X63" s="760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67">
        <f>E64+30</f>
        <v>30</v>
      </c>
      <c r="I64" s="773"/>
      <c r="J64" s="773"/>
      <c r="K64" s="287"/>
      <c r="L64" s="310">
        <v>5</v>
      </c>
      <c r="M64" s="426" t="s">
        <v>391</v>
      </c>
      <c r="N64" s="286" t="s">
        <v>415</v>
      </c>
      <c r="O64" s="550"/>
      <c r="P64" s="450"/>
      <c r="Q64" s="685">
        <v>1644.5</v>
      </c>
      <c r="R64" s="582" t="s">
        <v>416</v>
      </c>
      <c r="S64" s="618" t="s">
        <v>417</v>
      </c>
      <c r="T64" s="655">
        <v>45900</v>
      </c>
      <c r="U64" s="652">
        <v>336.16968038787775</v>
      </c>
      <c r="V64" s="763"/>
      <c r="W64" s="725">
        <f>T64+30</f>
        <v>45930</v>
      </c>
      <c r="X64" s="760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45900</v>
      </c>
      <c r="I65" s="773"/>
      <c r="J65" s="773"/>
      <c r="K65" s="287"/>
      <c r="L65" s="310">
        <v>5</v>
      </c>
      <c r="M65" s="426" t="s">
        <v>391</v>
      </c>
      <c r="N65" s="286" t="s">
        <v>415</v>
      </c>
      <c r="O65" s="543"/>
      <c r="P65" s="457"/>
      <c r="Q65" s="314">
        <v>-940.5</v>
      </c>
      <c r="R65" s="671"/>
      <c r="S65" s="618" t="s">
        <v>418</v>
      </c>
      <c r="T65" s="655">
        <v>45900</v>
      </c>
      <c r="U65" s="652">
        <v>-192.2575764091207</v>
      </c>
      <c r="V65" s="763"/>
      <c r="W65" s="531">
        <v>45900</v>
      </c>
      <c r="X65" s="760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31">
        <v>45930</v>
      </c>
      <c r="I66" s="773"/>
      <c r="J66" s="773"/>
      <c r="K66" s="287"/>
      <c r="L66" s="310">
        <v>5</v>
      </c>
      <c r="M66" s="426" t="s">
        <v>391</v>
      </c>
      <c r="N66" s="672" t="s">
        <v>419</v>
      </c>
      <c r="O66" s="673"/>
      <c r="P66" s="674"/>
      <c r="Q66" s="675">
        <v>200</v>
      </c>
      <c r="R66" s="582"/>
      <c r="S66" s="618" t="s">
        <v>420</v>
      </c>
      <c r="T66" s="655">
        <v>45900</v>
      </c>
      <c r="U66" s="652">
        <v>0</v>
      </c>
      <c r="V66" s="763"/>
      <c r="W66" s="531">
        <v>45930</v>
      </c>
      <c r="X66" s="760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773"/>
      <c r="J67" s="773"/>
      <c r="K67" s="287"/>
      <c r="L67" s="310">
        <v>5</v>
      </c>
      <c r="M67" s="426" t="s">
        <v>391</v>
      </c>
      <c r="N67" s="385" t="s">
        <v>421</v>
      </c>
      <c r="O67" s="544">
        <v>2</v>
      </c>
      <c r="P67" s="442"/>
      <c r="Q67" s="384">
        <v>21200</v>
      </c>
      <c r="R67" s="788" t="s">
        <v>422</v>
      </c>
      <c r="S67" s="618" t="s">
        <v>423</v>
      </c>
      <c r="T67" s="655">
        <v>45900</v>
      </c>
      <c r="U67" s="652">
        <v>4333.7167675421151</v>
      </c>
      <c r="V67" s="763"/>
      <c r="W67" s="725">
        <f>T67+30</f>
        <v>45930</v>
      </c>
      <c r="X67" s="760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>
        <f>E68+30</f>
        <v>30</v>
      </c>
      <c r="I68" s="773"/>
      <c r="J68" s="773"/>
      <c r="K68" s="287"/>
      <c r="L68" s="310">
        <v>5</v>
      </c>
      <c r="M68" s="426" t="s">
        <v>391</v>
      </c>
      <c r="N68" s="385" t="s">
        <v>424</v>
      </c>
      <c r="O68" s="544">
        <v>2</v>
      </c>
      <c r="P68" s="442"/>
      <c r="Q68" s="384">
        <v>9040</v>
      </c>
      <c r="R68" s="789"/>
      <c r="S68" s="618" t="s">
        <v>423</v>
      </c>
      <c r="T68" s="655">
        <v>45900</v>
      </c>
      <c r="U68" s="652">
        <v>1847.9622442726754</v>
      </c>
      <c r="V68" s="763"/>
      <c r="W68" s="725">
        <f>T68+30</f>
        <v>45930</v>
      </c>
      <c r="X68" s="760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773"/>
      <c r="J69" s="773"/>
      <c r="K69" s="287"/>
      <c r="L69" s="310">
        <v>5</v>
      </c>
      <c r="M69" s="426" t="s">
        <v>391</v>
      </c>
      <c r="N69" s="385"/>
      <c r="O69" s="544"/>
      <c r="P69" s="442"/>
      <c r="Q69" s="384"/>
      <c r="R69" s="582"/>
      <c r="S69" s="618"/>
      <c r="T69" s="517"/>
      <c r="U69" s="501">
        <f>(Q69/$X$49*$J$49)</f>
        <v>0</v>
      </c>
      <c r="V69" s="763"/>
      <c r="W69" s="567"/>
      <c r="X69" s="760"/>
      <c r="Y69" s="480"/>
    </row>
    <row r="70" spans="2:25" ht="14.25" customHeight="1">
      <c r="B70" s="381"/>
      <c r="C70" s="382"/>
      <c r="D70" s="385"/>
      <c r="E70" s="404"/>
      <c r="F70" s="442"/>
      <c r="G70" s="384"/>
      <c r="H70" s="567"/>
      <c r="I70" s="773"/>
      <c r="J70" s="773"/>
      <c r="K70" s="287"/>
      <c r="L70" s="310">
        <v>5</v>
      </c>
      <c r="M70" s="426" t="s">
        <v>391</v>
      </c>
      <c r="N70" s="385"/>
      <c r="O70" s="544"/>
      <c r="P70" s="442"/>
      <c r="Q70" s="384"/>
      <c r="R70" s="582"/>
      <c r="S70" s="618"/>
      <c r="T70" s="517"/>
      <c r="U70" s="501">
        <f>(Q70/$X$49*$J$49)</f>
        <v>0</v>
      </c>
      <c r="V70" s="763"/>
      <c r="W70" s="567"/>
      <c r="X70" s="760"/>
      <c r="Y70" s="480"/>
    </row>
    <row r="71" spans="2:25" ht="14.25" customHeight="1">
      <c r="B71" s="381">
        <v>5</v>
      </c>
      <c r="C71" s="382"/>
      <c r="D71" s="385"/>
      <c r="E71" s="404"/>
      <c r="F71" s="442"/>
      <c r="G71" s="384"/>
      <c r="H71" s="567">
        <f>E71+30</f>
        <v>30</v>
      </c>
      <c r="I71" s="773"/>
      <c r="J71" s="773"/>
      <c r="K71" s="287"/>
      <c r="L71" s="310">
        <v>5</v>
      </c>
      <c r="M71" s="426" t="s">
        <v>391</v>
      </c>
      <c r="N71" s="385" t="s">
        <v>425</v>
      </c>
      <c r="O71" s="544">
        <v>3</v>
      </c>
      <c r="P71" s="442"/>
      <c r="Q71" s="384">
        <v>28431.279999999999</v>
      </c>
      <c r="R71" s="582" t="s">
        <v>426</v>
      </c>
      <c r="S71" s="618" t="s">
        <v>427</v>
      </c>
      <c r="T71" s="655">
        <v>45961</v>
      </c>
      <c r="U71" s="746">
        <v>7888.2917631609344</v>
      </c>
      <c r="V71" s="763"/>
      <c r="W71" s="531">
        <v>45947</v>
      </c>
      <c r="X71" s="760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/>
      <c r="I72" s="773"/>
      <c r="J72" s="773"/>
      <c r="K72" s="287"/>
      <c r="L72" s="310">
        <v>5</v>
      </c>
      <c r="M72" s="426" t="s">
        <v>391</v>
      </c>
      <c r="N72" s="385"/>
      <c r="O72" s="544"/>
      <c r="P72" s="442"/>
      <c r="Q72" s="384"/>
      <c r="R72" s="582"/>
      <c r="S72" s="618"/>
      <c r="T72" s="517"/>
      <c r="U72" s="746">
        <v>0</v>
      </c>
      <c r="V72" s="763"/>
      <c r="W72" s="567"/>
      <c r="X72" s="760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>
        <f>E73</f>
        <v>0</v>
      </c>
      <c r="I73" s="773"/>
      <c r="J73" s="773"/>
      <c r="K73" s="287"/>
      <c r="L73" s="310">
        <v>5</v>
      </c>
      <c r="M73" s="426" t="s">
        <v>391</v>
      </c>
      <c r="N73" s="385" t="s">
        <v>428</v>
      </c>
      <c r="O73" s="544"/>
      <c r="P73" s="442"/>
      <c r="Q73" s="384">
        <f>81130.56-Q74</f>
        <v>52911.24</v>
      </c>
      <c r="R73" s="582" t="s">
        <v>429</v>
      </c>
      <c r="S73" s="618" t="s">
        <v>430</v>
      </c>
      <c r="T73" s="655">
        <v>45961</v>
      </c>
      <c r="U73" s="746">
        <v>6376.4951883781287</v>
      </c>
      <c r="V73" s="763"/>
      <c r="W73" s="725">
        <f>T73</f>
        <v>45961</v>
      </c>
      <c r="X73" s="760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773"/>
      <c r="J74" s="773"/>
      <c r="K74" s="287"/>
      <c r="L74" s="310">
        <v>5</v>
      </c>
      <c r="M74" s="426" t="s">
        <v>391</v>
      </c>
      <c r="N74" s="385"/>
      <c r="O74" s="544"/>
      <c r="P74" s="442"/>
      <c r="Q74" s="384">
        <v>28219.32</v>
      </c>
      <c r="R74" s="582"/>
      <c r="S74" s="618" t="s">
        <v>430</v>
      </c>
      <c r="T74" s="655">
        <v>45961</v>
      </c>
      <c r="U74" s="746">
        <v>7829.483214192348</v>
      </c>
      <c r="V74" s="763"/>
      <c r="W74" s="531">
        <v>45939</v>
      </c>
      <c r="X74" s="760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773"/>
      <c r="J75" s="773"/>
      <c r="K75" s="287"/>
      <c r="L75" s="310">
        <v>5</v>
      </c>
      <c r="M75" s="426" t="s">
        <v>391</v>
      </c>
      <c r="N75" s="385"/>
      <c r="O75" s="544"/>
      <c r="P75" s="442"/>
      <c r="Q75" s="384"/>
      <c r="R75" s="582"/>
      <c r="S75" s="618"/>
      <c r="T75" s="517"/>
      <c r="U75" s="746">
        <v>0</v>
      </c>
      <c r="V75" s="763"/>
      <c r="W75" s="567"/>
      <c r="X75" s="760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773"/>
      <c r="J76" s="773"/>
      <c r="K76" s="287"/>
      <c r="L76" s="310">
        <v>5</v>
      </c>
      <c r="M76" s="426" t="s">
        <v>391</v>
      </c>
      <c r="N76" s="385" t="s">
        <v>431</v>
      </c>
      <c r="O76" s="544"/>
      <c r="P76" s="442"/>
      <c r="Q76" s="384">
        <v>1767.5</v>
      </c>
      <c r="R76" s="582" t="s">
        <v>432</v>
      </c>
      <c r="S76" s="739" t="s">
        <v>433</v>
      </c>
      <c r="T76" s="726">
        <v>45961</v>
      </c>
      <c r="U76" s="746">
        <v>490.39493443091385</v>
      </c>
      <c r="V76" s="763"/>
      <c r="W76" s="531">
        <f>T76+30</f>
        <v>45991</v>
      </c>
      <c r="X76" s="760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773"/>
      <c r="J77" s="773"/>
      <c r="K77" s="287"/>
      <c r="L77" s="310">
        <v>5</v>
      </c>
      <c r="M77" s="426" t="s">
        <v>391</v>
      </c>
      <c r="N77" s="385" t="s">
        <v>431</v>
      </c>
      <c r="O77" s="544"/>
      <c r="P77" s="442"/>
      <c r="Q77" s="384">
        <v>-1767.5</v>
      </c>
      <c r="R77" s="582"/>
      <c r="S77" s="739" t="s">
        <v>434</v>
      </c>
      <c r="T77" s="726">
        <v>46053</v>
      </c>
      <c r="U77" s="746">
        <v>0</v>
      </c>
      <c r="V77" s="763"/>
      <c r="W77" s="531">
        <v>46053</v>
      </c>
      <c r="X77" s="760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773"/>
      <c r="J78" s="773"/>
      <c r="K78" s="287"/>
      <c r="L78" s="310">
        <v>5</v>
      </c>
      <c r="M78" s="426" t="s">
        <v>391</v>
      </c>
      <c r="N78" s="385" t="s">
        <v>435</v>
      </c>
      <c r="O78" s="544"/>
      <c r="P78" s="442"/>
      <c r="Q78" s="384">
        <v>2250.5</v>
      </c>
      <c r="R78" s="582" t="s">
        <v>436</v>
      </c>
      <c r="S78" s="618" t="s">
        <v>437</v>
      </c>
      <c r="T78" s="726">
        <v>45961</v>
      </c>
      <c r="U78" s="746">
        <v>624.40384720609427</v>
      </c>
      <c r="V78" s="763"/>
      <c r="W78" s="725">
        <v>45961</v>
      </c>
      <c r="X78" s="760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773"/>
      <c r="J79" s="773"/>
      <c r="K79" s="287"/>
      <c r="L79" s="310">
        <v>5</v>
      </c>
      <c r="M79" s="426" t="s">
        <v>391</v>
      </c>
      <c r="N79" s="385"/>
      <c r="O79" s="544"/>
      <c r="P79" s="442"/>
      <c r="Q79" s="384"/>
      <c r="R79" s="582"/>
      <c r="S79" s="618"/>
      <c r="T79" s="517"/>
      <c r="U79" s="501">
        <f t="shared" ref="U79:U84" si="6">(Q79/$X$49*$J$49)</f>
        <v>0</v>
      </c>
      <c r="V79" s="763"/>
      <c r="W79" s="567"/>
      <c r="X79" s="760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773"/>
      <c r="J80" s="773"/>
      <c r="K80" s="287"/>
      <c r="L80" s="310">
        <v>5</v>
      </c>
      <c r="M80" s="426" t="s">
        <v>391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63"/>
      <c r="W80" s="567"/>
      <c r="X80" s="760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773"/>
      <c r="J81" s="773"/>
      <c r="K81" s="287"/>
      <c r="L81" s="310">
        <v>5</v>
      </c>
      <c r="M81" s="426" t="s">
        <v>391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63"/>
      <c r="W81" s="567"/>
      <c r="X81" s="760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773"/>
      <c r="J82" s="773"/>
      <c r="K82" s="287"/>
      <c r="L82" s="310">
        <v>5</v>
      </c>
      <c r="M82" s="426" t="s">
        <v>391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63"/>
      <c r="W82" s="567"/>
      <c r="X82" s="760"/>
      <c r="Y82" s="480"/>
    </row>
    <row r="83" spans="1:25" ht="14.25" customHeight="1">
      <c r="B83" s="381"/>
      <c r="C83" s="382"/>
      <c r="D83" s="385"/>
      <c r="E83" s="404"/>
      <c r="F83" s="442"/>
      <c r="G83" s="384"/>
      <c r="H83" s="567"/>
      <c r="I83" s="773"/>
      <c r="J83" s="773"/>
      <c r="K83" s="287"/>
      <c r="L83" s="310">
        <v>5</v>
      </c>
      <c r="M83" s="426" t="s">
        <v>391</v>
      </c>
      <c r="N83" s="385"/>
      <c r="O83" s="544"/>
      <c r="P83" s="442"/>
      <c r="Q83" s="384"/>
      <c r="R83" s="582"/>
      <c r="S83" s="618"/>
      <c r="T83" s="517"/>
      <c r="U83" s="501">
        <f t="shared" si="6"/>
        <v>0</v>
      </c>
      <c r="V83" s="763"/>
      <c r="W83" s="567"/>
      <c r="X83" s="760"/>
      <c r="Y83" s="480"/>
    </row>
    <row r="84" spans="1:25" ht="15" customHeight="1">
      <c r="B84" s="315">
        <v>5</v>
      </c>
      <c r="C84" s="336"/>
      <c r="D84" s="316"/>
      <c r="E84" s="317"/>
      <c r="F84" s="458"/>
      <c r="G84" s="329"/>
      <c r="H84" s="568"/>
      <c r="I84" s="774"/>
      <c r="J84" s="774"/>
      <c r="K84" s="288"/>
      <c r="L84" s="315">
        <v>5</v>
      </c>
      <c r="M84" s="422" t="s">
        <v>391</v>
      </c>
      <c r="N84" s="316"/>
      <c r="O84" s="545"/>
      <c r="P84" s="458"/>
      <c r="Q84" s="329"/>
      <c r="R84" s="583"/>
      <c r="S84" s="619"/>
      <c r="T84" s="518" t="str">
        <f t="shared" si="0"/>
        <v/>
      </c>
      <c r="U84" s="503">
        <f t="shared" si="6"/>
        <v>0</v>
      </c>
      <c r="V84" s="764"/>
      <c r="W84" s="568"/>
      <c r="X84" s="761"/>
      <c r="Y84" s="480"/>
    </row>
    <row r="85" spans="1:25">
      <c r="A85" s="24"/>
      <c r="B85" s="289"/>
      <c r="C85" s="306"/>
      <c r="D85" s="277"/>
      <c r="E85" s="290"/>
      <c r="F85" s="454"/>
      <c r="G85" s="291"/>
      <c r="H85" s="569"/>
      <c r="I85" s="325"/>
      <c r="J85" s="325"/>
      <c r="K85" s="24"/>
      <c r="L85" s="289"/>
      <c r="M85" s="306"/>
      <c r="N85" s="277"/>
      <c r="O85" s="546"/>
      <c r="P85" s="454"/>
      <c r="Q85" s="291"/>
      <c r="R85" s="584"/>
      <c r="S85" s="620"/>
      <c r="T85" s="519" t="str">
        <f t="shared" si="0"/>
        <v/>
      </c>
      <c r="U85" s="508"/>
      <c r="V85" s="491"/>
      <c r="W85" s="569"/>
      <c r="X85" s="481"/>
      <c r="Y85" s="480"/>
    </row>
    <row r="86" spans="1:25" ht="14.25" customHeight="1">
      <c r="B86" s="292">
        <v>6</v>
      </c>
      <c r="C86" s="293" t="s">
        <v>319</v>
      </c>
      <c r="D86" s="294" t="s">
        <v>438</v>
      </c>
      <c r="E86" s="473"/>
      <c r="F86" s="455"/>
      <c r="G86" s="295">
        <f>D223</f>
        <v>849891.5</v>
      </c>
      <c r="H86" s="570">
        <v>45900</v>
      </c>
      <c r="I86" s="781">
        <f>SUM(G86:G102)</f>
        <v>849891.5</v>
      </c>
      <c r="J86" s="781">
        <f>F223</f>
        <v>1062364.375</v>
      </c>
      <c r="K86" s="296"/>
      <c r="L86" s="292">
        <v>6</v>
      </c>
      <c r="M86" s="429" t="s">
        <v>439</v>
      </c>
      <c r="N86" s="294"/>
      <c r="O86" s="538"/>
      <c r="P86" s="455"/>
      <c r="Q86" s="295"/>
      <c r="R86" s="585"/>
      <c r="S86" s="621"/>
      <c r="T86" s="520" t="str">
        <f t="shared" si="0"/>
        <v/>
      </c>
      <c r="U86" s="505">
        <f t="shared" ref="U86:U91" si="7">(Q86/$X$86*$J$86)</f>
        <v>0</v>
      </c>
      <c r="V86" s="765">
        <f>J86-SUM(U86:U102)</f>
        <v>0</v>
      </c>
      <c r="W86" s="570"/>
      <c r="X86" s="778">
        <f>SUM(Q86:Q102)</f>
        <v>1071907.23</v>
      </c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782"/>
      <c r="J87" s="782"/>
      <c r="K87" s="300"/>
      <c r="L87" s="297">
        <v>6</v>
      </c>
      <c r="M87" s="427" t="s">
        <v>439</v>
      </c>
      <c r="N87" s="441" t="s">
        <v>440</v>
      </c>
      <c r="O87" s="548"/>
      <c r="P87" s="451"/>
      <c r="Q87" s="320">
        <v>13151</v>
      </c>
      <c r="R87" s="586"/>
      <c r="S87" s="622" t="s">
        <v>441</v>
      </c>
      <c r="T87" s="738">
        <v>45961</v>
      </c>
      <c r="U87" s="747">
        <v>0</v>
      </c>
      <c r="V87" s="766"/>
      <c r="W87" s="724">
        <v>46009</v>
      </c>
      <c r="X87" s="779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782"/>
      <c r="J88" s="782"/>
      <c r="K88" s="300"/>
      <c r="L88" s="297">
        <v>6</v>
      </c>
      <c r="M88" s="427" t="s">
        <v>439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766"/>
      <c r="W88" s="571"/>
      <c r="X88" s="779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782"/>
      <c r="J89" s="782"/>
      <c r="K89" s="300"/>
      <c r="L89" s="297">
        <v>6</v>
      </c>
      <c r="M89" s="427" t="s">
        <v>439</v>
      </c>
      <c r="N89" s="441"/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766"/>
      <c r="W89" s="571"/>
      <c r="X89" s="779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782"/>
      <c r="J90" s="782"/>
      <c r="K90" s="300"/>
      <c r="L90" s="297">
        <v>6</v>
      </c>
      <c r="M90" s="427" t="s">
        <v>439</v>
      </c>
      <c r="N90" s="441" t="s">
        <v>442</v>
      </c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766"/>
      <c r="W90" s="571"/>
      <c r="X90" s="779"/>
      <c r="Y90" s="480"/>
    </row>
    <row r="91" spans="1:25" ht="14.25" customHeight="1">
      <c r="B91" s="297">
        <v>6</v>
      </c>
      <c r="C91" s="406"/>
      <c r="D91" s="441"/>
      <c r="E91" s="392"/>
      <c r="F91" s="451"/>
      <c r="G91" s="320"/>
      <c r="H91" s="571"/>
      <c r="I91" s="782"/>
      <c r="J91" s="782"/>
      <c r="K91" s="300"/>
      <c r="L91" s="297">
        <v>6</v>
      </c>
      <c r="M91" s="427" t="s">
        <v>439</v>
      </c>
      <c r="N91" s="441"/>
      <c r="O91" s="548"/>
      <c r="P91" s="451"/>
      <c r="Q91" s="320"/>
      <c r="R91" s="586"/>
      <c r="S91" s="622"/>
      <c r="T91" s="521" t="str">
        <f t="shared" si="0"/>
        <v/>
      </c>
      <c r="U91" s="506">
        <f t="shared" si="7"/>
        <v>0</v>
      </c>
      <c r="V91" s="766"/>
      <c r="W91" s="571"/>
      <c r="X91" s="779"/>
      <c r="Y91" s="480"/>
    </row>
    <row r="92" spans="1:25" ht="14.25" customHeight="1">
      <c r="B92" s="297">
        <v>6</v>
      </c>
      <c r="C92" s="448"/>
      <c r="D92" s="298"/>
      <c r="E92" s="397"/>
      <c r="F92" s="452"/>
      <c r="G92" s="320"/>
      <c r="H92" s="533">
        <f>H138</f>
        <v>45897</v>
      </c>
      <c r="I92" s="782"/>
      <c r="J92" s="782"/>
      <c r="K92" s="300"/>
      <c r="L92" s="297">
        <v>6</v>
      </c>
      <c r="M92" s="427" t="s">
        <v>439</v>
      </c>
      <c r="N92" s="406" t="s">
        <v>378</v>
      </c>
      <c r="O92" s="559">
        <f>Z31</f>
        <v>1058756.23</v>
      </c>
      <c r="P92" s="560">
        <v>0.1</v>
      </c>
      <c r="Q92" s="299">
        <f>$O$92*P92</f>
        <v>105875.62300000001</v>
      </c>
      <c r="R92" s="786"/>
      <c r="S92" s="622" t="s">
        <v>379</v>
      </c>
      <c r="T92" s="643">
        <v>45900</v>
      </c>
      <c r="U92" s="650">
        <v>106236.4375</v>
      </c>
      <c r="V92" s="766"/>
      <c r="W92" s="533">
        <f>W138</f>
        <v>45883</v>
      </c>
      <c r="X92" s="779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33">
        <f t="shared" ref="H93:H99" si="8">H139</f>
        <v>45898</v>
      </c>
      <c r="I93" s="782"/>
      <c r="J93" s="782"/>
      <c r="K93" s="300"/>
      <c r="L93" s="297">
        <v>6</v>
      </c>
      <c r="M93" s="428" t="s">
        <v>439</v>
      </c>
      <c r="N93" s="406" t="s">
        <v>159</v>
      </c>
      <c r="O93" s="548"/>
      <c r="P93" s="560">
        <v>0.15</v>
      </c>
      <c r="Q93" s="299">
        <f t="shared" ref="Q93:Q99" si="9">$O$92*P93</f>
        <v>158813.4345</v>
      </c>
      <c r="R93" s="787"/>
      <c r="S93" s="622" t="s">
        <v>379</v>
      </c>
      <c r="T93" s="643">
        <v>45900</v>
      </c>
      <c r="U93" s="650">
        <v>159354.65625</v>
      </c>
      <c r="V93" s="766"/>
      <c r="W93" s="533">
        <f t="shared" ref="W93:W98" si="10">W139</f>
        <v>45898</v>
      </c>
      <c r="X93" s="779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782"/>
      <c r="J94" s="782"/>
      <c r="K94" s="300"/>
      <c r="L94" s="297">
        <v>6</v>
      </c>
      <c r="M94" s="428" t="s">
        <v>439</v>
      </c>
      <c r="N94" s="406" t="s">
        <v>380</v>
      </c>
      <c r="O94" s="548"/>
      <c r="P94" s="560">
        <v>0.2</v>
      </c>
      <c r="Q94" s="299">
        <f t="shared" si="9"/>
        <v>211751.24600000001</v>
      </c>
      <c r="R94" s="787"/>
      <c r="S94" s="622" t="s">
        <v>379</v>
      </c>
      <c r="T94" s="643">
        <v>45900</v>
      </c>
      <c r="U94" s="650">
        <v>212472.875</v>
      </c>
      <c r="V94" s="766"/>
      <c r="W94" s="533">
        <f>W140</f>
        <v>45946</v>
      </c>
      <c r="X94" s="779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782"/>
      <c r="J95" s="782"/>
      <c r="K95" s="300"/>
      <c r="L95" s="297">
        <v>6</v>
      </c>
      <c r="M95" s="428" t="s">
        <v>439</v>
      </c>
      <c r="N95" s="406" t="s">
        <v>382</v>
      </c>
      <c r="O95" s="548"/>
      <c r="P95" s="560">
        <v>0.25</v>
      </c>
      <c r="Q95" s="299">
        <f t="shared" si="9"/>
        <v>264689.0575</v>
      </c>
      <c r="R95" s="787"/>
      <c r="S95" s="622" t="s">
        <v>379</v>
      </c>
      <c r="T95" s="643">
        <v>45900</v>
      </c>
      <c r="U95" s="650">
        <v>265591.09375</v>
      </c>
      <c r="V95" s="766"/>
      <c r="W95" s="533">
        <f>W141</f>
        <v>45946</v>
      </c>
      <c r="X95" s="779"/>
      <c r="Y95" s="480"/>
    </row>
    <row r="96" spans="1:25" ht="14.25" customHeight="1">
      <c r="B96" s="297">
        <v>6</v>
      </c>
      <c r="C96" s="398"/>
      <c r="D96" s="298"/>
      <c r="E96" s="397"/>
      <c r="F96" s="452"/>
      <c r="G96" s="320"/>
      <c r="H96" s="571" t="e">
        <f t="shared" si="8"/>
        <v>#REF!</v>
      </c>
      <c r="I96" s="782"/>
      <c r="J96" s="782"/>
      <c r="K96" s="300"/>
      <c r="L96" s="297">
        <v>6</v>
      </c>
      <c r="M96" s="428" t="s">
        <v>439</v>
      </c>
      <c r="N96" s="406" t="s">
        <v>384</v>
      </c>
      <c r="O96" s="548"/>
      <c r="P96" s="560">
        <v>0.1</v>
      </c>
      <c r="Q96" s="299">
        <f t="shared" si="9"/>
        <v>105875.62300000001</v>
      </c>
      <c r="R96" s="787"/>
      <c r="S96" s="622" t="s">
        <v>379</v>
      </c>
      <c r="T96" s="643">
        <v>45900</v>
      </c>
      <c r="U96" s="650">
        <v>106236.4375</v>
      </c>
      <c r="V96" s="766"/>
      <c r="W96" s="533">
        <f t="shared" si="10"/>
        <v>45989</v>
      </c>
      <c r="X96" s="779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782"/>
      <c r="J97" s="782"/>
      <c r="K97" s="300"/>
      <c r="L97" s="297">
        <v>6</v>
      </c>
      <c r="M97" s="428" t="s">
        <v>439</v>
      </c>
      <c r="N97" s="406" t="s">
        <v>386</v>
      </c>
      <c r="O97" s="548"/>
      <c r="P97" s="560">
        <v>0.1</v>
      </c>
      <c r="Q97" s="299">
        <f t="shared" si="9"/>
        <v>105875.62300000001</v>
      </c>
      <c r="R97" s="787"/>
      <c r="S97" s="626" t="s">
        <v>379</v>
      </c>
      <c r="T97" s="643">
        <v>45900</v>
      </c>
      <c r="U97" s="681">
        <v>106236.4375</v>
      </c>
      <c r="V97" s="766"/>
      <c r="W97" s="533">
        <f t="shared" si="10"/>
        <v>45996</v>
      </c>
      <c r="X97" s="779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782"/>
      <c r="J98" s="782"/>
      <c r="K98" s="300"/>
      <c r="L98" s="297">
        <v>6</v>
      </c>
      <c r="M98" s="428" t="s">
        <v>439</v>
      </c>
      <c r="N98" s="406" t="s">
        <v>387</v>
      </c>
      <c r="O98" s="548"/>
      <c r="P98" s="560">
        <v>0.05</v>
      </c>
      <c r="Q98" s="299">
        <f t="shared" si="9"/>
        <v>52937.811500000003</v>
      </c>
      <c r="R98" s="787"/>
      <c r="S98" s="626" t="s">
        <v>379</v>
      </c>
      <c r="T98" s="643">
        <v>45900</v>
      </c>
      <c r="U98" s="681">
        <v>53118.21875</v>
      </c>
      <c r="V98" s="766"/>
      <c r="W98" s="533">
        <f t="shared" si="10"/>
        <v>45996</v>
      </c>
      <c r="X98" s="779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1" t="e">
        <f t="shared" si="8"/>
        <v>#REF!</v>
      </c>
      <c r="I99" s="782"/>
      <c r="J99" s="782"/>
      <c r="K99" s="300"/>
      <c r="L99" s="297">
        <v>6</v>
      </c>
      <c r="M99" s="428" t="s">
        <v>439</v>
      </c>
      <c r="N99" s="406" t="s">
        <v>388</v>
      </c>
      <c r="O99" s="548"/>
      <c r="P99" s="560">
        <v>0.05</v>
      </c>
      <c r="Q99" s="299">
        <f t="shared" si="9"/>
        <v>52937.811500000003</v>
      </c>
      <c r="R99" s="785"/>
      <c r="S99" s="626" t="s">
        <v>379</v>
      </c>
      <c r="T99" s="643">
        <v>45900</v>
      </c>
      <c r="U99" s="681">
        <v>53118.21875</v>
      </c>
      <c r="V99" s="766"/>
      <c r="W99" s="724">
        <v>46015</v>
      </c>
      <c r="X99" s="779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782"/>
      <c r="J100" s="782"/>
      <c r="K100" s="300"/>
      <c r="L100" s="297">
        <v>6</v>
      </c>
      <c r="M100" s="428" t="s">
        <v>439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(Q100/$X$86*$J$86)</f>
        <v>0</v>
      </c>
      <c r="V100" s="766"/>
      <c r="W100" s="574"/>
      <c r="X100" s="779"/>
      <c r="Y100" s="480"/>
    </row>
    <row r="101" spans="1:25" ht="14.25" customHeight="1">
      <c r="B101" s="297">
        <v>6</v>
      </c>
      <c r="C101" s="498"/>
      <c r="D101" s="334"/>
      <c r="E101" s="413"/>
      <c r="F101" s="459"/>
      <c r="G101" s="320"/>
      <c r="H101" s="574"/>
      <c r="I101" s="782"/>
      <c r="J101" s="782"/>
      <c r="K101" s="300"/>
      <c r="L101" s="297">
        <v>6</v>
      </c>
      <c r="M101" s="428" t="s">
        <v>439</v>
      </c>
      <c r="N101" s="406"/>
      <c r="O101" s="548"/>
      <c r="P101" s="560"/>
      <c r="Q101" s="299"/>
      <c r="R101" s="590"/>
      <c r="S101" s="626"/>
      <c r="T101" s="524" t="str">
        <f t="shared" si="0"/>
        <v/>
      </c>
      <c r="U101" s="511">
        <f>(Q101/$X$86*$J$86)</f>
        <v>0</v>
      </c>
      <c r="V101" s="766"/>
      <c r="W101" s="574"/>
      <c r="X101" s="779"/>
      <c r="Y101" s="480"/>
    </row>
    <row r="102" spans="1:25" ht="15" customHeight="1" thickBot="1">
      <c r="B102" s="301">
        <v>6</v>
      </c>
      <c r="C102" s="399"/>
      <c r="D102" s="303"/>
      <c r="E102" s="456"/>
      <c r="F102" s="453"/>
      <c r="G102" s="304"/>
      <c r="H102" s="572"/>
      <c r="I102" s="783"/>
      <c r="J102" s="783"/>
      <c r="K102" s="305"/>
      <c r="L102" s="301">
        <v>6</v>
      </c>
      <c r="M102" s="430" t="s">
        <v>439</v>
      </c>
      <c r="N102" s="303"/>
      <c r="O102" s="552"/>
      <c r="P102" s="453"/>
      <c r="Q102" s="304"/>
      <c r="R102" s="587"/>
      <c r="S102" s="623"/>
      <c r="T102" s="522" t="str">
        <f t="shared" si="0"/>
        <v/>
      </c>
      <c r="U102" s="507">
        <f>(Q102/$X$86*$J$86)</f>
        <v>0</v>
      </c>
      <c r="V102" s="767"/>
      <c r="W102" s="572"/>
      <c r="X102" s="780"/>
      <c r="Y102" s="480"/>
    </row>
    <row r="103" spans="1:25" ht="14.4" thickBot="1">
      <c r="A103" s="24"/>
      <c r="B103" s="289"/>
      <c r="C103" s="330"/>
      <c r="D103" s="307"/>
      <c r="E103" s="290"/>
      <c r="F103" s="454"/>
      <c r="G103" s="291"/>
      <c r="H103" s="575"/>
      <c r="I103" s="279"/>
      <c r="J103" s="279"/>
      <c r="K103" s="24"/>
      <c r="L103" s="289"/>
      <c r="M103" s="330"/>
      <c r="N103" s="307"/>
      <c r="O103" s="546"/>
      <c r="P103" s="454"/>
      <c r="Q103" s="291"/>
      <c r="R103" s="591"/>
      <c r="S103" s="627"/>
      <c r="T103" s="525" t="str">
        <f t="shared" si="0"/>
        <v/>
      </c>
      <c r="U103" s="512"/>
      <c r="V103" s="487"/>
      <c r="W103" s="575"/>
      <c r="X103" s="349"/>
      <c r="Y103" s="480"/>
    </row>
    <row r="104" spans="1:25" ht="14.25" customHeight="1">
      <c r="B104" s="378">
        <v>7</v>
      </c>
      <c r="C104" s="308" t="s">
        <v>443</v>
      </c>
      <c r="D104" s="379" t="s">
        <v>444</v>
      </c>
      <c r="E104" s="460"/>
      <c r="F104" s="466"/>
      <c r="G104" s="380">
        <v>2863498</v>
      </c>
      <c r="H104" s="534">
        <v>45900</v>
      </c>
      <c r="I104" s="772">
        <f>SUM(G104:G111)</f>
        <v>3616080.6086956523</v>
      </c>
      <c r="J104" s="772">
        <f>F228</f>
        <v>4017867.3429951691</v>
      </c>
      <c r="K104" s="284"/>
      <c r="L104" s="378">
        <v>7</v>
      </c>
      <c r="M104" s="308" t="s">
        <v>445</v>
      </c>
      <c r="N104" s="379" t="s">
        <v>446</v>
      </c>
      <c r="O104" s="553">
        <v>2</v>
      </c>
      <c r="P104" s="466">
        <v>673930</v>
      </c>
      <c r="Q104" s="380">
        <f>O104*P104</f>
        <v>1347860</v>
      </c>
      <c r="R104" s="794" t="s">
        <v>447</v>
      </c>
      <c r="S104" s="628" t="s">
        <v>448</v>
      </c>
      <c r="T104" s="658">
        <v>45869</v>
      </c>
      <c r="U104" s="668">
        <v>2342698.6135199242</v>
      </c>
      <c r="V104" s="791">
        <f>J104-SUM(U104:U111)</f>
        <v>0</v>
      </c>
      <c r="W104" s="534">
        <v>45900</v>
      </c>
      <c r="X104" s="759">
        <f>SUM(Q104:Q111)</f>
        <v>2378460</v>
      </c>
      <c r="Y104" s="480"/>
    </row>
    <row r="105" spans="1:25" ht="14.25" customHeight="1">
      <c r="B105" s="381">
        <v>7</v>
      </c>
      <c r="C105" s="382"/>
      <c r="D105" s="383" t="s">
        <v>449</v>
      </c>
      <c r="E105" s="404"/>
      <c r="F105" s="442"/>
      <c r="G105" s="384">
        <v>350000</v>
      </c>
      <c r="H105" s="531">
        <v>45900</v>
      </c>
      <c r="I105" s="773"/>
      <c r="J105" s="773"/>
      <c r="K105" s="287"/>
      <c r="L105" s="381">
        <v>7</v>
      </c>
      <c r="M105" s="382" t="s">
        <v>445</v>
      </c>
      <c r="N105" s="383" t="s">
        <v>450</v>
      </c>
      <c r="O105" s="544">
        <v>2</v>
      </c>
      <c r="P105" s="442">
        <v>316900</v>
      </c>
      <c r="Q105" s="384">
        <f>O105*P105</f>
        <v>633800</v>
      </c>
      <c r="R105" s="789"/>
      <c r="S105" s="618" t="s">
        <v>448</v>
      </c>
      <c r="T105" s="655">
        <v>45869</v>
      </c>
      <c r="U105" s="649">
        <v>1101599.8555109049</v>
      </c>
      <c r="V105" s="792"/>
      <c r="W105" s="531">
        <v>45900</v>
      </c>
      <c r="X105" s="760"/>
      <c r="Y105" s="480"/>
    </row>
    <row r="106" spans="1:25" ht="14.25" customHeight="1">
      <c r="B106" s="381">
        <v>7</v>
      </c>
      <c r="C106" s="382"/>
      <c r="D106" s="383" t="s">
        <v>451</v>
      </c>
      <c r="E106" s="404"/>
      <c r="F106" s="442"/>
      <c r="G106" s="384">
        <v>375000</v>
      </c>
      <c r="H106" s="531">
        <v>45900</v>
      </c>
      <c r="I106" s="773"/>
      <c r="J106" s="773"/>
      <c r="K106" s="287"/>
      <c r="L106" s="381">
        <v>7</v>
      </c>
      <c r="M106" s="382" t="s">
        <v>445</v>
      </c>
      <c r="N106" s="383"/>
      <c r="O106" s="544"/>
      <c r="P106" s="442"/>
      <c r="Q106" s="384"/>
      <c r="R106" s="582"/>
      <c r="S106" s="618"/>
      <c r="T106" s="517"/>
      <c r="U106" s="502">
        <f>(Q106/$X$104*$J$104)</f>
        <v>0</v>
      </c>
      <c r="V106" s="792"/>
      <c r="W106" s="567"/>
      <c r="X106" s="760"/>
      <c r="Y106" s="480"/>
    </row>
    <row r="107" spans="1:25" ht="14.25" customHeight="1">
      <c r="B107" s="381">
        <v>7</v>
      </c>
      <c r="C107" s="382"/>
      <c r="D107" s="383"/>
      <c r="E107" s="404"/>
      <c r="F107" s="442"/>
      <c r="G107" s="384"/>
      <c r="H107" s="531">
        <v>45890</v>
      </c>
      <c r="I107" s="773"/>
      <c r="J107" s="773"/>
      <c r="K107" s="287"/>
      <c r="L107" s="381">
        <v>7</v>
      </c>
      <c r="M107" s="382" t="s">
        <v>445</v>
      </c>
      <c r="N107" s="383" t="s">
        <v>452</v>
      </c>
      <c r="O107" s="669">
        <v>0.5</v>
      </c>
      <c r="P107" s="442">
        <v>396800</v>
      </c>
      <c r="Q107" s="384">
        <f>O107*P107</f>
        <v>198400</v>
      </c>
      <c r="R107" s="788" t="s">
        <v>453</v>
      </c>
      <c r="S107" s="618" t="s">
        <v>454</v>
      </c>
      <c r="T107" s="670">
        <v>45900</v>
      </c>
      <c r="U107" s="649">
        <v>286784.43698216981</v>
      </c>
      <c r="V107" s="792"/>
      <c r="W107" s="531">
        <v>45890</v>
      </c>
      <c r="X107" s="760"/>
      <c r="Y107" s="480"/>
    </row>
    <row r="108" spans="1:25" ht="14.25" customHeight="1">
      <c r="B108" s="381">
        <v>7</v>
      </c>
      <c r="C108" s="382"/>
      <c r="D108" s="383" t="s">
        <v>455</v>
      </c>
      <c r="E108" s="404"/>
      <c r="F108" s="442"/>
      <c r="G108" s="384">
        <v>27582.608695652176</v>
      </c>
      <c r="H108" s="567">
        <f>H107+28</f>
        <v>45918</v>
      </c>
      <c r="I108" s="773"/>
      <c r="J108" s="773"/>
      <c r="K108" s="287"/>
      <c r="L108" s="381">
        <v>7</v>
      </c>
      <c r="M108" s="382" t="s">
        <v>445</v>
      </c>
      <c r="N108" s="383" t="s">
        <v>456</v>
      </c>
      <c r="O108" s="669">
        <v>0.5</v>
      </c>
      <c r="P108" s="442"/>
      <c r="Q108" s="384">
        <f>O108*P107-Q109</f>
        <v>31388.959999999992</v>
      </c>
      <c r="R108" s="789"/>
      <c r="S108" s="618" t="s">
        <v>454</v>
      </c>
      <c r="T108" s="670">
        <v>45900</v>
      </c>
      <c r="U108" s="649">
        <v>286784.43698216981</v>
      </c>
      <c r="V108" s="792"/>
      <c r="W108" s="531">
        <f>W135</f>
        <v>46081</v>
      </c>
      <c r="X108" s="760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773"/>
      <c r="J109" s="773"/>
      <c r="K109" s="287"/>
      <c r="L109" s="381">
        <v>7</v>
      </c>
      <c r="M109" s="382" t="s">
        <v>445</v>
      </c>
      <c r="N109" s="383"/>
      <c r="O109" s="404"/>
      <c r="P109" s="442"/>
      <c r="Q109" s="384">
        <v>167011.04</v>
      </c>
      <c r="R109" s="582"/>
      <c r="S109" s="618" t="s">
        <v>454</v>
      </c>
      <c r="T109" s="655">
        <v>45900</v>
      </c>
      <c r="U109" s="502">
        <v>0</v>
      </c>
      <c r="V109" s="792"/>
      <c r="W109" s="531">
        <v>45967</v>
      </c>
      <c r="X109" s="760"/>
      <c r="Y109" s="480"/>
    </row>
    <row r="110" spans="1:25" ht="14.25" customHeight="1">
      <c r="B110" s="381">
        <v>7</v>
      </c>
      <c r="C110" s="382"/>
      <c r="D110" s="383"/>
      <c r="E110" s="404"/>
      <c r="F110" s="442"/>
      <c r="G110" s="384"/>
      <c r="H110" s="567"/>
      <c r="I110" s="773"/>
      <c r="J110" s="773"/>
      <c r="K110" s="287"/>
      <c r="L110" s="381">
        <v>7</v>
      </c>
      <c r="M110" s="382" t="s">
        <v>445</v>
      </c>
      <c r="N110" s="383"/>
      <c r="O110" s="544"/>
      <c r="P110" s="442"/>
      <c r="Q110" s="384"/>
      <c r="R110" s="582"/>
      <c r="S110" s="677"/>
      <c r="T110" s="517" t="str">
        <f t="shared" ref="T110:T184" si="11">IF(W110&gt;1,EOMONTH(W110,0),"")</f>
        <v/>
      </c>
      <c r="U110" s="502">
        <f>(Q110/$X$104*$J$104)</f>
        <v>0</v>
      </c>
      <c r="V110" s="792"/>
      <c r="W110" s="567"/>
      <c r="X110" s="760"/>
      <c r="Y110" s="480"/>
    </row>
    <row r="111" spans="1:25" ht="15" customHeight="1" thickBot="1">
      <c r="B111" s="315">
        <v>7</v>
      </c>
      <c r="C111" s="336"/>
      <c r="D111" s="328"/>
      <c r="E111" s="317"/>
      <c r="F111" s="458"/>
      <c r="G111" s="329"/>
      <c r="H111" s="568"/>
      <c r="I111" s="774"/>
      <c r="J111" s="774"/>
      <c r="K111" s="288"/>
      <c r="L111" s="315">
        <v>7</v>
      </c>
      <c r="M111" s="336" t="s">
        <v>445</v>
      </c>
      <c r="N111" s="328"/>
      <c r="O111" s="545"/>
      <c r="P111" s="458"/>
      <c r="Q111" s="329"/>
      <c r="R111" s="583"/>
      <c r="S111" s="619"/>
      <c r="T111" s="518" t="str">
        <f t="shared" si="11"/>
        <v/>
      </c>
      <c r="U111" s="503">
        <f>(Q111/$X$104*$J$104)</f>
        <v>0</v>
      </c>
      <c r="V111" s="793"/>
      <c r="W111" s="568"/>
      <c r="X111" s="761"/>
      <c r="Y111" s="480"/>
    </row>
    <row r="112" spans="1:25" ht="14.4" thickBot="1">
      <c r="A112" s="24"/>
      <c r="B112" s="289"/>
      <c r="C112" s="330"/>
      <c r="D112" s="307"/>
      <c r="E112" s="290"/>
      <c r="F112" s="454"/>
      <c r="G112" s="291"/>
      <c r="H112" s="569"/>
      <c r="I112" s="279"/>
      <c r="J112" s="279"/>
      <c r="K112" s="24"/>
      <c r="L112" s="289"/>
      <c r="M112" s="330"/>
      <c r="N112" s="307"/>
      <c r="O112" s="546"/>
      <c r="P112" s="454"/>
      <c r="Q112" s="291"/>
      <c r="R112" s="584"/>
      <c r="S112" s="620"/>
      <c r="T112" s="519" t="str">
        <f t="shared" si="11"/>
        <v/>
      </c>
      <c r="U112" s="508"/>
      <c r="V112" s="491"/>
      <c r="W112" s="569"/>
      <c r="X112" s="349"/>
      <c r="Y112" s="480"/>
    </row>
    <row r="113" spans="2:25" ht="14.25" customHeight="1">
      <c r="B113" s="331">
        <v>8</v>
      </c>
      <c r="C113" s="293" t="s">
        <v>457</v>
      </c>
      <c r="D113" s="332"/>
      <c r="E113" s="461"/>
      <c r="F113" s="414"/>
      <c r="G113" s="333"/>
      <c r="H113" s="570"/>
      <c r="I113" s="781">
        <f>SUM(G113:G135)</f>
        <v>145000</v>
      </c>
      <c r="J113" s="781">
        <f>F226+F227</f>
        <v>181250</v>
      </c>
      <c r="K113" s="296"/>
      <c r="L113" s="331">
        <v>8</v>
      </c>
      <c r="M113" s="423" t="s">
        <v>458</v>
      </c>
      <c r="N113" s="332" t="s">
        <v>459</v>
      </c>
      <c r="O113" s="554"/>
      <c r="P113" s="414"/>
      <c r="Q113" s="333">
        <f>240447.78/2</f>
        <v>120223.89</v>
      </c>
      <c r="R113" s="585" t="s">
        <v>460</v>
      </c>
      <c r="S113" s="621" t="s">
        <v>461</v>
      </c>
      <c r="T113" s="642">
        <v>45991</v>
      </c>
      <c r="U113" s="505">
        <v>0</v>
      </c>
      <c r="V113" s="810">
        <f>J113-SUM(U113:U135)</f>
        <v>0</v>
      </c>
      <c r="W113" s="532">
        <v>45989</v>
      </c>
      <c r="X113" s="778">
        <f>SUM(Q113:Q135)</f>
        <v>256749.19</v>
      </c>
      <c r="Y113" s="480"/>
    </row>
    <row r="114" spans="2:25" ht="14.25" customHeight="1">
      <c r="B114" s="727"/>
      <c r="C114" s="728"/>
      <c r="D114" s="729"/>
      <c r="E114" s="730"/>
      <c r="F114" s="731"/>
      <c r="G114" s="732"/>
      <c r="H114" s="570"/>
      <c r="I114" s="782"/>
      <c r="J114" s="782"/>
      <c r="K114" s="300"/>
      <c r="L114" s="321">
        <v>8</v>
      </c>
      <c r="M114" s="431" t="s">
        <v>458</v>
      </c>
      <c r="N114" s="334"/>
      <c r="O114" s="413"/>
      <c r="P114" s="459"/>
      <c r="Q114" s="323"/>
      <c r="R114" s="585"/>
      <c r="S114" s="621"/>
      <c r="T114" s="520"/>
      <c r="U114" s="505"/>
      <c r="V114" s="811"/>
      <c r="W114" s="570"/>
      <c r="X114" s="779"/>
      <c r="Y114" s="480"/>
    </row>
    <row r="115" spans="2:25" ht="14.25" customHeight="1">
      <c r="B115" s="321">
        <v>8</v>
      </c>
      <c r="C115" s="322"/>
      <c r="D115" s="334" t="s">
        <v>462</v>
      </c>
      <c r="E115" s="413"/>
      <c r="F115" s="459"/>
      <c r="G115" s="323">
        <v>75000</v>
      </c>
      <c r="H115" s="533">
        <v>45872</v>
      </c>
      <c r="I115" s="782"/>
      <c r="J115" s="782"/>
      <c r="K115" s="300"/>
      <c r="L115" s="321">
        <v>8</v>
      </c>
      <c r="M115" s="431" t="s">
        <v>458</v>
      </c>
      <c r="N115" s="334" t="s">
        <v>463</v>
      </c>
      <c r="O115" s="413"/>
      <c r="P115" s="459"/>
      <c r="Q115" s="323"/>
      <c r="R115" s="586"/>
      <c r="S115" s="678"/>
      <c r="T115" s="643"/>
      <c r="U115" s="506"/>
      <c r="V115" s="811"/>
      <c r="W115" s="571"/>
      <c r="X115" s="779"/>
      <c r="Y115" s="480"/>
    </row>
    <row r="116" spans="2:25" ht="14.25" customHeight="1">
      <c r="B116" s="321">
        <v>8</v>
      </c>
      <c r="C116" s="322"/>
      <c r="D116" s="334" t="s">
        <v>338</v>
      </c>
      <c r="E116" s="413"/>
      <c r="F116" s="459"/>
      <c r="G116" s="323">
        <v>50000</v>
      </c>
      <c r="H116" s="533">
        <v>45873</v>
      </c>
      <c r="I116" s="782"/>
      <c r="J116" s="782"/>
      <c r="K116" s="300"/>
      <c r="L116" s="321">
        <v>8</v>
      </c>
      <c r="M116" s="431" t="s">
        <v>458</v>
      </c>
      <c r="N116" s="334" t="s">
        <v>338</v>
      </c>
      <c r="O116" s="413"/>
      <c r="P116" s="459"/>
      <c r="Q116" s="323">
        <v>0</v>
      </c>
      <c r="R116" s="586"/>
      <c r="S116" s="622"/>
      <c r="T116" s="521"/>
      <c r="U116" s="506">
        <f>(Q116/$X$113*$J$113)</f>
        <v>0</v>
      </c>
      <c r="V116" s="811"/>
      <c r="W116" s="571"/>
      <c r="X116" s="779"/>
      <c r="Y116" s="480"/>
    </row>
    <row r="117" spans="2:25" ht="14.25" customHeight="1">
      <c r="B117" s="321"/>
      <c r="C117" s="322"/>
      <c r="D117" s="334" t="s">
        <v>464</v>
      </c>
      <c r="E117" s="413"/>
      <c r="F117" s="459"/>
      <c r="G117" s="323">
        <v>20000</v>
      </c>
      <c r="H117" s="533">
        <v>45873</v>
      </c>
      <c r="I117" s="782"/>
      <c r="J117" s="782"/>
      <c r="K117" s="300"/>
      <c r="L117" s="321">
        <v>8</v>
      </c>
      <c r="M117" s="431" t="s">
        <v>458</v>
      </c>
      <c r="N117" s="334" t="s">
        <v>465</v>
      </c>
      <c r="O117" s="413">
        <v>4</v>
      </c>
      <c r="P117" s="459"/>
      <c r="Q117" s="323">
        <v>20597.8</v>
      </c>
      <c r="R117" s="586"/>
      <c r="S117" s="622" t="s">
        <v>466</v>
      </c>
      <c r="T117" s="643">
        <v>45961</v>
      </c>
      <c r="U117" s="506">
        <v>0</v>
      </c>
      <c r="V117" s="811"/>
      <c r="W117" s="533">
        <v>45989</v>
      </c>
      <c r="X117" s="779"/>
      <c r="Y117" s="480"/>
    </row>
    <row r="118" spans="2:25" ht="14.25" customHeight="1">
      <c r="B118" s="321">
        <v>8</v>
      </c>
      <c r="C118" s="322"/>
      <c r="D118" s="334"/>
      <c r="E118" s="413"/>
      <c r="F118" s="459"/>
      <c r="G118" s="323"/>
      <c r="H118" s="533">
        <v>45875</v>
      </c>
      <c r="I118" s="782"/>
      <c r="J118" s="782"/>
      <c r="K118" s="300"/>
      <c r="L118" s="321">
        <v>8</v>
      </c>
      <c r="M118" s="431" t="s">
        <v>458</v>
      </c>
      <c r="N118" s="334"/>
      <c r="O118" s="551"/>
      <c r="P118" s="459"/>
      <c r="Q118" s="323"/>
      <c r="R118" s="586"/>
      <c r="S118" s="622"/>
      <c r="T118" s="521" t="str">
        <f t="shared" si="11"/>
        <v/>
      </c>
      <c r="U118" s="506">
        <f>(Q118/$X$113*$J$113)</f>
        <v>0</v>
      </c>
      <c r="V118" s="811"/>
      <c r="W118" s="571"/>
      <c r="X118" s="779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782"/>
      <c r="J119" s="782"/>
      <c r="K119" s="300"/>
      <c r="L119" s="321">
        <v>8</v>
      </c>
      <c r="M119" s="431" t="s">
        <v>458</v>
      </c>
      <c r="N119" s="334"/>
      <c r="O119" s="551"/>
      <c r="P119" s="459"/>
      <c r="Q119" s="323"/>
      <c r="R119" s="586"/>
      <c r="S119" s="622"/>
      <c r="T119" s="521"/>
      <c r="U119" s="506"/>
      <c r="V119" s="811"/>
      <c r="W119" s="571"/>
      <c r="X119" s="779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782"/>
      <c r="J120" s="782"/>
      <c r="K120" s="300"/>
      <c r="L120" s="321">
        <v>8</v>
      </c>
      <c r="M120" s="431" t="s">
        <v>458</v>
      </c>
      <c r="N120" s="334" t="s">
        <v>467</v>
      </c>
      <c r="O120" s="551"/>
      <c r="P120" s="459"/>
      <c r="Q120" s="323">
        <v>18995</v>
      </c>
      <c r="R120" s="586" t="s">
        <v>468</v>
      </c>
      <c r="S120" s="622"/>
      <c r="T120" s="521">
        <v>46081</v>
      </c>
      <c r="U120" s="506"/>
      <c r="V120" s="811"/>
      <c r="W120" s="571">
        <v>46072</v>
      </c>
      <c r="X120" s="779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782"/>
      <c r="J121" s="782"/>
      <c r="K121" s="300"/>
      <c r="L121" s="321">
        <v>8</v>
      </c>
      <c r="M121" s="431" t="s">
        <v>458</v>
      </c>
      <c r="N121" s="334" t="s">
        <v>469</v>
      </c>
      <c r="O121" s="551"/>
      <c r="P121" s="459"/>
      <c r="Q121" s="323">
        <v>11229.25</v>
      </c>
      <c r="R121" s="586" t="s">
        <v>470</v>
      </c>
      <c r="S121" s="622" t="s">
        <v>471</v>
      </c>
      <c r="T121" s="738">
        <v>45991</v>
      </c>
      <c r="U121" s="506"/>
      <c r="V121" s="811"/>
      <c r="W121" s="724">
        <v>45980</v>
      </c>
      <c r="X121" s="779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782"/>
      <c r="J122" s="782"/>
      <c r="K122" s="300"/>
      <c r="L122" s="321">
        <v>8</v>
      </c>
      <c r="M122" s="431" t="s">
        <v>458</v>
      </c>
      <c r="N122" s="334"/>
      <c r="O122" s="551"/>
      <c r="P122" s="459"/>
      <c r="Q122" s="323"/>
      <c r="R122" s="586"/>
      <c r="S122" s="622"/>
      <c r="T122" s="521"/>
      <c r="U122" s="506"/>
      <c r="V122" s="811"/>
      <c r="W122" s="571"/>
      <c r="X122" s="779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782"/>
      <c r="J123" s="782"/>
      <c r="K123" s="300"/>
      <c r="L123" s="321">
        <v>8</v>
      </c>
      <c r="M123" s="431" t="s">
        <v>458</v>
      </c>
      <c r="N123" s="334"/>
      <c r="O123" s="551"/>
      <c r="P123" s="459"/>
      <c r="Q123" s="323"/>
      <c r="R123" s="586"/>
      <c r="S123" s="622"/>
      <c r="T123" s="521"/>
      <c r="U123" s="506"/>
      <c r="V123" s="811"/>
      <c r="W123" s="571"/>
      <c r="X123" s="779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782"/>
      <c r="J124" s="782"/>
      <c r="K124" s="300"/>
      <c r="L124" s="321">
        <v>8</v>
      </c>
      <c r="M124" s="431" t="s">
        <v>458</v>
      </c>
      <c r="N124" s="334" t="s">
        <v>472</v>
      </c>
      <c r="O124" s="551"/>
      <c r="P124" s="459"/>
      <c r="Q124" s="323">
        <v>7600</v>
      </c>
      <c r="R124" s="586"/>
      <c r="S124" s="622" t="s">
        <v>473</v>
      </c>
      <c r="T124" s="643">
        <v>45991</v>
      </c>
      <c r="U124" s="506"/>
      <c r="V124" s="811"/>
      <c r="W124" s="533">
        <v>45974</v>
      </c>
      <c r="X124" s="779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782"/>
      <c r="J125" s="782"/>
      <c r="K125" s="300"/>
      <c r="L125" s="321">
        <v>8</v>
      </c>
      <c r="M125" s="431" t="s">
        <v>458</v>
      </c>
      <c r="N125" s="334"/>
      <c r="O125" s="551"/>
      <c r="P125" s="459"/>
      <c r="Q125" s="323"/>
      <c r="R125" s="586"/>
      <c r="S125" s="622"/>
      <c r="T125" s="643"/>
      <c r="U125" s="506"/>
      <c r="V125" s="811"/>
      <c r="W125" s="571"/>
      <c r="X125" s="779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782"/>
      <c r="J126" s="782"/>
      <c r="K126" s="300"/>
      <c r="L126" s="321">
        <v>8</v>
      </c>
      <c r="M126" s="431" t="s">
        <v>458</v>
      </c>
      <c r="N126" s="334"/>
      <c r="O126" s="551"/>
      <c r="P126" s="459"/>
      <c r="Q126" s="323"/>
      <c r="R126" s="586"/>
      <c r="S126" s="622"/>
      <c r="T126" s="521"/>
      <c r="U126" s="506"/>
      <c r="V126" s="811"/>
      <c r="W126" s="571"/>
      <c r="X126" s="779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782"/>
      <c r="J127" s="782"/>
      <c r="K127" s="300"/>
      <c r="L127" s="321">
        <v>8</v>
      </c>
      <c r="M127" s="431" t="s">
        <v>458</v>
      </c>
      <c r="N127" s="334"/>
      <c r="O127" s="551"/>
      <c r="P127" s="459"/>
      <c r="Q127" s="323"/>
      <c r="R127" s="586"/>
      <c r="S127" s="622"/>
      <c r="T127" s="521"/>
      <c r="U127" s="506"/>
      <c r="V127" s="811"/>
      <c r="W127" s="571"/>
      <c r="X127" s="779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782"/>
      <c r="J128" s="782"/>
      <c r="K128" s="300"/>
      <c r="L128" s="321">
        <v>8</v>
      </c>
      <c r="M128" s="431" t="s">
        <v>458</v>
      </c>
      <c r="N128" s="334"/>
      <c r="O128" s="551"/>
      <c r="P128" s="459"/>
      <c r="Q128" s="323"/>
      <c r="R128" s="586"/>
      <c r="S128" s="622"/>
      <c r="T128" s="521"/>
      <c r="U128" s="506"/>
      <c r="V128" s="811"/>
      <c r="W128" s="571"/>
      <c r="X128" s="779"/>
      <c r="Y128" s="480"/>
    </row>
    <row r="129" spans="1:25" ht="14.25" customHeight="1">
      <c r="B129" s="321"/>
      <c r="C129" s="322"/>
      <c r="D129" s="334"/>
      <c r="E129" s="413"/>
      <c r="F129" s="459"/>
      <c r="G129" s="323"/>
      <c r="H129" s="533"/>
      <c r="I129" s="782"/>
      <c r="J129" s="782"/>
      <c r="K129" s="300"/>
      <c r="L129" s="321">
        <v>8</v>
      </c>
      <c r="M129" s="431" t="s">
        <v>458</v>
      </c>
      <c r="N129" s="334"/>
      <c r="O129" s="551"/>
      <c r="P129" s="459"/>
      <c r="Q129" s="323"/>
      <c r="R129" s="586"/>
      <c r="S129" s="622"/>
      <c r="T129" s="521"/>
      <c r="U129" s="506"/>
      <c r="V129" s="811"/>
      <c r="W129" s="571"/>
      <c r="X129" s="779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45876</v>
      </c>
      <c r="I130" s="782"/>
      <c r="J130" s="782"/>
      <c r="K130" s="300"/>
      <c r="L130" s="321">
        <v>8</v>
      </c>
      <c r="M130" s="431" t="s">
        <v>458</v>
      </c>
      <c r="N130" s="334" t="s">
        <v>334</v>
      </c>
      <c r="O130" s="551"/>
      <c r="P130" s="459"/>
      <c r="Q130" s="323">
        <v>12508.5</v>
      </c>
      <c r="R130" s="586"/>
      <c r="S130" s="622" t="s">
        <v>474</v>
      </c>
      <c r="T130" s="643">
        <v>45900</v>
      </c>
      <c r="U130" s="650">
        <v>56118.152622224297</v>
      </c>
      <c r="V130" s="811"/>
      <c r="W130" s="533">
        <v>45876</v>
      </c>
      <c r="X130" s="779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33">
        <v>45841</v>
      </c>
      <c r="I131" s="782"/>
      <c r="J131" s="782"/>
      <c r="K131" s="300"/>
      <c r="L131" s="321">
        <v>8</v>
      </c>
      <c r="M131" s="431" t="s">
        <v>458</v>
      </c>
      <c r="N131" s="334" t="s">
        <v>334</v>
      </c>
      <c r="O131" s="551"/>
      <c r="P131" s="459"/>
      <c r="Q131" s="323">
        <v>14200</v>
      </c>
      <c r="R131" s="586" t="s">
        <v>475</v>
      </c>
      <c r="S131" s="622" t="s">
        <v>476</v>
      </c>
      <c r="T131" s="643">
        <v>45838</v>
      </c>
      <c r="U131" s="650">
        <v>16166.77135678392</v>
      </c>
      <c r="V131" s="811"/>
      <c r="W131" s="533">
        <v>45841</v>
      </c>
      <c r="X131" s="779"/>
      <c r="Y131" s="480"/>
    </row>
    <row r="132" spans="1:25" ht="14.25" customHeight="1">
      <c r="B132" s="321">
        <v>8</v>
      </c>
      <c r="C132" s="322"/>
      <c r="D132" s="334"/>
      <c r="E132" s="413"/>
      <c r="F132" s="459"/>
      <c r="G132" s="323"/>
      <c r="H132" s="574">
        <v>45904</v>
      </c>
      <c r="I132" s="782"/>
      <c r="J132" s="782"/>
      <c r="K132" s="300"/>
      <c r="L132" s="321">
        <v>8</v>
      </c>
      <c r="M132" s="431" t="s">
        <v>458</v>
      </c>
      <c r="N132" s="334" t="s">
        <v>477</v>
      </c>
      <c r="O132" s="551"/>
      <c r="P132" s="459"/>
      <c r="Q132" s="323">
        <v>9900</v>
      </c>
      <c r="R132" s="590" t="s">
        <v>478</v>
      </c>
      <c r="S132" s="626" t="s">
        <v>479</v>
      </c>
      <c r="T132" s="659">
        <v>45900</v>
      </c>
      <c r="U132" s="681">
        <v>46812.807552009661</v>
      </c>
      <c r="V132" s="811"/>
      <c r="W132" s="716">
        <v>45904</v>
      </c>
      <c r="X132" s="779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>
        <v>45900</v>
      </c>
      <c r="I133" s="782"/>
      <c r="J133" s="782"/>
      <c r="K133" s="300"/>
      <c r="L133" s="321">
        <v>8</v>
      </c>
      <c r="M133" s="431" t="s">
        <v>458</v>
      </c>
      <c r="N133" s="334" t="s">
        <v>334</v>
      </c>
      <c r="O133" s="551"/>
      <c r="P133" s="459"/>
      <c r="Q133" s="323">
        <v>14200</v>
      </c>
      <c r="R133" s="590"/>
      <c r="S133" s="626" t="s">
        <v>480</v>
      </c>
      <c r="T133" s="659">
        <v>45900</v>
      </c>
      <c r="U133" s="681">
        <v>62152.26846898222</v>
      </c>
      <c r="V133" s="811"/>
      <c r="W133" s="716">
        <v>45900</v>
      </c>
      <c r="X133" s="779"/>
      <c r="Y133" s="480"/>
    </row>
    <row r="134" spans="1:25" ht="14.25" customHeight="1">
      <c r="B134" s="321"/>
      <c r="C134" s="322"/>
      <c r="D134" s="334"/>
      <c r="E134" s="413"/>
      <c r="F134" s="459"/>
      <c r="G134" s="323"/>
      <c r="H134" s="574"/>
      <c r="I134" s="782"/>
      <c r="J134" s="782"/>
      <c r="K134" s="300"/>
      <c r="L134" s="321">
        <v>8</v>
      </c>
      <c r="M134" s="431" t="s">
        <v>458</v>
      </c>
      <c r="N134" s="334" t="s">
        <v>481</v>
      </c>
      <c r="O134" s="551"/>
      <c r="P134" s="459"/>
      <c r="Q134" s="323">
        <v>0</v>
      </c>
      <c r="R134" s="590"/>
      <c r="S134" s="626"/>
      <c r="T134" s="524"/>
      <c r="U134" s="681"/>
      <c r="V134" s="811"/>
      <c r="W134" s="574"/>
      <c r="X134" s="779"/>
      <c r="Y134" s="480"/>
    </row>
    <row r="135" spans="1:25" ht="15" customHeight="1" thickBot="1">
      <c r="B135" s="321">
        <v>8</v>
      </c>
      <c r="C135" s="302"/>
      <c r="D135" s="303"/>
      <c r="E135" s="456"/>
      <c r="F135" s="453"/>
      <c r="G135" s="304"/>
      <c r="H135" s="572"/>
      <c r="I135" s="783"/>
      <c r="J135" s="783"/>
      <c r="K135" s="305"/>
      <c r="L135" s="301">
        <v>8</v>
      </c>
      <c r="M135" s="430" t="s">
        <v>458</v>
      </c>
      <c r="N135" s="303" t="s">
        <v>482</v>
      </c>
      <c r="O135" s="552"/>
      <c r="P135" s="453"/>
      <c r="Q135" s="304">
        <v>27294.75</v>
      </c>
      <c r="R135" s="587" t="s">
        <v>483</v>
      </c>
      <c r="S135" s="623"/>
      <c r="T135" s="522">
        <v>46081</v>
      </c>
      <c r="U135" s="507">
        <v>0</v>
      </c>
      <c r="V135" s="812"/>
      <c r="W135" s="572">
        <v>46081</v>
      </c>
      <c r="X135" s="780"/>
      <c r="Y135" s="480"/>
    </row>
    <row r="136" spans="1:25" ht="22.5" customHeight="1" thickBot="1">
      <c r="A136" s="24"/>
      <c r="B136" s="335"/>
      <c r="C136" s="163"/>
      <c r="D136" s="163"/>
      <c r="E136" s="163"/>
      <c r="F136" s="467"/>
      <c r="G136" s="163"/>
      <c r="H136" s="535"/>
      <c r="I136" s="437"/>
      <c r="J136" s="438"/>
      <c r="K136" s="163" t="s">
        <v>484</v>
      </c>
      <c r="L136" s="335"/>
      <c r="M136" s="163"/>
      <c r="N136" s="163"/>
      <c r="O136" s="555"/>
      <c r="P136" s="467"/>
      <c r="Q136" s="163"/>
      <c r="R136" s="592"/>
      <c r="S136" s="335"/>
      <c r="T136" s="526" t="str">
        <f t="shared" si="11"/>
        <v/>
      </c>
      <c r="U136" s="493"/>
      <c r="V136" s="493"/>
      <c r="W136" s="535"/>
      <c r="X136" s="437"/>
      <c r="Y136" s="480"/>
    </row>
    <row r="137" spans="1:25" ht="15" customHeight="1">
      <c r="B137" s="310">
        <v>9</v>
      </c>
      <c r="C137" s="440" t="s">
        <v>485</v>
      </c>
      <c r="D137" s="326" t="s">
        <v>486</v>
      </c>
      <c r="E137" s="313"/>
      <c r="F137" s="435"/>
      <c r="G137" s="612">
        <f>D232</f>
        <v>341000</v>
      </c>
      <c r="H137" s="531">
        <v>45896</v>
      </c>
      <c r="I137" s="801">
        <f>SUM(G137:G148)</f>
        <v>687500</v>
      </c>
      <c r="J137" s="772">
        <f>F232+F233</f>
        <v>772471.91011235956</v>
      </c>
      <c r="K137" s="287"/>
      <c r="L137" s="310">
        <v>9</v>
      </c>
      <c r="M137" s="421" t="s">
        <v>487</v>
      </c>
      <c r="N137" s="326"/>
      <c r="O137" s="543"/>
      <c r="P137" s="435"/>
      <c r="Q137" s="314"/>
      <c r="R137" s="588"/>
      <c r="S137" s="624"/>
      <c r="T137" s="523" t="str">
        <f t="shared" si="11"/>
        <v/>
      </c>
      <c r="U137" s="509">
        <f>(Q137/$X$137*$J$137)</f>
        <v>0</v>
      </c>
      <c r="V137" s="762">
        <f>J137-SUM(U137:U148)</f>
        <v>-2.6195771060883999E-3</v>
      </c>
      <c r="W137" s="573"/>
      <c r="X137" s="804">
        <f>SUM(Q137:Q148)</f>
        <v>900817.81</v>
      </c>
      <c r="Y137" s="480"/>
    </row>
    <row r="138" spans="1:25" ht="15" customHeight="1">
      <c r="B138" s="310">
        <v>9</v>
      </c>
      <c r="C138" s="440"/>
      <c r="D138" s="327" t="s">
        <v>488</v>
      </c>
      <c r="E138" s="313"/>
      <c r="F138" s="457"/>
      <c r="G138" s="612">
        <f>D233</f>
        <v>346500.00000000006</v>
      </c>
      <c r="H138" s="531">
        <v>45897</v>
      </c>
      <c r="I138" s="802"/>
      <c r="J138" s="773"/>
      <c r="K138" s="287"/>
      <c r="L138" s="310">
        <v>9</v>
      </c>
      <c r="M138" s="421" t="s">
        <v>487</v>
      </c>
      <c r="N138" s="327" t="s">
        <v>378</v>
      </c>
      <c r="O138" s="562">
        <f>Z34+Z33</f>
        <v>900817.81</v>
      </c>
      <c r="P138" s="563">
        <v>0.1</v>
      </c>
      <c r="Q138" s="314">
        <f>$O$138*P138</f>
        <v>90081.781000000017</v>
      </c>
      <c r="R138" s="788"/>
      <c r="S138" s="617" t="s">
        <v>379</v>
      </c>
      <c r="T138" s="655">
        <v>45900</v>
      </c>
      <c r="U138" s="649">
        <v>77247.191011235976</v>
      </c>
      <c r="V138" s="763"/>
      <c r="W138" s="530">
        <f>'Project Plan'!I20</f>
        <v>45883</v>
      </c>
      <c r="X138" s="805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31">
        <v>45898</v>
      </c>
      <c r="I139" s="802"/>
      <c r="J139" s="773"/>
      <c r="K139" s="287"/>
      <c r="L139" s="381">
        <v>9</v>
      </c>
      <c r="M139" s="500" t="s">
        <v>487</v>
      </c>
      <c r="N139" s="383" t="s">
        <v>159</v>
      </c>
      <c r="O139" s="544"/>
      <c r="P139" s="561">
        <v>0.15</v>
      </c>
      <c r="Q139" s="314">
        <f t="shared" ref="Q139:Q145" si="12">$O$138*P139</f>
        <v>135122.6715</v>
      </c>
      <c r="R139" s="790"/>
      <c r="S139" s="618" t="s">
        <v>379</v>
      </c>
      <c r="T139" s="655">
        <v>45900</v>
      </c>
      <c r="U139" s="649">
        <v>115870.78651685393</v>
      </c>
      <c r="V139" s="763"/>
      <c r="W139" s="531">
        <v>45898</v>
      </c>
      <c r="X139" s="805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02"/>
      <c r="J140" s="773"/>
      <c r="K140" s="287"/>
      <c r="L140" s="381">
        <v>9</v>
      </c>
      <c r="M140" s="500" t="s">
        <v>487</v>
      </c>
      <c r="N140" s="383" t="s">
        <v>380</v>
      </c>
      <c r="O140" s="544"/>
      <c r="P140" s="561">
        <v>0.2</v>
      </c>
      <c r="Q140" s="694">
        <f t="shared" si="12"/>
        <v>180163.56200000003</v>
      </c>
      <c r="R140" s="790"/>
      <c r="S140" s="618" t="s">
        <v>379</v>
      </c>
      <c r="T140" s="655">
        <v>45930</v>
      </c>
      <c r="U140" s="649">
        <v>154494.38202247195</v>
      </c>
      <c r="V140" s="763"/>
      <c r="W140" s="531">
        <v>45946</v>
      </c>
      <c r="X140" s="805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02"/>
      <c r="J141" s="773"/>
      <c r="K141" s="287"/>
      <c r="L141" s="381">
        <v>9</v>
      </c>
      <c r="M141" s="500" t="s">
        <v>487</v>
      </c>
      <c r="N141" s="383" t="s">
        <v>382</v>
      </c>
      <c r="O141" s="544"/>
      <c r="P141" s="561">
        <v>0.25</v>
      </c>
      <c r="Q141" s="694">
        <f t="shared" si="12"/>
        <v>225204.45250000001</v>
      </c>
      <c r="R141" s="790"/>
      <c r="S141" s="618" t="s">
        <v>379</v>
      </c>
      <c r="T141" s="655">
        <v>45961</v>
      </c>
      <c r="U141" s="744">
        <v>189849.53326426126</v>
      </c>
      <c r="V141" s="763"/>
      <c r="W141" s="531">
        <v>45946</v>
      </c>
      <c r="X141" s="805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02"/>
      <c r="J142" s="773"/>
      <c r="K142" s="287"/>
      <c r="L142" s="381">
        <v>9</v>
      </c>
      <c r="M142" s="500" t="s">
        <v>487</v>
      </c>
      <c r="N142" s="383" t="s">
        <v>384</v>
      </c>
      <c r="O142" s="544"/>
      <c r="P142" s="561">
        <v>0.1</v>
      </c>
      <c r="Q142" s="694">
        <f t="shared" si="12"/>
        <v>90081.781000000017</v>
      </c>
      <c r="R142" s="790"/>
      <c r="S142" s="618" t="s">
        <v>379</v>
      </c>
      <c r="T142" s="655">
        <v>45961</v>
      </c>
      <c r="U142" s="744">
        <v>78336.673305704506</v>
      </c>
      <c r="V142" s="763"/>
      <c r="W142" s="531">
        <v>45989</v>
      </c>
      <c r="X142" s="805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02"/>
      <c r="J143" s="773"/>
      <c r="K143" s="287"/>
      <c r="L143" s="381">
        <v>9</v>
      </c>
      <c r="M143" s="500" t="s">
        <v>487</v>
      </c>
      <c r="N143" s="383" t="s">
        <v>386</v>
      </c>
      <c r="O143" s="544"/>
      <c r="P143" s="561">
        <v>0.1</v>
      </c>
      <c r="Q143" s="694">
        <f t="shared" si="12"/>
        <v>90081.781000000017</v>
      </c>
      <c r="R143" s="790"/>
      <c r="S143" s="618" t="s">
        <v>379</v>
      </c>
      <c r="T143" s="655">
        <v>45961</v>
      </c>
      <c r="U143" s="744">
        <v>78336.673305704506</v>
      </c>
      <c r="V143" s="763"/>
      <c r="W143" s="531">
        <f>'Project Plan'!K71+7</f>
        <v>45996</v>
      </c>
      <c r="X143" s="805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Plan'!#REF!+7</f>
        <v>#REF!</v>
      </c>
      <c r="I144" s="802"/>
      <c r="J144" s="773"/>
      <c r="K144" s="287"/>
      <c r="L144" s="381">
        <v>9</v>
      </c>
      <c r="M144" s="500" t="s">
        <v>487</v>
      </c>
      <c r="N144" s="383" t="s">
        <v>387</v>
      </c>
      <c r="O144" s="544"/>
      <c r="P144" s="561">
        <v>0.05</v>
      </c>
      <c r="Q144" s="694">
        <f t="shared" si="12"/>
        <v>45040.890500000009</v>
      </c>
      <c r="R144" s="790"/>
      <c r="S144" s="618" t="s">
        <v>379</v>
      </c>
      <c r="T144" s="655">
        <v>45961</v>
      </c>
      <c r="U144" s="744">
        <v>39168.336652852253</v>
      </c>
      <c r="V144" s="763"/>
      <c r="W144" s="531">
        <f>'Project Plan'!K71+7</f>
        <v>45996</v>
      </c>
      <c r="X144" s="805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 t="e">
        <f>'Project Plan'!#REF!+30</f>
        <v>#REF!</v>
      </c>
      <c r="I145" s="802"/>
      <c r="J145" s="773"/>
      <c r="K145" s="287"/>
      <c r="L145" s="381">
        <v>9</v>
      </c>
      <c r="M145" s="500" t="s">
        <v>487</v>
      </c>
      <c r="N145" s="383" t="s">
        <v>388</v>
      </c>
      <c r="O145" s="544"/>
      <c r="P145" s="561">
        <v>0.05</v>
      </c>
      <c r="Q145" s="694">
        <f t="shared" si="12"/>
        <v>45040.890500000009</v>
      </c>
      <c r="R145" s="789"/>
      <c r="S145" s="618" t="s">
        <v>379</v>
      </c>
      <c r="T145" s="655">
        <v>45961</v>
      </c>
      <c r="U145" s="744">
        <v>39168.336652852253</v>
      </c>
      <c r="V145" s="763"/>
      <c r="W145" s="725">
        <v>46015</v>
      </c>
      <c r="X145" s="805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02"/>
      <c r="J146" s="773"/>
      <c r="K146" s="287"/>
      <c r="L146" s="381">
        <v>9</v>
      </c>
      <c r="M146" s="500" t="s">
        <v>487</v>
      </c>
      <c r="N146" s="383"/>
      <c r="O146" s="544"/>
      <c r="P146" s="442"/>
      <c r="Q146" s="384"/>
      <c r="R146" s="582"/>
      <c r="S146" s="618"/>
      <c r="T146" s="517" t="str">
        <f t="shared" si="11"/>
        <v/>
      </c>
      <c r="U146" s="502">
        <f t="shared" ref="U146:U148" si="13">(Q146/$X$137*$J$137)</f>
        <v>0</v>
      </c>
      <c r="V146" s="763"/>
      <c r="W146" s="567"/>
      <c r="X146" s="805"/>
      <c r="Y146" s="480"/>
    </row>
    <row r="147" spans="1:25" ht="15" customHeight="1">
      <c r="B147" s="381">
        <v>9</v>
      </c>
      <c r="C147" s="499"/>
      <c r="D147" s="383"/>
      <c r="E147" s="404"/>
      <c r="F147" s="442"/>
      <c r="G147" s="384"/>
      <c r="H147" s="567"/>
      <c r="I147" s="802"/>
      <c r="J147" s="773"/>
      <c r="K147" s="287"/>
      <c r="L147" s="381">
        <v>9</v>
      </c>
      <c r="M147" s="500" t="s">
        <v>487</v>
      </c>
      <c r="N147" s="737" t="s">
        <v>489</v>
      </c>
      <c r="O147" s="544"/>
      <c r="P147" s="442"/>
      <c r="Q147" s="384">
        <v>0</v>
      </c>
      <c r="R147" s="582"/>
      <c r="S147" s="618"/>
      <c r="T147" s="726">
        <v>46022</v>
      </c>
      <c r="U147" s="502">
        <v>0</v>
      </c>
      <c r="V147" s="763"/>
      <c r="W147" s="725">
        <v>46022</v>
      </c>
      <c r="X147" s="805"/>
      <c r="Y147" s="480"/>
    </row>
    <row r="148" spans="1:25" ht="15" customHeight="1" thickBot="1">
      <c r="B148" s="315">
        <v>9</v>
      </c>
      <c r="C148" s="436"/>
      <c r="D148" s="328"/>
      <c r="E148" s="317"/>
      <c r="F148" s="458"/>
      <c r="G148" s="329"/>
      <c r="H148" s="568"/>
      <c r="I148" s="803"/>
      <c r="J148" s="774"/>
      <c r="K148" s="363"/>
      <c r="L148" s="315">
        <v>9</v>
      </c>
      <c r="M148" s="439" t="s">
        <v>487</v>
      </c>
      <c r="N148" s="328"/>
      <c r="O148" s="545"/>
      <c r="P148" s="458"/>
      <c r="Q148" s="329"/>
      <c r="R148" s="583"/>
      <c r="S148" s="619"/>
      <c r="T148" s="518" t="str">
        <f t="shared" si="11"/>
        <v/>
      </c>
      <c r="U148" s="503">
        <f t="shared" si="13"/>
        <v>0</v>
      </c>
      <c r="V148" s="764"/>
      <c r="W148" s="568"/>
      <c r="X148" s="806"/>
      <c r="Y148" s="480"/>
    </row>
    <row r="149" spans="1:25" ht="14.4" thickBot="1">
      <c r="A149" s="24"/>
      <c r="B149" s="289"/>
      <c r="C149" s="306"/>
      <c r="D149" s="307"/>
      <c r="E149" s="290"/>
      <c r="F149" s="454"/>
      <c r="G149" s="291"/>
      <c r="H149" s="569"/>
      <c r="I149" s="279"/>
      <c r="J149" s="400"/>
      <c r="K149" s="24"/>
      <c r="L149" s="289"/>
      <c r="M149" s="306"/>
      <c r="N149" s="307"/>
      <c r="O149" s="546"/>
      <c r="P149" s="454"/>
      <c r="Q149" s="291"/>
      <c r="R149" s="584"/>
      <c r="S149" s="620"/>
      <c r="T149" s="519" t="str">
        <f t="shared" si="11"/>
        <v/>
      </c>
      <c r="U149" s="508"/>
      <c r="V149" s="491"/>
      <c r="W149" s="569"/>
      <c r="X149" s="349"/>
      <c r="Y149" s="480"/>
    </row>
    <row r="150" spans="1:25" ht="14.25" customHeight="1">
      <c r="B150" s="268">
        <v>10</v>
      </c>
      <c r="C150" s="269" t="s">
        <v>490</v>
      </c>
      <c r="D150" s="269" t="s">
        <v>334</v>
      </c>
      <c r="E150" s="270"/>
      <c r="F150" s="468"/>
      <c r="G150" s="337">
        <f>D236</f>
        <v>8500</v>
      </c>
      <c r="H150" s="536">
        <v>45834</v>
      </c>
      <c r="I150" s="795">
        <f>SUM(G150:G175)</f>
        <v>8500</v>
      </c>
      <c r="J150" s="795">
        <f>F236+F239+F240+F238</f>
        <v>9550.5617977528091</v>
      </c>
      <c r="K150" s="338"/>
      <c r="L150" s="268">
        <v>10</v>
      </c>
      <c r="M150" s="432" t="s">
        <v>491</v>
      </c>
      <c r="N150" s="269"/>
      <c r="O150" s="556"/>
      <c r="P150" s="468"/>
      <c r="Q150" s="337"/>
      <c r="R150" s="593"/>
      <c r="S150" s="629"/>
      <c r="T150" s="527"/>
      <c r="U150" s="513">
        <f>(Q150/$X$150*$J$150)</f>
        <v>0</v>
      </c>
      <c r="V150" s="807">
        <f>J150-SUM(U150:U175)</f>
        <v>1.9371969046915183E-3</v>
      </c>
      <c r="W150" s="576"/>
      <c r="X150" s="798">
        <f>SUM(Q150:Q175)</f>
        <v>216404.8</v>
      </c>
      <c r="Y150" s="480"/>
    </row>
    <row r="151" spans="1:25" ht="14.25" customHeight="1">
      <c r="B151" s="339">
        <v>10</v>
      </c>
      <c r="C151" s="340"/>
      <c r="D151" s="340" t="s">
        <v>492</v>
      </c>
      <c r="E151" s="341"/>
      <c r="F151" s="469"/>
      <c r="G151" s="342">
        <f>D240</f>
        <v>0</v>
      </c>
      <c r="H151" s="536">
        <v>45835</v>
      </c>
      <c r="I151" s="796"/>
      <c r="J151" s="796"/>
      <c r="K151" s="271"/>
      <c r="L151" s="339">
        <v>10</v>
      </c>
      <c r="M151" s="433" t="s">
        <v>491</v>
      </c>
      <c r="N151" s="340" t="s">
        <v>493</v>
      </c>
      <c r="O151" s="557"/>
      <c r="P151" s="469"/>
      <c r="Q151" s="342">
        <v>6100</v>
      </c>
      <c r="R151" s="594"/>
      <c r="S151" s="630" t="s">
        <v>494</v>
      </c>
      <c r="T151" s="644">
        <v>45838</v>
      </c>
      <c r="U151" s="653">
        <v>195.46528088002731</v>
      </c>
      <c r="V151" s="808"/>
      <c r="W151" s="536">
        <v>45835</v>
      </c>
      <c r="X151" s="799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45876</v>
      </c>
      <c r="I152" s="796"/>
      <c r="J152" s="796"/>
      <c r="K152" s="271"/>
      <c r="L152" s="339">
        <v>10</v>
      </c>
      <c r="M152" s="433" t="s">
        <v>491</v>
      </c>
      <c r="N152" s="340"/>
      <c r="O152" s="557"/>
      <c r="P152" s="469"/>
      <c r="Q152" s="342">
        <v>100</v>
      </c>
      <c r="R152" s="594"/>
      <c r="S152" s="630" t="s">
        <v>495</v>
      </c>
      <c r="T152" s="644">
        <v>45838</v>
      </c>
      <c r="U152" s="654">
        <v>3.204348866885693</v>
      </c>
      <c r="V152" s="808"/>
      <c r="W152" s="536">
        <v>45876</v>
      </c>
      <c r="X152" s="799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36">
        <v>45890</v>
      </c>
      <c r="I153" s="796"/>
      <c r="J153" s="796"/>
      <c r="K153" s="271"/>
      <c r="L153" s="339">
        <v>10</v>
      </c>
      <c r="M153" s="433" t="s">
        <v>491</v>
      </c>
      <c r="N153" s="340"/>
      <c r="O153" s="557"/>
      <c r="P153" s="469"/>
      <c r="Q153" s="342">
        <v>4900</v>
      </c>
      <c r="R153" s="594"/>
      <c r="S153" s="630" t="s">
        <v>496</v>
      </c>
      <c r="T153" s="644">
        <v>45869</v>
      </c>
      <c r="U153" s="654">
        <v>267.04030349143488</v>
      </c>
      <c r="V153" s="808"/>
      <c r="W153" s="536">
        <v>45890</v>
      </c>
      <c r="X153" s="799"/>
      <c r="Y153" s="480"/>
    </row>
    <row r="154" spans="1:25" ht="14.25" customHeight="1">
      <c r="B154" s="339"/>
      <c r="C154" s="340"/>
      <c r="D154" s="340"/>
      <c r="E154" s="341"/>
      <c r="F154" s="469"/>
      <c r="G154" s="342"/>
      <c r="H154" s="577">
        <v>45899</v>
      </c>
      <c r="I154" s="796"/>
      <c r="J154" s="796"/>
      <c r="K154" s="271"/>
      <c r="L154" s="339">
        <v>10</v>
      </c>
      <c r="M154" s="433" t="s">
        <v>491</v>
      </c>
      <c r="N154" s="340" t="s">
        <v>497</v>
      </c>
      <c r="O154" s="557"/>
      <c r="P154" s="469"/>
      <c r="Q154" s="342">
        <v>620</v>
      </c>
      <c r="R154" s="594"/>
      <c r="S154" s="630" t="s">
        <v>498</v>
      </c>
      <c r="T154" s="644">
        <v>45869</v>
      </c>
      <c r="U154" s="654">
        <v>44.785466972385635</v>
      </c>
      <c r="V154" s="808"/>
      <c r="W154" s="536">
        <v>45899</v>
      </c>
      <c r="X154" s="799"/>
      <c r="Y154" s="480"/>
    </row>
    <row r="155" spans="1:25" ht="14.25" customHeight="1">
      <c r="B155" s="339">
        <v>10</v>
      </c>
      <c r="C155" s="340"/>
      <c r="D155" s="340" t="s">
        <v>499</v>
      </c>
      <c r="E155" s="341"/>
      <c r="F155" s="469"/>
      <c r="G155" s="342">
        <f>D239</f>
        <v>0</v>
      </c>
      <c r="H155" s="577">
        <v>45930</v>
      </c>
      <c r="I155" s="796"/>
      <c r="J155" s="796"/>
      <c r="K155" s="271"/>
      <c r="L155" s="339">
        <v>10</v>
      </c>
      <c r="M155" s="433" t="s">
        <v>491</v>
      </c>
      <c r="N155" s="340" t="s">
        <v>500</v>
      </c>
      <c r="O155" s="557"/>
      <c r="P155" s="469"/>
      <c r="Q155" s="342">
        <v>600</v>
      </c>
      <c r="R155" s="594"/>
      <c r="S155" s="630" t="s">
        <v>501</v>
      </c>
      <c r="T155" s="644">
        <v>45900</v>
      </c>
      <c r="U155" s="654">
        <v>24.663003621551454</v>
      </c>
      <c r="V155" s="808"/>
      <c r="W155" s="536">
        <v>45930</v>
      </c>
      <c r="X155" s="799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796"/>
      <c r="J156" s="796"/>
      <c r="K156" s="271"/>
      <c r="L156" s="339">
        <v>10</v>
      </c>
      <c r="M156" s="433" t="s">
        <v>491</v>
      </c>
      <c r="N156" s="340"/>
      <c r="O156" s="557"/>
      <c r="P156" s="469"/>
      <c r="Q156" s="342">
        <v>6900</v>
      </c>
      <c r="R156" s="594"/>
      <c r="S156" s="630" t="s">
        <v>502</v>
      </c>
      <c r="T156" s="644">
        <v>45900</v>
      </c>
      <c r="U156" s="654">
        <v>0</v>
      </c>
      <c r="V156" s="808"/>
      <c r="W156" s="536">
        <v>45930</v>
      </c>
      <c r="X156" s="799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45930</v>
      </c>
      <c r="I157" s="796"/>
      <c r="J157" s="796"/>
      <c r="K157" s="271"/>
      <c r="L157" s="339">
        <v>10</v>
      </c>
      <c r="M157" s="433" t="s">
        <v>491</v>
      </c>
      <c r="N157" s="340"/>
      <c r="O157" s="557"/>
      <c r="P157" s="469"/>
      <c r="Q157" s="342">
        <v>0</v>
      </c>
      <c r="R157" s="594"/>
      <c r="S157" s="630" t="s">
        <v>503</v>
      </c>
      <c r="T157" s="644">
        <v>45900</v>
      </c>
      <c r="U157" s="654">
        <v>0</v>
      </c>
      <c r="V157" s="808"/>
      <c r="W157" s="536">
        <v>45930</v>
      </c>
      <c r="X157" s="799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45961</v>
      </c>
      <c r="I158" s="796"/>
      <c r="J158" s="796"/>
      <c r="K158" s="271"/>
      <c r="L158" s="339">
        <v>10</v>
      </c>
      <c r="M158" s="433" t="s">
        <v>491</v>
      </c>
      <c r="N158" s="340" t="s">
        <v>504</v>
      </c>
      <c r="O158" s="557"/>
      <c r="P158" s="469"/>
      <c r="Q158" s="342">
        <v>620</v>
      </c>
      <c r="R158" s="594"/>
      <c r="S158" s="630" t="s">
        <v>505</v>
      </c>
      <c r="T158" s="644">
        <v>45930</v>
      </c>
      <c r="U158" s="654"/>
      <c r="V158" s="808"/>
      <c r="W158" s="733">
        <v>45961</v>
      </c>
      <c r="X158" s="799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796"/>
      <c r="J159" s="796"/>
      <c r="K159" s="271"/>
      <c r="L159" s="339">
        <v>10</v>
      </c>
      <c r="M159" s="433" t="s">
        <v>491</v>
      </c>
      <c r="N159" s="340"/>
      <c r="O159" s="557"/>
      <c r="P159" s="469"/>
      <c r="Q159" s="342">
        <v>-5700</v>
      </c>
      <c r="R159" s="594"/>
      <c r="S159" s="630" t="s">
        <v>506</v>
      </c>
      <c r="T159" s="644">
        <v>45900</v>
      </c>
      <c r="U159" s="654">
        <v>0</v>
      </c>
      <c r="V159" s="808"/>
      <c r="W159" s="733">
        <v>45930</v>
      </c>
      <c r="X159" s="799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>
        <v>45930</v>
      </c>
      <c r="I160" s="796"/>
      <c r="J160" s="796"/>
      <c r="K160" s="271"/>
      <c r="L160" s="339">
        <v>10</v>
      </c>
      <c r="M160" s="433" t="s">
        <v>491</v>
      </c>
      <c r="N160" s="340"/>
      <c r="O160" s="557"/>
      <c r="P160" s="469"/>
      <c r="Q160" s="342">
        <v>-6100</v>
      </c>
      <c r="R160" s="594"/>
      <c r="S160" s="630" t="s">
        <v>507</v>
      </c>
      <c r="T160" s="644">
        <v>45900</v>
      </c>
      <c r="U160" s="654">
        <v>0</v>
      </c>
      <c r="V160" s="808"/>
      <c r="W160" s="733">
        <v>45930</v>
      </c>
      <c r="X160" s="799"/>
      <c r="Y160" s="480"/>
    </row>
    <row r="161" spans="1:25" ht="14.25" customHeight="1">
      <c r="B161" s="339"/>
      <c r="C161" s="340"/>
      <c r="D161" s="340"/>
      <c r="E161" s="341"/>
      <c r="F161" s="469"/>
      <c r="G161" s="342"/>
      <c r="H161" s="577"/>
      <c r="I161" s="796"/>
      <c r="J161" s="796"/>
      <c r="K161" s="271"/>
      <c r="L161" s="339">
        <v>10</v>
      </c>
      <c r="M161" s="433" t="s">
        <v>491</v>
      </c>
      <c r="N161" s="340" t="s">
        <v>508</v>
      </c>
      <c r="O161" s="557"/>
      <c r="P161" s="469"/>
      <c r="Q161" s="342">
        <v>600</v>
      </c>
      <c r="R161" s="594"/>
      <c r="S161" s="630" t="s">
        <v>509</v>
      </c>
      <c r="T161" s="644">
        <v>45961</v>
      </c>
      <c r="U161" s="654">
        <v>0</v>
      </c>
      <c r="V161" s="808"/>
      <c r="W161" s="733">
        <v>45974</v>
      </c>
      <c r="X161" s="799"/>
      <c r="Y161" s="480"/>
    </row>
    <row r="162" spans="1:25" ht="14.25" customHeight="1">
      <c r="B162" s="339">
        <v>10</v>
      </c>
      <c r="C162" s="340"/>
      <c r="D162" s="340" t="s">
        <v>510</v>
      </c>
      <c r="E162" s="341"/>
      <c r="F162" s="469"/>
      <c r="G162" s="342">
        <f>D238</f>
        <v>0</v>
      </c>
      <c r="H162" s="577"/>
      <c r="I162" s="796"/>
      <c r="J162" s="796"/>
      <c r="K162" s="271"/>
      <c r="L162" s="339">
        <v>10</v>
      </c>
      <c r="M162" s="433" t="s">
        <v>491</v>
      </c>
      <c r="N162" s="340" t="s">
        <v>511</v>
      </c>
      <c r="O162" s="557"/>
      <c r="P162" s="469"/>
      <c r="Q162" s="342">
        <v>620</v>
      </c>
      <c r="R162" s="594"/>
      <c r="S162" s="630" t="s">
        <v>512</v>
      </c>
      <c r="T162" s="751">
        <v>45991</v>
      </c>
      <c r="U162" s="654">
        <v>0</v>
      </c>
      <c r="V162" s="808"/>
      <c r="W162" s="733">
        <v>45995</v>
      </c>
      <c r="X162" s="799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796"/>
      <c r="J163" s="796"/>
      <c r="K163" s="271"/>
      <c r="L163" s="339">
        <v>10</v>
      </c>
      <c r="M163" s="433" t="s">
        <v>491</v>
      </c>
      <c r="N163" s="340"/>
      <c r="O163" s="557"/>
      <c r="P163" s="469"/>
      <c r="Q163" s="342">
        <v>-400</v>
      </c>
      <c r="R163" s="595"/>
      <c r="S163" s="630" t="s">
        <v>513</v>
      </c>
      <c r="T163" s="695">
        <v>46022</v>
      </c>
      <c r="U163" s="654"/>
      <c r="V163" s="808"/>
      <c r="W163" s="696">
        <v>46031</v>
      </c>
      <c r="X163" s="799"/>
      <c r="Y163" s="480"/>
    </row>
    <row r="164" spans="1:25" ht="14.25" customHeight="1">
      <c r="B164" s="339"/>
      <c r="C164" s="340"/>
      <c r="D164" s="340"/>
      <c r="E164" s="341"/>
      <c r="F164" s="469"/>
      <c r="G164" s="342"/>
      <c r="H164" s="578"/>
      <c r="I164" s="796"/>
      <c r="J164" s="796"/>
      <c r="K164" s="271"/>
      <c r="L164" s="339">
        <v>10</v>
      </c>
      <c r="M164" s="433" t="s">
        <v>491</v>
      </c>
      <c r="N164" s="340"/>
      <c r="O164" s="557"/>
      <c r="P164" s="469"/>
      <c r="Q164" s="342"/>
      <c r="R164" s="595"/>
      <c r="S164" s="631"/>
      <c r="T164" s="528"/>
      <c r="U164" s="654"/>
      <c r="V164" s="808"/>
      <c r="W164" s="578"/>
      <c r="X164" s="799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ref="H165:H172" si="14">H138</f>
        <v>45897</v>
      </c>
      <c r="I165" s="796"/>
      <c r="J165" s="796"/>
      <c r="K165" s="271"/>
      <c r="L165" s="339">
        <v>10</v>
      </c>
      <c r="M165" s="433" t="s">
        <v>491</v>
      </c>
      <c r="N165" s="340"/>
      <c r="O165" s="611">
        <f>SUM(Z35:Z42)</f>
        <v>207544.8</v>
      </c>
      <c r="P165" s="564">
        <v>0.1</v>
      </c>
      <c r="Q165" s="342">
        <f>$O$165*P165</f>
        <v>20754.48</v>
      </c>
      <c r="R165" s="813"/>
      <c r="S165" s="631" t="s">
        <v>379</v>
      </c>
      <c r="T165" s="667">
        <f>T138</f>
        <v>45900</v>
      </c>
      <c r="U165" s="654">
        <v>901.54014567236186</v>
      </c>
      <c r="V165" s="808"/>
      <c r="W165" s="537">
        <f t="shared" ref="W165:W172" si="15">W138</f>
        <v>45883</v>
      </c>
      <c r="X165" s="799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37">
        <f t="shared" si="14"/>
        <v>45898</v>
      </c>
      <c r="I166" s="796"/>
      <c r="J166" s="796"/>
      <c r="K166" s="271"/>
      <c r="L166" s="339">
        <v>10</v>
      </c>
      <c r="M166" s="433" t="s">
        <v>491</v>
      </c>
      <c r="N166" s="340" t="s">
        <v>159</v>
      </c>
      <c r="O166" s="557"/>
      <c r="P166" s="564">
        <v>0.15</v>
      </c>
      <c r="Q166" s="342">
        <f t="shared" ref="Q166:Q172" si="16">$O$165*P166</f>
        <v>31131.719999999998</v>
      </c>
      <c r="R166" s="814"/>
      <c r="S166" s="636" t="s">
        <v>379</v>
      </c>
      <c r="T166" s="667">
        <f>T139</f>
        <v>45900</v>
      </c>
      <c r="U166" s="654">
        <v>1352.3102185085427</v>
      </c>
      <c r="V166" s="808"/>
      <c r="W166" s="537">
        <f t="shared" si="15"/>
        <v>45898</v>
      </c>
      <c r="X166" s="799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796"/>
      <c r="J167" s="796"/>
      <c r="K167" s="271"/>
      <c r="L167" s="339">
        <v>10</v>
      </c>
      <c r="M167" s="433" t="s">
        <v>491</v>
      </c>
      <c r="N167" s="340" t="s">
        <v>380</v>
      </c>
      <c r="O167" s="557"/>
      <c r="P167" s="564">
        <v>0.2</v>
      </c>
      <c r="Q167" s="342">
        <f t="shared" si="16"/>
        <v>41508.959999999999</v>
      </c>
      <c r="R167" s="814"/>
      <c r="S167" s="631" t="s">
        <v>379</v>
      </c>
      <c r="T167" s="667">
        <v>45900</v>
      </c>
      <c r="U167" s="654">
        <v>1803.0802913447237</v>
      </c>
      <c r="V167" s="808"/>
      <c r="W167" s="537">
        <f>W140</f>
        <v>45946</v>
      </c>
      <c r="X167" s="799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796"/>
      <c r="J168" s="796"/>
      <c r="K168" s="271"/>
      <c r="L168" s="339">
        <v>10</v>
      </c>
      <c r="M168" s="433" t="s">
        <v>491</v>
      </c>
      <c r="N168" s="340" t="s">
        <v>382</v>
      </c>
      <c r="O168" s="557"/>
      <c r="P168" s="564">
        <v>0.25</v>
      </c>
      <c r="Q168" s="740">
        <f t="shared" si="16"/>
        <v>51886.2</v>
      </c>
      <c r="R168" s="814"/>
      <c r="S168" s="631" t="s">
        <v>379</v>
      </c>
      <c r="T168" s="667">
        <f>T141</f>
        <v>45961</v>
      </c>
      <c r="U168" s="654">
        <v>2253.8503641809048</v>
      </c>
      <c r="V168" s="808"/>
      <c r="W168" s="537">
        <f>W141</f>
        <v>45946</v>
      </c>
      <c r="X168" s="799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796"/>
      <c r="J169" s="796"/>
      <c r="K169" s="271"/>
      <c r="L169" s="339">
        <v>10</v>
      </c>
      <c r="M169" s="433" t="s">
        <v>491</v>
      </c>
      <c r="N169" s="340" t="s">
        <v>384</v>
      </c>
      <c r="O169" s="557"/>
      <c r="P169" s="564">
        <v>0.1</v>
      </c>
      <c r="Q169" s="740">
        <f t="shared" si="16"/>
        <v>20754.48</v>
      </c>
      <c r="R169" s="814"/>
      <c r="S169" s="631" t="s">
        <v>379</v>
      </c>
      <c r="T169" s="667">
        <f>T142</f>
        <v>45961</v>
      </c>
      <c r="U169" s="654">
        <v>901.54014567236186</v>
      </c>
      <c r="V169" s="808"/>
      <c r="W169" s="537">
        <f t="shared" si="15"/>
        <v>45989</v>
      </c>
      <c r="X169" s="799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796"/>
      <c r="J170" s="796"/>
      <c r="K170" s="271"/>
      <c r="L170" s="339">
        <v>10</v>
      </c>
      <c r="M170" s="433" t="s">
        <v>491</v>
      </c>
      <c r="N170" s="340" t="s">
        <v>386</v>
      </c>
      <c r="O170" s="557"/>
      <c r="P170" s="564">
        <v>0.1</v>
      </c>
      <c r="Q170" s="740">
        <f t="shared" si="16"/>
        <v>20754.48</v>
      </c>
      <c r="R170" s="814"/>
      <c r="S170" s="631" t="s">
        <v>379</v>
      </c>
      <c r="T170" s="667">
        <f>T143</f>
        <v>45961</v>
      </c>
      <c r="U170" s="654">
        <v>901.54014567236186</v>
      </c>
      <c r="V170" s="808"/>
      <c r="W170" s="537">
        <f t="shared" si="15"/>
        <v>45996</v>
      </c>
      <c r="X170" s="799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796"/>
      <c r="J171" s="796"/>
      <c r="K171" s="271"/>
      <c r="L171" s="339">
        <v>10</v>
      </c>
      <c r="M171" s="433" t="s">
        <v>491</v>
      </c>
      <c r="N171" s="340" t="s">
        <v>387</v>
      </c>
      <c r="O171" s="557"/>
      <c r="P171" s="564">
        <v>0.05</v>
      </c>
      <c r="Q171" s="740">
        <f t="shared" si="16"/>
        <v>10377.24</v>
      </c>
      <c r="R171" s="814"/>
      <c r="S171" s="631" t="s">
        <v>379</v>
      </c>
      <c r="T171" s="667">
        <f>T144</f>
        <v>45961</v>
      </c>
      <c r="U171" s="654">
        <v>450.77007283618093</v>
      </c>
      <c r="V171" s="808"/>
      <c r="W171" s="537">
        <f t="shared" si="15"/>
        <v>45996</v>
      </c>
      <c r="X171" s="799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 t="e">
        <f t="shared" si="14"/>
        <v>#REF!</v>
      </c>
      <c r="I172" s="796"/>
      <c r="J172" s="796"/>
      <c r="K172" s="271"/>
      <c r="L172" s="339">
        <v>10</v>
      </c>
      <c r="M172" s="433" t="s">
        <v>491</v>
      </c>
      <c r="N172" s="340" t="s">
        <v>388</v>
      </c>
      <c r="O172" s="557"/>
      <c r="P172" s="564">
        <v>0.05</v>
      </c>
      <c r="Q172" s="740">
        <f t="shared" si="16"/>
        <v>10377.24</v>
      </c>
      <c r="R172" s="815"/>
      <c r="S172" s="631" t="s">
        <v>379</v>
      </c>
      <c r="T172" s="667">
        <f>T145</f>
        <v>45961</v>
      </c>
      <c r="U172" s="654">
        <v>450.77007283618093</v>
      </c>
      <c r="V172" s="808"/>
      <c r="W172" s="696">
        <f t="shared" si="15"/>
        <v>46015</v>
      </c>
      <c r="X172" s="799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796"/>
      <c r="J173" s="796"/>
      <c r="K173" s="271"/>
      <c r="L173" s="339">
        <v>10</v>
      </c>
      <c r="M173" s="433" t="s">
        <v>491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(Q173/$X$150*$J$150)</f>
        <v>0</v>
      </c>
      <c r="V173" s="808"/>
      <c r="W173" s="578"/>
      <c r="X173" s="799"/>
      <c r="Y173" s="480"/>
    </row>
    <row r="174" spans="1:25" ht="14.25" customHeight="1">
      <c r="B174" s="339">
        <v>10</v>
      </c>
      <c r="C174" s="340"/>
      <c r="D174" s="340"/>
      <c r="E174" s="341"/>
      <c r="F174" s="469"/>
      <c r="G174" s="342"/>
      <c r="H174" s="578"/>
      <c r="I174" s="796"/>
      <c r="J174" s="796"/>
      <c r="K174" s="271"/>
      <c r="L174" s="339">
        <v>10</v>
      </c>
      <c r="M174" s="433" t="s">
        <v>491</v>
      </c>
      <c r="N174" s="340"/>
      <c r="O174" s="557"/>
      <c r="P174" s="469"/>
      <c r="Q174" s="342"/>
      <c r="R174" s="595"/>
      <c r="S174" s="631"/>
      <c r="T174" s="528" t="str">
        <f t="shared" si="11"/>
        <v/>
      </c>
      <c r="U174" s="514">
        <f>(Q174/$X$150*$J$150)</f>
        <v>0</v>
      </c>
      <c r="V174" s="808"/>
      <c r="W174" s="578"/>
      <c r="X174" s="799"/>
      <c r="Y174" s="480"/>
    </row>
    <row r="175" spans="1:25" ht="15" customHeight="1" thickBot="1">
      <c r="B175" s="272">
        <v>10</v>
      </c>
      <c r="C175" s="343"/>
      <c r="D175" s="343"/>
      <c r="E175" s="344"/>
      <c r="F175" s="470"/>
      <c r="G175" s="273"/>
      <c r="H175" s="579"/>
      <c r="I175" s="797"/>
      <c r="J175" s="797"/>
      <c r="K175" s="274"/>
      <c r="L175" s="272">
        <v>10</v>
      </c>
      <c r="M175" s="434" t="s">
        <v>491</v>
      </c>
      <c r="N175" s="343"/>
      <c r="O175" s="558"/>
      <c r="P175" s="470"/>
      <c r="Q175" s="273"/>
      <c r="R175" s="596"/>
      <c r="S175" s="632"/>
      <c r="T175" s="529" t="str">
        <f t="shared" si="11"/>
        <v/>
      </c>
      <c r="U175" s="515">
        <f>(Q175/$X$150*$J$150)</f>
        <v>0</v>
      </c>
      <c r="V175" s="809"/>
      <c r="W175" s="579"/>
      <c r="X175" s="800"/>
      <c r="Y175" s="480"/>
    </row>
    <row r="176" spans="1:25" ht="14.4" thickBot="1">
      <c r="A176" s="24"/>
      <c r="B176" s="275"/>
      <c r="C176" s="276"/>
      <c r="D176" s="276"/>
      <c r="E176" s="290"/>
      <c r="F176" s="454"/>
      <c r="G176" s="278"/>
      <c r="H176" s="569"/>
      <c r="I176" s="279"/>
      <c r="J176" s="400"/>
      <c r="K176" s="24"/>
      <c r="L176" s="275"/>
      <c r="M176" s="276"/>
      <c r="N176" s="276"/>
      <c r="O176" s="546"/>
      <c r="P176" s="454"/>
      <c r="Q176" s="278"/>
      <c r="R176" s="589"/>
      <c r="S176" s="625"/>
      <c r="T176" s="519" t="str">
        <f t="shared" si="11"/>
        <v/>
      </c>
      <c r="U176" s="504"/>
      <c r="V176" s="492"/>
      <c r="W176" s="569"/>
      <c r="X176" s="349"/>
      <c r="Y176" s="480"/>
    </row>
    <row r="177" spans="1:25" ht="14.25" customHeight="1">
      <c r="B177" s="280">
        <v>11</v>
      </c>
      <c r="C177" s="281" t="s">
        <v>514</v>
      </c>
      <c r="D177" s="350" t="s">
        <v>515</v>
      </c>
      <c r="E177" s="282"/>
      <c r="F177" s="435"/>
      <c r="G177" s="283">
        <v>17050</v>
      </c>
      <c r="H177" s="530">
        <v>45898</v>
      </c>
      <c r="I177" s="772">
        <f>SUM(G177:G181)</f>
        <v>77050</v>
      </c>
      <c r="J177" s="772">
        <f>F235</f>
        <v>86573.033707865165</v>
      </c>
      <c r="K177" s="284"/>
      <c r="L177" s="280">
        <v>11</v>
      </c>
      <c r="M177" s="350" t="s">
        <v>516</v>
      </c>
      <c r="N177" s="350" t="s">
        <v>515</v>
      </c>
      <c r="O177" s="282"/>
      <c r="P177" s="435"/>
      <c r="Q177" s="283">
        <v>24500</v>
      </c>
      <c r="R177" s="588"/>
      <c r="S177" s="624" t="s">
        <v>517</v>
      </c>
      <c r="T177" s="748">
        <v>45991</v>
      </c>
      <c r="U177" s="752">
        <v>33132.88780466724</v>
      </c>
      <c r="V177" s="762">
        <f>J177-SUM(U177:U181)</f>
        <v>2.8190637676743791E-3</v>
      </c>
      <c r="W177" s="749">
        <v>45989</v>
      </c>
      <c r="X177" s="759">
        <f>SUM(Q177:Q181)</f>
        <v>52000</v>
      </c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530">
        <v>45899</v>
      </c>
      <c r="I178" s="773"/>
      <c r="J178" s="773"/>
      <c r="K178" s="287"/>
      <c r="L178" s="310">
        <v>11</v>
      </c>
      <c r="M178" s="387" t="s">
        <v>516</v>
      </c>
      <c r="N178" s="312" t="s">
        <v>518</v>
      </c>
      <c r="O178" s="313"/>
      <c r="P178" s="457"/>
      <c r="Q178" s="314">
        <v>7500</v>
      </c>
      <c r="R178" s="634"/>
      <c r="S178" s="617" t="s">
        <v>519</v>
      </c>
      <c r="T178" s="647">
        <v>45869</v>
      </c>
      <c r="U178" s="649">
        <v>19947.703619323769</v>
      </c>
      <c r="V178" s="763"/>
      <c r="W178" s="530">
        <v>45899</v>
      </c>
      <c r="X178" s="760"/>
      <c r="Y178" s="480"/>
    </row>
    <row r="179" spans="1:25" ht="15" customHeight="1">
      <c r="B179" s="310">
        <v>11</v>
      </c>
      <c r="C179" s="312"/>
      <c r="D179" s="312"/>
      <c r="E179" s="313"/>
      <c r="F179" s="457"/>
      <c r="G179" s="314"/>
      <c r="H179" s="691">
        <v>45930</v>
      </c>
      <c r="I179" s="773"/>
      <c r="J179" s="773"/>
      <c r="K179" s="287"/>
      <c r="L179" s="310">
        <v>11</v>
      </c>
      <c r="M179" s="387" t="s">
        <v>516</v>
      </c>
      <c r="N179" s="312"/>
      <c r="O179" s="313"/>
      <c r="P179" s="457"/>
      <c r="Q179" s="314">
        <v>12000</v>
      </c>
      <c r="R179" s="581"/>
      <c r="S179" s="617" t="s">
        <v>520</v>
      </c>
      <c r="T179" s="690">
        <v>45930</v>
      </c>
      <c r="U179" s="649">
        <v>17946.215678886241</v>
      </c>
      <c r="V179" s="763"/>
      <c r="W179" s="691">
        <v>45930</v>
      </c>
      <c r="X179" s="760"/>
      <c r="Y179" s="480"/>
    </row>
    <row r="180" spans="1:25" ht="15" customHeight="1">
      <c r="B180" s="310">
        <v>11</v>
      </c>
      <c r="C180" s="385"/>
      <c r="D180" s="385" t="s">
        <v>521</v>
      </c>
      <c r="E180" s="404"/>
      <c r="F180" s="442"/>
      <c r="G180" s="384">
        <v>60000</v>
      </c>
      <c r="H180" s="691">
        <v>45930</v>
      </c>
      <c r="I180" s="773"/>
      <c r="J180" s="773"/>
      <c r="K180" s="287"/>
      <c r="L180" s="310">
        <v>11</v>
      </c>
      <c r="M180" s="387" t="s">
        <v>516</v>
      </c>
      <c r="N180" s="385" t="s">
        <v>522</v>
      </c>
      <c r="O180" s="404"/>
      <c r="P180" s="442"/>
      <c r="Q180" s="384">
        <v>8000</v>
      </c>
      <c r="R180" s="582"/>
      <c r="S180" s="618" t="s">
        <v>523</v>
      </c>
      <c r="T180" s="655">
        <v>45961</v>
      </c>
      <c r="U180" s="744">
        <v>15546.22378592416</v>
      </c>
      <c r="V180" s="763"/>
      <c r="W180" s="531">
        <f>T180+30</f>
        <v>45991</v>
      </c>
      <c r="X180" s="760"/>
      <c r="Y180" s="480"/>
    </row>
    <row r="181" spans="1:25" ht="15" customHeight="1" thickBot="1">
      <c r="B181" s="315">
        <v>11</v>
      </c>
      <c r="C181" s="316"/>
      <c r="D181" s="316"/>
      <c r="E181" s="317"/>
      <c r="F181" s="458"/>
      <c r="G181" s="329"/>
      <c r="H181" s="568"/>
      <c r="I181" s="774"/>
      <c r="J181" s="774"/>
      <c r="K181" s="288"/>
      <c r="L181" s="315">
        <v>11</v>
      </c>
      <c r="M181" s="417" t="s">
        <v>516</v>
      </c>
      <c r="N181" s="316"/>
      <c r="O181" s="545"/>
      <c r="P181" s="458"/>
      <c r="Q181" s="329"/>
      <c r="R181" s="583"/>
      <c r="S181" s="619"/>
      <c r="T181" s="518" t="str">
        <f t="shared" si="11"/>
        <v/>
      </c>
      <c r="U181" s="503">
        <f>(Q181/$X$177*$J$177)</f>
        <v>0</v>
      </c>
      <c r="V181" s="764"/>
      <c r="W181" s="568"/>
      <c r="X181" s="761"/>
      <c r="Y181" s="480"/>
    </row>
    <row r="182" spans="1:25" ht="15" customHeight="1" thickBot="1">
      <c r="A182" s="24"/>
      <c r="B182" s="289"/>
      <c r="C182" s="276"/>
      <c r="D182" s="276"/>
      <c r="E182" s="290"/>
      <c r="F182" s="454"/>
      <c r="G182" s="291"/>
      <c r="H182" s="569"/>
      <c r="I182" s="279"/>
      <c r="J182" s="279"/>
      <c r="K182" s="24"/>
      <c r="L182" s="289"/>
      <c r="M182" s="276"/>
      <c r="N182" s="276"/>
      <c r="O182" s="546"/>
      <c r="P182" s="454"/>
      <c r="Q182" s="291"/>
      <c r="R182" s="584"/>
      <c r="S182" s="620"/>
      <c r="T182" s="519" t="str">
        <f t="shared" si="11"/>
        <v/>
      </c>
      <c r="U182" s="508"/>
      <c r="V182" s="491"/>
      <c r="W182" s="569"/>
      <c r="X182" s="349"/>
      <c r="Y182" s="480"/>
    </row>
    <row r="183" spans="1:25">
      <c r="B183" s="268">
        <v>12</v>
      </c>
      <c r="C183" s="269" t="s">
        <v>524</v>
      </c>
      <c r="D183" s="269"/>
      <c r="E183" s="270"/>
      <c r="F183" s="468"/>
      <c r="G183" s="337"/>
      <c r="H183" s="576"/>
      <c r="I183" s="795">
        <f>SUM(G183:G184)</f>
        <v>0</v>
      </c>
      <c r="J183" s="795">
        <v>0</v>
      </c>
      <c r="K183" s="816"/>
      <c r="L183" s="268">
        <v>12</v>
      </c>
      <c r="M183" s="269" t="s">
        <v>525</v>
      </c>
      <c r="N183" s="269"/>
      <c r="O183" s="556"/>
      <c r="P183" s="468"/>
      <c r="Q183" s="337"/>
      <c r="R183" s="593"/>
      <c r="S183" s="629"/>
      <c r="T183" s="527" t="str">
        <f t="shared" si="11"/>
        <v/>
      </c>
      <c r="U183" s="513"/>
      <c r="V183" s="490"/>
      <c r="W183" s="576"/>
      <c r="X183" s="798">
        <f>SUM(Q183:Q184)</f>
        <v>0</v>
      </c>
      <c r="Y183" s="480"/>
    </row>
    <row r="184" spans="1:25" ht="15" customHeight="1" thickBot="1">
      <c r="B184" s="272">
        <v>12</v>
      </c>
      <c r="C184" s="343" t="s">
        <v>524</v>
      </c>
      <c r="D184" s="343"/>
      <c r="E184" s="344"/>
      <c r="F184" s="470"/>
      <c r="G184" s="273"/>
      <c r="H184" s="579"/>
      <c r="I184" s="797"/>
      <c r="J184" s="797"/>
      <c r="K184" s="817"/>
      <c r="L184" s="272">
        <v>12</v>
      </c>
      <c r="M184" s="343" t="s">
        <v>525</v>
      </c>
      <c r="N184" s="343"/>
      <c r="O184" s="558"/>
      <c r="P184" s="470"/>
      <c r="Q184" s="273"/>
      <c r="R184" s="596"/>
      <c r="S184" s="632"/>
      <c r="T184" s="529" t="str">
        <f t="shared" si="11"/>
        <v/>
      </c>
      <c r="U184" s="515"/>
      <c r="V184" s="489"/>
      <c r="W184" s="579"/>
      <c r="X184" s="800"/>
      <c r="Y184" s="480"/>
    </row>
    <row r="185" spans="1:25" ht="14.4" thickBot="1">
      <c r="A185" s="24"/>
      <c r="B185" s="289"/>
      <c r="C185" s="276"/>
      <c r="D185" s="276"/>
      <c r="E185" s="290"/>
      <c r="F185" s="454"/>
      <c r="G185" s="291"/>
      <c r="H185" s="569"/>
      <c r="I185" s="325"/>
      <c r="J185" s="325"/>
      <c r="K185" s="24"/>
      <c r="L185" s="289"/>
      <c r="M185" s="276"/>
      <c r="N185" s="276"/>
      <c r="O185" s="546"/>
      <c r="P185" s="454"/>
      <c r="Q185" s="291"/>
      <c r="R185" s="584"/>
      <c r="S185" s="620"/>
      <c r="T185" s="519" t="str">
        <f t="shared" ref="T185:T204" si="17">IF(W185&gt;1,EOMONTH(W185,0),"")</f>
        <v/>
      </c>
      <c r="U185" s="508"/>
      <c r="V185" s="491"/>
      <c r="W185" s="569"/>
      <c r="X185" s="481"/>
      <c r="Y185" s="480"/>
    </row>
    <row r="186" spans="1:25" ht="15.75" customHeight="1">
      <c r="B186" s="280">
        <v>13</v>
      </c>
      <c r="C186" s="281" t="s">
        <v>526</v>
      </c>
      <c r="D186" s="350" t="s">
        <v>527</v>
      </c>
      <c r="E186" s="282"/>
      <c r="F186" s="435"/>
      <c r="G186" s="283">
        <v>122812.83720967286</v>
      </c>
      <c r="H186" s="573">
        <v>45930</v>
      </c>
      <c r="I186" s="772">
        <f>SUM(G186:G190)</f>
        <v>434412.83720967284</v>
      </c>
      <c r="J186" s="772">
        <f>F234</f>
        <v>488104.31147154252</v>
      </c>
      <c r="K186" s="284"/>
      <c r="L186" s="280">
        <v>13</v>
      </c>
      <c r="M186" s="350" t="s">
        <v>528</v>
      </c>
      <c r="N186" s="350" t="s">
        <v>529</v>
      </c>
      <c r="O186" s="542"/>
      <c r="P186" s="435"/>
      <c r="Q186" s="283">
        <v>154022.95000000001</v>
      </c>
      <c r="R186" s="588"/>
      <c r="S186" s="624" t="s">
        <v>530</v>
      </c>
      <c r="T186" s="645">
        <v>46022</v>
      </c>
      <c r="U186" s="752">
        <v>488104.31147154252</v>
      </c>
      <c r="V186" s="762">
        <f>J186-SUM(U186:U191)</f>
        <v>0</v>
      </c>
      <c r="W186" s="749">
        <v>46051</v>
      </c>
      <c r="X186" s="759">
        <f>SUM(Q186:Q191)</f>
        <v>154022.95000000001</v>
      </c>
      <c r="Y186" s="480"/>
    </row>
    <row r="187" spans="1:25" ht="15.75" customHeight="1">
      <c r="B187" s="310">
        <v>13</v>
      </c>
      <c r="C187" s="312"/>
      <c r="D187" s="312" t="s">
        <v>531</v>
      </c>
      <c r="E187" s="313"/>
      <c r="F187" s="457"/>
      <c r="G187" s="314">
        <v>52000</v>
      </c>
      <c r="H187" s="566">
        <f>H186</f>
        <v>45930</v>
      </c>
      <c r="I187" s="773"/>
      <c r="J187" s="773"/>
      <c r="K187" s="287"/>
      <c r="L187" s="310">
        <v>13</v>
      </c>
      <c r="M187" s="387" t="s">
        <v>528</v>
      </c>
      <c r="N187" s="312" t="s">
        <v>531</v>
      </c>
      <c r="O187" s="543"/>
      <c r="P187" s="457"/>
      <c r="Q187" s="314"/>
      <c r="R187" s="581"/>
      <c r="S187" s="617"/>
      <c r="T187" s="516"/>
      <c r="U187" s="501">
        <f t="shared" ref="U187:U191" si="18">(Q187/$X$186*$J$186)</f>
        <v>0</v>
      </c>
      <c r="V187" s="763"/>
      <c r="W187" s="566"/>
      <c r="X187" s="760"/>
      <c r="Y187" s="480"/>
    </row>
    <row r="188" spans="1:25" ht="15.75" customHeight="1">
      <c r="B188" s="310">
        <v>13</v>
      </c>
      <c r="C188" s="312"/>
      <c r="D188" s="312" t="s">
        <v>532</v>
      </c>
      <c r="E188" s="313"/>
      <c r="F188" s="457"/>
      <c r="G188" s="314">
        <v>149600</v>
      </c>
      <c r="H188" s="566">
        <f>H186</f>
        <v>45930</v>
      </c>
      <c r="I188" s="773"/>
      <c r="J188" s="773"/>
      <c r="K188" s="287"/>
      <c r="L188" s="310">
        <v>13</v>
      </c>
      <c r="M188" s="387" t="s">
        <v>528</v>
      </c>
      <c r="N188" s="312" t="s">
        <v>532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63"/>
      <c r="W188" s="566"/>
      <c r="X188" s="760"/>
      <c r="Y188" s="480"/>
    </row>
    <row r="189" spans="1:25" ht="15.75" customHeight="1">
      <c r="B189" s="310">
        <v>13</v>
      </c>
      <c r="C189" s="312"/>
      <c r="D189" s="312" t="s">
        <v>533</v>
      </c>
      <c r="E189" s="313"/>
      <c r="F189" s="457"/>
      <c r="G189" s="314">
        <v>62400</v>
      </c>
      <c r="H189" s="566">
        <f>H186</f>
        <v>45930</v>
      </c>
      <c r="I189" s="773"/>
      <c r="J189" s="773"/>
      <c r="K189" s="287"/>
      <c r="L189" s="310">
        <v>13</v>
      </c>
      <c r="M189" s="387" t="s">
        <v>528</v>
      </c>
      <c r="N189" s="312" t="s">
        <v>533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63"/>
      <c r="W189" s="566"/>
      <c r="X189" s="760"/>
      <c r="Y189" s="480"/>
    </row>
    <row r="190" spans="1:25" ht="15.75" customHeight="1">
      <c r="B190" s="310">
        <v>13</v>
      </c>
      <c r="C190" s="312"/>
      <c r="D190" s="312" t="s">
        <v>534</v>
      </c>
      <c r="E190" s="313"/>
      <c r="F190" s="457"/>
      <c r="G190" s="314">
        <v>47600</v>
      </c>
      <c r="H190" s="566">
        <f>H186</f>
        <v>45930</v>
      </c>
      <c r="I190" s="773"/>
      <c r="J190" s="773"/>
      <c r="K190" s="287"/>
      <c r="L190" s="310">
        <v>13</v>
      </c>
      <c r="M190" s="387" t="s">
        <v>528</v>
      </c>
      <c r="N190" s="312" t="s">
        <v>534</v>
      </c>
      <c r="O190" s="543"/>
      <c r="P190" s="457"/>
      <c r="Q190" s="314">
        <v>0</v>
      </c>
      <c r="R190" s="581"/>
      <c r="S190" s="617"/>
      <c r="T190" s="516"/>
      <c r="U190" s="501">
        <f t="shared" si="18"/>
        <v>0</v>
      </c>
      <c r="V190" s="763"/>
      <c r="W190" s="566"/>
      <c r="X190" s="760"/>
      <c r="Y190" s="480"/>
    </row>
    <row r="191" spans="1:25" ht="15.75" customHeight="1" thickBot="1">
      <c r="B191" s="315">
        <v>13</v>
      </c>
      <c r="C191" s="316"/>
      <c r="D191" s="316"/>
      <c r="E191" s="317"/>
      <c r="F191" s="458"/>
      <c r="G191" s="329"/>
      <c r="H191" s="568"/>
      <c r="I191" s="774"/>
      <c r="J191" s="774"/>
      <c r="K191" s="363"/>
      <c r="L191" s="315">
        <v>13</v>
      </c>
      <c r="M191" s="417" t="s">
        <v>528</v>
      </c>
      <c r="N191" s="316"/>
      <c r="O191" s="545"/>
      <c r="P191" s="458"/>
      <c r="Q191" s="329"/>
      <c r="R191" s="583"/>
      <c r="S191" s="619"/>
      <c r="T191" s="518" t="str">
        <f t="shared" si="17"/>
        <v/>
      </c>
      <c r="U191" s="503">
        <f t="shared" si="18"/>
        <v>0</v>
      </c>
      <c r="V191" s="764"/>
      <c r="W191" s="568"/>
      <c r="X191" s="761"/>
      <c r="Y191" s="480"/>
    </row>
    <row r="192" spans="1:25" ht="14.4" thickBot="1">
      <c r="A192" s="24"/>
      <c r="B192" s="289"/>
      <c r="C192" s="276"/>
      <c r="D192" s="276"/>
      <c r="E192" s="290"/>
      <c r="F192" s="454"/>
      <c r="G192" s="291"/>
      <c r="H192" s="569"/>
      <c r="I192" s="279"/>
      <c r="J192" s="279"/>
      <c r="K192" s="24"/>
      <c r="L192" s="289"/>
      <c r="M192" s="276"/>
      <c r="N192" s="276"/>
      <c r="O192" s="546"/>
      <c r="P192" s="454"/>
      <c r="Q192" s="291"/>
      <c r="R192" s="584"/>
      <c r="S192" s="620"/>
      <c r="T192" s="519" t="str">
        <f t="shared" si="17"/>
        <v/>
      </c>
      <c r="U192" s="508"/>
      <c r="V192" s="491"/>
      <c r="W192" s="569"/>
      <c r="X192" s="481"/>
      <c r="Y192" s="480"/>
    </row>
    <row r="193" spans="1:25" ht="14.25" customHeight="1">
      <c r="B193" s="268">
        <v>14</v>
      </c>
      <c r="C193" s="269" t="s">
        <v>535</v>
      </c>
      <c r="D193" s="269" t="s">
        <v>536</v>
      </c>
      <c r="E193" s="270"/>
      <c r="F193" s="468"/>
      <c r="G193" s="337">
        <f>D245</f>
        <v>11900</v>
      </c>
      <c r="H193" s="537">
        <v>45842</v>
      </c>
      <c r="I193" s="795">
        <f>SUM(G193:G204)</f>
        <v>11900</v>
      </c>
      <c r="J193" s="795">
        <f>F245</f>
        <v>13370.786516853932</v>
      </c>
      <c r="K193" s="338"/>
      <c r="L193" s="268">
        <v>14</v>
      </c>
      <c r="M193" s="432" t="s">
        <v>537</v>
      </c>
      <c r="N193" s="269" t="s">
        <v>538</v>
      </c>
      <c r="O193" s="556"/>
      <c r="P193" s="468"/>
      <c r="Q193" s="337">
        <v>1418.96</v>
      </c>
      <c r="R193" s="593"/>
      <c r="S193" s="635" t="s">
        <v>539</v>
      </c>
      <c r="T193" s="648">
        <v>45838</v>
      </c>
      <c r="U193" s="490">
        <v>2574.6702266317702</v>
      </c>
      <c r="V193" s="807">
        <f>J193-SUM(U193:U204)</f>
        <v>2.0814647032239009E-3</v>
      </c>
      <c r="W193" s="537">
        <v>45842</v>
      </c>
      <c r="X193" s="798">
        <f>SUM(Q193:Q204)</f>
        <v>8514.52</v>
      </c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37">
        <v>45876</v>
      </c>
      <c r="I194" s="796"/>
      <c r="J194" s="796"/>
      <c r="K194" s="271"/>
      <c r="L194" s="339">
        <v>14</v>
      </c>
      <c r="M194" s="433" t="s">
        <v>537</v>
      </c>
      <c r="N194" s="340" t="s">
        <v>538</v>
      </c>
      <c r="O194" s="557"/>
      <c r="P194" s="469"/>
      <c r="Q194" s="342">
        <v>735.36</v>
      </c>
      <c r="R194" s="595"/>
      <c r="S194" s="635" t="s">
        <v>539</v>
      </c>
      <c r="T194" s="667">
        <v>45869</v>
      </c>
      <c r="U194" s="654">
        <v>887.44991326486718</v>
      </c>
      <c r="V194" s="808"/>
      <c r="W194" s="537">
        <v>45876</v>
      </c>
      <c r="X194" s="799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45900</v>
      </c>
      <c r="I195" s="796"/>
      <c r="J195" s="796"/>
      <c r="K195" s="271"/>
      <c r="L195" s="339">
        <v>14</v>
      </c>
      <c r="M195" s="433" t="s">
        <v>537</v>
      </c>
      <c r="N195" s="340" t="s">
        <v>538</v>
      </c>
      <c r="O195" s="557"/>
      <c r="P195" s="469"/>
      <c r="Q195" s="342">
        <v>861.56</v>
      </c>
      <c r="R195" s="595"/>
      <c r="S195" s="635" t="s">
        <v>539</v>
      </c>
      <c r="T195" s="667">
        <v>45900</v>
      </c>
      <c r="U195" s="697">
        <v>422.60151376782551</v>
      </c>
      <c r="V195" s="808"/>
      <c r="W195" s="696">
        <v>45905</v>
      </c>
      <c r="X195" s="799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78">
        <v>45930</v>
      </c>
      <c r="I196" s="796"/>
      <c r="J196" s="796"/>
      <c r="K196" s="271"/>
      <c r="L196" s="339">
        <v>14</v>
      </c>
      <c r="M196" s="433" t="s">
        <v>537</v>
      </c>
      <c r="N196" s="340" t="s">
        <v>538</v>
      </c>
      <c r="O196" s="557"/>
      <c r="P196" s="469"/>
      <c r="Q196" s="342">
        <v>1311.5</v>
      </c>
      <c r="R196" s="595"/>
      <c r="S196" s="635" t="s">
        <v>539</v>
      </c>
      <c r="T196" s="695">
        <v>45930</v>
      </c>
      <c r="U196" s="654">
        <v>1080.6295604622517</v>
      </c>
      <c r="V196" s="808"/>
      <c r="W196" s="696">
        <v>45940</v>
      </c>
      <c r="X196" s="799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28">
        <v>45961</v>
      </c>
      <c r="I197" s="796"/>
      <c r="J197" s="796"/>
      <c r="K197" s="271"/>
      <c r="L197" s="339">
        <v>14</v>
      </c>
      <c r="M197" s="433" t="s">
        <v>537</v>
      </c>
      <c r="N197" s="340" t="s">
        <v>538</v>
      </c>
      <c r="O197" s="557"/>
      <c r="P197" s="469"/>
      <c r="Q197" s="342">
        <v>2775.54</v>
      </c>
      <c r="R197" s="682"/>
      <c r="S197" s="635" t="s">
        <v>539</v>
      </c>
      <c r="T197" s="695">
        <v>45961</v>
      </c>
      <c r="U197" s="697">
        <v>309.82666592975067</v>
      </c>
      <c r="V197" s="808"/>
      <c r="W197" s="695">
        <v>45967</v>
      </c>
      <c r="X197" s="799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796"/>
      <c r="J198" s="796"/>
      <c r="K198" s="271"/>
      <c r="L198" s="339">
        <v>14</v>
      </c>
      <c r="M198" s="433" t="s">
        <v>537</v>
      </c>
      <c r="N198" s="340" t="s">
        <v>538</v>
      </c>
      <c r="O198" s="557"/>
      <c r="P198" s="469"/>
      <c r="Q198" s="342">
        <v>0</v>
      </c>
      <c r="R198" s="595"/>
      <c r="S198" s="635" t="s">
        <v>539</v>
      </c>
      <c r="T198" s="695">
        <v>45991</v>
      </c>
      <c r="U198" s="697">
        <v>0</v>
      </c>
      <c r="V198" s="808"/>
      <c r="W198" s="696">
        <v>45991</v>
      </c>
      <c r="X198" s="799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796"/>
      <c r="J199" s="796"/>
      <c r="K199" s="271"/>
      <c r="L199" s="339">
        <v>14</v>
      </c>
      <c r="M199" s="433" t="s">
        <v>537</v>
      </c>
      <c r="N199" s="340" t="s">
        <v>538</v>
      </c>
      <c r="O199" s="557"/>
      <c r="P199" s="469"/>
      <c r="Q199" s="342">
        <v>123.76</v>
      </c>
      <c r="R199" s="595"/>
      <c r="S199" s="635" t="s">
        <v>539</v>
      </c>
      <c r="T199" s="695">
        <v>46022</v>
      </c>
      <c r="U199" s="697">
        <v>162.20549353889189</v>
      </c>
      <c r="V199" s="808"/>
      <c r="W199" s="696">
        <v>46030</v>
      </c>
      <c r="X199" s="799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796"/>
      <c r="J200" s="796"/>
      <c r="K200" s="271"/>
      <c r="L200" s="339">
        <v>14</v>
      </c>
      <c r="M200" s="433" t="s">
        <v>537</v>
      </c>
      <c r="N200" s="340" t="s">
        <v>538</v>
      </c>
      <c r="O200" s="557"/>
      <c r="P200" s="469"/>
      <c r="Q200" s="342">
        <v>637.84</v>
      </c>
      <c r="R200" s="595"/>
      <c r="S200" s="635" t="s">
        <v>539</v>
      </c>
      <c r="T200" s="695">
        <v>46053</v>
      </c>
      <c r="U200" s="697">
        <v>1001.6327957313051</v>
      </c>
      <c r="V200" s="808"/>
      <c r="W200" s="696">
        <v>46058</v>
      </c>
      <c r="X200" s="799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796"/>
      <c r="J201" s="796"/>
      <c r="K201" s="271"/>
      <c r="L201" s="339">
        <v>14</v>
      </c>
      <c r="M201" s="433" t="s">
        <v>537</v>
      </c>
      <c r="N201" s="340"/>
      <c r="O201" s="557"/>
      <c r="P201" s="469"/>
      <c r="Q201" s="853">
        <v>650</v>
      </c>
      <c r="R201" s="595"/>
      <c r="S201" s="629"/>
      <c r="T201" s="528">
        <v>46081</v>
      </c>
      <c r="U201" s="514">
        <f>(Q201/$X$193*$J$193)+5911.04</f>
        <v>6931.7682660625678</v>
      </c>
      <c r="V201" s="808"/>
      <c r="W201" s="578">
        <v>46086</v>
      </c>
      <c r="X201" s="799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796"/>
      <c r="J202" s="796"/>
      <c r="K202" s="271"/>
      <c r="L202" s="339">
        <v>14</v>
      </c>
      <c r="M202" s="433" t="s">
        <v>537</v>
      </c>
      <c r="N202" s="340"/>
      <c r="O202" s="557"/>
      <c r="P202" s="469"/>
      <c r="Q202" s="342"/>
      <c r="R202" s="595"/>
      <c r="S202" s="629"/>
      <c r="T202" s="528" t="str">
        <f t="shared" si="17"/>
        <v/>
      </c>
      <c r="U202" s="514">
        <f t="shared" ref="U202:U204" si="19">(Q202/$X$193*$J$193)</f>
        <v>0</v>
      </c>
      <c r="V202" s="808"/>
      <c r="W202" s="578"/>
      <c r="X202" s="799"/>
      <c r="Y202" s="480"/>
    </row>
    <row r="203" spans="1:25" ht="14.25" customHeight="1">
      <c r="B203" s="339">
        <v>14</v>
      </c>
      <c r="C203" s="340"/>
      <c r="D203" s="340"/>
      <c r="E203" s="341"/>
      <c r="F203" s="469"/>
      <c r="G203" s="342"/>
      <c r="H203" s="578"/>
      <c r="I203" s="796"/>
      <c r="J203" s="796"/>
      <c r="K203" s="271"/>
      <c r="L203" s="339">
        <v>14</v>
      </c>
      <c r="M203" s="433" t="s">
        <v>537</v>
      </c>
      <c r="N203" s="340"/>
      <c r="O203" s="557"/>
      <c r="P203" s="469"/>
      <c r="Q203" s="342"/>
      <c r="R203" s="595"/>
      <c r="S203" s="631"/>
      <c r="T203" s="528" t="str">
        <f t="shared" si="17"/>
        <v/>
      </c>
      <c r="U203" s="514">
        <f t="shared" si="19"/>
        <v>0</v>
      </c>
      <c r="V203" s="808"/>
      <c r="W203" s="578"/>
      <c r="X203" s="799"/>
      <c r="Y203" s="480"/>
    </row>
    <row r="204" spans="1:25" ht="15" customHeight="1" thickBot="1">
      <c r="B204" s="272">
        <v>14</v>
      </c>
      <c r="C204" s="343"/>
      <c r="D204" s="343"/>
      <c r="E204" s="344"/>
      <c r="F204" s="470"/>
      <c r="G204" s="273"/>
      <c r="H204" s="579"/>
      <c r="I204" s="797"/>
      <c r="J204" s="797"/>
      <c r="K204" s="274"/>
      <c r="L204" s="272">
        <v>14</v>
      </c>
      <c r="M204" s="434" t="s">
        <v>537</v>
      </c>
      <c r="N204" s="343"/>
      <c r="O204" s="558"/>
      <c r="P204" s="470"/>
      <c r="Q204" s="273"/>
      <c r="R204" s="596"/>
      <c r="S204" s="632"/>
      <c r="T204" s="529" t="str">
        <f t="shared" si="17"/>
        <v/>
      </c>
      <c r="U204" s="515">
        <f t="shared" si="19"/>
        <v>0</v>
      </c>
      <c r="V204" s="809"/>
      <c r="W204" s="579"/>
      <c r="X204" s="800"/>
      <c r="Y204" s="480"/>
    </row>
    <row r="205" spans="1:25" ht="14.4" thickBot="1">
      <c r="A205" s="24"/>
      <c r="B205" s="289"/>
      <c r="C205" s="276"/>
      <c r="D205" s="276"/>
      <c r="E205" s="290"/>
      <c r="F205" s="454"/>
      <c r="G205" s="291"/>
      <c r="H205" s="569"/>
      <c r="I205" s="345"/>
      <c r="J205" s="345"/>
      <c r="K205" s="24"/>
      <c r="L205" s="289"/>
      <c r="M205" s="276"/>
      <c r="N205" s="276"/>
      <c r="O205" s="546"/>
      <c r="P205" s="454"/>
      <c r="Q205" s="291"/>
      <c r="R205" s="584"/>
      <c r="S205" s="620"/>
      <c r="T205" s="519" t="str">
        <f t="shared" ref="T205:T217" si="20">IF(W205&gt;1,EOMONTH(W205,0),"")</f>
        <v/>
      </c>
      <c r="U205" s="508"/>
      <c r="V205" s="491"/>
      <c r="W205" s="569"/>
      <c r="X205" s="488"/>
      <c r="Y205" s="480"/>
    </row>
    <row r="206" spans="1:25">
      <c r="B206" s="280">
        <v>15</v>
      </c>
      <c r="C206" s="281" t="s">
        <v>540</v>
      </c>
      <c r="D206" s="281"/>
      <c r="E206" s="282"/>
      <c r="F206" s="435"/>
      <c r="G206" s="283"/>
      <c r="H206" s="573"/>
      <c r="I206" s="772">
        <f>SUM(G206:G217)</f>
        <v>0</v>
      </c>
      <c r="J206" s="772">
        <f>F242</f>
        <v>0</v>
      </c>
      <c r="K206" s="284"/>
      <c r="L206" s="280">
        <v>15</v>
      </c>
      <c r="M206" s="350" t="s">
        <v>541</v>
      </c>
      <c r="N206" s="281" t="s">
        <v>542</v>
      </c>
      <c r="O206" s="282"/>
      <c r="P206" s="435"/>
      <c r="Q206" s="283">
        <f>60591.17/1.15</f>
        <v>52687.973913043483</v>
      </c>
      <c r="R206" s="588" t="s">
        <v>543</v>
      </c>
      <c r="S206" s="624" t="s">
        <v>658</v>
      </c>
      <c r="T206" s="645">
        <v>46081</v>
      </c>
      <c r="U206" s="509"/>
      <c r="V206" s="762">
        <v>0</v>
      </c>
      <c r="W206" s="573">
        <v>46072</v>
      </c>
      <c r="X206" s="759">
        <f>SUM(Q206:Q217)</f>
        <v>156196.88391304348</v>
      </c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773"/>
      <c r="J207" s="773"/>
      <c r="K207" s="287"/>
      <c r="L207" s="310">
        <v>15</v>
      </c>
      <c r="M207" s="387" t="s">
        <v>541</v>
      </c>
      <c r="N207" s="312" t="s">
        <v>544</v>
      </c>
      <c r="O207" s="543"/>
      <c r="P207" s="457"/>
      <c r="Q207" s="314">
        <v>5500</v>
      </c>
      <c r="R207" s="581" t="s">
        <v>545</v>
      </c>
      <c r="S207" s="617" t="s">
        <v>546</v>
      </c>
      <c r="T207" s="690">
        <v>45991</v>
      </c>
      <c r="U207" s="501"/>
      <c r="V207" s="763"/>
      <c r="W207" s="530">
        <v>45967</v>
      </c>
      <c r="X207" s="760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773"/>
      <c r="J208" s="773"/>
      <c r="K208" s="287"/>
      <c r="L208" s="310">
        <v>15</v>
      </c>
      <c r="M208" s="387" t="s">
        <v>541</v>
      </c>
      <c r="N208" s="312" t="s">
        <v>547</v>
      </c>
      <c r="O208" s="543"/>
      <c r="P208" s="457"/>
      <c r="Q208" s="314">
        <v>801.11</v>
      </c>
      <c r="R208" s="581"/>
      <c r="S208" s="617" t="s">
        <v>548</v>
      </c>
      <c r="T208" s="690">
        <v>45961</v>
      </c>
      <c r="U208" s="501"/>
      <c r="V208" s="763"/>
      <c r="W208" s="530">
        <v>45989</v>
      </c>
      <c r="X208" s="760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773"/>
      <c r="J209" s="773"/>
      <c r="K209" s="287"/>
      <c r="L209" s="310">
        <v>15</v>
      </c>
      <c r="M209" s="387" t="s">
        <v>541</v>
      </c>
      <c r="N209" s="312" t="s">
        <v>549</v>
      </c>
      <c r="O209" s="543"/>
      <c r="P209" s="457"/>
      <c r="Q209" s="314">
        <v>11500</v>
      </c>
      <c r="R209" s="581"/>
      <c r="S209" s="617" t="s">
        <v>550</v>
      </c>
      <c r="T209" s="690">
        <v>45991</v>
      </c>
      <c r="U209" s="501"/>
      <c r="V209" s="763"/>
      <c r="W209" s="691">
        <v>45974</v>
      </c>
      <c r="X209" s="760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773"/>
      <c r="J210" s="773"/>
      <c r="K210" s="287"/>
      <c r="L210" s="310">
        <v>15</v>
      </c>
      <c r="M210" s="387" t="s">
        <v>541</v>
      </c>
      <c r="N210" s="312" t="s">
        <v>551</v>
      </c>
      <c r="O210" s="543"/>
      <c r="P210" s="457"/>
      <c r="Q210" s="314">
        <v>2500</v>
      </c>
      <c r="R210" s="581"/>
      <c r="S210" s="617" t="s">
        <v>552</v>
      </c>
      <c r="T210" s="690">
        <v>45991</v>
      </c>
      <c r="U210" s="501"/>
      <c r="V210" s="763"/>
      <c r="W210" s="691">
        <v>45980</v>
      </c>
      <c r="X210" s="760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773"/>
      <c r="J211" s="773"/>
      <c r="K211" s="287"/>
      <c r="L211" s="310">
        <v>15</v>
      </c>
      <c r="M211" s="387" t="s">
        <v>541</v>
      </c>
      <c r="N211" s="312" t="s">
        <v>553</v>
      </c>
      <c r="O211" s="543"/>
      <c r="P211" s="457"/>
      <c r="Q211" s="314">
        <v>5450</v>
      </c>
      <c r="R211" s="581" t="s">
        <v>554</v>
      </c>
      <c r="S211" s="690" t="s">
        <v>555</v>
      </c>
      <c r="T211" s="690">
        <v>45991</v>
      </c>
      <c r="U211" s="501"/>
      <c r="V211" s="763"/>
      <c r="W211" s="530">
        <v>45995</v>
      </c>
      <c r="X211" s="760"/>
      <c r="Y211" s="480"/>
    </row>
    <row r="212" spans="2:25">
      <c r="B212" s="310">
        <v>15</v>
      </c>
      <c r="C212" s="312"/>
      <c r="D212" s="312"/>
      <c r="E212" s="313"/>
      <c r="F212" s="457"/>
      <c r="G212" s="314"/>
      <c r="H212" s="566"/>
      <c r="I212" s="773"/>
      <c r="J212" s="773"/>
      <c r="K212" s="287"/>
      <c r="L212" s="310">
        <v>15</v>
      </c>
      <c r="M212" s="387" t="s">
        <v>541</v>
      </c>
      <c r="N212" s="312" t="s">
        <v>556</v>
      </c>
      <c r="O212" s="543"/>
      <c r="P212" s="457"/>
      <c r="Q212" s="314">
        <v>61237.8</v>
      </c>
      <c r="R212" s="581" t="s">
        <v>557</v>
      </c>
      <c r="S212" s="617" t="s">
        <v>558</v>
      </c>
      <c r="T212" s="647">
        <v>46053</v>
      </c>
      <c r="U212" s="746">
        <v>70757.8</v>
      </c>
      <c r="V212" s="763"/>
      <c r="W212" s="530">
        <v>46037</v>
      </c>
      <c r="X212" s="760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773"/>
      <c r="J213" s="773"/>
      <c r="K213" s="287"/>
      <c r="L213" s="310">
        <v>15</v>
      </c>
      <c r="M213" s="387" t="s">
        <v>541</v>
      </c>
      <c r="N213" s="312" t="s">
        <v>559</v>
      </c>
      <c r="O213" s="543"/>
      <c r="P213" s="457"/>
      <c r="Q213" s="314">
        <v>9520</v>
      </c>
      <c r="R213" s="581" t="s">
        <v>560</v>
      </c>
      <c r="S213" s="617" t="s">
        <v>561</v>
      </c>
      <c r="T213" s="647">
        <v>46053</v>
      </c>
      <c r="U213" s="501"/>
      <c r="V213" s="763"/>
      <c r="W213" s="530">
        <v>46051</v>
      </c>
      <c r="X213" s="760"/>
      <c r="Y213" s="480"/>
    </row>
    <row r="214" spans="2:25">
      <c r="B214" s="310">
        <v>15</v>
      </c>
      <c r="C214" s="312"/>
      <c r="D214" s="312"/>
      <c r="E214" s="313"/>
      <c r="F214" s="457"/>
      <c r="G214" s="314"/>
      <c r="H214" s="566"/>
      <c r="I214" s="773"/>
      <c r="J214" s="773"/>
      <c r="K214" s="287"/>
      <c r="L214" s="310">
        <v>15</v>
      </c>
      <c r="M214" s="387" t="s">
        <v>541</v>
      </c>
      <c r="N214" s="312" t="s">
        <v>655</v>
      </c>
      <c r="O214" s="543"/>
      <c r="P214" s="457"/>
      <c r="Q214" s="314">
        <f>8050/1.15</f>
        <v>7000.0000000000009</v>
      </c>
      <c r="R214" s="581" t="s">
        <v>656</v>
      </c>
      <c r="S214" s="617" t="s">
        <v>657</v>
      </c>
      <c r="T214" s="647">
        <v>46081</v>
      </c>
      <c r="U214" s="501"/>
      <c r="V214" s="763"/>
      <c r="W214" s="566">
        <v>46079</v>
      </c>
      <c r="X214" s="760"/>
      <c r="Y214" s="480"/>
    </row>
    <row r="215" spans="2:25">
      <c r="B215" s="310">
        <v>15</v>
      </c>
      <c r="C215" s="312"/>
      <c r="D215" s="312"/>
      <c r="E215" s="313"/>
      <c r="F215" s="457"/>
      <c r="G215" s="314"/>
      <c r="H215" s="566"/>
      <c r="I215" s="773"/>
      <c r="J215" s="773"/>
      <c r="K215" s="287"/>
      <c r="L215" s="310">
        <v>15</v>
      </c>
      <c r="M215" s="387" t="s">
        <v>541</v>
      </c>
      <c r="N215" s="312"/>
      <c r="O215" s="543"/>
      <c r="P215" s="457"/>
      <c r="Q215" s="314"/>
      <c r="R215" s="581"/>
      <c r="S215" s="617"/>
      <c r="T215" s="516" t="str">
        <f t="shared" si="20"/>
        <v/>
      </c>
      <c r="U215" s="501"/>
      <c r="V215" s="763"/>
      <c r="W215" s="566"/>
      <c r="X215" s="760"/>
      <c r="Y215" s="480"/>
    </row>
    <row r="216" spans="2:25">
      <c r="B216" s="310">
        <v>15</v>
      </c>
      <c r="C216" s="312"/>
      <c r="D216" s="312"/>
      <c r="E216" s="313"/>
      <c r="F216" s="457"/>
      <c r="G216" s="314"/>
      <c r="H216" s="566"/>
      <c r="I216" s="773"/>
      <c r="J216" s="773"/>
      <c r="K216" s="287"/>
      <c r="L216" s="310">
        <v>15</v>
      </c>
      <c r="M216" s="387" t="s">
        <v>541</v>
      </c>
      <c r="N216" s="312"/>
      <c r="O216" s="543"/>
      <c r="P216" s="457"/>
      <c r="Q216" s="314"/>
      <c r="R216" s="581"/>
      <c r="S216" s="617"/>
      <c r="T216" s="516" t="str">
        <f t="shared" si="20"/>
        <v/>
      </c>
      <c r="U216" s="501"/>
      <c r="V216" s="763"/>
      <c r="W216" s="566"/>
      <c r="X216" s="760"/>
      <c r="Y216" s="480"/>
    </row>
    <row r="217" spans="2:25" ht="15" customHeight="1" thickBot="1">
      <c r="B217" s="315">
        <v>15</v>
      </c>
      <c r="C217" s="316"/>
      <c r="D217" s="316"/>
      <c r="E217" s="317"/>
      <c r="F217" s="458"/>
      <c r="G217" s="329"/>
      <c r="H217" s="568"/>
      <c r="I217" s="774"/>
      <c r="J217" s="774"/>
      <c r="K217" s="288"/>
      <c r="L217" s="315">
        <v>15</v>
      </c>
      <c r="M217" s="417" t="s">
        <v>541</v>
      </c>
      <c r="N217" s="316"/>
      <c r="O217" s="545"/>
      <c r="P217" s="458"/>
      <c r="Q217" s="329"/>
      <c r="R217" s="583"/>
      <c r="S217" s="619"/>
      <c r="T217" s="518" t="str">
        <f t="shared" si="20"/>
        <v/>
      </c>
      <c r="U217" s="503"/>
      <c r="V217" s="764"/>
      <c r="W217" s="568"/>
      <c r="X217" s="761"/>
      <c r="Y217" s="480"/>
    </row>
    <row r="218" spans="2:25" s="3" customFormat="1">
      <c r="B218" s="109"/>
      <c r="E218" s="4"/>
      <c r="F218" s="471"/>
      <c r="G218" s="5"/>
      <c r="H218" s="347"/>
      <c r="I218" s="346"/>
      <c r="J218" s="346"/>
      <c r="L218" s="109"/>
      <c r="O218" s="4"/>
      <c r="P218" s="471"/>
      <c r="Q218" s="347"/>
      <c r="R218" s="347"/>
      <c r="S218" s="347"/>
      <c r="T218" s="347"/>
      <c r="U218" s="347"/>
      <c r="V218" s="347"/>
      <c r="W218" s="347"/>
      <c r="X218" s="347"/>
    </row>
    <row r="219" spans="2:25">
      <c r="B219" s="112"/>
      <c r="C219" s="541" t="s">
        <v>562</v>
      </c>
      <c r="D219" s="24">
        <v>1788541.3680781755</v>
      </c>
      <c r="E219" s="164"/>
      <c r="F219" s="541">
        <v>2235676.7100977194</v>
      </c>
      <c r="G219" s="112"/>
      <c r="I219" s="112"/>
      <c r="J219" s="112"/>
    </row>
    <row r="220" spans="2:25">
      <c r="B220" s="112"/>
      <c r="C220" s="541" t="s">
        <v>563</v>
      </c>
      <c r="D220" s="24">
        <v>356200</v>
      </c>
      <c r="E220" s="164"/>
      <c r="F220" s="541">
        <v>445250</v>
      </c>
      <c r="G220" s="112"/>
      <c r="I220" s="255"/>
      <c r="J220" s="255"/>
    </row>
    <row r="221" spans="2:25">
      <c r="B221" s="112"/>
      <c r="C221" s="541" t="s">
        <v>564</v>
      </c>
      <c r="D221" s="24">
        <v>1186680</v>
      </c>
      <c r="E221" s="164"/>
      <c r="F221" s="541">
        <v>1483350</v>
      </c>
      <c r="G221" s="112"/>
      <c r="I221" s="348"/>
      <c r="J221" s="348"/>
    </row>
    <row r="222" spans="2:25">
      <c r="B222" s="112"/>
      <c r="C222" s="541" t="s">
        <v>373</v>
      </c>
      <c r="D222" s="24">
        <v>1208947.5</v>
      </c>
      <c r="E222" s="164"/>
      <c r="F222" s="541">
        <v>1511184.375</v>
      </c>
      <c r="G222" s="112"/>
      <c r="I222" s="255"/>
      <c r="J222" s="255"/>
    </row>
    <row r="223" spans="2:25">
      <c r="B223" s="112"/>
      <c r="C223" s="541" t="s">
        <v>438</v>
      </c>
      <c r="D223" s="24">
        <v>849891.5</v>
      </c>
      <c r="E223" s="164"/>
      <c r="F223" s="541">
        <v>1062364.375</v>
      </c>
      <c r="G223" s="112"/>
      <c r="I223" s="348"/>
      <c r="J223" s="348"/>
    </row>
    <row r="224" spans="2:25">
      <c r="B224" s="112"/>
      <c r="C224" s="541" t="s">
        <v>390</v>
      </c>
      <c r="D224" s="24">
        <v>45636</v>
      </c>
      <c r="E224" s="164"/>
      <c r="F224" s="541">
        <v>57045</v>
      </c>
      <c r="G224" s="112"/>
      <c r="I224" s="255"/>
      <c r="J224" s="255"/>
    </row>
    <row r="225" spans="2:23">
      <c r="B225" s="112"/>
      <c r="C225" s="541" t="s">
        <v>565</v>
      </c>
      <c r="D225" s="24">
        <v>0</v>
      </c>
      <c r="E225" s="164"/>
      <c r="F225" s="541">
        <v>0</v>
      </c>
      <c r="G225" s="112"/>
      <c r="I225" s="255"/>
      <c r="J225" s="255"/>
    </row>
    <row r="226" spans="2:23">
      <c r="B226" s="112"/>
      <c r="C226" s="541" t="s">
        <v>566</v>
      </c>
      <c r="D226" s="24">
        <v>20000</v>
      </c>
      <c r="E226" s="164"/>
      <c r="F226" s="541">
        <v>25000</v>
      </c>
      <c r="G226" s="112"/>
      <c r="I226" s="255"/>
      <c r="J226" s="255"/>
    </row>
    <row r="227" spans="2:23">
      <c r="B227" s="112"/>
      <c r="C227" s="541" t="s">
        <v>567</v>
      </c>
      <c r="D227" s="24">
        <v>125000</v>
      </c>
      <c r="E227" s="164"/>
      <c r="F227" s="541">
        <v>156250</v>
      </c>
      <c r="G227" s="112"/>
      <c r="I227" s="255"/>
      <c r="J227" s="255"/>
    </row>
    <row r="228" spans="2:23">
      <c r="B228" s="112"/>
      <c r="C228" s="541" t="s">
        <v>568</v>
      </c>
      <c r="D228" s="24">
        <v>3616080.6086956523</v>
      </c>
      <c r="E228" s="164"/>
      <c r="F228" s="541">
        <v>4017867.3429951691</v>
      </c>
      <c r="G228" s="112"/>
      <c r="I228" s="255"/>
      <c r="J228" s="255"/>
    </row>
    <row r="229" spans="2:23">
      <c r="B229" s="112"/>
      <c r="C229" s="541" t="s">
        <v>569</v>
      </c>
      <c r="D229" s="24">
        <v>0</v>
      </c>
      <c r="E229" s="164"/>
      <c r="F229" s="541">
        <v>0</v>
      </c>
      <c r="G229" s="112"/>
      <c r="I229" s="255"/>
      <c r="J229" s="255"/>
    </row>
    <row r="230" spans="2:23">
      <c r="B230" s="112"/>
      <c r="C230" s="541" t="s">
        <v>570</v>
      </c>
      <c r="E230" s="164"/>
      <c r="F230" s="541"/>
      <c r="G230" s="112"/>
      <c r="I230" s="255"/>
      <c r="J230" s="255"/>
    </row>
    <row r="231" spans="2:23">
      <c r="B231" s="112"/>
      <c r="C231" s="541"/>
      <c r="E231" s="164"/>
      <c r="F231" s="541"/>
      <c r="G231" s="112"/>
      <c r="I231" s="255"/>
      <c r="J231" s="255"/>
    </row>
    <row r="232" spans="2:23" s="112" customFormat="1">
      <c r="C232" s="541" t="s">
        <v>571</v>
      </c>
      <c r="D232" s="112">
        <v>341000</v>
      </c>
      <c r="E232" s="164"/>
      <c r="F232" s="541">
        <v>383146.06741573033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572</v>
      </c>
      <c r="D233" s="112">
        <v>346500.00000000006</v>
      </c>
      <c r="E233" s="164"/>
      <c r="F233" s="541">
        <v>389325.84269662929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573</v>
      </c>
      <c r="D234" s="112">
        <v>434412.83720967284</v>
      </c>
      <c r="E234" s="164"/>
      <c r="F234" s="541">
        <v>488104.31147154252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574</v>
      </c>
      <c r="D235" s="112">
        <v>77050</v>
      </c>
      <c r="E235" s="164"/>
      <c r="F235" s="541">
        <v>86573.033707865165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575</v>
      </c>
      <c r="D236" s="112">
        <v>8500</v>
      </c>
      <c r="E236" s="164"/>
      <c r="F236" s="541">
        <v>9550.5617977528091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576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577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578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579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580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 t="s">
        <v>567</v>
      </c>
      <c r="D242" s="112">
        <v>0</v>
      </c>
      <c r="E242" s="164"/>
      <c r="F242" s="541">
        <v>0</v>
      </c>
      <c r="H242" s="541"/>
      <c r="I242" s="255"/>
      <c r="J242" s="255"/>
      <c r="T242" s="541"/>
      <c r="U242" s="541"/>
      <c r="W242" s="541"/>
    </row>
    <row r="243" spans="3:23" s="112" customFormat="1">
      <c r="C243" s="541"/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581</v>
      </c>
      <c r="E244" s="164"/>
      <c r="F244" s="541"/>
      <c r="H244" s="541"/>
      <c r="I244" s="255"/>
      <c r="J244" s="255"/>
      <c r="T244" s="541"/>
      <c r="U244" s="541"/>
      <c r="W244" s="541"/>
    </row>
    <row r="245" spans="3:23" s="112" customFormat="1">
      <c r="C245" s="541" t="s">
        <v>582</v>
      </c>
      <c r="D245" s="112">
        <v>11900</v>
      </c>
      <c r="E245" s="164"/>
      <c r="F245" s="541">
        <v>13370.786516853932</v>
      </c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C265" s="541"/>
      <c r="D265" s="541"/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  <row r="577" spans="5:23" s="112" customFormat="1">
      <c r="E577" s="164"/>
      <c r="F577" s="462"/>
      <c r="H577" s="541"/>
      <c r="I577" s="255"/>
      <c r="J577" s="255"/>
      <c r="T577" s="541"/>
      <c r="U577" s="541"/>
      <c r="W577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I183:I184"/>
    <mergeCell ref="J183:J184"/>
    <mergeCell ref="K183:K184"/>
    <mergeCell ref="X183:X184"/>
    <mergeCell ref="V177:V181"/>
    <mergeCell ref="I177:I181"/>
    <mergeCell ref="J177:J181"/>
    <mergeCell ref="X177:X181"/>
    <mergeCell ref="I206:I217"/>
    <mergeCell ref="J206:J217"/>
    <mergeCell ref="X206:X217"/>
    <mergeCell ref="V206:V217"/>
    <mergeCell ref="I186:I191"/>
    <mergeCell ref="J186:J191"/>
    <mergeCell ref="X186:X191"/>
    <mergeCell ref="I193:I204"/>
    <mergeCell ref="J193:J204"/>
    <mergeCell ref="X193:X204"/>
    <mergeCell ref="V186:V191"/>
    <mergeCell ref="V193:V204"/>
    <mergeCell ref="I150:I175"/>
    <mergeCell ref="J150:J175"/>
    <mergeCell ref="X150:X175"/>
    <mergeCell ref="I113:I135"/>
    <mergeCell ref="J113:J135"/>
    <mergeCell ref="X113:X135"/>
    <mergeCell ref="I137:I148"/>
    <mergeCell ref="J137:J148"/>
    <mergeCell ref="X137:X148"/>
    <mergeCell ref="V150:V175"/>
    <mergeCell ref="V113:V135"/>
    <mergeCell ref="R165:R172"/>
    <mergeCell ref="I86:I102"/>
    <mergeCell ref="J86:J102"/>
    <mergeCell ref="X86:X102"/>
    <mergeCell ref="V137:V148"/>
    <mergeCell ref="R138:R145"/>
    <mergeCell ref="I104:I111"/>
    <mergeCell ref="J104:J111"/>
    <mergeCell ref="V104:V111"/>
    <mergeCell ref="R107:R108"/>
    <mergeCell ref="V86:V102"/>
    <mergeCell ref="R92:R99"/>
    <mergeCell ref="R104:R105"/>
    <mergeCell ref="X104:X111"/>
    <mergeCell ref="I49:I84"/>
    <mergeCell ref="J49:J84"/>
    <mergeCell ref="X32:X47"/>
    <mergeCell ref="I14:I20"/>
    <mergeCell ref="J14:J20"/>
    <mergeCell ref="X14:X20"/>
    <mergeCell ref="I22:I30"/>
    <mergeCell ref="J22:J30"/>
    <mergeCell ref="R14:R15"/>
    <mergeCell ref="R37:R44"/>
    <mergeCell ref="I32:I47"/>
    <mergeCell ref="J32:J47"/>
    <mergeCell ref="X49:X84"/>
    <mergeCell ref="R67:R68"/>
    <mergeCell ref="V49:V84"/>
    <mergeCell ref="B2:G2"/>
    <mergeCell ref="L2:Q2"/>
    <mergeCell ref="I6:I12"/>
    <mergeCell ref="J6:J12"/>
    <mergeCell ref="R2:W2"/>
    <mergeCell ref="X6:X12"/>
    <mergeCell ref="V6:V12"/>
    <mergeCell ref="V14:V20"/>
    <mergeCell ref="V22:V30"/>
    <mergeCell ref="V32:V47"/>
    <mergeCell ref="X22:X30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Y16" activePane="bottomRight" state="frozen"/>
      <selection pane="topRight" activeCell="X33" sqref="X33"/>
      <selection pane="bottomLeft" activeCell="X33" sqref="X33"/>
      <selection pane="bottomRight" activeCell="AA10" sqref="AA10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21875" bestFit="1" customWidth="1"/>
    <col min="317" max="317" width="9.44140625" style="190"/>
  </cols>
  <sheetData>
    <row r="1" spans="1:794">
      <c r="D1" s="186" t="s">
        <v>583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5" t="s">
        <v>584</v>
      </c>
      <c r="B2" s="191"/>
      <c r="C2" s="192" t="s">
        <v>305</v>
      </c>
      <c r="D2" s="192" t="s">
        <v>305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6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6"/>
      <c r="B4" s="194" t="s">
        <v>585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6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Breakdown'!$G$6:$G$222, 'Expenditure Breakdown'!$H$6:$H$222, "&gt;="&amp;F1,'Expenditure Breakdown'!$H$6:$H$222, "&lt;"&amp;G1)</f>
        <v>0</v>
      </c>
      <c r="G5" s="200">
        <f>SUMIFS('Expenditure Breakdown'!$G$6:$G$222, 'Expenditure Breakdown'!$H$6:$H$222, "&gt;="&amp;G1,'Expenditure Breakdown'!$H$6:$H$222, "&lt;"&amp;H1)</f>
        <v>0</v>
      </c>
      <c r="H5" s="200">
        <f>SUMIFS('Expenditure Breakdown'!$G$6:$G$222, 'Expenditure Breakdown'!$H$6:$H$222, "&gt;="&amp;H1,'Expenditure Breakdown'!$H$6:$H$222, "&lt;"&amp;I1)</f>
        <v>0</v>
      </c>
      <c r="I5" s="200">
        <f>SUMIFS('Expenditure Breakdown'!$G$6:$G$222, 'Expenditure Breakdown'!$H$6:$H$222, "&gt;="&amp;I1,'Expenditure Breakdown'!$H$6:$H$222, "&lt;"&amp;J1)</f>
        <v>0</v>
      </c>
      <c r="J5" s="200">
        <f>SUMIFS('Expenditure Breakdown'!$G$6:$G$222, 'Expenditure Breakdown'!$H$6:$H$222, "&gt;="&amp;J1,'Expenditure Breakdown'!$H$6:$H$222, "&lt;"&amp;K1)</f>
        <v>0</v>
      </c>
      <c r="K5" s="200">
        <f>SUMIFS('Expenditure Breakdown'!$G$6:$G$222, 'Expenditure Breakdown'!$H$6:$H$222, "&gt;="&amp;K1,'Expenditure Breakdown'!$H$6:$H$222, "&lt;"&amp;L1)</f>
        <v>0</v>
      </c>
      <c r="L5" s="200">
        <f>SUMIFS('Expenditure Breakdown'!$G$6:$G$222, 'Expenditure Breakdown'!$H$6:$H$222, "&gt;="&amp;L1,'Expenditure Breakdown'!$H$6:$H$222, "&lt;"&amp;M1)</f>
        <v>0</v>
      </c>
      <c r="M5" s="200">
        <f>SUMIFS('Expenditure Breakdown'!$G$6:$G$222, 'Expenditure Breakdown'!$H$6:$H$222, "&gt;="&amp;M1,'Expenditure Breakdown'!$H$6:$H$222, "&lt;"&amp;N1)</f>
        <v>0</v>
      </c>
      <c r="N5" s="200">
        <f>SUMIFS('Expenditure Breakdown'!$G$6:$G$222, 'Expenditure Breakdown'!$H$6:$H$222, "&gt;="&amp;N1,'Expenditure Breakdown'!$H$6:$H$222, "&lt;"&amp;O1)</f>
        <v>0</v>
      </c>
      <c r="O5" s="200">
        <f>SUMIFS('Expenditure Breakdown'!$G$6:$G$222, 'Expenditure Breakdown'!$H$6:$H$222, "&gt;="&amp;O1,'Expenditure Breakdown'!$H$6:$H$222, "&lt;"&amp;P1)</f>
        <v>0</v>
      </c>
      <c r="P5" s="200">
        <f>SUMIFS('Expenditure Breakdown'!$G$6:$G$222, 'Expenditure Breakdown'!$H$6:$H$222, "&gt;="&amp;P1,'Expenditure Breakdown'!$H$6:$H$222, "&lt;"&amp;Q1)</f>
        <v>0</v>
      </c>
      <c r="Q5" s="200">
        <f>SUMIFS('Expenditure Breakdown'!$G$6:$G$222, 'Expenditure Breakdown'!$H$6:$H$222, "&gt;="&amp;Q1,'Expenditure Breakdown'!$H$6:$H$222, "&lt;"&amp;R1)</f>
        <v>0</v>
      </c>
      <c r="R5" s="200">
        <f>SUMIFS('Expenditure Breakdown'!$G$6:$G$222, 'Expenditure Breakdown'!$H$6:$H$222, "&gt;="&amp;R1,'Expenditure Breakdown'!$H$6:$H$222, "&lt;"&amp;S1)</f>
        <v>0</v>
      </c>
      <c r="S5" s="200">
        <f>SUMIFS('Expenditure Breakdown'!$G$6:$G$222, 'Expenditure Breakdown'!$H$6:$H$222, "&gt;="&amp;S1,'Expenditure Breakdown'!$H$6:$H$222, "&lt;"&amp;T1)</f>
        <v>0</v>
      </c>
      <c r="T5" s="200">
        <f>SUMIFS('Expenditure Breakdown'!$G$6:$G$222, 'Expenditure Breakdown'!$H$6:$H$222, "&gt;="&amp;T1,'Expenditure Breakdown'!$H$6:$H$222, "&lt;"&amp;U1)</f>
        <v>0</v>
      </c>
      <c r="U5" s="200">
        <f>SUMIFS('Expenditure Breakdown'!$G$6:$G$222, 'Expenditure Breakdown'!$H$6:$H$222, "&gt;="&amp;U1,'Expenditure Breakdown'!$H$6:$H$222, "&lt;"&amp;V1)</f>
        <v>0</v>
      </c>
      <c r="V5" s="200">
        <f>SUMIFS('Expenditure Breakdown'!$G$6:$G$222, 'Expenditure Breakdown'!$H$6:$H$222, "&gt;="&amp;V1,'Expenditure Breakdown'!$H$6:$H$222, "&lt;"&amp;W1)</f>
        <v>0</v>
      </c>
      <c r="W5" s="200">
        <f>SUMIFS('Expenditure Breakdown'!$G$6:$G$222, 'Expenditure Breakdown'!$H$6:$H$222, "&gt;="&amp;W1,'Expenditure Breakdown'!$H$6:$H$222, "&lt;"&amp;X1)</f>
        <v>0</v>
      </c>
      <c r="X5" s="200">
        <f>SUMIFS('Expenditure Breakdown'!$G$6:$G$222, 'Expenditure Breakdown'!$H$6:$H$222, "&gt;="&amp;X1,'Expenditure Breakdown'!$H$6:$H$222, "&lt;"&amp;Y1)</f>
        <v>0</v>
      </c>
      <c r="Y5" s="200">
        <f>SUMIFS('Expenditure Breakdown'!$G$6:$G$222, 'Expenditure Breakdown'!$H$6:$H$222, "&gt;="&amp;Y1,'Expenditure Breakdown'!$H$6:$H$222, "&lt;"&amp;Z1)</f>
        <v>0</v>
      </c>
      <c r="Z5" s="200">
        <f>SUMIFS('Expenditure Breakdown'!$G$6:$G$222, 'Expenditure Breakdown'!$H$6:$H$222, "&gt;="&amp;Z1,'Expenditure Breakdown'!$H$6:$H$222, "&lt;"&amp;AA1)</f>
        <v>0</v>
      </c>
      <c r="AA5" s="200">
        <f>SUMIFS('Expenditure Breakdown'!$G$6:$G$222, 'Expenditure Breakdown'!$H$6:$H$222, "&gt;="&amp;AA1,'Expenditure Breakdown'!$H$6:$H$222, "&lt;"&amp;AB1)</f>
        <v>0</v>
      </c>
      <c r="AB5" s="200">
        <f>SUMIFS('Expenditure Breakdown'!$G$6:$G$222, 'Expenditure Breakdown'!$H$6:$H$222, "&gt;="&amp;AB1,'Expenditure Breakdown'!$H$6:$H$222, "&lt;"&amp;AC1)</f>
        <v>8500</v>
      </c>
      <c r="AC5" s="200">
        <f>SUMIFS('Expenditure Breakdown'!$G$6:$G$222, 'Expenditure Breakdown'!$H$6:$H$222, "&gt;="&amp;AC1,'Expenditure Breakdown'!$H$6:$H$222, "&lt;"&amp;AD1)</f>
        <v>11900</v>
      </c>
      <c r="AD5" s="200">
        <f>SUMIFS('Expenditure Breakdown'!$G$6:$G$222, 'Expenditure Breakdown'!$H$6:$H$222, "&gt;="&amp;AD1,'Expenditure Breakdown'!$H$6:$H$222, "&lt;"&amp;AE1)</f>
        <v>0</v>
      </c>
      <c r="AE5" s="200">
        <f>SUMIFS('Expenditure Breakdown'!$G$6:$G$222, 'Expenditure Breakdown'!$H$6:$H$222, "&gt;="&amp;AE1,'Expenditure Breakdown'!$H$6:$H$222, "&lt;"&amp;AF1)</f>
        <v>0</v>
      </c>
      <c r="AF5" s="200">
        <f>SUMIFS('Expenditure Breakdown'!$G$6:$G$222, 'Expenditure Breakdown'!$H$6:$H$222, "&gt;="&amp;AF1,'Expenditure Breakdown'!$H$6:$H$222, "&lt;"&amp;AG1)</f>
        <v>0</v>
      </c>
      <c r="AG5" s="200">
        <f>SUMIFS('Expenditure Breakdown'!$G$6:$G$222, 'Expenditure Breakdown'!$H$6:$H$222, "&gt;="&amp;AG1,'Expenditure Breakdown'!$H$6:$H$222, "&lt;"&amp;AH1)</f>
        <v>2387713.5</v>
      </c>
      <c r="AH5" s="200">
        <f>SUMIFS('Expenditure Breakdown'!$G$6:$G$222, 'Expenditure Breakdown'!$H$6:$H$222, "&gt;="&amp;AH1,'Expenditure Breakdown'!$H$6:$H$222, "&lt;"&amp;AI1)</f>
        <v>70000</v>
      </c>
      <c r="AI5" s="200">
        <f>SUMIFS('Expenditure Breakdown'!$G$6:$G$222, 'Expenditure Breakdown'!$H$6:$H$222, "&gt;="&amp;AI1,'Expenditure Breakdown'!$H$6:$H$222, "&lt;"&amp;AJ1)</f>
        <v>0</v>
      </c>
      <c r="AJ5" s="200">
        <f>SUMIFS('Expenditure Breakdown'!$G$6:$G$222, 'Expenditure Breakdown'!$H$6:$H$222, "&gt;="&amp;AJ1,'Expenditure Breakdown'!$H$6:$H$222, "&lt;"&amp;AK1)</f>
        <v>0</v>
      </c>
      <c r="AK5" s="200">
        <f>SUMIFS('Expenditure Breakdown'!$G$6:$G$222, 'Expenditure Breakdown'!$H$6:$H$222, "&gt;="&amp;AK1,'Expenditure Breakdown'!$H$6:$H$222, "&lt;"&amp;AL1)</f>
        <v>6931480.8680781759</v>
      </c>
      <c r="AL5" s="200">
        <f>SUMIFS('Expenditure Breakdown'!$G$6:$G$222, 'Expenditure Breakdown'!$H$6:$H$222, "&gt;="&amp;AL1,'Expenditure Breakdown'!$H$6:$H$222, "&lt;"&amp;AM1)</f>
        <v>0</v>
      </c>
      <c r="AM5" s="200">
        <f>SUMIFS('Expenditure Breakdown'!$G$6:$G$222, 'Expenditure Breakdown'!$H$6:$H$222, "&gt;="&amp;AM1,'Expenditure Breakdown'!$H$6:$H$222, "&lt;"&amp;AN1)</f>
        <v>0</v>
      </c>
      <c r="AN5" s="200">
        <f>SUMIFS('Expenditure Breakdown'!$G$6:$G$222, 'Expenditure Breakdown'!$H$6:$H$222, "&gt;="&amp;AN1,'Expenditure Breakdown'!$H$6:$H$222, "&lt;"&amp;AO1)</f>
        <v>27582.608695652176</v>
      </c>
      <c r="AO5" s="200">
        <f>SUMIFS('Expenditure Breakdown'!$G$6:$G$222, 'Expenditure Breakdown'!$H$6:$H$222, "&gt;="&amp;AO1,'Expenditure Breakdown'!$H$6:$H$222, "&lt;"&amp;AP1)</f>
        <v>0</v>
      </c>
      <c r="AP5" s="200">
        <f>SUMIFS('Expenditure Breakdown'!$G$6:$G$222, 'Expenditure Breakdown'!$H$6:$H$222, "&gt;="&amp;AP1,'Expenditure Breakdown'!$H$6:$H$222, "&lt;"&amp;AQ1)</f>
        <v>494412.83720967284</v>
      </c>
      <c r="AQ5" s="200">
        <f>SUMIFS('Expenditure Breakdown'!$G$6:$G$222, 'Expenditure Breakdown'!$H$6:$H$222, "&gt;="&amp;AQ1,'Expenditure Breakdown'!$H$6:$H$222, "&lt;"&amp;AR1)</f>
        <v>0</v>
      </c>
      <c r="AR5" s="200">
        <f>SUMIFS('Expenditure Breakdown'!$G$6:$G$222, 'Expenditure Breakdown'!$H$6:$H$222, "&gt;="&amp;AR1,'Expenditure Breakdown'!$H$6:$H$222, "&lt;"&amp;AS1)</f>
        <v>0</v>
      </c>
      <c r="AS5" s="200">
        <f>SUMIFS('Expenditure Breakdown'!$G$6:$G$222, 'Expenditure Breakdown'!$H$6:$H$222, "&gt;="&amp;AS1,'Expenditure Breakdown'!$H$6:$H$222, "&lt;"&amp;AT1)</f>
        <v>0</v>
      </c>
      <c r="AT5" s="200">
        <f>SUMIFS('Expenditure Breakdown'!$G$6:$G$222, 'Expenditure Breakdown'!$H$6:$H$222, "&gt;="&amp;AT1,'Expenditure Breakdown'!$H$6:$H$222, "&lt;"&amp;AU1)</f>
        <v>0</v>
      </c>
      <c r="AU5" s="200">
        <f>SUMIFS('Expenditure Breakdown'!$G$6:$G$222, 'Expenditure Breakdown'!$H$6:$H$222, "&gt;="&amp;AU1,'Expenditure Breakdown'!$H$6:$H$222, "&lt;"&amp;AV1)</f>
        <v>0</v>
      </c>
      <c r="AV5" s="200">
        <f>SUMIFS('Expenditure Breakdown'!$G$6:$G$222, 'Expenditure Breakdown'!$H$6:$H$222, "&gt;="&amp;AV1,'Expenditure Breakdown'!$H$6:$H$222, "&lt;"&amp;AW1)</f>
        <v>0</v>
      </c>
      <c r="AW5" s="200">
        <f>SUMIFS('Expenditure Breakdown'!$G$6:$G$222, 'Expenditure Breakdown'!$H$6:$H$222, "&gt;="&amp;AW1,'Expenditure Breakdown'!$H$6:$H$222, "&lt;"&amp;AX1)</f>
        <v>0</v>
      </c>
      <c r="AX5" s="200">
        <f>SUMIFS('Expenditure Breakdown'!$G$6:$G$222, 'Expenditure Breakdown'!$H$6:$H$222, "&gt;="&amp;AX1,'Expenditure Breakdown'!$H$6:$H$222, "&lt;"&amp;AY1)</f>
        <v>0</v>
      </c>
      <c r="AY5" s="200">
        <f>SUMIFS('Expenditure Breakdown'!$G$6:$G$222, 'Expenditure Breakdown'!$H$6:$H$222, "&gt;="&amp;AY1,'Expenditure Breakdown'!$H$6:$H$222, "&lt;"&amp;AZ1)</f>
        <v>0</v>
      </c>
      <c r="AZ5" s="200">
        <f>SUMIFS('Expenditure Breakdown'!$G$6:$G$222, 'Expenditure Breakdown'!$H$6:$H$222, "&gt;="&amp;AZ1,'Expenditure Breakdown'!$H$6:$H$222, "&lt;"&amp;BA1)</f>
        <v>0</v>
      </c>
      <c r="BA5" s="200">
        <f>SUMIFS('Expenditure Breakdown'!$G$6:$G$222, 'Expenditure Breakdown'!$H$6:$H$222, "&gt;="&amp;BA1,'Expenditure Breakdown'!$H$6:$H$222, "&lt;"&amp;BB1)</f>
        <v>0</v>
      </c>
      <c r="BB5" s="200">
        <f>SUMIFS('Expenditure Breakdown'!$G$6:$G$222, 'Expenditure Breakdown'!$H$6:$H$222, "&gt;="&amp;BB1,'Expenditure Breakdown'!$H$6:$H$222, "&lt;"&amp;BC1)</f>
        <v>0</v>
      </c>
      <c r="BC5" s="200">
        <f>SUMIFS('Expenditure Breakdown'!$G$6:$G$222, 'Expenditure Breakdown'!$H$6:$H$222, "&gt;="&amp;BC1,'Expenditure Breakdown'!$H$6:$H$222, "&lt;"&amp;BD1)</f>
        <v>0</v>
      </c>
      <c r="BD5" s="200">
        <f>SUMIFS('Expenditure Breakdown'!$G$6:$G$222, 'Expenditure Breakdown'!$H$6:$H$222, "&gt;="&amp;BD1,'Expenditure Breakdown'!$H$6:$H$222, "&lt;"&amp;BE1)</f>
        <v>0</v>
      </c>
      <c r="BE5" s="200">
        <f>SUMIFS('Expenditure Breakdown'!$G$6:$G$222, 'Expenditure Breakdown'!$H$6:$H$222, "&gt;="&amp;BE1,'Expenditure Breakdown'!$H$6:$H$222, "&lt;"&amp;BF1)</f>
        <v>0</v>
      </c>
      <c r="BF5" s="200">
        <f>SUMIFS('Expenditure Breakdown'!$G$6:$G$222, 'Expenditure Breakdown'!$H$6:$H$222, "&gt;="&amp;BF1,'Expenditure Breakdown'!$H$6:$H$222, "&lt;"&amp;BG1)</f>
        <v>0</v>
      </c>
      <c r="BG5" s="200">
        <f>SUMIFS('Expenditure Breakdown'!$G$6:$G$222, 'Expenditure Breakdown'!$H$6:$H$222, "&gt;="&amp;BG1,'Expenditure Breakdown'!$H$6:$H$222, "&lt;"&amp;BH1)</f>
        <v>0</v>
      </c>
      <c r="BH5" s="200">
        <f>SUMIFS('Expenditure Breakdown'!$G$6:$G$222, 'Expenditure Breakdown'!$H$6:$H$222, "&gt;="&amp;BH1,'Expenditure Breakdown'!$H$6:$H$222, "&lt;"&amp;BI1)</f>
        <v>0</v>
      </c>
      <c r="BI5" s="200">
        <f>SUMIFS('Expenditure Breakdown'!$G$6:$G$222, 'Expenditure Breakdown'!$H$6:$H$222, "&gt;="&amp;BI1,'Expenditure Breakdown'!$H$6:$H$222, "&lt;"&amp;BJ1)</f>
        <v>0</v>
      </c>
      <c r="BJ5" s="200">
        <f>SUMIFS('Expenditure Breakdown'!$G$6:$G$222, 'Expenditure Breakdown'!$H$6:$H$222, "&gt;="&amp;BJ1,'Expenditure Breakdown'!$H$6:$H$222, "&lt;"&amp;BK1)</f>
        <v>0</v>
      </c>
      <c r="BK5" s="200">
        <f>SUMIFS('Expenditure Breakdown'!$G$6:$G$222, 'Expenditure Breakdown'!$H$6:$H$222, "&gt;="&amp;BK1,'Expenditure Breakdown'!$H$6:$H$222, "&lt;"&amp;BL1)</f>
        <v>0</v>
      </c>
      <c r="BL5" s="200">
        <f>SUMIFS('Expenditure Breakdown'!$G$6:$G$222, 'Expenditure Breakdown'!$H$6:$H$222, "&gt;="&amp;BL1,'Expenditure Breakdown'!$H$6:$H$222, "&lt;"&amp;BM1)</f>
        <v>0</v>
      </c>
      <c r="BM5" s="200">
        <f>SUMIFS('Expenditure Breakdown'!$G$6:$G$222, 'Expenditure Breakdown'!$H$6:$H$222, "&gt;="&amp;BM1,'Expenditure Breakdown'!$H$6:$H$222, "&lt;"&amp;BN1)</f>
        <v>0</v>
      </c>
      <c r="BN5" s="200">
        <f>SUMIFS('Expenditure Breakdown'!$G$6:$G$222, 'Expenditure Breakdown'!$H$6:$H$222, "&gt;="&amp;BN1,'Expenditure Breakdown'!$H$6:$H$222, "&lt;"&amp;BO1)</f>
        <v>0</v>
      </c>
      <c r="BO5" s="200">
        <f>SUMIFS('Expenditure Breakdown'!$G$6:$G$222, 'Expenditure Breakdown'!$H$6:$H$222, "&gt;="&amp;BO1,'Expenditure Breakdown'!$H$6:$H$222, "&lt;"&amp;BP1)</f>
        <v>0</v>
      </c>
      <c r="BP5" s="200">
        <f>SUMIFS('Expenditure Breakdown'!$G$6:$G$222, 'Expenditure Breakdown'!$H$6:$H$222, "&gt;="&amp;BP1,'Expenditure Breakdown'!$H$6:$H$222, "&lt;"&amp;BQ1)</f>
        <v>0</v>
      </c>
      <c r="BQ5" s="200">
        <f>SUMIFS('Expenditure Breakdown'!$G$6:$G$222, 'Expenditure Breakdown'!$H$6:$H$222, "&gt;="&amp;BQ1,'Expenditure Breakdown'!$H$6:$H$222, "&lt;"&amp;BR1)</f>
        <v>0</v>
      </c>
      <c r="BR5" s="200">
        <f>SUMIFS('Expenditure Breakdown'!$G$6:$G$222, 'Expenditure Breakdown'!$H$6:$H$222, "&gt;="&amp;BR1,'Expenditure Breakdown'!$H$6:$H$222, "&lt;"&amp;BS1)</f>
        <v>0</v>
      </c>
      <c r="BS5" s="200">
        <f>SUMIFS('Expenditure Breakdown'!$G$6:$G$222, 'Expenditure Breakdown'!$H$6:$H$222, "&gt;="&amp;BS1,'Expenditure Breakdown'!$H$6:$H$222, "&lt;"&amp;BT1)</f>
        <v>0</v>
      </c>
      <c r="BT5" s="200">
        <f>SUMIFS('Expenditure Breakdown'!$G$6:$G$222, 'Expenditure Breakdown'!$H$6:$H$222, "&gt;="&amp;BT1,'Expenditure Breakdown'!$H$6:$H$222, "&lt;"&amp;BU1)</f>
        <v>0</v>
      </c>
      <c r="BU5" s="200">
        <f>SUMIFS('Expenditure Breakdown'!$G$6:$G$222, 'Expenditure Breakdown'!$H$6:$H$222, "&gt;="&amp;BU1,'Expenditure Breakdown'!$H$6:$H$222, "&lt;"&amp;BV1)</f>
        <v>0</v>
      </c>
      <c r="BV5" s="200">
        <f>SUMIFS('Expenditure Breakdown'!$G$6:$G$222, 'Expenditure Breakdown'!$H$6:$H$222, "&gt;="&amp;BV1,'Expenditure Breakdown'!$H$6:$H$222, "&lt;"&amp;BW1)</f>
        <v>0</v>
      </c>
      <c r="BW5" s="200">
        <f>SUMIFS('Expenditure Breakdown'!$G$6:$G$222, 'Expenditure Breakdown'!$H$6:$H$222, "&gt;="&amp;BW1,'Expenditure Breakdown'!$H$6:$H$222, "&lt;"&amp;BX1)</f>
        <v>0</v>
      </c>
      <c r="BX5" s="200">
        <f>SUMIFS('Expenditure Breakdown'!$G$6:$G$222, 'Expenditure Breakdown'!$H$6:$H$222, "&gt;="&amp;BX1,'Expenditure Breakdown'!$H$6:$H$222, "&lt;"&amp;BY1)</f>
        <v>0</v>
      </c>
      <c r="BY5" s="200">
        <f>SUMIFS('Expenditure Breakdown'!$G$6:$G$222, 'Expenditure Breakdown'!$H$6:$H$222, "&gt;="&amp;BY1,'Expenditure Breakdown'!$H$6:$H$222, "&lt;"&amp;BZ1)</f>
        <v>0</v>
      </c>
      <c r="BZ5" s="200">
        <f>SUMIFS('Expenditure Breakdown'!$G$6:$G$222, 'Expenditure Breakdown'!$H$6:$H$222, "&gt;="&amp;BZ1,'Expenditure Breakdown'!$H$6:$H$222, "&lt;"&amp;CA1)</f>
        <v>0</v>
      </c>
      <c r="CA5" s="200">
        <f>SUMIFS('Expenditure Breakdown'!$G$6:$G$222, 'Expenditure Breakdown'!$H$6:$H$222, "&gt;="&amp;CA1,'Expenditure Breakdown'!$H$6:$H$222, "&lt;"&amp;CB1)</f>
        <v>0</v>
      </c>
      <c r="CB5" s="200">
        <f>SUMIFS('Expenditure Breakdown'!$G$6:$G$222, 'Expenditure Breakdown'!$H$6:$H$222, "&gt;="&amp;CB1,'Expenditure Breakdown'!$H$6:$H$222, "&lt;"&amp;CC1)</f>
        <v>0</v>
      </c>
      <c r="CC5" s="200">
        <f>SUMIFS('Expenditure Breakdown'!$G$6:$G$222, 'Expenditure Breakdown'!$H$6:$H$222, "&gt;="&amp;CC1,'Expenditure Breakdown'!$H$6:$H$222, "&lt;"&amp;CD1)</f>
        <v>0</v>
      </c>
      <c r="CD5" s="200">
        <f>SUMIFS('Expenditure Breakdown'!$G$6:$G$222, 'Expenditure Breakdown'!$H$6:$H$222, "&gt;="&amp;CD1,'Expenditure Breakdown'!$H$6:$H$222, "&lt;"&amp;CE1)</f>
        <v>0</v>
      </c>
      <c r="CE5" s="200">
        <f>SUMIFS('Expenditure Breakdown'!$G$6:$G$222, 'Expenditure Breakdown'!$H$6:$H$222, "&gt;="&amp;CE1,'Expenditure Breakdown'!$H$6:$H$222, "&lt;"&amp;CF1)</f>
        <v>0</v>
      </c>
      <c r="CF5" s="200">
        <f>SUMIFS('Expenditure Breakdown'!$G$6:$G$222, 'Expenditure Breakdown'!$H$6:$H$222, "&gt;="&amp;CF1,'Expenditure Breakdown'!$H$6:$H$222, "&lt;"&amp;CG1)</f>
        <v>0</v>
      </c>
      <c r="CG5" s="200">
        <f>SUMIFS('Expenditure Breakdown'!$G$6:$G$222, 'Expenditure Breakdown'!$H$6:$H$222, "&gt;="&amp;CG1,'Expenditure Breakdown'!$H$6:$H$222, "&lt;"&amp;CH1)</f>
        <v>0</v>
      </c>
      <c r="CH5" s="200">
        <f>SUMIFS('Expenditure Breakdown'!$G$6:$G$222, 'Expenditure Breakdown'!$H$6:$H$222, "&gt;="&amp;CH1,'Expenditure Breakdown'!$H$6:$H$222, "&lt;"&amp;CI1)</f>
        <v>0</v>
      </c>
      <c r="CI5" s="200">
        <f>SUMIFS('Expenditure Breakdown'!$G$6:$G$222, 'Expenditure Breakdown'!$H$6:$H$222, "&gt;="&amp;CI1,'Expenditure Breakdown'!$H$6:$H$222, "&lt;"&amp;CJ1)</f>
        <v>0</v>
      </c>
      <c r="CJ5" s="200">
        <f>SUMIFS('Expenditure Breakdown'!$G$6:$G$222, 'Expenditure Breakdown'!$H$6:$H$222, "&gt;="&amp;CJ1,'Expenditure Breakdown'!$H$6:$H$222, "&lt;"&amp;CK1)</f>
        <v>0</v>
      </c>
      <c r="CK5" s="200">
        <f>SUMIFS('Expenditure Breakdown'!$G$6:$G$222, 'Expenditure Breakdown'!$H$6:$H$222, "&gt;="&amp;CK1,'Expenditure Breakdown'!$H$6:$H$222, "&lt;"&amp;CL1)</f>
        <v>0</v>
      </c>
      <c r="CL5" s="200">
        <f>SUMIFS('Expenditure Breakdown'!$G$6:$G$222, 'Expenditure Breakdown'!$H$6:$H$222, "&gt;="&amp;CL1,'Expenditure Breakdown'!$H$6:$H$222, "&lt;"&amp;CM1)</f>
        <v>0</v>
      </c>
      <c r="CM5" s="200">
        <f>SUMIFS('Expenditure Breakdown'!$G$6:$G$222, 'Expenditure Breakdown'!$H$6:$H$222, "&gt;="&amp;CM1,'Expenditure Breakdown'!$H$6:$H$222, "&lt;"&amp;CN1)</f>
        <v>0</v>
      </c>
      <c r="CN5" s="200">
        <f>SUMIFS('Expenditure Breakdown'!$G$6:$G$222, 'Expenditure Breakdown'!$H$6:$H$222, "&gt;="&amp;CN1,'Expenditure Breakdown'!$H$6:$H$222, "&lt;"&amp;CO1)</f>
        <v>0</v>
      </c>
      <c r="CO5" s="200">
        <f>SUMIFS('Expenditure Breakdown'!$G$6:$G$222, 'Expenditure Breakdown'!$H$6:$H$222, "&gt;="&amp;CO1,'Expenditure Breakdown'!$H$6:$H$222, "&lt;"&amp;CP1)</f>
        <v>0</v>
      </c>
      <c r="CP5" s="200">
        <f>SUMIFS('Expenditure Breakdown'!$G$6:$G$222, 'Expenditure Breakdown'!$H$6:$H$222, "&gt;="&amp;CP1,'Expenditure Breakdown'!$H$6:$H$222, "&lt;"&amp;CQ1)</f>
        <v>0</v>
      </c>
      <c r="CQ5" s="200">
        <f>SUMIFS('Expenditure Breakdown'!$G$6:$G$222, 'Expenditure Breakdown'!$H$6:$H$222, "&gt;="&amp;CQ1,'Expenditure Breakdown'!$H$6:$H$222, "&lt;"&amp;CR1)</f>
        <v>0</v>
      </c>
      <c r="CR5" s="200">
        <f>SUMIFS('Expenditure Breakdown'!$G$6:$G$222, 'Expenditure Breakdown'!$H$6:$H$222, "&gt;="&amp;CR1,'Expenditure Breakdown'!$H$6:$H$222, "&lt;"&amp;CS1)</f>
        <v>0</v>
      </c>
      <c r="CS5" s="200">
        <f>SUMIFS('Expenditure Breakdown'!$G$6:$G$222, 'Expenditure Breakdown'!$H$6:$H$222, "&gt;="&amp;CS1,'Expenditure Breakdown'!$H$6:$H$222, "&lt;"&amp;CT1)</f>
        <v>0</v>
      </c>
      <c r="CT5" s="200">
        <f>SUMIFS('Expenditure Breakdown'!$G$6:$G$222, 'Expenditure Breakdown'!$H$6:$H$222, "&gt;="&amp;CT1,'Expenditure Breakdown'!$H$6:$H$222, "&lt;"&amp;CU1)</f>
        <v>0</v>
      </c>
      <c r="CU5" s="200">
        <f>SUMIFS('Expenditure Breakdown'!$G$6:$G$222, 'Expenditure Breakdown'!$H$6:$H$222, "&gt;="&amp;CU1,'Expenditure Breakdown'!$H$6:$H$222, "&lt;"&amp;CV1)</f>
        <v>0</v>
      </c>
      <c r="CV5" s="200">
        <f>SUMIFS('Expenditure Breakdown'!$G$6:$G$222, 'Expenditure Breakdown'!$H$6:$H$222, "&gt;="&amp;CV1,'Expenditure Breakdown'!$H$6:$H$222, "&lt;"&amp;CW1)</f>
        <v>0</v>
      </c>
      <c r="CW5" s="200">
        <f>SUMIFS('Expenditure Breakdown'!$G$6:$G$222, 'Expenditure Breakdown'!$H$6:$H$222, "&gt;="&amp;CW1,'Expenditure Breakdown'!$H$6:$H$222, "&lt;"&amp;CX1)</f>
        <v>0</v>
      </c>
      <c r="CX5" s="200">
        <f>SUMIFS('Expenditure Breakdown'!$G$6:$G$222, 'Expenditure Breakdown'!$H$6:$H$222, "&gt;="&amp;CX1,'Expenditure Breakdown'!$H$6:$H$222, "&lt;"&amp;CY1)</f>
        <v>0</v>
      </c>
      <c r="CY5" s="200">
        <f>SUMIFS('Expenditure Breakdown'!$G$6:$G$222, 'Expenditure Breakdown'!$H$6:$H$222, "&gt;="&amp;CY1,'Expenditure Breakdown'!$H$6:$H$222, "&lt;"&amp;CZ1)</f>
        <v>0</v>
      </c>
      <c r="CZ5" s="200">
        <f>SUMIFS('Expenditure Breakdown'!$G$6:$G$222, 'Expenditure Breakdown'!$H$6:$H$222, "&gt;="&amp;CZ1,'Expenditure Breakdown'!$H$6:$H$222, "&lt;"&amp;DA1)</f>
        <v>0</v>
      </c>
      <c r="DA5" s="200">
        <f>SUMIFS('Expenditure Breakdown'!$G$6:$G$222, 'Expenditure Breakdown'!$H$6:$H$222, "&gt;="&amp;DA1,'Expenditure Breakdown'!$H$6:$H$222, "&lt;"&amp;DB1)</f>
        <v>0</v>
      </c>
      <c r="DB5" s="200">
        <f>SUMIFS('Expenditure Breakdown'!$G$6:$G$222, 'Expenditure Breakdown'!$H$6:$H$222, "&gt;="&amp;DB1,'Expenditure Breakdown'!$H$6:$H$222, "&lt;"&amp;DC1)</f>
        <v>0</v>
      </c>
      <c r="DC5" s="200">
        <f>SUMIFS('Expenditure Breakdown'!$G$6:$G$222, 'Expenditure Breakdown'!$H$6:$H$222, "&gt;="&amp;DC1,'Expenditure Breakdown'!$H$6:$H$222, "&lt;"&amp;DD1)</f>
        <v>0</v>
      </c>
      <c r="DD5" s="200">
        <f>SUMIFS('Expenditure Breakdown'!$G$6:$G$222, 'Expenditure Breakdown'!$H$6:$H$222, "&gt;="&amp;DD1,'Expenditure Breakdown'!$H$6:$H$222, "&lt;"&amp;DE1)</f>
        <v>0</v>
      </c>
      <c r="DE5" s="200">
        <f>SUMIFS('Expenditure Breakdown'!$G$6:$G$222, 'Expenditure Breakdown'!$H$6:$H$222, "&gt;="&amp;DE1,'Expenditure Breakdown'!$H$6:$H$222, "&lt;"&amp;DF1)</f>
        <v>0</v>
      </c>
      <c r="DF5" s="200">
        <f>SUMIFS('Expenditure Breakdown'!$G$6:$G$222, 'Expenditure Breakdown'!$H$6:$H$222, "&gt;="&amp;DF1,'Expenditure Breakdown'!$H$6:$H$222, "&lt;"&amp;DG1)</f>
        <v>0</v>
      </c>
      <c r="DG5" s="200">
        <f>SUMIFS('Expenditure Breakdown'!$G$6:$G$222, 'Expenditure Breakdown'!$H$6:$H$222, "&gt;="&amp;DG1,'Expenditure Breakdown'!$H$6:$H$222, "&lt;"&amp;DH1)</f>
        <v>0</v>
      </c>
      <c r="DH5" s="200">
        <f>SUMIFS('Expenditure Breakdown'!$G$6:$G$222, 'Expenditure Breakdown'!$H$6:$H$222, "&gt;="&amp;DH1,'Expenditure Breakdown'!$H$6:$H$222, "&lt;"&amp;DI1)</f>
        <v>0</v>
      </c>
      <c r="DI5" s="200">
        <f>SUMIFS('Expenditure Breakdown'!$G$6:$G$222, 'Expenditure Breakdown'!$H$6:$H$222, "&gt;="&amp;DI1,'Expenditure Breakdown'!$H$6:$H$222, "&lt;"&amp;DJ1)</f>
        <v>0</v>
      </c>
      <c r="DJ5" s="200">
        <f>SUMIFS('Expenditure Breakdown'!$G$6:$G$222, 'Expenditure Breakdown'!$H$6:$H$222, "&gt;="&amp;DJ1,'Expenditure Breakdown'!$H$6:$H$222, "&lt;"&amp;DK1)</f>
        <v>0</v>
      </c>
      <c r="DK5" s="200">
        <f>SUMIFS('Expenditure Breakdown'!$G$6:$G$222, 'Expenditure Breakdown'!$H$6:$H$222, "&gt;="&amp;DK1,'Expenditure Breakdown'!$H$6:$H$222, "&lt;"&amp;DL1)</f>
        <v>0</v>
      </c>
      <c r="DL5" s="200">
        <f>SUMIFS('Expenditure Breakdown'!$G$6:$G$222, 'Expenditure Breakdown'!$H$6:$H$222, "&gt;="&amp;DL1,'Expenditure Breakdown'!$H$6:$H$222, "&lt;"&amp;DM1)</f>
        <v>0</v>
      </c>
      <c r="DM5" s="200">
        <f>SUMIFS('Expenditure Breakdown'!$G$6:$G$222, 'Expenditure Breakdown'!$H$6:$H$222, "&gt;="&amp;DM1,'Expenditure Breakdown'!$H$6:$H$222, "&lt;"&amp;DN1)</f>
        <v>0</v>
      </c>
      <c r="DN5" s="200">
        <f>SUMIFS('Expenditure Breakdown'!$G$6:$G$222, 'Expenditure Breakdown'!$H$6:$H$222, "&gt;="&amp;DN1,'Expenditure Breakdown'!$H$6:$H$222, "&lt;"&amp;DO1)</f>
        <v>0</v>
      </c>
      <c r="DO5" s="200">
        <f>SUMIFS('Expenditure Breakdown'!$G$6:$G$222, 'Expenditure Breakdown'!$H$6:$H$222, "&gt;="&amp;DO1,'Expenditure Breakdown'!$H$6:$H$222, "&lt;"&amp;DP1)</f>
        <v>0</v>
      </c>
      <c r="DP5" s="200">
        <f>SUMIFS('Expenditure Breakdown'!$G$6:$G$222, 'Expenditure Breakdown'!$H$6:$H$222, "&gt;="&amp;DP1,'Expenditure Breakdown'!$H$6:$H$222, "&lt;"&amp;DQ1)</f>
        <v>0</v>
      </c>
      <c r="DQ5" s="200">
        <f>SUMIFS('Expenditure Breakdown'!$G$6:$G$222, 'Expenditure Breakdown'!$H$6:$H$222, "&gt;="&amp;DQ1,'Expenditure Breakdown'!$H$6:$H$222, "&lt;"&amp;DR1)</f>
        <v>0</v>
      </c>
      <c r="DR5" s="200">
        <f>SUMIFS('Expenditure Breakdown'!$G$6:$G$222, 'Expenditure Breakdown'!$H$6:$H$222, "&gt;="&amp;DR1,'Expenditure Breakdown'!$H$6:$H$222, "&lt;"&amp;DS1)</f>
        <v>0</v>
      </c>
      <c r="DS5" s="200">
        <f>SUMIFS('Expenditure Breakdown'!$G$6:$G$222, 'Expenditure Breakdown'!$H$6:$H$222, "&gt;="&amp;DS1,'Expenditure Breakdown'!$H$6:$H$222, "&lt;"&amp;DT1)</f>
        <v>0</v>
      </c>
      <c r="DT5" s="200">
        <f>SUMIFS('Expenditure Breakdown'!$G$6:$G$222, 'Expenditure Breakdown'!$H$6:$H$222, "&gt;="&amp;DT1,'Expenditure Breakdown'!$H$6:$H$222, "&lt;"&amp;DU1)</f>
        <v>0</v>
      </c>
      <c r="DU5" s="200">
        <f>SUMIFS('Expenditure Breakdown'!$G$6:$G$222, 'Expenditure Breakdown'!$H$6:$H$222, "&gt;="&amp;DU1,'Expenditure Breakdown'!$H$6:$H$222, "&lt;"&amp;DV1)</f>
        <v>0</v>
      </c>
      <c r="DV5" s="200">
        <f>SUMIFS('Expenditure Breakdown'!$G$6:$G$222, 'Expenditure Breakdown'!$H$6:$H$222, "&gt;="&amp;DV1,'Expenditure Breakdown'!$H$6:$H$222, "&lt;"&amp;DW1)</f>
        <v>0</v>
      </c>
      <c r="DW5" s="200">
        <f>SUMIFS('Expenditure Breakdown'!$G$6:$G$222, 'Expenditure Breakdown'!$H$6:$H$222, "&gt;="&amp;DW1,'Expenditure Breakdown'!$H$6:$H$222, "&lt;"&amp;DX1)</f>
        <v>0</v>
      </c>
      <c r="DX5" s="200">
        <f>SUMIFS('Expenditure Breakdown'!$G$6:$G$222, 'Expenditure Breakdown'!$H$6:$H$222, "&gt;="&amp;DX1,'Expenditure Breakdown'!$H$6:$H$222, "&lt;"&amp;DY1)</f>
        <v>0</v>
      </c>
      <c r="DY5" s="200">
        <f>SUMIFS('Expenditure Breakdown'!$G$6:$G$222, 'Expenditure Breakdown'!$H$6:$H$222, "&gt;="&amp;DY1,'Expenditure Breakdown'!$H$6:$H$222, "&lt;"&amp;DZ1)</f>
        <v>0</v>
      </c>
      <c r="DZ5" s="200">
        <f>SUMIFS('Expenditure Breakdown'!$G$6:$G$222, 'Expenditure Breakdown'!$H$6:$H$222, "&gt;="&amp;DZ1,'Expenditure Breakdown'!$H$6:$H$222, "&lt;"&amp;EA1)</f>
        <v>0</v>
      </c>
      <c r="EA5" s="200">
        <f>SUMIFS('Expenditure Breakdown'!$G$6:$G$222, 'Expenditure Breakdown'!$H$6:$H$222, "&gt;="&amp;EA1,'Expenditure Breakdown'!$H$6:$H$222, "&lt;"&amp;EB1)</f>
        <v>0</v>
      </c>
      <c r="EB5" s="200">
        <f>SUMIFS('Expenditure Breakdown'!$G$6:$G$222, 'Expenditure Breakdown'!$H$6:$H$222, "&gt;="&amp;EB1,'Expenditure Breakdown'!$H$6:$H$222, "&lt;"&amp;EC1)</f>
        <v>0</v>
      </c>
      <c r="EC5" s="200">
        <f>SUMIFS('Expenditure Breakdown'!$G$6:$G$222, 'Expenditure Breakdown'!$H$6:$H$222, "&gt;="&amp;EC1,'Expenditure Breakdown'!$H$6:$H$222, "&lt;"&amp;ED1)</f>
        <v>0</v>
      </c>
      <c r="ED5" s="200">
        <f>SUMIFS('Expenditure Breakdown'!$G$6:$G$222, 'Expenditure Breakdown'!$H$6:$H$222, "&gt;="&amp;ED1,'Expenditure Breakdown'!$H$6:$H$222, "&lt;"&amp;EE1)</f>
        <v>0</v>
      </c>
      <c r="EE5" s="200">
        <f>SUMIFS('Expenditure Breakdown'!$G$6:$G$222, 'Expenditure Breakdown'!$H$6:$H$222, "&gt;="&amp;EE1,'Expenditure Breakdown'!$H$6:$H$222, "&lt;"&amp;EF1)</f>
        <v>0</v>
      </c>
      <c r="EF5" s="200">
        <f>SUMIFS('Expenditure Breakdown'!$G$6:$G$222, 'Expenditure Breakdown'!$H$6:$H$222, "&gt;="&amp;EF1,'Expenditure Breakdown'!$H$6:$H$222, "&lt;"&amp;EG1)</f>
        <v>0</v>
      </c>
      <c r="EG5" s="200">
        <f>SUMIFS('Expenditure Breakdown'!$G$6:$G$222, 'Expenditure Breakdown'!$H$6:$H$222, "&gt;="&amp;EG1,'Expenditure Breakdown'!$H$6:$H$222, "&lt;"&amp;EH1)</f>
        <v>0</v>
      </c>
      <c r="EH5" s="200">
        <f>SUMIFS('Expenditure Breakdown'!$G$6:$G$222, 'Expenditure Breakdown'!$H$6:$H$222, "&gt;="&amp;EH1,'Expenditure Breakdown'!$H$6:$H$222, "&lt;"&amp;EI1)</f>
        <v>0</v>
      </c>
      <c r="EI5" s="200">
        <f>SUMIFS('Expenditure Breakdown'!$G$6:$G$222, 'Expenditure Breakdown'!$H$6:$H$222, "&gt;="&amp;EI1,'Expenditure Breakdown'!$H$6:$H$222, "&lt;"&amp;EJ1)</f>
        <v>0</v>
      </c>
      <c r="EJ5" s="200">
        <f>SUMIFS('Expenditure Breakdown'!$G$6:$G$222, 'Expenditure Breakdown'!$H$6:$H$222, "&gt;="&amp;EJ1,'Expenditure Breakdown'!$H$6:$H$222, "&lt;"&amp;EK1)</f>
        <v>0</v>
      </c>
      <c r="EK5" s="200">
        <f>SUMIFS('Expenditure Breakdown'!$G$6:$G$222, 'Expenditure Breakdown'!$H$6:$H$222, "&gt;="&amp;EK1,'Expenditure Breakdown'!$H$6:$H$222, "&lt;"&amp;EL1)</f>
        <v>0</v>
      </c>
      <c r="EL5" s="200">
        <f>SUMIFS('Expenditure Breakdown'!$G$6:$G$222, 'Expenditure Breakdown'!$H$6:$H$222, "&gt;="&amp;EL1,'Expenditure Breakdown'!$H$6:$H$222, "&lt;"&amp;EM1)</f>
        <v>0</v>
      </c>
      <c r="EM5" s="200">
        <f>SUMIFS('Expenditure Breakdown'!$G$6:$G$222, 'Expenditure Breakdown'!$H$6:$H$222, "&gt;="&amp;EM1,'Expenditure Breakdown'!$H$6:$H$222, "&lt;"&amp;EN1)</f>
        <v>0</v>
      </c>
      <c r="EN5" s="200">
        <f>SUMIFS('Expenditure Breakdown'!$G$6:$G$222, 'Expenditure Breakdown'!$H$6:$H$222, "&gt;="&amp;EN1,'Expenditure Breakdown'!$H$6:$H$222, "&lt;"&amp;EO1)</f>
        <v>0</v>
      </c>
      <c r="EO5" s="200">
        <f>SUMIFS('Expenditure Breakdown'!$G$6:$G$222, 'Expenditure Breakdown'!$H$6:$H$222, "&gt;="&amp;EO1,'Expenditure Breakdown'!$H$6:$H$222, "&lt;"&amp;EP1)</f>
        <v>0</v>
      </c>
      <c r="EP5" s="200">
        <f>SUMIFS('Expenditure Breakdown'!$G$6:$G$222, 'Expenditure Breakdown'!$H$6:$H$222, "&gt;="&amp;EP1,'Expenditure Breakdown'!$H$6:$H$222, "&lt;"&amp;EQ1)</f>
        <v>0</v>
      </c>
      <c r="EQ5" s="200">
        <f>SUMIFS('Expenditure Breakdown'!$G$6:$G$222, 'Expenditure Breakdown'!$H$6:$H$222, "&gt;="&amp;EQ1,'Expenditure Breakdown'!$H$6:$H$222, "&lt;"&amp;ER1)</f>
        <v>0</v>
      </c>
      <c r="ER5" s="200">
        <f>SUMIFS('Expenditure Breakdown'!$G$6:$G$222, 'Expenditure Breakdown'!$H$6:$H$222, "&gt;="&amp;ER1,'Expenditure Breakdown'!$H$6:$H$222, "&lt;"&amp;ES1)</f>
        <v>0</v>
      </c>
      <c r="ES5" s="200">
        <f>SUMIFS('Expenditure Breakdown'!$G$6:$G$222, 'Expenditure Breakdown'!$H$6:$H$222, "&gt;="&amp;ES1,'Expenditure Breakdown'!$H$6:$H$222, "&lt;"&amp;ET1)</f>
        <v>0</v>
      </c>
      <c r="ET5" s="200">
        <f>SUMIFS('Expenditure Breakdown'!$G$6:$G$222, 'Expenditure Breakdown'!$H$6:$H$222, "&gt;="&amp;ET1,'Expenditure Breakdown'!$H$6:$H$222, "&lt;"&amp;EU1)</f>
        <v>0</v>
      </c>
      <c r="EU5" s="200">
        <f>SUMIFS('Expenditure Breakdown'!$G$6:$G$222, 'Expenditure Breakdown'!$H$6:$H$222, "&gt;="&amp;EU1,'Expenditure Breakdown'!$H$6:$H$222, "&lt;"&amp;EV1)</f>
        <v>0</v>
      </c>
      <c r="EV5" s="200">
        <f>SUMIFS('Expenditure Breakdown'!$G$6:$G$222, 'Expenditure Breakdown'!$H$6:$H$222, "&gt;="&amp;EV1,'Expenditure Breakdown'!$H$6:$H$222, "&lt;"&amp;EW1)</f>
        <v>0</v>
      </c>
      <c r="EW5" s="200">
        <f>SUMIFS('Expenditure Breakdown'!$G$6:$G$222, 'Expenditure Breakdown'!$H$6:$H$222, "&gt;="&amp;EW1,'Expenditure Breakdown'!$H$6:$H$222, "&lt;"&amp;EX1)</f>
        <v>0</v>
      </c>
      <c r="EX5" s="200">
        <f>SUMIFS('Expenditure Breakdown'!$G$6:$G$222, 'Expenditure Breakdown'!$H$6:$H$222, "&gt;="&amp;EX1,'Expenditure Breakdown'!$H$6:$H$222, "&lt;"&amp;EY1)</f>
        <v>0</v>
      </c>
      <c r="EY5" s="200">
        <f>SUMIFS('Expenditure Breakdown'!$G$6:$G$222, 'Expenditure Breakdown'!$H$6:$H$222, "&gt;="&amp;EY1,'Expenditure Breakdown'!$H$6:$H$222, "&lt;"&amp;EZ1)</f>
        <v>0</v>
      </c>
      <c r="EZ5" s="200">
        <f>SUMIFS('Expenditure Breakdown'!$G$6:$G$222, 'Expenditure Breakdown'!$H$6:$H$222, "&gt;="&amp;EZ1,'Expenditure Breakdown'!$H$6:$H$222, "&lt;"&amp;FA1)</f>
        <v>0</v>
      </c>
      <c r="FA5" s="200">
        <f>SUMIFS('Expenditure Breakdown'!$G$6:$G$222, 'Expenditure Breakdown'!$H$6:$H$222, "&gt;="&amp;FA1,'Expenditure Breakdown'!$H$6:$H$222, "&lt;"&amp;FB1)</f>
        <v>0</v>
      </c>
      <c r="FB5" s="200">
        <f>SUMIFS('Expenditure Breakdown'!$G$6:$G$222, 'Expenditure Breakdown'!$H$6:$H$222, "&gt;="&amp;FB1,'Expenditure Breakdown'!$H$6:$H$222, "&lt;"&amp;FC1)</f>
        <v>0</v>
      </c>
      <c r="FC5" s="200">
        <f>SUMIFS('Expenditure Breakdown'!$G$6:$G$222, 'Expenditure Breakdown'!$H$6:$H$222, "&gt;="&amp;FC1,'Expenditure Breakdown'!$H$6:$H$222, "&lt;"&amp;FD1)</f>
        <v>0</v>
      </c>
      <c r="FD5" s="200">
        <f>SUMIFS('Expenditure Breakdown'!$G$6:$G$222, 'Expenditure Breakdown'!$H$6:$H$222, "&gt;="&amp;FD1,'Expenditure Breakdown'!$H$6:$H$222, "&lt;"&amp;FE1)</f>
        <v>0</v>
      </c>
      <c r="FE5" s="200">
        <f>SUMIFS('Expenditure Breakdown'!$G$6:$G$222, 'Expenditure Breakdown'!$H$6:$H$222, "&gt;="&amp;FE1,'Expenditure Breakdown'!$H$6:$H$222, "&lt;"&amp;FF1)</f>
        <v>0</v>
      </c>
      <c r="FF5" s="200">
        <f>SUMIFS('Expenditure Breakdown'!$G$6:$G$222, 'Expenditure Breakdown'!$H$6:$H$222, "&gt;="&amp;FF1,'Expenditure Breakdown'!$H$6:$H$222, "&lt;"&amp;FG1)</f>
        <v>0</v>
      </c>
      <c r="FG5" s="200">
        <f>SUMIFS('Expenditure Breakdown'!$G$6:$G$222, 'Expenditure Breakdown'!$H$6:$H$222, "&gt;="&amp;FG1,'Expenditure Breakdown'!$H$6:$H$222, "&lt;"&amp;FH1)</f>
        <v>0</v>
      </c>
      <c r="FH5" s="200">
        <f>SUMIFS('Expenditure Breakdown'!$G$6:$G$222, 'Expenditure Breakdown'!$H$6:$H$222, "&gt;="&amp;FH1,'Expenditure Breakdown'!$H$6:$H$222, "&lt;"&amp;FI1)</f>
        <v>0</v>
      </c>
      <c r="FI5" s="200">
        <f>SUMIFS('Expenditure Breakdown'!$G$6:$G$222, 'Expenditure Breakdown'!$H$6:$H$222, "&gt;="&amp;FI1,'Expenditure Breakdown'!$H$6:$H$222, "&lt;"&amp;FJ1)</f>
        <v>0</v>
      </c>
      <c r="FJ5" s="200">
        <f>SUMIFS('Expenditure Breakdown'!$G$6:$G$222, 'Expenditure Breakdown'!$H$6:$H$222, "&gt;="&amp;FJ1,'Expenditure Breakdown'!$H$6:$H$222, "&lt;"&amp;FK1)</f>
        <v>0</v>
      </c>
      <c r="FK5" s="200">
        <f>SUMIFS('Expenditure Breakdown'!$G$6:$G$222, 'Expenditure Breakdown'!$H$6:$H$222, "&gt;="&amp;FK1,'Expenditure Breakdown'!$H$6:$H$222, "&lt;"&amp;FL1)</f>
        <v>0</v>
      </c>
      <c r="FL5" s="200">
        <f>SUMIFS('Expenditure Breakdown'!$G$6:$G$222, 'Expenditure Breakdown'!$H$6:$H$222, "&gt;="&amp;FL1,'Expenditure Breakdown'!$H$6:$H$222, "&lt;"&amp;FM1)</f>
        <v>0</v>
      </c>
      <c r="FM5" s="200">
        <f>SUMIFS('Expenditure Breakdown'!$G$6:$G$222, 'Expenditure Breakdown'!$H$6:$H$222, "&gt;="&amp;FM1,'Expenditure Breakdown'!$H$6:$H$222, "&lt;"&amp;FN1)</f>
        <v>0</v>
      </c>
      <c r="FN5" s="200">
        <f>SUMIFS('Expenditure Breakdown'!$G$6:$G$222, 'Expenditure Breakdown'!$H$6:$H$222, "&gt;="&amp;FN1,'Expenditure Breakdown'!$H$6:$H$222, "&lt;"&amp;FO1)</f>
        <v>0</v>
      </c>
      <c r="FO5" s="200">
        <f>SUMIFS('Expenditure Breakdown'!$G$6:$G$222, 'Expenditure Breakdown'!$H$6:$H$222, "&gt;="&amp;FO1,'Expenditure Breakdown'!$H$6:$H$222, "&lt;"&amp;FP1)</f>
        <v>0</v>
      </c>
      <c r="FP5" s="200">
        <f>SUMIFS('Expenditure Breakdown'!$G$6:$G$222, 'Expenditure Breakdown'!$H$6:$H$222, "&gt;="&amp;FP1,'Expenditure Breakdown'!$H$6:$H$222, "&lt;"&amp;FQ1)</f>
        <v>0</v>
      </c>
      <c r="FQ5" s="200">
        <f>SUMIFS('Expenditure Breakdown'!$G$6:$G$222, 'Expenditure Breakdown'!$H$6:$H$222, "&gt;="&amp;FQ1,'Expenditure Breakdown'!$H$6:$H$222, "&lt;"&amp;FR1)</f>
        <v>0</v>
      </c>
      <c r="FR5" s="200">
        <f>SUMIFS('Expenditure Breakdown'!$G$6:$G$222, 'Expenditure Breakdown'!$H$6:$H$222, "&gt;="&amp;FR1,'Expenditure Breakdown'!$H$6:$H$222, "&lt;"&amp;FS1)</f>
        <v>0</v>
      </c>
      <c r="FS5" s="200">
        <f>SUMIFS('Expenditure Breakdown'!$G$6:$G$222, 'Expenditure Breakdown'!$H$6:$H$222, "&gt;="&amp;FS1,'Expenditure Breakdown'!$H$6:$H$222, "&lt;"&amp;FT1)</f>
        <v>0</v>
      </c>
      <c r="FT5" s="200">
        <f>SUMIFS('Expenditure Breakdown'!$G$6:$G$222, 'Expenditure Breakdown'!$H$6:$H$222, "&gt;="&amp;FT1,'Expenditure Breakdown'!$H$6:$H$222, "&lt;"&amp;FU1)</f>
        <v>0</v>
      </c>
      <c r="FU5" s="200">
        <f>SUMIFS('Expenditure Breakdown'!$G$6:$G$222, 'Expenditure Breakdown'!$H$6:$H$222, "&gt;="&amp;FU1,'Expenditure Breakdown'!$H$6:$H$222, "&lt;"&amp;FV1)</f>
        <v>0</v>
      </c>
      <c r="FV5" s="200">
        <f>SUMIFS('Expenditure Breakdown'!$G$6:$G$222, 'Expenditure Breakdown'!$H$6:$H$222, "&gt;="&amp;FV1,'Expenditure Breakdown'!$H$6:$H$222, "&lt;"&amp;FW1)</f>
        <v>0</v>
      </c>
      <c r="FW5" s="200">
        <f>SUMIFS('Expenditure Breakdown'!$G$6:$G$222, 'Expenditure Breakdown'!$H$6:$H$222, "&gt;="&amp;FW1,'Expenditure Breakdown'!$H$6:$H$222, "&lt;"&amp;FX1)</f>
        <v>0</v>
      </c>
      <c r="FX5" s="200">
        <f>SUMIFS('Expenditure Breakdown'!$G$6:$G$222, 'Expenditure Breakdown'!$H$6:$H$222, "&gt;="&amp;FX1,'Expenditure Breakdown'!$H$6:$H$222, "&lt;"&amp;FY1)</f>
        <v>0</v>
      </c>
      <c r="FY5" s="200">
        <f>SUMIFS('Expenditure Breakdown'!$G$6:$G$222, 'Expenditure Breakdown'!$H$6:$H$222, "&gt;="&amp;FY1,'Expenditure Breakdown'!$H$6:$H$222, "&lt;"&amp;FZ1)</f>
        <v>0</v>
      </c>
      <c r="FZ5" s="200">
        <f>SUMIFS('Expenditure Breakdown'!$G$6:$G$222, 'Expenditure Breakdown'!$H$6:$H$222, "&gt;="&amp;FZ1,'Expenditure Breakdown'!$H$6:$H$222, "&lt;"&amp;GA1)</f>
        <v>0</v>
      </c>
      <c r="GA5" s="200">
        <f>SUMIFS('Expenditure Breakdown'!$G$6:$G$222, 'Expenditure Breakdown'!$H$6:$H$222, "&gt;="&amp;GA1,'Expenditure Breakdown'!$H$6:$H$222, "&lt;"&amp;GB1)</f>
        <v>0</v>
      </c>
      <c r="GB5" s="200">
        <f>SUMIFS('Expenditure Breakdown'!$G$6:$G$222, 'Expenditure Breakdown'!$H$6:$H$222, "&gt;="&amp;GB1,'Expenditure Breakdown'!$H$6:$H$222, "&lt;"&amp;GC1)</f>
        <v>0</v>
      </c>
      <c r="GC5" s="200">
        <f>SUMIFS('Expenditure Breakdown'!$G$6:$G$222, 'Expenditure Breakdown'!$H$6:$H$222, "&gt;="&amp;GC1,'Expenditure Breakdown'!$H$6:$H$222, "&lt;"&amp;GD1)</f>
        <v>0</v>
      </c>
      <c r="GD5" s="200">
        <f>SUMIFS('Expenditure Breakdown'!$G$6:$G$222, 'Expenditure Breakdown'!$H$6:$H$222, "&gt;="&amp;GD1,'Expenditure Breakdown'!$H$6:$H$222, "&lt;"&amp;GE1)</f>
        <v>0</v>
      </c>
      <c r="GE5" s="200">
        <f>SUMIFS('Expenditure Breakdown'!$G$6:$G$222, 'Expenditure Breakdown'!$H$6:$H$222, "&gt;="&amp;GE1,'Expenditure Breakdown'!$H$6:$H$222, "&lt;"&amp;GF1)</f>
        <v>0</v>
      </c>
      <c r="GF5" s="200">
        <f>SUMIFS('Expenditure Breakdown'!$G$6:$G$222, 'Expenditure Breakdown'!$H$6:$H$222, "&gt;="&amp;GF1,'Expenditure Breakdown'!$H$6:$H$222, "&lt;"&amp;GG1)</f>
        <v>0</v>
      </c>
      <c r="GG5" s="200">
        <f>SUMIFS('Expenditure Breakdown'!$G$6:$G$222, 'Expenditure Breakdown'!$H$6:$H$222, "&gt;="&amp;GG1,'Expenditure Breakdown'!$H$6:$H$222, "&lt;"&amp;GH1)</f>
        <v>0</v>
      </c>
      <c r="GH5" s="200">
        <f>SUMIFS('Expenditure Breakdown'!$G$6:$G$222, 'Expenditure Breakdown'!$H$6:$H$222, "&gt;="&amp;GH1,'Expenditure Breakdown'!$H$6:$H$222, "&lt;"&amp;GI1)</f>
        <v>0</v>
      </c>
      <c r="GI5" s="200">
        <f>SUMIFS('Expenditure Breakdown'!$G$6:$G$222, 'Expenditure Breakdown'!$H$6:$H$222, "&gt;="&amp;GI1,'Expenditure Breakdown'!$H$6:$H$222, "&lt;"&amp;GJ1)</f>
        <v>0</v>
      </c>
      <c r="GJ5" s="200">
        <f>SUMIFS('Expenditure Breakdown'!$G$6:$G$222, 'Expenditure Breakdown'!$H$6:$H$222, "&gt;="&amp;GJ1,'Expenditure Breakdown'!$H$6:$H$222, "&lt;"&amp;GK1)</f>
        <v>0</v>
      </c>
      <c r="GK5" s="200">
        <f>SUMIFS('Expenditure Breakdown'!$G$6:$G$222, 'Expenditure Breakdown'!$H$6:$H$222, "&gt;="&amp;GK1,'Expenditure Breakdown'!$H$6:$H$222, "&lt;"&amp;GL1)</f>
        <v>0</v>
      </c>
      <c r="GL5" s="200">
        <f>SUMIFS('Expenditure Breakdown'!$G$6:$G$222, 'Expenditure Breakdown'!$H$6:$H$222, "&gt;="&amp;GL1,'Expenditure Breakdown'!$H$6:$H$222, "&lt;"&amp;GM1)</f>
        <v>0</v>
      </c>
      <c r="GM5" s="200">
        <f>SUMIFS('Expenditure Breakdown'!$G$6:$G$222, 'Expenditure Breakdown'!$H$6:$H$222, "&gt;="&amp;GM1,'Expenditure Breakdown'!$H$6:$H$222, "&lt;"&amp;GN1)</f>
        <v>0</v>
      </c>
      <c r="GN5" s="200">
        <f>SUMIFS('Expenditure Breakdown'!$G$6:$G$222, 'Expenditure Breakdown'!$H$6:$H$222, "&gt;="&amp;GN1,'Expenditure Breakdown'!$H$6:$H$222, "&lt;"&amp;GO1)</f>
        <v>0</v>
      </c>
      <c r="GO5" s="200">
        <f>SUMIFS('Expenditure Breakdown'!$G$6:$G$222, 'Expenditure Breakdown'!$H$6:$H$222, "&gt;="&amp;GO1,'Expenditure Breakdown'!$H$6:$H$222, "&lt;"&amp;GP1)</f>
        <v>0</v>
      </c>
      <c r="GP5" s="200">
        <f>SUMIFS('Expenditure Breakdown'!$G$6:$G$222, 'Expenditure Breakdown'!$H$6:$H$222, "&gt;="&amp;GP1,'Expenditure Breakdown'!$H$6:$H$222, "&lt;"&amp;GQ1)</f>
        <v>0</v>
      </c>
      <c r="GQ5" s="200">
        <f>SUMIFS('Expenditure Breakdown'!$G$6:$G$222, 'Expenditure Breakdown'!$H$6:$H$222, "&gt;="&amp;GQ1,'Expenditure Breakdown'!$H$6:$H$222, "&lt;"&amp;GR1)</f>
        <v>0</v>
      </c>
      <c r="GR5" s="200">
        <f>SUMIFS('Expenditure Breakdown'!$G$6:$G$222, 'Expenditure Breakdown'!$H$6:$H$222, "&gt;="&amp;GR1,'Expenditure Breakdown'!$H$6:$H$222, "&lt;"&amp;GS1)</f>
        <v>0</v>
      </c>
      <c r="GS5" s="200">
        <f>SUMIFS('Expenditure Breakdown'!$G$6:$G$222, 'Expenditure Breakdown'!$H$6:$H$222, "&gt;="&amp;GS1,'Expenditure Breakdown'!$H$6:$H$222, "&lt;"&amp;GT1)</f>
        <v>0</v>
      </c>
      <c r="GT5" s="200">
        <f>SUMIFS('Expenditure Breakdown'!$G$6:$G$222, 'Expenditure Breakdown'!$H$6:$H$222, "&gt;="&amp;GT1,'Expenditure Breakdown'!$H$6:$H$222, "&lt;"&amp;GU1)</f>
        <v>0</v>
      </c>
      <c r="GU5" s="200">
        <f>SUMIFS('Expenditure Breakdown'!$G$6:$G$222, 'Expenditure Breakdown'!$H$6:$H$222, "&gt;="&amp;GU1,'Expenditure Breakdown'!$H$6:$H$222, "&lt;"&amp;GV1)</f>
        <v>0</v>
      </c>
      <c r="GV5" s="200">
        <f>SUMIFS('Expenditure Breakdown'!$G$6:$G$222, 'Expenditure Breakdown'!$H$6:$H$222, "&gt;="&amp;GV1,'Expenditure Breakdown'!$H$6:$H$222, "&lt;"&amp;GW1)</f>
        <v>0</v>
      </c>
      <c r="GW5" s="200">
        <f>SUMIFS('Expenditure Breakdown'!$G$6:$G$222, 'Expenditure Breakdown'!$H$6:$H$222, "&gt;="&amp;GW1,'Expenditure Breakdown'!$H$6:$H$222, "&lt;"&amp;GX1)</f>
        <v>0</v>
      </c>
      <c r="GX5" s="200">
        <f>SUMIFS('Expenditure Breakdown'!$G$6:$G$222, 'Expenditure Breakdown'!$H$6:$H$222, "&gt;="&amp;GX1,'Expenditure Breakdown'!$H$6:$H$222, "&lt;"&amp;GY1)</f>
        <v>0</v>
      </c>
      <c r="GY5" s="200">
        <f>SUMIFS('Expenditure Breakdown'!$G$6:$G$222, 'Expenditure Breakdown'!$H$6:$H$222, "&gt;="&amp;GY1,'Expenditure Breakdown'!$H$6:$H$222, "&lt;"&amp;GZ1)</f>
        <v>0</v>
      </c>
      <c r="GZ5" s="200">
        <f>SUMIFS('Expenditure Breakdown'!$G$6:$G$222, 'Expenditure Breakdown'!$H$6:$H$222, "&gt;="&amp;GZ1,'Expenditure Breakdown'!$H$6:$H$222, "&lt;"&amp;HA1)</f>
        <v>0</v>
      </c>
      <c r="HA5" s="200">
        <f>SUMIFS('Expenditure Breakdown'!$G$6:$G$222, 'Expenditure Breakdown'!$H$6:$H$222, "&gt;="&amp;HA1,'Expenditure Breakdown'!$H$6:$H$222, "&lt;"&amp;HB1)</f>
        <v>0</v>
      </c>
      <c r="HB5" s="200">
        <f>SUMIFS('Expenditure Breakdown'!$G$6:$G$222, 'Expenditure Breakdown'!$H$6:$H$222, "&gt;="&amp;HB1,'Expenditure Breakdown'!$H$6:$H$222, "&lt;"&amp;HC1)</f>
        <v>0</v>
      </c>
      <c r="HC5" s="200">
        <f>SUMIFS('Expenditure Breakdown'!$G$6:$G$222, 'Expenditure Breakdown'!$H$6:$H$222, "&gt;="&amp;HC1,'Expenditure Breakdown'!$H$6:$H$222, "&lt;"&amp;HD1)</f>
        <v>0</v>
      </c>
      <c r="HD5" s="200">
        <f>SUMIFS('Expenditure Breakdown'!$G$6:$G$222, 'Expenditure Breakdown'!$H$6:$H$222, "&gt;="&amp;HD1,'Expenditure Breakdown'!$H$6:$H$222, "&lt;"&amp;HE1)</f>
        <v>0</v>
      </c>
      <c r="HE5" s="200">
        <f>SUMIFS('Expenditure Breakdown'!$G$6:$G$222, 'Expenditure Breakdown'!$H$6:$H$222, "&gt;="&amp;HE1,'Expenditure Breakdown'!$H$6:$H$222, "&lt;"&amp;HF1)</f>
        <v>0</v>
      </c>
      <c r="HF5" s="200">
        <f>SUMIFS('Expenditure Breakdown'!$G$6:$G$222, 'Expenditure Breakdown'!$H$6:$H$222, "&gt;="&amp;HF1,'Expenditure Breakdown'!$H$6:$H$222, "&lt;"&amp;HG1)</f>
        <v>0</v>
      </c>
      <c r="HG5" s="200">
        <f>SUMIFS('Expenditure Breakdown'!$G$6:$G$222, 'Expenditure Breakdown'!$H$6:$H$222, "&gt;="&amp;HG1,'Expenditure Breakdown'!$H$6:$H$222, "&lt;"&amp;HH1)</f>
        <v>0</v>
      </c>
      <c r="HH5" s="200">
        <f>SUMIFS('Expenditure Breakdown'!$G$6:$G$222, 'Expenditure Breakdown'!$H$6:$H$222, "&gt;="&amp;HH1,'Expenditure Breakdown'!$H$6:$H$222, "&lt;"&amp;HI1)</f>
        <v>0</v>
      </c>
      <c r="HI5" s="200">
        <f>SUMIFS('Expenditure Breakdown'!$G$6:$G$222, 'Expenditure Breakdown'!$H$6:$H$222, "&gt;="&amp;HI1,'Expenditure Breakdown'!$H$6:$H$222, "&lt;"&amp;HJ1)</f>
        <v>0</v>
      </c>
      <c r="HJ5" s="200">
        <f>SUMIFS('Expenditure Breakdown'!$G$6:$G$222, 'Expenditure Breakdown'!$H$6:$H$222, "&gt;="&amp;HJ1,'Expenditure Breakdown'!$H$6:$H$222, "&lt;"&amp;HK1)</f>
        <v>0</v>
      </c>
      <c r="HK5" s="200">
        <f>SUMIFS('Expenditure Breakdown'!$G$6:$G$222, 'Expenditure Breakdown'!$H$6:$H$222, "&gt;="&amp;HK1,'Expenditure Breakdown'!$H$6:$H$222, "&lt;"&amp;HL1)</f>
        <v>0</v>
      </c>
      <c r="HL5" s="200">
        <f>SUMIFS('Expenditure Breakdown'!$G$6:$G$222, 'Expenditure Breakdown'!$H$6:$H$222, "&gt;="&amp;HL1,'Expenditure Breakdown'!$H$6:$H$222, "&lt;"&amp;HM1)</f>
        <v>0</v>
      </c>
      <c r="HM5" s="200">
        <f>SUMIFS('Expenditure Breakdown'!$G$6:$G$222, 'Expenditure Breakdown'!$H$6:$H$222, "&gt;="&amp;HM1,'Expenditure Breakdown'!$H$6:$H$222, "&lt;"&amp;HN1)</f>
        <v>0</v>
      </c>
      <c r="HN5" s="200">
        <f>SUMIFS('Expenditure Breakdown'!$G$6:$G$222, 'Expenditure Breakdown'!$H$6:$H$222, "&gt;="&amp;HN1,'Expenditure Breakdown'!$H$6:$H$222, "&lt;"&amp;HO1)</f>
        <v>0</v>
      </c>
      <c r="HO5" s="200">
        <f>SUMIFS('Expenditure Breakdown'!$G$6:$G$222, 'Expenditure Breakdown'!$H$6:$H$222, "&gt;="&amp;HO1,'Expenditure Breakdown'!$H$6:$H$222, "&lt;"&amp;HP1)</f>
        <v>0</v>
      </c>
      <c r="HP5" s="200">
        <f>SUMIFS('Expenditure Breakdown'!$G$6:$G$222, 'Expenditure Breakdown'!$H$6:$H$222, "&gt;="&amp;HP1,'Expenditure Breakdown'!$H$6:$H$222, "&lt;"&amp;HQ1)</f>
        <v>0</v>
      </c>
      <c r="HQ5" s="200">
        <f>SUMIFS('Expenditure Breakdown'!$G$6:$G$222, 'Expenditure Breakdown'!$H$6:$H$222, "&gt;="&amp;HQ1,'Expenditure Breakdown'!$H$6:$H$222, "&lt;"&amp;HR1)</f>
        <v>0</v>
      </c>
      <c r="HR5" s="200">
        <f>SUMIFS('Expenditure Breakdown'!$G$6:$G$222, 'Expenditure Breakdown'!$H$6:$H$222, "&gt;="&amp;HR1,'Expenditure Breakdown'!$H$6:$H$222, "&lt;"&amp;HS1)</f>
        <v>0</v>
      </c>
      <c r="HS5" s="200">
        <f>SUMIFS('Expenditure Breakdown'!$G$6:$G$222, 'Expenditure Breakdown'!$H$6:$H$222, "&gt;="&amp;HS1,'Expenditure Breakdown'!$H$6:$H$222, "&lt;"&amp;HT1)</f>
        <v>0</v>
      </c>
      <c r="HT5" s="200">
        <f>SUMIFS('Expenditure Breakdown'!$G$6:$G$222, 'Expenditure Breakdown'!$H$6:$H$222, "&gt;="&amp;HT1,'Expenditure Breakdown'!$H$6:$H$222, "&lt;"&amp;HU1)</f>
        <v>0</v>
      </c>
      <c r="HU5" s="200">
        <f>SUMIFS('Expenditure Breakdown'!$G$6:$G$222, 'Expenditure Breakdown'!$H$6:$H$222, "&gt;="&amp;HU1,'Expenditure Breakdown'!$H$6:$H$222, "&lt;"&amp;HV1)</f>
        <v>0</v>
      </c>
      <c r="HV5" s="200">
        <f>SUMIFS('Expenditure Breakdown'!$G$6:$G$222, 'Expenditure Breakdown'!$H$6:$H$222, "&gt;="&amp;HV1,'Expenditure Breakdown'!$H$6:$H$222, "&lt;"&amp;HW1)</f>
        <v>0</v>
      </c>
      <c r="HW5" s="200">
        <f>SUMIFS('Expenditure Breakdown'!$G$6:$G$222, 'Expenditure Breakdown'!$H$6:$H$222, "&gt;="&amp;HW1,'Expenditure Breakdown'!$H$6:$H$222, "&lt;"&amp;HX1)</f>
        <v>0</v>
      </c>
      <c r="HX5" s="200">
        <f>SUMIFS('Expenditure Breakdown'!$G$6:$G$222, 'Expenditure Breakdown'!$H$6:$H$222, "&gt;="&amp;HX1,'Expenditure Breakdown'!$H$6:$H$222, "&lt;"&amp;HY1)</f>
        <v>0</v>
      </c>
      <c r="HY5" s="200">
        <f>SUMIFS('Expenditure Breakdown'!$G$6:$G$222, 'Expenditure Breakdown'!$H$6:$H$222, "&gt;="&amp;HY1,'Expenditure Breakdown'!$H$6:$H$222, "&lt;"&amp;HZ1)</f>
        <v>0</v>
      </c>
      <c r="HZ5" s="200">
        <f>SUMIFS('Expenditure Breakdown'!$G$6:$G$222, 'Expenditure Breakdown'!$H$6:$H$222, "&gt;="&amp;HZ1,'Expenditure Breakdown'!$H$6:$H$222, "&lt;"&amp;IA1)</f>
        <v>0</v>
      </c>
      <c r="IA5" s="200">
        <f>SUMIFS('Expenditure Breakdown'!$G$6:$G$222, 'Expenditure Breakdown'!$H$6:$H$222, "&gt;="&amp;IA1,'Expenditure Breakdown'!$H$6:$H$222, "&lt;"&amp;IB1)</f>
        <v>0</v>
      </c>
      <c r="IB5" s="200">
        <f>SUMIFS('Expenditure Breakdown'!$G$6:$G$222, 'Expenditure Breakdown'!$H$6:$H$222, "&gt;="&amp;IB1,'Expenditure Breakdown'!$H$6:$H$222, "&lt;"&amp;IC1)</f>
        <v>0</v>
      </c>
      <c r="IC5" s="200">
        <f>SUMIFS('Expenditure Breakdown'!$G$6:$G$222, 'Expenditure Breakdown'!$H$6:$H$222, "&gt;="&amp;IC1,'Expenditure Breakdown'!$H$6:$H$222, "&lt;"&amp;ID1)</f>
        <v>0</v>
      </c>
      <c r="ID5" s="200">
        <f>SUMIFS('Expenditure Breakdown'!$G$6:$G$222, 'Expenditure Breakdown'!$H$6:$H$222, "&gt;="&amp;ID1,'Expenditure Breakdown'!$H$6:$H$222, "&lt;"&amp;IE1)</f>
        <v>0</v>
      </c>
      <c r="IE5" s="200">
        <f>SUMIFS('Expenditure Breakdown'!$G$6:$G$222, 'Expenditure Breakdown'!$H$6:$H$222, "&gt;="&amp;IE1,'Expenditure Breakdown'!$H$6:$H$222, "&lt;"&amp;IF1)</f>
        <v>0</v>
      </c>
      <c r="IF5" s="200">
        <f>SUMIFS('Expenditure Breakdown'!$G$6:$G$222, 'Expenditure Breakdown'!$H$6:$H$222, "&gt;="&amp;IF1,'Expenditure Breakdown'!$H$6:$H$222, "&lt;"&amp;IG1)</f>
        <v>0</v>
      </c>
      <c r="IG5" s="200">
        <f>SUMIFS('Expenditure Breakdown'!$G$6:$G$222, 'Expenditure Breakdown'!$H$6:$H$222, "&gt;="&amp;IG1,'Expenditure Breakdown'!$H$6:$H$222, "&lt;"&amp;IH1)</f>
        <v>0</v>
      </c>
      <c r="IH5" s="200">
        <f>SUMIFS('Expenditure Breakdown'!$G$6:$G$222, 'Expenditure Breakdown'!$H$6:$H$222, "&gt;="&amp;IH1,'Expenditure Breakdown'!$H$6:$H$222, "&lt;"&amp;II1)</f>
        <v>0</v>
      </c>
      <c r="II5" s="200">
        <f>SUMIFS('Expenditure Breakdown'!$G$6:$G$222, 'Expenditure Breakdown'!$H$6:$H$222, "&gt;="&amp;II1,'Expenditure Breakdown'!$H$6:$H$222, "&lt;"&amp;IJ1)</f>
        <v>0</v>
      </c>
      <c r="IJ5" s="200">
        <f>SUMIFS('Expenditure Breakdown'!$G$6:$G$222, 'Expenditure Breakdown'!$H$6:$H$222, "&gt;="&amp;IJ1,'Expenditure Breakdown'!$H$6:$H$222, "&lt;"&amp;IK1)</f>
        <v>0</v>
      </c>
      <c r="IK5" s="200">
        <f>SUMIFS('Expenditure Breakdown'!$G$6:$G$222, 'Expenditure Breakdown'!$H$6:$H$222, "&gt;="&amp;IK1,'Expenditure Breakdown'!$H$6:$H$222, "&lt;"&amp;IL1)</f>
        <v>0</v>
      </c>
      <c r="IL5" s="200">
        <f>SUMIFS('Expenditure Breakdown'!$G$6:$G$222, 'Expenditure Breakdown'!$H$6:$H$222, "&gt;="&amp;IL1,'Expenditure Breakdown'!$H$6:$H$222, "&lt;"&amp;IM1)</f>
        <v>0</v>
      </c>
      <c r="IM5" s="200">
        <f>SUMIFS('Expenditure Breakdown'!$G$6:$G$222, 'Expenditure Breakdown'!$H$6:$H$222, "&gt;="&amp;IM1,'Expenditure Breakdown'!$H$6:$H$222, "&lt;"&amp;IN1)</f>
        <v>0</v>
      </c>
      <c r="IN5" s="200">
        <f>SUMIFS('Expenditure Breakdown'!$G$6:$G$222, 'Expenditure Breakdown'!$H$6:$H$222, "&gt;="&amp;IN1,'Expenditure Breakdown'!$H$6:$H$222, "&lt;"&amp;IO1)</f>
        <v>0</v>
      </c>
      <c r="IO5" s="200">
        <f>SUMIFS('Expenditure Breakdown'!$G$6:$G$222, 'Expenditure Breakdown'!$H$6:$H$222, "&gt;="&amp;IO1,'Expenditure Breakdown'!$H$6:$H$222, "&lt;"&amp;IP1)</f>
        <v>0</v>
      </c>
      <c r="IP5" s="200">
        <f>SUMIFS('Expenditure Breakdown'!$G$6:$G$222, 'Expenditure Breakdown'!$H$6:$H$222, "&gt;="&amp;IP1,'Expenditure Breakdown'!$H$6:$H$222, "&lt;"&amp;IQ1)</f>
        <v>0</v>
      </c>
      <c r="IQ5" s="200">
        <f>SUMIFS('Expenditure Breakdown'!$G$6:$G$222, 'Expenditure Breakdown'!$H$6:$H$222, "&gt;="&amp;IQ1,'Expenditure Breakdown'!$H$6:$H$222, "&lt;"&amp;IR1)</f>
        <v>0</v>
      </c>
      <c r="IR5" s="200">
        <f>SUMIFS('Expenditure Breakdown'!$G$6:$G$222, 'Expenditure Breakdown'!$H$6:$H$222, "&gt;="&amp;IR1,'Expenditure Breakdown'!$H$6:$H$222, "&lt;"&amp;IS1)</f>
        <v>0</v>
      </c>
      <c r="IS5" s="200">
        <f>SUMIFS('Expenditure Breakdown'!$G$6:$G$222, 'Expenditure Breakdown'!$H$6:$H$222, "&gt;="&amp;IS1,'Expenditure Breakdown'!$H$6:$H$222, "&lt;"&amp;IT1)</f>
        <v>0</v>
      </c>
      <c r="IT5" s="200">
        <f>SUMIFS('Expenditure Breakdown'!$G$6:$G$222, 'Expenditure Breakdown'!$H$6:$H$222, "&gt;="&amp;IT1,'Expenditure Breakdown'!$H$6:$H$222, "&lt;"&amp;IU1)</f>
        <v>0</v>
      </c>
      <c r="IU5" s="200">
        <f>SUMIFS('Expenditure Breakdown'!$G$6:$G$222, 'Expenditure Breakdown'!$H$6:$H$222, "&gt;="&amp;IU1,'Expenditure Breakdown'!$H$6:$H$222, "&lt;"&amp;IV1)</f>
        <v>0</v>
      </c>
      <c r="IV5" s="200">
        <f>SUMIFS('Expenditure Breakdown'!$G$6:$G$222, 'Expenditure Breakdown'!$H$6:$H$222, "&gt;="&amp;IV1,'Expenditure Breakdown'!$H$6:$H$222, "&lt;"&amp;IW1)</f>
        <v>0</v>
      </c>
      <c r="IW5" s="200">
        <f>SUMIFS('Expenditure Breakdown'!$G$6:$G$222, 'Expenditure Breakdown'!$H$6:$H$222, "&gt;="&amp;IW1,'Expenditure Breakdown'!$H$6:$H$222, "&lt;"&amp;IX1)</f>
        <v>0</v>
      </c>
      <c r="IX5" s="200">
        <f>SUMIFS('Expenditure Breakdown'!$G$6:$G$222, 'Expenditure Breakdown'!$H$6:$H$222, "&gt;="&amp;IX1,'Expenditure Breakdown'!$H$6:$H$222, "&lt;"&amp;IY1)</f>
        <v>0</v>
      </c>
      <c r="IY5" s="200">
        <f>SUMIFS('Expenditure Breakdown'!$G$6:$G$222, 'Expenditure Breakdown'!$H$6:$H$222, "&gt;="&amp;IY1,'Expenditure Breakdown'!$H$6:$H$222, "&lt;"&amp;IZ1)</f>
        <v>0</v>
      </c>
      <c r="IZ5" s="200">
        <f>SUMIFS('Expenditure Breakdown'!$G$6:$G$222, 'Expenditure Breakdown'!$H$6:$H$222, "&gt;="&amp;IZ1,'Expenditure Breakdown'!$H$6:$H$222, "&lt;"&amp;JA1)</f>
        <v>0</v>
      </c>
      <c r="JA5" s="200">
        <f>SUMIFS('Expenditure Breakdown'!$G$6:$G$222, 'Expenditure Breakdown'!$H$6:$H$222, "&gt;="&amp;JA1,'Expenditure Breakdown'!$H$6:$H$222, "&lt;"&amp;JB1)</f>
        <v>0</v>
      </c>
      <c r="JB5" s="200">
        <f>SUMIFS('Expenditure Breakdown'!$G$6:$G$222, 'Expenditure Breakdown'!$H$6:$H$222, "&gt;="&amp;JB1,'Expenditure Breakdown'!$H$6:$H$222, "&lt;"&amp;JC1)</f>
        <v>0</v>
      </c>
      <c r="JC5" s="200">
        <f>SUMIFS('Expenditure Breakdown'!$G$6:$G$222, 'Expenditure Breakdown'!$H$6:$H$222, "&gt;="&amp;JC1,'Expenditure Breakdown'!$H$6:$H$222, "&lt;"&amp;JD1)</f>
        <v>0</v>
      </c>
      <c r="JD5" s="200">
        <f>SUMIFS('Expenditure Breakdown'!$G$6:$G$222, 'Expenditure Breakdown'!$H$6:$H$222, "&gt;="&amp;JD1,'Expenditure Breakdown'!$H$6:$H$222, "&lt;"&amp;JE1)</f>
        <v>0</v>
      </c>
      <c r="JE5" s="200">
        <f>SUMIFS('Expenditure Breakdown'!$G$6:$G$222, 'Expenditure Breakdown'!$H$6:$H$222, "&gt;="&amp;JE1,'Expenditure Breakdown'!$H$6:$H$222, "&lt;"&amp;JF1)</f>
        <v>0</v>
      </c>
      <c r="JF5" s="200">
        <f>SUMIFS('Expenditure Breakdown'!$G$6:$G$222, 'Expenditure Breakdown'!$H$6:$H$222, "&gt;="&amp;JF1,'Expenditure Breakdown'!$H$6:$H$222, "&lt;"&amp;JG1)</f>
        <v>0</v>
      </c>
      <c r="JG5" s="200">
        <f>SUMIFS('Expenditure Breakdown'!$G$6:$G$222, 'Expenditure Breakdown'!$H$6:$H$222, "&gt;="&amp;JG1,'Expenditure Breakdown'!$H$6:$H$222, "&lt;"&amp;JH1)</f>
        <v>0</v>
      </c>
      <c r="JH5" s="200">
        <f>SUMIFS('Expenditure Breakdown'!$G$6:$G$222, 'Expenditure Breakdown'!$H$6:$H$222, "&gt;="&amp;JH1,'Expenditure Breakdown'!$H$6:$H$222, "&lt;"&amp;JI1)</f>
        <v>0</v>
      </c>
      <c r="JI5" s="200">
        <f>SUMIFS('Expenditure Breakdown'!$G$6:$G$222, 'Expenditure Breakdown'!$H$6:$H$222, "&gt;="&amp;JI1,'Expenditure Breakdown'!$H$6:$H$222, "&lt;"&amp;JJ1)</f>
        <v>0</v>
      </c>
      <c r="JJ5" s="200">
        <f>SUMIFS('Expenditure Breakdown'!$G$6:$G$222, 'Expenditure Breakdown'!$H$6:$H$222, "&gt;="&amp;JJ1,'Expenditure Breakdown'!$H$6:$H$222, "&lt;"&amp;JK1)</f>
        <v>0</v>
      </c>
      <c r="JK5" s="200">
        <f>SUMIFS('Expenditure Breakdown'!$G$6:$G$222, 'Expenditure Breakdown'!$H$6:$H$222, "&gt;="&amp;JK1,'Expenditure Breakdown'!$H$6:$H$222, "&lt;"&amp;JL1)</f>
        <v>0</v>
      </c>
      <c r="JL5" s="200">
        <f>SUMIFS('Expenditure Breakdown'!$G$6:$G$222, 'Expenditure Breakdown'!$H$6:$H$222, "&gt;="&amp;JL1,'Expenditure Breakdown'!$H$6:$H$222, "&lt;"&amp;JM1)</f>
        <v>0</v>
      </c>
      <c r="JM5" s="200">
        <f>SUMIFS('Expenditure Breakdown'!$G$6:$G$222, 'Expenditure Breakdown'!$H$6:$H$222, "&gt;="&amp;JM1,'Expenditure Breakdown'!$H$6:$H$222, "&lt;"&amp;JN1)</f>
        <v>0</v>
      </c>
      <c r="JN5" s="200">
        <f>SUMIFS('Expenditure Breakdown'!$G$6:$G$222, 'Expenditure Breakdown'!$H$6:$H$222, "&gt;="&amp;JN1,'Expenditure Breakdown'!$H$6:$H$222, "&lt;"&amp;JO1)</f>
        <v>0</v>
      </c>
      <c r="JO5" s="200">
        <f>SUMIFS('Expenditure Breakdown'!$G$6:$G$222, 'Expenditure Breakdown'!$H$6:$H$222, "&gt;="&amp;JO1,'Expenditure Breakdown'!$H$6:$H$222, "&lt;"&amp;JP1)</f>
        <v>0</v>
      </c>
      <c r="JP5" s="200">
        <f>SUMIFS('Expenditure Breakdown'!$G$6:$G$222, 'Expenditure Breakdown'!$H$6:$H$222, "&gt;="&amp;JP1,'Expenditure Breakdown'!$H$6:$H$222, "&lt;"&amp;JQ1)</f>
        <v>0</v>
      </c>
      <c r="JQ5" s="200">
        <f>SUMIFS('Expenditure Breakdown'!$G$6:$G$222, 'Expenditure Breakdown'!$H$6:$H$222, "&gt;="&amp;JQ1,'Expenditure Breakdown'!$H$6:$H$222, "&lt;"&amp;JR1)</f>
        <v>0</v>
      </c>
      <c r="JR5" s="200">
        <f>SUMIFS('Expenditure Breakdown'!$G$6:$G$222, 'Expenditure Breakdown'!$H$6:$H$222, "&gt;="&amp;JR1,'Expenditure Breakdown'!$H$6:$H$222, "&lt;"&amp;JS1)</f>
        <v>0</v>
      </c>
      <c r="JS5" s="200">
        <f>SUMIFS('Expenditure Breakdown'!$G$6:$G$222, 'Expenditure Breakdown'!$H$6:$H$222, "&gt;="&amp;JS1,'Expenditure Breakdown'!$H$6:$H$222, "&lt;"&amp;JT1)</f>
        <v>0</v>
      </c>
      <c r="JT5" s="200">
        <f>SUMIFS('Expenditure Breakdown'!$G$6:$G$222, 'Expenditure Breakdown'!$H$6:$H$222, "&gt;="&amp;JT1,'Expenditure Breakdown'!$H$6:$H$222, "&lt;"&amp;JU1)</f>
        <v>0</v>
      </c>
      <c r="JU5" s="200">
        <f>SUMIFS('Expenditure Breakdown'!$G$6:$G$222, 'Expenditure Breakdown'!$H$6:$H$222, "&gt;="&amp;JU1,'Expenditure Breakdown'!$H$6:$H$222, "&lt;"&amp;JV1)</f>
        <v>0</v>
      </c>
      <c r="JV5" s="200">
        <f>SUMIFS('Expenditure Breakdown'!$G$6:$G$222, 'Expenditure Breakdown'!$H$6:$H$222, "&gt;="&amp;JV1,'Expenditure Breakdown'!$H$6:$H$222, "&lt;"&amp;JW1)</f>
        <v>0</v>
      </c>
      <c r="JW5" s="200">
        <f>SUMIFS('Expenditure Breakdown'!$G$6:$G$222, 'Expenditure Breakdown'!$H$6:$H$222, "&gt;="&amp;JW1,'Expenditure Breakdown'!$H$6:$H$222, "&lt;"&amp;JX1)</f>
        <v>0</v>
      </c>
      <c r="JX5" s="200">
        <f>SUMIFS('Expenditure Breakdown'!$G$6:$G$222, 'Expenditure Breakdown'!$H$6:$H$222, "&gt;="&amp;JX1,'Expenditure Breakdown'!$H$6:$H$222, "&lt;"&amp;JY1)</f>
        <v>0</v>
      </c>
      <c r="JY5" s="200">
        <f>SUMIFS('Expenditure Breakdown'!$G$6:$G$222, 'Expenditure Breakdown'!$H$6:$H$222, "&gt;="&amp;JY1,'Expenditure Breakdown'!$H$6:$H$222, "&lt;"&amp;JZ1)</f>
        <v>0</v>
      </c>
      <c r="JZ5" s="200">
        <f>SUMIFS('Expenditure Breakdown'!$G$6:$G$222, 'Expenditure Breakdown'!$H$6:$H$222, "&gt;="&amp;JZ1,'Expenditure Breakdown'!$H$6:$H$222, "&lt;"&amp;KA1)</f>
        <v>0</v>
      </c>
      <c r="KA5" s="200">
        <f>SUMIFS('Expenditure Breakdown'!$G$6:$G$222, 'Expenditure Breakdown'!$H$6:$H$222, "&gt;="&amp;KA1,'Expenditure Breakdown'!$H$6:$H$222, "&lt;"&amp;KB1)</f>
        <v>0</v>
      </c>
      <c r="KB5" s="200">
        <f>SUMIFS('Expenditure Breakdown'!$G$6:$G$222, 'Expenditure Breakdown'!$H$6:$H$222, "&gt;="&amp;KB1,'Expenditure Breakdown'!$H$6:$H$222, "&lt;"&amp;KC1)</f>
        <v>0</v>
      </c>
      <c r="KC5" s="200">
        <f>SUMIFS('Expenditure Breakdown'!$G$6:$G$222, 'Expenditure Breakdown'!$H$6:$H$222, "&gt;="&amp;KC1,'Expenditure Breakdown'!$H$6:$H$222, "&lt;"&amp;KD1)</f>
        <v>0</v>
      </c>
      <c r="KD5" s="200">
        <f>SUMIFS('Expenditure Breakdown'!$G$6:$G$222, 'Expenditure Breakdown'!$H$6:$H$222, "&gt;="&amp;KD1,'Expenditure Breakdown'!$H$6:$H$222, "&lt;"&amp;KE1)</f>
        <v>0</v>
      </c>
      <c r="KE5" s="200">
        <f>SUMIFS('Expenditure Breakdown'!$G$6:$G$222, 'Expenditure Breakdown'!$H$6:$H$222, "&gt;="&amp;KE1,'Expenditure Breakdown'!$H$6:$H$222, "&lt;"&amp;KF1)</f>
        <v>0</v>
      </c>
      <c r="KF5" s="200">
        <f>SUMIFS('Expenditure Breakdown'!$G$6:$G$222, 'Expenditure Breakdown'!$H$6:$H$222, "&gt;="&amp;KF1,'Expenditure Breakdown'!$H$6:$H$222, "&lt;"&amp;KG1)</f>
        <v>0</v>
      </c>
      <c r="KG5" s="200">
        <f>SUMIFS('Expenditure Breakdown'!$G$6:$G$222, 'Expenditure Breakdown'!$H$6:$H$222, "&gt;="&amp;KG1,'Expenditure Breakdown'!$H$6:$H$222, "&lt;"&amp;KH1)</f>
        <v>0</v>
      </c>
      <c r="KH5" s="200">
        <f>SUMIFS('Expenditure Breakdown'!$G$6:$G$222, 'Expenditure Breakdown'!$H$6:$H$222, "&gt;="&amp;KH1,'Expenditure Breakdown'!$H$6:$H$222, "&lt;"&amp;KI1)</f>
        <v>0</v>
      </c>
      <c r="KI5" s="200">
        <f>SUMIFS('Expenditure Breakdown'!$G$6:$G$222, 'Expenditure Breakdown'!$H$6:$H$222, "&gt;="&amp;KI1,'Expenditure Breakdown'!$H$6:$H$222, "&lt;"&amp;KJ1)</f>
        <v>0</v>
      </c>
      <c r="KJ5" s="200">
        <f>SUMIFS('Expenditure Breakdown'!$G$6:$G$222, 'Expenditure Breakdown'!$H$6:$H$222, "&gt;="&amp;KJ1,'Expenditure Breakdown'!$H$6:$H$222, "&lt;"&amp;KK1)</f>
        <v>0</v>
      </c>
      <c r="KK5" s="200">
        <f>SUMIFS('Expenditure Breakdown'!$G$6:$G$222, 'Expenditure Breakdown'!$H$6:$H$222, "&gt;="&amp;KK1,'Expenditure Breakdown'!$H$6:$H$222, "&lt;"&amp;KL1)</f>
        <v>0</v>
      </c>
      <c r="KL5" s="200">
        <f>SUMIFS('Expenditure Breakdown'!$G$6:$G$222, 'Expenditure Breakdown'!$H$6:$H$222, "&gt;="&amp;KL1,'Expenditure Breakdown'!$H$6:$H$222, "&lt;"&amp;KM1)</f>
        <v>0</v>
      </c>
      <c r="KM5" s="200">
        <f>SUMIFS('Expenditure Breakdown'!$G$6:$G$222, 'Expenditure Breakdown'!$H$6:$H$222, "&gt;="&amp;KM1,'Expenditure Breakdown'!$H$6:$H$222, "&lt;"&amp;KN1)</f>
        <v>0</v>
      </c>
      <c r="KN5" s="200">
        <f>SUMIFS('Expenditure Breakdown'!$G$6:$G$222, 'Expenditure Breakdown'!$H$6:$H$222, "&gt;="&amp;KN1,'Expenditure Breakdown'!$H$6:$H$222, "&lt;"&amp;KO1)</f>
        <v>0</v>
      </c>
      <c r="KO5" s="200">
        <f>SUMIFS('Expenditure Breakdown'!$G$6:$G$222, 'Expenditure Breakdown'!$H$6:$H$222, "&gt;="&amp;KO1,'Expenditure Breakdown'!$H$6:$H$222, "&lt;"&amp;KP1)</f>
        <v>0</v>
      </c>
      <c r="KP5" s="200">
        <f>SUMIFS('Expenditure Breakdown'!$G$6:$G$222, 'Expenditure Breakdown'!$H$6:$H$222, "&gt;="&amp;KP1,'Expenditure Breakdown'!$H$6:$H$222, "&lt;"&amp;KQ1)</f>
        <v>0</v>
      </c>
      <c r="KQ5" s="200">
        <f>SUMIFS('Expenditure Breakdown'!$G$6:$G$222, 'Expenditure Breakdown'!$H$6:$H$222, "&gt;="&amp;KQ1,'Expenditure Breakdown'!$H$6:$H$222, "&lt;"&amp;KR1)</f>
        <v>0</v>
      </c>
      <c r="KR5" s="200">
        <f>SUMIFS('Expenditure Breakdown'!$G$6:$G$222, 'Expenditure Breakdown'!$H$6:$H$222, "&gt;="&amp;KR1,'Expenditure Breakdown'!$H$6:$H$222, "&lt;"&amp;KS1)</f>
        <v>0</v>
      </c>
      <c r="KS5" s="200">
        <f>SUMIFS('Expenditure Breakdown'!$G$6:$G$222, 'Expenditure Breakdown'!$H$6:$H$222, "&gt;="&amp;KS1,'Expenditure Breakdown'!$H$6:$H$222, "&lt;"&amp;KT1)</f>
        <v>0</v>
      </c>
      <c r="KT5" s="200">
        <f>SUMIFS('Expenditure Breakdown'!$G$6:$G$222, 'Expenditure Breakdown'!$H$6:$H$222, "&gt;="&amp;KT1,'Expenditure Breakdown'!$H$6:$H$222, "&lt;"&amp;KU1)</f>
        <v>0</v>
      </c>
      <c r="KU5" s="200">
        <f>SUMIFS('Expenditure Breakdown'!$G$6:$G$222, 'Expenditure Breakdown'!$H$6:$H$222, "&gt;="&amp;KU1,'Expenditure Breakdown'!$H$6:$H$222, "&lt;"&amp;KV1)</f>
        <v>0</v>
      </c>
      <c r="KV5" s="200">
        <f>SUMIFS('Expenditure Breakdown'!$G$6:$G$222, 'Expenditure Breakdown'!$H$6:$H$222, "&gt;="&amp;KV1,'Expenditure Breakdown'!$H$6:$H$222, "&lt;"&amp;KW1)</f>
        <v>0</v>
      </c>
      <c r="KW5" s="200">
        <f>SUMIFS('Expenditure Breakdown'!$G$6:$G$222, 'Expenditure Breakdown'!$H$6:$H$222, "&gt;="&amp;KW1,'Expenditure Breakdown'!$H$6:$H$222, "&lt;"&amp;KX1)</f>
        <v>0</v>
      </c>
      <c r="KX5" s="200">
        <f>SUMIFS('Expenditure Breakdown'!$G$6:$G$222, 'Expenditure Breakdown'!$H$6:$H$222, "&gt;="&amp;KX1,'Expenditure Breakdown'!$H$6:$H$222, "&lt;"&amp;KY1)</f>
        <v>0</v>
      </c>
      <c r="KY5" s="200">
        <f>SUMIFS('Expenditure Breakdown'!$G$6:$G$222, 'Expenditure Breakdown'!$H$6:$H$222, "&gt;="&amp;KY1,'Expenditure Breakdown'!$H$6:$H$222, "&lt;"&amp;KZ1)</f>
        <v>0</v>
      </c>
      <c r="KZ5" s="200">
        <f>SUMIFS('Expenditure Breakdown'!$G$6:$G$222, 'Expenditure Breakdown'!$H$6:$H$222, "&gt;="&amp;KZ1,'Expenditure Breakdown'!$H$6:$H$222, "&lt;"&amp;LA1)</f>
        <v>0</v>
      </c>
      <c r="LA5" s="200">
        <f>SUMIFS('Expenditure Breakdown'!$G$6:$G$222, 'Expenditure Breakdown'!$H$6:$H$222, "&gt;="&amp;LA1,'Expenditure Breakdown'!$H$6:$H$222, "&lt;"&amp;LB1)</f>
        <v>0</v>
      </c>
      <c r="LB5" s="200">
        <f>SUMIFS('Expenditure Breakdown'!$G$6:$G$222, 'Expenditure Breakdown'!$H$6:$H$222, "&gt;="&amp;LB1,'Expenditure Breakdown'!$H$6:$H$222, "&lt;"&amp;LC1)</f>
        <v>0</v>
      </c>
      <c r="LC5" s="200">
        <f>SUMIFS('Expenditure Breakdown'!$G$6:$G$222, 'Expenditure Breakdown'!$H$6:$H$222, "&gt;="&amp;LC1,'Expenditure Breakdown'!$H$6:$H$222, "&lt;"&amp;LD1)</f>
        <v>0</v>
      </c>
      <c r="LD5" s="200">
        <f>SUMIFS('Expenditure Breakdown'!$G$6:$G$222, 'Expenditure Breakdown'!$H$6:$H$222, "&gt;="&amp;LD1,'Expenditure Breakdown'!$H$6:$H$222, "&lt;"&amp;#REF!)</f>
        <v>0</v>
      </c>
      <c r="LE5" s="190"/>
      <c r="LF5" s="201"/>
      <c r="LG5" s="201"/>
    </row>
    <row r="6" spans="1:794" s="202" customFormat="1">
      <c r="A6" s="846"/>
      <c r="B6" s="198" t="s">
        <v>586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6"/>
      <c r="B7" s="203" t="s">
        <v>587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5" t="s">
        <v>75</v>
      </c>
      <c r="B8" s="191"/>
      <c r="C8" s="192" t="s">
        <v>305</v>
      </c>
      <c r="D8" s="192" t="s">
        <v>305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6"/>
      <c r="B9" s="208" t="s">
        <v>588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6"/>
      <c r="B10" s="208" t="s">
        <v>589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6"/>
      <c r="B11" s="211" t="s">
        <v>590</v>
      </c>
      <c r="C11" s="212">
        <f>'Revenue Tracking'!F5</f>
        <v>8234669.3139130436</v>
      </c>
      <c r="D11" s="212">
        <f>SUM(F11:LD11)</f>
        <v>8234669.3139130436</v>
      </c>
      <c r="E11" s="196"/>
      <c r="F11" s="213">
        <f>SUMIFS('Expenditure Breakdown'!$Q$6:$Q$225, 'Expenditure Breakdown'!$W$6:$W$225, "&gt;="&amp;F1,'Expenditure Breakdown'!$W$6:$W$225, "&lt;"&amp;G1)</f>
        <v>0</v>
      </c>
      <c r="G11" s="213">
        <f>SUMIFS('Expenditure Breakdown'!$Q$6:$Q$225, 'Expenditure Breakdown'!$W$6:$W$225, "&gt;="&amp;G1,'Expenditure Breakdown'!$W$6:$W$225, "&lt;"&amp;H1)</f>
        <v>0</v>
      </c>
      <c r="H11" s="213">
        <f>SUMIFS('Expenditure Breakdown'!$Q$6:$Q$225, 'Expenditure Breakdown'!$W$6:$W$225, "&gt;="&amp;H1,'Expenditure Breakdown'!$W$6:$W$225, "&lt;"&amp;I1)</f>
        <v>0</v>
      </c>
      <c r="I11" s="213">
        <f>SUMIFS('Expenditure Breakdown'!$Q$6:$Q$225, 'Expenditure Breakdown'!$W$6:$W$225, "&gt;="&amp;I1,'Expenditure Breakdown'!$W$6:$W$225, "&lt;"&amp;J1)</f>
        <v>0</v>
      </c>
      <c r="J11" s="213">
        <f>SUMIFS('Expenditure Breakdown'!$Q$6:$Q$225, 'Expenditure Breakdown'!$W$6:$W$225, "&gt;="&amp;J1,'Expenditure Breakdown'!$W$6:$W$225, "&lt;"&amp;K1)</f>
        <v>0</v>
      </c>
      <c r="K11" s="213">
        <f>SUMIFS('Expenditure Breakdown'!$Q$6:$Q$225, 'Expenditure Breakdown'!$W$6:$W$225, "&gt;="&amp;K1,'Expenditure Breakdown'!$W$6:$W$225, "&lt;"&amp;L1)</f>
        <v>0</v>
      </c>
      <c r="L11" s="213">
        <f>SUMIFS('Expenditure Breakdown'!$Q$6:$Q$225, 'Expenditure Breakdown'!$W$6:$W$225, "&gt;="&amp;L1,'Expenditure Breakdown'!$W$6:$W$225, "&lt;"&amp;M1)</f>
        <v>0</v>
      </c>
      <c r="M11" s="213">
        <f>SUMIFS('Expenditure Breakdown'!$Q$6:$Q$225, 'Expenditure Breakdown'!$W$6:$W$225, "&gt;="&amp;M1,'Expenditure Breakdown'!$W$6:$W$225, "&lt;"&amp;N1)</f>
        <v>0</v>
      </c>
      <c r="N11" s="213">
        <f>SUMIFS('Expenditure Breakdown'!$Q$6:$Q$225, 'Expenditure Breakdown'!$W$6:$W$225, "&gt;="&amp;N1,'Expenditure Breakdown'!$W$6:$W$225, "&lt;"&amp;O1)</f>
        <v>0</v>
      </c>
      <c r="O11" s="213">
        <f>SUMIFS('Expenditure Breakdown'!$Q$6:$Q$225, 'Expenditure Breakdown'!$W$6:$W$225, "&gt;="&amp;O1,'Expenditure Breakdown'!$W$6:$W$225, "&lt;"&amp;P1)</f>
        <v>0</v>
      </c>
      <c r="P11" s="213">
        <f>SUMIFS('Expenditure Breakdown'!$Q$6:$Q$225, 'Expenditure Breakdown'!$W$6:$W$225, "&gt;="&amp;P1,'Expenditure Breakdown'!$W$6:$W$225, "&lt;"&amp;Q1)</f>
        <v>0</v>
      </c>
      <c r="Q11" s="213">
        <f>SUMIFS('Expenditure Breakdown'!$Q$6:$Q$225, 'Expenditure Breakdown'!$W$6:$W$225, "&gt;="&amp;Q1,'Expenditure Breakdown'!$W$6:$W$225, "&lt;"&amp;R1)</f>
        <v>0</v>
      </c>
      <c r="R11" s="213">
        <f>SUMIFS('Expenditure Breakdown'!$Q$6:$Q$225, 'Expenditure Breakdown'!$W$6:$W$225, "&gt;="&amp;R1,'Expenditure Breakdown'!$W$6:$W$225, "&lt;"&amp;S1)</f>
        <v>0</v>
      </c>
      <c r="S11" s="213">
        <f>SUMIFS('Expenditure Breakdown'!$Q$6:$Q$225, 'Expenditure Breakdown'!$W$6:$W$225, "&gt;="&amp;S1,'Expenditure Breakdown'!$W$6:$W$225, "&lt;"&amp;T1)</f>
        <v>0</v>
      </c>
      <c r="T11" s="213">
        <f>SUMIFS('Expenditure Breakdown'!$Q$6:$Q$225, 'Expenditure Breakdown'!$W$6:$W$225, "&gt;="&amp;T1,'Expenditure Breakdown'!$W$6:$W$225, "&lt;"&amp;U1)</f>
        <v>0</v>
      </c>
      <c r="U11" s="213">
        <f>SUMIFS('Expenditure Breakdown'!$Q$6:$Q$225, 'Expenditure Breakdown'!$W$6:$W$225, "&gt;="&amp;U1,'Expenditure Breakdown'!$W$6:$W$225, "&lt;"&amp;V1)</f>
        <v>0</v>
      </c>
      <c r="V11" s="213">
        <f>SUMIFS('Expenditure Breakdown'!$Q$6:$Q$225, 'Expenditure Breakdown'!$W$6:$W$225, "&gt;="&amp;V1,'Expenditure Breakdown'!$W$6:$W$225, "&lt;"&amp;W1)</f>
        <v>0</v>
      </c>
      <c r="W11" s="213">
        <f>SUMIFS('Expenditure Breakdown'!$Q$6:$Q$225, 'Expenditure Breakdown'!$W$6:$W$225, "&gt;="&amp;W1,'Expenditure Breakdown'!$W$6:$W$225, "&lt;"&amp;X1)</f>
        <v>0</v>
      </c>
      <c r="X11" s="213">
        <f>SUMIFS('Expenditure Breakdown'!$Q$6:$Q$225, 'Expenditure Breakdown'!$W$6:$W$225, "&gt;="&amp;X1,'Expenditure Breakdown'!$W$6:$W$225, "&lt;"&amp;Y1)</f>
        <v>0</v>
      </c>
      <c r="Y11" s="213">
        <f>SUMIFS('Expenditure Breakdown'!$Q$6:$Q$225, 'Expenditure Breakdown'!$W$6:$W$225, "&gt;="&amp;Y1,'Expenditure Breakdown'!$W$6:$W$225, "&lt;"&amp;Z1)</f>
        <v>0</v>
      </c>
      <c r="Z11" s="213">
        <f>SUMIFS('Expenditure Breakdown'!$Q$6:$Q$225, 'Expenditure Breakdown'!$W$6:$W$225, "&gt;="&amp;Z1,'Expenditure Breakdown'!$W$6:$W$225, "&lt;"&amp;AA1)</f>
        <v>0</v>
      </c>
      <c r="AA11" s="213">
        <f>SUMIFS('Expenditure Breakdown'!$Q$6:$Q$225, 'Expenditure Breakdown'!$W$6:$W$225, "&gt;="&amp;AA1,'Expenditure Breakdown'!$W$6:$W$225, "&lt;"&amp;AB1)</f>
        <v>0</v>
      </c>
      <c r="AB11" s="213">
        <f>SUMIFS('Expenditure Breakdown'!$Q$6:$Q$225, 'Expenditure Breakdown'!$W$6:$W$225, "&gt;="&amp;AB1,'Expenditure Breakdown'!$W$6:$W$225, "&lt;"&amp;AC1)</f>
        <v>6100</v>
      </c>
      <c r="AC11" s="213">
        <f>SUMIFS('Expenditure Breakdown'!$Q$6:$Q$225, 'Expenditure Breakdown'!$W$6:$W$225, "&gt;="&amp;AC1,'Expenditure Breakdown'!$W$6:$W$225, "&lt;"&amp;AD1)</f>
        <v>15618.96</v>
      </c>
      <c r="AD11" s="213">
        <f>SUMIFS('Expenditure Breakdown'!$Q$6:$Q$225, 'Expenditure Breakdown'!$W$6:$W$225, "&gt;="&amp;AD1,'Expenditure Breakdown'!$W$6:$W$225, "&lt;"&amp;AE1)</f>
        <v>0</v>
      </c>
      <c r="AE11" s="213">
        <f>SUMIFS('Expenditure Breakdown'!$Q$6:$Q$225, 'Expenditure Breakdown'!$W$6:$W$225, "&gt;="&amp;AE1,'Expenditure Breakdown'!$W$6:$W$225, "&lt;"&amp;AF1)</f>
        <v>0</v>
      </c>
      <c r="AF11" s="213">
        <f>SUMIFS('Expenditure Breakdown'!$Q$6:$Q$225, 'Expenditure Breakdown'!$W$6:$W$225, "&gt;="&amp;AF1,'Expenditure Breakdown'!$W$6:$W$225, "&lt;"&amp;AG1)</f>
        <v>0</v>
      </c>
      <c r="AG11" s="213">
        <f>SUMIFS('Expenditure Breakdown'!$Q$6:$Q$225, 'Expenditure Breakdown'!$W$6:$W$225, "&gt;="&amp;AG1,'Expenditure Breakdown'!$W$6:$W$225, "&lt;"&amp;AH1)</f>
        <v>751902.61999999988</v>
      </c>
      <c r="AH11" s="213">
        <f>SUMIFS('Expenditure Breakdown'!$Q$6:$Q$225, 'Expenditure Breakdown'!$W$6:$W$225, "&gt;="&amp;AH1,'Expenditure Breakdown'!$W$6:$W$225, "&lt;"&amp;AI1)</f>
        <v>15594.36</v>
      </c>
      <c r="AI11" s="213">
        <f>SUMIFS('Expenditure Breakdown'!$Q$6:$Q$225, 'Expenditure Breakdown'!$W$6:$W$225, "&gt;="&amp;AI1,'Expenditure Breakdown'!$W$6:$W$225, "&lt;"&amp;AJ1)</f>
        <v>239023.88200000004</v>
      </c>
      <c r="AJ11" s="213">
        <f>SUMIFS('Expenditure Breakdown'!$Q$6:$Q$225, 'Expenditure Breakdown'!$W$6:$W$225, "&gt;="&amp;AJ1,'Expenditure Breakdown'!$W$6:$W$225, "&lt;"&amp;AK1)</f>
        <v>203300</v>
      </c>
      <c r="AK11" s="213">
        <f>SUMIFS('Expenditure Breakdown'!$Q$6:$Q$225, 'Expenditure Breakdown'!$W$6:$W$225, "&gt;="&amp;AK1,'Expenditure Breakdown'!$W$6:$W$225, "&lt;"&amp;AL1)</f>
        <v>3181855.3230000003</v>
      </c>
      <c r="AL11" s="213">
        <f>SUMIFS('Expenditure Breakdown'!$Q$6:$Q$225, 'Expenditure Breakdown'!$W$6:$W$225, "&gt;="&amp;AL1,'Expenditure Breakdown'!$W$6:$W$225, "&lt;"&amp;AM1)</f>
        <v>1293209.1600000001</v>
      </c>
      <c r="AM11" s="213">
        <f>SUMIFS('Expenditure Breakdown'!$Q$6:$Q$225, 'Expenditure Breakdown'!$W$6:$W$225, "&gt;="&amp;AM1,'Expenditure Breakdown'!$W$6:$W$225, "&lt;"&amp;AN1)</f>
        <v>0</v>
      </c>
      <c r="AN11" s="213">
        <f>SUMIFS('Expenditure Breakdown'!$Q$6:$Q$225, 'Expenditure Breakdown'!$W$6:$W$225, "&gt;="&amp;AN1,'Expenditure Breakdown'!$W$6:$W$225, "&lt;"&amp;AO1)</f>
        <v>0</v>
      </c>
      <c r="AO11" s="213">
        <f>SUMIFS('Expenditure Breakdown'!$Q$6:$Q$225, 'Expenditure Breakdown'!$W$6:$W$225, "&gt;="&amp;AO1,'Expenditure Breakdown'!$W$6:$W$225, "&lt;"&amp;AP1)</f>
        <v>0</v>
      </c>
      <c r="AP11" s="213">
        <f>SUMIFS('Expenditure Breakdown'!$Q$6:$Q$225, 'Expenditure Breakdown'!$W$6:$W$225, "&gt;="&amp;AP1,'Expenditure Breakdown'!$W$6:$W$225, "&lt;"&amp;AQ1)</f>
        <v>58737.5</v>
      </c>
      <c r="AQ11" s="213">
        <f>SUMIFS('Expenditure Breakdown'!$Q$6:$Q$225, 'Expenditure Breakdown'!$W$6:$W$225, "&gt;="&amp;AQ1,'Expenditure Breakdown'!$W$6:$W$225, "&lt;"&amp;AR1)</f>
        <v>29735.82</v>
      </c>
      <c r="AR11" s="213">
        <f>SUMIFS('Expenditure Breakdown'!$Q$6:$Q$225, 'Expenditure Breakdown'!$W$6:$W$225, "&gt;="&amp;AR1,'Expenditure Breakdown'!$W$6:$W$225, "&lt;"&amp;AS1)</f>
        <v>1104038.7490000001</v>
      </c>
      <c r="AS11" s="213">
        <f>SUMIFS('Expenditure Breakdown'!$Q$6:$Q$225, 'Expenditure Breakdown'!$W$6:$W$225, "&gt;="&amp;AS1,'Expenditure Breakdown'!$W$6:$W$225, "&lt;"&amp;AT1)</f>
        <v>0</v>
      </c>
      <c r="AT11" s="213">
        <f>SUMIFS('Expenditure Breakdown'!$Q$6:$Q$225, 'Expenditure Breakdown'!$W$6:$W$225, "&gt;="&amp;AT1,'Expenditure Breakdown'!$W$6:$W$225, "&lt;"&amp;AU1)</f>
        <v>-119718.26000000001</v>
      </c>
      <c r="AU11" s="213">
        <f>SUMIFS('Expenditure Breakdown'!$Q$6:$Q$225, 'Expenditure Breakdown'!$W$6:$W$225, "&gt;="&amp;AU1,'Expenditure Breakdown'!$W$6:$W$225, "&lt;"&amp;AV1)</f>
        <v>175286.58000000002</v>
      </c>
      <c r="AV11" s="213">
        <f>SUMIFS('Expenditure Breakdown'!$Q$6:$Q$225, 'Expenditure Breakdown'!$W$6:$W$225, "&gt;="&amp;AV1,'Expenditure Breakdown'!$W$6:$W$225, "&lt;"&amp;AW1)</f>
        <v>31519</v>
      </c>
      <c r="AW11" s="213">
        <f>SUMIFS('Expenditure Breakdown'!$Q$6:$Q$225, 'Expenditure Breakdown'!$W$6:$W$225, "&gt;="&amp;AW1,'Expenditure Breakdown'!$W$6:$W$225, "&lt;"&amp;AX1)</f>
        <v>13729.25</v>
      </c>
      <c r="AX11" s="213">
        <f>SUMIFS('Expenditure Breakdown'!$Q$6:$Q$225, 'Expenditure Breakdown'!$W$6:$W$225, "&gt;="&amp;AX1,'Expenditure Breakdown'!$W$6:$W$225, "&lt;"&amp;AY1)</f>
        <v>445620.13199999998</v>
      </c>
      <c r="AY11" s="213">
        <f>SUMIFS('Expenditure Breakdown'!$Q$6:$Q$225, 'Expenditure Breakdown'!$W$6:$W$225, "&gt;="&amp;AY1,'Expenditure Breakdown'!$W$6:$W$225, "&lt;"&amp;AZ1)</f>
        <v>364605.82299999997</v>
      </c>
      <c r="AZ11" s="213">
        <f>SUMIFS('Expenditure Breakdown'!$Q$6:$Q$225, 'Expenditure Breakdown'!$W$6:$W$225, "&gt;="&amp;AZ1,'Expenditure Breakdown'!$W$6:$W$225, "&lt;"&amp;BA1)</f>
        <v>0</v>
      </c>
      <c r="BA11" s="213">
        <f>SUMIFS('Expenditure Breakdown'!$Q$6:$Q$225, 'Expenditure Breakdown'!$W$6:$W$225, "&gt;="&amp;BA1,'Expenditure Breakdown'!$W$6:$W$225, "&lt;"&amp;BB1)</f>
        <v>13151</v>
      </c>
      <c r="BB11" s="213">
        <f>SUMIFS('Expenditure Breakdown'!$Q$6:$Q$225, 'Expenditure Breakdown'!$W$6:$W$225, "&gt;="&amp;BB1,'Expenditure Breakdown'!$W$6:$W$225, "&lt;"&amp;BC1)</f>
        <v>119511.94100000002</v>
      </c>
      <c r="BC11" s="213">
        <f>SUMIFS('Expenditure Breakdown'!$Q$6:$Q$225, 'Expenditure Breakdown'!$W$6:$W$225, "&gt;="&amp;BC1,'Expenditure Breakdown'!$W$6:$W$225, "&lt;"&amp;BD1)</f>
        <v>1646.04</v>
      </c>
      <c r="BD11" s="213">
        <f>SUMIFS('Expenditure Breakdown'!$Q$6:$Q$225, 'Expenditure Breakdown'!$W$6:$W$225, "&gt;="&amp;BD1,'Expenditure Breakdown'!$W$6:$W$225, "&lt;"&amp;BE1)</f>
        <v>-276.24</v>
      </c>
      <c r="BE11" s="213">
        <f>SUMIFS('Expenditure Breakdown'!$Q$6:$Q$225, 'Expenditure Breakdown'!$W$6:$W$225, "&gt;="&amp;BE1,'Expenditure Breakdown'!$W$6:$W$225, "&lt;"&amp;BF1)</f>
        <v>61237.8</v>
      </c>
      <c r="BF11" s="213">
        <f>SUMIFS('Expenditure Breakdown'!$Q$6:$Q$225, 'Expenditure Breakdown'!$W$6:$W$225, "&gt;="&amp;BF1,'Expenditure Breakdown'!$W$6:$W$225, "&lt;"&amp;BG1)</f>
        <v>0</v>
      </c>
      <c r="BG11" s="213">
        <f>SUMIFS('Expenditure Breakdown'!$Q$6:$Q$225, 'Expenditure Breakdown'!$W$6:$W$225, "&gt;="&amp;BG1,'Expenditure Breakdown'!$W$6:$W$225, "&lt;"&amp;BH1)</f>
        <v>90585.35</v>
      </c>
      <c r="BH11" s="213">
        <f>SUMIFS('Expenditure Breakdown'!$Q$6:$Q$225, 'Expenditure Breakdown'!$W$6:$W$225, "&gt;="&amp;BH1,'Expenditure Breakdown'!$W$6:$W$225, "&lt;"&amp;BI1)</f>
        <v>637.84</v>
      </c>
      <c r="BI11" s="213">
        <f>SUMIFS('Expenditure Breakdown'!$Q$6:$Q$225, 'Expenditure Breakdown'!$W$6:$W$225, "&gt;="&amp;BI1,'Expenditure Breakdown'!$W$6:$W$225, "&lt;"&amp;BJ1)</f>
        <v>0</v>
      </c>
      <c r="BJ11" s="213">
        <f>SUMIFS('Expenditure Breakdown'!$Q$6:$Q$225, 'Expenditure Breakdown'!$W$6:$W$225, "&gt;="&amp;BJ1,'Expenditure Breakdown'!$W$6:$W$225, "&lt;"&amp;BK1)</f>
        <v>71682.973913043475</v>
      </c>
      <c r="BK11" s="213">
        <f>SUMIFS('Expenditure Breakdown'!$Q$6:$Q$225, 'Expenditure Breakdown'!$W$6:$W$225, "&gt;="&amp;BK1,'Expenditure Breakdown'!$W$6:$W$225, "&lt;"&amp;BL1)</f>
        <v>65683.709999999992</v>
      </c>
      <c r="BL11" s="213">
        <f>SUMIFS('Expenditure Breakdown'!$Q$6:$Q$225, 'Expenditure Breakdown'!$W$6:$W$225, "&gt;="&amp;BL1,'Expenditure Breakdown'!$W$6:$W$225, "&lt;"&amp;BM1)</f>
        <v>650</v>
      </c>
      <c r="BM11" s="213">
        <f>SUMIFS('Expenditure Breakdown'!$Q$6:$Q$225, 'Expenditure Breakdown'!$W$6:$W$225, "&gt;="&amp;BM1,'Expenditure Breakdown'!$W$6:$W$225, "&lt;"&amp;BN1)</f>
        <v>0</v>
      </c>
      <c r="BN11" s="213">
        <f>SUMIFS('Expenditure Breakdown'!$Q$6:$Q$225, 'Expenditure Breakdown'!$W$6:$W$225, "&gt;="&amp;BN1,'Expenditure Breakdown'!$W$6:$W$225, "&lt;"&amp;BO1)</f>
        <v>0</v>
      </c>
      <c r="BO11" s="213">
        <f>SUMIFS('Expenditure Breakdown'!$Q$6:$Q$225, 'Expenditure Breakdown'!$W$6:$W$225, "&gt;="&amp;BO1,'Expenditure Breakdown'!$W$6:$W$225, "&lt;"&amp;BP1)</f>
        <v>0</v>
      </c>
      <c r="BP11" s="213">
        <f>SUMIFS('Expenditure Breakdown'!$Q$6:$Q$225, 'Expenditure Breakdown'!$W$6:$W$225, "&gt;="&amp;BP1,'Expenditure Breakdown'!$W$6:$W$225, "&lt;"&amp;BQ1)</f>
        <v>0</v>
      </c>
      <c r="BQ11" s="213">
        <f>SUMIFS('Expenditure Breakdown'!$Q$6:$Q$225, 'Expenditure Breakdown'!$W$6:$W$225, "&gt;="&amp;BQ1,'Expenditure Breakdown'!$W$6:$W$225, "&lt;"&amp;BR1)</f>
        <v>0</v>
      </c>
      <c r="BR11" s="213">
        <f>SUMIFS('Expenditure Breakdown'!$Q$6:$Q$225, 'Expenditure Breakdown'!$W$6:$W$225, "&gt;="&amp;BR1,'Expenditure Breakdown'!$W$6:$W$225, "&lt;"&amp;BS1)</f>
        <v>0</v>
      </c>
      <c r="BS11" s="213">
        <f>SUMIFS('Expenditure Breakdown'!$Q$6:$Q$225, 'Expenditure Breakdown'!$W$6:$W$225, "&gt;="&amp;BS1,'Expenditure Breakdown'!$W$6:$W$225, "&lt;"&amp;BT1)</f>
        <v>0</v>
      </c>
      <c r="BT11" s="213">
        <f>SUMIFS('Expenditure Breakdown'!$Q$6:$Q$225, 'Expenditure Breakdown'!$W$6:$W$225, "&gt;="&amp;BT1,'Expenditure Breakdown'!$W$6:$W$225, "&lt;"&amp;BU1)</f>
        <v>0</v>
      </c>
      <c r="BU11" s="213">
        <f>SUMIFS('Expenditure Breakdown'!$Q$6:$Q$225, 'Expenditure Breakdown'!$W$6:$W$225, "&gt;="&amp;BU1,'Expenditure Breakdown'!$W$6:$W$225, "&lt;"&amp;BV1)</f>
        <v>0</v>
      </c>
      <c r="BV11" s="213">
        <f>SUMIFS('Expenditure Breakdown'!$Q$6:$Q$225, 'Expenditure Breakdown'!$W$6:$W$225, "&gt;="&amp;BV1,'Expenditure Breakdown'!$W$6:$W$225, "&lt;"&amp;BW1)</f>
        <v>0</v>
      </c>
      <c r="BW11" s="213">
        <f>SUMIFS('Expenditure Breakdown'!$Q$6:$Q$225, 'Expenditure Breakdown'!$W$6:$W$225, "&gt;="&amp;BW1,'Expenditure Breakdown'!$W$6:$W$225, "&lt;"&amp;BX1)</f>
        <v>0</v>
      </c>
      <c r="BX11" s="213">
        <f>SUMIFS('Expenditure Breakdown'!$Q$6:$Q$225, 'Expenditure Breakdown'!$W$6:$W$225, "&gt;="&amp;BX1,'Expenditure Breakdown'!$W$6:$W$225, "&lt;"&amp;BY1)</f>
        <v>0</v>
      </c>
      <c r="BY11" s="213">
        <f>SUMIFS('Expenditure Breakdown'!$Q$6:$Q$225, 'Expenditure Breakdown'!$W$6:$W$225, "&gt;="&amp;BY1,'Expenditure Breakdown'!$W$6:$W$225, "&lt;"&amp;BZ1)</f>
        <v>0</v>
      </c>
      <c r="BZ11" s="213">
        <f>SUMIFS('Expenditure Breakdown'!$Q$6:$Q$225, 'Expenditure Breakdown'!$W$6:$W$225, "&gt;="&amp;BZ1,'Expenditure Breakdown'!$W$6:$W$225, "&lt;"&amp;CA1)</f>
        <v>0</v>
      </c>
      <c r="CA11" s="213">
        <f>SUMIFS('Expenditure Breakdown'!$Q$6:$Q$225, 'Expenditure Breakdown'!$W$6:$W$225, "&gt;="&amp;CA1,'Expenditure Breakdown'!$W$6:$W$225, "&lt;"&amp;CB1)</f>
        <v>0</v>
      </c>
      <c r="CB11" s="213">
        <f>SUMIFS('Expenditure Breakdown'!$Q$6:$Q$225, 'Expenditure Breakdown'!$W$6:$W$225, "&gt;="&amp;CB1,'Expenditure Breakdown'!$W$6:$W$225, "&lt;"&amp;CC1)</f>
        <v>0</v>
      </c>
      <c r="CC11" s="213">
        <f>SUMIFS('Expenditure Breakdown'!$Q$6:$Q$225, 'Expenditure Breakdown'!$W$6:$W$225, "&gt;="&amp;CC1,'Expenditure Breakdown'!$W$6:$W$225, "&lt;"&amp;CD1)</f>
        <v>0</v>
      </c>
      <c r="CD11" s="213">
        <f>SUMIFS('Expenditure Breakdown'!$Q$6:$Q$225, 'Expenditure Breakdown'!$W$6:$W$225, "&gt;="&amp;CD1,'Expenditure Breakdown'!$W$6:$W$225, "&lt;"&amp;CE1)</f>
        <v>0</v>
      </c>
      <c r="CE11" s="213">
        <f>SUMIFS('Expenditure Breakdown'!$Q$6:$Q$225, 'Expenditure Breakdown'!$W$6:$W$225, "&gt;="&amp;CE1,'Expenditure Breakdown'!$W$6:$W$225, "&lt;"&amp;CF1)</f>
        <v>0</v>
      </c>
      <c r="CF11" s="213">
        <f>SUMIFS('Expenditure Breakdown'!$Q$6:$Q$225, 'Expenditure Breakdown'!$W$6:$W$225, "&gt;="&amp;CF1,'Expenditure Breakdown'!$W$6:$W$225, "&lt;"&amp;CG1)</f>
        <v>0</v>
      </c>
      <c r="CG11" s="213">
        <f>SUMIFS('Expenditure Breakdown'!$Q$6:$Q$225, 'Expenditure Breakdown'!$W$6:$W$225, "&gt;="&amp;CG1,'Expenditure Breakdown'!$W$6:$W$225, "&lt;"&amp;CH1)</f>
        <v>0</v>
      </c>
      <c r="CH11" s="213">
        <f>SUMIFS('Expenditure Breakdown'!$Q$6:$Q$225, 'Expenditure Breakdown'!$W$6:$W$225, "&gt;="&amp;CH1,'Expenditure Breakdown'!$W$6:$W$225, "&lt;"&amp;CI1)</f>
        <v>0</v>
      </c>
      <c r="CI11" s="213">
        <f>SUMIFS('Expenditure Breakdown'!$Q$6:$Q$225, 'Expenditure Breakdown'!$W$6:$W$225, "&gt;="&amp;CI1,'Expenditure Breakdown'!$W$6:$W$225, "&lt;"&amp;CJ1)</f>
        <v>0</v>
      </c>
      <c r="CJ11" s="213">
        <f>SUMIFS('Expenditure Breakdown'!$Q$6:$Q$225, 'Expenditure Breakdown'!$W$6:$W$225, "&gt;="&amp;CJ1,'Expenditure Breakdown'!$W$6:$W$225, "&lt;"&amp;CK1)</f>
        <v>0</v>
      </c>
      <c r="CK11" s="213">
        <f>SUMIFS('Expenditure Breakdown'!$Q$6:$Q$225, 'Expenditure Breakdown'!$W$6:$W$225, "&gt;="&amp;CK1,'Expenditure Breakdown'!$W$6:$W$225, "&lt;"&amp;CL1)</f>
        <v>0</v>
      </c>
      <c r="CL11" s="213">
        <f>SUMIFS('Expenditure Breakdown'!$Q$6:$Q$225, 'Expenditure Breakdown'!$W$6:$W$225, "&gt;="&amp;CL1,'Expenditure Breakdown'!$W$6:$W$225, "&lt;"&amp;CM1)</f>
        <v>0</v>
      </c>
      <c r="CM11" s="213">
        <f>SUMIFS('Expenditure Breakdown'!$Q$6:$Q$225, 'Expenditure Breakdown'!$W$6:$W$225, "&gt;="&amp;CM1,'Expenditure Breakdown'!$W$6:$W$225, "&lt;"&amp;CN1)</f>
        <v>0</v>
      </c>
      <c r="CN11" s="213">
        <f>SUMIFS('Expenditure Breakdown'!$Q$6:$Q$225, 'Expenditure Breakdown'!$W$6:$W$225, "&gt;="&amp;CN1,'Expenditure Breakdown'!$W$6:$W$225, "&lt;"&amp;CO1)</f>
        <v>0</v>
      </c>
      <c r="CO11" s="213">
        <f>SUMIFS('Expenditure Breakdown'!$Q$6:$Q$225, 'Expenditure Breakdown'!$W$6:$W$225, "&gt;="&amp;CO1,'Expenditure Breakdown'!$W$6:$W$225, "&lt;"&amp;CP1)</f>
        <v>0</v>
      </c>
      <c r="CP11" s="213">
        <f>SUMIFS('Expenditure Breakdown'!$Q$6:$Q$225, 'Expenditure Breakdown'!$W$6:$W$225, "&gt;="&amp;CP1,'Expenditure Breakdown'!$W$6:$W$225, "&lt;"&amp;CQ1)</f>
        <v>0</v>
      </c>
      <c r="CQ11" s="213">
        <f>SUMIFS('Expenditure Breakdown'!$Q$6:$Q$225, 'Expenditure Breakdown'!$W$6:$W$225, "&gt;="&amp;CQ1,'Expenditure Breakdown'!$W$6:$W$225, "&lt;"&amp;CR1)</f>
        <v>0</v>
      </c>
      <c r="CR11" s="213">
        <f>SUMIFS('Expenditure Breakdown'!$Q$6:$Q$225, 'Expenditure Breakdown'!$W$6:$W$225, "&gt;="&amp;CR1,'Expenditure Breakdown'!$W$6:$W$225, "&lt;"&amp;CS1)</f>
        <v>0</v>
      </c>
      <c r="CS11" s="213">
        <f>SUMIFS('Expenditure Breakdown'!$Q$6:$Q$225, 'Expenditure Breakdown'!$W$6:$W$225, "&gt;="&amp;CS1,'Expenditure Breakdown'!$W$6:$W$225, "&lt;"&amp;CT1)</f>
        <v>0</v>
      </c>
      <c r="CT11" s="213">
        <f>SUMIFS('Expenditure Breakdown'!$Q$6:$Q$225, 'Expenditure Breakdown'!$W$6:$W$225, "&gt;="&amp;CT1,'Expenditure Breakdown'!$W$6:$W$225, "&lt;"&amp;CU1)</f>
        <v>0</v>
      </c>
      <c r="CU11" s="213">
        <f>SUMIFS('Expenditure Breakdown'!$Q$6:$Q$225, 'Expenditure Breakdown'!$W$6:$W$225, "&gt;="&amp;CU1,'Expenditure Breakdown'!$W$6:$W$225, "&lt;"&amp;CV1)</f>
        <v>0</v>
      </c>
      <c r="CV11" s="213">
        <f>SUMIFS('Expenditure Breakdown'!$Q$6:$Q$225, 'Expenditure Breakdown'!$W$6:$W$225, "&gt;="&amp;CV1,'Expenditure Breakdown'!$W$6:$W$225, "&lt;"&amp;CW1)</f>
        <v>0</v>
      </c>
      <c r="CW11" s="213">
        <f>SUMIFS('Expenditure Breakdown'!$Q$6:$Q$225, 'Expenditure Breakdown'!$W$6:$W$225, "&gt;="&amp;CW1,'Expenditure Breakdown'!$W$6:$W$225, "&lt;"&amp;CX1)</f>
        <v>0</v>
      </c>
      <c r="CX11" s="213">
        <f>SUMIFS('Expenditure Breakdown'!$Q$6:$Q$225, 'Expenditure Breakdown'!$W$6:$W$225, "&gt;="&amp;CX1,'Expenditure Breakdown'!$W$6:$W$225, "&lt;"&amp;CY1)</f>
        <v>0</v>
      </c>
      <c r="CY11" s="213">
        <f>SUMIFS('Expenditure Breakdown'!$Q$6:$Q$225, 'Expenditure Breakdown'!$W$6:$W$225, "&gt;="&amp;CY1,'Expenditure Breakdown'!$W$6:$W$225, "&lt;"&amp;CZ1)</f>
        <v>0</v>
      </c>
      <c r="CZ11" s="213">
        <f>SUMIFS('Expenditure Breakdown'!$Q$6:$Q$225, 'Expenditure Breakdown'!$W$6:$W$225, "&gt;="&amp;CZ1,'Expenditure Breakdown'!$W$6:$W$225, "&lt;"&amp;DA1)</f>
        <v>0</v>
      </c>
      <c r="DA11" s="213">
        <f>SUMIFS('Expenditure Breakdown'!$Q$6:$Q$225, 'Expenditure Breakdown'!$W$6:$W$225, "&gt;="&amp;DA1,'Expenditure Breakdown'!$W$6:$W$225, "&lt;"&amp;DB1)</f>
        <v>0</v>
      </c>
      <c r="DB11" s="213">
        <f>SUMIFS('Expenditure Breakdown'!$Q$6:$Q$225, 'Expenditure Breakdown'!$W$6:$W$225, "&gt;="&amp;DB1,'Expenditure Breakdown'!$W$6:$W$225, "&lt;"&amp;DC1)</f>
        <v>0</v>
      </c>
      <c r="DC11" s="213">
        <f>SUMIFS('Expenditure Breakdown'!$Q$6:$Q$225, 'Expenditure Breakdown'!$W$6:$W$225, "&gt;="&amp;DC1,'Expenditure Breakdown'!$W$6:$W$225, "&lt;"&amp;DD1)</f>
        <v>0</v>
      </c>
      <c r="DD11" s="213">
        <f>SUMIFS('Expenditure Breakdown'!$Q$6:$Q$225, 'Expenditure Breakdown'!$W$6:$W$225, "&gt;="&amp;DD1,'Expenditure Breakdown'!$W$6:$W$225, "&lt;"&amp;DE1)</f>
        <v>0</v>
      </c>
      <c r="DE11" s="213">
        <f>SUMIFS('Expenditure Breakdown'!$Q$6:$Q$225, 'Expenditure Breakdown'!$W$6:$W$225, "&gt;="&amp;DE1,'Expenditure Breakdown'!$W$6:$W$225, "&lt;"&amp;DF1)</f>
        <v>0</v>
      </c>
      <c r="DF11" s="213">
        <f>SUMIFS('Expenditure Breakdown'!$Q$6:$Q$225, 'Expenditure Breakdown'!$W$6:$W$225, "&gt;="&amp;DF1,'Expenditure Breakdown'!$W$6:$W$225, "&lt;"&amp;DG1)</f>
        <v>0</v>
      </c>
      <c r="DG11" s="213">
        <f>SUMIFS('Expenditure Breakdown'!$Q$6:$Q$225, 'Expenditure Breakdown'!$W$6:$W$225, "&gt;="&amp;DG1,'Expenditure Breakdown'!$W$6:$W$225, "&lt;"&amp;DH1)</f>
        <v>0</v>
      </c>
      <c r="DH11" s="213">
        <f>SUMIFS('Expenditure Breakdown'!$Q$6:$Q$225, 'Expenditure Breakdown'!$W$6:$W$225, "&gt;="&amp;DH1,'Expenditure Breakdown'!$W$6:$W$225, "&lt;"&amp;DI1)</f>
        <v>0</v>
      </c>
      <c r="DI11" s="213">
        <f>SUMIFS('Expenditure Breakdown'!$Q$6:$Q$225, 'Expenditure Breakdown'!$W$6:$W$225, "&gt;="&amp;DI1,'Expenditure Breakdown'!$W$6:$W$225, "&lt;"&amp;DJ1)</f>
        <v>0</v>
      </c>
      <c r="DJ11" s="213">
        <f>SUMIFS('Expenditure Breakdown'!$Q$6:$Q$225, 'Expenditure Breakdown'!$W$6:$W$225, "&gt;="&amp;DJ1,'Expenditure Breakdown'!$W$6:$W$225, "&lt;"&amp;DK1)</f>
        <v>0</v>
      </c>
      <c r="DK11" s="213">
        <f>SUMIFS('Expenditure Breakdown'!$Q$6:$Q$225, 'Expenditure Breakdown'!$W$6:$W$225, "&gt;="&amp;DK1,'Expenditure Breakdown'!$W$6:$W$225, "&lt;"&amp;DL1)</f>
        <v>0</v>
      </c>
      <c r="DL11" s="213">
        <f>SUMIFS('Expenditure Breakdown'!$Q$6:$Q$225, 'Expenditure Breakdown'!$W$6:$W$225, "&gt;="&amp;DL1,'Expenditure Breakdown'!$W$6:$W$225, "&lt;"&amp;DM1)</f>
        <v>0</v>
      </c>
      <c r="DM11" s="213">
        <f>SUMIFS('Expenditure Breakdown'!$Q$6:$Q$225, 'Expenditure Breakdown'!$W$6:$W$225, "&gt;="&amp;DM1,'Expenditure Breakdown'!$W$6:$W$225, "&lt;"&amp;DN1)</f>
        <v>0</v>
      </c>
      <c r="DN11" s="213">
        <f>SUMIFS('Expenditure Breakdown'!$Q$6:$Q$225, 'Expenditure Breakdown'!$W$6:$W$225, "&gt;="&amp;DN1,'Expenditure Breakdown'!$W$6:$W$225, "&lt;"&amp;DO1)</f>
        <v>0</v>
      </c>
      <c r="DO11" s="213">
        <f>SUMIFS('Expenditure Breakdown'!$Q$6:$Q$225, 'Expenditure Breakdown'!$W$6:$W$225, "&gt;="&amp;DO1,'Expenditure Breakdown'!$W$6:$W$225, "&lt;"&amp;DP1)</f>
        <v>0</v>
      </c>
      <c r="DP11" s="213">
        <f>SUMIFS('Expenditure Breakdown'!$Q$6:$Q$225, 'Expenditure Breakdown'!$W$6:$W$225, "&gt;="&amp;DP1,'Expenditure Breakdown'!$W$6:$W$225, "&lt;"&amp;DQ1)</f>
        <v>0</v>
      </c>
      <c r="DQ11" s="213">
        <f>SUMIFS('Expenditure Breakdown'!$Q$6:$Q$225, 'Expenditure Breakdown'!$W$6:$W$225, "&gt;="&amp;DQ1,'Expenditure Breakdown'!$W$6:$W$225, "&lt;"&amp;DR1)</f>
        <v>0</v>
      </c>
      <c r="DR11" s="213">
        <f>SUMIFS('Expenditure Breakdown'!$Q$6:$Q$225, 'Expenditure Breakdown'!$W$6:$W$225, "&gt;="&amp;DR1,'Expenditure Breakdown'!$W$6:$W$225, "&lt;"&amp;DS1)</f>
        <v>0</v>
      </c>
      <c r="DS11" s="213">
        <f>SUMIFS('Expenditure Breakdown'!$Q$6:$Q$225, 'Expenditure Breakdown'!$W$6:$W$225, "&gt;="&amp;DS1,'Expenditure Breakdown'!$W$6:$W$225, "&lt;"&amp;DT1)</f>
        <v>0</v>
      </c>
      <c r="DT11" s="213">
        <f>SUMIFS('Expenditure Breakdown'!$Q$6:$Q$225, 'Expenditure Breakdown'!$W$6:$W$225, "&gt;="&amp;DT1,'Expenditure Breakdown'!$W$6:$W$225, "&lt;"&amp;DU1)</f>
        <v>0</v>
      </c>
      <c r="DU11" s="213">
        <f>SUMIFS('Expenditure Breakdown'!$Q$6:$Q$225, 'Expenditure Breakdown'!$W$6:$W$225, "&gt;="&amp;DU1,'Expenditure Breakdown'!$W$6:$W$225, "&lt;"&amp;DV1)</f>
        <v>0</v>
      </c>
      <c r="DV11" s="213">
        <f>SUMIFS('Expenditure Breakdown'!$Q$6:$Q$225, 'Expenditure Breakdown'!$W$6:$W$225, "&gt;="&amp;DV1,'Expenditure Breakdown'!$W$6:$W$225, "&lt;"&amp;DW1)</f>
        <v>0</v>
      </c>
      <c r="DW11" s="213">
        <f>SUMIFS('Expenditure Breakdown'!$Q$6:$Q$225, 'Expenditure Breakdown'!$W$6:$W$225, "&gt;="&amp;DW1,'Expenditure Breakdown'!$W$6:$W$225, "&lt;"&amp;DX1)</f>
        <v>0</v>
      </c>
      <c r="DX11" s="213">
        <f>SUMIFS('Expenditure Breakdown'!$Q$6:$Q$225, 'Expenditure Breakdown'!$W$6:$W$225, "&gt;="&amp;DX1,'Expenditure Breakdown'!$W$6:$W$225, "&lt;"&amp;DY1)</f>
        <v>0</v>
      </c>
      <c r="DY11" s="213">
        <f>SUMIFS('Expenditure Breakdown'!$Q$6:$Q$225, 'Expenditure Breakdown'!$W$6:$W$225, "&gt;="&amp;DY1,'Expenditure Breakdown'!$W$6:$W$225, "&lt;"&amp;DZ1)</f>
        <v>0</v>
      </c>
      <c r="DZ11" s="213">
        <f>SUMIFS('Expenditure Breakdown'!$Q$6:$Q$225, 'Expenditure Breakdown'!$W$6:$W$225, "&gt;="&amp;DZ1,'Expenditure Breakdown'!$W$6:$W$225, "&lt;"&amp;EA1)</f>
        <v>0</v>
      </c>
      <c r="EA11" s="213">
        <f>SUMIFS('Expenditure Breakdown'!$Q$6:$Q$225, 'Expenditure Breakdown'!$W$6:$W$225, "&gt;="&amp;EA1,'Expenditure Breakdown'!$W$6:$W$225, "&lt;"&amp;EB1)</f>
        <v>0</v>
      </c>
      <c r="EB11" s="213">
        <f>SUMIFS('Expenditure Breakdown'!$Q$6:$Q$225, 'Expenditure Breakdown'!$W$6:$W$225, "&gt;="&amp;EB1,'Expenditure Breakdown'!$W$6:$W$225, "&lt;"&amp;EC1)</f>
        <v>0</v>
      </c>
      <c r="EC11" s="213">
        <f>SUMIFS('Expenditure Breakdown'!$Q$6:$Q$225, 'Expenditure Breakdown'!$W$6:$W$225, "&gt;="&amp;EC1,'Expenditure Breakdown'!$W$6:$W$225, "&lt;"&amp;ED1)</f>
        <v>0</v>
      </c>
      <c r="ED11" s="213">
        <f>SUMIFS('Expenditure Breakdown'!$Q$6:$Q$225, 'Expenditure Breakdown'!$W$6:$W$225, "&gt;="&amp;ED1,'Expenditure Breakdown'!$W$6:$W$225, "&lt;"&amp;EE1)</f>
        <v>0</v>
      </c>
      <c r="EE11" s="213">
        <f>SUMIFS('Expenditure Breakdown'!$Q$6:$Q$225, 'Expenditure Breakdown'!$W$6:$W$225, "&gt;="&amp;EE1,'Expenditure Breakdown'!$W$6:$W$225, "&lt;"&amp;EF1)</f>
        <v>0</v>
      </c>
      <c r="EF11" s="213">
        <f>SUMIFS('Expenditure Breakdown'!$Q$6:$Q$225, 'Expenditure Breakdown'!$W$6:$W$225, "&gt;="&amp;EF1,'Expenditure Breakdown'!$W$6:$W$225, "&lt;"&amp;EG1)</f>
        <v>0</v>
      </c>
      <c r="EG11" s="213">
        <f>SUMIFS('Expenditure Breakdown'!$Q$6:$Q$225, 'Expenditure Breakdown'!$W$6:$W$225, "&gt;="&amp;EG1,'Expenditure Breakdown'!$W$6:$W$225, "&lt;"&amp;EH1)</f>
        <v>0</v>
      </c>
      <c r="EH11" s="213">
        <f>SUMIFS('Expenditure Breakdown'!$Q$6:$Q$225, 'Expenditure Breakdown'!$W$6:$W$225, "&gt;="&amp;EH1,'Expenditure Breakdown'!$W$6:$W$225, "&lt;"&amp;EI1)</f>
        <v>0</v>
      </c>
      <c r="EI11" s="213">
        <f>SUMIFS('Expenditure Breakdown'!$Q$6:$Q$225, 'Expenditure Breakdown'!$W$6:$W$225, "&gt;="&amp;EI1,'Expenditure Breakdown'!$W$6:$W$225, "&lt;"&amp;EJ1)</f>
        <v>0</v>
      </c>
      <c r="EJ11" s="213">
        <f>SUMIFS('Expenditure Breakdown'!$Q$6:$Q$225, 'Expenditure Breakdown'!$W$6:$W$225, "&gt;="&amp;EJ1,'Expenditure Breakdown'!$W$6:$W$225, "&lt;"&amp;EK1)</f>
        <v>0</v>
      </c>
      <c r="EK11" s="213">
        <f>SUMIFS('Expenditure Breakdown'!$Q$6:$Q$225, 'Expenditure Breakdown'!$W$6:$W$225, "&gt;="&amp;EK1,'Expenditure Breakdown'!$W$6:$W$225, "&lt;"&amp;EL1)</f>
        <v>0</v>
      </c>
      <c r="EL11" s="213">
        <f>SUMIFS('Expenditure Breakdown'!$Q$6:$Q$225, 'Expenditure Breakdown'!$W$6:$W$225, "&gt;="&amp;EL1,'Expenditure Breakdown'!$W$6:$W$225, "&lt;"&amp;EM1)</f>
        <v>0</v>
      </c>
      <c r="EM11" s="213">
        <f>SUMIFS('Expenditure Breakdown'!$Q$6:$Q$225, 'Expenditure Breakdown'!$W$6:$W$225, "&gt;="&amp;EM1,'Expenditure Breakdown'!$W$6:$W$225, "&lt;"&amp;EN1)</f>
        <v>0</v>
      </c>
      <c r="EN11" s="213">
        <f>SUMIFS('Expenditure Breakdown'!$Q$6:$Q$225, 'Expenditure Breakdown'!$W$6:$W$225, "&gt;="&amp;EN1,'Expenditure Breakdown'!$W$6:$W$225, "&lt;"&amp;EO1)</f>
        <v>0</v>
      </c>
      <c r="EO11" s="213">
        <f>SUMIFS('Expenditure Breakdown'!$Q$6:$Q$225, 'Expenditure Breakdown'!$W$6:$W$225, "&gt;="&amp;EO1,'Expenditure Breakdown'!$W$6:$W$225, "&lt;"&amp;EP1)</f>
        <v>0</v>
      </c>
      <c r="EP11" s="213">
        <f>SUMIFS('Expenditure Breakdown'!$Q$6:$Q$225, 'Expenditure Breakdown'!$W$6:$W$225, "&gt;="&amp;EP1,'Expenditure Breakdown'!$W$6:$W$225, "&lt;"&amp;EQ1)</f>
        <v>0</v>
      </c>
      <c r="EQ11" s="213">
        <f>SUMIFS('Expenditure Breakdown'!$Q$6:$Q$225, 'Expenditure Breakdown'!$W$6:$W$225, "&gt;="&amp;EQ1,'Expenditure Breakdown'!$W$6:$W$225, "&lt;"&amp;ER1)</f>
        <v>0</v>
      </c>
      <c r="ER11" s="213">
        <f>SUMIFS('Expenditure Breakdown'!$Q$6:$Q$225, 'Expenditure Breakdown'!$W$6:$W$225, "&gt;="&amp;ER1,'Expenditure Breakdown'!$W$6:$W$225, "&lt;"&amp;ES1)</f>
        <v>0</v>
      </c>
      <c r="ES11" s="213">
        <f>SUMIFS('Expenditure Breakdown'!$Q$6:$Q$225, 'Expenditure Breakdown'!$W$6:$W$225, "&gt;="&amp;ES1,'Expenditure Breakdown'!$W$6:$W$225, "&lt;"&amp;ET1)</f>
        <v>0</v>
      </c>
      <c r="ET11" s="213">
        <f>SUMIFS('Expenditure Breakdown'!$Q$6:$Q$225, 'Expenditure Breakdown'!$W$6:$W$225, "&gt;="&amp;ET1,'Expenditure Breakdown'!$W$6:$W$225, "&lt;"&amp;EU1)</f>
        <v>0</v>
      </c>
      <c r="EU11" s="213">
        <f>SUMIFS('Expenditure Breakdown'!$Q$6:$Q$225, 'Expenditure Breakdown'!$W$6:$W$225, "&gt;="&amp;EU1,'Expenditure Breakdown'!$W$6:$W$225, "&lt;"&amp;EV1)</f>
        <v>0</v>
      </c>
      <c r="EV11" s="213">
        <f>SUMIFS('Expenditure Breakdown'!$Q$6:$Q$225, 'Expenditure Breakdown'!$W$6:$W$225, "&gt;="&amp;EV1,'Expenditure Breakdown'!$W$6:$W$225, "&lt;"&amp;EW1)</f>
        <v>0</v>
      </c>
      <c r="EW11" s="213">
        <f>SUMIFS('Expenditure Breakdown'!$Q$6:$Q$225, 'Expenditure Breakdown'!$W$6:$W$225, "&gt;="&amp;EW1,'Expenditure Breakdown'!$W$6:$W$225, "&lt;"&amp;EX1)</f>
        <v>0</v>
      </c>
      <c r="EX11" s="213">
        <f>SUMIFS('Expenditure Breakdown'!$Q$6:$Q$225, 'Expenditure Breakdown'!$W$6:$W$225, "&gt;="&amp;EX1,'Expenditure Breakdown'!$W$6:$W$225, "&lt;"&amp;EY1)</f>
        <v>0</v>
      </c>
      <c r="EY11" s="213">
        <f>SUMIFS('Expenditure Breakdown'!$Q$6:$Q$225, 'Expenditure Breakdown'!$W$6:$W$225, "&gt;="&amp;EY1,'Expenditure Breakdown'!$W$6:$W$225, "&lt;"&amp;EZ1)</f>
        <v>0</v>
      </c>
      <c r="EZ11" s="213">
        <f>SUMIFS('Expenditure Breakdown'!$Q$6:$Q$225, 'Expenditure Breakdown'!$W$6:$W$225, "&gt;="&amp;EZ1,'Expenditure Breakdown'!$W$6:$W$225, "&lt;"&amp;FA1)</f>
        <v>0</v>
      </c>
      <c r="FA11" s="213">
        <f>SUMIFS('Expenditure Breakdown'!$Q$6:$Q$225, 'Expenditure Breakdown'!$W$6:$W$225, "&gt;="&amp;FA1,'Expenditure Breakdown'!$W$6:$W$225, "&lt;"&amp;FB1)</f>
        <v>0</v>
      </c>
      <c r="FB11" s="213">
        <f>SUMIFS('Expenditure Breakdown'!$Q$6:$Q$225, 'Expenditure Breakdown'!$W$6:$W$225, "&gt;="&amp;FB1,'Expenditure Breakdown'!$W$6:$W$225, "&lt;"&amp;FC1)</f>
        <v>0</v>
      </c>
      <c r="FC11" s="213">
        <f>SUMIFS('Expenditure Breakdown'!$Q$6:$Q$225, 'Expenditure Breakdown'!$W$6:$W$225, "&gt;="&amp;FC1,'Expenditure Breakdown'!$W$6:$W$225, "&lt;"&amp;FD1)</f>
        <v>0</v>
      </c>
      <c r="FD11" s="213">
        <f>SUMIFS('Expenditure Breakdown'!$Q$6:$Q$225, 'Expenditure Breakdown'!$W$6:$W$225, "&gt;="&amp;FD1,'Expenditure Breakdown'!$W$6:$W$225, "&lt;"&amp;FE1)</f>
        <v>0</v>
      </c>
      <c r="FE11" s="213">
        <f>SUMIFS('Expenditure Breakdown'!$Q$6:$Q$225, 'Expenditure Breakdown'!$W$6:$W$225, "&gt;="&amp;FE1,'Expenditure Breakdown'!$W$6:$W$225, "&lt;"&amp;FF1)</f>
        <v>0</v>
      </c>
      <c r="FF11" s="213">
        <f>SUMIFS('Expenditure Breakdown'!$Q$6:$Q$225, 'Expenditure Breakdown'!$W$6:$W$225, "&gt;="&amp;FF1,'Expenditure Breakdown'!$W$6:$W$225, "&lt;"&amp;FG1)</f>
        <v>0</v>
      </c>
      <c r="FG11" s="213">
        <f>SUMIFS('Expenditure Breakdown'!$Q$6:$Q$225, 'Expenditure Breakdown'!$W$6:$W$225, "&gt;="&amp;FG1,'Expenditure Breakdown'!$W$6:$W$225, "&lt;"&amp;FH1)</f>
        <v>0</v>
      </c>
      <c r="FH11" s="213">
        <f>SUMIFS('Expenditure Breakdown'!$Q$6:$Q$225, 'Expenditure Breakdown'!$W$6:$W$225, "&gt;="&amp;FH1,'Expenditure Breakdown'!$W$6:$W$225, "&lt;"&amp;FI1)</f>
        <v>0</v>
      </c>
      <c r="FI11" s="213">
        <f>SUMIFS('Expenditure Breakdown'!$Q$6:$Q$225, 'Expenditure Breakdown'!$W$6:$W$225, "&gt;="&amp;FI1,'Expenditure Breakdown'!$W$6:$W$225, "&lt;"&amp;FJ1)</f>
        <v>0</v>
      </c>
      <c r="FJ11" s="213">
        <f>SUMIFS('Expenditure Breakdown'!$Q$6:$Q$225, 'Expenditure Breakdown'!$W$6:$W$225, "&gt;="&amp;FJ1,'Expenditure Breakdown'!$W$6:$W$225, "&lt;"&amp;FK1)</f>
        <v>0</v>
      </c>
      <c r="FK11" s="213">
        <f>SUMIFS('Expenditure Breakdown'!$Q$6:$Q$225, 'Expenditure Breakdown'!$W$6:$W$225, "&gt;="&amp;FK1,'Expenditure Breakdown'!$W$6:$W$225, "&lt;"&amp;FL1)</f>
        <v>0</v>
      </c>
      <c r="FL11" s="213">
        <f>SUMIFS('Expenditure Breakdown'!$Q$6:$Q$225, 'Expenditure Breakdown'!$W$6:$W$225, "&gt;="&amp;FL1,'Expenditure Breakdown'!$W$6:$W$225, "&lt;"&amp;FM1)</f>
        <v>0</v>
      </c>
      <c r="FM11" s="213">
        <f>SUMIFS('Expenditure Breakdown'!$Q$6:$Q$225, 'Expenditure Breakdown'!$W$6:$W$225, "&gt;="&amp;FM1,'Expenditure Breakdown'!$W$6:$W$225, "&lt;"&amp;FN1)</f>
        <v>0</v>
      </c>
      <c r="FN11" s="213">
        <f>SUMIFS('Expenditure Breakdown'!$Q$6:$Q$225, 'Expenditure Breakdown'!$W$6:$W$225, "&gt;="&amp;FN1,'Expenditure Breakdown'!$W$6:$W$225, "&lt;"&amp;FO1)</f>
        <v>0</v>
      </c>
      <c r="FO11" s="213">
        <f>SUMIFS('Expenditure Breakdown'!$Q$6:$Q$225, 'Expenditure Breakdown'!$W$6:$W$225, "&gt;="&amp;FO1,'Expenditure Breakdown'!$W$6:$W$225, "&lt;"&amp;FP1)</f>
        <v>0</v>
      </c>
      <c r="FP11" s="213">
        <f>SUMIFS('Expenditure Breakdown'!$Q$6:$Q$225, 'Expenditure Breakdown'!$W$6:$W$225, "&gt;="&amp;FP1,'Expenditure Breakdown'!$W$6:$W$225, "&lt;"&amp;FQ1)</f>
        <v>0</v>
      </c>
      <c r="FQ11" s="213">
        <f>SUMIFS('Expenditure Breakdown'!$Q$6:$Q$225, 'Expenditure Breakdown'!$W$6:$W$225, "&gt;="&amp;FQ1,'Expenditure Breakdown'!$W$6:$W$225, "&lt;"&amp;FR1)</f>
        <v>0</v>
      </c>
      <c r="FR11" s="213">
        <f>SUMIFS('Expenditure Breakdown'!$Q$6:$Q$225, 'Expenditure Breakdown'!$W$6:$W$225, "&gt;="&amp;FR1,'Expenditure Breakdown'!$W$6:$W$225, "&lt;"&amp;FS1)</f>
        <v>0</v>
      </c>
      <c r="FS11" s="213">
        <f>SUMIFS('Expenditure Breakdown'!$Q$6:$Q$225, 'Expenditure Breakdown'!$W$6:$W$225, "&gt;="&amp;FS1,'Expenditure Breakdown'!$W$6:$W$225, "&lt;"&amp;FT1)</f>
        <v>0</v>
      </c>
      <c r="FT11" s="213">
        <f>SUMIFS('Expenditure Breakdown'!$Q$6:$Q$225, 'Expenditure Breakdown'!$W$6:$W$225, "&gt;="&amp;FT1,'Expenditure Breakdown'!$W$6:$W$225, "&lt;"&amp;FU1)</f>
        <v>0</v>
      </c>
      <c r="FU11" s="213">
        <f>SUMIFS('Expenditure Breakdown'!$Q$6:$Q$225, 'Expenditure Breakdown'!$W$6:$W$225, "&gt;="&amp;FU1,'Expenditure Breakdown'!$W$6:$W$225, "&lt;"&amp;FV1)</f>
        <v>0</v>
      </c>
      <c r="FV11" s="213">
        <f>SUMIFS('Expenditure Breakdown'!$Q$6:$Q$225, 'Expenditure Breakdown'!$W$6:$W$225, "&gt;="&amp;FV1,'Expenditure Breakdown'!$W$6:$W$225, "&lt;"&amp;FW1)</f>
        <v>0</v>
      </c>
      <c r="FW11" s="213">
        <f>SUMIFS('Expenditure Breakdown'!$Q$6:$Q$225, 'Expenditure Breakdown'!$W$6:$W$225, "&gt;="&amp;FW1,'Expenditure Breakdown'!$W$6:$W$225, "&lt;"&amp;FX1)</f>
        <v>0</v>
      </c>
      <c r="FX11" s="213">
        <f>SUMIFS('Expenditure Breakdown'!$Q$6:$Q$225, 'Expenditure Breakdown'!$W$6:$W$225, "&gt;="&amp;FX1,'Expenditure Breakdown'!$W$6:$W$225, "&lt;"&amp;FY1)</f>
        <v>0</v>
      </c>
      <c r="FY11" s="213">
        <f>SUMIFS('Expenditure Breakdown'!$Q$6:$Q$225, 'Expenditure Breakdown'!$W$6:$W$225, "&gt;="&amp;FY1,'Expenditure Breakdown'!$W$6:$W$225, "&lt;"&amp;FZ1)</f>
        <v>0</v>
      </c>
      <c r="FZ11" s="213">
        <f>SUMIFS('Expenditure Breakdown'!$Q$6:$Q$225, 'Expenditure Breakdown'!$W$6:$W$225, "&gt;="&amp;FZ1,'Expenditure Breakdown'!$W$6:$W$225, "&lt;"&amp;GA1)</f>
        <v>0</v>
      </c>
      <c r="GA11" s="213">
        <f>SUMIFS('Expenditure Breakdown'!$Q$6:$Q$225, 'Expenditure Breakdown'!$W$6:$W$225, "&gt;="&amp;GA1,'Expenditure Breakdown'!$W$6:$W$225, "&lt;"&amp;GB1)</f>
        <v>0</v>
      </c>
      <c r="GB11" s="213">
        <f>SUMIFS('Expenditure Breakdown'!$Q$6:$Q$225, 'Expenditure Breakdown'!$W$6:$W$225, "&gt;="&amp;GB1,'Expenditure Breakdown'!$W$6:$W$225, "&lt;"&amp;GC1)</f>
        <v>0</v>
      </c>
      <c r="GC11" s="213">
        <f>SUMIFS('Expenditure Breakdown'!$Q$6:$Q$225, 'Expenditure Breakdown'!$W$6:$W$225, "&gt;="&amp;GC1,'Expenditure Breakdown'!$W$6:$W$225, "&lt;"&amp;GD1)</f>
        <v>0</v>
      </c>
      <c r="GD11" s="213">
        <f>SUMIFS('Expenditure Breakdown'!$Q$6:$Q$225, 'Expenditure Breakdown'!$W$6:$W$225, "&gt;="&amp;GD1,'Expenditure Breakdown'!$W$6:$W$225, "&lt;"&amp;GE1)</f>
        <v>0</v>
      </c>
      <c r="GE11" s="213">
        <f>SUMIFS('Expenditure Breakdown'!$Q$6:$Q$225, 'Expenditure Breakdown'!$W$6:$W$225, "&gt;="&amp;GE1,'Expenditure Breakdown'!$W$6:$W$225, "&lt;"&amp;GF1)</f>
        <v>0</v>
      </c>
      <c r="GF11" s="213">
        <f>SUMIFS('Expenditure Breakdown'!$Q$6:$Q$225, 'Expenditure Breakdown'!$W$6:$W$225, "&gt;="&amp;GF1,'Expenditure Breakdown'!$W$6:$W$225, "&lt;"&amp;GG1)</f>
        <v>0</v>
      </c>
      <c r="GG11" s="213">
        <f>SUMIFS('Expenditure Breakdown'!$Q$6:$Q$225, 'Expenditure Breakdown'!$W$6:$W$225, "&gt;="&amp;GG1,'Expenditure Breakdown'!$W$6:$W$225, "&lt;"&amp;GH1)</f>
        <v>0</v>
      </c>
      <c r="GH11" s="213">
        <f>SUMIFS('Expenditure Breakdown'!$Q$6:$Q$225, 'Expenditure Breakdown'!$W$6:$W$225, "&gt;="&amp;GH1,'Expenditure Breakdown'!$W$6:$W$225, "&lt;"&amp;GI1)</f>
        <v>0</v>
      </c>
      <c r="GI11" s="213">
        <f>SUMIFS('Expenditure Breakdown'!$Q$6:$Q$225, 'Expenditure Breakdown'!$W$6:$W$225, "&gt;="&amp;GI1,'Expenditure Breakdown'!$W$6:$W$225, "&lt;"&amp;GJ1)</f>
        <v>0</v>
      </c>
      <c r="GJ11" s="213">
        <f>SUMIFS('Expenditure Breakdown'!$Q$6:$Q$225, 'Expenditure Breakdown'!$W$6:$W$225, "&gt;="&amp;GJ1,'Expenditure Breakdown'!$W$6:$W$225, "&lt;"&amp;GK1)</f>
        <v>0</v>
      </c>
      <c r="GK11" s="213">
        <f>SUMIFS('Expenditure Breakdown'!$Q$6:$Q$225, 'Expenditure Breakdown'!$W$6:$W$225, "&gt;="&amp;GK1,'Expenditure Breakdown'!$W$6:$W$225, "&lt;"&amp;GL1)</f>
        <v>0</v>
      </c>
      <c r="GL11" s="213">
        <f>SUMIFS('Expenditure Breakdown'!$Q$6:$Q$225, 'Expenditure Breakdown'!$W$6:$W$225, "&gt;="&amp;GL1,'Expenditure Breakdown'!$W$6:$W$225, "&lt;"&amp;GM1)</f>
        <v>0</v>
      </c>
      <c r="GM11" s="213">
        <f>SUMIFS('Expenditure Breakdown'!$Q$6:$Q$225, 'Expenditure Breakdown'!$W$6:$W$225, "&gt;="&amp;GM1,'Expenditure Breakdown'!$W$6:$W$225, "&lt;"&amp;GN1)</f>
        <v>0</v>
      </c>
      <c r="GN11" s="213">
        <f>SUMIFS('Expenditure Breakdown'!$Q$6:$Q$225, 'Expenditure Breakdown'!$W$6:$W$225, "&gt;="&amp;GN1,'Expenditure Breakdown'!$W$6:$W$225, "&lt;"&amp;GO1)</f>
        <v>0</v>
      </c>
      <c r="GO11" s="213">
        <f>SUMIFS('Expenditure Breakdown'!$Q$6:$Q$225, 'Expenditure Breakdown'!$W$6:$W$225, "&gt;="&amp;GO1,'Expenditure Breakdown'!$W$6:$W$225, "&lt;"&amp;GP1)</f>
        <v>0</v>
      </c>
      <c r="GP11" s="213">
        <f>SUMIFS('Expenditure Breakdown'!$Q$6:$Q$225, 'Expenditure Breakdown'!$W$6:$W$225, "&gt;="&amp;GP1,'Expenditure Breakdown'!$W$6:$W$225, "&lt;"&amp;GQ1)</f>
        <v>0</v>
      </c>
      <c r="GQ11" s="213">
        <f>SUMIFS('Expenditure Breakdown'!$Q$6:$Q$225, 'Expenditure Breakdown'!$W$6:$W$225, "&gt;="&amp;GQ1,'Expenditure Breakdown'!$W$6:$W$225, "&lt;"&amp;GR1)</f>
        <v>0</v>
      </c>
      <c r="GR11" s="213">
        <f>SUMIFS('Expenditure Breakdown'!$Q$6:$Q$225, 'Expenditure Breakdown'!$W$6:$W$225, "&gt;="&amp;GR1,'Expenditure Breakdown'!$W$6:$W$225, "&lt;"&amp;GS1)</f>
        <v>0</v>
      </c>
      <c r="GS11" s="213">
        <f>SUMIFS('Expenditure Breakdown'!$Q$6:$Q$225, 'Expenditure Breakdown'!$W$6:$W$225, "&gt;="&amp;GS1,'Expenditure Breakdown'!$W$6:$W$225, "&lt;"&amp;GT1)</f>
        <v>0</v>
      </c>
      <c r="GT11" s="213">
        <f>SUMIFS('Expenditure Breakdown'!$Q$6:$Q$225, 'Expenditure Breakdown'!$W$6:$W$225, "&gt;="&amp;GT1,'Expenditure Breakdown'!$W$6:$W$225, "&lt;"&amp;GU1)</f>
        <v>0</v>
      </c>
      <c r="GU11" s="213">
        <f>SUMIFS('Expenditure Breakdown'!$Q$6:$Q$225, 'Expenditure Breakdown'!$W$6:$W$225, "&gt;="&amp;GU1,'Expenditure Breakdown'!$W$6:$W$225, "&lt;"&amp;GV1)</f>
        <v>0</v>
      </c>
      <c r="GV11" s="213">
        <f>SUMIFS('Expenditure Breakdown'!$Q$6:$Q$225, 'Expenditure Breakdown'!$W$6:$W$225, "&gt;="&amp;GV1,'Expenditure Breakdown'!$W$6:$W$225, "&lt;"&amp;GW1)</f>
        <v>0</v>
      </c>
      <c r="GW11" s="213">
        <f>SUMIFS('Expenditure Breakdown'!$Q$6:$Q$225, 'Expenditure Breakdown'!$W$6:$W$225, "&gt;="&amp;GW1,'Expenditure Breakdown'!$W$6:$W$225, "&lt;"&amp;GX1)</f>
        <v>0</v>
      </c>
      <c r="GX11" s="213">
        <f>SUMIFS('Expenditure Breakdown'!$Q$6:$Q$225, 'Expenditure Breakdown'!$W$6:$W$225, "&gt;="&amp;GX1,'Expenditure Breakdown'!$W$6:$W$225, "&lt;"&amp;GY1)</f>
        <v>0</v>
      </c>
      <c r="GY11" s="213">
        <f>SUMIFS('Expenditure Breakdown'!$Q$6:$Q$225, 'Expenditure Breakdown'!$W$6:$W$225, "&gt;="&amp;GY1,'Expenditure Breakdown'!$W$6:$W$225, "&lt;"&amp;GZ1)</f>
        <v>0</v>
      </c>
      <c r="GZ11" s="213">
        <f>SUMIFS('Expenditure Breakdown'!$Q$6:$Q$225, 'Expenditure Breakdown'!$W$6:$W$225, "&gt;="&amp;GZ1,'Expenditure Breakdown'!$W$6:$W$225, "&lt;"&amp;HA1)</f>
        <v>0</v>
      </c>
      <c r="HA11" s="213">
        <f>SUMIFS('Expenditure Breakdown'!$Q$6:$Q$225, 'Expenditure Breakdown'!$W$6:$W$225, "&gt;="&amp;HA1,'Expenditure Breakdown'!$W$6:$W$225, "&lt;"&amp;HB1)</f>
        <v>0</v>
      </c>
      <c r="HB11" s="213">
        <f>SUMIFS('Expenditure Breakdown'!$Q$6:$Q$225, 'Expenditure Breakdown'!$W$6:$W$225, "&gt;="&amp;HB1,'Expenditure Breakdown'!$W$6:$W$225, "&lt;"&amp;HC1)</f>
        <v>0</v>
      </c>
      <c r="HC11" s="213">
        <f>SUMIFS('Expenditure Breakdown'!$Q$6:$Q$225, 'Expenditure Breakdown'!$W$6:$W$225, "&gt;="&amp;HC1,'Expenditure Breakdown'!$W$6:$W$225, "&lt;"&amp;HD1)</f>
        <v>0</v>
      </c>
      <c r="HD11" s="213">
        <f>SUMIFS('Expenditure Breakdown'!$Q$6:$Q$225, 'Expenditure Breakdown'!$W$6:$W$225, "&gt;="&amp;HD1,'Expenditure Breakdown'!$W$6:$W$225, "&lt;"&amp;HE1)</f>
        <v>0</v>
      </c>
      <c r="HE11" s="213">
        <f>SUMIFS('Expenditure Breakdown'!$Q$6:$Q$225, 'Expenditure Breakdown'!$W$6:$W$225, "&gt;="&amp;HE1,'Expenditure Breakdown'!$W$6:$W$225, "&lt;"&amp;HF1)</f>
        <v>0</v>
      </c>
      <c r="HF11" s="213">
        <f>SUMIFS('Expenditure Breakdown'!$Q$6:$Q$225, 'Expenditure Breakdown'!$W$6:$W$225, "&gt;="&amp;HF1,'Expenditure Breakdown'!$W$6:$W$225, "&lt;"&amp;HG1)</f>
        <v>0</v>
      </c>
      <c r="HG11" s="213">
        <f>SUMIFS('Expenditure Breakdown'!$Q$6:$Q$225, 'Expenditure Breakdown'!$W$6:$W$225, "&gt;="&amp;HG1,'Expenditure Breakdown'!$W$6:$W$225, "&lt;"&amp;HH1)</f>
        <v>0</v>
      </c>
      <c r="HH11" s="213">
        <f>SUMIFS('Expenditure Breakdown'!$Q$6:$Q$225, 'Expenditure Breakdown'!$W$6:$W$225, "&gt;="&amp;HH1,'Expenditure Breakdown'!$W$6:$W$225, "&lt;"&amp;HI1)</f>
        <v>0</v>
      </c>
      <c r="HI11" s="213">
        <f>SUMIFS('Expenditure Breakdown'!$Q$6:$Q$225, 'Expenditure Breakdown'!$W$6:$W$225, "&gt;="&amp;HI1,'Expenditure Breakdown'!$W$6:$W$225, "&lt;"&amp;HJ1)</f>
        <v>0</v>
      </c>
      <c r="HJ11" s="213">
        <f>SUMIFS('Expenditure Breakdown'!$Q$6:$Q$225, 'Expenditure Breakdown'!$W$6:$W$225, "&gt;="&amp;HJ1,'Expenditure Breakdown'!$W$6:$W$225, "&lt;"&amp;HK1)</f>
        <v>0</v>
      </c>
      <c r="HK11" s="213">
        <f>SUMIFS('Expenditure Breakdown'!$Q$6:$Q$225, 'Expenditure Breakdown'!$W$6:$W$225, "&gt;="&amp;HK1,'Expenditure Breakdown'!$W$6:$W$225, "&lt;"&amp;HL1)</f>
        <v>0</v>
      </c>
      <c r="HL11" s="213">
        <f>SUMIFS('Expenditure Breakdown'!$Q$6:$Q$225, 'Expenditure Breakdown'!$W$6:$W$225, "&gt;="&amp;HL1,'Expenditure Breakdown'!$W$6:$W$225, "&lt;"&amp;HM1)</f>
        <v>0</v>
      </c>
      <c r="HM11" s="213">
        <f>SUMIFS('Expenditure Breakdown'!$Q$6:$Q$225, 'Expenditure Breakdown'!$W$6:$W$225, "&gt;="&amp;HM1,'Expenditure Breakdown'!$W$6:$W$225, "&lt;"&amp;HN1)</f>
        <v>0</v>
      </c>
      <c r="HN11" s="213">
        <f>SUMIFS('Expenditure Breakdown'!$Q$6:$Q$225, 'Expenditure Breakdown'!$W$6:$W$225, "&gt;="&amp;HN1,'Expenditure Breakdown'!$W$6:$W$225, "&lt;"&amp;HO1)</f>
        <v>0</v>
      </c>
      <c r="HO11" s="213">
        <f>SUMIFS('Expenditure Breakdown'!$Q$6:$Q$225, 'Expenditure Breakdown'!$W$6:$W$225, "&gt;="&amp;HO1,'Expenditure Breakdown'!$W$6:$W$225, "&lt;"&amp;HP1)</f>
        <v>0</v>
      </c>
      <c r="HP11" s="213">
        <f>SUMIFS('Expenditure Breakdown'!$Q$6:$Q$225, 'Expenditure Breakdown'!$W$6:$W$225, "&gt;="&amp;HP1,'Expenditure Breakdown'!$W$6:$W$225, "&lt;"&amp;HQ1)</f>
        <v>0</v>
      </c>
      <c r="HQ11" s="213">
        <f>SUMIFS('Expenditure Breakdown'!$Q$6:$Q$225, 'Expenditure Breakdown'!$W$6:$W$225, "&gt;="&amp;HQ1,'Expenditure Breakdown'!$W$6:$W$225, "&lt;"&amp;HR1)</f>
        <v>0</v>
      </c>
      <c r="HR11" s="213">
        <f>SUMIFS('Expenditure Breakdown'!$Q$6:$Q$225, 'Expenditure Breakdown'!$W$6:$W$225, "&gt;="&amp;HR1,'Expenditure Breakdown'!$W$6:$W$225, "&lt;"&amp;HS1)</f>
        <v>0</v>
      </c>
      <c r="HS11" s="213">
        <f>SUMIFS('Expenditure Breakdown'!$Q$6:$Q$225, 'Expenditure Breakdown'!$W$6:$W$225, "&gt;="&amp;HS1,'Expenditure Breakdown'!$W$6:$W$225, "&lt;"&amp;HT1)</f>
        <v>0</v>
      </c>
      <c r="HT11" s="213">
        <f>SUMIFS('Expenditure Breakdown'!$Q$6:$Q$225, 'Expenditure Breakdown'!$W$6:$W$225, "&gt;="&amp;HT1,'Expenditure Breakdown'!$W$6:$W$225, "&lt;"&amp;HU1)</f>
        <v>0</v>
      </c>
      <c r="HU11" s="213">
        <f>SUMIFS('Expenditure Breakdown'!$Q$6:$Q$225, 'Expenditure Breakdown'!$W$6:$W$225, "&gt;="&amp;HU1,'Expenditure Breakdown'!$W$6:$W$225, "&lt;"&amp;HV1)</f>
        <v>0</v>
      </c>
      <c r="HV11" s="213">
        <f>SUMIFS('Expenditure Breakdown'!$Q$6:$Q$225, 'Expenditure Breakdown'!$W$6:$W$225, "&gt;="&amp;HV1,'Expenditure Breakdown'!$W$6:$W$225, "&lt;"&amp;HW1)</f>
        <v>0</v>
      </c>
      <c r="HW11" s="213">
        <f>SUMIFS('Expenditure Breakdown'!$Q$6:$Q$225, 'Expenditure Breakdown'!$W$6:$W$225, "&gt;="&amp;HW1,'Expenditure Breakdown'!$W$6:$W$225, "&lt;"&amp;HX1)</f>
        <v>0</v>
      </c>
      <c r="HX11" s="213">
        <f>SUMIFS('Expenditure Breakdown'!$Q$6:$Q$225, 'Expenditure Breakdown'!$W$6:$W$225, "&gt;="&amp;HX1,'Expenditure Breakdown'!$W$6:$W$225, "&lt;"&amp;HY1)</f>
        <v>0</v>
      </c>
      <c r="HY11" s="213">
        <f>SUMIFS('Expenditure Breakdown'!$Q$6:$Q$225, 'Expenditure Breakdown'!$W$6:$W$225, "&gt;="&amp;HY1,'Expenditure Breakdown'!$W$6:$W$225, "&lt;"&amp;HZ1)</f>
        <v>0</v>
      </c>
      <c r="HZ11" s="213">
        <f>SUMIFS('Expenditure Breakdown'!$Q$6:$Q$225, 'Expenditure Breakdown'!$W$6:$W$225, "&gt;="&amp;HZ1,'Expenditure Breakdown'!$W$6:$W$225, "&lt;"&amp;IA1)</f>
        <v>0</v>
      </c>
      <c r="IA11" s="213">
        <f>SUMIFS('Expenditure Breakdown'!$Q$6:$Q$225, 'Expenditure Breakdown'!$W$6:$W$225, "&gt;="&amp;IA1,'Expenditure Breakdown'!$W$6:$W$225, "&lt;"&amp;IB1)</f>
        <v>0</v>
      </c>
      <c r="IB11" s="213">
        <f>SUMIFS('Expenditure Breakdown'!$Q$6:$Q$225, 'Expenditure Breakdown'!$W$6:$W$225, "&gt;="&amp;IB1,'Expenditure Breakdown'!$W$6:$W$225, "&lt;"&amp;IC1)</f>
        <v>0</v>
      </c>
      <c r="IC11" s="213">
        <f>SUMIFS('Expenditure Breakdown'!$Q$6:$Q$225, 'Expenditure Breakdown'!$W$6:$W$225, "&gt;="&amp;IC1,'Expenditure Breakdown'!$W$6:$W$225, "&lt;"&amp;ID1)</f>
        <v>0</v>
      </c>
      <c r="ID11" s="213">
        <f>SUMIFS('Expenditure Breakdown'!$Q$6:$Q$225, 'Expenditure Breakdown'!$W$6:$W$225, "&gt;="&amp;ID1,'Expenditure Breakdown'!$W$6:$W$225, "&lt;"&amp;IE1)</f>
        <v>0</v>
      </c>
      <c r="IE11" s="213">
        <f>SUMIFS('Expenditure Breakdown'!$Q$6:$Q$225, 'Expenditure Breakdown'!$W$6:$W$225, "&gt;="&amp;IE1,'Expenditure Breakdown'!$W$6:$W$225, "&lt;"&amp;IF1)</f>
        <v>0</v>
      </c>
      <c r="IF11" s="213">
        <f>SUMIFS('Expenditure Breakdown'!$Q$6:$Q$225, 'Expenditure Breakdown'!$W$6:$W$225, "&gt;="&amp;IF1,'Expenditure Breakdown'!$W$6:$W$225, "&lt;"&amp;IG1)</f>
        <v>0</v>
      </c>
      <c r="IG11" s="213">
        <f>SUMIFS('Expenditure Breakdown'!$Q$6:$Q$225, 'Expenditure Breakdown'!$W$6:$W$225, "&gt;="&amp;IG1,'Expenditure Breakdown'!$W$6:$W$225, "&lt;"&amp;IH1)</f>
        <v>0</v>
      </c>
      <c r="IH11" s="213">
        <f>SUMIFS('Expenditure Breakdown'!$Q$6:$Q$225, 'Expenditure Breakdown'!$W$6:$W$225, "&gt;="&amp;IH1,'Expenditure Breakdown'!$W$6:$W$225, "&lt;"&amp;II1)</f>
        <v>0</v>
      </c>
      <c r="II11" s="213">
        <f>SUMIFS('Expenditure Breakdown'!$Q$6:$Q$225, 'Expenditure Breakdown'!$W$6:$W$225, "&gt;="&amp;II1,'Expenditure Breakdown'!$W$6:$W$225, "&lt;"&amp;IJ1)</f>
        <v>0</v>
      </c>
      <c r="IJ11" s="213">
        <f>SUMIFS('Expenditure Breakdown'!$Q$6:$Q$225, 'Expenditure Breakdown'!$W$6:$W$225, "&gt;="&amp;IJ1,'Expenditure Breakdown'!$W$6:$W$225, "&lt;"&amp;IK1)</f>
        <v>0</v>
      </c>
      <c r="IK11" s="213">
        <f>SUMIFS('Expenditure Breakdown'!$Q$6:$Q$225, 'Expenditure Breakdown'!$W$6:$W$225, "&gt;="&amp;IK1,'Expenditure Breakdown'!$W$6:$W$225, "&lt;"&amp;IL1)</f>
        <v>0</v>
      </c>
      <c r="IL11" s="213">
        <f>SUMIFS('Expenditure Breakdown'!$Q$6:$Q$225, 'Expenditure Breakdown'!$W$6:$W$225, "&gt;="&amp;IL1,'Expenditure Breakdown'!$W$6:$W$225, "&lt;"&amp;IM1)</f>
        <v>0</v>
      </c>
      <c r="IM11" s="213">
        <f>SUMIFS('Expenditure Breakdown'!$Q$6:$Q$225, 'Expenditure Breakdown'!$W$6:$W$225, "&gt;="&amp;IM1,'Expenditure Breakdown'!$W$6:$W$225, "&lt;"&amp;IN1)</f>
        <v>0</v>
      </c>
      <c r="IN11" s="213">
        <f>SUMIFS('Expenditure Breakdown'!$Q$6:$Q$225, 'Expenditure Breakdown'!$W$6:$W$225, "&gt;="&amp;IN1,'Expenditure Breakdown'!$W$6:$W$225, "&lt;"&amp;IO1)</f>
        <v>0</v>
      </c>
      <c r="IO11" s="213">
        <f>SUMIFS('Expenditure Breakdown'!$Q$6:$Q$225, 'Expenditure Breakdown'!$W$6:$W$225, "&gt;="&amp;IO1,'Expenditure Breakdown'!$W$6:$W$225, "&lt;"&amp;IP1)</f>
        <v>0</v>
      </c>
      <c r="IP11" s="213">
        <f>SUMIFS('Expenditure Breakdown'!$Q$6:$Q$225, 'Expenditure Breakdown'!$W$6:$W$225, "&gt;="&amp;IP1,'Expenditure Breakdown'!$W$6:$W$225, "&lt;"&amp;IQ1)</f>
        <v>0</v>
      </c>
      <c r="IQ11" s="213">
        <f>SUMIFS('Expenditure Breakdown'!$Q$6:$Q$225, 'Expenditure Breakdown'!$W$6:$W$225, "&gt;="&amp;IQ1,'Expenditure Breakdown'!$W$6:$W$225, "&lt;"&amp;IR1)</f>
        <v>0</v>
      </c>
      <c r="IR11" s="213">
        <f>SUMIFS('Expenditure Breakdown'!$Q$6:$Q$225, 'Expenditure Breakdown'!$W$6:$W$225, "&gt;="&amp;IR1,'Expenditure Breakdown'!$W$6:$W$225, "&lt;"&amp;IS1)</f>
        <v>0</v>
      </c>
      <c r="IS11" s="213">
        <f>SUMIFS('Expenditure Breakdown'!$Q$6:$Q$225, 'Expenditure Breakdown'!$W$6:$W$225, "&gt;="&amp;IS1,'Expenditure Breakdown'!$W$6:$W$225, "&lt;"&amp;IT1)</f>
        <v>0</v>
      </c>
      <c r="IT11" s="213">
        <f>SUMIFS('Expenditure Breakdown'!$Q$6:$Q$225, 'Expenditure Breakdown'!$W$6:$W$225, "&gt;="&amp;IT1,'Expenditure Breakdown'!$W$6:$W$225, "&lt;"&amp;IU1)</f>
        <v>0</v>
      </c>
      <c r="IU11" s="213">
        <f>SUMIFS('Expenditure Breakdown'!$Q$6:$Q$225, 'Expenditure Breakdown'!$W$6:$W$225, "&gt;="&amp;IU1,'Expenditure Breakdown'!$W$6:$W$225, "&lt;"&amp;IV1)</f>
        <v>0</v>
      </c>
      <c r="IV11" s="213">
        <f>SUMIFS('Expenditure Breakdown'!$Q$6:$Q$225, 'Expenditure Breakdown'!$W$6:$W$225, "&gt;="&amp;IV1,'Expenditure Breakdown'!$W$6:$W$225, "&lt;"&amp;IW1)</f>
        <v>0</v>
      </c>
      <c r="IW11" s="213">
        <f>SUMIFS('Expenditure Breakdown'!$Q$6:$Q$225, 'Expenditure Breakdown'!$W$6:$W$225, "&gt;="&amp;IW1,'Expenditure Breakdown'!$W$6:$W$225, "&lt;"&amp;IX1)</f>
        <v>0</v>
      </c>
      <c r="IX11" s="213">
        <f>SUMIFS('Expenditure Breakdown'!$Q$6:$Q$225, 'Expenditure Breakdown'!$W$6:$W$225, "&gt;="&amp;IX1,'Expenditure Breakdown'!$W$6:$W$225, "&lt;"&amp;IY1)</f>
        <v>0</v>
      </c>
      <c r="IY11" s="213">
        <f>SUMIFS('Expenditure Breakdown'!$Q$6:$Q$225, 'Expenditure Breakdown'!$W$6:$W$225, "&gt;="&amp;IY1,'Expenditure Breakdown'!$W$6:$W$225, "&lt;"&amp;IZ1)</f>
        <v>0</v>
      </c>
      <c r="IZ11" s="213">
        <f>SUMIFS('Expenditure Breakdown'!$Q$6:$Q$225, 'Expenditure Breakdown'!$W$6:$W$225, "&gt;="&amp;IZ1,'Expenditure Breakdown'!$W$6:$W$225, "&lt;"&amp;JA1)</f>
        <v>0</v>
      </c>
      <c r="JA11" s="213">
        <f>SUMIFS('Expenditure Breakdown'!$Q$6:$Q$225, 'Expenditure Breakdown'!$W$6:$W$225, "&gt;="&amp;JA1,'Expenditure Breakdown'!$W$6:$W$225, "&lt;"&amp;JB1)</f>
        <v>0</v>
      </c>
      <c r="JB11" s="213">
        <f>SUMIFS('Expenditure Breakdown'!$Q$6:$Q$225, 'Expenditure Breakdown'!$W$6:$W$225, "&gt;="&amp;JB1,'Expenditure Breakdown'!$W$6:$W$225, "&lt;"&amp;JC1)</f>
        <v>0</v>
      </c>
      <c r="JC11" s="213">
        <f>SUMIFS('Expenditure Breakdown'!$Q$6:$Q$225, 'Expenditure Breakdown'!$W$6:$W$225, "&gt;="&amp;JC1,'Expenditure Breakdown'!$W$6:$W$225, "&lt;"&amp;JD1)</f>
        <v>0</v>
      </c>
      <c r="JD11" s="213">
        <f>SUMIFS('Expenditure Breakdown'!$Q$6:$Q$225, 'Expenditure Breakdown'!$W$6:$W$225, "&gt;="&amp;JD1,'Expenditure Breakdown'!$W$6:$W$225, "&lt;"&amp;JE1)</f>
        <v>0</v>
      </c>
      <c r="JE11" s="213">
        <f>SUMIFS('Expenditure Breakdown'!$Q$6:$Q$225, 'Expenditure Breakdown'!$W$6:$W$225, "&gt;="&amp;JE1,'Expenditure Breakdown'!$W$6:$W$225, "&lt;"&amp;JF1)</f>
        <v>0</v>
      </c>
      <c r="JF11" s="213">
        <f>SUMIFS('Expenditure Breakdown'!$Q$6:$Q$225, 'Expenditure Breakdown'!$W$6:$W$225, "&gt;="&amp;JF1,'Expenditure Breakdown'!$W$6:$W$225, "&lt;"&amp;JG1)</f>
        <v>0</v>
      </c>
      <c r="JG11" s="213">
        <f>SUMIFS('Expenditure Breakdown'!$Q$6:$Q$225, 'Expenditure Breakdown'!$W$6:$W$225, "&gt;="&amp;JG1,'Expenditure Breakdown'!$W$6:$W$225, "&lt;"&amp;JH1)</f>
        <v>0</v>
      </c>
      <c r="JH11" s="213">
        <f>SUMIFS('Expenditure Breakdown'!$Q$6:$Q$225, 'Expenditure Breakdown'!$W$6:$W$225, "&gt;="&amp;JH1,'Expenditure Breakdown'!$W$6:$W$225, "&lt;"&amp;JI1)</f>
        <v>0</v>
      </c>
      <c r="JI11" s="213">
        <f>SUMIFS('Expenditure Breakdown'!$Q$6:$Q$225, 'Expenditure Breakdown'!$W$6:$W$225, "&gt;="&amp;JI1,'Expenditure Breakdown'!$W$6:$W$225, "&lt;"&amp;JJ1)</f>
        <v>0</v>
      </c>
      <c r="JJ11" s="213">
        <f>SUMIFS('Expenditure Breakdown'!$Q$6:$Q$225, 'Expenditure Breakdown'!$W$6:$W$225, "&gt;="&amp;JJ1,'Expenditure Breakdown'!$W$6:$W$225, "&lt;"&amp;JK1)</f>
        <v>0</v>
      </c>
      <c r="JK11" s="213">
        <f>SUMIFS('Expenditure Breakdown'!$Q$6:$Q$225, 'Expenditure Breakdown'!$W$6:$W$225, "&gt;="&amp;JK1,'Expenditure Breakdown'!$W$6:$W$225, "&lt;"&amp;JL1)</f>
        <v>0</v>
      </c>
      <c r="JL11" s="213">
        <f>SUMIFS('Expenditure Breakdown'!$Q$6:$Q$225, 'Expenditure Breakdown'!$W$6:$W$225, "&gt;="&amp;JL1,'Expenditure Breakdown'!$W$6:$W$225, "&lt;"&amp;JM1)</f>
        <v>0</v>
      </c>
      <c r="JM11" s="213">
        <f>SUMIFS('Expenditure Breakdown'!$Q$6:$Q$225, 'Expenditure Breakdown'!$W$6:$W$225, "&gt;="&amp;JM1,'Expenditure Breakdown'!$W$6:$W$225, "&lt;"&amp;JN1)</f>
        <v>0</v>
      </c>
      <c r="JN11" s="213">
        <f>SUMIFS('Expenditure Breakdown'!$Q$6:$Q$225, 'Expenditure Breakdown'!$W$6:$W$225, "&gt;="&amp;JN1,'Expenditure Breakdown'!$W$6:$W$225, "&lt;"&amp;JO1)</f>
        <v>0</v>
      </c>
      <c r="JO11" s="213">
        <f>SUMIFS('Expenditure Breakdown'!$Q$6:$Q$225, 'Expenditure Breakdown'!$W$6:$W$225, "&gt;="&amp;JO1,'Expenditure Breakdown'!$W$6:$W$225, "&lt;"&amp;JP1)</f>
        <v>0</v>
      </c>
      <c r="JP11" s="213">
        <f>SUMIFS('Expenditure Breakdown'!$Q$6:$Q$225, 'Expenditure Breakdown'!$W$6:$W$225, "&gt;="&amp;JP1,'Expenditure Breakdown'!$W$6:$W$225, "&lt;"&amp;JQ1)</f>
        <v>0</v>
      </c>
      <c r="JQ11" s="213">
        <f>SUMIFS('Expenditure Breakdown'!$Q$6:$Q$225, 'Expenditure Breakdown'!$W$6:$W$225, "&gt;="&amp;JQ1,'Expenditure Breakdown'!$W$6:$W$225, "&lt;"&amp;JR1)</f>
        <v>0</v>
      </c>
      <c r="JR11" s="213">
        <f>SUMIFS('Expenditure Breakdown'!$Q$6:$Q$225, 'Expenditure Breakdown'!$W$6:$W$225, "&gt;="&amp;JR1,'Expenditure Breakdown'!$W$6:$W$225, "&lt;"&amp;JS1)</f>
        <v>0</v>
      </c>
      <c r="JS11" s="213">
        <f>SUMIFS('Expenditure Breakdown'!$Q$6:$Q$225, 'Expenditure Breakdown'!$W$6:$W$225, "&gt;="&amp;JS1,'Expenditure Breakdown'!$W$6:$W$225, "&lt;"&amp;JT1)</f>
        <v>0</v>
      </c>
      <c r="JT11" s="213">
        <f>SUMIFS('Expenditure Breakdown'!$Q$6:$Q$225, 'Expenditure Breakdown'!$W$6:$W$225, "&gt;="&amp;JT1,'Expenditure Breakdown'!$W$6:$W$225, "&lt;"&amp;JU1)</f>
        <v>0</v>
      </c>
      <c r="JU11" s="213">
        <f>SUMIFS('Expenditure Breakdown'!$Q$6:$Q$225, 'Expenditure Breakdown'!$W$6:$W$225, "&gt;="&amp;JU1,'Expenditure Breakdown'!$W$6:$W$225, "&lt;"&amp;JV1)</f>
        <v>0</v>
      </c>
      <c r="JV11" s="213">
        <f>SUMIFS('Expenditure Breakdown'!$Q$6:$Q$225, 'Expenditure Breakdown'!$W$6:$W$225, "&gt;="&amp;JV1,'Expenditure Breakdown'!$W$6:$W$225, "&lt;"&amp;JW1)</f>
        <v>0</v>
      </c>
      <c r="JW11" s="213">
        <f>SUMIFS('Expenditure Breakdown'!$Q$6:$Q$225, 'Expenditure Breakdown'!$W$6:$W$225, "&gt;="&amp;JW1,'Expenditure Breakdown'!$W$6:$W$225, "&lt;"&amp;JX1)</f>
        <v>0</v>
      </c>
      <c r="JX11" s="213">
        <f>SUMIFS('Expenditure Breakdown'!$Q$6:$Q$225, 'Expenditure Breakdown'!$W$6:$W$225, "&gt;="&amp;JX1,'Expenditure Breakdown'!$W$6:$W$225, "&lt;"&amp;JY1)</f>
        <v>0</v>
      </c>
      <c r="JY11" s="213">
        <f>SUMIFS('Expenditure Breakdown'!$Q$6:$Q$225, 'Expenditure Breakdown'!$W$6:$W$225, "&gt;="&amp;JY1,'Expenditure Breakdown'!$W$6:$W$225, "&lt;"&amp;JZ1)</f>
        <v>0</v>
      </c>
      <c r="JZ11" s="213">
        <f>SUMIFS('Expenditure Breakdown'!$Q$6:$Q$225, 'Expenditure Breakdown'!$W$6:$W$225, "&gt;="&amp;JZ1,'Expenditure Breakdown'!$W$6:$W$225, "&lt;"&amp;KA1)</f>
        <v>0</v>
      </c>
      <c r="KA11" s="213">
        <f>SUMIFS('Expenditure Breakdown'!$Q$6:$Q$225, 'Expenditure Breakdown'!$W$6:$W$225, "&gt;="&amp;KA1,'Expenditure Breakdown'!$W$6:$W$225, "&lt;"&amp;KB1)</f>
        <v>0</v>
      </c>
      <c r="KB11" s="213">
        <f>SUMIFS('Expenditure Breakdown'!$Q$6:$Q$225, 'Expenditure Breakdown'!$W$6:$W$225, "&gt;="&amp;KB1,'Expenditure Breakdown'!$W$6:$W$225, "&lt;"&amp;KC1)</f>
        <v>0</v>
      </c>
      <c r="KC11" s="213">
        <f>SUMIFS('Expenditure Breakdown'!$Q$6:$Q$225, 'Expenditure Breakdown'!$W$6:$W$225, "&gt;="&amp;KC1,'Expenditure Breakdown'!$W$6:$W$225, "&lt;"&amp;KD1)</f>
        <v>0</v>
      </c>
      <c r="KD11" s="213">
        <f>SUMIFS('Expenditure Breakdown'!$Q$6:$Q$225, 'Expenditure Breakdown'!$W$6:$W$225, "&gt;="&amp;KD1,'Expenditure Breakdown'!$W$6:$W$225, "&lt;"&amp;KE1)</f>
        <v>0</v>
      </c>
      <c r="KE11" s="213">
        <f>SUMIFS('Expenditure Breakdown'!$Q$6:$Q$225, 'Expenditure Breakdown'!$W$6:$W$225, "&gt;="&amp;KE1,'Expenditure Breakdown'!$W$6:$W$225, "&lt;"&amp;KF1)</f>
        <v>0</v>
      </c>
      <c r="KF11" s="213">
        <f>SUMIFS('Expenditure Breakdown'!$Q$6:$Q$225, 'Expenditure Breakdown'!$W$6:$W$225, "&gt;="&amp;KF1,'Expenditure Breakdown'!$W$6:$W$225, "&lt;"&amp;KG1)</f>
        <v>0</v>
      </c>
      <c r="KG11" s="213">
        <f>SUMIFS('Expenditure Breakdown'!$Q$6:$Q$225, 'Expenditure Breakdown'!$W$6:$W$225, "&gt;="&amp;KG1,'Expenditure Breakdown'!$W$6:$W$225, "&lt;"&amp;KH1)</f>
        <v>0</v>
      </c>
      <c r="KH11" s="213">
        <f>SUMIFS('Expenditure Breakdown'!$Q$6:$Q$225, 'Expenditure Breakdown'!$W$6:$W$225, "&gt;="&amp;KH1,'Expenditure Breakdown'!$W$6:$W$225, "&lt;"&amp;KI1)</f>
        <v>0</v>
      </c>
      <c r="KI11" s="213">
        <f>SUMIFS('Expenditure Breakdown'!$Q$6:$Q$225, 'Expenditure Breakdown'!$W$6:$W$225, "&gt;="&amp;KI1,'Expenditure Breakdown'!$W$6:$W$225, "&lt;"&amp;KJ1)</f>
        <v>0</v>
      </c>
      <c r="KJ11" s="213">
        <f>SUMIFS('Expenditure Breakdown'!$Q$6:$Q$225, 'Expenditure Breakdown'!$W$6:$W$225, "&gt;="&amp;KJ1,'Expenditure Breakdown'!$W$6:$W$225, "&lt;"&amp;KK1)</f>
        <v>0</v>
      </c>
      <c r="KK11" s="213">
        <f>SUMIFS('Expenditure Breakdown'!$Q$6:$Q$225, 'Expenditure Breakdown'!$W$6:$W$225, "&gt;="&amp;KK1,'Expenditure Breakdown'!$W$6:$W$225, "&lt;"&amp;KL1)</f>
        <v>0</v>
      </c>
      <c r="KL11" s="213">
        <f>SUMIFS('Expenditure Breakdown'!$Q$6:$Q$225, 'Expenditure Breakdown'!$W$6:$W$225, "&gt;="&amp;KL1,'Expenditure Breakdown'!$W$6:$W$225, "&lt;"&amp;KM1)</f>
        <v>0</v>
      </c>
      <c r="KM11" s="213">
        <f>SUMIFS('Expenditure Breakdown'!$Q$6:$Q$225, 'Expenditure Breakdown'!$W$6:$W$225, "&gt;="&amp;KM1,'Expenditure Breakdown'!$W$6:$W$225, "&lt;"&amp;KN1)</f>
        <v>0</v>
      </c>
      <c r="KN11" s="213">
        <f>SUMIFS('Expenditure Breakdown'!$Q$6:$Q$225, 'Expenditure Breakdown'!$W$6:$W$225, "&gt;="&amp;KN1,'Expenditure Breakdown'!$W$6:$W$225, "&lt;"&amp;KO1)</f>
        <v>0</v>
      </c>
      <c r="KO11" s="213">
        <f>SUMIFS('Expenditure Breakdown'!$Q$6:$Q$225, 'Expenditure Breakdown'!$W$6:$W$225, "&gt;="&amp;KO1,'Expenditure Breakdown'!$W$6:$W$225, "&lt;"&amp;KP1)</f>
        <v>0</v>
      </c>
      <c r="KP11" s="213">
        <f>SUMIFS('Expenditure Breakdown'!$Q$6:$Q$225, 'Expenditure Breakdown'!$W$6:$W$225, "&gt;="&amp;KP1,'Expenditure Breakdown'!$W$6:$W$225, "&lt;"&amp;KQ1)</f>
        <v>0</v>
      </c>
      <c r="KQ11" s="213">
        <f>SUMIFS('Expenditure Breakdown'!$Q$6:$Q$225, 'Expenditure Breakdown'!$W$6:$W$225, "&gt;="&amp;KQ1,'Expenditure Breakdown'!$W$6:$W$225, "&lt;"&amp;KR1)</f>
        <v>0</v>
      </c>
      <c r="KR11" s="213">
        <f>SUMIFS('Expenditure Breakdown'!$Q$6:$Q$225, 'Expenditure Breakdown'!$W$6:$W$225, "&gt;="&amp;KR1,'Expenditure Breakdown'!$W$6:$W$225, "&lt;"&amp;KS1)</f>
        <v>0</v>
      </c>
      <c r="KS11" s="213">
        <f>SUMIFS('Expenditure Breakdown'!$Q$6:$Q$225, 'Expenditure Breakdown'!$W$6:$W$225, "&gt;="&amp;KS1,'Expenditure Breakdown'!$W$6:$W$225, "&lt;"&amp;KT1)</f>
        <v>0</v>
      </c>
      <c r="KT11" s="213">
        <f>SUMIFS('Expenditure Breakdown'!$Q$6:$Q$225, 'Expenditure Breakdown'!$W$6:$W$225, "&gt;="&amp;KT1,'Expenditure Breakdown'!$W$6:$W$225, "&lt;"&amp;KU1)</f>
        <v>0</v>
      </c>
      <c r="KU11" s="213">
        <f>SUMIFS('Expenditure Breakdown'!$Q$6:$Q$225, 'Expenditure Breakdown'!$W$6:$W$225, "&gt;="&amp;KU1,'Expenditure Breakdown'!$W$6:$W$225, "&lt;"&amp;KV1)</f>
        <v>0</v>
      </c>
      <c r="KV11" s="213">
        <f>SUMIFS('Expenditure Breakdown'!$Q$6:$Q$225, 'Expenditure Breakdown'!$W$6:$W$225, "&gt;="&amp;KV1,'Expenditure Breakdown'!$W$6:$W$225, "&lt;"&amp;KW1)</f>
        <v>0</v>
      </c>
      <c r="KW11" s="213">
        <f>SUMIFS('Expenditure Breakdown'!$Q$6:$Q$225, 'Expenditure Breakdown'!$W$6:$W$225, "&gt;="&amp;KW1,'Expenditure Breakdown'!$W$6:$W$225, "&lt;"&amp;KX1)</f>
        <v>0</v>
      </c>
      <c r="KX11" s="213">
        <f>SUMIFS('Expenditure Breakdown'!$Q$6:$Q$225, 'Expenditure Breakdown'!$W$6:$W$225, "&gt;="&amp;KX1,'Expenditure Breakdown'!$W$6:$W$225, "&lt;"&amp;KY1)</f>
        <v>0</v>
      </c>
      <c r="KY11" s="213">
        <f>SUMIFS('Expenditure Breakdown'!$Q$6:$Q$225, 'Expenditure Breakdown'!$W$6:$W$225, "&gt;="&amp;KY1,'Expenditure Breakdown'!$W$6:$W$225, "&lt;"&amp;KZ1)</f>
        <v>0</v>
      </c>
      <c r="KZ11" s="213">
        <f>SUMIFS('Expenditure Breakdown'!$Q$6:$Q$225, 'Expenditure Breakdown'!$W$6:$W$225, "&gt;="&amp;KZ1,'Expenditure Breakdown'!$W$6:$W$225, "&lt;"&amp;LA1)</f>
        <v>0</v>
      </c>
      <c r="LA11" s="213">
        <f>SUMIFS('Expenditure Breakdown'!$Q$6:$Q$225, 'Expenditure Breakdown'!$W$6:$W$225, "&gt;="&amp;LA1,'Expenditure Breakdown'!$W$6:$W$225, "&lt;"&amp;LB1)</f>
        <v>0</v>
      </c>
      <c r="LB11" s="213">
        <f>SUMIFS('Expenditure Breakdown'!$Q$6:$Q$225, 'Expenditure Breakdown'!$W$6:$W$225, "&gt;="&amp;LB1,'Expenditure Breakdown'!$W$6:$W$225, "&lt;"&amp;LC1)</f>
        <v>0</v>
      </c>
      <c r="LC11" s="213">
        <f>SUMIFS('Expenditure Breakdown'!$Q$6:$Q$225, 'Expenditure Breakdown'!$W$6:$W$225, "&gt;="&amp;LC1,'Expenditure Breakdown'!$W$6:$W$225, "&lt;"&amp;LD1)</f>
        <v>0</v>
      </c>
      <c r="LD11" s="213">
        <f>SUMIFS('Expenditure Breakdown'!$Q$6:$Q$225, 'Expenditure Breakdown'!$W$6:$W$225, "&gt;="&amp;LD1,'Expenditure Breakdown'!$W$6:$W$225, "&lt;"&amp;#REF!)</f>
        <v>0</v>
      </c>
      <c r="LE11" s="190"/>
      <c r="LF11" s="201"/>
      <c r="LG11" s="201"/>
    </row>
    <row r="12" spans="1:794" s="202" customFormat="1">
      <c r="A12" s="846"/>
      <c r="B12" s="211" t="s">
        <v>591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8096014.79</v>
      </c>
      <c r="BH12" s="213">
        <f t="shared" si="26"/>
        <v>8096652.6299999999</v>
      </c>
      <c r="BI12" s="213">
        <f t="shared" si="26"/>
        <v>8096652.6299999999</v>
      </c>
      <c r="BJ12" s="213">
        <f t="shared" si="26"/>
        <v>8168335.6039130436</v>
      </c>
      <c r="BK12" s="213">
        <f t="shared" si="26"/>
        <v>8234019.3139130436</v>
      </c>
      <c r="BL12" s="213">
        <f t="shared" si="26"/>
        <v>8234669.3139130436</v>
      </c>
      <c r="BM12" s="213">
        <f t="shared" si="26"/>
        <v>8234669.3139130436</v>
      </c>
      <c r="BN12" s="213">
        <f t="shared" si="26"/>
        <v>8234669.3139130436</v>
      </c>
      <c r="BO12" s="213">
        <f t="shared" si="26"/>
        <v>8234669.3139130436</v>
      </c>
      <c r="BP12" s="213">
        <f t="shared" si="26"/>
        <v>8234669.3139130436</v>
      </c>
      <c r="BQ12" s="213">
        <f t="shared" si="26"/>
        <v>8234669.3139130436</v>
      </c>
      <c r="BR12" s="213">
        <f t="shared" si="26"/>
        <v>8234669.3139130436</v>
      </c>
      <c r="BS12" s="213">
        <f t="shared" si="26"/>
        <v>8234669.3139130436</v>
      </c>
      <c r="BT12" s="213">
        <f t="shared" si="26"/>
        <v>8234669.3139130436</v>
      </c>
      <c r="BU12" s="213">
        <f t="shared" ref="BU12:EF12" si="27">BT12+BU11</f>
        <v>8234669.3139130436</v>
      </c>
      <c r="BV12" s="213">
        <f t="shared" si="27"/>
        <v>8234669.3139130436</v>
      </c>
      <c r="BW12" s="213">
        <f t="shared" si="27"/>
        <v>8234669.3139130436</v>
      </c>
      <c r="BX12" s="213">
        <f t="shared" si="27"/>
        <v>8234669.3139130436</v>
      </c>
      <c r="BY12" s="213">
        <f t="shared" si="27"/>
        <v>8234669.3139130436</v>
      </c>
      <c r="BZ12" s="213">
        <f t="shared" si="27"/>
        <v>8234669.3139130436</v>
      </c>
      <c r="CA12" s="213">
        <f t="shared" si="27"/>
        <v>8234669.3139130436</v>
      </c>
      <c r="CB12" s="213">
        <f t="shared" si="27"/>
        <v>8234669.3139130436</v>
      </c>
      <c r="CC12" s="213">
        <f t="shared" si="27"/>
        <v>8234669.3139130436</v>
      </c>
      <c r="CD12" s="213">
        <f t="shared" si="27"/>
        <v>8234669.3139130436</v>
      </c>
      <c r="CE12" s="213">
        <f t="shared" si="27"/>
        <v>8234669.3139130436</v>
      </c>
      <c r="CF12" s="213">
        <f t="shared" si="27"/>
        <v>8234669.3139130436</v>
      </c>
      <c r="CG12" s="213">
        <f t="shared" si="27"/>
        <v>8234669.3139130436</v>
      </c>
      <c r="CH12" s="213">
        <f t="shared" si="27"/>
        <v>8234669.3139130436</v>
      </c>
      <c r="CI12" s="213">
        <f t="shared" si="27"/>
        <v>8234669.3139130436</v>
      </c>
      <c r="CJ12" s="213">
        <f t="shared" si="27"/>
        <v>8234669.3139130436</v>
      </c>
      <c r="CK12" s="213">
        <f t="shared" si="27"/>
        <v>8234669.3139130436</v>
      </c>
      <c r="CL12" s="213">
        <f t="shared" si="27"/>
        <v>8234669.3139130436</v>
      </c>
      <c r="CM12" s="213">
        <f t="shared" si="27"/>
        <v>8234669.3139130436</v>
      </c>
      <c r="CN12" s="213">
        <f t="shared" si="27"/>
        <v>8234669.3139130436</v>
      </c>
      <c r="CO12" s="213">
        <f t="shared" si="27"/>
        <v>8234669.3139130436</v>
      </c>
      <c r="CP12" s="213">
        <f t="shared" si="27"/>
        <v>8234669.3139130436</v>
      </c>
      <c r="CQ12" s="213">
        <f t="shared" si="27"/>
        <v>8234669.3139130436</v>
      </c>
      <c r="CR12" s="213">
        <f t="shared" si="27"/>
        <v>8234669.3139130436</v>
      </c>
      <c r="CS12" s="213">
        <f t="shared" si="27"/>
        <v>8234669.3139130436</v>
      </c>
      <c r="CT12" s="213">
        <f t="shared" si="27"/>
        <v>8234669.3139130436</v>
      </c>
      <c r="CU12" s="213">
        <f t="shared" si="27"/>
        <v>8234669.3139130436</v>
      </c>
      <c r="CV12" s="213">
        <f t="shared" si="27"/>
        <v>8234669.3139130436</v>
      </c>
      <c r="CW12" s="213">
        <f t="shared" si="27"/>
        <v>8234669.3139130436</v>
      </c>
      <c r="CX12" s="213">
        <f t="shared" si="27"/>
        <v>8234669.3139130436</v>
      </c>
      <c r="CY12" s="213">
        <f t="shared" si="27"/>
        <v>8234669.3139130436</v>
      </c>
      <c r="CZ12" s="213">
        <f t="shared" si="27"/>
        <v>8234669.3139130436</v>
      </c>
      <c r="DA12" s="213">
        <f t="shared" si="27"/>
        <v>8234669.3139130436</v>
      </c>
      <c r="DB12" s="213">
        <f t="shared" si="27"/>
        <v>8234669.3139130436</v>
      </c>
      <c r="DC12" s="213">
        <f t="shared" si="27"/>
        <v>8234669.3139130436</v>
      </c>
      <c r="DD12" s="213">
        <f t="shared" si="27"/>
        <v>8234669.3139130436</v>
      </c>
      <c r="DE12" s="213">
        <f t="shared" si="27"/>
        <v>8234669.3139130436</v>
      </c>
      <c r="DF12" s="213">
        <f t="shared" si="27"/>
        <v>8234669.3139130436</v>
      </c>
      <c r="DG12" s="213">
        <f t="shared" si="27"/>
        <v>8234669.3139130436</v>
      </c>
      <c r="DH12" s="213">
        <f t="shared" si="27"/>
        <v>8234669.3139130436</v>
      </c>
      <c r="DI12" s="213">
        <f t="shared" si="27"/>
        <v>8234669.3139130436</v>
      </c>
      <c r="DJ12" s="213">
        <f t="shared" si="27"/>
        <v>8234669.3139130436</v>
      </c>
      <c r="DK12" s="213">
        <f t="shared" si="27"/>
        <v>8234669.3139130436</v>
      </c>
      <c r="DL12" s="213">
        <f t="shared" si="27"/>
        <v>8234669.3139130436</v>
      </c>
      <c r="DM12" s="213">
        <f t="shared" si="27"/>
        <v>8234669.3139130436</v>
      </c>
      <c r="DN12" s="213">
        <f t="shared" si="27"/>
        <v>8234669.3139130436</v>
      </c>
      <c r="DO12" s="213">
        <f t="shared" si="27"/>
        <v>8234669.3139130436</v>
      </c>
      <c r="DP12" s="213">
        <f t="shared" si="27"/>
        <v>8234669.3139130436</v>
      </c>
      <c r="DQ12" s="213">
        <f t="shared" si="27"/>
        <v>8234669.3139130436</v>
      </c>
      <c r="DR12" s="213">
        <f t="shared" si="27"/>
        <v>8234669.3139130436</v>
      </c>
      <c r="DS12" s="213">
        <f t="shared" si="27"/>
        <v>8234669.3139130436</v>
      </c>
      <c r="DT12" s="213">
        <f t="shared" si="27"/>
        <v>8234669.3139130436</v>
      </c>
      <c r="DU12" s="213">
        <f t="shared" si="27"/>
        <v>8234669.3139130436</v>
      </c>
      <c r="DV12" s="213">
        <f t="shared" si="27"/>
        <v>8234669.3139130436</v>
      </c>
      <c r="DW12" s="213">
        <f t="shared" si="27"/>
        <v>8234669.3139130436</v>
      </c>
      <c r="DX12" s="213">
        <f t="shared" si="27"/>
        <v>8234669.3139130436</v>
      </c>
      <c r="DY12" s="213">
        <f t="shared" si="27"/>
        <v>8234669.3139130436</v>
      </c>
      <c r="DZ12" s="213">
        <f t="shared" si="27"/>
        <v>8234669.3139130436</v>
      </c>
      <c r="EA12" s="213">
        <f t="shared" si="27"/>
        <v>8234669.3139130436</v>
      </c>
      <c r="EB12" s="213">
        <f t="shared" si="27"/>
        <v>8234669.3139130436</v>
      </c>
      <c r="EC12" s="213">
        <f t="shared" si="27"/>
        <v>8234669.3139130436</v>
      </c>
      <c r="ED12" s="213">
        <f t="shared" si="27"/>
        <v>8234669.3139130436</v>
      </c>
      <c r="EE12" s="213">
        <f t="shared" si="27"/>
        <v>8234669.3139130436</v>
      </c>
      <c r="EF12" s="213">
        <f t="shared" si="27"/>
        <v>8234669.3139130436</v>
      </c>
      <c r="EG12" s="213">
        <f t="shared" ref="EG12:GR12" si="28">EF12+EG11</f>
        <v>8234669.3139130436</v>
      </c>
      <c r="EH12" s="213">
        <f t="shared" si="28"/>
        <v>8234669.3139130436</v>
      </c>
      <c r="EI12" s="213">
        <f t="shared" si="28"/>
        <v>8234669.3139130436</v>
      </c>
      <c r="EJ12" s="213">
        <f t="shared" si="28"/>
        <v>8234669.3139130436</v>
      </c>
      <c r="EK12" s="213">
        <f t="shared" si="28"/>
        <v>8234669.3139130436</v>
      </c>
      <c r="EL12" s="213">
        <f t="shared" si="28"/>
        <v>8234669.3139130436</v>
      </c>
      <c r="EM12" s="213">
        <f t="shared" si="28"/>
        <v>8234669.3139130436</v>
      </c>
      <c r="EN12" s="213">
        <f t="shared" si="28"/>
        <v>8234669.3139130436</v>
      </c>
      <c r="EO12" s="213">
        <f t="shared" si="28"/>
        <v>8234669.3139130436</v>
      </c>
      <c r="EP12" s="213">
        <f t="shared" si="28"/>
        <v>8234669.3139130436</v>
      </c>
      <c r="EQ12" s="213">
        <f t="shared" si="28"/>
        <v>8234669.3139130436</v>
      </c>
      <c r="ER12" s="213">
        <f t="shared" si="28"/>
        <v>8234669.3139130436</v>
      </c>
      <c r="ES12" s="213">
        <f t="shared" si="28"/>
        <v>8234669.3139130436</v>
      </c>
      <c r="ET12" s="213">
        <f t="shared" si="28"/>
        <v>8234669.3139130436</v>
      </c>
      <c r="EU12" s="213">
        <f t="shared" si="28"/>
        <v>8234669.3139130436</v>
      </c>
      <c r="EV12" s="213">
        <f t="shared" si="28"/>
        <v>8234669.3139130436</v>
      </c>
      <c r="EW12" s="213">
        <f t="shared" si="28"/>
        <v>8234669.3139130436</v>
      </c>
      <c r="EX12" s="213">
        <f t="shared" si="28"/>
        <v>8234669.3139130436</v>
      </c>
      <c r="EY12" s="213">
        <f t="shared" si="28"/>
        <v>8234669.3139130436</v>
      </c>
      <c r="EZ12" s="213">
        <f t="shared" si="28"/>
        <v>8234669.3139130436</v>
      </c>
      <c r="FA12" s="213">
        <f t="shared" si="28"/>
        <v>8234669.3139130436</v>
      </c>
      <c r="FB12" s="213">
        <f t="shared" si="28"/>
        <v>8234669.3139130436</v>
      </c>
      <c r="FC12" s="213">
        <f t="shared" si="28"/>
        <v>8234669.3139130436</v>
      </c>
      <c r="FD12" s="213">
        <f t="shared" si="28"/>
        <v>8234669.3139130436</v>
      </c>
      <c r="FE12" s="213">
        <f t="shared" si="28"/>
        <v>8234669.3139130436</v>
      </c>
      <c r="FF12" s="213">
        <f t="shared" si="28"/>
        <v>8234669.3139130436</v>
      </c>
      <c r="FG12" s="213">
        <f t="shared" si="28"/>
        <v>8234669.3139130436</v>
      </c>
      <c r="FH12" s="213">
        <f t="shared" si="28"/>
        <v>8234669.3139130436</v>
      </c>
      <c r="FI12" s="213">
        <f t="shared" si="28"/>
        <v>8234669.3139130436</v>
      </c>
      <c r="FJ12" s="213">
        <f t="shared" si="28"/>
        <v>8234669.3139130436</v>
      </c>
      <c r="FK12" s="213">
        <f t="shared" si="28"/>
        <v>8234669.3139130436</v>
      </c>
      <c r="FL12" s="213">
        <f t="shared" si="28"/>
        <v>8234669.3139130436</v>
      </c>
      <c r="FM12" s="213">
        <f t="shared" si="28"/>
        <v>8234669.3139130436</v>
      </c>
      <c r="FN12" s="213">
        <f t="shared" si="28"/>
        <v>8234669.3139130436</v>
      </c>
      <c r="FO12" s="213">
        <f t="shared" si="28"/>
        <v>8234669.3139130436</v>
      </c>
      <c r="FP12" s="213">
        <f t="shared" si="28"/>
        <v>8234669.3139130436</v>
      </c>
      <c r="FQ12" s="213">
        <f t="shared" si="28"/>
        <v>8234669.3139130436</v>
      </c>
      <c r="FR12" s="213">
        <f t="shared" si="28"/>
        <v>8234669.3139130436</v>
      </c>
      <c r="FS12" s="213">
        <f t="shared" si="28"/>
        <v>8234669.3139130436</v>
      </c>
      <c r="FT12" s="213">
        <f t="shared" si="28"/>
        <v>8234669.3139130436</v>
      </c>
      <c r="FU12" s="213">
        <f t="shared" si="28"/>
        <v>8234669.3139130436</v>
      </c>
      <c r="FV12" s="213">
        <f t="shared" si="28"/>
        <v>8234669.3139130436</v>
      </c>
      <c r="FW12" s="213">
        <f t="shared" si="28"/>
        <v>8234669.3139130436</v>
      </c>
      <c r="FX12" s="213">
        <f t="shared" si="28"/>
        <v>8234669.3139130436</v>
      </c>
      <c r="FY12" s="213">
        <f t="shared" si="28"/>
        <v>8234669.3139130436</v>
      </c>
      <c r="FZ12" s="213">
        <f t="shared" si="28"/>
        <v>8234669.3139130436</v>
      </c>
      <c r="GA12" s="213">
        <f t="shared" si="28"/>
        <v>8234669.3139130436</v>
      </c>
      <c r="GB12" s="213">
        <f t="shared" si="28"/>
        <v>8234669.3139130436</v>
      </c>
      <c r="GC12" s="213">
        <f t="shared" si="28"/>
        <v>8234669.3139130436</v>
      </c>
      <c r="GD12" s="213">
        <f t="shared" si="28"/>
        <v>8234669.3139130436</v>
      </c>
      <c r="GE12" s="213">
        <f t="shared" si="28"/>
        <v>8234669.3139130436</v>
      </c>
      <c r="GF12" s="213">
        <f t="shared" si="28"/>
        <v>8234669.3139130436</v>
      </c>
      <c r="GG12" s="213">
        <f t="shared" si="28"/>
        <v>8234669.3139130436</v>
      </c>
      <c r="GH12" s="213">
        <f t="shared" si="28"/>
        <v>8234669.3139130436</v>
      </c>
      <c r="GI12" s="213">
        <f t="shared" si="28"/>
        <v>8234669.3139130436</v>
      </c>
      <c r="GJ12" s="213">
        <f t="shared" si="28"/>
        <v>8234669.3139130436</v>
      </c>
      <c r="GK12" s="213">
        <f t="shared" si="28"/>
        <v>8234669.3139130436</v>
      </c>
      <c r="GL12" s="213">
        <f t="shared" si="28"/>
        <v>8234669.3139130436</v>
      </c>
      <c r="GM12" s="213">
        <f t="shared" si="28"/>
        <v>8234669.3139130436</v>
      </c>
      <c r="GN12" s="213">
        <f t="shared" si="28"/>
        <v>8234669.3139130436</v>
      </c>
      <c r="GO12" s="213">
        <f t="shared" si="28"/>
        <v>8234669.3139130436</v>
      </c>
      <c r="GP12" s="213">
        <f t="shared" si="28"/>
        <v>8234669.3139130436</v>
      </c>
      <c r="GQ12" s="213">
        <f t="shared" si="28"/>
        <v>8234669.3139130436</v>
      </c>
      <c r="GR12" s="213">
        <f t="shared" si="28"/>
        <v>8234669.3139130436</v>
      </c>
      <c r="GS12" s="213">
        <f t="shared" ref="GS12:JD12" si="29">GR12+GS11</f>
        <v>8234669.3139130436</v>
      </c>
      <c r="GT12" s="213">
        <f t="shared" si="29"/>
        <v>8234669.3139130436</v>
      </c>
      <c r="GU12" s="213">
        <f t="shared" si="29"/>
        <v>8234669.3139130436</v>
      </c>
      <c r="GV12" s="213">
        <f t="shared" si="29"/>
        <v>8234669.3139130436</v>
      </c>
      <c r="GW12" s="213">
        <f t="shared" si="29"/>
        <v>8234669.3139130436</v>
      </c>
      <c r="GX12" s="213">
        <f t="shared" si="29"/>
        <v>8234669.3139130436</v>
      </c>
      <c r="GY12" s="213">
        <f t="shared" si="29"/>
        <v>8234669.3139130436</v>
      </c>
      <c r="GZ12" s="213">
        <f t="shared" si="29"/>
        <v>8234669.3139130436</v>
      </c>
      <c r="HA12" s="213">
        <f t="shared" si="29"/>
        <v>8234669.3139130436</v>
      </c>
      <c r="HB12" s="213">
        <f t="shared" si="29"/>
        <v>8234669.3139130436</v>
      </c>
      <c r="HC12" s="213">
        <f t="shared" si="29"/>
        <v>8234669.3139130436</v>
      </c>
      <c r="HD12" s="213">
        <f t="shared" si="29"/>
        <v>8234669.3139130436</v>
      </c>
      <c r="HE12" s="213">
        <f t="shared" si="29"/>
        <v>8234669.3139130436</v>
      </c>
      <c r="HF12" s="213">
        <f t="shared" si="29"/>
        <v>8234669.3139130436</v>
      </c>
      <c r="HG12" s="213">
        <f t="shared" si="29"/>
        <v>8234669.3139130436</v>
      </c>
      <c r="HH12" s="213">
        <f t="shared" si="29"/>
        <v>8234669.3139130436</v>
      </c>
      <c r="HI12" s="213">
        <f t="shared" si="29"/>
        <v>8234669.3139130436</v>
      </c>
      <c r="HJ12" s="213">
        <f t="shared" si="29"/>
        <v>8234669.3139130436</v>
      </c>
      <c r="HK12" s="213">
        <f t="shared" si="29"/>
        <v>8234669.3139130436</v>
      </c>
      <c r="HL12" s="213">
        <f t="shared" si="29"/>
        <v>8234669.3139130436</v>
      </c>
      <c r="HM12" s="213">
        <f t="shared" si="29"/>
        <v>8234669.3139130436</v>
      </c>
      <c r="HN12" s="213">
        <f t="shared" si="29"/>
        <v>8234669.3139130436</v>
      </c>
      <c r="HO12" s="213">
        <f t="shared" si="29"/>
        <v>8234669.3139130436</v>
      </c>
      <c r="HP12" s="213">
        <f t="shared" si="29"/>
        <v>8234669.3139130436</v>
      </c>
      <c r="HQ12" s="213">
        <f t="shared" si="29"/>
        <v>8234669.3139130436</v>
      </c>
      <c r="HR12" s="213">
        <f t="shared" si="29"/>
        <v>8234669.3139130436</v>
      </c>
      <c r="HS12" s="213">
        <f t="shared" si="29"/>
        <v>8234669.3139130436</v>
      </c>
      <c r="HT12" s="213">
        <f t="shared" si="29"/>
        <v>8234669.3139130436</v>
      </c>
      <c r="HU12" s="213">
        <f t="shared" si="29"/>
        <v>8234669.3139130436</v>
      </c>
      <c r="HV12" s="213">
        <f t="shared" si="29"/>
        <v>8234669.3139130436</v>
      </c>
      <c r="HW12" s="213">
        <f t="shared" si="29"/>
        <v>8234669.3139130436</v>
      </c>
      <c r="HX12" s="213">
        <f t="shared" si="29"/>
        <v>8234669.3139130436</v>
      </c>
      <c r="HY12" s="213">
        <f t="shared" si="29"/>
        <v>8234669.3139130436</v>
      </c>
      <c r="HZ12" s="213">
        <f t="shared" si="29"/>
        <v>8234669.3139130436</v>
      </c>
      <c r="IA12" s="213">
        <f t="shared" si="29"/>
        <v>8234669.3139130436</v>
      </c>
      <c r="IB12" s="213">
        <f t="shared" si="29"/>
        <v>8234669.3139130436</v>
      </c>
      <c r="IC12" s="213">
        <f t="shared" si="29"/>
        <v>8234669.3139130436</v>
      </c>
      <c r="ID12" s="213">
        <f t="shared" si="29"/>
        <v>8234669.3139130436</v>
      </c>
      <c r="IE12" s="213">
        <f t="shared" si="29"/>
        <v>8234669.3139130436</v>
      </c>
      <c r="IF12" s="213">
        <f t="shared" si="29"/>
        <v>8234669.3139130436</v>
      </c>
      <c r="IG12" s="213">
        <f t="shared" si="29"/>
        <v>8234669.3139130436</v>
      </c>
      <c r="IH12" s="213">
        <f t="shared" si="29"/>
        <v>8234669.3139130436</v>
      </c>
      <c r="II12" s="213">
        <f t="shared" si="29"/>
        <v>8234669.3139130436</v>
      </c>
      <c r="IJ12" s="213">
        <f t="shared" si="29"/>
        <v>8234669.3139130436</v>
      </c>
      <c r="IK12" s="213">
        <f t="shared" si="29"/>
        <v>8234669.3139130436</v>
      </c>
      <c r="IL12" s="213">
        <f t="shared" si="29"/>
        <v>8234669.3139130436</v>
      </c>
      <c r="IM12" s="213">
        <f t="shared" si="29"/>
        <v>8234669.3139130436</v>
      </c>
      <c r="IN12" s="213">
        <f t="shared" si="29"/>
        <v>8234669.3139130436</v>
      </c>
      <c r="IO12" s="213">
        <f t="shared" si="29"/>
        <v>8234669.3139130436</v>
      </c>
      <c r="IP12" s="213">
        <f t="shared" si="29"/>
        <v>8234669.3139130436</v>
      </c>
      <c r="IQ12" s="213">
        <f t="shared" si="29"/>
        <v>8234669.3139130436</v>
      </c>
      <c r="IR12" s="213">
        <f t="shared" si="29"/>
        <v>8234669.3139130436</v>
      </c>
      <c r="IS12" s="213">
        <f t="shared" si="29"/>
        <v>8234669.3139130436</v>
      </c>
      <c r="IT12" s="213">
        <f t="shared" si="29"/>
        <v>8234669.3139130436</v>
      </c>
      <c r="IU12" s="213">
        <f t="shared" si="29"/>
        <v>8234669.3139130436</v>
      </c>
      <c r="IV12" s="213">
        <f t="shared" si="29"/>
        <v>8234669.3139130436</v>
      </c>
      <c r="IW12" s="213">
        <f t="shared" si="29"/>
        <v>8234669.3139130436</v>
      </c>
      <c r="IX12" s="213">
        <f t="shared" si="29"/>
        <v>8234669.3139130436</v>
      </c>
      <c r="IY12" s="213">
        <f t="shared" si="29"/>
        <v>8234669.3139130436</v>
      </c>
      <c r="IZ12" s="213">
        <f t="shared" si="29"/>
        <v>8234669.3139130436</v>
      </c>
      <c r="JA12" s="213">
        <f t="shared" si="29"/>
        <v>8234669.3139130436</v>
      </c>
      <c r="JB12" s="213">
        <f t="shared" si="29"/>
        <v>8234669.3139130436</v>
      </c>
      <c r="JC12" s="213">
        <f t="shared" si="29"/>
        <v>8234669.3139130436</v>
      </c>
      <c r="JD12" s="213">
        <f t="shared" si="29"/>
        <v>8234669.3139130436</v>
      </c>
      <c r="JE12" s="213">
        <f t="shared" ref="JE12:LD12" si="30">JD12+JE11</f>
        <v>8234669.3139130436</v>
      </c>
      <c r="JF12" s="213">
        <f t="shared" si="30"/>
        <v>8234669.3139130436</v>
      </c>
      <c r="JG12" s="213">
        <f t="shared" si="30"/>
        <v>8234669.3139130436</v>
      </c>
      <c r="JH12" s="213">
        <f t="shared" si="30"/>
        <v>8234669.3139130436</v>
      </c>
      <c r="JI12" s="213">
        <f t="shared" si="30"/>
        <v>8234669.3139130436</v>
      </c>
      <c r="JJ12" s="213">
        <f t="shared" si="30"/>
        <v>8234669.3139130436</v>
      </c>
      <c r="JK12" s="213">
        <f t="shared" si="30"/>
        <v>8234669.3139130436</v>
      </c>
      <c r="JL12" s="213">
        <f t="shared" si="30"/>
        <v>8234669.3139130436</v>
      </c>
      <c r="JM12" s="213">
        <f t="shared" si="30"/>
        <v>8234669.3139130436</v>
      </c>
      <c r="JN12" s="213">
        <f t="shared" si="30"/>
        <v>8234669.3139130436</v>
      </c>
      <c r="JO12" s="213">
        <f t="shared" si="30"/>
        <v>8234669.3139130436</v>
      </c>
      <c r="JP12" s="213">
        <f t="shared" si="30"/>
        <v>8234669.3139130436</v>
      </c>
      <c r="JQ12" s="213">
        <f t="shared" si="30"/>
        <v>8234669.3139130436</v>
      </c>
      <c r="JR12" s="213">
        <f t="shared" si="30"/>
        <v>8234669.3139130436</v>
      </c>
      <c r="JS12" s="213">
        <f t="shared" si="30"/>
        <v>8234669.3139130436</v>
      </c>
      <c r="JT12" s="213">
        <f t="shared" si="30"/>
        <v>8234669.3139130436</v>
      </c>
      <c r="JU12" s="213">
        <f t="shared" si="30"/>
        <v>8234669.3139130436</v>
      </c>
      <c r="JV12" s="213">
        <f t="shared" si="30"/>
        <v>8234669.3139130436</v>
      </c>
      <c r="JW12" s="213">
        <f t="shared" si="30"/>
        <v>8234669.3139130436</v>
      </c>
      <c r="JX12" s="213">
        <f t="shared" si="30"/>
        <v>8234669.3139130436</v>
      </c>
      <c r="JY12" s="213">
        <f t="shared" si="30"/>
        <v>8234669.3139130436</v>
      </c>
      <c r="JZ12" s="213">
        <f t="shared" si="30"/>
        <v>8234669.3139130436</v>
      </c>
      <c r="KA12" s="213">
        <f t="shared" si="30"/>
        <v>8234669.3139130436</v>
      </c>
      <c r="KB12" s="213">
        <f t="shared" si="30"/>
        <v>8234669.3139130436</v>
      </c>
      <c r="KC12" s="213">
        <f t="shared" si="30"/>
        <v>8234669.3139130436</v>
      </c>
      <c r="KD12" s="213">
        <f t="shared" si="30"/>
        <v>8234669.3139130436</v>
      </c>
      <c r="KE12" s="213">
        <f t="shared" si="30"/>
        <v>8234669.3139130436</v>
      </c>
      <c r="KF12" s="213">
        <f t="shared" si="30"/>
        <v>8234669.3139130436</v>
      </c>
      <c r="KG12" s="213">
        <f t="shared" si="30"/>
        <v>8234669.3139130436</v>
      </c>
      <c r="KH12" s="213">
        <f t="shared" si="30"/>
        <v>8234669.3139130436</v>
      </c>
      <c r="KI12" s="213">
        <f t="shared" si="30"/>
        <v>8234669.3139130436</v>
      </c>
      <c r="KJ12" s="213">
        <f t="shared" si="30"/>
        <v>8234669.3139130436</v>
      </c>
      <c r="KK12" s="213">
        <f t="shared" si="30"/>
        <v>8234669.3139130436</v>
      </c>
      <c r="KL12" s="213">
        <f t="shared" si="30"/>
        <v>8234669.3139130436</v>
      </c>
      <c r="KM12" s="213">
        <f t="shared" si="30"/>
        <v>8234669.3139130436</v>
      </c>
      <c r="KN12" s="213">
        <f t="shared" si="30"/>
        <v>8234669.3139130436</v>
      </c>
      <c r="KO12" s="213">
        <f t="shared" si="30"/>
        <v>8234669.3139130436</v>
      </c>
      <c r="KP12" s="213">
        <f t="shared" si="30"/>
        <v>8234669.3139130436</v>
      </c>
      <c r="KQ12" s="213">
        <f t="shared" si="30"/>
        <v>8234669.3139130436</v>
      </c>
      <c r="KR12" s="213">
        <f t="shared" si="30"/>
        <v>8234669.3139130436</v>
      </c>
      <c r="KS12" s="213">
        <f t="shared" si="30"/>
        <v>8234669.3139130436</v>
      </c>
      <c r="KT12" s="213">
        <f t="shared" si="30"/>
        <v>8234669.3139130436</v>
      </c>
      <c r="KU12" s="213">
        <f t="shared" si="30"/>
        <v>8234669.3139130436</v>
      </c>
      <c r="KV12" s="213">
        <f t="shared" si="30"/>
        <v>8234669.3139130436</v>
      </c>
      <c r="KW12" s="213">
        <f t="shared" si="30"/>
        <v>8234669.3139130436</v>
      </c>
      <c r="KX12" s="213">
        <f t="shared" si="30"/>
        <v>8234669.3139130436</v>
      </c>
      <c r="KY12" s="213">
        <f t="shared" si="30"/>
        <v>8234669.3139130436</v>
      </c>
      <c r="KZ12" s="213">
        <f t="shared" si="30"/>
        <v>8234669.3139130436</v>
      </c>
      <c r="LA12" s="213">
        <f t="shared" si="30"/>
        <v>8234669.3139130436</v>
      </c>
      <c r="LB12" s="213">
        <f t="shared" si="30"/>
        <v>8234669.3139130436</v>
      </c>
      <c r="LC12" s="213">
        <f t="shared" si="30"/>
        <v>8234669.3139130436</v>
      </c>
      <c r="LD12" s="213">
        <f t="shared" si="30"/>
        <v>8234669.3139130436</v>
      </c>
      <c r="LE12" s="190"/>
      <c r="LF12" s="201"/>
    </row>
    <row r="13" spans="1:794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6"/>
      <c r="B14" s="203" t="s">
        <v>592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4296579.2524382165</v>
      </c>
      <c r="BH14" s="206">
        <f t="shared" si="32"/>
        <v>4295941.4124382166</v>
      </c>
      <c r="BI14" s="206">
        <f t="shared" si="32"/>
        <v>4295941.4124382166</v>
      </c>
      <c r="BJ14" s="206">
        <f t="shared" si="32"/>
        <v>4224258.4385251729</v>
      </c>
      <c r="BK14" s="206">
        <f t="shared" si="32"/>
        <v>4158574.7285251729</v>
      </c>
      <c r="BL14" s="206">
        <f t="shared" si="32"/>
        <v>4157924.7285251729</v>
      </c>
      <c r="BM14" s="206">
        <f t="shared" si="32"/>
        <v>4157924.7285251729</v>
      </c>
      <c r="BN14" s="206">
        <f t="shared" si="32"/>
        <v>4157924.7285251729</v>
      </c>
      <c r="BO14" s="206">
        <f t="shared" si="32"/>
        <v>4157924.7285251729</v>
      </c>
      <c r="BP14" s="206">
        <f t="shared" si="32"/>
        <v>4157924.7285251729</v>
      </c>
      <c r="BQ14" s="206">
        <f t="shared" si="32"/>
        <v>4157924.7285251729</v>
      </c>
      <c r="BR14" s="206">
        <f t="shared" si="32"/>
        <v>4157924.7285251729</v>
      </c>
      <c r="BS14" s="206">
        <f t="shared" si="32"/>
        <v>4157924.7285251729</v>
      </c>
      <c r="BT14" s="206">
        <f t="shared" si="32"/>
        <v>4157924.7285251729</v>
      </c>
      <c r="BU14" s="206">
        <f t="shared" ref="BU14:EF14" si="33">BU10-BU12</f>
        <v>4157924.7285251729</v>
      </c>
      <c r="BV14" s="206">
        <f t="shared" si="33"/>
        <v>4157924.7285251729</v>
      </c>
      <c r="BW14" s="206">
        <f t="shared" si="33"/>
        <v>4157924.7285251729</v>
      </c>
      <c r="BX14" s="206">
        <f t="shared" si="33"/>
        <v>4157924.7285251729</v>
      </c>
      <c r="BY14" s="206">
        <f t="shared" si="33"/>
        <v>4157924.7285251729</v>
      </c>
      <c r="BZ14" s="206">
        <f t="shared" si="33"/>
        <v>4157924.7285251729</v>
      </c>
      <c r="CA14" s="206">
        <f t="shared" si="33"/>
        <v>4157924.7285251729</v>
      </c>
      <c r="CB14" s="206">
        <f t="shared" si="33"/>
        <v>4157924.7285251729</v>
      </c>
      <c r="CC14" s="206">
        <f t="shared" si="33"/>
        <v>4157924.7285251729</v>
      </c>
      <c r="CD14" s="206">
        <f t="shared" si="33"/>
        <v>4157924.7285251729</v>
      </c>
      <c r="CE14" s="206">
        <f t="shared" si="33"/>
        <v>4157924.7285251729</v>
      </c>
      <c r="CF14" s="206">
        <f t="shared" si="33"/>
        <v>4157924.7285251729</v>
      </c>
      <c r="CG14" s="206">
        <f t="shared" si="33"/>
        <v>4157924.7285251729</v>
      </c>
      <c r="CH14" s="206">
        <f t="shared" si="33"/>
        <v>4157924.7285251729</v>
      </c>
      <c r="CI14" s="206">
        <f t="shared" si="33"/>
        <v>4157924.7285251729</v>
      </c>
      <c r="CJ14" s="206">
        <f t="shared" si="33"/>
        <v>4157924.7285251729</v>
      </c>
      <c r="CK14" s="206">
        <f t="shared" si="33"/>
        <v>4157924.7285251729</v>
      </c>
      <c r="CL14" s="206">
        <f t="shared" si="33"/>
        <v>4157924.7285251729</v>
      </c>
      <c r="CM14" s="206">
        <f t="shared" si="33"/>
        <v>4157924.7285251729</v>
      </c>
      <c r="CN14" s="206">
        <f t="shared" si="33"/>
        <v>4157924.7285251729</v>
      </c>
      <c r="CO14" s="206">
        <f t="shared" si="33"/>
        <v>4157924.7285251729</v>
      </c>
      <c r="CP14" s="206">
        <f t="shared" si="33"/>
        <v>4157924.7285251729</v>
      </c>
      <c r="CQ14" s="206">
        <f t="shared" si="33"/>
        <v>4157924.7285251729</v>
      </c>
      <c r="CR14" s="206">
        <f t="shared" si="33"/>
        <v>4157924.7285251729</v>
      </c>
      <c r="CS14" s="206">
        <f t="shared" si="33"/>
        <v>4157924.7285251729</v>
      </c>
      <c r="CT14" s="206">
        <f t="shared" si="33"/>
        <v>4157924.7285251729</v>
      </c>
      <c r="CU14" s="206">
        <f t="shared" si="33"/>
        <v>4157924.7285251729</v>
      </c>
      <c r="CV14" s="206">
        <f t="shared" si="33"/>
        <v>4157924.7285251729</v>
      </c>
      <c r="CW14" s="206">
        <f t="shared" si="33"/>
        <v>4157924.7285251729</v>
      </c>
      <c r="CX14" s="206">
        <f t="shared" si="33"/>
        <v>4157924.7285251729</v>
      </c>
      <c r="CY14" s="206">
        <f t="shared" si="33"/>
        <v>4157924.7285251729</v>
      </c>
      <c r="CZ14" s="206">
        <f t="shared" si="33"/>
        <v>4157924.7285251729</v>
      </c>
      <c r="DA14" s="206">
        <f t="shared" si="33"/>
        <v>4157924.7285251729</v>
      </c>
      <c r="DB14" s="206">
        <f t="shared" si="33"/>
        <v>4157924.7285251729</v>
      </c>
      <c r="DC14" s="206">
        <f t="shared" si="33"/>
        <v>4157924.7285251729</v>
      </c>
      <c r="DD14" s="206">
        <f t="shared" si="33"/>
        <v>4157924.7285251729</v>
      </c>
      <c r="DE14" s="206">
        <f t="shared" si="33"/>
        <v>4157924.7285251729</v>
      </c>
      <c r="DF14" s="206">
        <f t="shared" si="33"/>
        <v>4157924.7285251729</v>
      </c>
      <c r="DG14" s="206">
        <f t="shared" si="33"/>
        <v>4157924.7285251729</v>
      </c>
      <c r="DH14" s="206">
        <f t="shared" si="33"/>
        <v>4157924.7285251729</v>
      </c>
      <c r="DI14" s="206">
        <f t="shared" si="33"/>
        <v>4157924.7285251729</v>
      </c>
      <c r="DJ14" s="206">
        <f t="shared" si="33"/>
        <v>4157924.7285251729</v>
      </c>
      <c r="DK14" s="206">
        <f t="shared" si="33"/>
        <v>4157924.7285251729</v>
      </c>
      <c r="DL14" s="206">
        <f t="shared" si="33"/>
        <v>4157924.7285251729</v>
      </c>
      <c r="DM14" s="206">
        <f t="shared" si="33"/>
        <v>4157924.7285251729</v>
      </c>
      <c r="DN14" s="206">
        <f t="shared" si="33"/>
        <v>4157924.7285251729</v>
      </c>
      <c r="DO14" s="206">
        <f t="shared" si="33"/>
        <v>4157924.7285251729</v>
      </c>
      <c r="DP14" s="206">
        <f t="shared" si="33"/>
        <v>4157924.7285251729</v>
      </c>
      <c r="DQ14" s="206">
        <f t="shared" si="33"/>
        <v>4157924.7285251729</v>
      </c>
      <c r="DR14" s="206">
        <f t="shared" si="33"/>
        <v>4157924.7285251729</v>
      </c>
      <c r="DS14" s="206">
        <f t="shared" si="33"/>
        <v>4157924.7285251729</v>
      </c>
      <c r="DT14" s="206">
        <f t="shared" si="33"/>
        <v>4157924.7285251729</v>
      </c>
      <c r="DU14" s="206">
        <f t="shared" si="33"/>
        <v>4157924.7285251729</v>
      </c>
      <c r="DV14" s="206">
        <f t="shared" si="33"/>
        <v>4157924.7285251729</v>
      </c>
      <c r="DW14" s="206">
        <f t="shared" si="33"/>
        <v>4157924.7285251729</v>
      </c>
      <c r="DX14" s="206">
        <f t="shared" si="33"/>
        <v>4157924.7285251729</v>
      </c>
      <c r="DY14" s="206">
        <f t="shared" si="33"/>
        <v>4157924.7285251729</v>
      </c>
      <c r="DZ14" s="206">
        <f t="shared" si="33"/>
        <v>4157924.7285251729</v>
      </c>
      <c r="EA14" s="206">
        <f t="shared" si="33"/>
        <v>4157924.7285251729</v>
      </c>
      <c r="EB14" s="206">
        <f t="shared" si="33"/>
        <v>4157924.7285251729</v>
      </c>
      <c r="EC14" s="206">
        <f t="shared" si="33"/>
        <v>4157924.7285251729</v>
      </c>
      <c r="ED14" s="206">
        <f t="shared" si="33"/>
        <v>4157924.7285251729</v>
      </c>
      <c r="EE14" s="206">
        <f t="shared" si="33"/>
        <v>4157924.7285251729</v>
      </c>
      <c r="EF14" s="206">
        <f t="shared" si="33"/>
        <v>4157924.7285251729</v>
      </c>
      <c r="EG14" s="206">
        <f t="shared" ref="EG14:GR14" si="34">EG10-EG12</f>
        <v>4157924.7285251729</v>
      </c>
      <c r="EH14" s="206">
        <f t="shared" si="34"/>
        <v>4157924.7285251729</v>
      </c>
      <c r="EI14" s="206">
        <f t="shared" si="34"/>
        <v>4157924.7285251729</v>
      </c>
      <c r="EJ14" s="206">
        <f t="shared" si="34"/>
        <v>4157924.7285251729</v>
      </c>
      <c r="EK14" s="206">
        <f t="shared" si="34"/>
        <v>4157924.7285251729</v>
      </c>
      <c r="EL14" s="206">
        <f t="shared" si="34"/>
        <v>4157924.7285251729</v>
      </c>
      <c r="EM14" s="206">
        <f t="shared" si="34"/>
        <v>4157924.7285251729</v>
      </c>
      <c r="EN14" s="206">
        <f t="shared" si="34"/>
        <v>4157924.7285251729</v>
      </c>
      <c r="EO14" s="206">
        <f t="shared" si="34"/>
        <v>4157924.7285251729</v>
      </c>
      <c r="EP14" s="206">
        <f t="shared" si="34"/>
        <v>4157924.7285251729</v>
      </c>
      <c r="EQ14" s="206">
        <f t="shared" si="34"/>
        <v>4157924.7285251729</v>
      </c>
      <c r="ER14" s="206">
        <f t="shared" si="34"/>
        <v>4157924.7285251729</v>
      </c>
      <c r="ES14" s="206">
        <f t="shared" si="34"/>
        <v>4157924.7285251729</v>
      </c>
      <c r="ET14" s="206">
        <f t="shared" si="34"/>
        <v>4157924.7285251729</v>
      </c>
      <c r="EU14" s="206">
        <f t="shared" si="34"/>
        <v>4157924.7285251729</v>
      </c>
      <c r="EV14" s="206">
        <f t="shared" si="34"/>
        <v>4157924.7285251729</v>
      </c>
      <c r="EW14" s="206">
        <f t="shared" si="34"/>
        <v>4157924.7285251729</v>
      </c>
      <c r="EX14" s="206">
        <f t="shared" si="34"/>
        <v>4157924.7285251729</v>
      </c>
      <c r="EY14" s="206">
        <f t="shared" si="34"/>
        <v>4157924.7285251729</v>
      </c>
      <c r="EZ14" s="206">
        <f t="shared" si="34"/>
        <v>4157924.7285251729</v>
      </c>
      <c r="FA14" s="206">
        <f t="shared" si="34"/>
        <v>4157924.7285251729</v>
      </c>
      <c r="FB14" s="206">
        <f t="shared" si="34"/>
        <v>4157924.7285251729</v>
      </c>
      <c r="FC14" s="206">
        <f t="shared" si="34"/>
        <v>4157924.7285251729</v>
      </c>
      <c r="FD14" s="206">
        <f t="shared" si="34"/>
        <v>4157924.7285251729</v>
      </c>
      <c r="FE14" s="206">
        <f t="shared" si="34"/>
        <v>4157924.7285251729</v>
      </c>
      <c r="FF14" s="206">
        <f t="shared" si="34"/>
        <v>4157924.7285251729</v>
      </c>
      <c r="FG14" s="206">
        <f t="shared" si="34"/>
        <v>4157924.7285251729</v>
      </c>
      <c r="FH14" s="206">
        <f t="shared" si="34"/>
        <v>4157924.7285251729</v>
      </c>
      <c r="FI14" s="206">
        <f t="shared" si="34"/>
        <v>4157924.7285251729</v>
      </c>
      <c r="FJ14" s="206">
        <f t="shared" si="34"/>
        <v>4157924.7285251729</v>
      </c>
      <c r="FK14" s="206">
        <f t="shared" si="34"/>
        <v>4157924.7285251729</v>
      </c>
      <c r="FL14" s="206">
        <f t="shared" si="34"/>
        <v>4157924.7285251729</v>
      </c>
      <c r="FM14" s="206">
        <f t="shared" si="34"/>
        <v>4157924.7285251729</v>
      </c>
      <c r="FN14" s="206">
        <f t="shared" si="34"/>
        <v>4157924.7285251729</v>
      </c>
      <c r="FO14" s="206">
        <f t="shared" si="34"/>
        <v>4157924.7285251729</v>
      </c>
      <c r="FP14" s="206">
        <f t="shared" si="34"/>
        <v>4157924.7285251729</v>
      </c>
      <c r="FQ14" s="206">
        <f t="shared" si="34"/>
        <v>4157924.7285251729</v>
      </c>
      <c r="FR14" s="206">
        <f t="shared" si="34"/>
        <v>4157924.7285251729</v>
      </c>
      <c r="FS14" s="206">
        <f t="shared" si="34"/>
        <v>4157924.7285251729</v>
      </c>
      <c r="FT14" s="206">
        <f t="shared" si="34"/>
        <v>4157924.7285251729</v>
      </c>
      <c r="FU14" s="206">
        <f t="shared" si="34"/>
        <v>4157924.7285251729</v>
      </c>
      <c r="FV14" s="206">
        <f t="shared" si="34"/>
        <v>4157924.7285251729</v>
      </c>
      <c r="FW14" s="206">
        <f t="shared" si="34"/>
        <v>4157924.7285251729</v>
      </c>
      <c r="FX14" s="206">
        <f t="shared" si="34"/>
        <v>4157924.7285251729</v>
      </c>
      <c r="FY14" s="206">
        <f t="shared" si="34"/>
        <v>4157924.7285251729</v>
      </c>
      <c r="FZ14" s="206">
        <f t="shared" si="34"/>
        <v>4157924.7285251729</v>
      </c>
      <c r="GA14" s="206">
        <f t="shared" si="34"/>
        <v>4157924.7285251729</v>
      </c>
      <c r="GB14" s="206">
        <f t="shared" si="34"/>
        <v>4157924.7285251729</v>
      </c>
      <c r="GC14" s="206">
        <f t="shared" si="34"/>
        <v>4157924.7285251729</v>
      </c>
      <c r="GD14" s="206">
        <f t="shared" si="34"/>
        <v>4157924.7285251729</v>
      </c>
      <c r="GE14" s="206">
        <f t="shared" si="34"/>
        <v>4157924.7285251729</v>
      </c>
      <c r="GF14" s="206">
        <f t="shared" si="34"/>
        <v>4157924.7285251729</v>
      </c>
      <c r="GG14" s="206">
        <f t="shared" si="34"/>
        <v>4157924.7285251729</v>
      </c>
      <c r="GH14" s="206">
        <f t="shared" si="34"/>
        <v>4157924.7285251729</v>
      </c>
      <c r="GI14" s="206">
        <f t="shared" si="34"/>
        <v>4157924.7285251729</v>
      </c>
      <c r="GJ14" s="206">
        <f t="shared" si="34"/>
        <v>4157924.7285251729</v>
      </c>
      <c r="GK14" s="206">
        <f t="shared" si="34"/>
        <v>4157924.7285251729</v>
      </c>
      <c r="GL14" s="206">
        <f t="shared" si="34"/>
        <v>4157924.7285251729</v>
      </c>
      <c r="GM14" s="206">
        <f t="shared" si="34"/>
        <v>4157924.7285251729</v>
      </c>
      <c r="GN14" s="206">
        <f t="shared" si="34"/>
        <v>4157924.7285251729</v>
      </c>
      <c r="GO14" s="206">
        <f t="shared" si="34"/>
        <v>4157924.7285251729</v>
      </c>
      <c r="GP14" s="206">
        <f t="shared" si="34"/>
        <v>4157924.7285251729</v>
      </c>
      <c r="GQ14" s="206">
        <f t="shared" si="34"/>
        <v>4157924.7285251729</v>
      </c>
      <c r="GR14" s="206">
        <f t="shared" si="34"/>
        <v>4157924.7285251729</v>
      </c>
      <c r="GS14" s="206">
        <f t="shared" ref="GS14:JD14" si="35">GS10-GS12</f>
        <v>4157924.7285251729</v>
      </c>
      <c r="GT14" s="206">
        <f t="shared" si="35"/>
        <v>4157924.7285251729</v>
      </c>
      <c r="GU14" s="206">
        <f t="shared" si="35"/>
        <v>4157924.7285251729</v>
      </c>
      <c r="GV14" s="206">
        <f t="shared" si="35"/>
        <v>4157924.7285251729</v>
      </c>
      <c r="GW14" s="206">
        <f t="shared" si="35"/>
        <v>4157924.7285251729</v>
      </c>
      <c r="GX14" s="206">
        <f t="shared" si="35"/>
        <v>4157924.7285251729</v>
      </c>
      <c r="GY14" s="206">
        <f t="shared" si="35"/>
        <v>4157924.7285251729</v>
      </c>
      <c r="GZ14" s="206">
        <f t="shared" si="35"/>
        <v>4157924.7285251729</v>
      </c>
      <c r="HA14" s="206">
        <f t="shared" si="35"/>
        <v>4157924.7285251729</v>
      </c>
      <c r="HB14" s="206">
        <f t="shared" si="35"/>
        <v>4157924.7285251729</v>
      </c>
      <c r="HC14" s="206">
        <f t="shared" si="35"/>
        <v>4157924.7285251729</v>
      </c>
      <c r="HD14" s="206">
        <f t="shared" si="35"/>
        <v>4157924.7285251729</v>
      </c>
      <c r="HE14" s="206">
        <f t="shared" si="35"/>
        <v>4157924.7285251729</v>
      </c>
      <c r="HF14" s="206">
        <f t="shared" si="35"/>
        <v>4157924.7285251729</v>
      </c>
      <c r="HG14" s="206">
        <f t="shared" si="35"/>
        <v>4157924.7285251729</v>
      </c>
      <c r="HH14" s="206">
        <f t="shared" si="35"/>
        <v>4157924.7285251729</v>
      </c>
      <c r="HI14" s="206">
        <f t="shared" si="35"/>
        <v>4157924.7285251729</v>
      </c>
      <c r="HJ14" s="206">
        <f t="shared" si="35"/>
        <v>4157924.7285251729</v>
      </c>
      <c r="HK14" s="206">
        <f t="shared" si="35"/>
        <v>4157924.7285251729</v>
      </c>
      <c r="HL14" s="206">
        <f t="shared" si="35"/>
        <v>4157924.7285251729</v>
      </c>
      <c r="HM14" s="206">
        <f t="shared" si="35"/>
        <v>4157924.7285251729</v>
      </c>
      <c r="HN14" s="206">
        <f t="shared" si="35"/>
        <v>4157924.7285251729</v>
      </c>
      <c r="HO14" s="206">
        <f t="shared" si="35"/>
        <v>4157924.7285251729</v>
      </c>
      <c r="HP14" s="206">
        <f t="shared" si="35"/>
        <v>4157924.7285251729</v>
      </c>
      <c r="HQ14" s="206">
        <f t="shared" si="35"/>
        <v>4157924.7285251729</v>
      </c>
      <c r="HR14" s="206">
        <f t="shared" si="35"/>
        <v>4157924.7285251729</v>
      </c>
      <c r="HS14" s="206">
        <f t="shared" si="35"/>
        <v>4157924.7285251729</v>
      </c>
      <c r="HT14" s="206">
        <f t="shared" si="35"/>
        <v>4157924.7285251729</v>
      </c>
      <c r="HU14" s="206">
        <f t="shared" si="35"/>
        <v>4157924.7285251729</v>
      </c>
      <c r="HV14" s="206">
        <f t="shared" si="35"/>
        <v>4157924.7285251729</v>
      </c>
      <c r="HW14" s="206">
        <f t="shared" si="35"/>
        <v>4157924.7285251729</v>
      </c>
      <c r="HX14" s="206">
        <f t="shared" si="35"/>
        <v>4157924.7285251729</v>
      </c>
      <c r="HY14" s="206">
        <f t="shared" si="35"/>
        <v>4157924.7285251729</v>
      </c>
      <c r="HZ14" s="206">
        <f t="shared" si="35"/>
        <v>4157924.7285251729</v>
      </c>
      <c r="IA14" s="206">
        <f t="shared" si="35"/>
        <v>4157924.7285251729</v>
      </c>
      <c r="IB14" s="206">
        <f t="shared" si="35"/>
        <v>4157924.7285251729</v>
      </c>
      <c r="IC14" s="206">
        <f t="shared" si="35"/>
        <v>4157924.7285251729</v>
      </c>
      <c r="ID14" s="206">
        <f t="shared" si="35"/>
        <v>4157924.7285251729</v>
      </c>
      <c r="IE14" s="206">
        <f t="shared" si="35"/>
        <v>4157924.7285251729</v>
      </c>
      <c r="IF14" s="206">
        <f t="shared" si="35"/>
        <v>4157924.7285251729</v>
      </c>
      <c r="IG14" s="206">
        <f t="shared" si="35"/>
        <v>4157924.7285251729</v>
      </c>
      <c r="IH14" s="206">
        <f t="shared" si="35"/>
        <v>4157924.7285251729</v>
      </c>
      <c r="II14" s="206">
        <f t="shared" si="35"/>
        <v>4157924.7285251729</v>
      </c>
      <c r="IJ14" s="206">
        <f t="shared" si="35"/>
        <v>4157924.7285251729</v>
      </c>
      <c r="IK14" s="206">
        <f t="shared" si="35"/>
        <v>4157924.7285251729</v>
      </c>
      <c r="IL14" s="206">
        <f t="shared" si="35"/>
        <v>4157924.7285251729</v>
      </c>
      <c r="IM14" s="206">
        <f t="shared" si="35"/>
        <v>4157924.7285251729</v>
      </c>
      <c r="IN14" s="206">
        <f t="shared" si="35"/>
        <v>4157924.7285251729</v>
      </c>
      <c r="IO14" s="206">
        <f t="shared" si="35"/>
        <v>4157924.7285251729</v>
      </c>
      <c r="IP14" s="206">
        <f t="shared" si="35"/>
        <v>4157924.7285251729</v>
      </c>
      <c r="IQ14" s="206">
        <f t="shared" si="35"/>
        <v>4157924.7285251729</v>
      </c>
      <c r="IR14" s="206">
        <f t="shared" si="35"/>
        <v>4157924.7285251729</v>
      </c>
      <c r="IS14" s="206">
        <f t="shared" si="35"/>
        <v>4157924.7285251729</v>
      </c>
      <c r="IT14" s="206">
        <f t="shared" si="35"/>
        <v>4157924.7285251729</v>
      </c>
      <c r="IU14" s="206">
        <f t="shared" si="35"/>
        <v>4157924.7285251729</v>
      </c>
      <c r="IV14" s="206">
        <f t="shared" si="35"/>
        <v>4157924.7285251729</v>
      </c>
      <c r="IW14" s="206">
        <f t="shared" si="35"/>
        <v>4157924.7285251729</v>
      </c>
      <c r="IX14" s="206">
        <f t="shared" si="35"/>
        <v>4157924.7285251729</v>
      </c>
      <c r="IY14" s="206">
        <f t="shared" si="35"/>
        <v>4157924.7285251729</v>
      </c>
      <c r="IZ14" s="206">
        <f t="shared" si="35"/>
        <v>4157924.7285251729</v>
      </c>
      <c r="JA14" s="206">
        <f t="shared" si="35"/>
        <v>4157924.7285251729</v>
      </c>
      <c r="JB14" s="206">
        <f t="shared" si="35"/>
        <v>4157924.7285251729</v>
      </c>
      <c r="JC14" s="206">
        <f t="shared" si="35"/>
        <v>4157924.7285251729</v>
      </c>
      <c r="JD14" s="206">
        <f t="shared" si="35"/>
        <v>4157924.7285251729</v>
      </c>
      <c r="JE14" s="206">
        <f t="shared" ref="JE14:LD14" si="36">JE10-JE12</f>
        <v>4157924.7285251729</v>
      </c>
      <c r="JF14" s="206">
        <f t="shared" si="36"/>
        <v>4157924.7285251729</v>
      </c>
      <c r="JG14" s="206">
        <f t="shared" si="36"/>
        <v>4157924.7285251729</v>
      </c>
      <c r="JH14" s="206">
        <f t="shared" si="36"/>
        <v>4157924.7285251729</v>
      </c>
      <c r="JI14" s="206">
        <f t="shared" si="36"/>
        <v>4157924.7285251729</v>
      </c>
      <c r="JJ14" s="206">
        <f t="shared" si="36"/>
        <v>4157924.7285251729</v>
      </c>
      <c r="JK14" s="206">
        <f t="shared" si="36"/>
        <v>4157924.7285251729</v>
      </c>
      <c r="JL14" s="206">
        <f t="shared" si="36"/>
        <v>4157924.7285251729</v>
      </c>
      <c r="JM14" s="206">
        <f t="shared" si="36"/>
        <v>4157924.7285251729</v>
      </c>
      <c r="JN14" s="206">
        <f t="shared" si="36"/>
        <v>4157924.7285251729</v>
      </c>
      <c r="JO14" s="206">
        <f t="shared" si="36"/>
        <v>4157924.7285251729</v>
      </c>
      <c r="JP14" s="206">
        <f t="shared" si="36"/>
        <v>4157924.7285251729</v>
      </c>
      <c r="JQ14" s="206">
        <f t="shared" si="36"/>
        <v>4157924.7285251729</v>
      </c>
      <c r="JR14" s="206">
        <f t="shared" si="36"/>
        <v>4157924.7285251729</v>
      </c>
      <c r="JS14" s="206">
        <f t="shared" si="36"/>
        <v>4157924.7285251729</v>
      </c>
      <c r="JT14" s="206">
        <f t="shared" si="36"/>
        <v>4157924.7285251729</v>
      </c>
      <c r="JU14" s="206">
        <f t="shared" si="36"/>
        <v>4157924.7285251729</v>
      </c>
      <c r="JV14" s="206">
        <f t="shared" si="36"/>
        <v>4157924.7285251729</v>
      </c>
      <c r="JW14" s="206">
        <f t="shared" si="36"/>
        <v>4157924.7285251729</v>
      </c>
      <c r="JX14" s="206">
        <f t="shared" si="36"/>
        <v>4157924.7285251729</v>
      </c>
      <c r="JY14" s="206">
        <f t="shared" si="36"/>
        <v>4157924.7285251729</v>
      </c>
      <c r="JZ14" s="206">
        <f t="shared" si="36"/>
        <v>4157924.7285251729</v>
      </c>
      <c r="KA14" s="206">
        <f t="shared" si="36"/>
        <v>4157924.7285251729</v>
      </c>
      <c r="KB14" s="206">
        <f t="shared" si="36"/>
        <v>4157924.7285251729</v>
      </c>
      <c r="KC14" s="206">
        <f t="shared" si="36"/>
        <v>4157924.7285251729</v>
      </c>
      <c r="KD14" s="206">
        <f t="shared" si="36"/>
        <v>4157924.7285251729</v>
      </c>
      <c r="KE14" s="206">
        <f t="shared" si="36"/>
        <v>4157924.7285251729</v>
      </c>
      <c r="KF14" s="206">
        <f t="shared" si="36"/>
        <v>4157924.7285251729</v>
      </c>
      <c r="KG14" s="206">
        <f t="shared" si="36"/>
        <v>4157924.7285251729</v>
      </c>
      <c r="KH14" s="206">
        <f t="shared" si="36"/>
        <v>4157924.7285251729</v>
      </c>
      <c r="KI14" s="206">
        <f t="shared" si="36"/>
        <v>4157924.7285251729</v>
      </c>
      <c r="KJ14" s="206">
        <f t="shared" si="36"/>
        <v>4157924.7285251729</v>
      </c>
      <c r="KK14" s="206">
        <f t="shared" si="36"/>
        <v>4157924.7285251729</v>
      </c>
      <c r="KL14" s="206">
        <f t="shared" si="36"/>
        <v>4157924.7285251729</v>
      </c>
      <c r="KM14" s="206">
        <f t="shared" si="36"/>
        <v>4157924.7285251729</v>
      </c>
      <c r="KN14" s="206">
        <f t="shared" si="36"/>
        <v>4157924.7285251729</v>
      </c>
      <c r="KO14" s="206">
        <f t="shared" si="36"/>
        <v>4157924.7285251729</v>
      </c>
      <c r="KP14" s="206">
        <f t="shared" si="36"/>
        <v>4157924.7285251729</v>
      </c>
      <c r="KQ14" s="206">
        <f t="shared" si="36"/>
        <v>4157924.7285251729</v>
      </c>
      <c r="KR14" s="206">
        <f t="shared" si="36"/>
        <v>4157924.7285251729</v>
      </c>
      <c r="KS14" s="206">
        <f t="shared" si="36"/>
        <v>4157924.7285251729</v>
      </c>
      <c r="KT14" s="206">
        <f t="shared" si="36"/>
        <v>4157924.7285251729</v>
      </c>
      <c r="KU14" s="206">
        <f t="shared" si="36"/>
        <v>4157924.7285251729</v>
      </c>
      <c r="KV14" s="206">
        <f t="shared" si="36"/>
        <v>4157924.7285251729</v>
      </c>
      <c r="KW14" s="206">
        <f t="shared" si="36"/>
        <v>4157924.7285251729</v>
      </c>
      <c r="KX14" s="206">
        <f t="shared" si="36"/>
        <v>4157924.7285251729</v>
      </c>
      <c r="KY14" s="206">
        <f t="shared" si="36"/>
        <v>4157924.7285251729</v>
      </c>
      <c r="KZ14" s="206">
        <f t="shared" si="36"/>
        <v>4157924.7285251729</v>
      </c>
      <c r="LA14" s="206">
        <f t="shared" si="36"/>
        <v>4157924.7285251729</v>
      </c>
      <c r="LB14" s="206">
        <f t="shared" si="36"/>
        <v>4157924.7285251729</v>
      </c>
      <c r="LC14" s="206">
        <f t="shared" si="36"/>
        <v>4157924.7285251729</v>
      </c>
      <c r="LD14" s="206">
        <f t="shared" si="36"/>
        <v>4157924.7285251729</v>
      </c>
    </row>
    <row r="15" spans="1:794" s="190" customFormat="1"/>
    <row r="16" spans="1:794" s="190" customFormat="1">
      <c r="C16" s="192" t="s">
        <v>305</v>
      </c>
      <c r="D16" s="192" t="s">
        <v>305</v>
      </c>
    </row>
    <row r="17" spans="1:316">
      <c r="A17" s="847"/>
      <c r="B17" s="194" t="s">
        <v>593</v>
      </c>
      <c r="C17" s="372">
        <f>C3-D17</f>
        <v>-28535.63315185532</v>
      </c>
      <c r="D17" s="195">
        <f>SUM(F17:LD17)</f>
        <v>12392594.039851155</v>
      </c>
      <c r="E17" s="205"/>
      <c r="F17" s="213">
        <f>SUMIFS('Expenditure Breakdown'!$U$6:$U$225, 'Expenditure Breakdown'!$T$6:$T$225, "&gt;="&amp;F1,'Expenditure Breakdown'!$T$6:$T$225, "&lt;"&amp;G1)</f>
        <v>0</v>
      </c>
      <c r="G17" s="213">
        <f>SUMIFS('Expenditure Breakdown'!$U$6:$U$225, 'Expenditure Breakdown'!$T$6:$T$225, "&gt;="&amp;G1,'Expenditure Breakdown'!$T$6:$T$225, "&lt;"&amp;H1)</f>
        <v>0</v>
      </c>
      <c r="H17" s="213">
        <f>SUMIFS('Expenditure Breakdown'!$U$6:$U$225, 'Expenditure Breakdown'!$T$6:$T$225, "&gt;="&amp;H1,'Expenditure Breakdown'!$T$6:$T$225, "&lt;"&amp;I1)</f>
        <v>0</v>
      </c>
      <c r="I17" s="213">
        <f>SUMIFS('Expenditure Breakdown'!$U$6:$U$225, 'Expenditure Breakdown'!$T$6:$T$225, "&gt;="&amp;I1,'Expenditure Breakdown'!$T$6:$T$225, "&lt;"&amp;J1)</f>
        <v>0</v>
      </c>
      <c r="J17" s="213">
        <f>SUMIFS('Expenditure Breakdown'!$U$6:$U$225, 'Expenditure Breakdown'!$T$6:$T$225, "&gt;="&amp;J1,'Expenditure Breakdown'!$T$6:$T$225, "&lt;"&amp;K1)</f>
        <v>0</v>
      </c>
      <c r="K17" s="213">
        <f>SUMIFS('Expenditure Breakdown'!$U$6:$U$225, 'Expenditure Breakdown'!$T$6:$T$225, "&gt;="&amp;K1,'Expenditure Breakdown'!$T$6:$T$225, "&lt;"&amp;L1)</f>
        <v>0</v>
      </c>
      <c r="L17" s="213">
        <f>SUMIFS('Expenditure Breakdown'!$U$6:$U$225, 'Expenditure Breakdown'!$T$6:$T$225, "&gt;="&amp;L1,'Expenditure Breakdown'!$T$6:$T$225, "&lt;"&amp;M1)</f>
        <v>0</v>
      </c>
      <c r="M17" s="213">
        <f>SUMIFS('Expenditure Breakdown'!$U$6:$U$225, 'Expenditure Breakdown'!$T$6:$T$225, "&gt;="&amp;M1,'Expenditure Breakdown'!$T$6:$T$225, "&lt;"&amp;N1)</f>
        <v>0</v>
      </c>
      <c r="N17" s="213">
        <f>SUMIFS('Expenditure Breakdown'!$U$6:$U$225, 'Expenditure Breakdown'!$T$6:$T$225, "&gt;="&amp;N1,'Expenditure Breakdown'!$T$6:$T$225, "&lt;"&amp;O1)</f>
        <v>0</v>
      </c>
      <c r="O17" s="213">
        <f>SUMIFS('Expenditure Breakdown'!$U$6:$U$225, 'Expenditure Breakdown'!$T$6:$T$225, "&gt;="&amp;O1,'Expenditure Breakdown'!$T$6:$T$225, "&lt;"&amp;P1)</f>
        <v>0</v>
      </c>
      <c r="P17" s="213">
        <f>SUMIFS('Expenditure Breakdown'!$U$6:$U$225, 'Expenditure Breakdown'!$T$6:$T$225, "&gt;="&amp;P1,'Expenditure Breakdown'!$T$6:$T$225, "&lt;"&amp;Q1)</f>
        <v>0</v>
      </c>
      <c r="Q17" s="213">
        <f>SUMIFS('Expenditure Breakdown'!$U$6:$U$225, 'Expenditure Breakdown'!$T$6:$T$225, "&gt;="&amp;Q1,'Expenditure Breakdown'!$T$6:$T$225, "&lt;"&amp;R1)</f>
        <v>0</v>
      </c>
      <c r="R17" s="213">
        <f>SUMIFS('Expenditure Breakdown'!$U$6:$U$225, 'Expenditure Breakdown'!$T$6:$T$225, "&gt;="&amp;R1,'Expenditure Breakdown'!$T$6:$T$225, "&lt;"&amp;S1)</f>
        <v>0</v>
      </c>
      <c r="S17" s="213">
        <f>SUMIFS('Expenditure Breakdown'!$U$6:$U$225, 'Expenditure Breakdown'!$T$6:$T$225, "&gt;="&amp;S1,'Expenditure Breakdown'!$T$6:$T$225, "&lt;"&amp;T1)</f>
        <v>0</v>
      </c>
      <c r="T17" s="213">
        <f>SUMIFS('Expenditure Breakdown'!$U$6:$U$225, 'Expenditure Breakdown'!$T$6:$T$225, "&gt;="&amp;T1,'Expenditure Breakdown'!$T$6:$T$225, "&lt;"&amp;U1)</f>
        <v>0</v>
      </c>
      <c r="U17" s="213">
        <f>SUMIFS('Expenditure Breakdown'!$U$6:$U$225, 'Expenditure Breakdown'!$T$6:$T$225, "&gt;="&amp;U1,'Expenditure Breakdown'!$T$6:$T$225, "&lt;"&amp;V1)</f>
        <v>0</v>
      </c>
      <c r="V17" s="213">
        <f>SUMIFS('Expenditure Breakdown'!$U$6:$U$225, 'Expenditure Breakdown'!$T$6:$T$225, "&gt;="&amp;V1,'Expenditure Breakdown'!$T$6:$T$225, "&lt;"&amp;W1)</f>
        <v>0</v>
      </c>
      <c r="W17" s="213">
        <f>SUMIFS('Expenditure Breakdown'!$U$6:$U$225, 'Expenditure Breakdown'!$T$6:$T$225, "&gt;="&amp;W1,'Expenditure Breakdown'!$T$6:$T$225, "&lt;"&amp;X1)</f>
        <v>0</v>
      </c>
      <c r="X17" s="213">
        <f>SUMIFS('Expenditure Breakdown'!$U$6:$U$225, 'Expenditure Breakdown'!$T$6:$T$225, "&gt;="&amp;X1,'Expenditure Breakdown'!$T$6:$T$225, "&lt;"&amp;Y1)</f>
        <v>0</v>
      </c>
      <c r="Y17" s="213">
        <f>SUMIFS('Expenditure Breakdown'!$U$6:$U$225, 'Expenditure Breakdown'!$T$6:$T$225, "&gt;="&amp;Y1,'Expenditure Breakdown'!$T$6:$T$225, "&lt;"&amp;Z1)</f>
        <v>0</v>
      </c>
      <c r="Z17" s="213">
        <f>SUMIFS('Expenditure Breakdown'!$U$6:$U$225, 'Expenditure Breakdown'!$T$6:$T$225, "&gt;="&amp;Z1,'Expenditure Breakdown'!$T$6:$T$225, "&lt;"&amp;AA1)</f>
        <v>0</v>
      </c>
      <c r="AA17" s="213">
        <f>SUMIFS('Expenditure Breakdown'!$U$6:$U$225, 'Expenditure Breakdown'!$T$6:$T$225, "&gt;="&amp;AA1,'Expenditure Breakdown'!$T$6:$T$225, "&lt;"&amp;AB1)</f>
        <v>0</v>
      </c>
      <c r="AB17" s="213">
        <f>SUMIFS('Expenditure Breakdown'!$U$6:$U$225, 'Expenditure Breakdown'!$T$6:$T$225, "&gt;="&amp;AB1,'Expenditure Breakdown'!$T$6:$T$225, "&lt;"&amp;AC1)</f>
        <v>0</v>
      </c>
      <c r="AC17" s="213">
        <f>SUMIFS('Expenditure Breakdown'!$U$6:$U$225, 'Expenditure Breakdown'!$T$6:$T$225, "&gt;="&amp;AC1,'Expenditure Breakdown'!$T$6:$T$225, "&lt;"&amp;AD1)</f>
        <v>3148228.4718536087</v>
      </c>
      <c r="AD17" s="213">
        <f>SUMIFS('Expenditure Breakdown'!$U$6:$U$225, 'Expenditure Breakdown'!$T$6:$T$225, "&gt;="&amp;AD1,'Expenditure Breakdown'!$T$6:$T$225, "&lt;"&amp;AE1)</f>
        <v>0</v>
      </c>
      <c r="AE17" s="213">
        <f>SUMIFS('Expenditure Breakdown'!$U$6:$U$225, 'Expenditure Breakdown'!$T$6:$T$225, "&gt;="&amp;AE1,'Expenditure Breakdown'!$T$6:$T$225, "&lt;"&amp;AF1)</f>
        <v>0</v>
      </c>
      <c r="AF17" s="213">
        <f>SUMIFS('Expenditure Breakdown'!$U$6:$U$225, 'Expenditure Breakdown'!$T$6:$T$225, "&gt;="&amp;AF1,'Expenditure Breakdown'!$T$6:$T$225, "&lt;"&amp;AG1)</f>
        <v>0</v>
      </c>
      <c r="AG17" s="213">
        <f>SUMIFS('Expenditure Breakdown'!$U$6:$U$225, 'Expenditure Breakdown'!$T$6:$T$225, "&gt;="&amp;AG1,'Expenditure Breakdown'!$T$6:$T$225, "&lt;"&amp;AH1)</f>
        <v>5414467.3142587841</v>
      </c>
      <c r="AH17" s="213">
        <f>SUMIFS('Expenditure Breakdown'!$U$6:$U$225, 'Expenditure Breakdown'!$T$6:$T$225, "&gt;="&amp;AH1,'Expenditure Breakdown'!$T$6:$T$225, "&lt;"&amp;AI1)</f>
        <v>0</v>
      </c>
      <c r="AI17" s="213">
        <f>SUMIFS('Expenditure Breakdown'!$U$6:$U$225, 'Expenditure Breakdown'!$T$6:$T$225, "&gt;="&amp;AI1,'Expenditure Breakdown'!$T$6:$T$225, "&lt;"&amp;AJ1)</f>
        <v>0</v>
      </c>
      <c r="AJ17" s="213">
        <f>SUMIFS('Expenditure Breakdown'!$U$6:$U$225, 'Expenditure Breakdown'!$T$6:$T$225, "&gt;="&amp;AJ1,'Expenditure Breakdown'!$T$6:$T$225, "&lt;"&amp;AK1)</f>
        <v>0</v>
      </c>
      <c r="AK17" s="213">
        <f>SUMIFS('Expenditure Breakdown'!$U$6:$U$225, 'Expenditure Breakdown'!$T$6:$T$225, "&gt;="&amp;AK1,'Expenditure Breakdown'!$T$6:$T$225, "&lt;"&amp;AL1)</f>
        <v>2626491.7494609472</v>
      </c>
      <c r="AL17" s="213">
        <f>SUMIFS('Expenditure Breakdown'!$U$6:$U$225, 'Expenditure Breakdown'!$T$6:$T$225, "&gt;="&amp;AL1,'Expenditure Breakdown'!$T$6:$T$225, "&lt;"&amp;AM1)</f>
        <v>0</v>
      </c>
      <c r="AM17" s="213">
        <f>SUMIFS('Expenditure Breakdown'!$U$6:$U$225, 'Expenditure Breakdown'!$T$6:$T$225, "&gt;="&amp;AM1,'Expenditure Breakdown'!$T$6:$T$225, "&lt;"&amp;AN1)</f>
        <v>0</v>
      </c>
      <c r="AN17" s="213">
        <f>SUMIFS('Expenditure Breakdown'!$U$6:$U$225, 'Expenditure Breakdown'!$T$6:$T$225, "&gt;="&amp;AN1,'Expenditure Breakdown'!$T$6:$T$225, "&lt;"&amp;AO1)</f>
        <v>0</v>
      </c>
      <c r="AO17" s="213">
        <f>SUMIFS('Expenditure Breakdown'!$U$6:$U$225, 'Expenditure Breakdown'!$T$6:$T$225, "&gt;="&amp;AO1,'Expenditure Breakdown'!$T$6:$T$225, "&lt;"&amp;AP1)</f>
        <v>0</v>
      </c>
      <c r="AP17" s="213">
        <f>SUMIFS('Expenditure Breakdown'!$U$6:$U$225, 'Expenditure Breakdown'!$T$6:$T$225, "&gt;="&amp;AP1,'Expenditure Breakdown'!$T$6:$T$225, "&lt;"&amp;AQ1)</f>
        <v>173521.22726182046</v>
      </c>
      <c r="AQ17" s="213">
        <f>SUMIFS('Expenditure Breakdown'!$U$6:$U$225, 'Expenditure Breakdown'!$T$6:$T$225, "&gt;="&amp;AQ1,'Expenditure Breakdown'!$T$6:$T$225, "&lt;"&amp;AR1)</f>
        <v>0</v>
      </c>
      <c r="AR17" s="213">
        <f>SUMIFS('Expenditure Breakdown'!$U$6:$U$225, 'Expenditure Breakdown'!$T$6:$T$225, "&gt;="&amp;AR1,'Expenditure Breakdown'!$T$6:$T$225, "&lt;"&amp;AS1)</f>
        <v>0</v>
      </c>
      <c r="AS17" s="213">
        <f>SUMIFS('Expenditure Breakdown'!$U$6:$U$225, 'Expenditure Breakdown'!$T$6:$T$225, "&gt;="&amp;AS1,'Expenditure Breakdown'!$T$6:$T$225, "&lt;"&amp;AT1)</f>
        <v>0</v>
      </c>
      <c r="AT17" s="213">
        <f>SUMIFS('Expenditure Breakdown'!$U$6:$U$225, 'Expenditure Breakdown'!$T$6:$T$225, "&gt;="&amp;AT1,'Expenditure Breakdown'!$T$6:$T$225, "&lt;"&amp;AU1)</f>
        <v>472016.83544553415</v>
      </c>
      <c r="AU17" s="213">
        <f>SUMIFS('Expenditure Breakdown'!$U$6:$U$225, 'Expenditure Breakdown'!$T$6:$T$225, "&gt;="&amp;AU1,'Expenditure Breakdown'!$T$6:$T$225, "&lt;"&amp;AV1)</f>
        <v>0</v>
      </c>
      <c r="AV17" s="213">
        <f>SUMIFS('Expenditure Breakdown'!$U$6:$U$225, 'Expenditure Breakdown'!$T$6:$T$225, "&gt;="&amp;AV1,'Expenditure Breakdown'!$T$6:$T$225, "&lt;"&amp;AW1)</f>
        <v>0</v>
      </c>
      <c r="AW17" s="213">
        <f>SUMIFS('Expenditure Breakdown'!$U$6:$U$225, 'Expenditure Breakdown'!$T$6:$T$225, "&gt;="&amp;AW1,'Expenditure Breakdown'!$T$6:$T$225, "&lt;"&amp;AX1)</f>
        <v>0</v>
      </c>
      <c r="AX17" s="213">
        <f>SUMIFS('Expenditure Breakdown'!$U$6:$U$225, 'Expenditure Breakdown'!$T$6:$T$225, "&gt;="&amp;AX1,'Expenditure Breakdown'!$T$6:$T$225, "&lt;"&amp;AY1)</f>
        <v>33132.88780466724</v>
      </c>
      <c r="AY17" s="213">
        <f>SUMIFS('Expenditure Breakdown'!$U$6:$U$225, 'Expenditure Breakdown'!$T$6:$T$225, "&gt;="&amp;AY1,'Expenditure Breakdown'!$T$6:$T$225, "&lt;"&amp;AZ1)</f>
        <v>0</v>
      </c>
      <c r="AZ17" s="213">
        <f>SUMIFS('Expenditure Breakdown'!$U$6:$U$225, 'Expenditure Breakdown'!$T$6:$T$225, "&gt;="&amp;AZ1,'Expenditure Breakdown'!$T$6:$T$225, "&lt;"&amp;BA1)</f>
        <v>0</v>
      </c>
      <c r="BA17" s="213">
        <f>SUMIFS('Expenditure Breakdown'!$U$6:$U$225, 'Expenditure Breakdown'!$T$6:$T$225, "&gt;="&amp;BA1,'Expenditure Breakdown'!$T$6:$T$225, "&lt;"&amp;BB1)</f>
        <v>0</v>
      </c>
      <c r="BB17" s="213">
        <f>SUMIFS('Expenditure Breakdown'!$U$6:$U$225, 'Expenditure Breakdown'!$T$6:$T$225, "&gt;="&amp;BB1,'Expenditure Breakdown'!$T$6:$T$225, "&lt;"&amp;BC1)</f>
        <v>0</v>
      </c>
      <c r="BC17" s="213">
        <f>SUMIFS('Expenditure Breakdown'!$U$6:$U$225, 'Expenditure Breakdown'!$T$6:$T$225, "&gt;="&amp;BC1,'Expenditure Breakdown'!$T$6:$T$225, "&lt;"&amp;BD1)</f>
        <v>488266.51696508139</v>
      </c>
      <c r="BD17" s="213">
        <f>SUMIFS('Expenditure Breakdown'!$U$6:$U$225, 'Expenditure Breakdown'!$T$6:$T$225, "&gt;="&amp;BD1,'Expenditure Breakdown'!$T$6:$T$225, "&lt;"&amp;BE1)</f>
        <v>0</v>
      </c>
      <c r="BE17" s="213">
        <f>SUMIFS('Expenditure Breakdown'!$U$6:$U$225, 'Expenditure Breakdown'!$T$6:$T$225, "&gt;="&amp;BE1,'Expenditure Breakdown'!$T$6:$T$225, "&lt;"&amp;BF1)</f>
        <v>0</v>
      </c>
      <c r="BF17" s="213">
        <f>SUMIFS('Expenditure Breakdown'!$U$6:$U$225, 'Expenditure Breakdown'!$T$6:$T$225, "&gt;="&amp;BF1,'Expenditure Breakdown'!$T$6:$T$225, "&lt;"&amp;BG1)</f>
        <v>0</v>
      </c>
      <c r="BG17" s="213">
        <f>SUMIFS('Expenditure Breakdown'!$U$6:$U$225, 'Expenditure Breakdown'!$T$6:$T$225, "&gt;="&amp;BG1,'Expenditure Breakdown'!$T$6:$T$225, "&lt;"&amp;BH1)</f>
        <v>29537.268534648247</v>
      </c>
      <c r="BH17" s="213">
        <f>SUMIFS('Expenditure Breakdown'!$U$6:$U$225, 'Expenditure Breakdown'!$T$6:$T$225, "&gt;="&amp;BH1,'Expenditure Breakdown'!$T$6:$T$225, "&lt;"&amp;BI1)</f>
        <v>0</v>
      </c>
      <c r="BI17" s="213">
        <f>SUMIFS('Expenditure Breakdown'!$U$6:$U$225, 'Expenditure Breakdown'!$T$6:$T$225, "&gt;="&amp;BI1,'Expenditure Breakdown'!$T$6:$T$225, "&lt;"&amp;BJ1)</f>
        <v>0</v>
      </c>
      <c r="BJ17" s="213">
        <f>SUMIFS('Expenditure Breakdown'!$U$6:$U$225, 'Expenditure Breakdown'!$T$6:$T$225, "&gt;="&amp;BJ1,'Expenditure Breakdown'!$T$6:$T$225, "&lt;"&amp;BK1)</f>
        <v>0</v>
      </c>
      <c r="BK17" s="213">
        <f>SUMIFS('Expenditure Breakdown'!$U$6:$U$225, 'Expenditure Breakdown'!$T$6:$T$225, "&gt;="&amp;BK1,'Expenditure Breakdown'!$T$6:$T$225, "&lt;"&amp;BL1)</f>
        <v>6931.7682660625678</v>
      </c>
      <c r="BL17" s="213">
        <f>SUMIFS('Expenditure Breakdown'!$U$6:$U$225, 'Expenditure Breakdown'!$T$6:$T$225, "&gt;="&amp;BL1,'Expenditure Breakdown'!$T$6:$T$225, "&lt;"&amp;BM1)</f>
        <v>0</v>
      </c>
      <c r="BM17" s="213">
        <f>SUMIFS('Expenditure Breakdown'!$U$6:$U$225, 'Expenditure Breakdown'!$T$6:$T$225, "&gt;="&amp;BM1,'Expenditure Breakdown'!$T$6:$T$225, "&lt;"&amp;BN1)</f>
        <v>0</v>
      </c>
      <c r="BN17" s="213">
        <f>SUMIFS('Expenditure Breakdown'!$U$6:$U$225, 'Expenditure Breakdown'!$T$6:$T$225, "&gt;="&amp;BN1,'Expenditure Breakdown'!$T$6:$T$225, "&lt;"&amp;BO1)</f>
        <v>0</v>
      </c>
      <c r="BO17" s="213">
        <f>SUMIFS('Expenditure Breakdown'!$U$6:$U$225, 'Expenditure Breakdown'!$T$6:$T$225, "&gt;="&amp;BO1,'Expenditure Breakdown'!$T$6:$T$225, "&lt;"&amp;BP1)</f>
        <v>0</v>
      </c>
      <c r="BP17" s="213">
        <f>SUMIFS('Expenditure Breakdown'!$U$6:$U$225, 'Expenditure Breakdown'!$T$6:$T$225, "&gt;="&amp;BP1,'Expenditure Breakdown'!$T$6:$T$225, "&lt;"&amp;BQ1)</f>
        <v>0</v>
      </c>
      <c r="BQ17" s="213">
        <f>SUMIFS('Expenditure Breakdown'!$U$6:$U$225, 'Expenditure Breakdown'!$T$6:$T$225, "&gt;="&amp;BQ1,'Expenditure Breakdown'!$T$6:$T$225, "&lt;"&amp;BR1)</f>
        <v>0</v>
      </c>
      <c r="BR17" s="213">
        <f>SUMIFS('Expenditure Breakdown'!$U$6:$U$225, 'Expenditure Breakdown'!$T$6:$T$225, "&gt;="&amp;BR1,'Expenditure Breakdown'!$T$6:$T$225, "&lt;"&amp;BS1)</f>
        <v>0</v>
      </c>
      <c r="BS17" s="213">
        <f>SUMIFS('Expenditure Breakdown'!$U$6:$U$225, 'Expenditure Breakdown'!$T$6:$T$225, "&gt;="&amp;BS1,'Expenditure Breakdown'!$T$6:$T$225, "&lt;"&amp;BT1)</f>
        <v>0</v>
      </c>
      <c r="BT17" s="213">
        <f>SUMIFS('Expenditure Breakdown'!$U$6:$U$225, 'Expenditure Breakdown'!$T$6:$T$225, "&gt;="&amp;BT1,'Expenditure Breakdown'!$T$6:$T$225, "&lt;"&amp;BU1)</f>
        <v>0</v>
      </c>
      <c r="BU17" s="213">
        <f>SUMIFS('Expenditure Breakdown'!$U$6:$U$225, 'Expenditure Breakdown'!$T$6:$T$225, "&gt;="&amp;BU1,'Expenditure Breakdown'!$T$6:$T$225, "&lt;"&amp;BV1)</f>
        <v>0</v>
      </c>
      <c r="BV17" s="213">
        <f>SUMIFS('Expenditure Breakdown'!$U$6:$U$225, 'Expenditure Breakdown'!$T$6:$T$225, "&gt;="&amp;BV1,'Expenditure Breakdown'!$T$6:$T$225, "&lt;"&amp;BW1)</f>
        <v>0</v>
      </c>
      <c r="BW17" s="213">
        <f>SUMIFS('Expenditure Breakdown'!$U$6:$U$225, 'Expenditure Breakdown'!$T$6:$T$225, "&gt;="&amp;BW1,'Expenditure Breakdown'!$T$6:$T$225, "&lt;"&amp;BX1)</f>
        <v>0</v>
      </c>
      <c r="BX17" s="213">
        <f>SUMIFS('Expenditure Breakdown'!$U$6:$U$225, 'Expenditure Breakdown'!$T$6:$T$225, "&gt;="&amp;BX1,'Expenditure Breakdown'!$T$6:$T$225, "&lt;"&amp;BY1)</f>
        <v>0</v>
      </c>
      <c r="BY17" s="213">
        <f>SUMIFS('Expenditure Breakdown'!$U$6:$U$225, 'Expenditure Breakdown'!$T$6:$T$225, "&gt;="&amp;BY1,'Expenditure Breakdown'!$T$6:$T$225, "&lt;"&amp;BZ1)</f>
        <v>0</v>
      </c>
      <c r="BZ17" s="213">
        <f>SUMIFS('Expenditure Breakdown'!$U$6:$U$225, 'Expenditure Breakdown'!$T$6:$T$225, "&gt;="&amp;BZ1,'Expenditure Breakdown'!$T$6:$T$225, "&lt;"&amp;CA1)</f>
        <v>0</v>
      </c>
      <c r="CA17" s="213">
        <f>SUMIFS('Expenditure Breakdown'!$U$6:$U$225, 'Expenditure Breakdown'!$T$6:$T$225, "&gt;="&amp;CA1,'Expenditure Breakdown'!$T$6:$T$225, "&lt;"&amp;CB1)</f>
        <v>0</v>
      </c>
      <c r="CB17" s="213">
        <f>SUMIFS('Expenditure Breakdown'!$U$6:$U$225, 'Expenditure Breakdown'!$T$6:$T$225, "&gt;="&amp;CB1,'Expenditure Breakdown'!$T$6:$T$225, "&lt;"&amp;CC1)</f>
        <v>0</v>
      </c>
      <c r="CC17" s="213">
        <f>SUMIFS('Expenditure Breakdown'!$U$6:$U$225, 'Expenditure Breakdown'!$T$6:$T$225, "&gt;="&amp;CC1,'Expenditure Breakdown'!$T$6:$T$225, "&lt;"&amp;CD1)</f>
        <v>0</v>
      </c>
      <c r="CD17" s="213">
        <f>SUMIFS('Expenditure Breakdown'!$U$6:$U$225, 'Expenditure Breakdown'!$T$6:$T$225, "&gt;="&amp;CD1,'Expenditure Breakdown'!$T$6:$T$225, "&lt;"&amp;CE1)</f>
        <v>0</v>
      </c>
      <c r="CE17" s="213">
        <f>SUMIFS('Expenditure Breakdown'!$U$6:$U$225, 'Expenditure Breakdown'!$T$6:$T$225, "&gt;="&amp;CE1,'Expenditure Breakdown'!$T$6:$T$225, "&lt;"&amp;CF1)</f>
        <v>0</v>
      </c>
      <c r="CF17" s="213">
        <f>SUMIFS('Expenditure Breakdown'!$U$6:$U$225, 'Expenditure Breakdown'!$T$6:$T$225, "&gt;="&amp;CF1,'Expenditure Breakdown'!$T$6:$T$225, "&lt;"&amp;CG1)</f>
        <v>0</v>
      </c>
      <c r="CG17" s="213">
        <f>SUMIFS('Expenditure Breakdown'!$U$6:$U$225, 'Expenditure Breakdown'!$T$6:$T$225, "&gt;="&amp;CG1,'Expenditure Breakdown'!$T$6:$T$225, "&lt;"&amp;CH1)</f>
        <v>0</v>
      </c>
      <c r="CH17" s="213">
        <f>SUMIFS('Expenditure Breakdown'!$U$6:$U$225, 'Expenditure Breakdown'!$T$6:$T$225, "&gt;="&amp;CH1,'Expenditure Breakdown'!$T$6:$T$225, "&lt;"&amp;CI1)</f>
        <v>0</v>
      </c>
      <c r="CI17" s="213">
        <f>SUMIFS('Expenditure Breakdown'!$U$6:$U$225, 'Expenditure Breakdown'!$T$6:$T$225, "&gt;="&amp;CI1,'Expenditure Breakdown'!$T$6:$T$225, "&lt;"&amp;CJ1)</f>
        <v>0</v>
      </c>
      <c r="CJ17" s="213">
        <f>SUMIFS('Expenditure Breakdown'!$U$6:$U$225, 'Expenditure Breakdown'!$T$6:$T$225, "&gt;="&amp;CJ1,'Expenditure Breakdown'!$T$6:$T$225, "&lt;"&amp;CK1)</f>
        <v>0</v>
      </c>
      <c r="CK17" s="213">
        <f>SUMIFS('Expenditure Breakdown'!$U$6:$U$225, 'Expenditure Breakdown'!$T$6:$T$225, "&gt;="&amp;CK1,'Expenditure Breakdown'!$T$6:$T$225, "&lt;"&amp;CL1)</f>
        <v>0</v>
      </c>
      <c r="CL17" s="213">
        <f>SUMIFS('Expenditure Breakdown'!$U$6:$U$225, 'Expenditure Breakdown'!$T$6:$T$225, "&gt;="&amp;CL1,'Expenditure Breakdown'!$T$6:$T$225, "&lt;"&amp;CM1)</f>
        <v>0</v>
      </c>
      <c r="CM17" s="213">
        <f>SUMIFS('Expenditure Breakdown'!$U$6:$U$225, 'Expenditure Breakdown'!$T$6:$T$225, "&gt;="&amp;CM1,'Expenditure Breakdown'!$T$6:$T$225, "&lt;"&amp;CN1)</f>
        <v>0</v>
      </c>
      <c r="CN17" s="213">
        <f>SUMIFS('Expenditure Breakdown'!$U$6:$U$225, 'Expenditure Breakdown'!$T$6:$T$225, "&gt;="&amp;CN1,'Expenditure Breakdown'!$T$6:$T$225, "&lt;"&amp;CO1)</f>
        <v>0</v>
      </c>
      <c r="CO17" s="213">
        <f>SUMIFS('Expenditure Breakdown'!$U$6:$U$225, 'Expenditure Breakdown'!$T$6:$T$225, "&gt;="&amp;CO1,'Expenditure Breakdown'!$T$6:$T$225, "&lt;"&amp;CP1)</f>
        <v>0</v>
      </c>
      <c r="CP17" s="213">
        <f>SUMIFS('Expenditure Breakdown'!$U$6:$U$225, 'Expenditure Breakdown'!$T$6:$T$225, "&gt;="&amp;CP1,'Expenditure Breakdown'!$T$6:$T$225, "&lt;"&amp;CQ1)</f>
        <v>0</v>
      </c>
      <c r="CQ17" s="213">
        <f>SUMIFS('Expenditure Breakdown'!$U$6:$U$225, 'Expenditure Breakdown'!$T$6:$T$225, "&gt;="&amp;CQ1,'Expenditure Breakdown'!$T$6:$T$225, "&lt;"&amp;CR1)</f>
        <v>0</v>
      </c>
      <c r="CR17" s="213">
        <f>SUMIFS('Expenditure Breakdown'!$U$6:$U$225, 'Expenditure Breakdown'!$T$6:$T$225, "&gt;="&amp;CR1,'Expenditure Breakdown'!$T$6:$T$225, "&lt;"&amp;CS1)</f>
        <v>0</v>
      </c>
      <c r="CS17" s="213">
        <f>SUMIFS('Expenditure Breakdown'!$U$6:$U$225, 'Expenditure Breakdown'!$T$6:$T$225, "&gt;="&amp;CS1,'Expenditure Breakdown'!$T$6:$T$225, "&lt;"&amp;CT1)</f>
        <v>0</v>
      </c>
      <c r="CT17" s="213">
        <f>SUMIFS('Expenditure Breakdown'!$U$6:$U$225, 'Expenditure Breakdown'!$T$6:$T$225, "&gt;="&amp;CT1,'Expenditure Breakdown'!$T$6:$T$225, "&lt;"&amp;CU1)</f>
        <v>0</v>
      </c>
      <c r="CU17" s="213">
        <f>SUMIFS('Expenditure Breakdown'!$U$6:$U$225, 'Expenditure Breakdown'!$T$6:$T$225, "&gt;="&amp;CU1,'Expenditure Breakdown'!$T$6:$T$225, "&lt;"&amp;CV1)</f>
        <v>0</v>
      </c>
      <c r="CV17" s="213">
        <f>SUMIFS('Expenditure Breakdown'!$U$6:$U$225, 'Expenditure Breakdown'!$T$6:$T$225, "&gt;="&amp;CV1,'Expenditure Breakdown'!$T$6:$T$225, "&lt;"&amp;CW1)</f>
        <v>0</v>
      </c>
      <c r="CW17" s="213">
        <f>SUMIFS('Expenditure Breakdown'!$U$6:$U$225, 'Expenditure Breakdown'!$T$6:$T$225, "&gt;="&amp;CW1,'Expenditure Breakdown'!$T$6:$T$225, "&lt;"&amp;CX1)</f>
        <v>0</v>
      </c>
      <c r="CX17" s="213">
        <f>SUMIFS('Expenditure Breakdown'!$U$6:$U$225, 'Expenditure Breakdown'!$T$6:$T$225, "&gt;="&amp;CX1,'Expenditure Breakdown'!$T$6:$T$225, "&lt;"&amp;CY1)</f>
        <v>0</v>
      </c>
      <c r="CY17" s="213">
        <f>SUMIFS('Expenditure Breakdown'!$U$6:$U$225, 'Expenditure Breakdown'!$T$6:$T$225, "&gt;="&amp;CY1,'Expenditure Breakdown'!$T$6:$T$225, "&lt;"&amp;CZ1)</f>
        <v>0</v>
      </c>
      <c r="CZ17" s="213">
        <f>SUMIFS('Expenditure Breakdown'!$U$6:$U$225, 'Expenditure Breakdown'!$T$6:$T$225, "&gt;="&amp;CZ1,'Expenditure Breakdown'!$T$6:$T$225, "&lt;"&amp;DA1)</f>
        <v>0</v>
      </c>
      <c r="DA17" s="213">
        <f>SUMIFS('Expenditure Breakdown'!$U$6:$U$225, 'Expenditure Breakdown'!$T$6:$T$225, "&gt;="&amp;DA1,'Expenditure Breakdown'!$T$6:$T$225, "&lt;"&amp;DB1)</f>
        <v>0</v>
      </c>
      <c r="DB17" s="213">
        <f>SUMIFS('Expenditure Breakdown'!$U$6:$U$225, 'Expenditure Breakdown'!$T$6:$T$225, "&gt;="&amp;DB1,'Expenditure Breakdown'!$T$6:$T$225, "&lt;"&amp;DC1)</f>
        <v>0</v>
      </c>
      <c r="DC17" s="213">
        <f>SUMIFS('Expenditure Breakdown'!$U$6:$U$225, 'Expenditure Breakdown'!$T$6:$T$225, "&gt;="&amp;DC1,'Expenditure Breakdown'!$T$6:$T$225, "&lt;"&amp;DD1)</f>
        <v>0</v>
      </c>
      <c r="DD17" s="213">
        <f>SUMIFS('Expenditure Breakdown'!$U$6:$U$225, 'Expenditure Breakdown'!$T$6:$T$225, "&gt;="&amp;DD1,'Expenditure Breakdown'!$T$6:$T$225, "&lt;"&amp;DE1)</f>
        <v>0</v>
      </c>
      <c r="DE17" s="213">
        <f>SUMIFS('Expenditure Breakdown'!$U$6:$U$225, 'Expenditure Breakdown'!$T$6:$T$225, "&gt;="&amp;DE1,'Expenditure Breakdown'!$T$6:$T$225, "&lt;"&amp;DF1)</f>
        <v>0</v>
      </c>
      <c r="DF17" s="213">
        <f>SUMIFS('Expenditure Breakdown'!$U$6:$U$225, 'Expenditure Breakdown'!$T$6:$T$225, "&gt;="&amp;DF1,'Expenditure Breakdown'!$T$6:$T$225, "&lt;"&amp;DG1)</f>
        <v>0</v>
      </c>
      <c r="DG17" s="213">
        <f>SUMIFS('Expenditure Breakdown'!$U$6:$U$225, 'Expenditure Breakdown'!$T$6:$T$225, "&gt;="&amp;DG1,'Expenditure Breakdown'!$T$6:$T$225, "&lt;"&amp;DH1)</f>
        <v>0</v>
      </c>
      <c r="DH17" s="213">
        <f>SUMIFS('Expenditure Breakdown'!$U$6:$U$225, 'Expenditure Breakdown'!$T$6:$T$225, "&gt;="&amp;DH1,'Expenditure Breakdown'!$T$6:$T$225, "&lt;"&amp;DI1)</f>
        <v>0</v>
      </c>
      <c r="DI17" s="213">
        <f>SUMIFS('Expenditure Breakdown'!$U$6:$U$225, 'Expenditure Breakdown'!$T$6:$T$225, "&gt;="&amp;DI1,'Expenditure Breakdown'!$T$6:$T$225, "&lt;"&amp;DJ1)</f>
        <v>0</v>
      </c>
      <c r="DJ17" s="213">
        <f>SUMIFS('Expenditure Breakdown'!$U$6:$U$225, 'Expenditure Breakdown'!$T$6:$T$225, "&gt;="&amp;DJ1,'Expenditure Breakdown'!$T$6:$T$225, "&lt;"&amp;DK1)</f>
        <v>0</v>
      </c>
      <c r="DK17" s="213">
        <f>SUMIFS('Expenditure Breakdown'!$U$6:$U$225, 'Expenditure Breakdown'!$T$6:$T$225, "&gt;="&amp;DK1,'Expenditure Breakdown'!$T$6:$T$225, "&lt;"&amp;DL1)</f>
        <v>0</v>
      </c>
      <c r="DL17" s="213">
        <f>SUMIFS('Expenditure Breakdown'!$U$6:$U$225, 'Expenditure Breakdown'!$T$6:$T$225, "&gt;="&amp;DL1,'Expenditure Breakdown'!$T$6:$T$225, "&lt;"&amp;DM1)</f>
        <v>0</v>
      </c>
      <c r="DM17" s="213">
        <f>SUMIFS('Expenditure Breakdown'!$U$6:$U$225, 'Expenditure Breakdown'!$T$6:$T$225, "&gt;="&amp;DM1,'Expenditure Breakdown'!$T$6:$T$225, "&lt;"&amp;DN1)</f>
        <v>0</v>
      </c>
      <c r="DN17" s="213">
        <f>SUMIFS('Expenditure Breakdown'!$U$6:$U$225, 'Expenditure Breakdown'!$T$6:$T$225, "&gt;="&amp;DN1,'Expenditure Breakdown'!$T$6:$T$225, "&lt;"&amp;DO1)</f>
        <v>0</v>
      </c>
      <c r="DO17" s="213">
        <f>SUMIFS('Expenditure Breakdown'!$U$6:$U$225, 'Expenditure Breakdown'!$T$6:$T$225, "&gt;="&amp;DO1,'Expenditure Breakdown'!$T$6:$T$225, "&lt;"&amp;DP1)</f>
        <v>0</v>
      </c>
      <c r="DP17" s="213">
        <f>SUMIFS('Expenditure Breakdown'!$U$6:$U$225, 'Expenditure Breakdown'!$T$6:$T$225, "&gt;="&amp;DP1,'Expenditure Breakdown'!$T$6:$T$225, "&lt;"&amp;DQ1)</f>
        <v>0</v>
      </c>
      <c r="DQ17" s="213">
        <f>SUMIFS('Expenditure Breakdown'!$U$6:$U$225, 'Expenditure Breakdown'!$T$6:$T$225, "&gt;="&amp;DQ1,'Expenditure Breakdown'!$T$6:$T$225, "&lt;"&amp;DR1)</f>
        <v>0</v>
      </c>
      <c r="DR17" s="213">
        <f>SUMIFS('Expenditure Breakdown'!$U$6:$U$225, 'Expenditure Breakdown'!$T$6:$T$225, "&gt;="&amp;DR1,'Expenditure Breakdown'!$T$6:$T$225, "&lt;"&amp;DS1)</f>
        <v>0</v>
      </c>
      <c r="DS17" s="213">
        <f>SUMIFS('Expenditure Breakdown'!$U$6:$U$225, 'Expenditure Breakdown'!$T$6:$T$225, "&gt;="&amp;DS1,'Expenditure Breakdown'!$T$6:$T$225, "&lt;"&amp;DT1)</f>
        <v>0</v>
      </c>
      <c r="DT17" s="213">
        <f>SUMIFS('Expenditure Breakdown'!$U$6:$U$225, 'Expenditure Breakdown'!$T$6:$T$225, "&gt;="&amp;DT1,'Expenditure Breakdown'!$T$6:$T$225, "&lt;"&amp;DU1)</f>
        <v>0</v>
      </c>
      <c r="DU17" s="213">
        <f>SUMIFS('Expenditure Breakdown'!$U$6:$U$225, 'Expenditure Breakdown'!$T$6:$T$225, "&gt;="&amp;DU1,'Expenditure Breakdown'!$T$6:$T$225, "&lt;"&amp;DV1)</f>
        <v>0</v>
      </c>
      <c r="DV17" s="213">
        <f>SUMIFS('Expenditure Breakdown'!$U$6:$U$225, 'Expenditure Breakdown'!$T$6:$T$225, "&gt;="&amp;DV1,'Expenditure Breakdown'!$T$6:$T$225, "&lt;"&amp;DW1)</f>
        <v>0</v>
      </c>
      <c r="DW17" s="213">
        <f>SUMIFS('Expenditure Breakdown'!$U$6:$U$225, 'Expenditure Breakdown'!$T$6:$T$225, "&gt;="&amp;DW1,'Expenditure Breakdown'!$T$6:$T$225, "&lt;"&amp;DX1)</f>
        <v>0</v>
      </c>
      <c r="DX17" s="213">
        <f>SUMIFS('Expenditure Breakdown'!$U$6:$U$225, 'Expenditure Breakdown'!$T$6:$T$225, "&gt;="&amp;DX1,'Expenditure Breakdown'!$T$6:$T$225, "&lt;"&amp;DY1)</f>
        <v>0</v>
      </c>
      <c r="DY17" s="213">
        <f>SUMIFS('Expenditure Breakdown'!$U$6:$U$225, 'Expenditure Breakdown'!$T$6:$T$225, "&gt;="&amp;DY1,'Expenditure Breakdown'!$T$6:$T$225, "&lt;"&amp;DZ1)</f>
        <v>0</v>
      </c>
      <c r="DZ17" s="213">
        <f>SUMIFS('Expenditure Breakdown'!$U$6:$U$225, 'Expenditure Breakdown'!$T$6:$T$225, "&gt;="&amp;DZ1,'Expenditure Breakdown'!$T$6:$T$225, "&lt;"&amp;EA1)</f>
        <v>0</v>
      </c>
      <c r="EA17" s="213">
        <f>SUMIFS('Expenditure Breakdown'!$U$6:$U$225, 'Expenditure Breakdown'!$T$6:$T$225, "&gt;="&amp;EA1,'Expenditure Breakdown'!$T$6:$T$225, "&lt;"&amp;EB1)</f>
        <v>0</v>
      </c>
      <c r="EB17" s="213">
        <f>SUMIFS('Expenditure Breakdown'!$U$6:$U$225, 'Expenditure Breakdown'!$T$6:$T$225, "&gt;="&amp;EB1,'Expenditure Breakdown'!$T$6:$T$225, "&lt;"&amp;EC1)</f>
        <v>0</v>
      </c>
      <c r="EC17" s="213">
        <f>SUMIFS('Expenditure Breakdown'!$U$6:$U$225, 'Expenditure Breakdown'!$T$6:$T$225, "&gt;="&amp;EC1,'Expenditure Breakdown'!$T$6:$T$225, "&lt;"&amp;ED1)</f>
        <v>0</v>
      </c>
      <c r="ED17" s="213">
        <f>SUMIFS('Expenditure Breakdown'!$U$6:$U$225, 'Expenditure Breakdown'!$T$6:$T$225, "&gt;="&amp;ED1,'Expenditure Breakdown'!$T$6:$T$225, "&lt;"&amp;EE1)</f>
        <v>0</v>
      </c>
      <c r="EE17" s="213">
        <f>SUMIFS('Expenditure Breakdown'!$U$6:$U$225, 'Expenditure Breakdown'!$T$6:$T$225, "&gt;="&amp;EE1,'Expenditure Breakdown'!$T$6:$T$225, "&lt;"&amp;EF1)</f>
        <v>0</v>
      </c>
      <c r="EF17" s="213">
        <f>SUMIFS('Expenditure Breakdown'!$U$6:$U$225, 'Expenditure Breakdown'!$T$6:$T$225, "&gt;="&amp;EF1,'Expenditure Breakdown'!$T$6:$T$225, "&lt;"&amp;EG1)</f>
        <v>0</v>
      </c>
      <c r="EG17" s="213">
        <f>SUMIFS('Expenditure Breakdown'!$U$6:$U$225, 'Expenditure Breakdown'!$T$6:$T$225, "&gt;="&amp;EG1,'Expenditure Breakdown'!$T$6:$T$225, "&lt;"&amp;EH1)</f>
        <v>0</v>
      </c>
      <c r="EH17" s="213">
        <f>SUMIFS('Expenditure Breakdown'!$U$6:$U$225, 'Expenditure Breakdown'!$T$6:$T$225, "&gt;="&amp;EH1,'Expenditure Breakdown'!$T$6:$T$225, "&lt;"&amp;EI1)</f>
        <v>0</v>
      </c>
      <c r="EI17" s="213">
        <f>SUMIFS('Expenditure Breakdown'!$U$6:$U$225, 'Expenditure Breakdown'!$T$6:$T$225, "&gt;="&amp;EI1,'Expenditure Breakdown'!$T$6:$T$225, "&lt;"&amp;EJ1)</f>
        <v>0</v>
      </c>
      <c r="EJ17" s="213">
        <f>SUMIFS('Expenditure Breakdown'!$U$6:$U$225, 'Expenditure Breakdown'!$T$6:$T$225, "&gt;="&amp;EJ1,'Expenditure Breakdown'!$T$6:$T$225, "&lt;"&amp;EK1)</f>
        <v>0</v>
      </c>
      <c r="EK17" s="213">
        <f>SUMIFS('Expenditure Breakdown'!$U$6:$U$225, 'Expenditure Breakdown'!$T$6:$T$225, "&gt;="&amp;EK1,'Expenditure Breakdown'!$T$6:$T$225, "&lt;"&amp;EL1)</f>
        <v>0</v>
      </c>
      <c r="EL17" s="213">
        <f>SUMIFS('Expenditure Breakdown'!$U$6:$U$225, 'Expenditure Breakdown'!$T$6:$T$225, "&gt;="&amp;EL1,'Expenditure Breakdown'!$T$6:$T$225, "&lt;"&amp;EM1)</f>
        <v>0</v>
      </c>
      <c r="EM17" s="213">
        <f>SUMIFS('Expenditure Breakdown'!$U$6:$U$225, 'Expenditure Breakdown'!$T$6:$T$225, "&gt;="&amp;EM1,'Expenditure Breakdown'!$T$6:$T$225, "&lt;"&amp;EN1)</f>
        <v>0</v>
      </c>
      <c r="EN17" s="213">
        <f>SUMIFS('Expenditure Breakdown'!$U$6:$U$225, 'Expenditure Breakdown'!$T$6:$T$225, "&gt;="&amp;EN1,'Expenditure Breakdown'!$T$6:$T$225, "&lt;"&amp;EO1)</f>
        <v>0</v>
      </c>
      <c r="EO17" s="213">
        <f>SUMIFS('Expenditure Breakdown'!$U$6:$U$225, 'Expenditure Breakdown'!$T$6:$T$225, "&gt;="&amp;EO1,'Expenditure Breakdown'!$T$6:$T$225, "&lt;"&amp;EP1)</f>
        <v>0</v>
      </c>
      <c r="EP17" s="213">
        <f>SUMIFS('Expenditure Breakdown'!$U$6:$U$225, 'Expenditure Breakdown'!$T$6:$T$225, "&gt;="&amp;EP1,'Expenditure Breakdown'!$T$6:$T$225, "&lt;"&amp;EQ1)</f>
        <v>0</v>
      </c>
      <c r="EQ17" s="213">
        <f>SUMIFS('Expenditure Breakdown'!$U$6:$U$225, 'Expenditure Breakdown'!$T$6:$T$225, "&gt;="&amp;EQ1,'Expenditure Breakdown'!$T$6:$T$225, "&lt;"&amp;ER1)</f>
        <v>0</v>
      </c>
      <c r="ER17" s="213">
        <f>SUMIFS('Expenditure Breakdown'!$U$6:$U$225, 'Expenditure Breakdown'!$T$6:$T$225, "&gt;="&amp;ER1,'Expenditure Breakdown'!$T$6:$T$225, "&lt;"&amp;ES1)</f>
        <v>0</v>
      </c>
      <c r="ES17" s="213">
        <f>SUMIFS('Expenditure Breakdown'!$U$6:$U$225, 'Expenditure Breakdown'!$T$6:$T$225, "&gt;="&amp;ES1,'Expenditure Breakdown'!$T$6:$T$225, "&lt;"&amp;ET1)</f>
        <v>0</v>
      </c>
      <c r="ET17" s="213">
        <f>SUMIFS('Expenditure Breakdown'!$U$6:$U$225, 'Expenditure Breakdown'!$T$6:$T$225, "&gt;="&amp;ET1,'Expenditure Breakdown'!$T$6:$T$225, "&lt;"&amp;EU1)</f>
        <v>0</v>
      </c>
      <c r="EU17" s="213">
        <f>SUMIFS('Expenditure Breakdown'!$U$6:$U$225, 'Expenditure Breakdown'!$T$6:$T$225, "&gt;="&amp;EU1,'Expenditure Breakdown'!$T$6:$T$225, "&lt;"&amp;EV1)</f>
        <v>0</v>
      </c>
      <c r="EV17" s="213">
        <f>SUMIFS('Expenditure Breakdown'!$U$6:$U$225, 'Expenditure Breakdown'!$T$6:$T$225, "&gt;="&amp;EV1,'Expenditure Breakdown'!$T$6:$T$225, "&lt;"&amp;EW1)</f>
        <v>0</v>
      </c>
      <c r="EW17" s="213">
        <f>SUMIFS('Expenditure Breakdown'!$U$6:$U$225, 'Expenditure Breakdown'!$T$6:$T$225, "&gt;="&amp;EW1,'Expenditure Breakdown'!$T$6:$T$225, "&lt;"&amp;EX1)</f>
        <v>0</v>
      </c>
      <c r="EX17" s="213">
        <f>SUMIFS('Expenditure Breakdown'!$U$6:$U$225, 'Expenditure Breakdown'!$T$6:$T$225, "&gt;="&amp;EX1,'Expenditure Breakdown'!$T$6:$T$225, "&lt;"&amp;EY1)</f>
        <v>0</v>
      </c>
      <c r="EY17" s="213">
        <f>SUMIFS('Expenditure Breakdown'!$U$6:$U$225, 'Expenditure Breakdown'!$T$6:$T$225, "&gt;="&amp;EY1,'Expenditure Breakdown'!$T$6:$T$225, "&lt;"&amp;EZ1)</f>
        <v>0</v>
      </c>
      <c r="EZ17" s="213">
        <f>SUMIFS('Expenditure Breakdown'!$U$6:$U$225, 'Expenditure Breakdown'!$T$6:$T$225, "&gt;="&amp;EZ1,'Expenditure Breakdown'!$T$6:$T$225, "&lt;"&amp;FA1)</f>
        <v>0</v>
      </c>
      <c r="FA17" s="213">
        <f>SUMIFS('Expenditure Breakdown'!$U$6:$U$225, 'Expenditure Breakdown'!$T$6:$T$225, "&gt;="&amp;FA1,'Expenditure Breakdown'!$T$6:$T$225, "&lt;"&amp;FB1)</f>
        <v>0</v>
      </c>
      <c r="FB17" s="213">
        <f>SUMIFS('Expenditure Breakdown'!$U$6:$U$225, 'Expenditure Breakdown'!$T$6:$T$225, "&gt;="&amp;FB1,'Expenditure Breakdown'!$T$6:$T$225, "&lt;"&amp;FC1)</f>
        <v>0</v>
      </c>
      <c r="FC17" s="213">
        <f>SUMIFS('Expenditure Breakdown'!$U$6:$U$225, 'Expenditure Breakdown'!$T$6:$T$225, "&gt;="&amp;FC1,'Expenditure Breakdown'!$T$6:$T$225, "&lt;"&amp;FD1)</f>
        <v>0</v>
      </c>
      <c r="FD17" s="213">
        <f>SUMIFS('Expenditure Breakdown'!$U$6:$U$225, 'Expenditure Breakdown'!$T$6:$T$225, "&gt;="&amp;FD1,'Expenditure Breakdown'!$T$6:$T$225, "&lt;"&amp;FE1)</f>
        <v>0</v>
      </c>
      <c r="FE17" s="213">
        <f>SUMIFS('Expenditure Breakdown'!$U$6:$U$225, 'Expenditure Breakdown'!$T$6:$T$225, "&gt;="&amp;FE1,'Expenditure Breakdown'!$T$6:$T$225, "&lt;"&amp;FF1)</f>
        <v>0</v>
      </c>
      <c r="FF17" s="213">
        <f>SUMIFS('Expenditure Breakdown'!$U$6:$U$225, 'Expenditure Breakdown'!$T$6:$T$225, "&gt;="&amp;FF1,'Expenditure Breakdown'!$T$6:$T$225, "&lt;"&amp;FG1)</f>
        <v>0</v>
      </c>
      <c r="FG17" s="213">
        <f>SUMIFS('Expenditure Breakdown'!$U$6:$U$225, 'Expenditure Breakdown'!$T$6:$T$225, "&gt;="&amp;FG1,'Expenditure Breakdown'!$T$6:$T$225, "&lt;"&amp;FH1)</f>
        <v>0</v>
      </c>
      <c r="FH17" s="213">
        <f>SUMIFS('Expenditure Breakdown'!$U$6:$U$225, 'Expenditure Breakdown'!$T$6:$T$225, "&gt;="&amp;FH1,'Expenditure Breakdown'!$T$6:$T$225, "&lt;"&amp;FI1)</f>
        <v>0</v>
      </c>
      <c r="FI17" s="213">
        <f>SUMIFS('Expenditure Breakdown'!$U$6:$U$225, 'Expenditure Breakdown'!$T$6:$T$225, "&gt;="&amp;FI1,'Expenditure Breakdown'!$T$6:$T$225, "&lt;"&amp;FJ1)</f>
        <v>0</v>
      </c>
      <c r="FJ17" s="213">
        <f>SUMIFS('Expenditure Breakdown'!$U$6:$U$225, 'Expenditure Breakdown'!$T$6:$T$225, "&gt;="&amp;FJ1,'Expenditure Breakdown'!$T$6:$T$225, "&lt;"&amp;FK1)</f>
        <v>0</v>
      </c>
      <c r="FK17" s="213">
        <f>SUMIFS('Expenditure Breakdown'!$U$6:$U$225, 'Expenditure Breakdown'!$T$6:$T$225, "&gt;="&amp;FK1,'Expenditure Breakdown'!$T$6:$T$225, "&lt;"&amp;FL1)</f>
        <v>0</v>
      </c>
      <c r="FL17" s="213">
        <f>SUMIFS('Expenditure Breakdown'!$U$6:$U$225, 'Expenditure Breakdown'!$T$6:$T$225, "&gt;="&amp;FL1,'Expenditure Breakdown'!$T$6:$T$225, "&lt;"&amp;FM1)</f>
        <v>0</v>
      </c>
      <c r="FM17" s="213">
        <f>SUMIFS('Expenditure Breakdown'!$U$6:$U$225, 'Expenditure Breakdown'!$T$6:$T$225, "&gt;="&amp;FM1,'Expenditure Breakdown'!$T$6:$T$225, "&lt;"&amp;FN1)</f>
        <v>0</v>
      </c>
      <c r="FN17" s="213">
        <f>SUMIFS('Expenditure Breakdown'!$U$6:$U$225, 'Expenditure Breakdown'!$T$6:$T$225, "&gt;="&amp;FN1,'Expenditure Breakdown'!$T$6:$T$225, "&lt;"&amp;FO1)</f>
        <v>0</v>
      </c>
      <c r="FO17" s="213">
        <f>SUMIFS('Expenditure Breakdown'!$U$6:$U$225, 'Expenditure Breakdown'!$T$6:$T$225, "&gt;="&amp;FO1,'Expenditure Breakdown'!$T$6:$T$225, "&lt;"&amp;FP1)</f>
        <v>0</v>
      </c>
      <c r="FP17" s="213">
        <f>SUMIFS('Expenditure Breakdown'!$U$6:$U$225, 'Expenditure Breakdown'!$T$6:$T$225, "&gt;="&amp;FP1,'Expenditure Breakdown'!$T$6:$T$225, "&lt;"&amp;FQ1)</f>
        <v>0</v>
      </c>
      <c r="FQ17" s="213">
        <f>SUMIFS('Expenditure Breakdown'!$U$6:$U$225, 'Expenditure Breakdown'!$T$6:$T$225, "&gt;="&amp;FQ1,'Expenditure Breakdown'!$T$6:$T$225, "&lt;"&amp;FR1)</f>
        <v>0</v>
      </c>
      <c r="FR17" s="213">
        <f>SUMIFS('Expenditure Breakdown'!$U$6:$U$225, 'Expenditure Breakdown'!$T$6:$T$225, "&gt;="&amp;FR1,'Expenditure Breakdown'!$T$6:$T$225, "&lt;"&amp;FS1)</f>
        <v>0</v>
      </c>
      <c r="FS17" s="213">
        <f>SUMIFS('Expenditure Breakdown'!$U$6:$U$225, 'Expenditure Breakdown'!$T$6:$T$225, "&gt;="&amp;FS1,'Expenditure Breakdown'!$T$6:$T$225, "&lt;"&amp;FT1)</f>
        <v>0</v>
      </c>
      <c r="FT17" s="213">
        <f>SUMIFS('Expenditure Breakdown'!$U$6:$U$225, 'Expenditure Breakdown'!$T$6:$T$225, "&gt;="&amp;FT1,'Expenditure Breakdown'!$T$6:$T$225, "&lt;"&amp;FU1)</f>
        <v>0</v>
      </c>
      <c r="FU17" s="213">
        <f>SUMIFS('Expenditure Breakdown'!$U$6:$U$225, 'Expenditure Breakdown'!$T$6:$T$225, "&gt;="&amp;FU1,'Expenditure Breakdown'!$T$6:$T$225, "&lt;"&amp;FV1)</f>
        <v>0</v>
      </c>
      <c r="FV17" s="213">
        <f>SUMIFS('Expenditure Breakdown'!$U$6:$U$225, 'Expenditure Breakdown'!$T$6:$T$225, "&gt;="&amp;FV1,'Expenditure Breakdown'!$T$6:$T$225, "&lt;"&amp;FW1)</f>
        <v>0</v>
      </c>
      <c r="FW17" s="213">
        <f>SUMIFS('Expenditure Breakdown'!$U$6:$U$225, 'Expenditure Breakdown'!$T$6:$T$225, "&gt;="&amp;FW1,'Expenditure Breakdown'!$T$6:$T$225, "&lt;"&amp;FX1)</f>
        <v>0</v>
      </c>
      <c r="FX17" s="213">
        <f>SUMIFS('Expenditure Breakdown'!$U$6:$U$225, 'Expenditure Breakdown'!$T$6:$T$225, "&gt;="&amp;FX1,'Expenditure Breakdown'!$T$6:$T$225, "&lt;"&amp;FY1)</f>
        <v>0</v>
      </c>
      <c r="FY17" s="213">
        <f>SUMIFS('Expenditure Breakdown'!$U$6:$U$225, 'Expenditure Breakdown'!$T$6:$T$225, "&gt;="&amp;FY1,'Expenditure Breakdown'!$T$6:$T$225, "&lt;"&amp;FZ1)</f>
        <v>0</v>
      </c>
      <c r="FZ17" s="213">
        <f>SUMIFS('Expenditure Breakdown'!$U$6:$U$225, 'Expenditure Breakdown'!$T$6:$T$225, "&gt;="&amp;FZ1,'Expenditure Breakdown'!$T$6:$T$225, "&lt;"&amp;GA1)</f>
        <v>0</v>
      </c>
      <c r="GA17" s="213">
        <f>SUMIFS('Expenditure Breakdown'!$U$6:$U$225, 'Expenditure Breakdown'!$T$6:$T$225, "&gt;="&amp;GA1,'Expenditure Breakdown'!$T$6:$T$225, "&lt;"&amp;GB1)</f>
        <v>0</v>
      </c>
      <c r="GB17" s="213">
        <f>SUMIFS('Expenditure Breakdown'!$U$6:$U$225, 'Expenditure Breakdown'!$T$6:$T$225, "&gt;="&amp;GB1,'Expenditure Breakdown'!$T$6:$T$225, "&lt;"&amp;GC1)</f>
        <v>0</v>
      </c>
      <c r="GC17" s="213">
        <f>SUMIFS('Expenditure Breakdown'!$U$6:$U$225, 'Expenditure Breakdown'!$T$6:$T$225, "&gt;="&amp;GC1,'Expenditure Breakdown'!$T$6:$T$225, "&lt;"&amp;GD1)</f>
        <v>0</v>
      </c>
      <c r="GD17" s="213">
        <f>SUMIFS('Expenditure Breakdown'!$U$6:$U$225, 'Expenditure Breakdown'!$T$6:$T$225, "&gt;="&amp;GD1,'Expenditure Breakdown'!$T$6:$T$225, "&lt;"&amp;GE1)</f>
        <v>0</v>
      </c>
      <c r="GE17" s="213">
        <f>SUMIFS('Expenditure Breakdown'!$U$6:$U$225, 'Expenditure Breakdown'!$T$6:$T$225, "&gt;="&amp;GE1,'Expenditure Breakdown'!$T$6:$T$225, "&lt;"&amp;GF1)</f>
        <v>0</v>
      </c>
      <c r="GF17" s="213">
        <f>SUMIFS('Expenditure Breakdown'!$U$6:$U$225, 'Expenditure Breakdown'!$T$6:$T$225, "&gt;="&amp;GF1,'Expenditure Breakdown'!$T$6:$T$225, "&lt;"&amp;GG1)</f>
        <v>0</v>
      </c>
      <c r="GG17" s="213">
        <f>SUMIFS('Expenditure Breakdown'!$U$6:$U$225, 'Expenditure Breakdown'!$T$6:$T$225, "&gt;="&amp;GG1,'Expenditure Breakdown'!$T$6:$T$225, "&lt;"&amp;GH1)</f>
        <v>0</v>
      </c>
      <c r="GH17" s="213">
        <f>SUMIFS('Expenditure Breakdown'!$U$6:$U$225, 'Expenditure Breakdown'!$T$6:$T$225, "&gt;="&amp;GH1,'Expenditure Breakdown'!$T$6:$T$225, "&lt;"&amp;GI1)</f>
        <v>0</v>
      </c>
      <c r="GI17" s="213">
        <f>SUMIFS('Expenditure Breakdown'!$U$6:$U$225, 'Expenditure Breakdown'!$T$6:$T$225, "&gt;="&amp;GI1,'Expenditure Breakdown'!$T$6:$T$225, "&lt;"&amp;GJ1)</f>
        <v>0</v>
      </c>
      <c r="GJ17" s="213">
        <f>SUMIFS('Expenditure Breakdown'!$U$6:$U$225, 'Expenditure Breakdown'!$T$6:$T$225, "&gt;="&amp;GJ1,'Expenditure Breakdown'!$T$6:$T$225, "&lt;"&amp;GK1)</f>
        <v>0</v>
      </c>
      <c r="GK17" s="213">
        <f>SUMIFS('Expenditure Breakdown'!$U$6:$U$225, 'Expenditure Breakdown'!$T$6:$T$225, "&gt;="&amp;GK1,'Expenditure Breakdown'!$T$6:$T$225, "&lt;"&amp;GL1)</f>
        <v>0</v>
      </c>
      <c r="GL17" s="213">
        <f>SUMIFS('Expenditure Breakdown'!$U$6:$U$225, 'Expenditure Breakdown'!$T$6:$T$225, "&gt;="&amp;GL1,'Expenditure Breakdown'!$T$6:$T$225, "&lt;"&amp;GM1)</f>
        <v>0</v>
      </c>
      <c r="GM17" s="213">
        <f>SUMIFS('Expenditure Breakdown'!$U$6:$U$225, 'Expenditure Breakdown'!$T$6:$T$225, "&gt;="&amp;GM1,'Expenditure Breakdown'!$T$6:$T$225, "&lt;"&amp;GN1)</f>
        <v>0</v>
      </c>
      <c r="GN17" s="213">
        <f>SUMIFS('Expenditure Breakdown'!$U$6:$U$225, 'Expenditure Breakdown'!$T$6:$T$225, "&gt;="&amp;GN1,'Expenditure Breakdown'!$T$6:$T$225, "&lt;"&amp;GO1)</f>
        <v>0</v>
      </c>
      <c r="GO17" s="213">
        <f>SUMIFS('Expenditure Breakdown'!$U$6:$U$225, 'Expenditure Breakdown'!$T$6:$T$225, "&gt;="&amp;GO1,'Expenditure Breakdown'!$T$6:$T$225, "&lt;"&amp;GP1)</f>
        <v>0</v>
      </c>
      <c r="GP17" s="213">
        <f>SUMIFS('Expenditure Breakdown'!$U$6:$U$225, 'Expenditure Breakdown'!$T$6:$T$225, "&gt;="&amp;GP1,'Expenditure Breakdown'!$T$6:$T$225, "&lt;"&amp;GQ1)</f>
        <v>0</v>
      </c>
      <c r="GQ17" s="213">
        <f>SUMIFS('Expenditure Breakdown'!$U$6:$U$225, 'Expenditure Breakdown'!$T$6:$T$225, "&gt;="&amp;GQ1,'Expenditure Breakdown'!$T$6:$T$225, "&lt;"&amp;GR1)</f>
        <v>0</v>
      </c>
      <c r="GR17" s="213">
        <f>SUMIFS('Expenditure Breakdown'!$U$6:$U$225, 'Expenditure Breakdown'!$T$6:$T$225, "&gt;="&amp;GR1,'Expenditure Breakdown'!$T$6:$T$225, "&lt;"&amp;GS1)</f>
        <v>0</v>
      </c>
      <c r="GS17" s="213">
        <f>SUMIFS('Expenditure Breakdown'!$U$6:$U$225, 'Expenditure Breakdown'!$T$6:$T$225, "&gt;="&amp;GS1,'Expenditure Breakdown'!$T$6:$T$225, "&lt;"&amp;GT1)</f>
        <v>0</v>
      </c>
      <c r="GT17" s="213">
        <f>SUMIFS('Expenditure Breakdown'!$U$6:$U$225, 'Expenditure Breakdown'!$T$6:$T$225, "&gt;="&amp;GT1,'Expenditure Breakdown'!$T$6:$T$225, "&lt;"&amp;GU1)</f>
        <v>0</v>
      </c>
      <c r="GU17" s="213">
        <f>SUMIFS('Expenditure Breakdown'!$U$6:$U$225, 'Expenditure Breakdown'!$T$6:$T$225, "&gt;="&amp;GU1,'Expenditure Breakdown'!$T$6:$T$225, "&lt;"&amp;GV1)</f>
        <v>0</v>
      </c>
      <c r="GV17" s="213">
        <f>SUMIFS('Expenditure Breakdown'!$U$6:$U$225, 'Expenditure Breakdown'!$T$6:$T$225, "&gt;="&amp;GV1,'Expenditure Breakdown'!$T$6:$T$225, "&lt;"&amp;GW1)</f>
        <v>0</v>
      </c>
      <c r="GW17" s="213">
        <f>SUMIFS('Expenditure Breakdown'!$U$6:$U$225, 'Expenditure Breakdown'!$T$6:$T$225, "&gt;="&amp;GW1,'Expenditure Breakdown'!$T$6:$T$225, "&lt;"&amp;GX1)</f>
        <v>0</v>
      </c>
      <c r="GX17" s="213">
        <f>SUMIFS('Expenditure Breakdown'!$U$6:$U$225, 'Expenditure Breakdown'!$T$6:$T$225, "&gt;="&amp;GX1,'Expenditure Breakdown'!$T$6:$T$225, "&lt;"&amp;GY1)</f>
        <v>0</v>
      </c>
      <c r="GY17" s="213">
        <f>SUMIFS('Expenditure Breakdown'!$U$6:$U$225, 'Expenditure Breakdown'!$T$6:$T$225, "&gt;="&amp;GY1,'Expenditure Breakdown'!$T$6:$T$225, "&lt;"&amp;GZ1)</f>
        <v>0</v>
      </c>
      <c r="GZ17" s="213">
        <f>SUMIFS('Expenditure Breakdown'!$U$6:$U$225, 'Expenditure Breakdown'!$T$6:$T$225, "&gt;="&amp;GZ1,'Expenditure Breakdown'!$T$6:$T$225, "&lt;"&amp;HA1)</f>
        <v>0</v>
      </c>
      <c r="HA17" s="213">
        <f>SUMIFS('Expenditure Breakdown'!$U$6:$U$225, 'Expenditure Breakdown'!$T$6:$T$225, "&gt;="&amp;HA1,'Expenditure Breakdown'!$T$6:$T$225, "&lt;"&amp;HB1)</f>
        <v>0</v>
      </c>
      <c r="HB17" s="213">
        <f>SUMIFS('Expenditure Breakdown'!$U$6:$U$225, 'Expenditure Breakdown'!$T$6:$T$225, "&gt;="&amp;HB1,'Expenditure Breakdown'!$T$6:$T$225, "&lt;"&amp;HC1)</f>
        <v>0</v>
      </c>
      <c r="HC17" s="213">
        <f>SUMIFS('Expenditure Breakdown'!$U$6:$U$225, 'Expenditure Breakdown'!$T$6:$T$225, "&gt;="&amp;HC1,'Expenditure Breakdown'!$T$6:$T$225, "&lt;"&amp;HD1)</f>
        <v>0</v>
      </c>
      <c r="HD17" s="213">
        <f>SUMIFS('Expenditure Breakdown'!$U$6:$U$225, 'Expenditure Breakdown'!$T$6:$T$225, "&gt;="&amp;HD1,'Expenditure Breakdown'!$T$6:$T$225, "&lt;"&amp;HE1)</f>
        <v>0</v>
      </c>
      <c r="HE17" s="213">
        <f>SUMIFS('Expenditure Breakdown'!$U$6:$U$225, 'Expenditure Breakdown'!$T$6:$T$225, "&gt;="&amp;HE1,'Expenditure Breakdown'!$T$6:$T$225, "&lt;"&amp;HF1)</f>
        <v>0</v>
      </c>
      <c r="HF17" s="213">
        <f>SUMIFS('Expenditure Breakdown'!$U$6:$U$225, 'Expenditure Breakdown'!$T$6:$T$225, "&gt;="&amp;HF1,'Expenditure Breakdown'!$T$6:$T$225, "&lt;"&amp;HG1)</f>
        <v>0</v>
      </c>
      <c r="HG17" s="213">
        <f>SUMIFS('Expenditure Breakdown'!$U$6:$U$225, 'Expenditure Breakdown'!$T$6:$T$225, "&gt;="&amp;HG1,'Expenditure Breakdown'!$T$6:$T$225, "&lt;"&amp;HH1)</f>
        <v>0</v>
      </c>
      <c r="HH17" s="213">
        <f>SUMIFS('Expenditure Breakdown'!$U$6:$U$225, 'Expenditure Breakdown'!$T$6:$T$225, "&gt;="&amp;HH1,'Expenditure Breakdown'!$T$6:$T$225, "&lt;"&amp;HI1)</f>
        <v>0</v>
      </c>
      <c r="HI17" s="213">
        <f>SUMIFS('Expenditure Breakdown'!$U$6:$U$225, 'Expenditure Breakdown'!$T$6:$T$225, "&gt;="&amp;HI1,'Expenditure Breakdown'!$T$6:$T$225, "&lt;"&amp;HJ1)</f>
        <v>0</v>
      </c>
      <c r="HJ17" s="213">
        <f>SUMIFS('Expenditure Breakdown'!$U$6:$U$225, 'Expenditure Breakdown'!$T$6:$T$225, "&gt;="&amp;HJ1,'Expenditure Breakdown'!$T$6:$T$225, "&lt;"&amp;HK1)</f>
        <v>0</v>
      </c>
      <c r="HK17" s="213">
        <f>SUMIFS('Expenditure Breakdown'!$U$6:$U$225, 'Expenditure Breakdown'!$T$6:$T$225, "&gt;="&amp;HK1,'Expenditure Breakdown'!$T$6:$T$225, "&lt;"&amp;HL1)</f>
        <v>0</v>
      </c>
      <c r="HL17" s="213">
        <f>SUMIFS('Expenditure Breakdown'!$U$6:$U$225, 'Expenditure Breakdown'!$T$6:$T$225, "&gt;="&amp;HL1,'Expenditure Breakdown'!$T$6:$T$225, "&lt;"&amp;HM1)</f>
        <v>0</v>
      </c>
      <c r="HM17" s="213">
        <f>SUMIFS('Expenditure Breakdown'!$U$6:$U$225, 'Expenditure Breakdown'!$T$6:$T$225, "&gt;="&amp;HM1,'Expenditure Breakdown'!$T$6:$T$225, "&lt;"&amp;HN1)</f>
        <v>0</v>
      </c>
      <c r="HN17" s="213">
        <f>SUMIFS('Expenditure Breakdown'!$U$6:$U$225, 'Expenditure Breakdown'!$T$6:$T$225, "&gt;="&amp;HN1,'Expenditure Breakdown'!$T$6:$T$225, "&lt;"&amp;HO1)</f>
        <v>0</v>
      </c>
      <c r="HO17" s="213">
        <f>SUMIFS('Expenditure Breakdown'!$U$6:$U$225, 'Expenditure Breakdown'!$T$6:$T$225, "&gt;="&amp;HO1,'Expenditure Breakdown'!$T$6:$T$225, "&lt;"&amp;HP1)</f>
        <v>0</v>
      </c>
      <c r="HP17" s="213">
        <f>SUMIFS('Expenditure Breakdown'!$U$6:$U$225, 'Expenditure Breakdown'!$T$6:$T$225, "&gt;="&amp;HP1,'Expenditure Breakdown'!$T$6:$T$225, "&lt;"&amp;HQ1)</f>
        <v>0</v>
      </c>
      <c r="HQ17" s="213">
        <f>SUMIFS('Expenditure Breakdown'!$U$6:$U$225, 'Expenditure Breakdown'!$T$6:$T$225, "&gt;="&amp;HQ1,'Expenditure Breakdown'!$T$6:$T$225, "&lt;"&amp;HR1)</f>
        <v>0</v>
      </c>
      <c r="HR17" s="213">
        <f>SUMIFS('Expenditure Breakdown'!$U$6:$U$225, 'Expenditure Breakdown'!$T$6:$T$225, "&gt;="&amp;HR1,'Expenditure Breakdown'!$T$6:$T$225, "&lt;"&amp;HS1)</f>
        <v>0</v>
      </c>
      <c r="HS17" s="213">
        <f>SUMIFS('Expenditure Breakdown'!$U$6:$U$225, 'Expenditure Breakdown'!$T$6:$T$225, "&gt;="&amp;HS1,'Expenditure Breakdown'!$T$6:$T$225, "&lt;"&amp;HT1)</f>
        <v>0</v>
      </c>
      <c r="HT17" s="213">
        <f>SUMIFS('Expenditure Breakdown'!$U$6:$U$225, 'Expenditure Breakdown'!$T$6:$T$225, "&gt;="&amp;HT1,'Expenditure Breakdown'!$T$6:$T$225, "&lt;"&amp;HU1)</f>
        <v>0</v>
      </c>
      <c r="HU17" s="213">
        <f>SUMIFS('Expenditure Breakdown'!$U$6:$U$225, 'Expenditure Breakdown'!$T$6:$T$225, "&gt;="&amp;HU1,'Expenditure Breakdown'!$T$6:$T$225, "&lt;"&amp;HV1)</f>
        <v>0</v>
      </c>
      <c r="HV17" s="213">
        <f>SUMIFS('Expenditure Breakdown'!$U$6:$U$225, 'Expenditure Breakdown'!$T$6:$T$225, "&gt;="&amp;HV1,'Expenditure Breakdown'!$T$6:$T$225, "&lt;"&amp;HW1)</f>
        <v>0</v>
      </c>
      <c r="HW17" s="213">
        <f>SUMIFS('Expenditure Breakdown'!$U$6:$U$225, 'Expenditure Breakdown'!$T$6:$T$225, "&gt;="&amp;HW1,'Expenditure Breakdown'!$T$6:$T$225, "&lt;"&amp;HX1)</f>
        <v>0</v>
      </c>
      <c r="HX17" s="213">
        <f>SUMIFS('Expenditure Breakdown'!$U$6:$U$225, 'Expenditure Breakdown'!$T$6:$T$225, "&gt;="&amp;HX1,'Expenditure Breakdown'!$T$6:$T$225, "&lt;"&amp;HY1)</f>
        <v>0</v>
      </c>
      <c r="HY17" s="213">
        <f>SUMIFS('Expenditure Breakdown'!$U$6:$U$225, 'Expenditure Breakdown'!$T$6:$T$225, "&gt;="&amp;HY1,'Expenditure Breakdown'!$T$6:$T$225, "&lt;"&amp;HZ1)</f>
        <v>0</v>
      </c>
      <c r="HZ17" s="213">
        <f>SUMIFS('Expenditure Breakdown'!$U$6:$U$225, 'Expenditure Breakdown'!$T$6:$T$225, "&gt;="&amp;HZ1,'Expenditure Breakdown'!$T$6:$T$225, "&lt;"&amp;IA1)</f>
        <v>0</v>
      </c>
      <c r="IA17" s="213">
        <f>SUMIFS('Expenditure Breakdown'!$U$6:$U$225, 'Expenditure Breakdown'!$T$6:$T$225, "&gt;="&amp;IA1,'Expenditure Breakdown'!$T$6:$T$225, "&lt;"&amp;IB1)</f>
        <v>0</v>
      </c>
      <c r="IB17" s="213">
        <f>SUMIFS('Expenditure Breakdown'!$U$6:$U$225, 'Expenditure Breakdown'!$T$6:$T$225, "&gt;="&amp;IB1,'Expenditure Breakdown'!$T$6:$T$225, "&lt;"&amp;IC1)</f>
        <v>0</v>
      </c>
      <c r="IC17" s="213">
        <f>SUMIFS('Expenditure Breakdown'!$U$6:$U$225, 'Expenditure Breakdown'!$T$6:$T$225, "&gt;="&amp;IC1,'Expenditure Breakdown'!$T$6:$T$225, "&lt;"&amp;ID1)</f>
        <v>0</v>
      </c>
      <c r="ID17" s="213">
        <f>SUMIFS('Expenditure Breakdown'!$U$6:$U$225, 'Expenditure Breakdown'!$T$6:$T$225, "&gt;="&amp;ID1,'Expenditure Breakdown'!$T$6:$T$225, "&lt;"&amp;IE1)</f>
        <v>0</v>
      </c>
      <c r="IE17" s="213">
        <f>SUMIFS('Expenditure Breakdown'!$U$6:$U$225, 'Expenditure Breakdown'!$T$6:$T$225, "&gt;="&amp;IE1,'Expenditure Breakdown'!$T$6:$T$225, "&lt;"&amp;IF1)</f>
        <v>0</v>
      </c>
      <c r="IF17" s="213">
        <f>SUMIFS('Expenditure Breakdown'!$U$6:$U$225, 'Expenditure Breakdown'!$T$6:$T$225, "&gt;="&amp;IF1,'Expenditure Breakdown'!$T$6:$T$225, "&lt;"&amp;IG1)</f>
        <v>0</v>
      </c>
      <c r="IG17" s="213">
        <f>SUMIFS('Expenditure Breakdown'!$U$6:$U$225, 'Expenditure Breakdown'!$T$6:$T$225, "&gt;="&amp;IG1,'Expenditure Breakdown'!$T$6:$T$225, "&lt;"&amp;IH1)</f>
        <v>0</v>
      </c>
      <c r="IH17" s="213">
        <f>SUMIFS('Expenditure Breakdown'!$U$6:$U$225, 'Expenditure Breakdown'!$T$6:$T$225, "&gt;="&amp;IH1,'Expenditure Breakdown'!$T$6:$T$225, "&lt;"&amp;II1)</f>
        <v>0</v>
      </c>
      <c r="II17" s="213">
        <f>SUMIFS('Expenditure Breakdown'!$U$6:$U$225, 'Expenditure Breakdown'!$T$6:$T$225, "&gt;="&amp;II1,'Expenditure Breakdown'!$T$6:$T$225, "&lt;"&amp;IJ1)</f>
        <v>0</v>
      </c>
      <c r="IJ17" s="213">
        <f>SUMIFS('Expenditure Breakdown'!$U$6:$U$225, 'Expenditure Breakdown'!$T$6:$T$225, "&gt;="&amp;IJ1,'Expenditure Breakdown'!$T$6:$T$225, "&lt;"&amp;IK1)</f>
        <v>0</v>
      </c>
      <c r="IK17" s="213">
        <f>SUMIFS('Expenditure Breakdown'!$U$6:$U$225, 'Expenditure Breakdown'!$T$6:$T$225, "&gt;="&amp;IK1,'Expenditure Breakdown'!$T$6:$T$225, "&lt;"&amp;IL1)</f>
        <v>0</v>
      </c>
      <c r="IL17" s="213">
        <f>SUMIFS('Expenditure Breakdown'!$U$6:$U$225, 'Expenditure Breakdown'!$T$6:$T$225, "&gt;="&amp;IL1,'Expenditure Breakdown'!$T$6:$T$225, "&lt;"&amp;IM1)</f>
        <v>0</v>
      </c>
      <c r="IM17" s="213">
        <f>SUMIFS('Expenditure Breakdown'!$U$6:$U$225, 'Expenditure Breakdown'!$T$6:$T$225, "&gt;="&amp;IM1,'Expenditure Breakdown'!$T$6:$T$225, "&lt;"&amp;IN1)</f>
        <v>0</v>
      </c>
      <c r="IN17" s="213">
        <f>SUMIFS('Expenditure Breakdown'!$U$6:$U$225, 'Expenditure Breakdown'!$T$6:$T$225, "&gt;="&amp;IN1,'Expenditure Breakdown'!$T$6:$T$225, "&lt;"&amp;IO1)</f>
        <v>0</v>
      </c>
      <c r="IO17" s="213">
        <f>SUMIFS('Expenditure Breakdown'!$U$6:$U$225, 'Expenditure Breakdown'!$T$6:$T$225, "&gt;="&amp;IO1,'Expenditure Breakdown'!$T$6:$T$225, "&lt;"&amp;IP1)</f>
        <v>0</v>
      </c>
      <c r="IP17" s="213">
        <f>SUMIFS('Expenditure Breakdown'!$U$6:$U$225, 'Expenditure Breakdown'!$T$6:$T$225, "&gt;="&amp;IP1,'Expenditure Breakdown'!$T$6:$T$225, "&lt;"&amp;IQ1)</f>
        <v>0</v>
      </c>
      <c r="IQ17" s="213">
        <f>SUMIFS('Expenditure Breakdown'!$U$6:$U$225, 'Expenditure Breakdown'!$T$6:$T$225, "&gt;="&amp;IQ1,'Expenditure Breakdown'!$T$6:$T$225, "&lt;"&amp;IR1)</f>
        <v>0</v>
      </c>
      <c r="IR17" s="213">
        <f>SUMIFS('Expenditure Breakdown'!$U$6:$U$225, 'Expenditure Breakdown'!$T$6:$T$225, "&gt;="&amp;IR1,'Expenditure Breakdown'!$T$6:$T$225, "&lt;"&amp;IS1)</f>
        <v>0</v>
      </c>
      <c r="IS17" s="213">
        <f>SUMIFS('Expenditure Breakdown'!$U$6:$U$225, 'Expenditure Breakdown'!$T$6:$T$225, "&gt;="&amp;IS1,'Expenditure Breakdown'!$T$6:$T$225, "&lt;"&amp;IT1)</f>
        <v>0</v>
      </c>
      <c r="IT17" s="213">
        <f>SUMIFS('Expenditure Breakdown'!$U$6:$U$225, 'Expenditure Breakdown'!$T$6:$T$225, "&gt;="&amp;IT1,'Expenditure Breakdown'!$T$6:$T$225, "&lt;"&amp;IU1)</f>
        <v>0</v>
      </c>
      <c r="IU17" s="213">
        <f>SUMIFS('Expenditure Breakdown'!$U$6:$U$225, 'Expenditure Breakdown'!$T$6:$T$225, "&gt;="&amp;IU1,'Expenditure Breakdown'!$T$6:$T$225, "&lt;"&amp;IV1)</f>
        <v>0</v>
      </c>
      <c r="IV17" s="213">
        <f>SUMIFS('Expenditure Breakdown'!$U$6:$U$225, 'Expenditure Breakdown'!$T$6:$T$225, "&gt;="&amp;IV1,'Expenditure Breakdown'!$T$6:$T$225, "&lt;"&amp;IW1)</f>
        <v>0</v>
      </c>
      <c r="IW17" s="213">
        <f>SUMIFS('Expenditure Breakdown'!$U$6:$U$225, 'Expenditure Breakdown'!$T$6:$T$225, "&gt;="&amp;IW1,'Expenditure Breakdown'!$T$6:$T$225, "&lt;"&amp;IX1)</f>
        <v>0</v>
      </c>
      <c r="IX17" s="213">
        <f>SUMIFS('Expenditure Breakdown'!$U$6:$U$225, 'Expenditure Breakdown'!$T$6:$T$225, "&gt;="&amp;IX1,'Expenditure Breakdown'!$T$6:$T$225, "&lt;"&amp;IY1)</f>
        <v>0</v>
      </c>
      <c r="IY17" s="213">
        <f>SUMIFS('Expenditure Breakdown'!$U$6:$U$225, 'Expenditure Breakdown'!$T$6:$T$225, "&gt;="&amp;IY1,'Expenditure Breakdown'!$T$6:$T$225, "&lt;"&amp;IZ1)</f>
        <v>0</v>
      </c>
      <c r="IZ17" s="213">
        <f>SUMIFS('Expenditure Breakdown'!$U$6:$U$225, 'Expenditure Breakdown'!$T$6:$T$225, "&gt;="&amp;IZ1,'Expenditure Breakdown'!$T$6:$T$225, "&lt;"&amp;JA1)</f>
        <v>0</v>
      </c>
      <c r="JA17" s="213">
        <f>SUMIFS('Expenditure Breakdown'!$U$6:$U$225, 'Expenditure Breakdown'!$T$6:$T$225, "&gt;="&amp;JA1,'Expenditure Breakdown'!$T$6:$T$225, "&lt;"&amp;JB1)</f>
        <v>0</v>
      </c>
      <c r="JB17" s="213">
        <f>SUMIFS('Expenditure Breakdown'!$U$6:$U$225, 'Expenditure Breakdown'!$T$6:$T$225, "&gt;="&amp;JB1,'Expenditure Breakdown'!$T$6:$T$225, "&lt;"&amp;JC1)</f>
        <v>0</v>
      </c>
      <c r="JC17" s="213">
        <f>SUMIFS('Expenditure Breakdown'!$U$6:$U$225, 'Expenditure Breakdown'!$T$6:$T$225, "&gt;="&amp;JC1,'Expenditure Breakdown'!$T$6:$T$225, "&lt;"&amp;JD1)</f>
        <v>0</v>
      </c>
      <c r="JD17" s="213">
        <f>SUMIFS('Expenditure Breakdown'!$U$6:$U$225, 'Expenditure Breakdown'!$T$6:$T$225, "&gt;="&amp;JD1,'Expenditure Breakdown'!$T$6:$T$225, "&lt;"&amp;JE1)</f>
        <v>0</v>
      </c>
      <c r="JE17" s="213">
        <f>SUMIFS('Expenditure Breakdown'!$U$6:$U$225, 'Expenditure Breakdown'!$T$6:$T$225, "&gt;="&amp;JE1,'Expenditure Breakdown'!$T$6:$T$225, "&lt;"&amp;JF1)</f>
        <v>0</v>
      </c>
      <c r="JF17" s="213">
        <f>SUMIFS('Expenditure Breakdown'!$U$6:$U$225, 'Expenditure Breakdown'!$T$6:$T$225, "&gt;="&amp;JF1,'Expenditure Breakdown'!$T$6:$T$225, "&lt;"&amp;JG1)</f>
        <v>0</v>
      </c>
      <c r="JG17" s="213">
        <f>SUMIFS('Expenditure Breakdown'!$U$6:$U$225, 'Expenditure Breakdown'!$T$6:$T$225, "&gt;="&amp;JG1,'Expenditure Breakdown'!$T$6:$T$225, "&lt;"&amp;JH1)</f>
        <v>0</v>
      </c>
      <c r="JH17" s="213">
        <f>SUMIFS('Expenditure Breakdown'!$U$6:$U$225, 'Expenditure Breakdown'!$T$6:$T$225, "&gt;="&amp;JH1,'Expenditure Breakdown'!$T$6:$T$225, "&lt;"&amp;JI1)</f>
        <v>0</v>
      </c>
      <c r="JI17" s="213">
        <f>SUMIFS('Expenditure Breakdown'!$U$6:$U$225, 'Expenditure Breakdown'!$T$6:$T$225, "&gt;="&amp;JI1,'Expenditure Breakdown'!$T$6:$T$225, "&lt;"&amp;JJ1)</f>
        <v>0</v>
      </c>
      <c r="JJ17" s="213">
        <f>SUMIFS('Expenditure Breakdown'!$U$6:$U$225, 'Expenditure Breakdown'!$T$6:$T$225, "&gt;="&amp;JJ1,'Expenditure Breakdown'!$T$6:$T$225, "&lt;"&amp;JK1)</f>
        <v>0</v>
      </c>
      <c r="JK17" s="213">
        <f>SUMIFS('Expenditure Breakdown'!$U$6:$U$225, 'Expenditure Breakdown'!$T$6:$T$225, "&gt;="&amp;JK1,'Expenditure Breakdown'!$T$6:$T$225, "&lt;"&amp;JL1)</f>
        <v>0</v>
      </c>
      <c r="JL17" s="213">
        <f>SUMIFS('Expenditure Breakdown'!$U$6:$U$225, 'Expenditure Breakdown'!$T$6:$T$225, "&gt;="&amp;JL1,'Expenditure Breakdown'!$T$6:$T$225, "&lt;"&amp;JM1)</f>
        <v>0</v>
      </c>
      <c r="JM17" s="213">
        <f>SUMIFS('Expenditure Breakdown'!$U$6:$U$225, 'Expenditure Breakdown'!$T$6:$T$225, "&gt;="&amp;JM1,'Expenditure Breakdown'!$T$6:$T$225, "&lt;"&amp;JN1)</f>
        <v>0</v>
      </c>
      <c r="JN17" s="213">
        <f>SUMIFS('Expenditure Breakdown'!$U$6:$U$225, 'Expenditure Breakdown'!$T$6:$T$225, "&gt;="&amp;JN1,'Expenditure Breakdown'!$T$6:$T$225, "&lt;"&amp;JO1)</f>
        <v>0</v>
      </c>
      <c r="JO17" s="213">
        <f>SUMIFS('Expenditure Breakdown'!$U$6:$U$225, 'Expenditure Breakdown'!$T$6:$T$225, "&gt;="&amp;JO1,'Expenditure Breakdown'!$T$6:$T$225, "&lt;"&amp;JP1)</f>
        <v>0</v>
      </c>
      <c r="JP17" s="213">
        <f>SUMIFS('Expenditure Breakdown'!$U$6:$U$225, 'Expenditure Breakdown'!$T$6:$T$225, "&gt;="&amp;JP1,'Expenditure Breakdown'!$T$6:$T$225, "&lt;"&amp;JQ1)</f>
        <v>0</v>
      </c>
      <c r="JQ17" s="213">
        <f>SUMIFS('Expenditure Breakdown'!$U$6:$U$225, 'Expenditure Breakdown'!$T$6:$T$225, "&gt;="&amp;JQ1,'Expenditure Breakdown'!$T$6:$T$225, "&lt;"&amp;JR1)</f>
        <v>0</v>
      </c>
      <c r="JR17" s="213">
        <f>SUMIFS('Expenditure Breakdown'!$U$6:$U$225, 'Expenditure Breakdown'!$T$6:$T$225, "&gt;="&amp;JR1,'Expenditure Breakdown'!$T$6:$T$225, "&lt;"&amp;JS1)</f>
        <v>0</v>
      </c>
      <c r="JS17" s="213">
        <f>SUMIFS('Expenditure Breakdown'!$U$6:$U$225, 'Expenditure Breakdown'!$T$6:$T$225, "&gt;="&amp;JS1,'Expenditure Breakdown'!$T$6:$T$225, "&lt;"&amp;JT1)</f>
        <v>0</v>
      </c>
      <c r="JT17" s="213">
        <f>SUMIFS('Expenditure Breakdown'!$U$6:$U$225, 'Expenditure Breakdown'!$T$6:$T$225, "&gt;="&amp;JT1,'Expenditure Breakdown'!$T$6:$T$225, "&lt;"&amp;JU1)</f>
        <v>0</v>
      </c>
      <c r="JU17" s="213">
        <f>SUMIFS('Expenditure Breakdown'!$U$6:$U$225, 'Expenditure Breakdown'!$T$6:$T$225, "&gt;="&amp;JU1,'Expenditure Breakdown'!$T$6:$T$225, "&lt;"&amp;JV1)</f>
        <v>0</v>
      </c>
      <c r="JV17" s="213">
        <f>SUMIFS('Expenditure Breakdown'!$U$6:$U$225, 'Expenditure Breakdown'!$T$6:$T$225, "&gt;="&amp;JV1,'Expenditure Breakdown'!$T$6:$T$225, "&lt;"&amp;JW1)</f>
        <v>0</v>
      </c>
      <c r="JW17" s="213">
        <f>SUMIFS('Expenditure Breakdown'!$U$6:$U$225, 'Expenditure Breakdown'!$T$6:$T$225, "&gt;="&amp;JW1,'Expenditure Breakdown'!$T$6:$T$225, "&lt;"&amp;JX1)</f>
        <v>0</v>
      </c>
      <c r="JX17" s="213">
        <f>SUMIFS('Expenditure Breakdown'!$U$6:$U$225, 'Expenditure Breakdown'!$T$6:$T$225, "&gt;="&amp;JX1,'Expenditure Breakdown'!$T$6:$T$225, "&lt;"&amp;JY1)</f>
        <v>0</v>
      </c>
      <c r="JY17" s="213">
        <f>SUMIFS('Expenditure Breakdown'!$U$6:$U$225, 'Expenditure Breakdown'!$T$6:$T$225, "&gt;="&amp;JY1,'Expenditure Breakdown'!$T$6:$T$225, "&lt;"&amp;JZ1)</f>
        <v>0</v>
      </c>
      <c r="JZ17" s="213">
        <f>SUMIFS('Expenditure Breakdown'!$U$6:$U$225, 'Expenditure Breakdown'!$T$6:$T$225, "&gt;="&amp;JZ1,'Expenditure Breakdown'!$T$6:$T$225, "&lt;"&amp;KA1)</f>
        <v>0</v>
      </c>
      <c r="KA17" s="213">
        <f>SUMIFS('Expenditure Breakdown'!$U$6:$U$225, 'Expenditure Breakdown'!$T$6:$T$225, "&gt;="&amp;KA1,'Expenditure Breakdown'!$T$6:$T$225, "&lt;"&amp;KB1)</f>
        <v>0</v>
      </c>
      <c r="KB17" s="213">
        <f>SUMIFS('Expenditure Breakdown'!$U$6:$U$225, 'Expenditure Breakdown'!$T$6:$T$225, "&gt;="&amp;KB1,'Expenditure Breakdown'!$T$6:$T$225, "&lt;"&amp;KC1)</f>
        <v>0</v>
      </c>
      <c r="KC17" s="213">
        <f>SUMIFS('Expenditure Breakdown'!$U$6:$U$225, 'Expenditure Breakdown'!$T$6:$T$225, "&gt;="&amp;KC1,'Expenditure Breakdown'!$T$6:$T$225, "&lt;"&amp;KD1)</f>
        <v>0</v>
      </c>
      <c r="KD17" s="213">
        <f>SUMIFS('Expenditure Breakdown'!$U$6:$U$225, 'Expenditure Breakdown'!$T$6:$T$225, "&gt;="&amp;KD1,'Expenditure Breakdown'!$T$6:$T$225, "&lt;"&amp;KE1)</f>
        <v>0</v>
      </c>
      <c r="KE17" s="213">
        <f>SUMIFS('Expenditure Breakdown'!$U$6:$U$225, 'Expenditure Breakdown'!$T$6:$T$225, "&gt;="&amp;KE1,'Expenditure Breakdown'!$T$6:$T$225, "&lt;"&amp;KF1)</f>
        <v>0</v>
      </c>
      <c r="KF17" s="213">
        <f>SUMIFS('Expenditure Breakdown'!$U$6:$U$225, 'Expenditure Breakdown'!$T$6:$T$225, "&gt;="&amp;KF1,'Expenditure Breakdown'!$T$6:$T$225, "&lt;"&amp;KG1)</f>
        <v>0</v>
      </c>
      <c r="KG17" s="213">
        <f>SUMIFS('Expenditure Breakdown'!$U$6:$U$225, 'Expenditure Breakdown'!$T$6:$T$225, "&gt;="&amp;KG1,'Expenditure Breakdown'!$T$6:$T$225, "&lt;"&amp;KH1)</f>
        <v>0</v>
      </c>
      <c r="KH17" s="213">
        <f>SUMIFS('Expenditure Breakdown'!$U$6:$U$225, 'Expenditure Breakdown'!$T$6:$T$225, "&gt;="&amp;KH1,'Expenditure Breakdown'!$T$6:$T$225, "&lt;"&amp;KI1)</f>
        <v>0</v>
      </c>
      <c r="KI17" s="213">
        <f>SUMIFS('Expenditure Breakdown'!$U$6:$U$225, 'Expenditure Breakdown'!$T$6:$T$225, "&gt;="&amp;KI1,'Expenditure Breakdown'!$T$6:$T$225, "&lt;"&amp;KJ1)</f>
        <v>0</v>
      </c>
      <c r="KJ17" s="213">
        <f>SUMIFS('Expenditure Breakdown'!$U$6:$U$225, 'Expenditure Breakdown'!$T$6:$T$225, "&gt;="&amp;KJ1,'Expenditure Breakdown'!$T$6:$T$225, "&lt;"&amp;KK1)</f>
        <v>0</v>
      </c>
      <c r="KK17" s="213">
        <f>SUMIFS('Expenditure Breakdown'!$U$6:$U$225, 'Expenditure Breakdown'!$T$6:$T$225, "&gt;="&amp;KK1,'Expenditure Breakdown'!$T$6:$T$225, "&lt;"&amp;KL1)</f>
        <v>0</v>
      </c>
      <c r="KL17" s="213">
        <f>SUMIFS('Expenditure Breakdown'!$U$6:$U$225, 'Expenditure Breakdown'!$T$6:$T$225, "&gt;="&amp;KL1,'Expenditure Breakdown'!$T$6:$T$225, "&lt;"&amp;KM1)</f>
        <v>0</v>
      </c>
      <c r="KM17" s="213">
        <f>SUMIFS('Expenditure Breakdown'!$U$6:$U$225, 'Expenditure Breakdown'!$T$6:$T$225, "&gt;="&amp;KM1,'Expenditure Breakdown'!$T$6:$T$225, "&lt;"&amp;KN1)</f>
        <v>0</v>
      </c>
      <c r="KN17" s="213">
        <f>SUMIFS('Expenditure Breakdown'!$U$6:$U$225, 'Expenditure Breakdown'!$T$6:$T$225, "&gt;="&amp;KN1,'Expenditure Breakdown'!$T$6:$T$225, "&lt;"&amp;KO1)</f>
        <v>0</v>
      </c>
      <c r="KO17" s="213">
        <f>SUMIFS('Expenditure Breakdown'!$U$6:$U$225, 'Expenditure Breakdown'!$T$6:$T$225, "&gt;="&amp;KO1,'Expenditure Breakdown'!$T$6:$T$225, "&lt;"&amp;KP1)</f>
        <v>0</v>
      </c>
      <c r="KP17" s="213">
        <f>SUMIFS('Expenditure Breakdown'!$U$6:$U$225, 'Expenditure Breakdown'!$T$6:$T$225, "&gt;="&amp;KP1,'Expenditure Breakdown'!$T$6:$T$225, "&lt;"&amp;KQ1)</f>
        <v>0</v>
      </c>
      <c r="KQ17" s="213">
        <f>SUMIFS('Expenditure Breakdown'!$U$6:$U$225, 'Expenditure Breakdown'!$T$6:$T$225, "&gt;="&amp;KQ1,'Expenditure Breakdown'!$T$6:$T$225, "&lt;"&amp;KR1)</f>
        <v>0</v>
      </c>
      <c r="KR17" s="213">
        <f>SUMIFS('Expenditure Breakdown'!$U$6:$U$225, 'Expenditure Breakdown'!$T$6:$T$225, "&gt;="&amp;KR1,'Expenditure Breakdown'!$T$6:$T$225, "&lt;"&amp;KS1)</f>
        <v>0</v>
      </c>
      <c r="KS17" s="213">
        <f>SUMIFS('Expenditure Breakdown'!$U$6:$U$225, 'Expenditure Breakdown'!$T$6:$T$225, "&gt;="&amp;KS1,'Expenditure Breakdown'!$T$6:$T$225, "&lt;"&amp;KT1)</f>
        <v>0</v>
      </c>
      <c r="KT17" s="213">
        <f>SUMIFS('Expenditure Breakdown'!$U$6:$U$225, 'Expenditure Breakdown'!$T$6:$T$225, "&gt;="&amp;KT1,'Expenditure Breakdown'!$T$6:$T$225, "&lt;"&amp;KU1)</f>
        <v>0</v>
      </c>
      <c r="KU17" s="213">
        <f>SUMIFS('Expenditure Breakdown'!$U$6:$U$225, 'Expenditure Breakdown'!$T$6:$T$225, "&gt;="&amp;KU1,'Expenditure Breakdown'!$T$6:$T$225, "&lt;"&amp;KV1)</f>
        <v>0</v>
      </c>
      <c r="KV17" s="213">
        <f>SUMIFS('Expenditure Breakdown'!$U$6:$U$225, 'Expenditure Breakdown'!$T$6:$T$225, "&gt;="&amp;KV1,'Expenditure Breakdown'!$T$6:$T$225, "&lt;"&amp;KW1)</f>
        <v>0</v>
      </c>
      <c r="KW17" s="213">
        <f>SUMIFS('Expenditure Breakdown'!$U$6:$U$225, 'Expenditure Breakdown'!$T$6:$T$225, "&gt;="&amp;KW1,'Expenditure Breakdown'!$T$6:$T$225, "&lt;"&amp;KX1)</f>
        <v>0</v>
      </c>
      <c r="KX17" s="213">
        <f>SUMIFS('Expenditure Breakdown'!$U$6:$U$225, 'Expenditure Breakdown'!$T$6:$T$225, "&gt;="&amp;KX1,'Expenditure Breakdown'!$T$6:$T$225, "&lt;"&amp;KY1)</f>
        <v>0</v>
      </c>
      <c r="KY17" s="213">
        <f>SUMIFS('Expenditure Breakdown'!$U$6:$U$225, 'Expenditure Breakdown'!$T$6:$T$225, "&gt;="&amp;KY1,'Expenditure Breakdown'!$T$6:$T$225, "&lt;"&amp;KZ1)</f>
        <v>0</v>
      </c>
      <c r="KZ17" s="213">
        <f>SUMIFS('Expenditure Breakdown'!$U$6:$U$225, 'Expenditure Breakdown'!$T$6:$T$225, "&gt;="&amp;KZ1,'Expenditure Breakdown'!$T$6:$T$225, "&lt;"&amp;LA1)</f>
        <v>0</v>
      </c>
      <c r="LA17" s="213">
        <f>SUMIFS('Expenditure Breakdown'!$U$6:$U$225, 'Expenditure Breakdown'!$T$6:$T$225, "&gt;="&amp;LA1,'Expenditure Breakdown'!$T$6:$T$225, "&lt;"&amp;LB1)</f>
        <v>0</v>
      </c>
      <c r="LB17" s="213">
        <f>SUMIFS('Expenditure Breakdown'!$U$6:$U$225, 'Expenditure Breakdown'!$T$6:$T$225, "&gt;="&amp;LB1,'Expenditure Breakdown'!$T$6:$T$225, "&lt;"&amp;LC1)</f>
        <v>0</v>
      </c>
      <c r="LC17" s="213">
        <f>SUMIFS('Expenditure Breakdown'!$U$6:$U$225, 'Expenditure Breakdown'!$T$6:$T$225, "&gt;="&amp;LC1,'Expenditure Breakdown'!$T$6:$T$225, "&lt;"&amp;LD1)</f>
        <v>0</v>
      </c>
      <c r="LD17" s="213">
        <f>SUMIFS('Expenditure Breakdown'!$U$6:$U$225, 'Expenditure Breakdown'!$T$6:$T$225, "&gt;="&amp;LD1,'Expenditure Breakdown'!$T$6:$T$225, "&lt;"&amp;#REF!)</f>
        <v>0</v>
      </c>
    </row>
    <row r="18" spans="1:316">
      <c r="A18" s="847"/>
      <c r="B18" s="194" t="s">
        <v>594</v>
      </c>
      <c r="C18" s="372">
        <f>D17-D18</f>
        <v>0</v>
      </c>
      <c r="D18" s="195">
        <f>MAX(F18:LD18)</f>
        <v>12392594.039851155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12385662.271585092</v>
      </c>
      <c r="BH18" s="213">
        <f t="shared" si="37"/>
        <v>12385662.271585092</v>
      </c>
      <c r="BI18" s="213">
        <f t="shared" si="37"/>
        <v>12385662.271585092</v>
      </c>
      <c r="BJ18" s="213">
        <f t="shared" si="37"/>
        <v>12385662.271585092</v>
      </c>
      <c r="BK18" s="213">
        <f t="shared" si="37"/>
        <v>12392594.039851155</v>
      </c>
      <c r="BL18" s="213">
        <f t="shared" si="37"/>
        <v>12392594.039851155</v>
      </c>
      <c r="BM18" s="213">
        <f t="shared" si="37"/>
        <v>12392594.039851155</v>
      </c>
      <c r="BN18" s="213">
        <f t="shared" si="37"/>
        <v>12392594.039851155</v>
      </c>
      <c r="BO18" s="213">
        <f t="shared" si="37"/>
        <v>12392594.039851155</v>
      </c>
      <c r="BP18" s="213">
        <f t="shared" si="37"/>
        <v>12392594.039851155</v>
      </c>
      <c r="BQ18" s="213">
        <f t="shared" si="37"/>
        <v>12392594.039851155</v>
      </c>
      <c r="BR18" s="213">
        <f t="shared" si="37"/>
        <v>12392594.039851155</v>
      </c>
      <c r="BS18" s="213">
        <f t="shared" si="37"/>
        <v>12392594.039851155</v>
      </c>
      <c r="BT18" s="213">
        <f t="shared" si="37"/>
        <v>12392594.039851155</v>
      </c>
      <c r="BU18" s="213">
        <f t="shared" ref="BU18:EF18" si="38">BT18+BU17</f>
        <v>12392594.039851155</v>
      </c>
      <c r="BV18" s="213">
        <f t="shared" si="38"/>
        <v>12392594.039851155</v>
      </c>
      <c r="BW18" s="213">
        <f t="shared" si="38"/>
        <v>12392594.039851155</v>
      </c>
      <c r="BX18" s="213">
        <f t="shared" si="38"/>
        <v>12392594.039851155</v>
      </c>
      <c r="BY18" s="213">
        <f t="shared" si="38"/>
        <v>12392594.039851155</v>
      </c>
      <c r="BZ18" s="213">
        <f t="shared" si="38"/>
        <v>12392594.039851155</v>
      </c>
      <c r="CA18" s="213">
        <f t="shared" si="38"/>
        <v>12392594.039851155</v>
      </c>
      <c r="CB18" s="213">
        <f t="shared" si="38"/>
        <v>12392594.039851155</v>
      </c>
      <c r="CC18" s="213">
        <f t="shared" si="38"/>
        <v>12392594.039851155</v>
      </c>
      <c r="CD18" s="213">
        <f t="shared" si="38"/>
        <v>12392594.039851155</v>
      </c>
      <c r="CE18" s="213">
        <f t="shared" si="38"/>
        <v>12392594.039851155</v>
      </c>
      <c r="CF18" s="213">
        <f t="shared" si="38"/>
        <v>12392594.039851155</v>
      </c>
      <c r="CG18" s="213">
        <f t="shared" si="38"/>
        <v>12392594.039851155</v>
      </c>
      <c r="CH18" s="213">
        <f t="shared" si="38"/>
        <v>12392594.039851155</v>
      </c>
      <c r="CI18" s="213">
        <f t="shared" si="38"/>
        <v>12392594.039851155</v>
      </c>
      <c r="CJ18" s="213">
        <f t="shared" si="38"/>
        <v>12392594.039851155</v>
      </c>
      <c r="CK18" s="213">
        <f t="shared" si="38"/>
        <v>12392594.039851155</v>
      </c>
      <c r="CL18" s="213">
        <f t="shared" si="38"/>
        <v>12392594.039851155</v>
      </c>
      <c r="CM18" s="213">
        <f t="shared" si="38"/>
        <v>12392594.039851155</v>
      </c>
      <c r="CN18" s="213">
        <f t="shared" si="38"/>
        <v>12392594.039851155</v>
      </c>
      <c r="CO18" s="213">
        <f t="shared" si="38"/>
        <v>12392594.039851155</v>
      </c>
      <c r="CP18" s="213">
        <f t="shared" si="38"/>
        <v>12392594.039851155</v>
      </c>
      <c r="CQ18" s="213">
        <f t="shared" si="38"/>
        <v>12392594.039851155</v>
      </c>
      <c r="CR18" s="213">
        <f t="shared" si="38"/>
        <v>12392594.039851155</v>
      </c>
      <c r="CS18" s="213">
        <f t="shared" si="38"/>
        <v>12392594.039851155</v>
      </c>
      <c r="CT18" s="213">
        <f t="shared" si="38"/>
        <v>12392594.039851155</v>
      </c>
      <c r="CU18" s="213">
        <f t="shared" si="38"/>
        <v>12392594.039851155</v>
      </c>
      <c r="CV18" s="213">
        <f t="shared" si="38"/>
        <v>12392594.039851155</v>
      </c>
      <c r="CW18" s="213">
        <f t="shared" si="38"/>
        <v>12392594.039851155</v>
      </c>
      <c r="CX18" s="213">
        <f t="shared" si="38"/>
        <v>12392594.039851155</v>
      </c>
      <c r="CY18" s="213">
        <f t="shared" si="38"/>
        <v>12392594.039851155</v>
      </c>
      <c r="CZ18" s="213">
        <f t="shared" si="38"/>
        <v>12392594.039851155</v>
      </c>
      <c r="DA18" s="213">
        <f t="shared" si="38"/>
        <v>12392594.039851155</v>
      </c>
      <c r="DB18" s="213">
        <f t="shared" si="38"/>
        <v>12392594.039851155</v>
      </c>
      <c r="DC18" s="213">
        <f t="shared" si="38"/>
        <v>12392594.039851155</v>
      </c>
      <c r="DD18" s="213">
        <f t="shared" si="38"/>
        <v>12392594.039851155</v>
      </c>
      <c r="DE18" s="213">
        <f t="shared" si="38"/>
        <v>12392594.039851155</v>
      </c>
      <c r="DF18" s="213">
        <f t="shared" si="38"/>
        <v>12392594.039851155</v>
      </c>
      <c r="DG18" s="213">
        <f t="shared" si="38"/>
        <v>12392594.039851155</v>
      </c>
      <c r="DH18" s="213">
        <f t="shared" si="38"/>
        <v>12392594.039851155</v>
      </c>
      <c r="DI18" s="213">
        <f t="shared" si="38"/>
        <v>12392594.039851155</v>
      </c>
      <c r="DJ18" s="213">
        <f t="shared" si="38"/>
        <v>12392594.039851155</v>
      </c>
      <c r="DK18" s="213">
        <f t="shared" si="38"/>
        <v>12392594.039851155</v>
      </c>
      <c r="DL18" s="213">
        <f t="shared" si="38"/>
        <v>12392594.039851155</v>
      </c>
      <c r="DM18" s="213">
        <f t="shared" si="38"/>
        <v>12392594.039851155</v>
      </c>
      <c r="DN18" s="213">
        <f t="shared" si="38"/>
        <v>12392594.039851155</v>
      </c>
      <c r="DO18" s="213">
        <f t="shared" si="38"/>
        <v>12392594.039851155</v>
      </c>
      <c r="DP18" s="213">
        <f t="shared" si="38"/>
        <v>12392594.039851155</v>
      </c>
      <c r="DQ18" s="213">
        <f t="shared" si="38"/>
        <v>12392594.039851155</v>
      </c>
      <c r="DR18" s="213">
        <f t="shared" si="38"/>
        <v>12392594.039851155</v>
      </c>
      <c r="DS18" s="213">
        <f t="shared" si="38"/>
        <v>12392594.039851155</v>
      </c>
      <c r="DT18" s="213">
        <f t="shared" si="38"/>
        <v>12392594.039851155</v>
      </c>
      <c r="DU18" s="213">
        <f t="shared" si="38"/>
        <v>12392594.039851155</v>
      </c>
      <c r="DV18" s="213">
        <f t="shared" si="38"/>
        <v>12392594.039851155</v>
      </c>
      <c r="DW18" s="213">
        <f t="shared" si="38"/>
        <v>12392594.039851155</v>
      </c>
      <c r="DX18" s="213">
        <f t="shared" si="38"/>
        <v>12392594.039851155</v>
      </c>
      <c r="DY18" s="213">
        <f t="shared" si="38"/>
        <v>12392594.039851155</v>
      </c>
      <c r="DZ18" s="213">
        <f t="shared" si="38"/>
        <v>12392594.039851155</v>
      </c>
      <c r="EA18" s="213">
        <f t="shared" si="38"/>
        <v>12392594.039851155</v>
      </c>
      <c r="EB18" s="213">
        <f t="shared" si="38"/>
        <v>12392594.039851155</v>
      </c>
      <c r="EC18" s="213">
        <f t="shared" si="38"/>
        <v>12392594.039851155</v>
      </c>
      <c r="ED18" s="213">
        <f t="shared" si="38"/>
        <v>12392594.039851155</v>
      </c>
      <c r="EE18" s="213">
        <f t="shared" si="38"/>
        <v>12392594.039851155</v>
      </c>
      <c r="EF18" s="213">
        <f t="shared" si="38"/>
        <v>12392594.039851155</v>
      </c>
      <c r="EG18" s="213">
        <f t="shared" ref="EG18:GR18" si="39">EF18+EG17</f>
        <v>12392594.039851155</v>
      </c>
      <c r="EH18" s="213">
        <f t="shared" si="39"/>
        <v>12392594.039851155</v>
      </c>
      <c r="EI18" s="213">
        <f t="shared" si="39"/>
        <v>12392594.039851155</v>
      </c>
      <c r="EJ18" s="213">
        <f t="shared" si="39"/>
        <v>12392594.039851155</v>
      </c>
      <c r="EK18" s="213">
        <f t="shared" si="39"/>
        <v>12392594.039851155</v>
      </c>
      <c r="EL18" s="213">
        <f t="shared" si="39"/>
        <v>12392594.039851155</v>
      </c>
      <c r="EM18" s="213">
        <f t="shared" si="39"/>
        <v>12392594.039851155</v>
      </c>
      <c r="EN18" s="213">
        <f t="shared" si="39"/>
        <v>12392594.039851155</v>
      </c>
      <c r="EO18" s="213">
        <f t="shared" si="39"/>
        <v>12392594.039851155</v>
      </c>
      <c r="EP18" s="213">
        <f t="shared" si="39"/>
        <v>12392594.039851155</v>
      </c>
      <c r="EQ18" s="213">
        <f t="shared" si="39"/>
        <v>12392594.039851155</v>
      </c>
      <c r="ER18" s="213">
        <f t="shared" si="39"/>
        <v>12392594.039851155</v>
      </c>
      <c r="ES18" s="213">
        <f t="shared" si="39"/>
        <v>12392594.039851155</v>
      </c>
      <c r="ET18" s="213">
        <f t="shared" si="39"/>
        <v>12392594.039851155</v>
      </c>
      <c r="EU18" s="213">
        <f t="shared" si="39"/>
        <v>12392594.039851155</v>
      </c>
      <c r="EV18" s="213">
        <f t="shared" si="39"/>
        <v>12392594.039851155</v>
      </c>
      <c r="EW18" s="213">
        <f t="shared" si="39"/>
        <v>12392594.039851155</v>
      </c>
      <c r="EX18" s="213">
        <f t="shared" si="39"/>
        <v>12392594.039851155</v>
      </c>
      <c r="EY18" s="213">
        <f t="shared" si="39"/>
        <v>12392594.039851155</v>
      </c>
      <c r="EZ18" s="213">
        <f t="shared" si="39"/>
        <v>12392594.039851155</v>
      </c>
      <c r="FA18" s="213">
        <f t="shared" si="39"/>
        <v>12392594.039851155</v>
      </c>
      <c r="FB18" s="213">
        <f t="shared" si="39"/>
        <v>12392594.039851155</v>
      </c>
      <c r="FC18" s="213">
        <f t="shared" si="39"/>
        <v>12392594.039851155</v>
      </c>
      <c r="FD18" s="213">
        <f t="shared" si="39"/>
        <v>12392594.039851155</v>
      </c>
      <c r="FE18" s="213">
        <f t="shared" si="39"/>
        <v>12392594.039851155</v>
      </c>
      <c r="FF18" s="213">
        <f t="shared" si="39"/>
        <v>12392594.039851155</v>
      </c>
      <c r="FG18" s="213">
        <f t="shared" si="39"/>
        <v>12392594.039851155</v>
      </c>
      <c r="FH18" s="213">
        <f t="shared" si="39"/>
        <v>12392594.039851155</v>
      </c>
      <c r="FI18" s="213">
        <f t="shared" si="39"/>
        <v>12392594.039851155</v>
      </c>
      <c r="FJ18" s="213">
        <f t="shared" si="39"/>
        <v>12392594.039851155</v>
      </c>
      <c r="FK18" s="213">
        <f t="shared" si="39"/>
        <v>12392594.039851155</v>
      </c>
      <c r="FL18" s="213">
        <f t="shared" si="39"/>
        <v>12392594.039851155</v>
      </c>
      <c r="FM18" s="213">
        <f t="shared" si="39"/>
        <v>12392594.039851155</v>
      </c>
      <c r="FN18" s="213">
        <f t="shared" si="39"/>
        <v>12392594.039851155</v>
      </c>
      <c r="FO18" s="213">
        <f t="shared" si="39"/>
        <v>12392594.039851155</v>
      </c>
      <c r="FP18" s="213">
        <f t="shared" si="39"/>
        <v>12392594.039851155</v>
      </c>
      <c r="FQ18" s="213">
        <f t="shared" si="39"/>
        <v>12392594.039851155</v>
      </c>
      <c r="FR18" s="213">
        <f t="shared" si="39"/>
        <v>12392594.039851155</v>
      </c>
      <c r="FS18" s="213">
        <f t="shared" si="39"/>
        <v>12392594.039851155</v>
      </c>
      <c r="FT18" s="213">
        <f t="shared" si="39"/>
        <v>12392594.039851155</v>
      </c>
      <c r="FU18" s="213">
        <f t="shared" si="39"/>
        <v>12392594.039851155</v>
      </c>
      <c r="FV18" s="213">
        <f t="shared" si="39"/>
        <v>12392594.039851155</v>
      </c>
      <c r="FW18" s="213">
        <f t="shared" si="39"/>
        <v>12392594.039851155</v>
      </c>
      <c r="FX18" s="213">
        <f t="shared" si="39"/>
        <v>12392594.039851155</v>
      </c>
      <c r="FY18" s="213">
        <f t="shared" si="39"/>
        <v>12392594.039851155</v>
      </c>
      <c r="FZ18" s="213">
        <f t="shared" si="39"/>
        <v>12392594.039851155</v>
      </c>
      <c r="GA18" s="213">
        <f t="shared" si="39"/>
        <v>12392594.039851155</v>
      </c>
      <c r="GB18" s="213">
        <f t="shared" si="39"/>
        <v>12392594.039851155</v>
      </c>
      <c r="GC18" s="213">
        <f t="shared" si="39"/>
        <v>12392594.039851155</v>
      </c>
      <c r="GD18" s="213">
        <f t="shared" si="39"/>
        <v>12392594.039851155</v>
      </c>
      <c r="GE18" s="213">
        <f t="shared" si="39"/>
        <v>12392594.039851155</v>
      </c>
      <c r="GF18" s="213">
        <f t="shared" si="39"/>
        <v>12392594.039851155</v>
      </c>
      <c r="GG18" s="213">
        <f t="shared" si="39"/>
        <v>12392594.039851155</v>
      </c>
      <c r="GH18" s="213">
        <f t="shared" si="39"/>
        <v>12392594.039851155</v>
      </c>
      <c r="GI18" s="213">
        <f t="shared" si="39"/>
        <v>12392594.039851155</v>
      </c>
      <c r="GJ18" s="213">
        <f t="shared" si="39"/>
        <v>12392594.039851155</v>
      </c>
      <c r="GK18" s="213">
        <f t="shared" si="39"/>
        <v>12392594.039851155</v>
      </c>
      <c r="GL18" s="213">
        <f t="shared" si="39"/>
        <v>12392594.039851155</v>
      </c>
      <c r="GM18" s="213">
        <f t="shared" si="39"/>
        <v>12392594.039851155</v>
      </c>
      <c r="GN18" s="213">
        <f t="shared" si="39"/>
        <v>12392594.039851155</v>
      </c>
      <c r="GO18" s="213">
        <f t="shared" si="39"/>
        <v>12392594.039851155</v>
      </c>
      <c r="GP18" s="213">
        <f t="shared" si="39"/>
        <v>12392594.039851155</v>
      </c>
      <c r="GQ18" s="213">
        <f t="shared" si="39"/>
        <v>12392594.039851155</v>
      </c>
      <c r="GR18" s="213">
        <f t="shared" si="39"/>
        <v>12392594.039851155</v>
      </c>
      <c r="GS18" s="213">
        <f t="shared" ref="GS18:JD18" si="40">GR18+GS17</f>
        <v>12392594.039851155</v>
      </c>
      <c r="GT18" s="213">
        <f t="shared" si="40"/>
        <v>12392594.039851155</v>
      </c>
      <c r="GU18" s="213">
        <f t="shared" si="40"/>
        <v>12392594.039851155</v>
      </c>
      <c r="GV18" s="213">
        <f t="shared" si="40"/>
        <v>12392594.039851155</v>
      </c>
      <c r="GW18" s="213">
        <f t="shared" si="40"/>
        <v>12392594.039851155</v>
      </c>
      <c r="GX18" s="213">
        <f t="shared" si="40"/>
        <v>12392594.039851155</v>
      </c>
      <c r="GY18" s="213">
        <f t="shared" si="40"/>
        <v>12392594.039851155</v>
      </c>
      <c r="GZ18" s="213">
        <f t="shared" si="40"/>
        <v>12392594.039851155</v>
      </c>
      <c r="HA18" s="213">
        <f t="shared" si="40"/>
        <v>12392594.039851155</v>
      </c>
      <c r="HB18" s="213">
        <f t="shared" si="40"/>
        <v>12392594.039851155</v>
      </c>
      <c r="HC18" s="213">
        <f t="shared" si="40"/>
        <v>12392594.039851155</v>
      </c>
      <c r="HD18" s="213">
        <f t="shared" si="40"/>
        <v>12392594.039851155</v>
      </c>
      <c r="HE18" s="213">
        <f t="shared" si="40"/>
        <v>12392594.039851155</v>
      </c>
      <c r="HF18" s="213">
        <f t="shared" si="40"/>
        <v>12392594.039851155</v>
      </c>
      <c r="HG18" s="213">
        <f t="shared" si="40"/>
        <v>12392594.039851155</v>
      </c>
      <c r="HH18" s="213">
        <f t="shared" si="40"/>
        <v>12392594.039851155</v>
      </c>
      <c r="HI18" s="213">
        <f t="shared" si="40"/>
        <v>12392594.039851155</v>
      </c>
      <c r="HJ18" s="213">
        <f t="shared" si="40"/>
        <v>12392594.039851155</v>
      </c>
      <c r="HK18" s="213">
        <f t="shared" si="40"/>
        <v>12392594.039851155</v>
      </c>
      <c r="HL18" s="213">
        <f t="shared" si="40"/>
        <v>12392594.039851155</v>
      </c>
      <c r="HM18" s="213">
        <f t="shared" si="40"/>
        <v>12392594.039851155</v>
      </c>
      <c r="HN18" s="213">
        <f t="shared" si="40"/>
        <v>12392594.039851155</v>
      </c>
      <c r="HO18" s="213">
        <f t="shared" si="40"/>
        <v>12392594.039851155</v>
      </c>
      <c r="HP18" s="213">
        <f t="shared" si="40"/>
        <v>12392594.039851155</v>
      </c>
      <c r="HQ18" s="213">
        <f t="shared" si="40"/>
        <v>12392594.039851155</v>
      </c>
      <c r="HR18" s="213">
        <f t="shared" si="40"/>
        <v>12392594.039851155</v>
      </c>
      <c r="HS18" s="213">
        <f t="shared" si="40"/>
        <v>12392594.039851155</v>
      </c>
      <c r="HT18" s="213">
        <f t="shared" si="40"/>
        <v>12392594.039851155</v>
      </c>
      <c r="HU18" s="213">
        <f t="shared" si="40"/>
        <v>12392594.039851155</v>
      </c>
      <c r="HV18" s="213">
        <f t="shared" si="40"/>
        <v>12392594.039851155</v>
      </c>
      <c r="HW18" s="213">
        <f t="shared" si="40"/>
        <v>12392594.039851155</v>
      </c>
      <c r="HX18" s="213">
        <f t="shared" si="40"/>
        <v>12392594.039851155</v>
      </c>
      <c r="HY18" s="213">
        <f t="shared" si="40"/>
        <v>12392594.039851155</v>
      </c>
      <c r="HZ18" s="213">
        <f t="shared" si="40"/>
        <v>12392594.039851155</v>
      </c>
      <c r="IA18" s="213">
        <f t="shared" si="40"/>
        <v>12392594.039851155</v>
      </c>
      <c r="IB18" s="213">
        <f t="shared" si="40"/>
        <v>12392594.039851155</v>
      </c>
      <c r="IC18" s="213">
        <f t="shared" si="40"/>
        <v>12392594.039851155</v>
      </c>
      <c r="ID18" s="213">
        <f t="shared" si="40"/>
        <v>12392594.039851155</v>
      </c>
      <c r="IE18" s="213">
        <f t="shared" si="40"/>
        <v>12392594.039851155</v>
      </c>
      <c r="IF18" s="213">
        <f t="shared" si="40"/>
        <v>12392594.039851155</v>
      </c>
      <c r="IG18" s="213">
        <f t="shared" si="40"/>
        <v>12392594.039851155</v>
      </c>
      <c r="IH18" s="213">
        <f t="shared" si="40"/>
        <v>12392594.039851155</v>
      </c>
      <c r="II18" s="213">
        <f t="shared" si="40"/>
        <v>12392594.039851155</v>
      </c>
      <c r="IJ18" s="213">
        <f t="shared" si="40"/>
        <v>12392594.039851155</v>
      </c>
      <c r="IK18" s="213">
        <f t="shared" si="40"/>
        <v>12392594.039851155</v>
      </c>
      <c r="IL18" s="213">
        <f t="shared" si="40"/>
        <v>12392594.039851155</v>
      </c>
      <c r="IM18" s="213">
        <f t="shared" si="40"/>
        <v>12392594.039851155</v>
      </c>
      <c r="IN18" s="213">
        <f t="shared" si="40"/>
        <v>12392594.039851155</v>
      </c>
      <c r="IO18" s="213">
        <f t="shared" si="40"/>
        <v>12392594.039851155</v>
      </c>
      <c r="IP18" s="213">
        <f t="shared" si="40"/>
        <v>12392594.039851155</v>
      </c>
      <c r="IQ18" s="213">
        <f t="shared" si="40"/>
        <v>12392594.039851155</v>
      </c>
      <c r="IR18" s="213">
        <f t="shared" si="40"/>
        <v>12392594.039851155</v>
      </c>
      <c r="IS18" s="213">
        <f t="shared" si="40"/>
        <v>12392594.039851155</v>
      </c>
      <c r="IT18" s="213">
        <f t="shared" si="40"/>
        <v>12392594.039851155</v>
      </c>
      <c r="IU18" s="213">
        <f t="shared" si="40"/>
        <v>12392594.039851155</v>
      </c>
      <c r="IV18" s="213">
        <f t="shared" si="40"/>
        <v>12392594.039851155</v>
      </c>
      <c r="IW18" s="213">
        <f t="shared" si="40"/>
        <v>12392594.039851155</v>
      </c>
      <c r="IX18" s="213">
        <f t="shared" si="40"/>
        <v>12392594.039851155</v>
      </c>
      <c r="IY18" s="213">
        <f t="shared" si="40"/>
        <v>12392594.039851155</v>
      </c>
      <c r="IZ18" s="213">
        <f t="shared" si="40"/>
        <v>12392594.039851155</v>
      </c>
      <c r="JA18" s="213">
        <f t="shared" si="40"/>
        <v>12392594.039851155</v>
      </c>
      <c r="JB18" s="213">
        <f t="shared" si="40"/>
        <v>12392594.039851155</v>
      </c>
      <c r="JC18" s="213">
        <f t="shared" si="40"/>
        <v>12392594.039851155</v>
      </c>
      <c r="JD18" s="213">
        <f t="shared" si="40"/>
        <v>12392594.039851155</v>
      </c>
      <c r="JE18" s="213">
        <f t="shared" ref="JE18:LD18" si="41">JD18+JE17</f>
        <v>12392594.039851155</v>
      </c>
      <c r="JF18" s="213">
        <f t="shared" si="41"/>
        <v>12392594.039851155</v>
      </c>
      <c r="JG18" s="213">
        <f t="shared" si="41"/>
        <v>12392594.039851155</v>
      </c>
      <c r="JH18" s="213">
        <f t="shared" si="41"/>
        <v>12392594.039851155</v>
      </c>
      <c r="JI18" s="213">
        <f t="shared" si="41"/>
        <v>12392594.039851155</v>
      </c>
      <c r="JJ18" s="213">
        <f t="shared" si="41"/>
        <v>12392594.039851155</v>
      </c>
      <c r="JK18" s="213">
        <f t="shared" si="41"/>
        <v>12392594.039851155</v>
      </c>
      <c r="JL18" s="213">
        <f t="shared" si="41"/>
        <v>12392594.039851155</v>
      </c>
      <c r="JM18" s="213">
        <f t="shared" si="41"/>
        <v>12392594.039851155</v>
      </c>
      <c r="JN18" s="213">
        <f t="shared" si="41"/>
        <v>12392594.039851155</v>
      </c>
      <c r="JO18" s="213">
        <f t="shared" si="41"/>
        <v>12392594.039851155</v>
      </c>
      <c r="JP18" s="213">
        <f t="shared" si="41"/>
        <v>12392594.039851155</v>
      </c>
      <c r="JQ18" s="213">
        <f t="shared" si="41"/>
        <v>12392594.039851155</v>
      </c>
      <c r="JR18" s="213">
        <f t="shared" si="41"/>
        <v>12392594.039851155</v>
      </c>
      <c r="JS18" s="213">
        <f t="shared" si="41"/>
        <v>12392594.039851155</v>
      </c>
      <c r="JT18" s="213">
        <f t="shared" si="41"/>
        <v>12392594.039851155</v>
      </c>
      <c r="JU18" s="213">
        <f t="shared" si="41"/>
        <v>12392594.039851155</v>
      </c>
      <c r="JV18" s="213">
        <f t="shared" si="41"/>
        <v>12392594.039851155</v>
      </c>
      <c r="JW18" s="213">
        <f t="shared" si="41"/>
        <v>12392594.039851155</v>
      </c>
      <c r="JX18" s="213">
        <f t="shared" si="41"/>
        <v>12392594.039851155</v>
      </c>
      <c r="JY18" s="213">
        <f t="shared" si="41"/>
        <v>12392594.039851155</v>
      </c>
      <c r="JZ18" s="213">
        <f t="shared" si="41"/>
        <v>12392594.039851155</v>
      </c>
      <c r="KA18" s="213">
        <f t="shared" si="41"/>
        <v>12392594.039851155</v>
      </c>
      <c r="KB18" s="213">
        <f t="shared" si="41"/>
        <v>12392594.039851155</v>
      </c>
      <c r="KC18" s="213">
        <f t="shared" si="41"/>
        <v>12392594.039851155</v>
      </c>
      <c r="KD18" s="213">
        <f t="shared" si="41"/>
        <v>12392594.039851155</v>
      </c>
      <c r="KE18" s="213">
        <f t="shared" si="41"/>
        <v>12392594.039851155</v>
      </c>
      <c r="KF18" s="213">
        <f t="shared" si="41"/>
        <v>12392594.039851155</v>
      </c>
      <c r="KG18" s="213">
        <f t="shared" si="41"/>
        <v>12392594.039851155</v>
      </c>
      <c r="KH18" s="213">
        <f t="shared" si="41"/>
        <v>12392594.039851155</v>
      </c>
      <c r="KI18" s="213">
        <f t="shared" si="41"/>
        <v>12392594.039851155</v>
      </c>
      <c r="KJ18" s="213">
        <f t="shared" si="41"/>
        <v>12392594.039851155</v>
      </c>
      <c r="KK18" s="213">
        <f t="shared" si="41"/>
        <v>12392594.039851155</v>
      </c>
      <c r="KL18" s="213">
        <f t="shared" si="41"/>
        <v>12392594.039851155</v>
      </c>
      <c r="KM18" s="213">
        <f t="shared" si="41"/>
        <v>12392594.039851155</v>
      </c>
      <c r="KN18" s="213">
        <f t="shared" si="41"/>
        <v>12392594.039851155</v>
      </c>
      <c r="KO18" s="213">
        <f t="shared" si="41"/>
        <v>12392594.039851155</v>
      </c>
      <c r="KP18" s="213">
        <f t="shared" si="41"/>
        <v>12392594.039851155</v>
      </c>
      <c r="KQ18" s="213">
        <f t="shared" si="41"/>
        <v>12392594.039851155</v>
      </c>
      <c r="KR18" s="213">
        <f t="shared" si="41"/>
        <v>12392594.039851155</v>
      </c>
      <c r="KS18" s="213">
        <f t="shared" si="41"/>
        <v>12392594.039851155</v>
      </c>
      <c r="KT18" s="213">
        <f t="shared" si="41"/>
        <v>12392594.039851155</v>
      </c>
      <c r="KU18" s="213">
        <f t="shared" si="41"/>
        <v>12392594.039851155</v>
      </c>
      <c r="KV18" s="213">
        <f t="shared" si="41"/>
        <v>12392594.039851155</v>
      </c>
      <c r="KW18" s="213">
        <f t="shared" si="41"/>
        <v>12392594.039851155</v>
      </c>
      <c r="KX18" s="213">
        <f t="shared" si="41"/>
        <v>12392594.039851155</v>
      </c>
      <c r="KY18" s="213">
        <f t="shared" si="41"/>
        <v>12392594.039851155</v>
      </c>
      <c r="KZ18" s="213">
        <f t="shared" si="41"/>
        <v>12392594.039851155</v>
      </c>
      <c r="LA18" s="213">
        <f t="shared" si="41"/>
        <v>12392594.039851155</v>
      </c>
      <c r="LB18" s="213">
        <f t="shared" si="41"/>
        <v>12392594.039851155</v>
      </c>
      <c r="LC18" s="213">
        <f t="shared" si="41"/>
        <v>12392594.039851155</v>
      </c>
      <c r="LD18" s="213">
        <f t="shared" si="41"/>
        <v>12392594.039851155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26" sqref="L26"/>
    </sheetView>
  </sheetViews>
  <sheetFormatPr defaultColWidth="12.5546875" defaultRowHeight="14.4"/>
  <cols>
    <col min="1" max="1" width="39.44140625" style="365" bestFit="1" customWidth="1"/>
    <col min="2" max="2" width="17.21875" style="366" bestFit="1" customWidth="1"/>
    <col min="3" max="5" width="14.77734375" style="365" bestFit="1" customWidth="1"/>
    <col min="6" max="7" width="13.21875" style="365" bestFit="1" customWidth="1"/>
    <col min="8" max="8" width="12" style="365" bestFit="1" customWidth="1"/>
    <col min="9" max="9" width="13.21875" style="365" bestFit="1" customWidth="1"/>
    <col min="10" max="10" width="4.77734375" style="365" bestFit="1" customWidth="1"/>
    <col min="11" max="11" width="12.21875" style="365" bestFit="1" customWidth="1"/>
    <col min="12" max="12" width="10.77734375" style="365" bestFit="1" customWidth="1"/>
    <col min="13" max="14" width="16" style="365" bestFit="1" customWidth="1"/>
    <col min="15" max="15" width="15.5546875" style="365" bestFit="1" customWidth="1"/>
    <col min="16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595</v>
      </c>
      <c r="B3" s="444" t="s">
        <v>596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597</v>
      </c>
      <c r="B4" t="s">
        <v>598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s="446">
        <v>46053</v>
      </c>
      <c r="L4" s="446">
        <v>46081</v>
      </c>
      <c r="M4" t="s">
        <v>599</v>
      </c>
      <c r="N4"/>
      <c r="O4"/>
      <c r="P4"/>
      <c r="Q4"/>
      <c r="R4"/>
      <c r="S4"/>
      <c r="T4"/>
    </row>
    <row r="5" spans="1:20">
      <c r="A5" s="445" t="s">
        <v>598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308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>
        <v>-42222.16426108306</v>
      </c>
      <c r="L6" s="370"/>
      <c r="M6" s="370">
        <v>2193454.5458366363</v>
      </c>
      <c r="N6"/>
      <c r="O6"/>
      <c r="P6"/>
      <c r="Q6"/>
      <c r="R6"/>
      <c r="S6"/>
      <c r="T6"/>
    </row>
    <row r="7" spans="1:20">
      <c r="A7" s="445" t="s">
        <v>322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>
        <v>0</v>
      </c>
      <c r="L7" s="370"/>
      <c r="M7" s="370">
        <v>445250</v>
      </c>
      <c r="N7"/>
      <c r="O7"/>
      <c r="P7"/>
      <c r="Q7"/>
      <c r="R7"/>
      <c r="S7"/>
      <c r="T7"/>
    </row>
    <row r="8" spans="1:20">
      <c r="A8" s="445" t="s">
        <v>342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>
        <v>0</v>
      </c>
      <c r="L8" s="370"/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369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391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>
        <v>0</v>
      </c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439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458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487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491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516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528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537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1001.6327957313051</v>
      </c>
      <c r="L17" s="370">
        <v>6931.7682660625678</v>
      </c>
      <c r="M17" s="370">
        <v>13370.784435389229</v>
      </c>
      <c r="N17"/>
      <c r="O17"/>
      <c r="P17"/>
      <c r="Q17"/>
      <c r="R17"/>
      <c r="S17"/>
      <c r="T17"/>
    </row>
    <row r="18" spans="1:20">
      <c r="A18" s="445" t="s">
        <v>541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>
        <v>70757.8</v>
      </c>
      <c r="L18" s="370"/>
      <c r="M18" s="370">
        <v>70757.8</v>
      </c>
      <c r="N18"/>
      <c r="O18"/>
      <c r="P18"/>
      <c r="Q18"/>
      <c r="R18"/>
      <c r="S18"/>
      <c r="T18"/>
    </row>
    <row r="19" spans="1:20">
      <c r="A19" s="445" t="s">
        <v>525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445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599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29537.268534648247</v>
      </c>
      <c r="L21" s="370">
        <v>6931.7682660625678</v>
      </c>
      <c r="M21" s="370">
        <v>12392594.039851155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>
        <v>173521.23</v>
      </c>
      <c r="G23">
        <v>472016.84</v>
      </c>
      <c r="H23">
        <v>33132.89</v>
      </c>
      <c r="I23">
        <v>488266.52</v>
      </c>
      <c r="J23"/>
      <c r="K23" s="370">
        <f>K21</f>
        <v>29537.268534648247</v>
      </c>
      <c r="L23" s="370">
        <f>L21</f>
        <v>6931.7682660625678</v>
      </c>
      <c r="M23" s="758">
        <f>SUM(B23:L23)</f>
        <v>12392594.046800712</v>
      </c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 s="405">
        <f>F21-F23</f>
        <v>-2.7381795516703278E-3</v>
      </c>
      <c r="G24" s="405">
        <f>G21-G23</f>
        <v>-4.5544658787548542E-3</v>
      </c>
      <c r="H24" s="405">
        <f>H21-H23</f>
        <v>-2.1953327595838346E-3</v>
      </c>
      <c r="I24" s="405">
        <f>I21-I23</f>
        <v>-3.0349186272360384E-3</v>
      </c>
      <c r="J24" s="405"/>
      <c r="K24" s="405">
        <f>K21-K23</f>
        <v>0</v>
      </c>
      <c r="L24" s="405">
        <f>L21-L23</f>
        <v>0</v>
      </c>
      <c r="M24" s="758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758">
        <f>'Revenue Tracking'!F4</f>
        <v>12392594.042438218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758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758">
        <f>M25-M23</f>
        <v>-4.3624937534332275E-3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75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K18" sqref="K18"/>
    </sheetView>
  </sheetViews>
  <sheetFormatPr defaultColWidth="8.21875" defaultRowHeight="14.4"/>
  <cols>
    <col min="1" max="1" width="21.77734375" bestFit="1" customWidth="1"/>
    <col min="2" max="2" width="17.21875" style="405" bestFit="1" customWidth="1"/>
    <col min="3" max="5" width="14.77734375" style="405" bestFit="1" customWidth="1"/>
    <col min="6" max="8" width="13.21875" style="405" bestFit="1" customWidth="1"/>
    <col min="9" max="9" width="13" style="405" bestFit="1" customWidth="1"/>
    <col min="10" max="10" width="11.77734375" bestFit="1" customWidth="1"/>
    <col min="11" max="11" width="12.21875" bestFit="1" customWidth="1"/>
    <col min="12" max="12" width="13.21875" bestFit="1" customWidth="1"/>
    <col min="13" max="14" width="14.77734375" bestFit="1" customWidth="1"/>
    <col min="15" max="15" width="13.7773437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13">
      <c r="A3" s="444" t="s">
        <v>600</v>
      </c>
      <c r="B3" s="444" t="s">
        <v>596</v>
      </c>
      <c r="C3"/>
      <c r="D3"/>
      <c r="E3"/>
      <c r="F3"/>
      <c r="G3"/>
      <c r="H3"/>
      <c r="I3"/>
    </row>
    <row r="4" spans="1:13">
      <c r="A4" s="444" t="s">
        <v>597</v>
      </c>
      <c r="B4" t="s">
        <v>598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s="446">
        <v>46053</v>
      </c>
      <c r="L4" s="446">
        <v>46081</v>
      </c>
      <c r="M4" t="s">
        <v>599</v>
      </c>
    </row>
    <row r="5" spans="1:13">
      <c r="A5" s="445" t="s">
        <v>598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308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322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>
        <v>-69140</v>
      </c>
      <c r="L7" s="447"/>
      <c r="M7" s="447">
        <v>316436.03999999998</v>
      </c>
    </row>
    <row r="8" spans="1:13">
      <c r="A8" s="445" t="s">
        <v>342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>
        <v>-2050.1</v>
      </c>
      <c r="L8" s="447"/>
      <c r="M8" s="447">
        <v>887538.45999999985</v>
      </c>
    </row>
    <row r="9" spans="1:13">
      <c r="A9" s="445" t="s">
        <v>369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391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>
        <v>-1767.5</v>
      </c>
      <c r="L10" s="447"/>
      <c r="M10" s="447">
        <v>200056.25</v>
      </c>
    </row>
    <row r="11" spans="1:13">
      <c r="A11" s="445" t="s">
        <v>439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458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487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491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516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528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537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637.84</v>
      </c>
      <c r="L17" s="447">
        <v>650</v>
      </c>
      <c r="M17" s="447">
        <v>8514.52</v>
      </c>
    </row>
    <row r="18" spans="1:13">
      <c r="A18" s="445" t="s">
        <v>541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>
        <v>70757.8</v>
      </c>
      <c r="L18" s="447">
        <v>60591.17</v>
      </c>
      <c r="M18" s="447">
        <v>157100.08000000002</v>
      </c>
    </row>
    <row r="19" spans="1:13">
      <c r="A19" s="445" t="s">
        <v>525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445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599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-1561.9600000000064</v>
      </c>
      <c r="L21" s="447">
        <v>107530.92</v>
      </c>
      <c r="M21" s="447">
        <v>8235572.5099999998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1875" defaultRowHeight="14.4"/>
  <cols>
    <col min="4" max="4" width="9" customWidth="1"/>
  </cols>
  <sheetData>
    <row r="1" spans="1:4">
      <c r="A1" s="110" t="s">
        <v>601</v>
      </c>
    </row>
    <row r="2" spans="1:4">
      <c r="A2" s="849"/>
      <c r="B2" s="849"/>
      <c r="C2" s="849"/>
      <c r="D2" s="71"/>
    </row>
    <row r="3" spans="1:4">
      <c r="A3" s="848" t="s">
        <v>602</v>
      </c>
      <c r="B3" s="848"/>
      <c r="C3" s="848"/>
      <c r="D3" s="111">
        <v>0.32</v>
      </c>
    </row>
    <row r="4" spans="1:4">
      <c r="A4" s="848" t="s">
        <v>570</v>
      </c>
      <c r="B4" s="848"/>
      <c r="C4" s="848"/>
      <c r="D4" s="111">
        <v>0.5</v>
      </c>
    </row>
    <row r="5" spans="1:4">
      <c r="A5" s="848" t="s">
        <v>581</v>
      </c>
      <c r="B5" s="848"/>
      <c r="C5" s="848"/>
      <c r="D5" s="111">
        <v>0.15</v>
      </c>
    </row>
    <row r="6" spans="1:4">
      <c r="A6" s="848" t="s">
        <v>603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21875" style="88" customWidth="1"/>
    <col min="3" max="3" width="4.44140625" style="88" customWidth="1"/>
    <col min="4" max="4" width="14.44140625" style="88" bestFit="1" customWidth="1"/>
    <col min="5" max="5" width="3.21875" style="88" customWidth="1"/>
    <col min="6" max="6" width="15.2187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21875" style="88" customWidth="1"/>
    <col min="15" max="16384" width="9.44140625" style="88"/>
  </cols>
  <sheetData>
    <row r="2" spans="2:14" s="94" customFormat="1" ht="17.399999999999999">
      <c r="B2" s="850" t="s">
        <v>604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605</v>
      </c>
      <c r="C4" s="86"/>
      <c r="D4" s="90" t="s">
        <v>606</v>
      </c>
      <c r="E4" s="95"/>
      <c r="F4" s="90" t="s">
        <v>607</v>
      </c>
      <c r="H4" s="90" t="s">
        <v>608</v>
      </c>
      <c r="I4" s="95"/>
      <c r="J4" s="90" t="s">
        <v>609</v>
      </c>
      <c r="L4" s="90" t="s">
        <v>608</v>
      </c>
      <c r="M4" s="90"/>
      <c r="N4" s="90" t="s">
        <v>610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611</v>
      </c>
      <c r="H7" s="99"/>
      <c r="I7" s="95"/>
      <c r="J7" s="107" t="s">
        <v>611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612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613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614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611</v>
      </c>
      <c r="H15" s="99"/>
      <c r="I15" s="95"/>
      <c r="J15" s="107" t="s">
        <v>611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615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615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611</v>
      </c>
      <c r="H21" s="99"/>
      <c r="I21" s="95"/>
      <c r="J21" s="107" t="s">
        <v>611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614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611</v>
      </c>
      <c r="H27" s="99"/>
      <c r="I27" s="95"/>
      <c r="J27" s="107" t="s">
        <v>611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616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611</v>
      </c>
      <c r="H34" s="99"/>
      <c r="I34" s="95"/>
      <c r="J34" s="107" t="s">
        <v>611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617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618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619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623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2187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218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0" t="s">
        <v>625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605</v>
      </c>
      <c r="C4" s="86"/>
      <c r="D4" s="90" t="s">
        <v>606</v>
      </c>
      <c r="E4" s="95"/>
      <c r="F4" s="95"/>
      <c r="G4" s="90" t="s">
        <v>626</v>
      </c>
      <c r="H4" s="96"/>
      <c r="J4" s="90" t="s">
        <v>608</v>
      </c>
      <c r="L4" s="90" t="s">
        <v>627</v>
      </c>
      <c r="M4" s="96"/>
      <c r="O4" s="90" t="s">
        <v>608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628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510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623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605</v>
      </c>
      <c r="C18" s="86"/>
      <c r="D18" s="90" t="s">
        <v>606</v>
      </c>
      <c r="E18" s="95"/>
      <c r="F18" s="95"/>
      <c r="G18" s="90" t="s">
        <v>629</v>
      </c>
      <c r="H18" s="96"/>
      <c r="J18" s="90" t="s">
        <v>608</v>
      </c>
      <c r="L18" s="90" t="s">
        <v>630</v>
      </c>
      <c r="M18" s="96"/>
      <c r="O18" s="90" t="s">
        <v>608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631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632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633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634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510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635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623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636</v>
      </c>
      <c r="C32" s="103"/>
      <c r="D32" s="103"/>
    </row>
    <row r="33" spans="2:4" ht="13.8" thickTop="1"/>
    <row r="34" spans="2:4">
      <c r="B34" s="88" t="s">
        <v>606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637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21875" bestFit="1" customWidth="1"/>
    <col min="3" max="3" width="45.21875" customWidth="1"/>
    <col min="4" max="4" width="34.44140625" customWidth="1"/>
    <col min="5" max="5" width="15.2187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52" t="str">
        <f>D15</f>
        <v>Red Rocket</v>
      </c>
      <c r="C1" s="852"/>
      <c r="D1" s="852"/>
      <c r="E1" s="851" t="s">
        <v>638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639</v>
      </c>
      <c r="C3" s="72" t="s">
        <v>640</v>
      </c>
      <c r="D3" s="72" t="s">
        <v>641</v>
      </c>
      <c r="E3" s="78" t="s">
        <v>642</v>
      </c>
      <c r="F3" s="78" t="s">
        <v>643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645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646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647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648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649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48F49D-773B-4A56-905E-3DDD6F518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2026-02-18T11:57:58Z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