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82" documentId="13_ncr:1_{36710142-C419-40D1-A280-4ADDF2A63E4A}" xr6:coauthVersionLast="47" xr6:coauthVersionMax="47" xr10:uidLastSave="{C2CE84CC-E5BF-48B1-A8C5-42735A7CBEDE}"/>
  <bookViews>
    <workbookView xWindow="28680" yWindow="-120" windowWidth="29040" windowHeight="15720" tabRatio="802" firstSheet="1" activeTab="3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8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8" i="18" l="1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4" i="18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18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<sst xmlns="http://schemas.openxmlformats.org/spreadsheetml/2006/main" count="824" uniqueCount="478">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</sst>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70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547686.75056976802</c:v>
                </c:pt>
                <c:pt idx="54">
                  <c:v>548186.75056976802</c:v>
                </c:pt>
                <c:pt idx="55">
                  <c:v>606725.25056976802</c:v>
                </c:pt>
                <c:pt idx="56">
                  <c:v>606725.25056976802</c:v>
                </c:pt>
                <c:pt idx="57">
                  <c:v>610710.25056976802</c:v>
                </c:pt>
                <c:pt idx="58">
                  <c:v>610710.25056976802</c:v>
                </c:pt>
                <c:pt idx="59">
                  <c:v>620316.55056976806</c:v>
                </c:pt>
                <c:pt idx="60">
                  <c:v>620316.55056976806</c:v>
                </c:pt>
                <c:pt idx="61">
                  <c:v>620316.55056976806</c:v>
                </c:pt>
                <c:pt idx="62">
                  <c:v>620316.55056976806</c:v>
                </c:pt>
                <c:pt idx="63">
                  <c:v>620316.55056976806</c:v>
                </c:pt>
                <c:pt idx="64">
                  <c:v>620316.55056976806</c:v>
                </c:pt>
                <c:pt idx="65">
                  <c:v>620316.55056976806</c:v>
                </c:pt>
                <c:pt idx="66">
                  <c:v>620316.55056976806</c:v>
                </c:pt>
                <c:pt idx="67">
                  <c:v>620316.55056976806</c:v>
                </c:pt>
                <c:pt idx="68">
                  <c:v>620316.55056976806</c:v>
                </c:pt>
                <c:pt idx="69">
                  <c:v>620316.55056976806</c:v>
                </c:pt>
                <c:pt idx="70">
                  <c:v>620316.55056976806</c:v>
                </c:pt>
                <c:pt idx="71">
                  <c:v>620316.55056976806</c:v>
                </c:pt>
                <c:pt idx="72">
                  <c:v>620316.55056976806</c:v>
                </c:pt>
                <c:pt idx="73">
                  <c:v>620316.55056976806</c:v>
                </c:pt>
                <c:pt idx="74">
                  <c:v>620316.55056976806</c:v>
                </c:pt>
                <c:pt idx="75">
                  <c:v>620316.55056976806</c:v>
                </c:pt>
                <c:pt idx="76">
                  <c:v>620316.55056976806</c:v>
                </c:pt>
                <c:pt idx="77">
                  <c:v>620316.55056976806</c:v>
                </c:pt>
                <c:pt idx="78">
                  <c:v>620316.55056976806</c:v>
                </c:pt>
                <c:pt idx="79">
                  <c:v>620316.55056976806</c:v>
                </c:pt>
                <c:pt idx="80">
                  <c:v>620316.55056976806</c:v>
                </c:pt>
                <c:pt idx="81">
                  <c:v>620316.55056976806</c:v>
                </c:pt>
                <c:pt idx="82">
                  <c:v>620316.55056976806</c:v>
                </c:pt>
                <c:pt idx="83">
                  <c:v>620316.55056976806</c:v>
                </c:pt>
                <c:pt idx="84">
                  <c:v>620316.55056976806</c:v>
                </c:pt>
                <c:pt idx="85">
                  <c:v>620316.55056976806</c:v>
                </c:pt>
                <c:pt idx="86">
                  <c:v>620316.55056976806</c:v>
                </c:pt>
                <c:pt idx="87">
                  <c:v>620316.55056976806</c:v>
                </c:pt>
                <c:pt idx="88">
                  <c:v>620316.55056976806</c:v>
                </c:pt>
                <c:pt idx="89">
                  <c:v>620316.55056976806</c:v>
                </c:pt>
                <c:pt idx="90">
                  <c:v>620316.55056976806</c:v>
                </c:pt>
                <c:pt idx="91">
                  <c:v>620316.55056976806</c:v>
                </c:pt>
                <c:pt idx="92">
                  <c:v>620316.55056976806</c:v>
                </c:pt>
                <c:pt idx="93">
                  <c:v>620316.55056976806</c:v>
                </c:pt>
                <c:pt idx="94">
                  <c:v>620316.55056976806</c:v>
                </c:pt>
                <c:pt idx="95">
                  <c:v>620316.55056976806</c:v>
                </c:pt>
                <c:pt idx="96">
                  <c:v>620316.55056976806</c:v>
                </c:pt>
                <c:pt idx="97">
                  <c:v>620316.55056976806</c:v>
                </c:pt>
                <c:pt idx="98">
                  <c:v>620316.55056976806</c:v>
                </c:pt>
                <c:pt idx="99">
                  <c:v>620316.55056976806</c:v>
                </c:pt>
                <c:pt idx="100">
                  <c:v>620316.55056976806</c:v>
                </c:pt>
                <c:pt idx="101">
                  <c:v>620316.55056976806</c:v>
                </c:pt>
                <c:pt idx="102">
                  <c:v>620316.55056976806</c:v>
                </c:pt>
                <c:pt idx="103">
                  <c:v>620316.55056976806</c:v>
                </c:pt>
                <c:pt idx="104">
                  <c:v>620316.55056976806</c:v>
                </c:pt>
                <c:pt idx="105">
                  <c:v>620316.55056976806</c:v>
                </c:pt>
                <c:pt idx="106">
                  <c:v>620316.55056976806</c:v>
                </c:pt>
                <c:pt idx="107">
                  <c:v>620316.55056976806</c:v>
                </c:pt>
                <c:pt idx="108">
                  <c:v>620316.55056976806</c:v>
                </c:pt>
                <c:pt idx="109">
                  <c:v>620316.55056976806</c:v>
                </c:pt>
                <c:pt idx="110">
                  <c:v>620316.55056976806</c:v>
                </c:pt>
                <c:pt idx="111">
                  <c:v>620316.55056976806</c:v>
                </c:pt>
                <c:pt idx="112">
                  <c:v>620316.55056976806</c:v>
                </c:pt>
                <c:pt idx="113">
                  <c:v>620316.55056976806</c:v>
                </c:pt>
                <c:pt idx="114">
                  <c:v>620316.55056976806</c:v>
                </c:pt>
                <c:pt idx="115">
                  <c:v>620316.55056976806</c:v>
                </c:pt>
                <c:pt idx="116">
                  <c:v>620316.55056976806</c:v>
                </c:pt>
                <c:pt idx="117">
                  <c:v>620316.55056976806</c:v>
                </c:pt>
                <c:pt idx="118">
                  <c:v>620316.55056976806</c:v>
                </c:pt>
                <c:pt idx="119">
                  <c:v>620316.55056976806</c:v>
                </c:pt>
                <c:pt idx="120">
                  <c:v>620316.55056976806</c:v>
                </c:pt>
                <c:pt idx="121">
                  <c:v>620316.55056976806</c:v>
                </c:pt>
                <c:pt idx="122">
                  <c:v>620316.55056976806</c:v>
                </c:pt>
                <c:pt idx="123">
                  <c:v>620316.55056976806</c:v>
                </c:pt>
                <c:pt idx="124">
                  <c:v>620316.55056976806</c:v>
                </c:pt>
                <c:pt idx="125">
                  <c:v>620316.55056976806</c:v>
                </c:pt>
                <c:pt idx="126">
                  <c:v>620316.55056976806</c:v>
                </c:pt>
                <c:pt idx="127">
                  <c:v>620316.55056976806</c:v>
                </c:pt>
                <c:pt idx="128">
                  <c:v>620316.55056976806</c:v>
                </c:pt>
                <c:pt idx="129">
                  <c:v>620316.55056976806</c:v>
                </c:pt>
                <c:pt idx="130">
                  <c:v>620316.55056976806</c:v>
                </c:pt>
                <c:pt idx="131">
                  <c:v>620316.55056976806</c:v>
                </c:pt>
                <c:pt idx="132">
                  <c:v>620316.55056976806</c:v>
                </c:pt>
                <c:pt idx="133">
                  <c:v>620316.55056976806</c:v>
                </c:pt>
                <c:pt idx="134">
                  <c:v>620316.55056976806</c:v>
                </c:pt>
                <c:pt idx="135">
                  <c:v>620316.55056976806</c:v>
                </c:pt>
                <c:pt idx="136">
                  <c:v>620316.55056976806</c:v>
                </c:pt>
                <c:pt idx="137">
                  <c:v>620316.55056976806</c:v>
                </c:pt>
                <c:pt idx="138">
                  <c:v>620316.55056976806</c:v>
                </c:pt>
                <c:pt idx="139">
                  <c:v>620316.55056976806</c:v>
                </c:pt>
                <c:pt idx="140">
                  <c:v>620316.55056976806</c:v>
                </c:pt>
                <c:pt idx="141">
                  <c:v>620316.55056976806</c:v>
                </c:pt>
                <c:pt idx="142">
                  <c:v>620316.55056976806</c:v>
                </c:pt>
                <c:pt idx="143">
                  <c:v>620316.55056976806</c:v>
                </c:pt>
                <c:pt idx="144">
                  <c:v>620316.55056976806</c:v>
                </c:pt>
                <c:pt idx="145">
                  <c:v>620316.55056976806</c:v>
                </c:pt>
                <c:pt idx="146">
                  <c:v>620316.55056976806</c:v>
                </c:pt>
                <c:pt idx="147">
                  <c:v>620316.55056976806</c:v>
                </c:pt>
                <c:pt idx="148">
                  <c:v>620316.55056976806</c:v>
                </c:pt>
                <c:pt idx="149">
                  <c:v>620316.55056976806</c:v>
                </c:pt>
                <c:pt idx="150">
                  <c:v>620316.55056976806</c:v>
                </c:pt>
                <c:pt idx="151">
                  <c:v>620316.55056976806</c:v>
                </c:pt>
                <c:pt idx="152">
                  <c:v>620316.55056976806</c:v>
                </c:pt>
                <c:pt idx="153">
                  <c:v>620316.55056976806</c:v>
                </c:pt>
                <c:pt idx="154">
                  <c:v>620316.55056976806</c:v>
                </c:pt>
                <c:pt idx="155">
                  <c:v>620316.55056976806</c:v>
                </c:pt>
                <c:pt idx="156">
                  <c:v>620316.55056976806</c:v>
                </c:pt>
                <c:pt idx="157">
                  <c:v>620316.55056976806</c:v>
                </c:pt>
                <c:pt idx="158">
                  <c:v>620316.55056976806</c:v>
                </c:pt>
                <c:pt idx="159">
                  <c:v>620316.55056976806</c:v>
                </c:pt>
                <c:pt idx="160">
                  <c:v>620316.55056976806</c:v>
                </c:pt>
                <c:pt idx="161">
                  <c:v>620316.55056976806</c:v>
                </c:pt>
                <c:pt idx="162">
                  <c:v>620316.55056976806</c:v>
                </c:pt>
                <c:pt idx="163">
                  <c:v>620316.55056976806</c:v>
                </c:pt>
                <c:pt idx="164">
                  <c:v>620316.55056976806</c:v>
                </c:pt>
                <c:pt idx="165">
                  <c:v>620316.55056976806</c:v>
                </c:pt>
                <c:pt idx="166">
                  <c:v>620316.55056976806</c:v>
                </c:pt>
                <c:pt idx="167">
                  <c:v>620316.55056976806</c:v>
                </c:pt>
                <c:pt idx="168">
                  <c:v>620316.55056976806</c:v>
                </c:pt>
                <c:pt idx="169">
                  <c:v>620316.55056976806</c:v>
                </c:pt>
                <c:pt idx="170">
                  <c:v>620316.55056976806</c:v>
                </c:pt>
                <c:pt idx="171">
                  <c:v>620316.55056976806</c:v>
                </c:pt>
                <c:pt idx="172">
                  <c:v>620316.55056976806</c:v>
                </c:pt>
                <c:pt idx="173">
                  <c:v>620316.55056976806</c:v>
                </c:pt>
                <c:pt idx="174">
                  <c:v>620316.55056976806</c:v>
                </c:pt>
                <c:pt idx="175">
                  <c:v>620316.55056976806</c:v>
                </c:pt>
                <c:pt idx="176">
                  <c:v>620316.55056976806</c:v>
                </c:pt>
                <c:pt idx="177">
                  <c:v>620316.55056976806</c:v>
                </c:pt>
                <c:pt idx="178">
                  <c:v>620316.55056976806</c:v>
                </c:pt>
                <c:pt idx="179">
                  <c:v>620316.55056976806</c:v>
                </c:pt>
                <c:pt idx="180">
                  <c:v>620316.55056976806</c:v>
                </c:pt>
                <c:pt idx="181">
                  <c:v>620316.55056976806</c:v>
                </c:pt>
                <c:pt idx="182">
                  <c:v>620316.55056976806</c:v>
                </c:pt>
                <c:pt idx="183">
                  <c:v>620316.55056976806</c:v>
                </c:pt>
                <c:pt idx="184">
                  <c:v>620316.55056976806</c:v>
                </c:pt>
                <c:pt idx="185">
                  <c:v>620316.55056976806</c:v>
                </c:pt>
                <c:pt idx="186">
                  <c:v>620316.55056976806</c:v>
                </c:pt>
                <c:pt idx="187">
                  <c:v>620316.55056976806</c:v>
                </c:pt>
                <c:pt idx="188">
                  <c:v>620316.55056976806</c:v>
                </c:pt>
                <c:pt idx="189">
                  <c:v>620316.55056976806</c:v>
                </c:pt>
                <c:pt idx="190">
                  <c:v>620316.55056976806</c:v>
                </c:pt>
                <c:pt idx="191">
                  <c:v>620316.55056976806</c:v>
                </c:pt>
                <c:pt idx="192">
                  <c:v>620316.55056976806</c:v>
                </c:pt>
                <c:pt idx="193">
                  <c:v>620316.55056976806</c:v>
                </c:pt>
                <c:pt idx="194">
                  <c:v>620316.55056976806</c:v>
                </c:pt>
                <c:pt idx="195">
                  <c:v>620316.55056976806</c:v>
                </c:pt>
                <c:pt idx="196">
                  <c:v>620316.55056976806</c:v>
                </c:pt>
                <c:pt idx="197">
                  <c:v>620316.55056976806</c:v>
                </c:pt>
                <c:pt idx="198">
                  <c:v>620316.55056976806</c:v>
                </c:pt>
                <c:pt idx="199">
                  <c:v>620316.55056976806</c:v>
                </c:pt>
                <c:pt idx="200">
                  <c:v>620316.55056976806</c:v>
                </c:pt>
                <c:pt idx="201">
                  <c:v>620316.55056976806</c:v>
                </c:pt>
                <c:pt idx="202">
                  <c:v>620316.55056976806</c:v>
                </c:pt>
                <c:pt idx="203">
                  <c:v>620316.55056976806</c:v>
                </c:pt>
                <c:pt idx="204">
                  <c:v>620316.55056976806</c:v>
                </c:pt>
                <c:pt idx="205">
                  <c:v>620316.55056976806</c:v>
                </c:pt>
                <c:pt idx="206">
                  <c:v>620316.55056976806</c:v>
                </c:pt>
                <c:pt idx="207">
                  <c:v>620316.55056976806</c:v>
                </c:pt>
                <c:pt idx="208">
                  <c:v>620316.55056976806</c:v>
                </c:pt>
                <c:pt idx="209">
                  <c:v>620316.55056976806</c:v>
                </c:pt>
                <c:pt idx="210">
                  <c:v>620316.55056976806</c:v>
                </c:pt>
                <c:pt idx="211">
                  <c:v>620316.55056976806</c:v>
                </c:pt>
                <c:pt idx="212">
                  <c:v>620316.55056976806</c:v>
                </c:pt>
                <c:pt idx="213">
                  <c:v>620316.55056976806</c:v>
                </c:pt>
                <c:pt idx="214">
                  <c:v>620316.55056976806</c:v>
                </c:pt>
                <c:pt idx="215">
                  <c:v>620316.55056976806</c:v>
                </c:pt>
                <c:pt idx="216">
                  <c:v>620316.55056976806</c:v>
                </c:pt>
                <c:pt idx="217">
                  <c:v>620316.55056976806</c:v>
                </c:pt>
                <c:pt idx="218">
                  <c:v>620316.55056976806</c:v>
                </c:pt>
                <c:pt idx="219">
                  <c:v>620316.55056976806</c:v>
                </c:pt>
                <c:pt idx="220">
                  <c:v>620316.55056976806</c:v>
                </c:pt>
                <c:pt idx="221">
                  <c:v>620316.55056976806</c:v>
                </c:pt>
                <c:pt idx="222">
                  <c:v>620316.55056976806</c:v>
                </c:pt>
                <c:pt idx="223">
                  <c:v>620316.55056976806</c:v>
                </c:pt>
                <c:pt idx="224">
                  <c:v>620316.55056976806</c:v>
                </c:pt>
                <c:pt idx="225">
                  <c:v>620316.55056976806</c:v>
                </c:pt>
                <c:pt idx="226">
                  <c:v>620316.55056976806</c:v>
                </c:pt>
                <c:pt idx="227">
                  <c:v>620316.55056976806</c:v>
                </c:pt>
                <c:pt idx="228">
                  <c:v>620316.55056976806</c:v>
                </c:pt>
                <c:pt idx="229">
                  <c:v>620316.55056976806</c:v>
                </c:pt>
                <c:pt idx="230">
                  <c:v>620316.55056976806</c:v>
                </c:pt>
                <c:pt idx="231">
                  <c:v>620316.55056976806</c:v>
                </c:pt>
                <c:pt idx="232">
                  <c:v>620316.55056976806</c:v>
                </c:pt>
                <c:pt idx="233">
                  <c:v>620316.55056976806</c:v>
                </c:pt>
                <c:pt idx="234">
                  <c:v>620316.55056976806</c:v>
                </c:pt>
                <c:pt idx="235">
                  <c:v>620316.55056976806</c:v>
                </c:pt>
                <c:pt idx="236">
                  <c:v>620316.55056976806</c:v>
                </c:pt>
                <c:pt idx="237">
                  <c:v>620316.55056976806</c:v>
                </c:pt>
                <c:pt idx="238">
                  <c:v>620316.55056976806</c:v>
                </c:pt>
                <c:pt idx="239">
                  <c:v>620316.55056976806</c:v>
                </c:pt>
                <c:pt idx="240">
                  <c:v>620316.55056976806</c:v>
                </c:pt>
                <c:pt idx="241">
                  <c:v>620316.55056976806</c:v>
                </c:pt>
                <c:pt idx="242">
                  <c:v>620316.55056976806</c:v>
                </c:pt>
                <c:pt idx="243">
                  <c:v>620316.55056976806</c:v>
                </c:pt>
                <c:pt idx="244">
                  <c:v>620316.55056976806</c:v>
                </c:pt>
                <c:pt idx="245">
                  <c:v>620316.55056976806</c:v>
                </c:pt>
                <c:pt idx="246">
                  <c:v>620316.55056976806</c:v>
                </c:pt>
                <c:pt idx="247">
                  <c:v>620316.55056976806</c:v>
                </c:pt>
                <c:pt idx="248">
                  <c:v>620316.55056976806</c:v>
                </c:pt>
                <c:pt idx="249">
                  <c:v>620316.55056976806</c:v>
                </c:pt>
                <c:pt idx="250">
                  <c:v>620316.55056976806</c:v>
                </c:pt>
                <c:pt idx="251">
                  <c:v>620316.55056976806</c:v>
                </c:pt>
                <c:pt idx="252">
                  <c:v>620316.55056976806</c:v>
                </c:pt>
                <c:pt idx="253">
                  <c:v>620316.55056976806</c:v>
                </c:pt>
                <c:pt idx="254">
                  <c:v>620316.55056976806</c:v>
                </c:pt>
                <c:pt idx="255">
                  <c:v>620316.55056976806</c:v>
                </c:pt>
                <c:pt idx="256">
                  <c:v>620316.55056976806</c:v>
                </c:pt>
                <c:pt idx="257">
                  <c:v>620316.55056976806</c:v>
                </c:pt>
                <c:pt idx="258">
                  <c:v>620316.55056976806</c:v>
                </c:pt>
                <c:pt idx="259">
                  <c:v>620316.55056976806</c:v>
                </c:pt>
                <c:pt idx="260">
                  <c:v>620316.55056976806</c:v>
                </c:pt>
                <c:pt idx="261">
                  <c:v>620316.55056976806</c:v>
                </c:pt>
                <c:pt idx="262">
                  <c:v>620316.55056976806</c:v>
                </c:pt>
                <c:pt idx="263">
                  <c:v>620316.55056976806</c:v>
                </c:pt>
                <c:pt idx="264">
                  <c:v>620316.55056976806</c:v>
                </c:pt>
                <c:pt idx="265">
                  <c:v>620316.55056976806</c:v>
                </c:pt>
                <c:pt idx="266">
                  <c:v>620316.55056976806</c:v>
                </c:pt>
                <c:pt idx="267">
                  <c:v>620316.55056976806</c:v>
                </c:pt>
                <c:pt idx="268">
                  <c:v>620316.55056976806</c:v>
                </c:pt>
                <c:pt idx="269">
                  <c:v>620316.55056976806</c:v>
                </c:pt>
                <c:pt idx="270">
                  <c:v>620316.55056976806</c:v>
                </c:pt>
                <c:pt idx="271">
                  <c:v>620316.55056976806</c:v>
                </c:pt>
                <c:pt idx="272">
                  <c:v>620316.55056976806</c:v>
                </c:pt>
                <c:pt idx="273">
                  <c:v>620316.55056976806</c:v>
                </c:pt>
                <c:pt idx="274">
                  <c:v>620316.55056976806</c:v>
                </c:pt>
                <c:pt idx="275">
                  <c:v>620316.55056976806</c:v>
                </c:pt>
                <c:pt idx="276">
                  <c:v>620316.55056976806</c:v>
                </c:pt>
                <c:pt idx="277">
                  <c:v>620316.55056976806</c:v>
                </c:pt>
                <c:pt idx="278">
                  <c:v>620316.55056976806</c:v>
                </c:pt>
                <c:pt idx="279">
                  <c:v>620316.55056976806</c:v>
                </c:pt>
                <c:pt idx="280">
                  <c:v>620316.55056976806</c:v>
                </c:pt>
                <c:pt idx="281">
                  <c:v>620316.55056976806</c:v>
                </c:pt>
                <c:pt idx="282">
                  <c:v>620316.55056976806</c:v>
                </c:pt>
                <c:pt idx="283">
                  <c:v>620316.55056976806</c:v>
                </c:pt>
                <c:pt idx="284">
                  <c:v>620316.55056976806</c:v>
                </c:pt>
                <c:pt idx="285">
                  <c:v>620316.55056976806</c:v>
                </c:pt>
                <c:pt idx="286">
                  <c:v>620316.55056976806</c:v>
                </c:pt>
                <c:pt idx="287">
                  <c:v>620316.55056976806</c:v>
                </c:pt>
                <c:pt idx="288">
                  <c:v>620316.55056976806</c:v>
                </c:pt>
                <c:pt idx="289">
                  <c:v>620316.55056976806</c:v>
                </c:pt>
                <c:pt idx="290">
                  <c:v>620316.55056976806</c:v>
                </c:pt>
                <c:pt idx="291">
                  <c:v>620316.55056976806</c:v>
                </c:pt>
                <c:pt idx="292">
                  <c:v>620316.55056976806</c:v>
                </c:pt>
                <c:pt idx="293">
                  <c:v>620316.55056976806</c:v>
                </c:pt>
                <c:pt idx="294">
                  <c:v>620316.55056976806</c:v>
                </c:pt>
                <c:pt idx="295">
                  <c:v>620316.55056976806</c:v>
                </c:pt>
                <c:pt idx="296">
                  <c:v>620316.55056976806</c:v>
                </c:pt>
                <c:pt idx="297">
                  <c:v>620316.55056976806</c:v>
                </c:pt>
                <c:pt idx="298">
                  <c:v>620316.55056976806</c:v>
                </c:pt>
                <c:pt idx="299">
                  <c:v>620316.55056976806</c:v>
                </c:pt>
                <c:pt idx="300">
                  <c:v>620316.55056976806</c:v>
                </c:pt>
                <c:pt idx="301">
                  <c:v>620316.55056976806</c:v>
                </c:pt>
                <c:pt idx="302">
                  <c:v>620316.55056976806</c:v>
                </c:pt>
                <c:pt idx="303">
                  <c:v>620316.55056976806</c:v>
                </c:pt>
                <c:pt idx="304">
                  <c:v>620316.55056976806</c:v>
                </c:pt>
                <c:pt idx="305">
                  <c:v>620316.55056976806</c:v>
                </c:pt>
                <c:pt idx="306">
                  <c:v>620316.55056976806</c:v>
                </c:pt>
                <c:pt idx="307">
                  <c:v>620316.55056976806</c:v>
                </c:pt>
                <c:pt idx="308">
                  <c:v>620316.55056976806</c:v>
                </c:pt>
                <c:pt idx="309">
                  <c:v>620316.55056976806</c:v>
                </c:pt>
                <c:pt idx="310">
                  <c:v>620316.55056976806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239262.13273260568</c:v>
                </c:pt>
                <c:pt idx="54">
                  <c:v>238762.13273260568</c:v>
                </c:pt>
                <c:pt idx="55">
                  <c:v>221641.99501167797</c:v>
                </c:pt>
                <c:pt idx="56">
                  <c:v>221641.99501167797</c:v>
                </c:pt>
                <c:pt idx="57">
                  <c:v>217656.99501167797</c:v>
                </c:pt>
                <c:pt idx="58">
                  <c:v>217656.99501167797</c:v>
                </c:pt>
                <c:pt idx="59">
                  <c:v>208050.69501167792</c:v>
                </c:pt>
                <c:pt idx="60">
                  <c:v>208050.69501167792</c:v>
                </c:pt>
                <c:pt idx="61">
                  <c:v>208050.69501167792</c:v>
                </c:pt>
                <c:pt idx="62">
                  <c:v>208050.69501167792</c:v>
                </c:pt>
                <c:pt idx="63">
                  <c:v>208050.69501167792</c:v>
                </c:pt>
                <c:pt idx="64">
                  <c:v>208050.69501167792</c:v>
                </c:pt>
                <c:pt idx="65">
                  <c:v>208050.69501167792</c:v>
                </c:pt>
                <c:pt idx="66">
                  <c:v>208050.69501167792</c:v>
                </c:pt>
                <c:pt idx="67">
                  <c:v>208050.69501167792</c:v>
                </c:pt>
                <c:pt idx="68">
                  <c:v>208050.69501167792</c:v>
                </c:pt>
                <c:pt idx="69">
                  <c:v>208050.69501167792</c:v>
                </c:pt>
                <c:pt idx="70">
                  <c:v>208050.69501167792</c:v>
                </c:pt>
                <c:pt idx="71">
                  <c:v>208050.69501167792</c:v>
                </c:pt>
                <c:pt idx="72">
                  <c:v>208050.69501167792</c:v>
                </c:pt>
                <c:pt idx="73">
                  <c:v>208050.69501167792</c:v>
                </c:pt>
                <c:pt idx="74">
                  <c:v>208050.69501167792</c:v>
                </c:pt>
                <c:pt idx="75">
                  <c:v>208050.69501167792</c:v>
                </c:pt>
                <c:pt idx="76">
                  <c:v>208050.69501167792</c:v>
                </c:pt>
                <c:pt idx="77">
                  <c:v>208050.69501167792</c:v>
                </c:pt>
                <c:pt idx="78">
                  <c:v>208050.69501167792</c:v>
                </c:pt>
                <c:pt idx="79">
                  <c:v>208050.69501167792</c:v>
                </c:pt>
                <c:pt idx="80">
                  <c:v>208050.69501167792</c:v>
                </c:pt>
                <c:pt idx="81">
                  <c:v>208050.69501167792</c:v>
                </c:pt>
                <c:pt idx="82">
                  <c:v>208050.69501167792</c:v>
                </c:pt>
                <c:pt idx="83">
                  <c:v>208050.69501167792</c:v>
                </c:pt>
                <c:pt idx="84">
                  <c:v>208050.69501167792</c:v>
                </c:pt>
                <c:pt idx="85">
                  <c:v>208050.69501167792</c:v>
                </c:pt>
                <c:pt idx="86">
                  <c:v>208050.69501167792</c:v>
                </c:pt>
                <c:pt idx="87">
                  <c:v>208050.69501167792</c:v>
                </c:pt>
                <c:pt idx="88">
                  <c:v>208050.69501167792</c:v>
                </c:pt>
                <c:pt idx="89">
                  <c:v>208050.69501167792</c:v>
                </c:pt>
                <c:pt idx="90">
                  <c:v>208050.69501167792</c:v>
                </c:pt>
                <c:pt idx="91">
                  <c:v>208050.69501167792</c:v>
                </c:pt>
                <c:pt idx="92">
                  <c:v>208050.69501167792</c:v>
                </c:pt>
                <c:pt idx="93">
                  <c:v>208050.69501167792</c:v>
                </c:pt>
                <c:pt idx="94">
                  <c:v>208050.69501167792</c:v>
                </c:pt>
                <c:pt idx="95">
                  <c:v>208050.69501167792</c:v>
                </c:pt>
                <c:pt idx="96">
                  <c:v>208050.69501167792</c:v>
                </c:pt>
                <c:pt idx="97">
                  <c:v>208050.69501167792</c:v>
                </c:pt>
                <c:pt idx="98">
                  <c:v>208050.69501167792</c:v>
                </c:pt>
                <c:pt idx="99">
                  <c:v>208050.69501167792</c:v>
                </c:pt>
                <c:pt idx="100">
                  <c:v>208050.69501167792</c:v>
                </c:pt>
                <c:pt idx="101">
                  <c:v>208050.69501167792</c:v>
                </c:pt>
                <c:pt idx="102">
                  <c:v>208050.69501167792</c:v>
                </c:pt>
                <c:pt idx="103">
                  <c:v>208050.69501167792</c:v>
                </c:pt>
                <c:pt idx="104">
                  <c:v>208050.69501167792</c:v>
                </c:pt>
                <c:pt idx="105">
                  <c:v>208050.69501167792</c:v>
                </c:pt>
                <c:pt idx="106">
                  <c:v>208050.69501167792</c:v>
                </c:pt>
                <c:pt idx="107">
                  <c:v>208050.69501167792</c:v>
                </c:pt>
                <c:pt idx="108">
                  <c:v>208050.69501167792</c:v>
                </c:pt>
                <c:pt idx="109">
                  <c:v>208050.69501167792</c:v>
                </c:pt>
                <c:pt idx="110">
                  <c:v>208050.69501167792</c:v>
                </c:pt>
                <c:pt idx="111">
                  <c:v>208050.69501167792</c:v>
                </c:pt>
                <c:pt idx="112">
                  <c:v>208050.69501167792</c:v>
                </c:pt>
                <c:pt idx="113">
                  <c:v>208050.69501167792</c:v>
                </c:pt>
                <c:pt idx="114">
                  <c:v>208050.69501167792</c:v>
                </c:pt>
                <c:pt idx="115">
                  <c:v>208050.69501167792</c:v>
                </c:pt>
                <c:pt idx="116">
                  <c:v>208050.69501167792</c:v>
                </c:pt>
                <c:pt idx="117">
                  <c:v>208050.69501167792</c:v>
                </c:pt>
                <c:pt idx="118">
                  <c:v>208050.69501167792</c:v>
                </c:pt>
                <c:pt idx="119">
                  <c:v>208050.69501167792</c:v>
                </c:pt>
                <c:pt idx="120">
                  <c:v>208050.69501167792</c:v>
                </c:pt>
                <c:pt idx="121">
                  <c:v>208050.69501167792</c:v>
                </c:pt>
                <c:pt idx="122">
                  <c:v>208050.69501167792</c:v>
                </c:pt>
                <c:pt idx="123">
                  <c:v>208050.69501167792</c:v>
                </c:pt>
                <c:pt idx="124">
                  <c:v>208050.69501167792</c:v>
                </c:pt>
                <c:pt idx="125">
                  <c:v>208050.69501167792</c:v>
                </c:pt>
                <c:pt idx="126">
                  <c:v>208050.69501167792</c:v>
                </c:pt>
                <c:pt idx="127">
                  <c:v>208050.69501167792</c:v>
                </c:pt>
                <c:pt idx="128">
                  <c:v>208050.69501167792</c:v>
                </c:pt>
                <c:pt idx="129">
                  <c:v>208050.69501167792</c:v>
                </c:pt>
                <c:pt idx="130">
                  <c:v>208050.69501167792</c:v>
                </c:pt>
                <c:pt idx="131">
                  <c:v>208050.69501167792</c:v>
                </c:pt>
                <c:pt idx="132">
                  <c:v>208050.69501167792</c:v>
                </c:pt>
                <c:pt idx="133">
                  <c:v>208050.69501167792</c:v>
                </c:pt>
                <c:pt idx="134">
                  <c:v>208050.69501167792</c:v>
                </c:pt>
                <c:pt idx="135">
                  <c:v>208050.69501167792</c:v>
                </c:pt>
                <c:pt idx="136">
                  <c:v>208050.69501167792</c:v>
                </c:pt>
                <c:pt idx="137">
                  <c:v>208050.69501167792</c:v>
                </c:pt>
                <c:pt idx="138">
                  <c:v>208050.69501167792</c:v>
                </c:pt>
                <c:pt idx="139">
                  <c:v>208050.69501167792</c:v>
                </c:pt>
                <c:pt idx="140">
                  <c:v>208050.69501167792</c:v>
                </c:pt>
                <c:pt idx="141">
                  <c:v>208050.69501167792</c:v>
                </c:pt>
                <c:pt idx="142">
                  <c:v>208050.69501167792</c:v>
                </c:pt>
                <c:pt idx="143">
                  <c:v>208050.69501167792</c:v>
                </c:pt>
                <c:pt idx="144">
                  <c:v>208050.69501167792</c:v>
                </c:pt>
                <c:pt idx="145">
                  <c:v>208050.69501167792</c:v>
                </c:pt>
                <c:pt idx="146">
                  <c:v>208050.69501167792</c:v>
                </c:pt>
                <c:pt idx="147">
                  <c:v>208050.69501167792</c:v>
                </c:pt>
                <c:pt idx="148">
                  <c:v>208050.69501167792</c:v>
                </c:pt>
                <c:pt idx="149">
                  <c:v>208050.69501167792</c:v>
                </c:pt>
                <c:pt idx="150">
                  <c:v>208050.69501167792</c:v>
                </c:pt>
                <c:pt idx="151">
                  <c:v>208050.69501167792</c:v>
                </c:pt>
                <c:pt idx="152">
                  <c:v>208050.69501167792</c:v>
                </c:pt>
                <c:pt idx="153">
                  <c:v>208050.69501167792</c:v>
                </c:pt>
                <c:pt idx="154">
                  <c:v>208050.69501167792</c:v>
                </c:pt>
                <c:pt idx="155">
                  <c:v>208050.69501167792</c:v>
                </c:pt>
                <c:pt idx="156">
                  <c:v>208050.69501167792</c:v>
                </c:pt>
                <c:pt idx="157">
                  <c:v>208050.69501167792</c:v>
                </c:pt>
                <c:pt idx="158">
                  <c:v>208050.69501167792</c:v>
                </c:pt>
                <c:pt idx="159">
                  <c:v>208050.69501167792</c:v>
                </c:pt>
                <c:pt idx="160">
                  <c:v>208050.69501167792</c:v>
                </c:pt>
                <c:pt idx="161">
                  <c:v>208050.69501167792</c:v>
                </c:pt>
                <c:pt idx="162">
                  <c:v>208050.69501167792</c:v>
                </c:pt>
                <c:pt idx="163">
                  <c:v>208050.69501167792</c:v>
                </c:pt>
                <c:pt idx="164">
                  <c:v>208050.69501167792</c:v>
                </c:pt>
                <c:pt idx="165">
                  <c:v>208050.69501167792</c:v>
                </c:pt>
                <c:pt idx="166">
                  <c:v>208050.69501167792</c:v>
                </c:pt>
                <c:pt idx="167">
                  <c:v>208050.69501167792</c:v>
                </c:pt>
                <c:pt idx="168">
                  <c:v>208050.69501167792</c:v>
                </c:pt>
                <c:pt idx="169">
                  <c:v>208050.69501167792</c:v>
                </c:pt>
                <c:pt idx="170">
                  <c:v>208050.69501167792</c:v>
                </c:pt>
                <c:pt idx="171">
                  <c:v>208050.69501167792</c:v>
                </c:pt>
                <c:pt idx="172">
                  <c:v>208050.69501167792</c:v>
                </c:pt>
                <c:pt idx="173">
                  <c:v>208050.69501167792</c:v>
                </c:pt>
                <c:pt idx="174">
                  <c:v>208050.69501167792</c:v>
                </c:pt>
                <c:pt idx="175">
                  <c:v>208050.69501167792</c:v>
                </c:pt>
                <c:pt idx="176">
                  <c:v>208050.69501167792</c:v>
                </c:pt>
                <c:pt idx="177">
                  <c:v>208050.69501167792</c:v>
                </c:pt>
                <c:pt idx="178">
                  <c:v>208050.69501167792</c:v>
                </c:pt>
                <c:pt idx="179">
                  <c:v>208050.69501167792</c:v>
                </c:pt>
                <c:pt idx="180">
                  <c:v>208050.69501167792</c:v>
                </c:pt>
                <c:pt idx="181">
                  <c:v>208050.69501167792</c:v>
                </c:pt>
                <c:pt idx="182">
                  <c:v>208050.69501167792</c:v>
                </c:pt>
                <c:pt idx="183">
                  <c:v>208050.69501167792</c:v>
                </c:pt>
                <c:pt idx="184">
                  <c:v>208050.69501167792</c:v>
                </c:pt>
                <c:pt idx="185">
                  <c:v>208050.69501167792</c:v>
                </c:pt>
                <c:pt idx="186">
                  <c:v>208050.69501167792</c:v>
                </c:pt>
                <c:pt idx="187">
                  <c:v>208050.69501167792</c:v>
                </c:pt>
                <c:pt idx="188">
                  <c:v>208050.69501167792</c:v>
                </c:pt>
                <c:pt idx="189">
                  <c:v>208050.69501167792</c:v>
                </c:pt>
                <c:pt idx="190">
                  <c:v>208050.69501167792</c:v>
                </c:pt>
                <c:pt idx="191">
                  <c:v>208050.69501167792</c:v>
                </c:pt>
                <c:pt idx="192">
                  <c:v>208050.69501167792</c:v>
                </c:pt>
                <c:pt idx="193">
                  <c:v>208050.69501167792</c:v>
                </c:pt>
                <c:pt idx="194">
                  <c:v>208050.69501167792</c:v>
                </c:pt>
                <c:pt idx="195">
                  <c:v>208050.69501167792</c:v>
                </c:pt>
                <c:pt idx="196">
                  <c:v>208050.69501167792</c:v>
                </c:pt>
                <c:pt idx="197">
                  <c:v>208050.69501167792</c:v>
                </c:pt>
                <c:pt idx="198">
                  <c:v>208050.69501167792</c:v>
                </c:pt>
                <c:pt idx="199">
                  <c:v>208050.69501167792</c:v>
                </c:pt>
                <c:pt idx="200">
                  <c:v>208050.69501167792</c:v>
                </c:pt>
                <c:pt idx="201">
                  <c:v>208050.69501167792</c:v>
                </c:pt>
                <c:pt idx="202">
                  <c:v>208050.69501167792</c:v>
                </c:pt>
                <c:pt idx="203">
                  <c:v>208050.69501167792</c:v>
                </c:pt>
                <c:pt idx="204">
                  <c:v>208050.69501167792</c:v>
                </c:pt>
                <c:pt idx="205">
                  <c:v>208050.69501167792</c:v>
                </c:pt>
                <c:pt idx="206">
                  <c:v>208050.69501167792</c:v>
                </c:pt>
                <c:pt idx="207">
                  <c:v>208050.69501167792</c:v>
                </c:pt>
                <c:pt idx="208">
                  <c:v>208050.69501167792</c:v>
                </c:pt>
                <c:pt idx="209">
                  <c:v>208050.69501167792</c:v>
                </c:pt>
                <c:pt idx="210">
                  <c:v>208050.69501167792</c:v>
                </c:pt>
                <c:pt idx="211">
                  <c:v>208050.69501167792</c:v>
                </c:pt>
                <c:pt idx="212">
                  <c:v>208050.69501167792</c:v>
                </c:pt>
                <c:pt idx="213">
                  <c:v>208050.69501167792</c:v>
                </c:pt>
                <c:pt idx="214">
                  <c:v>208050.69501167792</c:v>
                </c:pt>
                <c:pt idx="215">
                  <c:v>208050.69501167792</c:v>
                </c:pt>
                <c:pt idx="216">
                  <c:v>208050.69501167792</c:v>
                </c:pt>
                <c:pt idx="217">
                  <c:v>208050.69501167792</c:v>
                </c:pt>
                <c:pt idx="218">
                  <c:v>208050.69501167792</c:v>
                </c:pt>
                <c:pt idx="219">
                  <c:v>208050.69501167792</c:v>
                </c:pt>
                <c:pt idx="220">
                  <c:v>208050.69501167792</c:v>
                </c:pt>
                <c:pt idx="221">
                  <c:v>208050.69501167792</c:v>
                </c:pt>
                <c:pt idx="222">
                  <c:v>208050.69501167792</c:v>
                </c:pt>
                <c:pt idx="223">
                  <c:v>208050.69501167792</c:v>
                </c:pt>
                <c:pt idx="224">
                  <c:v>208050.69501167792</c:v>
                </c:pt>
                <c:pt idx="225">
                  <c:v>208050.69501167792</c:v>
                </c:pt>
                <c:pt idx="226">
                  <c:v>208050.69501167792</c:v>
                </c:pt>
                <c:pt idx="227">
                  <c:v>208050.69501167792</c:v>
                </c:pt>
                <c:pt idx="228">
                  <c:v>208050.69501167792</c:v>
                </c:pt>
                <c:pt idx="229">
                  <c:v>208050.69501167792</c:v>
                </c:pt>
                <c:pt idx="230">
                  <c:v>208050.69501167792</c:v>
                </c:pt>
                <c:pt idx="231">
                  <c:v>208050.69501167792</c:v>
                </c:pt>
                <c:pt idx="232">
                  <c:v>208050.69501167792</c:v>
                </c:pt>
                <c:pt idx="233">
                  <c:v>208050.69501167792</c:v>
                </c:pt>
                <c:pt idx="234">
                  <c:v>208050.69501167792</c:v>
                </c:pt>
                <c:pt idx="235">
                  <c:v>208050.69501167792</c:v>
                </c:pt>
                <c:pt idx="236">
                  <c:v>208050.69501167792</c:v>
                </c:pt>
                <c:pt idx="237">
                  <c:v>208050.69501167792</c:v>
                </c:pt>
                <c:pt idx="238">
                  <c:v>208050.69501167792</c:v>
                </c:pt>
                <c:pt idx="239">
                  <c:v>208050.69501167792</c:v>
                </c:pt>
                <c:pt idx="240">
                  <c:v>208050.69501167792</c:v>
                </c:pt>
                <c:pt idx="241">
                  <c:v>208050.69501167792</c:v>
                </c:pt>
                <c:pt idx="242">
                  <c:v>208050.69501167792</c:v>
                </c:pt>
                <c:pt idx="243">
                  <c:v>208050.69501167792</c:v>
                </c:pt>
                <c:pt idx="244">
                  <c:v>208050.69501167792</c:v>
                </c:pt>
                <c:pt idx="245">
                  <c:v>208050.69501167792</c:v>
                </c:pt>
                <c:pt idx="246">
                  <c:v>208050.69501167792</c:v>
                </c:pt>
                <c:pt idx="247">
                  <c:v>208050.69501167792</c:v>
                </c:pt>
                <c:pt idx="248">
                  <c:v>208050.69501167792</c:v>
                </c:pt>
                <c:pt idx="249">
                  <c:v>208050.69501167792</c:v>
                </c:pt>
                <c:pt idx="250">
                  <c:v>208050.69501167792</c:v>
                </c:pt>
                <c:pt idx="251">
                  <c:v>208050.69501167792</c:v>
                </c:pt>
                <c:pt idx="252">
                  <c:v>208050.69501167792</c:v>
                </c:pt>
                <c:pt idx="253">
                  <c:v>208050.69501167792</c:v>
                </c:pt>
                <c:pt idx="254">
                  <c:v>208050.69501167792</c:v>
                </c:pt>
                <c:pt idx="255">
                  <c:v>208050.69501167792</c:v>
                </c:pt>
                <c:pt idx="256">
                  <c:v>208050.69501167792</c:v>
                </c:pt>
                <c:pt idx="257">
                  <c:v>208050.69501167792</c:v>
                </c:pt>
                <c:pt idx="258">
                  <c:v>208050.69501167792</c:v>
                </c:pt>
                <c:pt idx="259">
                  <c:v>208050.69501167792</c:v>
                </c:pt>
                <c:pt idx="260">
                  <c:v>208050.69501167792</c:v>
                </c:pt>
                <c:pt idx="261">
                  <c:v>208050.69501167792</c:v>
                </c:pt>
                <c:pt idx="262">
                  <c:v>208050.69501167792</c:v>
                </c:pt>
                <c:pt idx="263">
                  <c:v>208050.69501167792</c:v>
                </c:pt>
                <c:pt idx="264">
                  <c:v>208050.69501167792</c:v>
                </c:pt>
                <c:pt idx="265">
                  <c:v>208050.69501167792</c:v>
                </c:pt>
                <c:pt idx="266">
                  <c:v>208050.69501167792</c:v>
                </c:pt>
                <c:pt idx="267">
                  <c:v>208050.69501167792</c:v>
                </c:pt>
                <c:pt idx="268">
                  <c:v>208050.69501167792</c:v>
                </c:pt>
                <c:pt idx="269">
                  <c:v>208050.69501167792</c:v>
                </c:pt>
                <c:pt idx="270">
                  <c:v>208050.69501167792</c:v>
                </c:pt>
                <c:pt idx="271">
                  <c:v>208050.69501167792</c:v>
                </c:pt>
                <c:pt idx="272">
                  <c:v>208050.69501167792</c:v>
                </c:pt>
                <c:pt idx="273">
                  <c:v>208050.69501167792</c:v>
                </c:pt>
                <c:pt idx="274">
                  <c:v>208050.69501167792</c:v>
                </c:pt>
                <c:pt idx="275">
                  <c:v>208050.69501167792</c:v>
                </c:pt>
                <c:pt idx="276">
                  <c:v>208050.69501167792</c:v>
                </c:pt>
                <c:pt idx="277">
                  <c:v>208050.69501167792</c:v>
                </c:pt>
                <c:pt idx="278">
                  <c:v>208050.69501167792</c:v>
                </c:pt>
                <c:pt idx="279">
                  <c:v>208050.69501167792</c:v>
                </c:pt>
                <c:pt idx="280">
                  <c:v>208050.69501167792</c:v>
                </c:pt>
                <c:pt idx="281">
                  <c:v>208050.69501167792</c:v>
                </c:pt>
                <c:pt idx="282">
                  <c:v>208050.69501167792</c:v>
                </c:pt>
                <c:pt idx="283">
                  <c:v>208050.69501167792</c:v>
                </c:pt>
                <c:pt idx="284">
                  <c:v>208050.69501167792</c:v>
                </c:pt>
                <c:pt idx="285">
                  <c:v>208050.69501167792</c:v>
                </c:pt>
                <c:pt idx="286">
                  <c:v>208050.69501167792</c:v>
                </c:pt>
                <c:pt idx="287">
                  <c:v>208050.69501167792</c:v>
                </c:pt>
                <c:pt idx="288">
                  <c:v>208050.69501167792</c:v>
                </c:pt>
                <c:pt idx="289">
                  <c:v>208050.69501167792</c:v>
                </c:pt>
                <c:pt idx="290">
                  <c:v>208050.69501167792</c:v>
                </c:pt>
                <c:pt idx="291">
                  <c:v>208050.69501167792</c:v>
                </c:pt>
                <c:pt idx="292">
                  <c:v>208050.69501167792</c:v>
                </c:pt>
                <c:pt idx="293">
                  <c:v>208050.69501167792</c:v>
                </c:pt>
                <c:pt idx="294">
                  <c:v>208050.69501167792</c:v>
                </c:pt>
                <c:pt idx="295">
                  <c:v>208050.69501167792</c:v>
                </c:pt>
                <c:pt idx="296">
                  <c:v>208050.69501167792</c:v>
                </c:pt>
                <c:pt idx="297">
                  <c:v>208050.69501167792</c:v>
                </c:pt>
                <c:pt idx="298">
                  <c:v>208050.69501167792</c:v>
                </c:pt>
                <c:pt idx="299">
                  <c:v>208050.69501167792</c:v>
                </c:pt>
                <c:pt idx="300">
                  <c:v>208050.69501167792</c:v>
                </c:pt>
                <c:pt idx="301">
                  <c:v>208050.69501167792</c:v>
                </c:pt>
                <c:pt idx="302">
                  <c:v>208050.69501167792</c:v>
                </c:pt>
                <c:pt idx="303">
                  <c:v>208050.69501167792</c:v>
                </c:pt>
                <c:pt idx="304">
                  <c:v>208050.69501167792</c:v>
                </c:pt>
                <c:pt idx="305">
                  <c:v>208050.69501167792</c:v>
                </c:pt>
                <c:pt idx="306">
                  <c:v>208050.69501167792</c:v>
                </c:pt>
                <c:pt idx="307">
                  <c:v>208050.69501167792</c:v>
                </c:pt>
                <c:pt idx="308">
                  <c:v>208050.69501167792</c:v>
                </c:pt>
                <c:pt idx="309">
                  <c:v>208050.69501167792</c:v>
                </c:pt>
                <c:pt idx="310">
                  <c:v>208050.69501167792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552890.98816430825</c:v>
                </c:pt>
                <c:pt idx="37">
                  <c:v>552890.98816430825</c:v>
                </c:pt>
                <c:pt idx="38">
                  <c:v>552890.98816430825</c:v>
                </c:pt>
                <c:pt idx="39">
                  <c:v>552890.98816430825</c:v>
                </c:pt>
                <c:pt idx="40">
                  <c:v>601907.34898914699</c:v>
                </c:pt>
                <c:pt idx="41">
                  <c:v>601907.34898914699</c:v>
                </c:pt>
                <c:pt idx="42">
                  <c:v>601907.34898914699</c:v>
                </c:pt>
                <c:pt idx="43">
                  <c:v>601907.34898914699</c:v>
                </c:pt>
                <c:pt idx="44">
                  <c:v>690094.26813338301</c:v>
                </c:pt>
                <c:pt idx="45">
                  <c:v>690094.26813338301</c:v>
                </c:pt>
                <c:pt idx="46">
                  <c:v>690094.26813338301</c:v>
                </c:pt>
                <c:pt idx="47">
                  <c:v>690094.26813338301</c:v>
                </c:pt>
                <c:pt idx="48">
                  <c:v>690094.26813338301</c:v>
                </c:pt>
                <c:pt idx="49">
                  <c:v>752875.8328112982</c:v>
                </c:pt>
                <c:pt idx="50">
                  <c:v>752875.8328112982</c:v>
                </c:pt>
                <c:pt idx="51">
                  <c:v>752875.8328112982</c:v>
                </c:pt>
                <c:pt idx="52">
                  <c:v>752875.8328112982</c:v>
                </c:pt>
                <c:pt idx="53">
                  <c:v>766465.6053134813</c:v>
                </c:pt>
                <c:pt idx="54">
                  <c:v>766465.6053134813</c:v>
                </c:pt>
                <c:pt idx="55">
                  <c:v>766465.6053134813</c:v>
                </c:pt>
                <c:pt idx="56">
                  <c:v>766465.6053134813</c:v>
                </c:pt>
                <c:pt idx="57">
                  <c:v>826426.84589198045</c:v>
                </c:pt>
                <c:pt idx="58">
                  <c:v>826426.84589198045</c:v>
                </c:pt>
                <c:pt idx="59">
                  <c:v>826426.84589198045</c:v>
                </c:pt>
                <c:pt idx="60">
                  <c:v>826426.84589198045</c:v>
                </c:pt>
                <c:pt idx="61">
                  <c:v>826426.84589198045</c:v>
                </c:pt>
                <c:pt idx="62">
                  <c:v>826426.84589198045</c:v>
                </c:pt>
                <c:pt idx="63">
                  <c:v>826426.84589198045</c:v>
                </c:pt>
                <c:pt idx="64">
                  <c:v>826426.84589198045</c:v>
                </c:pt>
                <c:pt idx="65">
                  <c:v>826426.84589198045</c:v>
                </c:pt>
                <c:pt idx="66">
                  <c:v>826426.84589198045</c:v>
                </c:pt>
                <c:pt idx="67">
                  <c:v>826426.84589198045</c:v>
                </c:pt>
                <c:pt idx="68">
                  <c:v>826426.84589198045</c:v>
                </c:pt>
                <c:pt idx="69">
                  <c:v>826426.84589198045</c:v>
                </c:pt>
                <c:pt idx="70">
                  <c:v>826426.84589198045</c:v>
                </c:pt>
                <c:pt idx="71">
                  <c:v>826426.84589198045</c:v>
                </c:pt>
                <c:pt idx="72">
                  <c:v>826426.84589198045</c:v>
                </c:pt>
                <c:pt idx="73">
                  <c:v>826426.84589198045</c:v>
                </c:pt>
                <c:pt idx="74">
                  <c:v>826426.84589198045</c:v>
                </c:pt>
                <c:pt idx="75">
                  <c:v>826426.84589198045</c:v>
                </c:pt>
                <c:pt idx="76">
                  <c:v>826426.84589198045</c:v>
                </c:pt>
                <c:pt idx="77">
                  <c:v>826426.84589198045</c:v>
                </c:pt>
                <c:pt idx="78">
                  <c:v>826426.84589198045</c:v>
                </c:pt>
                <c:pt idx="79">
                  <c:v>826426.84589198045</c:v>
                </c:pt>
                <c:pt idx="80">
                  <c:v>826426.84589198045</c:v>
                </c:pt>
                <c:pt idx="81">
                  <c:v>826426.84589198045</c:v>
                </c:pt>
                <c:pt idx="82">
                  <c:v>826426.84589198045</c:v>
                </c:pt>
                <c:pt idx="83">
                  <c:v>826426.84589198045</c:v>
                </c:pt>
                <c:pt idx="84">
                  <c:v>826426.84589198045</c:v>
                </c:pt>
                <c:pt idx="85">
                  <c:v>826426.84589198045</c:v>
                </c:pt>
                <c:pt idx="86">
                  <c:v>826426.84589198045</c:v>
                </c:pt>
                <c:pt idx="87">
                  <c:v>826426.84589198045</c:v>
                </c:pt>
                <c:pt idx="88">
                  <c:v>826426.84589198045</c:v>
                </c:pt>
                <c:pt idx="89">
                  <c:v>826426.84589198045</c:v>
                </c:pt>
                <c:pt idx="90">
                  <c:v>826426.84589198045</c:v>
                </c:pt>
                <c:pt idx="91">
                  <c:v>826426.84589198045</c:v>
                </c:pt>
                <c:pt idx="92">
                  <c:v>826426.84589198045</c:v>
                </c:pt>
                <c:pt idx="93">
                  <c:v>826426.84589198045</c:v>
                </c:pt>
                <c:pt idx="94">
                  <c:v>826426.84589198045</c:v>
                </c:pt>
                <c:pt idx="95">
                  <c:v>826426.84589198045</c:v>
                </c:pt>
                <c:pt idx="96">
                  <c:v>826426.84589198045</c:v>
                </c:pt>
                <c:pt idx="97">
                  <c:v>826426.84589198045</c:v>
                </c:pt>
                <c:pt idx="98">
                  <c:v>826426.84589198045</c:v>
                </c:pt>
                <c:pt idx="99">
                  <c:v>826426.84589198045</c:v>
                </c:pt>
                <c:pt idx="100">
                  <c:v>826426.84589198045</c:v>
                </c:pt>
                <c:pt idx="101">
                  <c:v>826426.84589198045</c:v>
                </c:pt>
                <c:pt idx="102">
                  <c:v>826426.84589198045</c:v>
                </c:pt>
                <c:pt idx="103">
                  <c:v>826426.84589198045</c:v>
                </c:pt>
                <c:pt idx="104">
                  <c:v>826426.84589198045</c:v>
                </c:pt>
                <c:pt idx="105">
                  <c:v>826426.84589198045</c:v>
                </c:pt>
                <c:pt idx="106">
                  <c:v>826426.84589198045</c:v>
                </c:pt>
                <c:pt idx="107">
                  <c:v>826426.84589198045</c:v>
                </c:pt>
                <c:pt idx="108">
                  <c:v>826426.84589198045</c:v>
                </c:pt>
                <c:pt idx="109">
                  <c:v>826426.84589198045</c:v>
                </c:pt>
                <c:pt idx="110">
                  <c:v>826426.84589198045</c:v>
                </c:pt>
                <c:pt idx="111">
                  <c:v>826426.84589198045</c:v>
                </c:pt>
                <c:pt idx="112">
                  <c:v>826426.84589198045</c:v>
                </c:pt>
                <c:pt idx="113">
                  <c:v>826426.84589198045</c:v>
                </c:pt>
                <c:pt idx="114">
                  <c:v>826426.84589198045</c:v>
                </c:pt>
                <c:pt idx="115">
                  <c:v>826426.84589198045</c:v>
                </c:pt>
                <c:pt idx="116">
                  <c:v>826426.84589198045</c:v>
                </c:pt>
                <c:pt idx="117">
                  <c:v>826426.84589198045</c:v>
                </c:pt>
                <c:pt idx="118">
                  <c:v>826426.84589198045</c:v>
                </c:pt>
                <c:pt idx="119">
                  <c:v>826426.84589198045</c:v>
                </c:pt>
                <c:pt idx="120">
                  <c:v>826426.84589198045</c:v>
                </c:pt>
                <c:pt idx="121">
                  <c:v>826426.84589198045</c:v>
                </c:pt>
                <c:pt idx="122">
                  <c:v>826426.84589198045</c:v>
                </c:pt>
                <c:pt idx="123">
                  <c:v>826426.84589198045</c:v>
                </c:pt>
                <c:pt idx="124">
                  <c:v>826426.84589198045</c:v>
                </c:pt>
                <c:pt idx="125">
                  <c:v>826426.84589198045</c:v>
                </c:pt>
                <c:pt idx="126">
                  <c:v>826426.84589198045</c:v>
                </c:pt>
                <c:pt idx="127">
                  <c:v>826426.84589198045</c:v>
                </c:pt>
                <c:pt idx="128">
                  <c:v>826426.84589198045</c:v>
                </c:pt>
                <c:pt idx="129">
                  <c:v>826426.84589198045</c:v>
                </c:pt>
                <c:pt idx="130">
                  <c:v>826426.84589198045</c:v>
                </c:pt>
                <c:pt idx="131">
                  <c:v>826426.84589198045</c:v>
                </c:pt>
                <c:pt idx="132">
                  <c:v>826426.84589198045</c:v>
                </c:pt>
                <c:pt idx="133">
                  <c:v>826426.84589198045</c:v>
                </c:pt>
                <c:pt idx="134">
                  <c:v>826426.84589198045</c:v>
                </c:pt>
                <c:pt idx="135">
                  <c:v>826426.84589198045</c:v>
                </c:pt>
                <c:pt idx="136">
                  <c:v>826426.84589198045</c:v>
                </c:pt>
                <c:pt idx="137">
                  <c:v>826426.84589198045</c:v>
                </c:pt>
                <c:pt idx="138">
                  <c:v>826426.84589198045</c:v>
                </c:pt>
                <c:pt idx="139">
                  <c:v>826426.84589198045</c:v>
                </c:pt>
                <c:pt idx="140">
                  <c:v>826426.84589198045</c:v>
                </c:pt>
                <c:pt idx="141">
                  <c:v>826426.84589198045</c:v>
                </c:pt>
                <c:pt idx="142">
                  <c:v>826426.84589198045</c:v>
                </c:pt>
                <c:pt idx="143">
                  <c:v>826426.84589198045</c:v>
                </c:pt>
                <c:pt idx="144">
                  <c:v>826426.84589198045</c:v>
                </c:pt>
                <c:pt idx="145">
                  <c:v>826426.84589198045</c:v>
                </c:pt>
                <c:pt idx="146">
                  <c:v>826426.84589198045</c:v>
                </c:pt>
                <c:pt idx="147">
                  <c:v>826426.84589198045</c:v>
                </c:pt>
                <c:pt idx="148">
                  <c:v>826426.84589198045</c:v>
                </c:pt>
                <c:pt idx="149">
                  <c:v>826426.84589198045</c:v>
                </c:pt>
                <c:pt idx="150">
                  <c:v>826426.84589198045</c:v>
                </c:pt>
                <c:pt idx="151">
                  <c:v>826426.84589198045</c:v>
                </c:pt>
                <c:pt idx="152">
                  <c:v>826426.84589198045</c:v>
                </c:pt>
                <c:pt idx="153">
                  <c:v>826426.84589198045</c:v>
                </c:pt>
                <c:pt idx="154">
                  <c:v>826426.84589198045</c:v>
                </c:pt>
                <c:pt idx="155">
                  <c:v>826426.84589198045</c:v>
                </c:pt>
                <c:pt idx="156">
                  <c:v>826426.84589198045</c:v>
                </c:pt>
                <c:pt idx="157">
                  <c:v>826426.84589198045</c:v>
                </c:pt>
                <c:pt idx="158">
                  <c:v>826426.84589198045</c:v>
                </c:pt>
                <c:pt idx="159">
                  <c:v>826426.84589198045</c:v>
                </c:pt>
                <c:pt idx="160">
                  <c:v>826426.84589198045</c:v>
                </c:pt>
                <c:pt idx="161">
                  <c:v>826426.84589198045</c:v>
                </c:pt>
                <c:pt idx="162">
                  <c:v>826426.84589198045</c:v>
                </c:pt>
                <c:pt idx="163">
                  <c:v>826426.84589198045</c:v>
                </c:pt>
                <c:pt idx="164">
                  <c:v>826426.84589198045</c:v>
                </c:pt>
                <c:pt idx="165">
                  <c:v>826426.84589198045</c:v>
                </c:pt>
                <c:pt idx="166">
                  <c:v>826426.84589198045</c:v>
                </c:pt>
                <c:pt idx="167">
                  <c:v>826426.84589198045</c:v>
                </c:pt>
                <c:pt idx="168">
                  <c:v>826426.84589198045</c:v>
                </c:pt>
                <c:pt idx="169">
                  <c:v>826426.84589198045</c:v>
                </c:pt>
                <c:pt idx="170">
                  <c:v>826426.84589198045</c:v>
                </c:pt>
                <c:pt idx="171">
                  <c:v>826426.84589198045</c:v>
                </c:pt>
                <c:pt idx="172">
                  <c:v>826426.84589198045</c:v>
                </c:pt>
                <c:pt idx="173">
                  <c:v>826426.84589198045</c:v>
                </c:pt>
                <c:pt idx="174">
                  <c:v>826426.84589198045</c:v>
                </c:pt>
                <c:pt idx="175">
                  <c:v>826426.84589198045</c:v>
                </c:pt>
                <c:pt idx="176">
                  <c:v>826426.84589198045</c:v>
                </c:pt>
                <c:pt idx="177">
                  <c:v>826426.84589198045</c:v>
                </c:pt>
                <c:pt idx="178">
                  <c:v>826426.84589198045</c:v>
                </c:pt>
                <c:pt idx="179">
                  <c:v>826426.84589198045</c:v>
                </c:pt>
                <c:pt idx="180">
                  <c:v>826426.84589198045</c:v>
                </c:pt>
                <c:pt idx="181">
                  <c:v>826426.84589198045</c:v>
                </c:pt>
                <c:pt idx="182">
                  <c:v>826426.84589198045</c:v>
                </c:pt>
                <c:pt idx="183">
                  <c:v>826426.84589198045</c:v>
                </c:pt>
                <c:pt idx="184">
                  <c:v>826426.84589198045</c:v>
                </c:pt>
                <c:pt idx="185">
                  <c:v>826426.84589198045</c:v>
                </c:pt>
                <c:pt idx="186">
                  <c:v>826426.84589198045</c:v>
                </c:pt>
                <c:pt idx="187">
                  <c:v>826426.84589198045</c:v>
                </c:pt>
                <c:pt idx="188">
                  <c:v>826426.84589198045</c:v>
                </c:pt>
                <c:pt idx="189">
                  <c:v>826426.84589198045</c:v>
                </c:pt>
                <c:pt idx="190">
                  <c:v>826426.84589198045</c:v>
                </c:pt>
                <c:pt idx="191">
                  <c:v>826426.84589198045</c:v>
                </c:pt>
                <c:pt idx="192">
                  <c:v>826426.84589198045</c:v>
                </c:pt>
                <c:pt idx="193">
                  <c:v>826426.84589198045</c:v>
                </c:pt>
                <c:pt idx="194">
                  <c:v>826426.84589198045</c:v>
                </c:pt>
                <c:pt idx="195">
                  <c:v>826426.84589198045</c:v>
                </c:pt>
                <c:pt idx="196">
                  <c:v>826426.84589198045</c:v>
                </c:pt>
                <c:pt idx="197">
                  <c:v>826426.84589198045</c:v>
                </c:pt>
                <c:pt idx="198">
                  <c:v>826426.84589198045</c:v>
                </c:pt>
                <c:pt idx="199">
                  <c:v>826426.84589198045</c:v>
                </c:pt>
                <c:pt idx="200">
                  <c:v>826426.84589198045</c:v>
                </c:pt>
                <c:pt idx="201">
                  <c:v>826426.84589198045</c:v>
                </c:pt>
                <c:pt idx="202">
                  <c:v>826426.84589198045</c:v>
                </c:pt>
                <c:pt idx="203">
                  <c:v>826426.84589198045</c:v>
                </c:pt>
                <c:pt idx="204">
                  <c:v>826426.84589198045</c:v>
                </c:pt>
                <c:pt idx="205">
                  <c:v>826426.84589198045</c:v>
                </c:pt>
                <c:pt idx="206">
                  <c:v>826426.84589198045</c:v>
                </c:pt>
                <c:pt idx="207">
                  <c:v>826426.84589198045</c:v>
                </c:pt>
                <c:pt idx="208">
                  <c:v>826426.84589198045</c:v>
                </c:pt>
                <c:pt idx="209">
                  <c:v>826426.84589198045</c:v>
                </c:pt>
                <c:pt idx="210">
                  <c:v>826426.84589198045</c:v>
                </c:pt>
                <c:pt idx="211">
                  <c:v>826426.84589198045</c:v>
                </c:pt>
                <c:pt idx="212">
                  <c:v>826426.84589198045</c:v>
                </c:pt>
                <c:pt idx="213">
                  <c:v>826426.84589198045</c:v>
                </c:pt>
                <c:pt idx="214">
                  <c:v>826426.84589198045</c:v>
                </c:pt>
                <c:pt idx="215">
                  <c:v>826426.84589198045</c:v>
                </c:pt>
                <c:pt idx="216">
                  <c:v>826426.84589198045</c:v>
                </c:pt>
                <c:pt idx="217">
                  <c:v>826426.84589198045</c:v>
                </c:pt>
                <c:pt idx="218">
                  <c:v>826426.84589198045</c:v>
                </c:pt>
                <c:pt idx="219">
                  <c:v>826426.84589198045</c:v>
                </c:pt>
                <c:pt idx="220">
                  <c:v>826426.84589198045</c:v>
                </c:pt>
                <c:pt idx="221">
                  <c:v>826426.84589198045</c:v>
                </c:pt>
                <c:pt idx="222">
                  <c:v>826426.84589198045</c:v>
                </c:pt>
                <c:pt idx="223">
                  <c:v>826426.84589198045</c:v>
                </c:pt>
                <c:pt idx="224">
                  <c:v>826426.84589198045</c:v>
                </c:pt>
                <c:pt idx="225">
                  <c:v>826426.84589198045</c:v>
                </c:pt>
                <c:pt idx="226">
                  <c:v>826426.84589198045</c:v>
                </c:pt>
                <c:pt idx="227">
                  <c:v>826426.84589198045</c:v>
                </c:pt>
                <c:pt idx="228">
                  <c:v>826426.84589198045</c:v>
                </c:pt>
                <c:pt idx="229">
                  <c:v>826426.84589198045</c:v>
                </c:pt>
                <c:pt idx="230">
                  <c:v>826426.84589198045</c:v>
                </c:pt>
                <c:pt idx="231">
                  <c:v>826426.84589198045</c:v>
                </c:pt>
                <c:pt idx="232">
                  <c:v>826426.84589198045</c:v>
                </c:pt>
                <c:pt idx="233">
                  <c:v>826426.84589198045</c:v>
                </c:pt>
                <c:pt idx="234">
                  <c:v>826426.84589198045</c:v>
                </c:pt>
                <c:pt idx="235">
                  <c:v>826426.84589198045</c:v>
                </c:pt>
                <c:pt idx="236">
                  <c:v>826426.84589198045</c:v>
                </c:pt>
                <c:pt idx="237">
                  <c:v>826426.84589198045</c:v>
                </c:pt>
                <c:pt idx="238">
                  <c:v>826426.84589198045</c:v>
                </c:pt>
                <c:pt idx="239">
                  <c:v>826426.84589198045</c:v>
                </c:pt>
                <c:pt idx="240">
                  <c:v>826426.84589198045</c:v>
                </c:pt>
                <c:pt idx="241">
                  <c:v>826426.84589198045</c:v>
                </c:pt>
                <c:pt idx="242">
                  <c:v>826426.84589198045</c:v>
                </c:pt>
                <c:pt idx="243">
                  <c:v>826426.84589198045</c:v>
                </c:pt>
                <c:pt idx="244">
                  <c:v>826426.84589198045</c:v>
                </c:pt>
                <c:pt idx="245">
                  <c:v>826426.84589198045</c:v>
                </c:pt>
                <c:pt idx="246">
                  <c:v>826426.84589198045</c:v>
                </c:pt>
                <c:pt idx="247">
                  <c:v>826426.84589198045</c:v>
                </c:pt>
                <c:pt idx="248">
                  <c:v>826426.84589198045</c:v>
                </c:pt>
                <c:pt idx="249">
                  <c:v>826426.84589198045</c:v>
                </c:pt>
                <c:pt idx="250">
                  <c:v>826426.84589198045</c:v>
                </c:pt>
                <c:pt idx="251">
                  <c:v>826426.84589198045</c:v>
                </c:pt>
                <c:pt idx="252">
                  <c:v>826426.84589198045</c:v>
                </c:pt>
                <c:pt idx="253">
                  <c:v>826426.84589198045</c:v>
                </c:pt>
                <c:pt idx="254">
                  <c:v>826426.84589198045</c:v>
                </c:pt>
                <c:pt idx="255">
                  <c:v>826426.84589198045</c:v>
                </c:pt>
                <c:pt idx="256">
                  <c:v>826426.84589198045</c:v>
                </c:pt>
                <c:pt idx="257">
                  <c:v>826426.84589198045</c:v>
                </c:pt>
                <c:pt idx="258">
                  <c:v>826426.84589198045</c:v>
                </c:pt>
                <c:pt idx="259">
                  <c:v>826426.84589198045</c:v>
                </c:pt>
                <c:pt idx="260">
                  <c:v>826426.84589198045</c:v>
                </c:pt>
                <c:pt idx="261">
                  <c:v>826426.84589198045</c:v>
                </c:pt>
                <c:pt idx="262">
                  <c:v>826426.84589198045</c:v>
                </c:pt>
                <c:pt idx="263">
                  <c:v>826426.84589198045</c:v>
                </c:pt>
                <c:pt idx="264">
                  <c:v>826426.84589198045</c:v>
                </c:pt>
                <c:pt idx="265">
                  <c:v>826426.84589198045</c:v>
                </c:pt>
                <c:pt idx="266">
                  <c:v>826426.84589198045</c:v>
                </c:pt>
                <c:pt idx="267">
                  <c:v>826426.84589198045</c:v>
                </c:pt>
                <c:pt idx="268">
                  <c:v>826426.84589198045</c:v>
                </c:pt>
                <c:pt idx="269">
                  <c:v>826426.84589198045</c:v>
                </c:pt>
                <c:pt idx="270">
                  <c:v>826426.84589198045</c:v>
                </c:pt>
                <c:pt idx="271">
                  <c:v>826426.84589198045</c:v>
                </c:pt>
                <c:pt idx="272">
                  <c:v>826426.84589198045</c:v>
                </c:pt>
                <c:pt idx="273">
                  <c:v>826426.84589198045</c:v>
                </c:pt>
                <c:pt idx="274">
                  <c:v>826426.84589198045</c:v>
                </c:pt>
                <c:pt idx="275">
                  <c:v>826426.84589198045</c:v>
                </c:pt>
                <c:pt idx="276">
                  <c:v>826426.84589198045</c:v>
                </c:pt>
                <c:pt idx="277">
                  <c:v>826426.84589198045</c:v>
                </c:pt>
                <c:pt idx="278">
                  <c:v>826426.84589198045</c:v>
                </c:pt>
                <c:pt idx="279">
                  <c:v>826426.84589198045</c:v>
                </c:pt>
                <c:pt idx="280">
                  <c:v>826426.84589198045</c:v>
                </c:pt>
                <c:pt idx="281">
                  <c:v>826426.84589198045</c:v>
                </c:pt>
                <c:pt idx="282">
                  <c:v>826426.84589198045</c:v>
                </c:pt>
                <c:pt idx="283">
                  <c:v>826426.84589198045</c:v>
                </c:pt>
                <c:pt idx="284">
                  <c:v>826426.84589198045</c:v>
                </c:pt>
                <c:pt idx="285">
                  <c:v>826426.84589198045</c:v>
                </c:pt>
                <c:pt idx="286">
                  <c:v>826426.84589198045</c:v>
                </c:pt>
                <c:pt idx="287">
                  <c:v>826426.84589198045</c:v>
                </c:pt>
                <c:pt idx="288">
                  <c:v>826426.84589198045</c:v>
                </c:pt>
                <c:pt idx="289">
                  <c:v>826426.84589198045</c:v>
                </c:pt>
                <c:pt idx="290">
                  <c:v>826426.84589198045</c:v>
                </c:pt>
                <c:pt idx="291">
                  <c:v>826426.84589198045</c:v>
                </c:pt>
                <c:pt idx="292">
                  <c:v>826426.84589198045</c:v>
                </c:pt>
                <c:pt idx="293">
                  <c:v>826426.84589198045</c:v>
                </c:pt>
                <c:pt idx="294">
                  <c:v>826426.84589198045</c:v>
                </c:pt>
                <c:pt idx="295">
                  <c:v>826426.84589198045</c:v>
                </c:pt>
                <c:pt idx="296">
                  <c:v>826426.84589198045</c:v>
                </c:pt>
                <c:pt idx="297">
                  <c:v>826426.84589198045</c:v>
                </c:pt>
                <c:pt idx="298">
                  <c:v>826426.84589198045</c:v>
                </c:pt>
                <c:pt idx="299">
                  <c:v>826426.84589198045</c:v>
                </c:pt>
                <c:pt idx="300">
                  <c:v>826426.84589198045</c:v>
                </c:pt>
                <c:pt idx="301">
                  <c:v>826426.84589198045</c:v>
                </c:pt>
                <c:pt idx="302">
                  <c:v>826426.84589198045</c:v>
                </c:pt>
                <c:pt idx="303">
                  <c:v>826426.84589198045</c:v>
                </c:pt>
                <c:pt idx="304">
                  <c:v>826426.84589198045</c:v>
                </c:pt>
                <c:pt idx="305">
                  <c:v>826426.84589198045</c:v>
                </c:pt>
                <c:pt idx="306">
                  <c:v>826426.84589198045</c:v>
                </c:pt>
                <c:pt idx="307">
                  <c:v>826426.84589198045</c:v>
                </c:pt>
                <c:pt idx="308">
                  <c:v>826426.84589198045</c:v>
                </c:pt>
                <c:pt idx="309">
                  <c:v>826426.84589198045</c:v>
                </c:pt>
                <c:pt idx="310">
                  <c:v>826426.84589198045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305782407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4">
        <m/>
        <d v="2025-09-30T00:00:00"/>
        <s v=""/>
        <d v="2025-08-31T00:00:00"/>
        <d v="2025-10-31T00:00:00"/>
        <d v="2025-11-30T00:00:00"/>
        <d v="2025-12-31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2-2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1-22T00:00:00"/>
    <m/>
  </r>
  <r>
    <n v="4"/>
    <x v="4"/>
    <s v="Site De-establisment"/>
    <m/>
    <n v="0.1"/>
    <n v="4199"/>
    <m/>
    <s v="Matthews Group - INV-1573"/>
    <x v="6"/>
    <n v="4623.5706128327474"/>
    <m/>
    <d v="2026-01-28T00:00:00"/>
    <m/>
  </r>
  <r>
    <n v="4"/>
    <x v="4"/>
    <s v="Handover Document Complete"/>
    <m/>
    <n v="0.05"/>
    <n v="2099.5"/>
    <m/>
    <s v="Matthews Group - INV-1574"/>
    <x v="6"/>
    <n v="2311.7853064163737"/>
    <m/>
    <d v="2026-01-28T00:00:00"/>
    <m/>
  </r>
  <r>
    <n v="4"/>
    <x v="4"/>
    <s v="End of Defects Period"/>
    <m/>
    <n v="0.05"/>
    <n v="2099.5"/>
    <m/>
    <s v="Matthews Group - INV-1575"/>
    <x v="6"/>
    <n v="2311.7853064163737"/>
    <m/>
    <d v="2026-02-2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1-22T00:00:00"/>
    <m/>
  </r>
  <r>
    <n v="6"/>
    <x v="6"/>
    <s v="Site De-establisment"/>
    <m/>
    <n v="0.1"/>
    <n v="2583.6000000000004"/>
    <m/>
    <s v="Matthews Group - INV-1573"/>
    <x v="6"/>
    <n v="5195.7168660597981"/>
    <m/>
    <d v="2026-01-28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1-28T00:00:00"/>
    <m/>
  </r>
  <r>
    <n v="6"/>
    <x v="6"/>
    <s v="End of Defects Period"/>
    <m/>
    <n v="0.05"/>
    <n v="1291.8000000000002"/>
    <m/>
    <s v="Matthews Group - INV-1575"/>
    <x v="6"/>
    <n v="2597.8584330298991"/>
    <m/>
    <d v="2026-02-2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2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6"/>
    <n v="5364.7058823529414"/>
    <m/>
    <d v="2026-01-22T00:00:00"/>
    <m/>
  </r>
  <r>
    <n v="9"/>
    <x v="9"/>
    <s v="Site De-establisment"/>
    <m/>
    <n v="0.1"/>
    <n v="8873.2000000000007"/>
    <m/>
    <s v="Matthews Group - INV-1573"/>
    <x v="6"/>
    <n v="5364.7058823529414"/>
    <m/>
    <d v="2026-01-28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1-28T00:00:00"/>
    <m/>
  </r>
  <r>
    <n v="9"/>
    <x v="9"/>
    <s v="End of Defects Period"/>
    <m/>
    <n v="0.05"/>
    <n v="4436.6000000000004"/>
    <m/>
    <s v="Matthews Group - INV-1575"/>
    <x v="6"/>
    <n v="2682.3529411764707"/>
    <m/>
    <d v="2026-02-2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1-15T00:00:00"/>
    <m/>
  </r>
  <r>
    <n v="10"/>
    <x v="10"/>
    <s v="Site De-establisment"/>
    <m/>
    <n v="0.1"/>
    <n v="3556.8"/>
    <m/>
    <s v="Matthews Group - INV-1573"/>
    <x v="6"/>
    <n v="4412.7647058823532"/>
    <m/>
    <d v="2026-01-28T00:00:00"/>
    <m/>
  </r>
  <r>
    <n v="10"/>
    <x v="10"/>
    <s v="Handover Document Complete"/>
    <m/>
    <n v="0.05"/>
    <n v="1778.4"/>
    <m/>
    <s v="Matthews Group - INV-1574"/>
    <x v="6"/>
    <n v="2206.3823529411766"/>
    <m/>
    <d v="2026-01-28T00:00:00"/>
    <m/>
  </r>
  <r>
    <n v="10"/>
    <x v="10"/>
    <s v="End of Defects Period"/>
    <m/>
    <n v="0.05"/>
    <n v="1778.4"/>
    <m/>
    <s v="Matthews Group - INV-1575"/>
    <x v="6"/>
    <n v="2206.3823529411766"/>
    <m/>
    <d v="2026-02-2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7"/>
    <n v="13185.192502183059"/>
    <n v="-2.9208012492745183E-3"/>
    <d v="2026-01-29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1-30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500"/>
    <m/>
    <m/>
    <x v="7"/>
    <n v="404.58"/>
    <m/>
    <d v="2026-02-06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1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2"/>
        <item m="1" x="11"/>
        <item m="1" x="9"/>
        <item m="1" x="8"/>
        <item x="3"/>
        <item x="1"/>
        <item x="4"/>
        <item x="5"/>
        <item x="6"/>
        <item x="2"/>
        <item m="1" x="13"/>
        <item m="1" x="10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2"/>
        <item m="1" x="11"/>
        <item m="1" x="9"/>
        <item m="1" x="8"/>
        <item x="3"/>
        <item x="1"/>
        <item x="4"/>
        <item x="5"/>
        <item x="6"/>
        <item x="2"/>
        <item m="1" x="13"/>
        <item m="1" x="10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1093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4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B32" zoomScale="115" zoomScaleNormal="115" workbookViewId="0">
      <selection activeCell="F7" sqref="F7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1093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1093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46055</v>
      </c>
      <c r="P1" s="408">
        <f ca="1">TODAY()</f>
        <v>46055</v>
      </c>
      <c r="R1" s="3"/>
    </row>
    <row r="2" spans="2:29">
      <c r="B2" s="176"/>
      <c r="C2" s="177" t="s">
        <v>0</v>
      </c>
      <c r="D2" s="178"/>
      <c r="E2" s="735" t="s">
        <v>73</v>
      </c>
      <c r="F2" s="736"/>
      <c r="G2" s="736"/>
      <c r="H2" s="737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8" t="s">
        <v>76</v>
      </c>
      <c r="F4" s="739"/>
      <c r="G4" s="739"/>
      <c r="H4" s="740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8" t="s">
        <v>79</v>
      </c>
      <c r="F5" s="739"/>
      <c r="G5" s="739"/>
      <c r="H5" s="740"/>
      <c r="J5" s="113"/>
      <c r="R5" s="3"/>
    </row>
    <row r="6" spans="2:29">
      <c r="B6" s="184"/>
      <c r="C6" s="185" t="s">
        <v>80</v>
      </c>
      <c r="D6" s="178"/>
      <c r="E6" s="741">
        <v>828367.24558144598</v>
      </c>
      <c r="F6" s="742"/>
      <c r="G6" s="742"/>
      <c r="H6" s="743"/>
    </row>
    <row r="7" spans="2:29" s="112" customFormat="1" ht="20.25" customHeight="1">
      <c r="B7" s="167"/>
      <c r="C7" s="722" t="s">
        <v>81</v>
      </c>
      <c r="D7" s="721"/>
      <c r="E7" s="720" t="s">
        <v>54</v>
      </c>
      <c r="F7" s="168"/>
      <c r="G7" s="186"/>
      <c r="J7" s="113"/>
      <c r="R7" s="3"/>
    </row>
    <row r="8" spans="2:29" ht="30" customHeight="1">
      <c r="B8" s="732" t="s">
        <v>82</v>
      </c>
      <c r="C8" s="733" t="s">
        <v>83</v>
      </c>
      <c r="D8" s="215"/>
      <c r="E8" s="734" t="s">
        <v>84</v>
      </c>
      <c r="F8" s="237" t="s">
        <v>85</v>
      </c>
      <c r="G8" s="734" t="s">
        <v>86</v>
      </c>
      <c r="H8" s="238"/>
      <c r="I8" s="734" t="s">
        <v>87</v>
      </c>
      <c r="J8" s="237" t="s">
        <v>85</v>
      </c>
      <c r="K8" s="734" t="s">
        <v>88</v>
      </c>
      <c r="M8" s="415" t="s">
        <v>60</v>
      </c>
      <c r="N8" s="415" t="s">
        <v>60</v>
      </c>
      <c r="P8" s="744" t="s">
        <v>89</v>
      </c>
      <c r="AA8" s="112"/>
      <c r="AB8" s="112"/>
      <c r="AC8" s="112"/>
    </row>
    <row r="9" spans="2:29">
      <c r="B9" s="732"/>
      <c r="C9" s="733"/>
      <c r="D9" s="215"/>
      <c r="E9" s="734"/>
      <c r="F9" s="126">
        <f>G41-E19</f>
        <v>17</v>
      </c>
      <c r="G9" s="734"/>
      <c r="H9" s="238"/>
      <c r="I9" s="734"/>
      <c r="J9" s="127">
        <f>K41-I19</f>
        <v>47</v>
      </c>
      <c r="K9" s="734"/>
      <c r="M9" s="362">
        <f>AVERAGE(M11,M18,M21,M28,M35,M39,M46,M43)</f>
        <v>0.94556788931788938</v>
      </c>
      <c r="N9" s="362">
        <f ca="1">AVERAGE(N11,N18,N21,N28,N35,N39,N46,N43)</f>
        <v>0.96876019797672142</v>
      </c>
      <c r="O9" s="374"/>
      <c r="P9" s="745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4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55</v>
      </c>
      <c r="K46" s="246">
        <f>MAX(K47:K52)</f>
        <v>46049</v>
      </c>
      <c r="L46" s="114"/>
      <c r="M46" s="361">
        <f>(J47*M47+J48*M48+J49*M49+J50*M50+J51*M51+J52*M52)/SUM(J47:J52)</f>
        <v>0.61216216216216213</v>
      </c>
      <c r="N46" s="361">
        <f ca="1">(K47*N47+K48*N48+K49*N49+K50*N50+K51*N51+K52*N52)/SUM(K47:K52)</f>
        <v>1</v>
      </c>
      <c r="O46" s="377">
        <f>J46*M46</f>
        <v>33.668918918918919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0.3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0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0.85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</v>
      </c>
      <c r="K50" s="253">
        <f>WORKDAY.INTL(I50,J50,1,Data!$C$3:$C$14)</f>
        <v>46044</v>
      </c>
      <c r="M50" s="254">
        <v>0.25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46043</v>
      </c>
      <c r="J51" s="251">
        <v>1</v>
      </c>
      <c r="K51" s="253">
        <f>WORKDAY.INTL(I51,J51,1,Data!$C$3:$C$14)</f>
        <v>46044</v>
      </c>
      <c r="M51" s="254">
        <v>0</v>
      </c>
      <c r="N51" s="254">
        <f t="shared" ca="1" si="5"/>
        <v>1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46044</v>
      </c>
      <c r="J52" s="251">
        <v>3</v>
      </c>
      <c r="K52" s="253">
        <f>WORKDAY.INTL(I52,J52,1,Data!$C$3:$C$14)</f>
        <v>46049</v>
      </c>
      <c r="M52" s="254">
        <v>0</v>
      </c>
      <c r="N52" s="254">
        <f t="shared" ca="1" si="5"/>
        <v>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7:N52 M44:N44 M40:N41 M19:N19 M36:N37 M12:N16 M22:N2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Normal="100" workbookViewId="0">
      <selection activeCell="L16" sqref="L16"/>
    </sheetView>
  </sheetViews>
  <sheetFormatPr defaultColWidth="8.44140625" defaultRowHeight="14.4"/>
  <cols>
    <col min="1" max="1" width="5.109375" style="93" customWidth="1"/>
    <col min="2" max="2" width="5.109375" style="130" customWidth="1"/>
    <col min="3" max="4" width="23.109375" style="129" customWidth="1"/>
    <col min="5" max="5" width="6.5546875" style="129" customWidth="1"/>
    <col min="6" max="6" width="16.109375" style="129" customWidth="1"/>
    <col min="7" max="7" width="4.44140625" style="129" customWidth="1"/>
    <col min="8" max="8" width="15.44140625" style="129" customWidth="1"/>
    <col min="9" max="9" width="1.88671875" style="129" customWidth="1"/>
    <col min="10" max="10" width="3.44140625" style="93" customWidth="1"/>
    <col min="11" max="11" width="1.88671875" style="175" customWidth="1"/>
    <col min="12" max="12" width="29.44140625" style="93" customWidth="1"/>
    <col min="13" max="13" width="1.88671875" style="129" customWidth="1"/>
    <col min="14" max="14" width="29.44140625" style="129" customWidth="1"/>
    <col min="15" max="15" width="1.44140625" style="93" customWidth="1"/>
    <col min="16" max="16" width="18.44140625" style="129" customWidth="1"/>
    <col min="17" max="17" width="14.5546875" style="129" customWidth="1"/>
    <col min="18" max="18" width="19.109375" style="129" customWidth="1"/>
    <col min="19" max="19" width="16.5546875" style="129" customWidth="1"/>
    <col min="20" max="20" width="19" style="129" customWidth="1"/>
    <col min="21" max="21" width="14.88671875" style="93" customWidth="1"/>
    <col min="22" max="23" width="8.44140625" style="93"/>
    <col min="24" max="24" width="5.109375" style="93" bestFit="1" customWidth="1"/>
    <col min="25" max="25" width="14.109375" style="93" bestFit="1" customWidth="1"/>
    <col min="26" max="26" width="8.44140625" style="93"/>
    <col min="27" max="27" width="14.109375" style="93" bestFit="1" customWidth="1"/>
    <col min="28" max="28" width="8.44140625" style="129"/>
    <col min="29" max="29" width="12.1093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.2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.2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627398.7135472073</v>
      </c>
      <c r="S4" s="699">
        <f>SUMIFS('Expenditure Breakdown'!$Q:$Q,
        'Expenditure Breakdown'!$T:$T, "&gt;"&amp;DATE(2025,8,31),
        'Expenditure Breakdown'!$T:$T, "&lt;="&amp;DATE(2026,8,31))</f>
        <v>501052.230569768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572397.59885106108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617507.45056976832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210859.79501167755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0.2545486873562598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.2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.4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.2">
      <c r="B13" s="352">
        <v>1</v>
      </c>
      <c r="C13" s="748" t="s">
        <v>171</v>
      </c>
      <c r="D13" s="749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3.2">
      <c r="B14" s="154">
        <v>2</v>
      </c>
      <c r="C14" s="748" t="s">
        <v>173</v>
      </c>
      <c r="D14" s="749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3.2">
      <c r="B15" s="352">
        <v>3</v>
      </c>
      <c r="C15" s="748" t="s">
        <v>175</v>
      </c>
      <c r="D15" s="749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3.2">
      <c r="B16" s="352">
        <v>4</v>
      </c>
      <c r="C16" s="746" t="s">
        <v>133</v>
      </c>
      <c r="D16" s="747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3.2">
      <c r="B17" s="352">
        <v>5</v>
      </c>
      <c r="C17" s="746" t="s">
        <v>54</v>
      </c>
      <c r="D17" s="747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46068</v>
      </c>
      <c r="R17" s="383"/>
      <c r="S17" s="141"/>
    </row>
    <row r="18" spans="2:19" s="93" customFormat="1" ht="13.2">
      <c r="B18" s="352">
        <v>6</v>
      </c>
      <c r="C18" s="746" t="s">
        <v>177</v>
      </c>
      <c r="D18" s="747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3.2">
      <c r="B19" s="352">
        <v>7</v>
      </c>
      <c r="C19" s="748" t="s">
        <v>177</v>
      </c>
      <c r="D19" s="74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.2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3.2">
      <c r="C24" s="147" t="s">
        <v>180</v>
      </c>
      <c r="D24" s="148"/>
      <c r="F24" s="149"/>
    </row>
    <row r="25" spans="2:19" s="93" customFormat="1" ht="13.2">
      <c r="C25" s="147" t="s">
        <v>181</v>
      </c>
      <c r="D25" s="148"/>
    </row>
    <row r="26" spans="2:19" s="93" customFormat="1" ht="13.2">
      <c r="C26" s="150" t="s">
        <v>182</v>
      </c>
      <c r="D26" s="151"/>
    </row>
    <row r="27" spans="2:19" s="93" customFormat="1" ht="13.2">
      <c r="C27" s="152" t="s">
        <v>183</v>
      </c>
      <c r="D27" s="148"/>
    </row>
    <row r="28" spans="2:19" s="93" customFormat="1" ht="13.2">
      <c r="B28" s="117"/>
      <c r="C28" s="152" t="s">
        <v>184</v>
      </c>
      <c r="D28" s="148"/>
    </row>
    <row r="29" spans="2:19" s="93" customFormat="1" ht="13.2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1093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8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8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50"/>
      <c r="C4" s="750"/>
      <c r="D4" s="750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4" thickBot="1">
      <c r="A5" s="215"/>
      <c r="B5" s="751" t="s">
        <v>212</v>
      </c>
      <c r="C5" s="751"/>
      <c r="D5" s="751"/>
      <c r="E5" s="417"/>
      <c r="F5" s="222">
        <f>SUM(F9:F23)</f>
        <v>686839.19314130431</v>
      </c>
      <c r="G5" s="217"/>
      <c r="H5" s="222">
        <f>SUM(H9:H23)</f>
        <v>617507.45056976832</v>
      </c>
      <c r="I5" s="215"/>
      <c r="J5" s="223">
        <f>SUM(J9:J23)</f>
        <v>69331.742571536306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1240.1599999999999</v>
      </c>
      <c r="I22" s="89"/>
      <c r="J22" s="232">
        <f t="shared" si="0"/>
        <v>-365.15999999999985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70" zoomScaleNormal="70" workbookViewId="0">
      <pane ySplit="4" topLeftCell="A89" activePane="bottomLeft" state="frozen"/>
      <selection activeCell="X33" sqref="X33"/>
      <selection pane="bottomLeft" activeCell="R106" sqref="R106:R113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7" hidden="1" customWidth="1"/>
    <col min="7" max="7" width="17.44140625" style="24" hidden="1" customWidth="1"/>
    <col min="8" max="8" width="17.44140625" style="546" hidden="1" customWidth="1"/>
    <col min="9" max="9" width="22.44140625" style="350" hidden="1" customWidth="1"/>
    <col min="10" max="10" width="22.44140625" style="350" bestFit="1" customWidth="1"/>
    <col min="11" max="12" width="5.109375" style="112" customWidth="1"/>
    <col min="13" max="13" width="25.5546875" style="112" customWidth="1"/>
    <col min="14" max="14" width="48.44140625" style="112" customWidth="1"/>
    <col min="15" max="15" width="15.88671875" style="112" customWidth="1"/>
    <col min="16" max="17" width="17.44140625" style="112" customWidth="1"/>
    <col min="18" max="18" width="39" style="112" customWidth="1"/>
    <col min="19" max="19" width="36.5546875" style="112" customWidth="1"/>
    <col min="20" max="21" width="17.44140625" style="546" customWidth="1"/>
    <col min="22" max="22" width="17.44140625" style="112" customWidth="1"/>
    <col min="23" max="23" width="17.44140625" style="546" customWidth="1"/>
    <col min="24" max="24" width="21.109375" style="112" customWidth="1"/>
    <col min="25" max="25" width="29.44140625" style="112" bestFit="1" customWidth="1"/>
    <col min="26" max="26" width="24.88671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61" t="s">
        <v>219</v>
      </c>
      <c r="C2" s="762"/>
      <c r="D2" s="762"/>
      <c r="E2" s="762"/>
      <c r="F2" s="762"/>
      <c r="G2" s="762"/>
      <c r="H2" s="505"/>
      <c r="I2" s="258">
        <f>SUM(I6:I159)</f>
        <v>686839.19314130431</v>
      </c>
      <c r="J2" s="258">
        <f>SUM(J6:J159)</f>
        <v>828367.24558144645</v>
      </c>
      <c r="L2" s="763" t="s">
        <v>220</v>
      </c>
      <c r="M2" s="764"/>
      <c r="N2" s="764"/>
      <c r="O2" s="764"/>
      <c r="P2" s="764"/>
      <c r="Q2" s="764"/>
      <c r="R2" s="768" t="s">
        <v>221</v>
      </c>
      <c r="S2" s="769"/>
      <c r="T2" s="769"/>
      <c r="U2" s="769"/>
      <c r="V2" s="769"/>
      <c r="W2" s="770"/>
      <c r="X2" s="481">
        <f>SUM(X6:X159)</f>
        <v>617507.45056976832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65">
        <f>SUM(G6:G11)</f>
        <v>167702.96000000005</v>
      </c>
      <c r="J6" s="765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199846.34501225292</v>
      </c>
      <c r="V6" s="755">
        <f>J6-SUM(U6:U11)</f>
        <v>0</v>
      </c>
      <c r="W6" s="718">
        <v>45989</v>
      </c>
      <c r="X6" s="752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66"/>
      <c r="J7" s="766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56"/>
      <c r="W7" s="537">
        <v>45989</v>
      </c>
      <c r="X7" s="753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66"/>
      <c r="J8" s="766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56"/>
      <c r="W8" s="569"/>
      <c r="X8" s="753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66"/>
      <c r="J9" s="766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56"/>
      <c r="W9" s="570"/>
      <c r="X9" s="753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66"/>
      <c r="J10" s="766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56"/>
      <c r="W10" s="570"/>
      <c r="X10" s="753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67"/>
      <c r="J11" s="767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57"/>
      <c r="W11" s="571"/>
      <c r="X11" s="754"/>
      <c r="Y11" s="602" t="s">
        <v>241</v>
      </c>
      <c r="Z11" s="603" t="s">
        <v>242</v>
      </c>
    </row>
    <row r="12" spans="1:76" ht="14.4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71">
        <f>SUM(G13:G19)</f>
        <v>47500</v>
      </c>
      <c r="J13" s="771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58">
        <f>J13-SUM(U13:U19)</f>
        <v>0</v>
      </c>
      <c r="W13" s="539">
        <v>45900</v>
      </c>
      <c r="X13" s="774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72"/>
      <c r="J14" s="772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 t="shared" ref="U14:U19" si="1">(Q14/$X$13*$J$13)</f>
        <v>0</v>
      </c>
      <c r="V14" s="759"/>
      <c r="W14" s="651"/>
      <c r="X14" s="775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72"/>
      <c r="J15" s="772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si="1"/>
        <v>0</v>
      </c>
      <c r="V15" s="759"/>
      <c r="W15" s="574"/>
      <c r="X15" s="775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72"/>
      <c r="J16" s="772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59"/>
      <c r="W16" s="574"/>
      <c r="X16" s="775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72"/>
      <c r="J17" s="772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59"/>
      <c r="W17" s="574"/>
      <c r="X17" s="775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72"/>
      <c r="J18" s="772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59"/>
      <c r="W18" s="574"/>
      <c r="X18" s="775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73"/>
      <c r="J19" s="773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60"/>
      <c r="W19" s="575"/>
      <c r="X19" s="776"/>
      <c r="Y19" s="604" t="s">
        <v>255</v>
      </c>
      <c r="Z19" s="605">
        <v>0</v>
      </c>
    </row>
    <row r="20" spans="1:27" ht="14.4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65">
        <f>SUM(G21:G26)</f>
        <v>47059.199999999997</v>
      </c>
      <c r="J21" s="765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55">
        <f>J21-SUM(U21:U26)</f>
        <v>0</v>
      </c>
      <c r="W21" s="695">
        <f>T21+30</f>
        <v>45960</v>
      </c>
      <c r="X21" s="752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66"/>
      <c r="J22" s="766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56"/>
      <c r="W22" s="569"/>
      <c r="X22" s="753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66"/>
      <c r="J23" s="766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56"/>
      <c r="W23" s="537">
        <v>45989</v>
      </c>
      <c r="X23" s="753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66"/>
      <c r="J24" s="766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56"/>
      <c r="W24" s="570"/>
      <c r="X24" s="753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66"/>
      <c r="J25" s="766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56"/>
      <c r="W25" s="570"/>
      <c r="X25" s="753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67"/>
      <c r="J26" s="767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57"/>
      <c r="W26" s="571"/>
      <c r="X26" s="754"/>
      <c r="Y26" s="610" t="s">
        <v>147</v>
      </c>
      <c r="Z26" s="611" t="s">
        <v>268</v>
      </c>
    </row>
    <row r="27" spans="1:27" ht="14.4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71">
        <f>SUM(G28:G42)</f>
        <v>87218.6</v>
      </c>
      <c r="J28" s="771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58">
        <f>J28-SUM(U28:U42)</f>
        <v>-6.7025581014459021</v>
      </c>
      <c r="W28" s="719">
        <v>45989</v>
      </c>
      <c r="X28" s="774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72"/>
      <c r="J29" s="772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59"/>
      <c r="W29" s="574"/>
      <c r="X29" s="775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72"/>
      <c r="J30" s="772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59"/>
      <c r="W30" s="574"/>
      <c r="X30" s="775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72"/>
      <c r="J31" s="772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59"/>
      <c r="W31" s="574"/>
      <c r="X31" s="775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72"/>
      <c r="J32" s="772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7" t="s">
        <v>275</v>
      </c>
      <c r="S32" s="627" t="s">
        <v>276</v>
      </c>
      <c r="T32" s="673">
        <v>45930</v>
      </c>
      <c r="U32" s="709">
        <v>4623.9056888684636</v>
      </c>
      <c r="V32" s="759"/>
      <c r="W32" s="540">
        <f>W90</f>
        <v>45918</v>
      </c>
      <c r="X32" s="775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72"/>
      <c r="J33" s="772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778"/>
      <c r="S33" s="627" t="s">
        <v>277</v>
      </c>
      <c r="T33" s="653">
        <f t="shared" si="0"/>
        <v>45961</v>
      </c>
      <c r="U33" s="709">
        <v>6935.8585333026958</v>
      </c>
      <c r="V33" s="759"/>
      <c r="W33" s="540">
        <f t="shared" ref="W33:W39" si="6">W91</f>
        <v>45954</v>
      </c>
      <c r="X33" s="775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72"/>
      <c r="J34" s="772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78"/>
      <c r="S34" s="627" t="str">
        <f>S92</f>
        <v>Matthews Group - INV1564</v>
      </c>
      <c r="T34" s="653">
        <f>T92</f>
        <v>45991</v>
      </c>
      <c r="U34" s="709">
        <v>9247.8113777369272</v>
      </c>
      <c r="V34" s="759"/>
      <c r="W34" s="715">
        <f t="shared" si="6"/>
        <v>45995</v>
      </c>
      <c r="X34" s="775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72"/>
      <c r="J35" s="772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78"/>
      <c r="S35" s="627" t="s">
        <v>282</v>
      </c>
      <c r="T35" s="716">
        <f>T93</f>
        <v>45991</v>
      </c>
      <c r="U35" s="709">
        <v>11559.764222171159</v>
      </c>
      <c r="V35" s="759"/>
      <c r="W35" s="540">
        <f>W93</f>
        <v>45989</v>
      </c>
      <c r="X35" s="775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72"/>
      <c r="J36" s="772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78"/>
      <c r="S36" s="627" t="s">
        <v>284</v>
      </c>
      <c r="T36" s="653">
        <v>46022</v>
      </c>
      <c r="U36" s="709">
        <v>4631.2783990413282</v>
      </c>
      <c r="V36" s="759"/>
      <c r="W36" s="574">
        <f>W94</f>
        <v>46065</v>
      </c>
      <c r="X36" s="775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72"/>
      <c r="J37" s="772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78"/>
      <c r="S37" s="627" t="s">
        <v>286</v>
      </c>
      <c r="T37" s="653">
        <v>46022</v>
      </c>
      <c r="U37" s="709">
        <v>4623.5706128327474</v>
      </c>
      <c r="V37" s="759"/>
      <c r="W37" s="574">
        <f>W95</f>
        <v>46065</v>
      </c>
      <c r="X37" s="775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72"/>
      <c r="J38" s="772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78"/>
      <c r="S38" s="627" t="s">
        <v>288</v>
      </c>
      <c r="T38" s="653">
        <v>46022</v>
      </c>
      <c r="U38" s="709">
        <v>2311.7853064163737</v>
      </c>
      <c r="V38" s="759"/>
      <c r="W38" s="574">
        <f>W96</f>
        <v>46065</v>
      </c>
      <c r="X38" s="775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72"/>
      <c r="J39" s="772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9"/>
      <c r="S39" s="627" t="s">
        <v>290</v>
      </c>
      <c r="T39" s="653">
        <v>46022</v>
      </c>
      <c r="U39" s="709">
        <v>2311.7853064163737</v>
      </c>
      <c r="V39" s="759"/>
      <c r="W39" s="574">
        <f t="shared" si="6"/>
        <v>46095</v>
      </c>
      <c r="X39" s="775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72"/>
      <c r="J40" s="772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59"/>
      <c r="W40" s="574"/>
      <c r="X40" s="775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72"/>
      <c r="J41" s="772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59"/>
      <c r="W41" s="574"/>
      <c r="X41" s="775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73"/>
      <c r="J42" s="773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60"/>
      <c r="W42" s="575"/>
      <c r="X42" s="776"/>
      <c r="Y42" s="485"/>
    </row>
    <row r="43" spans="1:26" ht="14.4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65">
        <f>SUM(G44:G50)</f>
        <v>41000</v>
      </c>
      <c r="J44" s="765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55">
        <f>J44-SUM(U44:U50)</f>
        <v>1947.1051844589529</v>
      </c>
      <c r="W44" s="695">
        <v>45926</v>
      </c>
      <c r="X44" s="752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66"/>
      <c r="J45" s="766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56"/>
      <c r="W45" s="537">
        <f>T45+30</f>
        <v>45930</v>
      </c>
      <c r="X45" s="753"/>
      <c r="Y45" s="485"/>
    </row>
    <row r="46" spans="1:26" ht="14.1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66"/>
      <c r="J46" s="766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56"/>
      <c r="W46" s="537">
        <v>45974</v>
      </c>
      <c r="X46" s="753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66"/>
      <c r="J47" s="766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56"/>
      <c r="W47" s="537">
        <v>45899</v>
      </c>
      <c r="X47" s="753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66"/>
      <c r="J48" s="766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56"/>
      <c r="W48" s="538">
        <v>45899</v>
      </c>
      <c r="X48" s="753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66"/>
      <c r="J49" s="766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56"/>
      <c r="W49" s="684">
        <v>45930</v>
      </c>
      <c r="X49" s="753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67"/>
      <c r="J50" s="767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57"/>
      <c r="W50" s="686">
        <v>45910</v>
      </c>
      <c r="X50" s="754"/>
      <c r="Y50" s="485"/>
    </row>
    <row r="51" spans="1:25" ht="14.4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71">
        <f>SUM(G52:G68)</f>
        <v>131329.98260869566</v>
      </c>
      <c r="J52" s="771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58">
        <f>J52-SUM(U52:U68)</f>
        <v>0</v>
      </c>
      <c r="W52" s="573"/>
      <c r="X52" s="774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72"/>
      <c r="J53" s="772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59"/>
      <c r="W53" s="715">
        <f>T53+30</f>
        <v>45930</v>
      </c>
      <c r="X53" s="775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72"/>
      <c r="J54" s="772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59"/>
      <c r="W54" s="574"/>
      <c r="X54" s="775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72"/>
      <c r="J55" s="772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59"/>
      <c r="W55" s="574"/>
      <c r="X55" s="775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72"/>
      <c r="J56" s="772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59"/>
      <c r="W56" s="574"/>
      <c r="X56" s="775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72"/>
      <c r="J57" s="772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59"/>
      <c r="W57" s="574"/>
      <c r="X57" s="775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72"/>
      <c r="J58" s="772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7" t="s">
        <v>275</v>
      </c>
      <c r="S58" s="627" t="s">
        <v>276</v>
      </c>
      <c r="T58" s="672">
        <v>45930</v>
      </c>
      <c r="U58" s="709">
        <v>5195.7168660597981</v>
      </c>
      <c r="V58" s="759"/>
      <c r="W58" s="540">
        <f>W90</f>
        <v>45918</v>
      </c>
      <c r="X58" s="775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72"/>
      <c r="J59" s="772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778"/>
      <c r="S59" s="627" t="s">
        <v>277</v>
      </c>
      <c r="T59" s="697">
        <f t="shared" si="0"/>
        <v>45961</v>
      </c>
      <c r="U59" s="709">
        <v>7793.5752990896963</v>
      </c>
      <c r="V59" s="759"/>
      <c r="W59" s="540">
        <f t="shared" ref="W59:W65" si="11">W91</f>
        <v>45954</v>
      </c>
      <c r="X59" s="775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72"/>
      <c r="J60" s="772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78"/>
      <c r="S60" s="627" t="str">
        <f>S92</f>
        <v>Matthews Group - INV1564</v>
      </c>
      <c r="T60" s="697">
        <f>T92</f>
        <v>45991</v>
      </c>
      <c r="U60" s="709">
        <v>10391.433732119596</v>
      </c>
      <c r="V60" s="759"/>
      <c r="W60" s="715">
        <f t="shared" si="11"/>
        <v>45995</v>
      </c>
      <c r="X60" s="775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72"/>
      <c r="J61" s="772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78"/>
      <c r="S61" s="627" t="s">
        <v>282</v>
      </c>
      <c r="T61" s="717">
        <f>T93</f>
        <v>45991</v>
      </c>
      <c r="U61" s="709">
        <v>12989.292165149494</v>
      </c>
      <c r="V61" s="759"/>
      <c r="W61" s="540">
        <f>W93</f>
        <v>45989</v>
      </c>
      <c r="X61" s="775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72"/>
      <c r="J62" s="772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78"/>
      <c r="S62" s="627" t="s">
        <v>284</v>
      </c>
      <c r="T62" s="697">
        <v>46022</v>
      </c>
      <c r="U62" s="709">
        <v>5195.7168660597981</v>
      </c>
      <c r="V62" s="759"/>
      <c r="W62" s="574">
        <f>W94</f>
        <v>46065</v>
      </c>
      <c r="X62" s="775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72"/>
      <c r="J63" s="772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78"/>
      <c r="S63" s="627" t="s">
        <v>286</v>
      </c>
      <c r="T63" s="697">
        <v>46022</v>
      </c>
      <c r="U63" s="724">
        <v>5195.7168660597981</v>
      </c>
      <c r="V63" s="759"/>
      <c r="W63" s="574">
        <f>W95</f>
        <v>46065</v>
      </c>
      <c r="X63" s="775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72"/>
      <c r="J64" s="772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78"/>
      <c r="S64" s="627" t="s">
        <v>288</v>
      </c>
      <c r="T64" s="697">
        <v>46022</v>
      </c>
      <c r="U64" s="724">
        <v>2597.8584330298991</v>
      </c>
      <c r="V64" s="759"/>
      <c r="W64" s="574">
        <f>W96</f>
        <v>46065</v>
      </c>
      <c r="X64" s="775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72"/>
      <c r="J65" s="772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9"/>
      <c r="S65" s="627" t="s">
        <v>290</v>
      </c>
      <c r="T65" s="697">
        <v>46022</v>
      </c>
      <c r="U65" s="724">
        <v>2597.8584330298991</v>
      </c>
      <c r="V65" s="759"/>
      <c r="W65" s="574">
        <f t="shared" si="11"/>
        <v>46095</v>
      </c>
      <c r="X65" s="775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72"/>
      <c r="J66" s="772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59"/>
      <c r="W66" s="577"/>
      <c r="X66" s="775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72"/>
      <c r="J67" s="772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59"/>
      <c r="W67" s="577"/>
      <c r="X67" s="775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73"/>
      <c r="J68" s="773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60"/>
      <c r="W68" s="575"/>
      <c r="X68" s="776"/>
      <c r="Y68" s="485"/>
    </row>
    <row r="69" spans="1:25" ht="14.4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65">
        <f>SUM(G70:G77)</f>
        <v>0</v>
      </c>
      <c r="J70" s="765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80">
        <f>J70-SUM(U70:U77)</f>
        <v>0</v>
      </c>
      <c r="W70" s="579"/>
      <c r="X70" s="752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66"/>
      <c r="J71" s="766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81"/>
      <c r="W71" s="570"/>
      <c r="X71" s="753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66"/>
      <c r="J72" s="766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81"/>
      <c r="W72" s="570"/>
      <c r="X72" s="753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66"/>
      <c r="J73" s="766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81"/>
      <c r="W73" s="570"/>
      <c r="X73" s="753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66"/>
      <c r="J74" s="766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81"/>
      <c r="W74" s="570"/>
      <c r="X74" s="753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66"/>
      <c r="J75" s="766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81"/>
      <c r="W75" s="570"/>
      <c r="X75" s="753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66"/>
      <c r="J76" s="766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81"/>
      <c r="W76" s="570"/>
      <c r="X76" s="753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67"/>
      <c r="J77" s="767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82"/>
      <c r="W77" s="571"/>
      <c r="X77" s="754"/>
      <c r="Y77" s="485"/>
    </row>
    <row r="78" spans="1:25" ht="14.4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71">
        <f>SUM(G79:G87)</f>
        <v>4000</v>
      </c>
      <c r="J79" s="771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8">
        <f>J79-SUM(U79:U87)</f>
        <v>0</v>
      </c>
      <c r="W79" s="573"/>
      <c r="X79" s="774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72"/>
      <c r="J80" s="772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9"/>
      <c r="W80" s="574"/>
      <c r="X80" s="775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72"/>
      <c r="J81" s="772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9"/>
      <c r="W81" s="540">
        <v>45911</v>
      </c>
      <c r="X81" s="775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72"/>
      <c r="J82" s="772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9"/>
      <c r="W82" s="574"/>
      <c r="X82" s="775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72"/>
      <c r="J83" s="772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7" t="s">
        <v>318</v>
      </c>
      <c r="S83" s="627" t="s">
        <v>319</v>
      </c>
      <c r="T83" s="653">
        <v>45961</v>
      </c>
      <c r="U83" s="709">
        <v>2085.2181982106486</v>
      </c>
      <c r="V83" s="799"/>
      <c r="W83" s="540">
        <v>45954</v>
      </c>
      <c r="X83" s="775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72"/>
      <c r="J84" s="772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9"/>
      <c r="S84" s="627" t="s">
        <v>319</v>
      </c>
      <c r="T84" s="653">
        <v>45961</v>
      </c>
      <c r="U84" s="709">
        <v>2085.2181982106486</v>
      </c>
      <c r="V84" s="799"/>
      <c r="W84" s="540">
        <v>46051</v>
      </c>
      <c r="X84" s="775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72"/>
      <c r="J85" s="772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9"/>
      <c r="W85" s="574"/>
      <c r="X85" s="775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72"/>
      <c r="J86" s="772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9"/>
      <c r="W86" s="577"/>
      <c r="X86" s="775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73"/>
      <c r="J87" s="773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800"/>
      <c r="W87" s="575"/>
      <c r="X87" s="776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9">
        <f>SUM(G89:G100)</f>
        <v>45600</v>
      </c>
      <c r="J89" s="765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55">
        <f>J89-SUM(U89:U100)</f>
        <v>0</v>
      </c>
      <c r="W89" s="576"/>
      <c r="X89" s="792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90"/>
      <c r="J90" s="766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801" t="s">
        <v>275</v>
      </c>
      <c r="S90" s="622" t="s">
        <v>276</v>
      </c>
      <c r="T90" s="671">
        <v>45930</v>
      </c>
      <c r="U90" s="707">
        <v>5364.7058823529414</v>
      </c>
      <c r="V90" s="756"/>
      <c r="W90" s="537">
        <v>45918</v>
      </c>
      <c r="X90" s="793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90"/>
      <c r="J91" s="766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802"/>
      <c r="S91" s="623" t="s">
        <v>277</v>
      </c>
      <c r="T91" s="668">
        <f t="shared" si="12"/>
        <v>45961</v>
      </c>
      <c r="U91" s="707">
        <v>8047.0588235294108</v>
      </c>
      <c r="V91" s="756"/>
      <c r="W91" s="538">
        <v>45954</v>
      </c>
      <c r="X91" s="793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90"/>
      <c r="J92" s="766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802"/>
      <c r="S92" s="623" t="s">
        <v>326</v>
      </c>
      <c r="T92" s="668">
        <v>45991</v>
      </c>
      <c r="U92" s="707">
        <v>10729.411764705883</v>
      </c>
      <c r="V92" s="756"/>
      <c r="W92" s="684">
        <v>45995</v>
      </c>
      <c r="X92" s="793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90"/>
      <c r="J93" s="766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802"/>
      <c r="S93" s="623" t="s">
        <v>282</v>
      </c>
      <c r="T93" s="683">
        <v>45991</v>
      </c>
      <c r="U93" s="707">
        <v>13411.764705882353</v>
      </c>
      <c r="V93" s="756"/>
      <c r="W93" s="538">
        <v>45989</v>
      </c>
      <c r="X93" s="793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90"/>
      <c r="J94" s="766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802"/>
      <c r="S94" s="623" t="s">
        <v>284</v>
      </c>
      <c r="T94" s="668">
        <f t="shared" si="12"/>
        <v>46081</v>
      </c>
      <c r="U94" s="707">
        <v>5364.7058823529414</v>
      </c>
      <c r="V94" s="756"/>
      <c r="W94" s="570">
        <v>46065</v>
      </c>
      <c r="X94" s="793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90"/>
      <c r="J95" s="766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802"/>
      <c r="S95" s="623" t="s">
        <v>286</v>
      </c>
      <c r="T95" s="668">
        <v>46022</v>
      </c>
      <c r="U95" s="707">
        <v>5364.7058823529414</v>
      </c>
      <c r="V95" s="756"/>
      <c r="W95" s="570">
        <v>46065</v>
      </c>
      <c r="X95" s="793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90"/>
      <c r="J96" s="766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802"/>
      <c r="S96" s="623" t="s">
        <v>288</v>
      </c>
      <c r="T96" s="668">
        <v>46022</v>
      </c>
      <c r="U96" s="707">
        <v>2682.3529411764707</v>
      </c>
      <c r="V96" s="756"/>
      <c r="W96" s="570">
        <v>46065</v>
      </c>
      <c r="X96" s="793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90"/>
      <c r="J97" s="766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803"/>
      <c r="S97" s="623" t="s">
        <v>290</v>
      </c>
      <c r="T97" s="668">
        <v>46022</v>
      </c>
      <c r="U97" s="707">
        <v>2682.3529411764707</v>
      </c>
      <c r="V97" s="756"/>
      <c r="W97" s="570">
        <f>W96+30</f>
        <v>46095</v>
      </c>
      <c r="X97" s="793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90"/>
      <c r="J98" s="766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56"/>
      <c r="W98" s="570"/>
      <c r="X98" s="793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90"/>
      <c r="J99" s="766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56"/>
      <c r="W99" s="570"/>
      <c r="X99" s="793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91"/>
      <c r="J100" s="767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57"/>
      <c r="W100" s="571"/>
      <c r="X100" s="794"/>
      <c r="Y100" s="485"/>
    </row>
    <row r="101" spans="1:25" ht="14.4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83">
        <f>SUM(G102:G116)</f>
        <v>37508.5</v>
      </c>
      <c r="J102" s="783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95">
        <f>J102-SUM(U102:U116)</f>
        <v>0</v>
      </c>
      <c r="W102" s="580"/>
      <c r="X102" s="786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84"/>
      <c r="J103" s="784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96"/>
      <c r="W103" s="581"/>
      <c r="X103" s="787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84"/>
      <c r="J104" s="784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96"/>
      <c r="W104" s="581"/>
      <c r="X104" s="787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84"/>
      <c r="J105" s="784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96"/>
      <c r="W105" s="581"/>
      <c r="X105" s="787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84"/>
      <c r="J106" s="784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806" t="s">
        <v>275</v>
      </c>
      <c r="S106" s="636" t="s">
        <v>276</v>
      </c>
      <c r="T106" s="670">
        <v>45930</v>
      </c>
      <c r="U106" s="712">
        <v>4412.7647058823532</v>
      </c>
      <c r="V106" s="796"/>
      <c r="W106" s="542">
        <f>W90</f>
        <v>45918</v>
      </c>
      <c r="X106" s="787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84"/>
      <c r="J107" s="784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807"/>
      <c r="S107" s="641" t="s">
        <v>277</v>
      </c>
      <c r="T107" s="696">
        <v>45961</v>
      </c>
      <c r="U107" s="712">
        <v>6619.1470588235297</v>
      </c>
      <c r="V107" s="796"/>
      <c r="W107" s="542">
        <f t="shared" ref="W107:W113" si="18">W91</f>
        <v>45954</v>
      </c>
      <c r="X107" s="787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84"/>
      <c r="J108" s="784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807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96"/>
      <c r="W108" s="688">
        <f t="shared" si="18"/>
        <v>45995</v>
      </c>
      <c r="X108" s="787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84"/>
      <c r="J109" s="784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807"/>
      <c r="S109" s="636" t="s">
        <v>282</v>
      </c>
      <c r="T109" s="687">
        <f>T93</f>
        <v>45991</v>
      </c>
      <c r="U109" s="712">
        <v>11031.911764705883</v>
      </c>
      <c r="V109" s="796"/>
      <c r="W109" s="542">
        <f>W93</f>
        <v>45989</v>
      </c>
      <c r="X109" s="787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84"/>
      <c r="J110" s="784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807"/>
      <c r="S110" s="636" t="s">
        <v>284</v>
      </c>
      <c r="T110" s="696">
        <v>46022</v>
      </c>
      <c r="U110" s="712">
        <v>4412.7647058823532</v>
      </c>
      <c r="V110" s="796"/>
      <c r="W110" s="582">
        <f>W94</f>
        <v>46065</v>
      </c>
      <c r="X110" s="787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84"/>
      <c r="J111" s="784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807"/>
      <c r="S111" s="636" t="s">
        <v>286</v>
      </c>
      <c r="T111" s="696">
        <v>46022</v>
      </c>
      <c r="U111" s="712">
        <v>4412.7647058823532</v>
      </c>
      <c r="V111" s="796"/>
      <c r="W111" s="582">
        <f>W95</f>
        <v>46065</v>
      </c>
      <c r="X111" s="787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84"/>
      <c r="J112" s="784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807"/>
      <c r="S112" s="636" t="s">
        <v>288</v>
      </c>
      <c r="T112" s="696">
        <v>46022</v>
      </c>
      <c r="U112" s="712">
        <v>2206.3823529411766</v>
      </c>
      <c r="V112" s="796"/>
      <c r="W112" s="582">
        <f>W96</f>
        <v>46065</v>
      </c>
      <c r="X112" s="787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84"/>
      <c r="J113" s="784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808"/>
      <c r="S113" s="636" t="s">
        <v>290</v>
      </c>
      <c r="T113" s="696">
        <v>46022</v>
      </c>
      <c r="U113" s="712">
        <v>2206.3823529411766</v>
      </c>
      <c r="V113" s="796"/>
      <c r="W113" s="582">
        <f t="shared" si="18"/>
        <v>46095</v>
      </c>
      <c r="X113" s="787"/>
      <c r="Y113" s="485"/>
    </row>
    <row r="114" spans="1:25" ht="14.1" customHeight="1">
      <c r="B114" s="340">
        <v>10</v>
      </c>
      <c r="C114" s="341"/>
      <c r="D114" s="341"/>
      <c r="E114" s="342"/>
      <c r="F114" s="474"/>
      <c r="G114" s="343"/>
      <c r="H114" s="582"/>
      <c r="I114" s="784"/>
      <c r="J114" s="784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96"/>
      <c r="W114" s="582"/>
      <c r="X114" s="787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84"/>
      <c r="J115" s="784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96"/>
      <c r="W115" s="582"/>
      <c r="X115" s="787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85"/>
      <c r="J116" s="785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97"/>
      <c r="W116" s="583"/>
      <c r="X116" s="788"/>
      <c r="Y116" s="485"/>
    </row>
    <row r="117" spans="1:25" ht="14.4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65">
        <f>SUM(G118:G122)</f>
        <v>29000</v>
      </c>
      <c r="J118" s="765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3">
        <v>46053</v>
      </c>
      <c r="U118" s="507">
        <f>(Q118/$X$102*$J$118)+3113.35</f>
        <v>13185.192502183059</v>
      </c>
      <c r="V118" s="755">
        <f>J118-SUM(U118:U122)</f>
        <v>-2.9208012492745183E-3</v>
      </c>
      <c r="W118" s="576">
        <v>46065</v>
      </c>
      <c r="X118" s="752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66"/>
      <c r="J119" s="766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56"/>
      <c r="W119" s="537">
        <v>45526</v>
      </c>
      <c r="X119" s="753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66"/>
      <c r="J120" s="766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56"/>
      <c r="W120" s="569"/>
      <c r="X120" s="753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66"/>
      <c r="J121" s="766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56"/>
      <c r="W121" s="538">
        <v>46051</v>
      </c>
      <c r="X121" s="753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67"/>
      <c r="J122" s="767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57"/>
      <c r="W122" s="571"/>
      <c r="X122" s="754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83">
        <f>SUM(G124:G125)</f>
        <v>0</v>
      </c>
      <c r="J124" s="783">
        <v>0</v>
      </c>
      <c r="K124" s="804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86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85"/>
      <c r="J125" s="785"/>
      <c r="K125" s="805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88"/>
      <c r="Y125" s="485"/>
    </row>
    <row r="126" spans="1:25" ht="14.4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65">
        <f>SUM(G127:G131)</f>
        <v>48044.950532608695</v>
      </c>
      <c r="J127" s="765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55">
        <f>J127-SUM(U127:U132)</f>
        <v>0</v>
      </c>
      <c r="W127" s="570">
        <v>46052</v>
      </c>
      <c r="X127" s="752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66"/>
      <c r="J128" s="766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56"/>
      <c r="W128" s="569"/>
      <c r="X128" s="753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66"/>
      <c r="J129" s="766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56"/>
      <c r="W129" s="569"/>
      <c r="X129" s="753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66"/>
      <c r="J130" s="766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56"/>
      <c r="W130" s="569"/>
      <c r="X130" s="753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66"/>
      <c r="J131" s="766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56"/>
      <c r="W131" s="569"/>
      <c r="X131" s="753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67"/>
      <c r="J132" s="767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57"/>
      <c r="W132" s="571"/>
      <c r="X132" s="754"/>
      <c r="Y132" s="485"/>
    </row>
    <row r="133" spans="1:25" ht="14.4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83">
        <f>SUM(G134:G145)</f>
        <v>875</v>
      </c>
      <c r="J134" s="783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95">
        <f>J134-SUM(U134:U145)</f>
        <v>-1.6090193867057678E-5</v>
      </c>
      <c r="W134" s="542">
        <v>45905</v>
      </c>
      <c r="X134" s="786">
        <f>SUM(Q134:Q145)</f>
        <v>1240.1599999999999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84"/>
      <c r="J135" s="784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96"/>
      <c r="W135" s="688">
        <v>45930</v>
      </c>
      <c r="X135" s="787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84"/>
      <c r="J136" s="784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96"/>
      <c r="W136" s="688">
        <v>45967</v>
      </c>
      <c r="X136" s="787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84"/>
      <c r="J137" s="784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96"/>
      <c r="W137" s="688">
        <v>45991</v>
      </c>
      <c r="X137" s="787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84"/>
      <c r="J138" s="784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96"/>
      <c r="W138" s="688">
        <v>46022</v>
      </c>
      <c r="X138" s="787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84"/>
      <c r="J139" s="784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500</v>
      </c>
      <c r="R139" s="600"/>
      <c r="S139" s="713"/>
      <c r="T139" s="535">
        <v>46053</v>
      </c>
      <c r="U139" s="519">
        <f>119.25+285.33</f>
        <v>404.58</v>
      </c>
      <c r="V139" s="796"/>
      <c r="W139" s="582">
        <v>46059</v>
      </c>
      <c r="X139" s="787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84"/>
      <c r="J140" s="784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96"/>
      <c r="W140" s="582"/>
      <c r="X140" s="787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84"/>
      <c r="J141" s="784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96"/>
      <c r="W141" s="582"/>
      <c r="X141" s="787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84"/>
      <c r="J142" s="784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96"/>
      <c r="W142" s="582"/>
      <c r="X142" s="787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84"/>
      <c r="J143" s="784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96"/>
      <c r="W143" s="582"/>
      <c r="X143" s="787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84"/>
      <c r="J144" s="784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96"/>
      <c r="W144" s="582"/>
      <c r="X144" s="787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85"/>
      <c r="J145" s="785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97"/>
      <c r="W145" s="583"/>
      <c r="X145" s="788"/>
      <c r="Y145" s="485"/>
    </row>
    <row r="146" spans="1:25" ht="14.4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65">
        <f>SUM(G147:G158)</f>
        <v>0</v>
      </c>
      <c r="J147" s="765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55">
        <v>0</v>
      </c>
      <c r="W147" s="576"/>
      <c r="X147" s="752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66"/>
      <c r="J148" s="766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56"/>
      <c r="W148" s="569">
        <f>T148</f>
        <v>46081</v>
      </c>
      <c r="X148" s="753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66"/>
      <c r="J149" s="766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56"/>
      <c r="W149" s="569"/>
      <c r="X149" s="753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66"/>
      <c r="J150" s="766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56"/>
      <c r="W150" s="569"/>
      <c r="X150" s="753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66"/>
      <c r="J151" s="766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56"/>
      <c r="W151" s="569"/>
      <c r="X151" s="753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66"/>
      <c r="J152" s="766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56"/>
      <c r="W152" s="569"/>
      <c r="X152" s="753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66"/>
      <c r="J153" s="766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56"/>
      <c r="W153" s="569"/>
      <c r="X153" s="753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66"/>
      <c r="J154" s="766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56"/>
      <c r="W154" s="569"/>
      <c r="X154" s="753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66"/>
      <c r="J155" s="766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56"/>
      <c r="W155" s="569"/>
      <c r="X155" s="753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66"/>
      <c r="J156" s="766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56"/>
      <c r="W156" s="569"/>
      <c r="X156" s="753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66"/>
      <c r="J157" s="766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56"/>
      <c r="W157" s="569"/>
      <c r="X157" s="753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67"/>
      <c r="J158" s="767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57"/>
      <c r="W158" s="571"/>
      <c r="X158" s="754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41418.362279072302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828367.24558144598</v>
      </c>
      <c r="BJ10" s="211">
        <f t="shared" si="21"/>
        <v>828367.24558144598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386</v>
      </c>
      <c r="C11" s="213">
        <f>'Revenue Tracking'!F5</f>
        <v>617507.45056976832</v>
      </c>
      <c r="D11" s="213">
        <f>SUM(F11:LD11)</f>
        <v>620316.55056976806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39527.570569768075</v>
      </c>
      <c r="BH11" s="214">
        <f>SUMIFS('Expenditure Breakdown'!$Q$6:$Q$166, 'Expenditure Breakdown'!$W$6:$W$166, "&gt;="&amp;BH1,'Expenditure Breakdown'!$W$6:$W$166, "&lt;"&amp;BI1)</f>
        <v>500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0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547686.75056976802</v>
      </c>
      <c r="BH12" s="214">
        <f t="shared" si="26"/>
        <v>548186.75056976802</v>
      </c>
      <c r="BI12" s="214">
        <f t="shared" si="26"/>
        <v>606725.25056976802</v>
      </c>
      <c r="BJ12" s="214">
        <f t="shared" si="26"/>
        <v>606725.25056976802</v>
      </c>
      <c r="BK12" s="214">
        <f t="shared" si="26"/>
        <v>610710.25056976802</v>
      </c>
      <c r="BL12" s="214">
        <f t="shared" si="26"/>
        <v>610710.25056976802</v>
      </c>
      <c r="BM12" s="214">
        <f t="shared" si="26"/>
        <v>620316.55056976806</v>
      </c>
      <c r="BN12" s="214">
        <f t="shared" si="26"/>
        <v>620316.55056976806</v>
      </c>
      <c r="BO12" s="214">
        <f t="shared" si="26"/>
        <v>620316.55056976806</v>
      </c>
      <c r="BP12" s="214">
        <f t="shared" si="26"/>
        <v>620316.55056976806</v>
      </c>
      <c r="BQ12" s="214">
        <f t="shared" si="26"/>
        <v>620316.55056976806</v>
      </c>
      <c r="BR12" s="214">
        <f t="shared" si="26"/>
        <v>620316.55056976806</v>
      </c>
      <c r="BS12" s="214">
        <f t="shared" si="26"/>
        <v>620316.55056976806</v>
      </c>
      <c r="BT12" s="214">
        <f t="shared" si="26"/>
        <v>620316.55056976806</v>
      </c>
      <c r="BU12" s="214">
        <f t="shared" ref="BU12:EF12" si="27">BT12+BU11</f>
        <v>620316.55056976806</v>
      </c>
      <c r="BV12" s="214">
        <f t="shared" si="27"/>
        <v>620316.55056976806</v>
      </c>
      <c r="BW12" s="214">
        <f t="shared" si="27"/>
        <v>620316.55056976806</v>
      </c>
      <c r="BX12" s="214">
        <f t="shared" si="27"/>
        <v>620316.55056976806</v>
      </c>
      <c r="BY12" s="214">
        <f t="shared" si="27"/>
        <v>620316.55056976806</v>
      </c>
      <c r="BZ12" s="214">
        <f t="shared" si="27"/>
        <v>620316.55056976806</v>
      </c>
      <c r="CA12" s="214">
        <f t="shared" si="27"/>
        <v>620316.55056976806</v>
      </c>
      <c r="CB12" s="214">
        <f t="shared" si="27"/>
        <v>620316.55056976806</v>
      </c>
      <c r="CC12" s="214">
        <f t="shared" si="27"/>
        <v>620316.55056976806</v>
      </c>
      <c r="CD12" s="214">
        <f t="shared" si="27"/>
        <v>620316.55056976806</v>
      </c>
      <c r="CE12" s="214">
        <f t="shared" si="27"/>
        <v>620316.55056976806</v>
      </c>
      <c r="CF12" s="214">
        <f t="shared" si="27"/>
        <v>620316.55056976806</v>
      </c>
      <c r="CG12" s="214">
        <f t="shared" si="27"/>
        <v>620316.55056976806</v>
      </c>
      <c r="CH12" s="214">
        <f t="shared" si="27"/>
        <v>620316.55056976806</v>
      </c>
      <c r="CI12" s="214">
        <f t="shared" si="27"/>
        <v>620316.55056976806</v>
      </c>
      <c r="CJ12" s="214">
        <f t="shared" si="27"/>
        <v>620316.55056976806</v>
      </c>
      <c r="CK12" s="214">
        <f t="shared" si="27"/>
        <v>620316.55056976806</v>
      </c>
      <c r="CL12" s="214">
        <f t="shared" si="27"/>
        <v>620316.55056976806</v>
      </c>
      <c r="CM12" s="214">
        <f t="shared" si="27"/>
        <v>620316.55056976806</v>
      </c>
      <c r="CN12" s="214">
        <f t="shared" si="27"/>
        <v>620316.55056976806</v>
      </c>
      <c r="CO12" s="214">
        <f t="shared" si="27"/>
        <v>620316.55056976806</v>
      </c>
      <c r="CP12" s="214">
        <f t="shared" si="27"/>
        <v>620316.55056976806</v>
      </c>
      <c r="CQ12" s="214">
        <f t="shared" si="27"/>
        <v>620316.55056976806</v>
      </c>
      <c r="CR12" s="214">
        <f t="shared" si="27"/>
        <v>620316.55056976806</v>
      </c>
      <c r="CS12" s="214">
        <f t="shared" si="27"/>
        <v>620316.55056976806</v>
      </c>
      <c r="CT12" s="214">
        <f t="shared" si="27"/>
        <v>620316.55056976806</v>
      </c>
      <c r="CU12" s="214">
        <f t="shared" si="27"/>
        <v>620316.55056976806</v>
      </c>
      <c r="CV12" s="214">
        <f t="shared" si="27"/>
        <v>620316.55056976806</v>
      </c>
      <c r="CW12" s="214">
        <f t="shared" si="27"/>
        <v>620316.55056976806</v>
      </c>
      <c r="CX12" s="214">
        <f t="shared" si="27"/>
        <v>620316.55056976806</v>
      </c>
      <c r="CY12" s="214">
        <f t="shared" si="27"/>
        <v>620316.55056976806</v>
      </c>
      <c r="CZ12" s="214">
        <f t="shared" si="27"/>
        <v>620316.55056976806</v>
      </c>
      <c r="DA12" s="214">
        <f t="shared" si="27"/>
        <v>620316.55056976806</v>
      </c>
      <c r="DB12" s="214">
        <f t="shared" si="27"/>
        <v>620316.55056976806</v>
      </c>
      <c r="DC12" s="214">
        <f t="shared" si="27"/>
        <v>620316.55056976806</v>
      </c>
      <c r="DD12" s="214">
        <f t="shared" si="27"/>
        <v>620316.55056976806</v>
      </c>
      <c r="DE12" s="214">
        <f t="shared" si="27"/>
        <v>620316.55056976806</v>
      </c>
      <c r="DF12" s="214">
        <f t="shared" si="27"/>
        <v>620316.55056976806</v>
      </c>
      <c r="DG12" s="214">
        <f t="shared" si="27"/>
        <v>620316.55056976806</v>
      </c>
      <c r="DH12" s="214">
        <f t="shared" si="27"/>
        <v>620316.55056976806</v>
      </c>
      <c r="DI12" s="214">
        <f t="shared" si="27"/>
        <v>620316.55056976806</v>
      </c>
      <c r="DJ12" s="214">
        <f t="shared" si="27"/>
        <v>620316.55056976806</v>
      </c>
      <c r="DK12" s="214">
        <f t="shared" si="27"/>
        <v>620316.55056976806</v>
      </c>
      <c r="DL12" s="214">
        <f t="shared" si="27"/>
        <v>620316.55056976806</v>
      </c>
      <c r="DM12" s="214">
        <f t="shared" si="27"/>
        <v>620316.55056976806</v>
      </c>
      <c r="DN12" s="214">
        <f t="shared" si="27"/>
        <v>620316.55056976806</v>
      </c>
      <c r="DO12" s="214">
        <f t="shared" si="27"/>
        <v>620316.55056976806</v>
      </c>
      <c r="DP12" s="214">
        <f t="shared" si="27"/>
        <v>620316.55056976806</v>
      </c>
      <c r="DQ12" s="214">
        <f t="shared" si="27"/>
        <v>620316.55056976806</v>
      </c>
      <c r="DR12" s="214">
        <f t="shared" si="27"/>
        <v>620316.55056976806</v>
      </c>
      <c r="DS12" s="214">
        <f t="shared" si="27"/>
        <v>620316.55056976806</v>
      </c>
      <c r="DT12" s="214">
        <f t="shared" si="27"/>
        <v>620316.55056976806</v>
      </c>
      <c r="DU12" s="214">
        <f t="shared" si="27"/>
        <v>620316.55056976806</v>
      </c>
      <c r="DV12" s="214">
        <f t="shared" si="27"/>
        <v>620316.55056976806</v>
      </c>
      <c r="DW12" s="214">
        <f t="shared" si="27"/>
        <v>620316.55056976806</v>
      </c>
      <c r="DX12" s="214">
        <f t="shared" si="27"/>
        <v>620316.55056976806</v>
      </c>
      <c r="DY12" s="214">
        <f t="shared" si="27"/>
        <v>620316.55056976806</v>
      </c>
      <c r="DZ12" s="214">
        <f t="shared" si="27"/>
        <v>620316.55056976806</v>
      </c>
      <c r="EA12" s="214">
        <f t="shared" si="27"/>
        <v>620316.55056976806</v>
      </c>
      <c r="EB12" s="214">
        <f t="shared" si="27"/>
        <v>620316.55056976806</v>
      </c>
      <c r="EC12" s="214">
        <f t="shared" si="27"/>
        <v>620316.55056976806</v>
      </c>
      <c r="ED12" s="214">
        <f t="shared" si="27"/>
        <v>620316.55056976806</v>
      </c>
      <c r="EE12" s="214">
        <f t="shared" si="27"/>
        <v>620316.55056976806</v>
      </c>
      <c r="EF12" s="214">
        <f t="shared" si="27"/>
        <v>620316.55056976806</v>
      </c>
      <c r="EG12" s="214">
        <f t="shared" ref="EG12:GR12" si="28">EF12+EG11</f>
        <v>620316.55056976806</v>
      </c>
      <c r="EH12" s="214">
        <f t="shared" si="28"/>
        <v>620316.55056976806</v>
      </c>
      <c r="EI12" s="214">
        <f t="shared" si="28"/>
        <v>620316.55056976806</v>
      </c>
      <c r="EJ12" s="214">
        <f t="shared" si="28"/>
        <v>620316.55056976806</v>
      </c>
      <c r="EK12" s="214">
        <f t="shared" si="28"/>
        <v>620316.55056976806</v>
      </c>
      <c r="EL12" s="214">
        <f t="shared" si="28"/>
        <v>620316.55056976806</v>
      </c>
      <c r="EM12" s="214">
        <f t="shared" si="28"/>
        <v>620316.55056976806</v>
      </c>
      <c r="EN12" s="214">
        <f t="shared" si="28"/>
        <v>620316.55056976806</v>
      </c>
      <c r="EO12" s="214">
        <f t="shared" si="28"/>
        <v>620316.55056976806</v>
      </c>
      <c r="EP12" s="214">
        <f t="shared" si="28"/>
        <v>620316.55056976806</v>
      </c>
      <c r="EQ12" s="214">
        <f t="shared" si="28"/>
        <v>620316.55056976806</v>
      </c>
      <c r="ER12" s="214">
        <f t="shared" si="28"/>
        <v>620316.55056976806</v>
      </c>
      <c r="ES12" s="214">
        <f t="shared" si="28"/>
        <v>620316.55056976806</v>
      </c>
      <c r="ET12" s="214">
        <f t="shared" si="28"/>
        <v>620316.55056976806</v>
      </c>
      <c r="EU12" s="214">
        <f t="shared" si="28"/>
        <v>620316.55056976806</v>
      </c>
      <c r="EV12" s="214">
        <f t="shared" si="28"/>
        <v>620316.55056976806</v>
      </c>
      <c r="EW12" s="214">
        <f t="shared" si="28"/>
        <v>620316.55056976806</v>
      </c>
      <c r="EX12" s="214">
        <f t="shared" si="28"/>
        <v>620316.55056976806</v>
      </c>
      <c r="EY12" s="214">
        <f t="shared" si="28"/>
        <v>620316.55056976806</v>
      </c>
      <c r="EZ12" s="214">
        <f t="shared" si="28"/>
        <v>620316.55056976806</v>
      </c>
      <c r="FA12" s="214">
        <f t="shared" si="28"/>
        <v>620316.55056976806</v>
      </c>
      <c r="FB12" s="214">
        <f t="shared" si="28"/>
        <v>620316.55056976806</v>
      </c>
      <c r="FC12" s="214">
        <f t="shared" si="28"/>
        <v>620316.55056976806</v>
      </c>
      <c r="FD12" s="214">
        <f t="shared" si="28"/>
        <v>620316.55056976806</v>
      </c>
      <c r="FE12" s="214">
        <f t="shared" si="28"/>
        <v>620316.55056976806</v>
      </c>
      <c r="FF12" s="214">
        <f t="shared" si="28"/>
        <v>620316.55056976806</v>
      </c>
      <c r="FG12" s="214">
        <f t="shared" si="28"/>
        <v>620316.55056976806</v>
      </c>
      <c r="FH12" s="214">
        <f t="shared" si="28"/>
        <v>620316.55056976806</v>
      </c>
      <c r="FI12" s="214">
        <f t="shared" si="28"/>
        <v>620316.55056976806</v>
      </c>
      <c r="FJ12" s="214">
        <f t="shared" si="28"/>
        <v>620316.55056976806</v>
      </c>
      <c r="FK12" s="214">
        <f t="shared" si="28"/>
        <v>620316.55056976806</v>
      </c>
      <c r="FL12" s="214">
        <f t="shared" si="28"/>
        <v>620316.55056976806</v>
      </c>
      <c r="FM12" s="214">
        <f t="shared" si="28"/>
        <v>620316.55056976806</v>
      </c>
      <c r="FN12" s="214">
        <f t="shared" si="28"/>
        <v>620316.55056976806</v>
      </c>
      <c r="FO12" s="214">
        <f t="shared" si="28"/>
        <v>620316.55056976806</v>
      </c>
      <c r="FP12" s="214">
        <f t="shared" si="28"/>
        <v>620316.55056976806</v>
      </c>
      <c r="FQ12" s="214">
        <f t="shared" si="28"/>
        <v>620316.55056976806</v>
      </c>
      <c r="FR12" s="214">
        <f t="shared" si="28"/>
        <v>620316.55056976806</v>
      </c>
      <c r="FS12" s="214">
        <f t="shared" si="28"/>
        <v>620316.55056976806</v>
      </c>
      <c r="FT12" s="214">
        <f t="shared" si="28"/>
        <v>620316.55056976806</v>
      </c>
      <c r="FU12" s="214">
        <f t="shared" si="28"/>
        <v>620316.55056976806</v>
      </c>
      <c r="FV12" s="214">
        <f t="shared" si="28"/>
        <v>620316.55056976806</v>
      </c>
      <c r="FW12" s="214">
        <f t="shared" si="28"/>
        <v>620316.55056976806</v>
      </c>
      <c r="FX12" s="214">
        <f t="shared" si="28"/>
        <v>620316.55056976806</v>
      </c>
      <c r="FY12" s="214">
        <f t="shared" si="28"/>
        <v>620316.55056976806</v>
      </c>
      <c r="FZ12" s="214">
        <f t="shared" si="28"/>
        <v>620316.55056976806</v>
      </c>
      <c r="GA12" s="214">
        <f t="shared" si="28"/>
        <v>620316.55056976806</v>
      </c>
      <c r="GB12" s="214">
        <f t="shared" si="28"/>
        <v>620316.55056976806</v>
      </c>
      <c r="GC12" s="214">
        <f t="shared" si="28"/>
        <v>620316.55056976806</v>
      </c>
      <c r="GD12" s="214">
        <f t="shared" si="28"/>
        <v>620316.55056976806</v>
      </c>
      <c r="GE12" s="214">
        <f t="shared" si="28"/>
        <v>620316.55056976806</v>
      </c>
      <c r="GF12" s="214">
        <f t="shared" si="28"/>
        <v>620316.55056976806</v>
      </c>
      <c r="GG12" s="214">
        <f t="shared" si="28"/>
        <v>620316.55056976806</v>
      </c>
      <c r="GH12" s="214">
        <f t="shared" si="28"/>
        <v>620316.55056976806</v>
      </c>
      <c r="GI12" s="214">
        <f t="shared" si="28"/>
        <v>620316.55056976806</v>
      </c>
      <c r="GJ12" s="214">
        <f t="shared" si="28"/>
        <v>620316.55056976806</v>
      </c>
      <c r="GK12" s="214">
        <f t="shared" si="28"/>
        <v>620316.55056976806</v>
      </c>
      <c r="GL12" s="214">
        <f t="shared" si="28"/>
        <v>620316.55056976806</v>
      </c>
      <c r="GM12" s="214">
        <f t="shared" si="28"/>
        <v>620316.55056976806</v>
      </c>
      <c r="GN12" s="214">
        <f t="shared" si="28"/>
        <v>620316.55056976806</v>
      </c>
      <c r="GO12" s="214">
        <f t="shared" si="28"/>
        <v>620316.55056976806</v>
      </c>
      <c r="GP12" s="214">
        <f t="shared" si="28"/>
        <v>620316.55056976806</v>
      </c>
      <c r="GQ12" s="214">
        <f t="shared" si="28"/>
        <v>620316.55056976806</v>
      </c>
      <c r="GR12" s="214">
        <f t="shared" si="28"/>
        <v>620316.55056976806</v>
      </c>
      <c r="GS12" s="214">
        <f t="shared" ref="GS12:JD12" si="29">GR12+GS11</f>
        <v>620316.55056976806</v>
      </c>
      <c r="GT12" s="214">
        <f t="shared" si="29"/>
        <v>620316.55056976806</v>
      </c>
      <c r="GU12" s="214">
        <f t="shared" si="29"/>
        <v>620316.55056976806</v>
      </c>
      <c r="GV12" s="214">
        <f t="shared" si="29"/>
        <v>620316.55056976806</v>
      </c>
      <c r="GW12" s="214">
        <f t="shared" si="29"/>
        <v>620316.55056976806</v>
      </c>
      <c r="GX12" s="214">
        <f t="shared" si="29"/>
        <v>620316.55056976806</v>
      </c>
      <c r="GY12" s="214">
        <f t="shared" si="29"/>
        <v>620316.55056976806</v>
      </c>
      <c r="GZ12" s="214">
        <f t="shared" si="29"/>
        <v>620316.55056976806</v>
      </c>
      <c r="HA12" s="214">
        <f t="shared" si="29"/>
        <v>620316.55056976806</v>
      </c>
      <c r="HB12" s="214">
        <f t="shared" si="29"/>
        <v>620316.55056976806</v>
      </c>
      <c r="HC12" s="214">
        <f t="shared" si="29"/>
        <v>620316.55056976806</v>
      </c>
      <c r="HD12" s="214">
        <f t="shared" si="29"/>
        <v>620316.55056976806</v>
      </c>
      <c r="HE12" s="214">
        <f t="shared" si="29"/>
        <v>620316.55056976806</v>
      </c>
      <c r="HF12" s="214">
        <f t="shared" si="29"/>
        <v>620316.55056976806</v>
      </c>
      <c r="HG12" s="214">
        <f t="shared" si="29"/>
        <v>620316.55056976806</v>
      </c>
      <c r="HH12" s="214">
        <f t="shared" si="29"/>
        <v>620316.55056976806</v>
      </c>
      <c r="HI12" s="214">
        <f t="shared" si="29"/>
        <v>620316.55056976806</v>
      </c>
      <c r="HJ12" s="214">
        <f t="shared" si="29"/>
        <v>620316.55056976806</v>
      </c>
      <c r="HK12" s="214">
        <f t="shared" si="29"/>
        <v>620316.55056976806</v>
      </c>
      <c r="HL12" s="214">
        <f t="shared" si="29"/>
        <v>620316.55056976806</v>
      </c>
      <c r="HM12" s="214">
        <f t="shared" si="29"/>
        <v>620316.55056976806</v>
      </c>
      <c r="HN12" s="214">
        <f t="shared" si="29"/>
        <v>620316.55056976806</v>
      </c>
      <c r="HO12" s="214">
        <f t="shared" si="29"/>
        <v>620316.55056976806</v>
      </c>
      <c r="HP12" s="214">
        <f t="shared" si="29"/>
        <v>620316.55056976806</v>
      </c>
      <c r="HQ12" s="214">
        <f t="shared" si="29"/>
        <v>620316.55056976806</v>
      </c>
      <c r="HR12" s="214">
        <f t="shared" si="29"/>
        <v>620316.55056976806</v>
      </c>
      <c r="HS12" s="214">
        <f t="shared" si="29"/>
        <v>620316.55056976806</v>
      </c>
      <c r="HT12" s="214">
        <f t="shared" si="29"/>
        <v>620316.55056976806</v>
      </c>
      <c r="HU12" s="214">
        <f t="shared" si="29"/>
        <v>620316.55056976806</v>
      </c>
      <c r="HV12" s="214">
        <f t="shared" si="29"/>
        <v>620316.55056976806</v>
      </c>
      <c r="HW12" s="214">
        <f t="shared" si="29"/>
        <v>620316.55056976806</v>
      </c>
      <c r="HX12" s="214">
        <f t="shared" si="29"/>
        <v>620316.55056976806</v>
      </c>
      <c r="HY12" s="214">
        <f t="shared" si="29"/>
        <v>620316.55056976806</v>
      </c>
      <c r="HZ12" s="214">
        <f t="shared" si="29"/>
        <v>620316.55056976806</v>
      </c>
      <c r="IA12" s="214">
        <f t="shared" si="29"/>
        <v>620316.55056976806</v>
      </c>
      <c r="IB12" s="214">
        <f t="shared" si="29"/>
        <v>620316.55056976806</v>
      </c>
      <c r="IC12" s="214">
        <f t="shared" si="29"/>
        <v>620316.55056976806</v>
      </c>
      <c r="ID12" s="214">
        <f t="shared" si="29"/>
        <v>620316.55056976806</v>
      </c>
      <c r="IE12" s="214">
        <f t="shared" si="29"/>
        <v>620316.55056976806</v>
      </c>
      <c r="IF12" s="214">
        <f t="shared" si="29"/>
        <v>620316.55056976806</v>
      </c>
      <c r="IG12" s="214">
        <f t="shared" si="29"/>
        <v>620316.55056976806</v>
      </c>
      <c r="IH12" s="214">
        <f t="shared" si="29"/>
        <v>620316.55056976806</v>
      </c>
      <c r="II12" s="214">
        <f t="shared" si="29"/>
        <v>620316.55056976806</v>
      </c>
      <c r="IJ12" s="214">
        <f t="shared" si="29"/>
        <v>620316.55056976806</v>
      </c>
      <c r="IK12" s="214">
        <f t="shared" si="29"/>
        <v>620316.55056976806</v>
      </c>
      <c r="IL12" s="214">
        <f t="shared" si="29"/>
        <v>620316.55056976806</v>
      </c>
      <c r="IM12" s="214">
        <f t="shared" si="29"/>
        <v>620316.55056976806</v>
      </c>
      <c r="IN12" s="214">
        <f t="shared" si="29"/>
        <v>620316.55056976806</v>
      </c>
      <c r="IO12" s="214">
        <f t="shared" si="29"/>
        <v>620316.55056976806</v>
      </c>
      <c r="IP12" s="214">
        <f t="shared" si="29"/>
        <v>620316.55056976806</v>
      </c>
      <c r="IQ12" s="214">
        <f t="shared" si="29"/>
        <v>620316.55056976806</v>
      </c>
      <c r="IR12" s="214">
        <f t="shared" si="29"/>
        <v>620316.55056976806</v>
      </c>
      <c r="IS12" s="214">
        <f t="shared" si="29"/>
        <v>620316.55056976806</v>
      </c>
      <c r="IT12" s="214">
        <f t="shared" si="29"/>
        <v>620316.55056976806</v>
      </c>
      <c r="IU12" s="214">
        <f t="shared" si="29"/>
        <v>620316.55056976806</v>
      </c>
      <c r="IV12" s="214">
        <f t="shared" si="29"/>
        <v>620316.55056976806</v>
      </c>
      <c r="IW12" s="214">
        <f t="shared" si="29"/>
        <v>620316.55056976806</v>
      </c>
      <c r="IX12" s="214">
        <f t="shared" si="29"/>
        <v>620316.55056976806</v>
      </c>
      <c r="IY12" s="214">
        <f t="shared" si="29"/>
        <v>620316.55056976806</v>
      </c>
      <c r="IZ12" s="214">
        <f t="shared" si="29"/>
        <v>620316.55056976806</v>
      </c>
      <c r="JA12" s="214">
        <f t="shared" si="29"/>
        <v>620316.55056976806</v>
      </c>
      <c r="JB12" s="214">
        <f t="shared" si="29"/>
        <v>620316.55056976806</v>
      </c>
      <c r="JC12" s="214">
        <f t="shared" si="29"/>
        <v>620316.55056976806</v>
      </c>
      <c r="JD12" s="214">
        <f t="shared" si="29"/>
        <v>620316.55056976806</v>
      </c>
      <c r="JE12" s="214">
        <f t="shared" ref="JE12:LD12" si="30">JD12+JE11</f>
        <v>620316.55056976806</v>
      </c>
      <c r="JF12" s="214">
        <f t="shared" si="30"/>
        <v>620316.55056976806</v>
      </c>
      <c r="JG12" s="214">
        <f t="shared" si="30"/>
        <v>620316.55056976806</v>
      </c>
      <c r="JH12" s="214">
        <f t="shared" si="30"/>
        <v>620316.55056976806</v>
      </c>
      <c r="JI12" s="214">
        <f t="shared" si="30"/>
        <v>620316.55056976806</v>
      </c>
      <c r="JJ12" s="214">
        <f t="shared" si="30"/>
        <v>620316.55056976806</v>
      </c>
      <c r="JK12" s="214">
        <f t="shared" si="30"/>
        <v>620316.55056976806</v>
      </c>
      <c r="JL12" s="214">
        <f t="shared" si="30"/>
        <v>620316.55056976806</v>
      </c>
      <c r="JM12" s="214">
        <f t="shared" si="30"/>
        <v>620316.55056976806</v>
      </c>
      <c r="JN12" s="214">
        <f t="shared" si="30"/>
        <v>620316.55056976806</v>
      </c>
      <c r="JO12" s="214">
        <f t="shared" si="30"/>
        <v>620316.55056976806</v>
      </c>
      <c r="JP12" s="214">
        <f t="shared" si="30"/>
        <v>620316.55056976806</v>
      </c>
      <c r="JQ12" s="214">
        <f t="shared" si="30"/>
        <v>620316.55056976806</v>
      </c>
      <c r="JR12" s="214">
        <f t="shared" si="30"/>
        <v>620316.55056976806</v>
      </c>
      <c r="JS12" s="214">
        <f t="shared" si="30"/>
        <v>620316.55056976806</v>
      </c>
      <c r="JT12" s="214">
        <f t="shared" si="30"/>
        <v>620316.55056976806</v>
      </c>
      <c r="JU12" s="214">
        <f t="shared" si="30"/>
        <v>620316.55056976806</v>
      </c>
      <c r="JV12" s="214">
        <f t="shared" si="30"/>
        <v>620316.55056976806</v>
      </c>
      <c r="JW12" s="214">
        <f t="shared" si="30"/>
        <v>620316.55056976806</v>
      </c>
      <c r="JX12" s="214">
        <f t="shared" si="30"/>
        <v>620316.55056976806</v>
      </c>
      <c r="JY12" s="214">
        <f t="shared" si="30"/>
        <v>620316.55056976806</v>
      </c>
      <c r="JZ12" s="214">
        <f t="shared" si="30"/>
        <v>620316.55056976806</v>
      </c>
      <c r="KA12" s="214">
        <f t="shared" si="30"/>
        <v>620316.55056976806</v>
      </c>
      <c r="KB12" s="214">
        <f t="shared" si="30"/>
        <v>620316.55056976806</v>
      </c>
      <c r="KC12" s="214">
        <f t="shared" si="30"/>
        <v>620316.55056976806</v>
      </c>
      <c r="KD12" s="214">
        <f t="shared" si="30"/>
        <v>620316.55056976806</v>
      </c>
      <c r="KE12" s="214">
        <f t="shared" si="30"/>
        <v>620316.55056976806</v>
      </c>
      <c r="KF12" s="214">
        <f t="shared" si="30"/>
        <v>620316.55056976806</v>
      </c>
      <c r="KG12" s="214">
        <f t="shared" si="30"/>
        <v>620316.55056976806</v>
      </c>
      <c r="KH12" s="214">
        <f t="shared" si="30"/>
        <v>620316.55056976806</v>
      </c>
      <c r="KI12" s="214">
        <f t="shared" si="30"/>
        <v>620316.55056976806</v>
      </c>
      <c r="KJ12" s="214">
        <f t="shared" si="30"/>
        <v>620316.55056976806</v>
      </c>
      <c r="KK12" s="214">
        <f t="shared" si="30"/>
        <v>620316.55056976806</v>
      </c>
      <c r="KL12" s="214">
        <f t="shared" si="30"/>
        <v>620316.55056976806</v>
      </c>
      <c r="KM12" s="214">
        <f t="shared" si="30"/>
        <v>620316.55056976806</v>
      </c>
      <c r="KN12" s="214">
        <f t="shared" si="30"/>
        <v>620316.55056976806</v>
      </c>
      <c r="KO12" s="214">
        <f t="shared" si="30"/>
        <v>620316.55056976806</v>
      </c>
      <c r="KP12" s="214">
        <f t="shared" si="30"/>
        <v>620316.55056976806</v>
      </c>
      <c r="KQ12" s="214">
        <f t="shared" si="30"/>
        <v>620316.55056976806</v>
      </c>
      <c r="KR12" s="214">
        <f t="shared" si="30"/>
        <v>620316.55056976806</v>
      </c>
      <c r="KS12" s="214">
        <f t="shared" si="30"/>
        <v>620316.55056976806</v>
      </c>
      <c r="KT12" s="214">
        <f t="shared" si="30"/>
        <v>620316.55056976806</v>
      </c>
      <c r="KU12" s="214">
        <f t="shared" si="30"/>
        <v>620316.55056976806</v>
      </c>
      <c r="KV12" s="214">
        <f t="shared" si="30"/>
        <v>620316.55056976806</v>
      </c>
      <c r="KW12" s="214">
        <f t="shared" si="30"/>
        <v>620316.55056976806</v>
      </c>
      <c r="KX12" s="214">
        <f t="shared" si="30"/>
        <v>620316.55056976806</v>
      </c>
      <c r="KY12" s="214">
        <f t="shared" si="30"/>
        <v>620316.55056976806</v>
      </c>
      <c r="KZ12" s="214">
        <f t="shared" si="30"/>
        <v>620316.55056976806</v>
      </c>
      <c r="LA12" s="214">
        <f t="shared" si="30"/>
        <v>620316.55056976806</v>
      </c>
      <c r="LB12" s="214">
        <f t="shared" si="30"/>
        <v>620316.55056976806</v>
      </c>
      <c r="LC12" s="214">
        <f t="shared" si="30"/>
        <v>620316.55056976806</v>
      </c>
      <c r="LD12" s="214">
        <f t="shared" si="30"/>
        <v>620316.55056976806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239262.13273260568</v>
      </c>
      <c r="BH14" s="207">
        <f t="shared" si="32"/>
        <v>238762.13273260568</v>
      </c>
      <c r="BI14" s="207">
        <f t="shared" si="32"/>
        <v>221641.99501167797</v>
      </c>
      <c r="BJ14" s="207">
        <f t="shared" si="32"/>
        <v>221641.99501167797</v>
      </c>
      <c r="BK14" s="207">
        <f t="shared" si="32"/>
        <v>217656.99501167797</v>
      </c>
      <c r="BL14" s="207">
        <f t="shared" si="32"/>
        <v>217656.99501167797</v>
      </c>
      <c r="BM14" s="207">
        <f t="shared" si="32"/>
        <v>208050.69501167792</v>
      </c>
      <c r="BN14" s="207">
        <f t="shared" si="32"/>
        <v>208050.69501167792</v>
      </c>
      <c r="BO14" s="207">
        <f t="shared" si="32"/>
        <v>208050.69501167792</v>
      </c>
      <c r="BP14" s="207">
        <f t="shared" si="32"/>
        <v>208050.69501167792</v>
      </c>
      <c r="BQ14" s="207">
        <f t="shared" si="32"/>
        <v>208050.69501167792</v>
      </c>
      <c r="BR14" s="207">
        <f t="shared" si="32"/>
        <v>208050.69501167792</v>
      </c>
      <c r="BS14" s="207">
        <f t="shared" si="32"/>
        <v>208050.69501167792</v>
      </c>
      <c r="BT14" s="207">
        <f t="shared" si="32"/>
        <v>208050.69501167792</v>
      </c>
      <c r="BU14" s="207">
        <f t="shared" ref="BU14:EF14" si="33">BU10-BU12</f>
        <v>208050.69501167792</v>
      </c>
      <c r="BV14" s="207">
        <f t="shared" si="33"/>
        <v>208050.69501167792</v>
      </c>
      <c r="BW14" s="207">
        <f t="shared" si="33"/>
        <v>208050.69501167792</v>
      </c>
      <c r="BX14" s="207">
        <f t="shared" si="33"/>
        <v>208050.69501167792</v>
      </c>
      <c r="BY14" s="207">
        <f t="shared" si="33"/>
        <v>208050.69501167792</v>
      </c>
      <c r="BZ14" s="207">
        <f t="shared" si="33"/>
        <v>208050.69501167792</v>
      </c>
      <c r="CA14" s="207">
        <f t="shared" si="33"/>
        <v>208050.69501167792</v>
      </c>
      <c r="CB14" s="207">
        <f t="shared" si="33"/>
        <v>208050.69501167792</v>
      </c>
      <c r="CC14" s="207">
        <f t="shared" si="33"/>
        <v>208050.69501167792</v>
      </c>
      <c r="CD14" s="207">
        <f t="shared" si="33"/>
        <v>208050.69501167792</v>
      </c>
      <c r="CE14" s="207">
        <f t="shared" si="33"/>
        <v>208050.69501167792</v>
      </c>
      <c r="CF14" s="207">
        <f t="shared" si="33"/>
        <v>208050.69501167792</v>
      </c>
      <c r="CG14" s="207">
        <f t="shared" si="33"/>
        <v>208050.69501167792</v>
      </c>
      <c r="CH14" s="207">
        <f t="shared" si="33"/>
        <v>208050.69501167792</v>
      </c>
      <c r="CI14" s="207">
        <f t="shared" si="33"/>
        <v>208050.69501167792</v>
      </c>
      <c r="CJ14" s="207">
        <f t="shared" si="33"/>
        <v>208050.69501167792</v>
      </c>
      <c r="CK14" s="207">
        <f t="shared" si="33"/>
        <v>208050.69501167792</v>
      </c>
      <c r="CL14" s="207">
        <f t="shared" si="33"/>
        <v>208050.69501167792</v>
      </c>
      <c r="CM14" s="207">
        <f t="shared" si="33"/>
        <v>208050.69501167792</v>
      </c>
      <c r="CN14" s="207">
        <f t="shared" si="33"/>
        <v>208050.69501167792</v>
      </c>
      <c r="CO14" s="207">
        <f t="shared" si="33"/>
        <v>208050.69501167792</v>
      </c>
      <c r="CP14" s="207">
        <f t="shared" si="33"/>
        <v>208050.69501167792</v>
      </c>
      <c r="CQ14" s="207">
        <f t="shared" si="33"/>
        <v>208050.69501167792</v>
      </c>
      <c r="CR14" s="207">
        <f t="shared" si="33"/>
        <v>208050.69501167792</v>
      </c>
      <c r="CS14" s="207">
        <f t="shared" si="33"/>
        <v>208050.69501167792</v>
      </c>
      <c r="CT14" s="207">
        <f t="shared" si="33"/>
        <v>208050.69501167792</v>
      </c>
      <c r="CU14" s="207">
        <f t="shared" si="33"/>
        <v>208050.69501167792</v>
      </c>
      <c r="CV14" s="207">
        <f t="shared" si="33"/>
        <v>208050.69501167792</v>
      </c>
      <c r="CW14" s="207">
        <f t="shared" si="33"/>
        <v>208050.69501167792</v>
      </c>
      <c r="CX14" s="207">
        <f t="shared" si="33"/>
        <v>208050.69501167792</v>
      </c>
      <c r="CY14" s="207">
        <f t="shared" si="33"/>
        <v>208050.69501167792</v>
      </c>
      <c r="CZ14" s="207">
        <f t="shared" si="33"/>
        <v>208050.69501167792</v>
      </c>
      <c r="DA14" s="207">
        <f t="shared" si="33"/>
        <v>208050.69501167792</v>
      </c>
      <c r="DB14" s="207">
        <f t="shared" si="33"/>
        <v>208050.69501167792</v>
      </c>
      <c r="DC14" s="207">
        <f t="shared" si="33"/>
        <v>208050.69501167792</v>
      </c>
      <c r="DD14" s="207">
        <f t="shared" si="33"/>
        <v>208050.69501167792</v>
      </c>
      <c r="DE14" s="207">
        <f t="shared" si="33"/>
        <v>208050.69501167792</v>
      </c>
      <c r="DF14" s="207">
        <f t="shared" si="33"/>
        <v>208050.69501167792</v>
      </c>
      <c r="DG14" s="207">
        <f t="shared" si="33"/>
        <v>208050.69501167792</v>
      </c>
      <c r="DH14" s="207">
        <f t="shared" si="33"/>
        <v>208050.69501167792</v>
      </c>
      <c r="DI14" s="207">
        <f t="shared" si="33"/>
        <v>208050.69501167792</v>
      </c>
      <c r="DJ14" s="207">
        <f t="shared" si="33"/>
        <v>208050.69501167792</v>
      </c>
      <c r="DK14" s="207">
        <f t="shared" si="33"/>
        <v>208050.69501167792</v>
      </c>
      <c r="DL14" s="207">
        <f t="shared" si="33"/>
        <v>208050.69501167792</v>
      </c>
      <c r="DM14" s="207">
        <f t="shared" si="33"/>
        <v>208050.69501167792</v>
      </c>
      <c r="DN14" s="207">
        <f t="shared" si="33"/>
        <v>208050.69501167792</v>
      </c>
      <c r="DO14" s="207">
        <f t="shared" si="33"/>
        <v>208050.69501167792</v>
      </c>
      <c r="DP14" s="207">
        <f t="shared" si="33"/>
        <v>208050.69501167792</v>
      </c>
      <c r="DQ14" s="207">
        <f t="shared" si="33"/>
        <v>208050.69501167792</v>
      </c>
      <c r="DR14" s="207">
        <f t="shared" si="33"/>
        <v>208050.69501167792</v>
      </c>
      <c r="DS14" s="207">
        <f t="shared" si="33"/>
        <v>208050.69501167792</v>
      </c>
      <c r="DT14" s="207">
        <f t="shared" si="33"/>
        <v>208050.69501167792</v>
      </c>
      <c r="DU14" s="207">
        <f t="shared" si="33"/>
        <v>208050.69501167792</v>
      </c>
      <c r="DV14" s="207">
        <f t="shared" si="33"/>
        <v>208050.69501167792</v>
      </c>
      <c r="DW14" s="207">
        <f t="shared" si="33"/>
        <v>208050.69501167792</v>
      </c>
      <c r="DX14" s="207">
        <f t="shared" si="33"/>
        <v>208050.69501167792</v>
      </c>
      <c r="DY14" s="207">
        <f t="shared" si="33"/>
        <v>208050.69501167792</v>
      </c>
      <c r="DZ14" s="207">
        <f t="shared" si="33"/>
        <v>208050.69501167792</v>
      </c>
      <c r="EA14" s="207">
        <f t="shared" si="33"/>
        <v>208050.69501167792</v>
      </c>
      <c r="EB14" s="207">
        <f t="shared" si="33"/>
        <v>208050.69501167792</v>
      </c>
      <c r="EC14" s="207">
        <f t="shared" si="33"/>
        <v>208050.69501167792</v>
      </c>
      <c r="ED14" s="207">
        <f t="shared" si="33"/>
        <v>208050.69501167792</v>
      </c>
      <c r="EE14" s="207">
        <f t="shared" si="33"/>
        <v>208050.69501167792</v>
      </c>
      <c r="EF14" s="207">
        <f t="shared" si="33"/>
        <v>208050.69501167792</v>
      </c>
      <c r="EG14" s="207">
        <f t="shared" ref="EG14:GR14" si="34">EG10-EG12</f>
        <v>208050.69501167792</v>
      </c>
      <c r="EH14" s="207">
        <f t="shared" si="34"/>
        <v>208050.69501167792</v>
      </c>
      <c r="EI14" s="207">
        <f t="shared" si="34"/>
        <v>208050.69501167792</v>
      </c>
      <c r="EJ14" s="207">
        <f t="shared" si="34"/>
        <v>208050.69501167792</v>
      </c>
      <c r="EK14" s="207">
        <f t="shared" si="34"/>
        <v>208050.69501167792</v>
      </c>
      <c r="EL14" s="207">
        <f t="shared" si="34"/>
        <v>208050.69501167792</v>
      </c>
      <c r="EM14" s="207">
        <f t="shared" si="34"/>
        <v>208050.69501167792</v>
      </c>
      <c r="EN14" s="207">
        <f t="shared" si="34"/>
        <v>208050.69501167792</v>
      </c>
      <c r="EO14" s="207">
        <f t="shared" si="34"/>
        <v>208050.69501167792</v>
      </c>
      <c r="EP14" s="207">
        <f t="shared" si="34"/>
        <v>208050.69501167792</v>
      </c>
      <c r="EQ14" s="207">
        <f t="shared" si="34"/>
        <v>208050.69501167792</v>
      </c>
      <c r="ER14" s="207">
        <f t="shared" si="34"/>
        <v>208050.69501167792</v>
      </c>
      <c r="ES14" s="207">
        <f t="shared" si="34"/>
        <v>208050.69501167792</v>
      </c>
      <c r="ET14" s="207">
        <f t="shared" si="34"/>
        <v>208050.69501167792</v>
      </c>
      <c r="EU14" s="207">
        <f t="shared" si="34"/>
        <v>208050.69501167792</v>
      </c>
      <c r="EV14" s="207">
        <f t="shared" si="34"/>
        <v>208050.69501167792</v>
      </c>
      <c r="EW14" s="207">
        <f t="shared" si="34"/>
        <v>208050.69501167792</v>
      </c>
      <c r="EX14" s="207">
        <f t="shared" si="34"/>
        <v>208050.69501167792</v>
      </c>
      <c r="EY14" s="207">
        <f t="shared" si="34"/>
        <v>208050.69501167792</v>
      </c>
      <c r="EZ14" s="207">
        <f t="shared" si="34"/>
        <v>208050.69501167792</v>
      </c>
      <c r="FA14" s="207">
        <f t="shared" si="34"/>
        <v>208050.69501167792</v>
      </c>
      <c r="FB14" s="207">
        <f t="shared" si="34"/>
        <v>208050.69501167792</v>
      </c>
      <c r="FC14" s="207">
        <f t="shared" si="34"/>
        <v>208050.69501167792</v>
      </c>
      <c r="FD14" s="207">
        <f t="shared" si="34"/>
        <v>208050.69501167792</v>
      </c>
      <c r="FE14" s="207">
        <f t="shared" si="34"/>
        <v>208050.69501167792</v>
      </c>
      <c r="FF14" s="207">
        <f t="shared" si="34"/>
        <v>208050.69501167792</v>
      </c>
      <c r="FG14" s="207">
        <f t="shared" si="34"/>
        <v>208050.69501167792</v>
      </c>
      <c r="FH14" s="207">
        <f t="shared" si="34"/>
        <v>208050.69501167792</v>
      </c>
      <c r="FI14" s="207">
        <f t="shared" si="34"/>
        <v>208050.69501167792</v>
      </c>
      <c r="FJ14" s="207">
        <f t="shared" si="34"/>
        <v>208050.69501167792</v>
      </c>
      <c r="FK14" s="207">
        <f t="shared" si="34"/>
        <v>208050.69501167792</v>
      </c>
      <c r="FL14" s="207">
        <f t="shared" si="34"/>
        <v>208050.69501167792</v>
      </c>
      <c r="FM14" s="207">
        <f t="shared" si="34"/>
        <v>208050.69501167792</v>
      </c>
      <c r="FN14" s="207">
        <f t="shared" si="34"/>
        <v>208050.69501167792</v>
      </c>
      <c r="FO14" s="207">
        <f t="shared" si="34"/>
        <v>208050.69501167792</v>
      </c>
      <c r="FP14" s="207">
        <f t="shared" si="34"/>
        <v>208050.69501167792</v>
      </c>
      <c r="FQ14" s="207">
        <f t="shared" si="34"/>
        <v>208050.69501167792</v>
      </c>
      <c r="FR14" s="207">
        <f t="shared" si="34"/>
        <v>208050.69501167792</v>
      </c>
      <c r="FS14" s="207">
        <f t="shared" si="34"/>
        <v>208050.69501167792</v>
      </c>
      <c r="FT14" s="207">
        <f t="shared" si="34"/>
        <v>208050.69501167792</v>
      </c>
      <c r="FU14" s="207">
        <f t="shared" si="34"/>
        <v>208050.69501167792</v>
      </c>
      <c r="FV14" s="207">
        <f t="shared" si="34"/>
        <v>208050.69501167792</v>
      </c>
      <c r="FW14" s="207">
        <f t="shared" si="34"/>
        <v>208050.69501167792</v>
      </c>
      <c r="FX14" s="207">
        <f t="shared" si="34"/>
        <v>208050.69501167792</v>
      </c>
      <c r="FY14" s="207">
        <f t="shared" si="34"/>
        <v>208050.69501167792</v>
      </c>
      <c r="FZ14" s="207">
        <f t="shared" si="34"/>
        <v>208050.69501167792</v>
      </c>
      <c r="GA14" s="207">
        <f t="shared" si="34"/>
        <v>208050.69501167792</v>
      </c>
      <c r="GB14" s="207">
        <f t="shared" si="34"/>
        <v>208050.69501167792</v>
      </c>
      <c r="GC14" s="207">
        <f t="shared" si="34"/>
        <v>208050.69501167792</v>
      </c>
      <c r="GD14" s="207">
        <f t="shared" si="34"/>
        <v>208050.69501167792</v>
      </c>
      <c r="GE14" s="207">
        <f t="shared" si="34"/>
        <v>208050.69501167792</v>
      </c>
      <c r="GF14" s="207">
        <f t="shared" si="34"/>
        <v>208050.69501167792</v>
      </c>
      <c r="GG14" s="207">
        <f t="shared" si="34"/>
        <v>208050.69501167792</v>
      </c>
      <c r="GH14" s="207">
        <f t="shared" si="34"/>
        <v>208050.69501167792</v>
      </c>
      <c r="GI14" s="207">
        <f t="shared" si="34"/>
        <v>208050.69501167792</v>
      </c>
      <c r="GJ14" s="207">
        <f t="shared" si="34"/>
        <v>208050.69501167792</v>
      </c>
      <c r="GK14" s="207">
        <f t="shared" si="34"/>
        <v>208050.69501167792</v>
      </c>
      <c r="GL14" s="207">
        <f t="shared" si="34"/>
        <v>208050.69501167792</v>
      </c>
      <c r="GM14" s="207">
        <f t="shared" si="34"/>
        <v>208050.69501167792</v>
      </c>
      <c r="GN14" s="207">
        <f t="shared" si="34"/>
        <v>208050.69501167792</v>
      </c>
      <c r="GO14" s="207">
        <f t="shared" si="34"/>
        <v>208050.69501167792</v>
      </c>
      <c r="GP14" s="207">
        <f t="shared" si="34"/>
        <v>208050.69501167792</v>
      </c>
      <c r="GQ14" s="207">
        <f t="shared" si="34"/>
        <v>208050.69501167792</v>
      </c>
      <c r="GR14" s="207">
        <f t="shared" si="34"/>
        <v>208050.69501167792</v>
      </c>
      <c r="GS14" s="207">
        <f t="shared" ref="GS14:JD14" si="35">GS10-GS12</f>
        <v>208050.69501167792</v>
      </c>
      <c r="GT14" s="207">
        <f t="shared" si="35"/>
        <v>208050.69501167792</v>
      </c>
      <c r="GU14" s="207">
        <f t="shared" si="35"/>
        <v>208050.69501167792</v>
      </c>
      <c r="GV14" s="207">
        <f t="shared" si="35"/>
        <v>208050.69501167792</v>
      </c>
      <c r="GW14" s="207">
        <f t="shared" si="35"/>
        <v>208050.69501167792</v>
      </c>
      <c r="GX14" s="207">
        <f t="shared" si="35"/>
        <v>208050.69501167792</v>
      </c>
      <c r="GY14" s="207">
        <f t="shared" si="35"/>
        <v>208050.69501167792</v>
      </c>
      <c r="GZ14" s="207">
        <f t="shared" si="35"/>
        <v>208050.69501167792</v>
      </c>
      <c r="HA14" s="207">
        <f t="shared" si="35"/>
        <v>208050.69501167792</v>
      </c>
      <c r="HB14" s="207">
        <f t="shared" si="35"/>
        <v>208050.69501167792</v>
      </c>
      <c r="HC14" s="207">
        <f t="shared" si="35"/>
        <v>208050.69501167792</v>
      </c>
      <c r="HD14" s="207">
        <f t="shared" si="35"/>
        <v>208050.69501167792</v>
      </c>
      <c r="HE14" s="207">
        <f t="shared" si="35"/>
        <v>208050.69501167792</v>
      </c>
      <c r="HF14" s="207">
        <f t="shared" si="35"/>
        <v>208050.69501167792</v>
      </c>
      <c r="HG14" s="207">
        <f t="shared" si="35"/>
        <v>208050.69501167792</v>
      </c>
      <c r="HH14" s="207">
        <f t="shared" si="35"/>
        <v>208050.69501167792</v>
      </c>
      <c r="HI14" s="207">
        <f t="shared" si="35"/>
        <v>208050.69501167792</v>
      </c>
      <c r="HJ14" s="207">
        <f t="shared" si="35"/>
        <v>208050.69501167792</v>
      </c>
      <c r="HK14" s="207">
        <f t="shared" si="35"/>
        <v>208050.69501167792</v>
      </c>
      <c r="HL14" s="207">
        <f t="shared" si="35"/>
        <v>208050.69501167792</v>
      </c>
      <c r="HM14" s="207">
        <f t="shared" si="35"/>
        <v>208050.69501167792</v>
      </c>
      <c r="HN14" s="207">
        <f t="shared" si="35"/>
        <v>208050.69501167792</v>
      </c>
      <c r="HO14" s="207">
        <f t="shared" si="35"/>
        <v>208050.69501167792</v>
      </c>
      <c r="HP14" s="207">
        <f t="shared" si="35"/>
        <v>208050.69501167792</v>
      </c>
      <c r="HQ14" s="207">
        <f t="shared" si="35"/>
        <v>208050.69501167792</v>
      </c>
      <c r="HR14" s="207">
        <f t="shared" si="35"/>
        <v>208050.69501167792</v>
      </c>
      <c r="HS14" s="207">
        <f t="shared" si="35"/>
        <v>208050.69501167792</v>
      </c>
      <c r="HT14" s="207">
        <f t="shared" si="35"/>
        <v>208050.69501167792</v>
      </c>
      <c r="HU14" s="207">
        <f t="shared" si="35"/>
        <v>208050.69501167792</v>
      </c>
      <c r="HV14" s="207">
        <f t="shared" si="35"/>
        <v>208050.69501167792</v>
      </c>
      <c r="HW14" s="207">
        <f t="shared" si="35"/>
        <v>208050.69501167792</v>
      </c>
      <c r="HX14" s="207">
        <f t="shared" si="35"/>
        <v>208050.69501167792</v>
      </c>
      <c r="HY14" s="207">
        <f t="shared" si="35"/>
        <v>208050.69501167792</v>
      </c>
      <c r="HZ14" s="207">
        <f t="shared" si="35"/>
        <v>208050.69501167792</v>
      </c>
      <c r="IA14" s="207">
        <f t="shared" si="35"/>
        <v>208050.69501167792</v>
      </c>
      <c r="IB14" s="207">
        <f t="shared" si="35"/>
        <v>208050.69501167792</v>
      </c>
      <c r="IC14" s="207">
        <f t="shared" si="35"/>
        <v>208050.69501167792</v>
      </c>
      <c r="ID14" s="207">
        <f t="shared" si="35"/>
        <v>208050.69501167792</v>
      </c>
      <c r="IE14" s="207">
        <f t="shared" si="35"/>
        <v>208050.69501167792</v>
      </c>
      <c r="IF14" s="207">
        <f t="shared" si="35"/>
        <v>208050.69501167792</v>
      </c>
      <c r="IG14" s="207">
        <f t="shared" si="35"/>
        <v>208050.69501167792</v>
      </c>
      <c r="IH14" s="207">
        <f t="shared" si="35"/>
        <v>208050.69501167792</v>
      </c>
      <c r="II14" s="207">
        <f t="shared" si="35"/>
        <v>208050.69501167792</v>
      </c>
      <c r="IJ14" s="207">
        <f t="shared" si="35"/>
        <v>208050.69501167792</v>
      </c>
      <c r="IK14" s="207">
        <f t="shared" si="35"/>
        <v>208050.69501167792</v>
      </c>
      <c r="IL14" s="207">
        <f t="shared" si="35"/>
        <v>208050.69501167792</v>
      </c>
      <c r="IM14" s="207">
        <f t="shared" si="35"/>
        <v>208050.69501167792</v>
      </c>
      <c r="IN14" s="207">
        <f t="shared" si="35"/>
        <v>208050.69501167792</v>
      </c>
      <c r="IO14" s="207">
        <f t="shared" si="35"/>
        <v>208050.69501167792</v>
      </c>
      <c r="IP14" s="207">
        <f t="shared" si="35"/>
        <v>208050.69501167792</v>
      </c>
      <c r="IQ14" s="207">
        <f t="shared" si="35"/>
        <v>208050.69501167792</v>
      </c>
      <c r="IR14" s="207">
        <f t="shared" si="35"/>
        <v>208050.69501167792</v>
      </c>
      <c r="IS14" s="207">
        <f t="shared" si="35"/>
        <v>208050.69501167792</v>
      </c>
      <c r="IT14" s="207">
        <f t="shared" si="35"/>
        <v>208050.69501167792</v>
      </c>
      <c r="IU14" s="207">
        <f t="shared" si="35"/>
        <v>208050.69501167792</v>
      </c>
      <c r="IV14" s="207">
        <f t="shared" si="35"/>
        <v>208050.69501167792</v>
      </c>
      <c r="IW14" s="207">
        <f t="shared" si="35"/>
        <v>208050.69501167792</v>
      </c>
      <c r="IX14" s="207">
        <f t="shared" si="35"/>
        <v>208050.69501167792</v>
      </c>
      <c r="IY14" s="207">
        <f t="shared" si="35"/>
        <v>208050.69501167792</v>
      </c>
      <c r="IZ14" s="207">
        <f t="shared" si="35"/>
        <v>208050.69501167792</v>
      </c>
      <c r="JA14" s="207">
        <f t="shared" si="35"/>
        <v>208050.69501167792</v>
      </c>
      <c r="JB14" s="207">
        <f t="shared" si="35"/>
        <v>208050.69501167792</v>
      </c>
      <c r="JC14" s="207">
        <f t="shared" si="35"/>
        <v>208050.69501167792</v>
      </c>
      <c r="JD14" s="207">
        <f t="shared" si="35"/>
        <v>208050.69501167792</v>
      </c>
      <c r="JE14" s="207">
        <f t="shared" ref="JE14:LD14" si="36">JE10-JE12</f>
        <v>208050.69501167792</v>
      </c>
      <c r="JF14" s="207">
        <f t="shared" si="36"/>
        <v>208050.69501167792</v>
      </c>
      <c r="JG14" s="207">
        <f t="shared" si="36"/>
        <v>208050.69501167792</v>
      </c>
      <c r="JH14" s="207">
        <f t="shared" si="36"/>
        <v>208050.69501167792</v>
      </c>
      <c r="JI14" s="207">
        <f t="shared" si="36"/>
        <v>208050.69501167792</v>
      </c>
      <c r="JJ14" s="207">
        <f t="shared" si="36"/>
        <v>208050.69501167792</v>
      </c>
      <c r="JK14" s="207">
        <f t="shared" si="36"/>
        <v>208050.69501167792</v>
      </c>
      <c r="JL14" s="207">
        <f t="shared" si="36"/>
        <v>208050.69501167792</v>
      </c>
      <c r="JM14" s="207">
        <f t="shared" si="36"/>
        <v>208050.69501167792</v>
      </c>
      <c r="JN14" s="207">
        <f t="shared" si="36"/>
        <v>208050.69501167792</v>
      </c>
      <c r="JO14" s="207">
        <f t="shared" si="36"/>
        <v>208050.69501167792</v>
      </c>
      <c r="JP14" s="207">
        <f t="shared" si="36"/>
        <v>208050.69501167792</v>
      </c>
      <c r="JQ14" s="207">
        <f t="shared" si="36"/>
        <v>208050.69501167792</v>
      </c>
      <c r="JR14" s="207">
        <f t="shared" si="36"/>
        <v>208050.69501167792</v>
      </c>
      <c r="JS14" s="207">
        <f t="shared" si="36"/>
        <v>208050.69501167792</v>
      </c>
      <c r="JT14" s="207">
        <f t="shared" si="36"/>
        <v>208050.69501167792</v>
      </c>
      <c r="JU14" s="207">
        <f t="shared" si="36"/>
        <v>208050.69501167792</v>
      </c>
      <c r="JV14" s="207">
        <f t="shared" si="36"/>
        <v>208050.69501167792</v>
      </c>
      <c r="JW14" s="207">
        <f t="shared" si="36"/>
        <v>208050.69501167792</v>
      </c>
      <c r="JX14" s="207">
        <f t="shared" si="36"/>
        <v>208050.69501167792</v>
      </c>
      <c r="JY14" s="207">
        <f t="shared" si="36"/>
        <v>208050.69501167792</v>
      </c>
      <c r="JZ14" s="207">
        <f t="shared" si="36"/>
        <v>208050.69501167792</v>
      </c>
      <c r="KA14" s="207">
        <f t="shared" si="36"/>
        <v>208050.69501167792</v>
      </c>
      <c r="KB14" s="207">
        <f t="shared" si="36"/>
        <v>208050.69501167792</v>
      </c>
      <c r="KC14" s="207">
        <f t="shared" si="36"/>
        <v>208050.69501167792</v>
      </c>
      <c r="KD14" s="207">
        <f t="shared" si="36"/>
        <v>208050.69501167792</v>
      </c>
      <c r="KE14" s="207">
        <f t="shared" si="36"/>
        <v>208050.69501167792</v>
      </c>
      <c r="KF14" s="207">
        <f t="shared" si="36"/>
        <v>208050.69501167792</v>
      </c>
      <c r="KG14" s="207">
        <f t="shared" si="36"/>
        <v>208050.69501167792</v>
      </c>
      <c r="KH14" s="207">
        <f t="shared" si="36"/>
        <v>208050.69501167792</v>
      </c>
      <c r="KI14" s="207">
        <f t="shared" si="36"/>
        <v>208050.69501167792</v>
      </c>
      <c r="KJ14" s="207">
        <f t="shared" si="36"/>
        <v>208050.69501167792</v>
      </c>
      <c r="KK14" s="207">
        <f t="shared" si="36"/>
        <v>208050.69501167792</v>
      </c>
      <c r="KL14" s="207">
        <f t="shared" si="36"/>
        <v>208050.69501167792</v>
      </c>
      <c r="KM14" s="207">
        <f t="shared" si="36"/>
        <v>208050.69501167792</v>
      </c>
      <c r="KN14" s="207">
        <f t="shared" si="36"/>
        <v>208050.69501167792</v>
      </c>
      <c r="KO14" s="207">
        <f t="shared" si="36"/>
        <v>208050.69501167792</v>
      </c>
      <c r="KP14" s="207">
        <f t="shared" si="36"/>
        <v>208050.69501167792</v>
      </c>
      <c r="KQ14" s="207">
        <f t="shared" si="36"/>
        <v>208050.69501167792</v>
      </c>
      <c r="KR14" s="207">
        <f t="shared" si="36"/>
        <v>208050.69501167792</v>
      </c>
      <c r="KS14" s="207">
        <f t="shared" si="36"/>
        <v>208050.69501167792</v>
      </c>
      <c r="KT14" s="207">
        <f t="shared" si="36"/>
        <v>208050.69501167792</v>
      </c>
      <c r="KU14" s="207">
        <f t="shared" si="36"/>
        <v>208050.69501167792</v>
      </c>
      <c r="KV14" s="207">
        <f t="shared" si="36"/>
        <v>208050.69501167792</v>
      </c>
      <c r="KW14" s="207">
        <f t="shared" si="36"/>
        <v>208050.69501167792</v>
      </c>
      <c r="KX14" s="207">
        <f t="shared" si="36"/>
        <v>208050.69501167792</v>
      </c>
      <c r="KY14" s="207">
        <f t="shared" si="36"/>
        <v>208050.69501167792</v>
      </c>
      <c r="KZ14" s="207">
        <f t="shared" si="36"/>
        <v>208050.69501167792</v>
      </c>
      <c r="LA14" s="207">
        <f t="shared" si="36"/>
        <v>208050.69501167792</v>
      </c>
      <c r="LB14" s="207">
        <f t="shared" si="36"/>
        <v>208050.69501167792</v>
      </c>
      <c r="LC14" s="207">
        <f t="shared" si="36"/>
        <v>208050.69501167792</v>
      </c>
      <c r="LD14" s="207">
        <f t="shared" si="36"/>
        <v>208050.69501167792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1"/>
      <c r="B17" s="195" t="s">
        <v>389</v>
      </c>
      <c r="C17" s="373">
        <f>C3-D17</f>
        <v>1940.3996894655284</v>
      </c>
      <c r="D17" s="196">
        <f>SUM(F17:LD17)</f>
        <v>826426.84589198045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353862.85581953498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390</v>
      </c>
      <c r="C18" s="373">
        <f>D17-D18</f>
        <v>0</v>
      </c>
      <c r="D18" s="196">
        <f>MAX(F18:LD18)</f>
        <v>826426.84589198045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552890.98816430825</v>
      </c>
      <c r="AQ18" s="214">
        <f t="shared" si="37"/>
        <v>552890.98816430825</v>
      </c>
      <c r="AR18" s="214">
        <f t="shared" si="37"/>
        <v>552890.98816430825</v>
      </c>
      <c r="AS18" s="214">
        <f t="shared" si="37"/>
        <v>552890.98816430825</v>
      </c>
      <c r="AT18" s="214">
        <f t="shared" si="37"/>
        <v>601907.34898914699</v>
      </c>
      <c r="AU18" s="214">
        <f t="shared" si="37"/>
        <v>601907.34898914699</v>
      </c>
      <c r="AV18" s="214">
        <f t="shared" si="37"/>
        <v>601907.34898914699</v>
      </c>
      <c r="AW18" s="214">
        <f t="shared" si="37"/>
        <v>601907.34898914699</v>
      </c>
      <c r="AX18" s="214">
        <f t="shared" si="37"/>
        <v>690094.26813338301</v>
      </c>
      <c r="AY18" s="214">
        <f t="shared" si="37"/>
        <v>690094.26813338301</v>
      </c>
      <c r="AZ18" s="214">
        <f t="shared" si="37"/>
        <v>690094.26813338301</v>
      </c>
      <c r="BA18" s="214">
        <f t="shared" si="37"/>
        <v>690094.26813338301</v>
      </c>
      <c r="BB18" s="214">
        <f t="shared" si="37"/>
        <v>690094.26813338301</v>
      </c>
      <c r="BC18" s="214">
        <f t="shared" si="37"/>
        <v>752875.8328112982</v>
      </c>
      <c r="BD18" s="214">
        <f t="shared" si="37"/>
        <v>752875.8328112982</v>
      </c>
      <c r="BE18" s="214">
        <f t="shared" si="37"/>
        <v>752875.8328112982</v>
      </c>
      <c r="BF18" s="214">
        <f t="shared" si="37"/>
        <v>752875.8328112982</v>
      </c>
      <c r="BG18" s="214">
        <f t="shared" si="37"/>
        <v>766465.6053134813</v>
      </c>
      <c r="BH18" s="214">
        <f t="shared" si="37"/>
        <v>766465.6053134813</v>
      </c>
      <c r="BI18" s="214">
        <f t="shared" si="37"/>
        <v>766465.6053134813</v>
      </c>
      <c r="BJ18" s="214">
        <f t="shared" si="37"/>
        <v>766465.6053134813</v>
      </c>
      <c r="BK18" s="214">
        <f t="shared" si="37"/>
        <v>826426.84589198045</v>
      </c>
      <c r="BL18" s="214">
        <f t="shared" si="37"/>
        <v>826426.84589198045</v>
      </c>
      <c r="BM18" s="214">
        <f t="shared" si="37"/>
        <v>826426.84589198045</v>
      </c>
      <c r="BN18" s="214">
        <f t="shared" si="37"/>
        <v>826426.84589198045</v>
      </c>
      <c r="BO18" s="214">
        <f t="shared" si="37"/>
        <v>826426.84589198045</v>
      </c>
      <c r="BP18" s="214">
        <f t="shared" si="37"/>
        <v>826426.84589198045</v>
      </c>
      <c r="BQ18" s="214">
        <f t="shared" si="37"/>
        <v>826426.84589198045</v>
      </c>
      <c r="BR18" s="214">
        <f t="shared" si="37"/>
        <v>826426.84589198045</v>
      </c>
      <c r="BS18" s="214">
        <f t="shared" si="37"/>
        <v>826426.84589198045</v>
      </c>
      <c r="BT18" s="214">
        <f t="shared" si="37"/>
        <v>826426.84589198045</v>
      </c>
      <c r="BU18" s="214">
        <f t="shared" ref="BU18:EF18" si="38">BT18+BU17</f>
        <v>826426.84589198045</v>
      </c>
      <c r="BV18" s="214">
        <f t="shared" si="38"/>
        <v>826426.84589198045</v>
      </c>
      <c r="BW18" s="214">
        <f t="shared" si="38"/>
        <v>826426.84589198045</v>
      </c>
      <c r="BX18" s="214">
        <f t="shared" si="38"/>
        <v>826426.84589198045</v>
      </c>
      <c r="BY18" s="214">
        <f t="shared" si="38"/>
        <v>826426.84589198045</v>
      </c>
      <c r="BZ18" s="214">
        <f t="shared" si="38"/>
        <v>826426.84589198045</v>
      </c>
      <c r="CA18" s="214">
        <f t="shared" si="38"/>
        <v>826426.84589198045</v>
      </c>
      <c r="CB18" s="214">
        <f t="shared" si="38"/>
        <v>826426.84589198045</v>
      </c>
      <c r="CC18" s="214">
        <f t="shared" si="38"/>
        <v>826426.84589198045</v>
      </c>
      <c r="CD18" s="214">
        <f t="shared" si="38"/>
        <v>826426.84589198045</v>
      </c>
      <c r="CE18" s="214">
        <f t="shared" si="38"/>
        <v>826426.84589198045</v>
      </c>
      <c r="CF18" s="214">
        <f t="shared" si="38"/>
        <v>826426.84589198045</v>
      </c>
      <c r="CG18" s="214">
        <f t="shared" si="38"/>
        <v>826426.84589198045</v>
      </c>
      <c r="CH18" s="214">
        <f t="shared" si="38"/>
        <v>826426.84589198045</v>
      </c>
      <c r="CI18" s="214">
        <f t="shared" si="38"/>
        <v>826426.84589198045</v>
      </c>
      <c r="CJ18" s="214">
        <f t="shared" si="38"/>
        <v>826426.84589198045</v>
      </c>
      <c r="CK18" s="214">
        <f t="shared" si="38"/>
        <v>826426.84589198045</v>
      </c>
      <c r="CL18" s="214">
        <f t="shared" si="38"/>
        <v>826426.84589198045</v>
      </c>
      <c r="CM18" s="214">
        <f t="shared" si="38"/>
        <v>826426.84589198045</v>
      </c>
      <c r="CN18" s="214">
        <f t="shared" si="38"/>
        <v>826426.84589198045</v>
      </c>
      <c r="CO18" s="214">
        <f t="shared" si="38"/>
        <v>826426.84589198045</v>
      </c>
      <c r="CP18" s="214">
        <f t="shared" si="38"/>
        <v>826426.84589198045</v>
      </c>
      <c r="CQ18" s="214">
        <f t="shared" si="38"/>
        <v>826426.84589198045</v>
      </c>
      <c r="CR18" s="214">
        <f t="shared" si="38"/>
        <v>826426.84589198045</v>
      </c>
      <c r="CS18" s="214">
        <f t="shared" si="38"/>
        <v>826426.84589198045</v>
      </c>
      <c r="CT18" s="214">
        <f t="shared" si="38"/>
        <v>826426.84589198045</v>
      </c>
      <c r="CU18" s="214">
        <f t="shared" si="38"/>
        <v>826426.84589198045</v>
      </c>
      <c r="CV18" s="214">
        <f t="shared" si="38"/>
        <v>826426.84589198045</v>
      </c>
      <c r="CW18" s="214">
        <f t="shared" si="38"/>
        <v>826426.84589198045</v>
      </c>
      <c r="CX18" s="214">
        <f t="shared" si="38"/>
        <v>826426.84589198045</v>
      </c>
      <c r="CY18" s="214">
        <f t="shared" si="38"/>
        <v>826426.84589198045</v>
      </c>
      <c r="CZ18" s="214">
        <f t="shared" si="38"/>
        <v>826426.84589198045</v>
      </c>
      <c r="DA18" s="214">
        <f t="shared" si="38"/>
        <v>826426.84589198045</v>
      </c>
      <c r="DB18" s="214">
        <f t="shared" si="38"/>
        <v>826426.84589198045</v>
      </c>
      <c r="DC18" s="214">
        <f t="shared" si="38"/>
        <v>826426.84589198045</v>
      </c>
      <c r="DD18" s="214">
        <f t="shared" si="38"/>
        <v>826426.84589198045</v>
      </c>
      <c r="DE18" s="214">
        <f t="shared" si="38"/>
        <v>826426.84589198045</v>
      </c>
      <c r="DF18" s="214">
        <f t="shared" si="38"/>
        <v>826426.84589198045</v>
      </c>
      <c r="DG18" s="214">
        <f t="shared" si="38"/>
        <v>826426.84589198045</v>
      </c>
      <c r="DH18" s="214">
        <f t="shared" si="38"/>
        <v>826426.84589198045</v>
      </c>
      <c r="DI18" s="214">
        <f t="shared" si="38"/>
        <v>826426.84589198045</v>
      </c>
      <c r="DJ18" s="214">
        <f t="shared" si="38"/>
        <v>826426.84589198045</v>
      </c>
      <c r="DK18" s="214">
        <f t="shared" si="38"/>
        <v>826426.84589198045</v>
      </c>
      <c r="DL18" s="214">
        <f t="shared" si="38"/>
        <v>826426.84589198045</v>
      </c>
      <c r="DM18" s="214">
        <f t="shared" si="38"/>
        <v>826426.84589198045</v>
      </c>
      <c r="DN18" s="214">
        <f t="shared" si="38"/>
        <v>826426.84589198045</v>
      </c>
      <c r="DO18" s="214">
        <f t="shared" si="38"/>
        <v>826426.84589198045</v>
      </c>
      <c r="DP18" s="214">
        <f t="shared" si="38"/>
        <v>826426.84589198045</v>
      </c>
      <c r="DQ18" s="214">
        <f t="shared" si="38"/>
        <v>826426.84589198045</v>
      </c>
      <c r="DR18" s="214">
        <f t="shared" si="38"/>
        <v>826426.84589198045</v>
      </c>
      <c r="DS18" s="214">
        <f t="shared" si="38"/>
        <v>826426.84589198045</v>
      </c>
      <c r="DT18" s="214">
        <f t="shared" si="38"/>
        <v>826426.84589198045</v>
      </c>
      <c r="DU18" s="214">
        <f t="shared" si="38"/>
        <v>826426.84589198045</v>
      </c>
      <c r="DV18" s="214">
        <f t="shared" si="38"/>
        <v>826426.84589198045</v>
      </c>
      <c r="DW18" s="214">
        <f t="shared" si="38"/>
        <v>826426.84589198045</v>
      </c>
      <c r="DX18" s="214">
        <f t="shared" si="38"/>
        <v>826426.84589198045</v>
      </c>
      <c r="DY18" s="214">
        <f t="shared" si="38"/>
        <v>826426.84589198045</v>
      </c>
      <c r="DZ18" s="214">
        <f t="shared" si="38"/>
        <v>826426.84589198045</v>
      </c>
      <c r="EA18" s="214">
        <f t="shared" si="38"/>
        <v>826426.84589198045</v>
      </c>
      <c r="EB18" s="214">
        <f t="shared" si="38"/>
        <v>826426.84589198045</v>
      </c>
      <c r="EC18" s="214">
        <f t="shared" si="38"/>
        <v>826426.84589198045</v>
      </c>
      <c r="ED18" s="214">
        <f t="shared" si="38"/>
        <v>826426.84589198045</v>
      </c>
      <c r="EE18" s="214">
        <f t="shared" si="38"/>
        <v>826426.84589198045</v>
      </c>
      <c r="EF18" s="214">
        <f t="shared" si="38"/>
        <v>826426.84589198045</v>
      </c>
      <c r="EG18" s="214">
        <f t="shared" ref="EG18:GR18" si="39">EF18+EG17</f>
        <v>826426.84589198045</v>
      </c>
      <c r="EH18" s="214">
        <f t="shared" si="39"/>
        <v>826426.84589198045</v>
      </c>
      <c r="EI18" s="214">
        <f t="shared" si="39"/>
        <v>826426.84589198045</v>
      </c>
      <c r="EJ18" s="214">
        <f t="shared" si="39"/>
        <v>826426.84589198045</v>
      </c>
      <c r="EK18" s="214">
        <f t="shared" si="39"/>
        <v>826426.84589198045</v>
      </c>
      <c r="EL18" s="214">
        <f t="shared" si="39"/>
        <v>826426.84589198045</v>
      </c>
      <c r="EM18" s="214">
        <f t="shared" si="39"/>
        <v>826426.84589198045</v>
      </c>
      <c r="EN18" s="214">
        <f t="shared" si="39"/>
        <v>826426.84589198045</v>
      </c>
      <c r="EO18" s="214">
        <f t="shared" si="39"/>
        <v>826426.84589198045</v>
      </c>
      <c r="EP18" s="214">
        <f t="shared" si="39"/>
        <v>826426.84589198045</v>
      </c>
      <c r="EQ18" s="214">
        <f t="shared" si="39"/>
        <v>826426.84589198045</v>
      </c>
      <c r="ER18" s="214">
        <f t="shared" si="39"/>
        <v>826426.84589198045</v>
      </c>
      <c r="ES18" s="214">
        <f t="shared" si="39"/>
        <v>826426.84589198045</v>
      </c>
      <c r="ET18" s="214">
        <f t="shared" si="39"/>
        <v>826426.84589198045</v>
      </c>
      <c r="EU18" s="214">
        <f t="shared" si="39"/>
        <v>826426.84589198045</v>
      </c>
      <c r="EV18" s="214">
        <f t="shared" si="39"/>
        <v>826426.84589198045</v>
      </c>
      <c r="EW18" s="214">
        <f t="shared" si="39"/>
        <v>826426.84589198045</v>
      </c>
      <c r="EX18" s="214">
        <f t="shared" si="39"/>
        <v>826426.84589198045</v>
      </c>
      <c r="EY18" s="214">
        <f t="shared" si="39"/>
        <v>826426.84589198045</v>
      </c>
      <c r="EZ18" s="214">
        <f t="shared" si="39"/>
        <v>826426.84589198045</v>
      </c>
      <c r="FA18" s="214">
        <f t="shared" si="39"/>
        <v>826426.84589198045</v>
      </c>
      <c r="FB18" s="214">
        <f t="shared" si="39"/>
        <v>826426.84589198045</v>
      </c>
      <c r="FC18" s="214">
        <f t="shared" si="39"/>
        <v>826426.84589198045</v>
      </c>
      <c r="FD18" s="214">
        <f t="shared" si="39"/>
        <v>826426.84589198045</v>
      </c>
      <c r="FE18" s="214">
        <f t="shared" si="39"/>
        <v>826426.84589198045</v>
      </c>
      <c r="FF18" s="214">
        <f t="shared" si="39"/>
        <v>826426.84589198045</v>
      </c>
      <c r="FG18" s="214">
        <f t="shared" si="39"/>
        <v>826426.84589198045</v>
      </c>
      <c r="FH18" s="214">
        <f t="shared" si="39"/>
        <v>826426.84589198045</v>
      </c>
      <c r="FI18" s="214">
        <f t="shared" si="39"/>
        <v>826426.84589198045</v>
      </c>
      <c r="FJ18" s="214">
        <f t="shared" si="39"/>
        <v>826426.84589198045</v>
      </c>
      <c r="FK18" s="214">
        <f t="shared" si="39"/>
        <v>826426.84589198045</v>
      </c>
      <c r="FL18" s="214">
        <f t="shared" si="39"/>
        <v>826426.84589198045</v>
      </c>
      <c r="FM18" s="214">
        <f t="shared" si="39"/>
        <v>826426.84589198045</v>
      </c>
      <c r="FN18" s="214">
        <f t="shared" si="39"/>
        <v>826426.84589198045</v>
      </c>
      <c r="FO18" s="214">
        <f t="shared" si="39"/>
        <v>826426.84589198045</v>
      </c>
      <c r="FP18" s="214">
        <f t="shared" si="39"/>
        <v>826426.84589198045</v>
      </c>
      <c r="FQ18" s="214">
        <f t="shared" si="39"/>
        <v>826426.84589198045</v>
      </c>
      <c r="FR18" s="214">
        <f t="shared" si="39"/>
        <v>826426.84589198045</v>
      </c>
      <c r="FS18" s="214">
        <f t="shared" si="39"/>
        <v>826426.84589198045</v>
      </c>
      <c r="FT18" s="214">
        <f t="shared" si="39"/>
        <v>826426.84589198045</v>
      </c>
      <c r="FU18" s="214">
        <f t="shared" si="39"/>
        <v>826426.84589198045</v>
      </c>
      <c r="FV18" s="214">
        <f t="shared" si="39"/>
        <v>826426.84589198045</v>
      </c>
      <c r="FW18" s="214">
        <f t="shared" si="39"/>
        <v>826426.84589198045</v>
      </c>
      <c r="FX18" s="214">
        <f t="shared" si="39"/>
        <v>826426.84589198045</v>
      </c>
      <c r="FY18" s="214">
        <f t="shared" si="39"/>
        <v>826426.84589198045</v>
      </c>
      <c r="FZ18" s="214">
        <f t="shared" si="39"/>
        <v>826426.84589198045</v>
      </c>
      <c r="GA18" s="214">
        <f t="shared" si="39"/>
        <v>826426.84589198045</v>
      </c>
      <c r="GB18" s="214">
        <f t="shared" si="39"/>
        <v>826426.84589198045</v>
      </c>
      <c r="GC18" s="214">
        <f t="shared" si="39"/>
        <v>826426.84589198045</v>
      </c>
      <c r="GD18" s="214">
        <f t="shared" si="39"/>
        <v>826426.84589198045</v>
      </c>
      <c r="GE18" s="214">
        <f t="shared" si="39"/>
        <v>826426.84589198045</v>
      </c>
      <c r="GF18" s="214">
        <f t="shared" si="39"/>
        <v>826426.84589198045</v>
      </c>
      <c r="GG18" s="214">
        <f t="shared" si="39"/>
        <v>826426.84589198045</v>
      </c>
      <c r="GH18" s="214">
        <f t="shared" si="39"/>
        <v>826426.84589198045</v>
      </c>
      <c r="GI18" s="214">
        <f t="shared" si="39"/>
        <v>826426.84589198045</v>
      </c>
      <c r="GJ18" s="214">
        <f t="shared" si="39"/>
        <v>826426.84589198045</v>
      </c>
      <c r="GK18" s="214">
        <f t="shared" si="39"/>
        <v>826426.84589198045</v>
      </c>
      <c r="GL18" s="214">
        <f t="shared" si="39"/>
        <v>826426.84589198045</v>
      </c>
      <c r="GM18" s="214">
        <f t="shared" si="39"/>
        <v>826426.84589198045</v>
      </c>
      <c r="GN18" s="214">
        <f t="shared" si="39"/>
        <v>826426.84589198045</v>
      </c>
      <c r="GO18" s="214">
        <f t="shared" si="39"/>
        <v>826426.84589198045</v>
      </c>
      <c r="GP18" s="214">
        <f t="shared" si="39"/>
        <v>826426.84589198045</v>
      </c>
      <c r="GQ18" s="214">
        <f t="shared" si="39"/>
        <v>826426.84589198045</v>
      </c>
      <c r="GR18" s="214">
        <f t="shared" si="39"/>
        <v>826426.84589198045</v>
      </c>
      <c r="GS18" s="214">
        <f t="shared" ref="GS18:JD18" si="40">GR18+GS17</f>
        <v>826426.84589198045</v>
      </c>
      <c r="GT18" s="214">
        <f t="shared" si="40"/>
        <v>826426.84589198045</v>
      </c>
      <c r="GU18" s="214">
        <f t="shared" si="40"/>
        <v>826426.84589198045</v>
      </c>
      <c r="GV18" s="214">
        <f t="shared" si="40"/>
        <v>826426.84589198045</v>
      </c>
      <c r="GW18" s="214">
        <f t="shared" si="40"/>
        <v>826426.84589198045</v>
      </c>
      <c r="GX18" s="214">
        <f t="shared" si="40"/>
        <v>826426.84589198045</v>
      </c>
      <c r="GY18" s="214">
        <f t="shared" si="40"/>
        <v>826426.84589198045</v>
      </c>
      <c r="GZ18" s="214">
        <f t="shared" si="40"/>
        <v>826426.84589198045</v>
      </c>
      <c r="HA18" s="214">
        <f t="shared" si="40"/>
        <v>826426.84589198045</v>
      </c>
      <c r="HB18" s="214">
        <f t="shared" si="40"/>
        <v>826426.84589198045</v>
      </c>
      <c r="HC18" s="214">
        <f t="shared" si="40"/>
        <v>826426.84589198045</v>
      </c>
      <c r="HD18" s="214">
        <f t="shared" si="40"/>
        <v>826426.84589198045</v>
      </c>
      <c r="HE18" s="214">
        <f t="shared" si="40"/>
        <v>826426.84589198045</v>
      </c>
      <c r="HF18" s="214">
        <f t="shared" si="40"/>
        <v>826426.84589198045</v>
      </c>
      <c r="HG18" s="214">
        <f t="shared" si="40"/>
        <v>826426.84589198045</v>
      </c>
      <c r="HH18" s="214">
        <f t="shared" si="40"/>
        <v>826426.84589198045</v>
      </c>
      <c r="HI18" s="214">
        <f t="shared" si="40"/>
        <v>826426.84589198045</v>
      </c>
      <c r="HJ18" s="214">
        <f t="shared" si="40"/>
        <v>826426.84589198045</v>
      </c>
      <c r="HK18" s="214">
        <f t="shared" si="40"/>
        <v>826426.84589198045</v>
      </c>
      <c r="HL18" s="214">
        <f t="shared" si="40"/>
        <v>826426.84589198045</v>
      </c>
      <c r="HM18" s="214">
        <f t="shared" si="40"/>
        <v>826426.84589198045</v>
      </c>
      <c r="HN18" s="214">
        <f t="shared" si="40"/>
        <v>826426.84589198045</v>
      </c>
      <c r="HO18" s="214">
        <f t="shared" si="40"/>
        <v>826426.84589198045</v>
      </c>
      <c r="HP18" s="214">
        <f t="shared" si="40"/>
        <v>826426.84589198045</v>
      </c>
      <c r="HQ18" s="214">
        <f t="shared" si="40"/>
        <v>826426.84589198045</v>
      </c>
      <c r="HR18" s="214">
        <f t="shared" si="40"/>
        <v>826426.84589198045</v>
      </c>
      <c r="HS18" s="214">
        <f t="shared" si="40"/>
        <v>826426.84589198045</v>
      </c>
      <c r="HT18" s="214">
        <f t="shared" si="40"/>
        <v>826426.84589198045</v>
      </c>
      <c r="HU18" s="214">
        <f t="shared" si="40"/>
        <v>826426.84589198045</v>
      </c>
      <c r="HV18" s="214">
        <f t="shared" si="40"/>
        <v>826426.84589198045</v>
      </c>
      <c r="HW18" s="214">
        <f t="shared" si="40"/>
        <v>826426.84589198045</v>
      </c>
      <c r="HX18" s="214">
        <f t="shared" si="40"/>
        <v>826426.84589198045</v>
      </c>
      <c r="HY18" s="214">
        <f t="shared" si="40"/>
        <v>826426.84589198045</v>
      </c>
      <c r="HZ18" s="214">
        <f t="shared" si="40"/>
        <v>826426.84589198045</v>
      </c>
      <c r="IA18" s="214">
        <f t="shared" si="40"/>
        <v>826426.84589198045</v>
      </c>
      <c r="IB18" s="214">
        <f t="shared" si="40"/>
        <v>826426.84589198045</v>
      </c>
      <c r="IC18" s="214">
        <f t="shared" si="40"/>
        <v>826426.84589198045</v>
      </c>
      <c r="ID18" s="214">
        <f t="shared" si="40"/>
        <v>826426.84589198045</v>
      </c>
      <c r="IE18" s="214">
        <f t="shared" si="40"/>
        <v>826426.84589198045</v>
      </c>
      <c r="IF18" s="214">
        <f t="shared" si="40"/>
        <v>826426.84589198045</v>
      </c>
      <c r="IG18" s="214">
        <f t="shared" si="40"/>
        <v>826426.84589198045</v>
      </c>
      <c r="IH18" s="214">
        <f t="shared" si="40"/>
        <v>826426.84589198045</v>
      </c>
      <c r="II18" s="214">
        <f t="shared" si="40"/>
        <v>826426.84589198045</v>
      </c>
      <c r="IJ18" s="214">
        <f t="shared" si="40"/>
        <v>826426.84589198045</v>
      </c>
      <c r="IK18" s="214">
        <f t="shared" si="40"/>
        <v>826426.84589198045</v>
      </c>
      <c r="IL18" s="214">
        <f t="shared" si="40"/>
        <v>826426.84589198045</v>
      </c>
      <c r="IM18" s="214">
        <f t="shared" si="40"/>
        <v>826426.84589198045</v>
      </c>
      <c r="IN18" s="214">
        <f t="shared" si="40"/>
        <v>826426.84589198045</v>
      </c>
      <c r="IO18" s="214">
        <f t="shared" si="40"/>
        <v>826426.84589198045</v>
      </c>
      <c r="IP18" s="214">
        <f t="shared" si="40"/>
        <v>826426.84589198045</v>
      </c>
      <c r="IQ18" s="214">
        <f t="shared" si="40"/>
        <v>826426.84589198045</v>
      </c>
      <c r="IR18" s="214">
        <f t="shared" si="40"/>
        <v>826426.84589198045</v>
      </c>
      <c r="IS18" s="214">
        <f t="shared" si="40"/>
        <v>826426.84589198045</v>
      </c>
      <c r="IT18" s="214">
        <f t="shared" si="40"/>
        <v>826426.84589198045</v>
      </c>
      <c r="IU18" s="214">
        <f t="shared" si="40"/>
        <v>826426.84589198045</v>
      </c>
      <c r="IV18" s="214">
        <f t="shared" si="40"/>
        <v>826426.84589198045</v>
      </c>
      <c r="IW18" s="214">
        <f t="shared" si="40"/>
        <v>826426.84589198045</v>
      </c>
      <c r="IX18" s="214">
        <f t="shared" si="40"/>
        <v>826426.84589198045</v>
      </c>
      <c r="IY18" s="214">
        <f t="shared" si="40"/>
        <v>826426.84589198045</v>
      </c>
      <c r="IZ18" s="214">
        <f t="shared" si="40"/>
        <v>826426.84589198045</v>
      </c>
      <c r="JA18" s="214">
        <f t="shared" si="40"/>
        <v>826426.84589198045</v>
      </c>
      <c r="JB18" s="214">
        <f t="shared" si="40"/>
        <v>826426.84589198045</v>
      </c>
      <c r="JC18" s="214">
        <f t="shared" si="40"/>
        <v>826426.84589198045</v>
      </c>
      <c r="JD18" s="214">
        <f t="shared" si="40"/>
        <v>826426.84589198045</v>
      </c>
      <c r="JE18" s="214">
        <f t="shared" ref="JE18:LD18" si="41">JD18+JE17</f>
        <v>826426.84589198045</v>
      </c>
      <c r="JF18" s="214">
        <f t="shared" si="41"/>
        <v>826426.84589198045</v>
      </c>
      <c r="JG18" s="214">
        <f t="shared" si="41"/>
        <v>826426.84589198045</v>
      </c>
      <c r="JH18" s="214">
        <f t="shared" si="41"/>
        <v>826426.84589198045</v>
      </c>
      <c r="JI18" s="214">
        <f t="shared" si="41"/>
        <v>826426.84589198045</v>
      </c>
      <c r="JJ18" s="214">
        <f t="shared" si="41"/>
        <v>826426.84589198045</v>
      </c>
      <c r="JK18" s="214">
        <f t="shared" si="41"/>
        <v>826426.84589198045</v>
      </c>
      <c r="JL18" s="214">
        <f t="shared" si="41"/>
        <v>826426.84589198045</v>
      </c>
      <c r="JM18" s="214">
        <f t="shared" si="41"/>
        <v>826426.84589198045</v>
      </c>
      <c r="JN18" s="214">
        <f t="shared" si="41"/>
        <v>826426.84589198045</v>
      </c>
      <c r="JO18" s="214">
        <f t="shared" si="41"/>
        <v>826426.84589198045</v>
      </c>
      <c r="JP18" s="214">
        <f t="shared" si="41"/>
        <v>826426.84589198045</v>
      </c>
      <c r="JQ18" s="214">
        <f t="shared" si="41"/>
        <v>826426.84589198045</v>
      </c>
      <c r="JR18" s="214">
        <f t="shared" si="41"/>
        <v>826426.84589198045</v>
      </c>
      <c r="JS18" s="214">
        <f t="shared" si="41"/>
        <v>826426.84589198045</v>
      </c>
      <c r="JT18" s="214">
        <f t="shared" si="41"/>
        <v>826426.84589198045</v>
      </c>
      <c r="JU18" s="214">
        <f t="shared" si="41"/>
        <v>826426.84589198045</v>
      </c>
      <c r="JV18" s="214">
        <f t="shared" si="41"/>
        <v>826426.84589198045</v>
      </c>
      <c r="JW18" s="214">
        <f t="shared" si="41"/>
        <v>826426.84589198045</v>
      </c>
      <c r="JX18" s="214">
        <f t="shared" si="41"/>
        <v>826426.84589198045</v>
      </c>
      <c r="JY18" s="214">
        <f t="shared" si="41"/>
        <v>826426.84589198045</v>
      </c>
      <c r="JZ18" s="214">
        <f t="shared" si="41"/>
        <v>826426.84589198045</v>
      </c>
      <c r="KA18" s="214">
        <f t="shared" si="41"/>
        <v>826426.84589198045</v>
      </c>
      <c r="KB18" s="214">
        <f t="shared" si="41"/>
        <v>826426.84589198045</v>
      </c>
      <c r="KC18" s="214">
        <f t="shared" si="41"/>
        <v>826426.84589198045</v>
      </c>
      <c r="KD18" s="214">
        <f t="shared" si="41"/>
        <v>826426.84589198045</v>
      </c>
      <c r="KE18" s="214">
        <f t="shared" si="41"/>
        <v>826426.84589198045</v>
      </c>
      <c r="KF18" s="214">
        <f t="shared" si="41"/>
        <v>826426.84589198045</v>
      </c>
      <c r="KG18" s="214">
        <f t="shared" si="41"/>
        <v>826426.84589198045</v>
      </c>
      <c r="KH18" s="214">
        <f t="shared" si="41"/>
        <v>826426.84589198045</v>
      </c>
      <c r="KI18" s="214">
        <f t="shared" si="41"/>
        <v>826426.84589198045</v>
      </c>
      <c r="KJ18" s="214">
        <f t="shared" si="41"/>
        <v>826426.84589198045</v>
      </c>
      <c r="KK18" s="214">
        <f t="shared" si="41"/>
        <v>826426.84589198045</v>
      </c>
      <c r="KL18" s="214">
        <f t="shared" si="41"/>
        <v>826426.84589198045</v>
      </c>
      <c r="KM18" s="214">
        <f t="shared" si="41"/>
        <v>826426.84589198045</v>
      </c>
      <c r="KN18" s="214">
        <f t="shared" si="41"/>
        <v>826426.84589198045</v>
      </c>
      <c r="KO18" s="214">
        <f t="shared" si="41"/>
        <v>826426.84589198045</v>
      </c>
      <c r="KP18" s="214">
        <f t="shared" si="41"/>
        <v>826426.84589198045</v>
      </c>
      <c r="KQ18" s="214">
        <f t="shared" si="41"/>
        <v>826426.84589198045</v>
      </c>
      <c r="KR18" s="214">
        <f t="shared" si="41"/>
        <v>826426.84589198045</v>
      </c>
      <c r="KS18" s="214">
        <f t="shared" si="41"/>
        <v>826426.84589198045</v>
      </c>
      <c r="KT18" s="214">
        <f t="shared" si="41"/>
        <v>826426.84589198045</v>
      </c>
      <c r="KU18" s="214">
        <f t="shared" si="41"/>
        <v>826426.84589198045</v>
      </c>
      <c r="KV18" s="214">
        <f t="shared" si="41"/>
        <v>826426.84589198045</v>
      </c>
      <c r="KW18" s="214">
        <f t="shared" si="41"/>
        <v>826426.84589198045</v>
      </c>
      <c r="KX18" s="214">
        <f t="shared" si="41"/>
        <v>826426.84589198045</v>
      </c>
      <c r="KY18" s="214">
        <f t="shared" si="41"/>
        <v>826426.84589198045</v>
      </c>
      <c r="KZ18" s="214">
        <f t="shared" si="41"/>
        <v>826426.84589198045</v>
      </c>
      <c r="LA18" s="214">
        <f t="shared" si="41"/>
        <v>826426.84589198045</v>
      </c>
      <c r="LB18" s="214">
        <f t="shared" si="41"/>
        <v>826426.84589198045</v>
      </c>
      <c r="LC18" s="214">
        <f t="shared" si="41"/>
        <v>826426.84589198045</v>
      </c>
      <c r="LD18" s="214">
        <f t="shared" si="41"/>
        <v>826426.84589198045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09375" defaultRowHeight="14.4"/>
  <cols>
    <col min="1" max="1" width="39.44140625" style="366" bestFit="1" customWidth="1"/>
    <col min="2" max="2" width="17.33203125" style="367" bestFit="1" customWidth="1"/>
    <col min="3" max="4" width="13.33203125" style="366" bestFit="1" customWidth="1"/>
    <col min="5" max="7" width="12" style="366" bestFit="1" customWidth="1"/>
    <col min="8" max="8" width="4.88671875" style="366" bestFit="1" customWidth="1"/>
    <col min="9" max="9" width="12" style="366" bestFit="1" customWidth="1"/>
    <col min="10" max="10" width="13.33203125" style="366" bestFit="1" customWidth="1"/>
    <col min="11" max="11" width="11" style="366" bestFit="1" customWidth="1"/>
    <col min="12" max="12" width="6.109375" style="366" bestFit="1" customWidth="1"/>
    <col min="13" max="13" width="14.109375" style="366" bestFit="1" customWidth="1"/>
    <col min="14" max="14" width="13.5546875" style="366" bestFit="1" customWidth="1"/>
    <col min="15" max="18" width="11.44140625" style="366" bestFit="1" customWidth="1"/>
    <col min="19" max="19" width="13.5546875" style="366" bestFit="1" customWidth="1"/>
    <col min="20" max="16384" width="12.1093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t="s">
        <v>395</v>
      </c>
      <c r="K4"/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>
        <v>204515.80487804883</v>
      </c>
      <c r="K6"/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>
        <v>57926.829268292684</v>
      </c>
      <c r="K7"/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>
        <v>57389.268292682922</v>
      </c>
      <c r="K8"/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>
        <v>106370.84889956485</v>
      </c>
      <c r="K9"/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>
        <v>48052.894815541047</v>
      </c>
      <c r="K10"/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>
        <v>160158.51537645809</v>
      </c>
      <c r="K11"/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16094.117647058823</v>
      </c>
      <c r="H13" s="371">
        <v>0</v>
      </c>
      <c r="I13" s="371"/>
      <c r="J13" s="371">
        <v>53647.058823529413</v>
      </c>
      <c r="K13"/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>
        <v>44127.647058823524</v>
      </c>
      <c r="K14"/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>
        <v>34117.649979624781</v>
      </c>
      <c r="K15"/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>
        <v>54596.534696146242</v>
      </c>
      <c r="J16" s="371">
        <v>54596.534696146242</v>
      </c>
      <c r="K16"/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>
        <v>1029.4117807960763</v>
      </c>
      <c r="K17"/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68146.270560268138</v>
      </c>
      <c r="H21" s="371">
        <v>0</v>
      </c>
      <c r="I21" s="371">
        <v>68186.307198329305</v>
      </c>
      <c r="J21" s="371">
        <v>826426.84589198045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4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411" bestFit="1" customWidth="1"/>
    <col min="3" max="4" width="13.33203125" style="411" bestFit="1" customWidth="1"/>
    <col min="5" max="7" width="12" style="411" bestFit="1" customWidth="1"/>
    <col min="8" max="8" width="11.88671875" style="411" bestFit="1" customWidth="1"/>
    <col min="9" max="9" width="12" style="411" bestFit="1" customWidth="1"/>
    <col min="10" max="10" width="13.33203125" bestFit="1" customWidth="1"/>
    <col min="11" max="11" width="10.886718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0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t="s">
        <v>395</v>
      </c>
    </row>
    <row r="5" spans="1:10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</row>
    <row r="6" spans="1:10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>
        <v>109496.5</v>
      </c>
    </row>
    <row r="7" spans="1:10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>
        <v>45062.94</v>
      </c>
    </row>
    <row r="8" spans="1:10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>
        <v>46570.22</v>
      </c>
    </row>
    <row r="9" spans="1:10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>
        <v>96597</v>
      </c>
    </row>
    <row r="10" spans="1:10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>
        <v>36624.44</v>
      </c>
    </row>
    <row r="11" spans="1:10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>
        <v>79639.740000000005</v>
      </c>
    </row>
    <row r="12" spans="1:10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>
        <v>49945.96</v>
      </c>
    </row>
    <row r="13" spans="1:10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26619.599999999999</v>
      </c>
      <c r="H13" s="452"/>
      <c r="I13" s="452"/>
      <c r="J13" s="452">
        <v>88732</v>
      </c>
    </row>
    <row r="14" spans="1:10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>
        <v>35568</v>
      </c>
    </row>
    <row r="15" spans="1:10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>
        <v>24190.9</v>
      </c>
    </row>
    <row r="16" spans="1:10">
      <c r="A16" s="450" t="s">
        <v>343</v>
      </c>
      <c r="B16" s="452"/>
      <c r="C16" s="452"/>
      <c r="D16" s="452"/>
      <c r="E16" s="452"/>
      <c r="F16" s="452"/>
      <c r="G16" s="452"/>
      <c r="H16" s="452"/>
      <c r="I16" s="452">
        <v>10354.590569768076</v>
      </c>
      <c r="J16" s="452">
        <v>10354.590569768076</v>
      </c>
    </row>
    <row r="17" spans="1:10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500</v>
      </c>
      <c r="J17" s="452">
        <v>1240.1599999999999</v>
      </c>
    </row>
    <row r="18" spans="1:10">
      <c r="A18" s="450" t="s">
        <v>355</v>
      </c>
      <c r="B18" s="452"/>
      <c r="C18" s="452"/>
      <c r="D18" s="452"/>
      <c r="E18" s="452"/>
      <c r="F18" s="452"/>
      <c r="G18" s="452"/>
      <c r="H18" s="452"/>
      <c r="I18" s="452">
        <v>3985</v>
      </c>
      <c r="J18" s="452">
        <v>3985</v>
      </c>
    </row>
    <row r="19" spans="1:10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</row>
    <row r="20" spans="1:10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</row>
    <row r="21" spans="1:10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63644.800000000003</v>
      </c>
      <c r="H21" s="452"/>
      <c r="I21" s="452">
        <v>25339.590569768076</v>
      </c>
      <c r="J21" s="452">
        <v>628007.4505697682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814" t="s">
        <v>397</v>
      </c>
      <c r="C2" s="814"/>
      <c r="D2" s="814"/>
      <c r="E2" s="814"/>
      <c r="H2" s="815" t="s">
        <v>398</v>
      </c>
      <c r="I2" s="816"/>
      <c r="J2" s="816"/>
      <c r="K2" s="816"/>
      <c r="L2" s="816"/>
      <c r="M2" s="816"/>
      <c r="N2" s="816"/>
      <c r="O2" s="817"/>
    </row>
    <row r="3" spans="2:15">
      <c r="B3" s="700"/>
      <c r="H3" s="818"/>
      <c r="I3" s="819"/>
      <c r="J3" s="819"/>
      <c r="K3" s="819"/>
      <c r="L3" s="819"/>
      <c r="M3" s="819"/>
      <c r="N3" s="819"/>
      <c r="O3" s="820"/>
    </row>
    <row r="4" spans="2:15">
      <c r="B4" s="701" t="s">
        <v>399</v>
      </c>
      <c r="C4" s="702" t="str">
        <f>'Project Plan'!E2</f>
        <v>Waterside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701" t="s">
        <v>400</v>
      </c>
      <c r="C5" s="702" t="s">
        <v>401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701" t="s">
        <v>402</v>
      </c>
      <c r="C6" s="702" t="s">
        <v>403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701" t="s">
        <v>404</v>
      </c>
      <c r="C7" s="702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700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405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406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703" t="s">
        <v>407</v>
      </c>
      <c r="C11" s="812" t="s">
        <v>408</v>
      </c>
      <c r="D11" s="812"/>
      <c r="E11" s="812"/>
    </row>
    <row r="12" spans="2:15">
      <c r="B12" s="703" t="s">
        <v>409</v>
      </c>
      <c r="C12" s="812" t="s">
        <v>408</v>
      </c>
      <c r="D12" s="812"/>
      <c r="E12" s="812"/>
    </row>
    <row r="13" spans="2:15">
      <c r="B13" s="703" t="s">
        <v>410</v>
      </c>
      <c r="C13" s="812" t="s">
        <v>408</v>
      </c>
      <c r="D13" s="812"/>
      <c r="E13" s="812"/>
    </row>
    <row r="14" spans="2:15">
      <c r="B14" s="703" t="s">
        <v>411</v>
      </c>
      <c r="C14" s="812" t="s">
        <v>412</v>
      </c>
      <c r="D14" s="812"/>
      <c r="E14" s="812"/>
    </row>
    <row r="15" spans="2:15">
      <c r="B15" s="703" t="s">
        <v>413</v>
      </c>
      <c r="C15" s="812" t="s">
        <v>414</v>
      </c>
      <c r="D15" s="812"/>
      <c r="E15" s="812"/>
    </row>
    <row r="16" spans="2:15" ht="15" customHeight="1">
      <c r="B16" s="703" t="s">
        <v>415</v>
      </c>
      <c r="C16" s="812" t="s">
        <v>416</v>
      </c>
      <c r="D16" s="812"/>
      <c r="E16" s="812"/>
    </row>
    <row r="17" spans="2:5">
      <c r="B17" s="700"/>
    </row>
    <row r="18" spans="2:5">
      <c r="B18" s="813" t="s">
        <v>417</v>
      </c>
      <c r="C18" s="813"/>
      <c r="D18" s="813"/>
      <c r="E18" s="813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424</v>
      </c>
    </row>
    <row r="2" spans="1:4">
      <c r="A2" s="826"/>
      <c r="B2" s="826"/>
      <c r="C2" s="826"/>
      <c r="D2" s="71"/>
    </row>
    <row r="3" spans="1:4">
      <c r="A3" s="825" t="s">
        <v>425</v>
      </c>
      <c r="B3" s="825"/>
      <c r="C3" s="825"/>
      <c r="D3" s="111">
        <v>0.32</v>
      </c>
    </row>
    <row r="4" spans="1:4">
      <c r="A4" s="825" t="s">
        <v>366</v>
      </c>
      <c r="B4" s="825"/>
      <c r="C4" s="825"/>
      <c r="D4" s="111">
        <v>0.5</v>
      </c>
    </row>
    <row r="5" spans="1:4">
      <c r="A5" s="825" t="s">
        <v>377</v>
      </c>
      <c r="B5" s="825"/>
      <c r="C5" s="825"/>
      <c r="D5" s="111">
        <v>0.15</v>
      </c>
    </row>
    <row r="6" spans="1:4">
      <c r="A6" s="825" t="s">
        <v>426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10937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1093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7" t="s">
        <v>427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1093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109375" style="88" bestFit="1" customWidth="1"/>
    <col min="16" max="16384" width="9.44140625" style="88"/>
  </cols>
  <sheetData>
    <row r="2" spans="2:15" s="94" customFormat="1" ht="17.399999999999999">
      <c r="B2" s="827" t="s">
        <v>449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460</v>
      </c>
      <c r="C32" s="103"/>
      <c r="D32" s="103"/>
    </row>
    <row r="33" spans="2:4" ht="13.8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109375" bestFit="1" customWidth="1"/>
    <col min="9" max="9" width="10.44140625" customWidth="1"/>
    <col min="10" max="10" width="19.5546875" bestFit="1" customWidth="1"/>
  </cols>
  <sheetData>
    <row r="1" spans="2:14">
      <c r="B1" s="829" t="str">
        <f>D15</f>
        <v>Waterside</v>
      </c>
      <c r="C1" s="829"/>
      <c r="D1" s="829"/>
      <c r="E1" s="828" t="s">
        <v>462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