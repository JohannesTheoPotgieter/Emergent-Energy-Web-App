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56" documentId="13_ncr:1_{DFC80828-CF83-4F91-9EA8-0A631B151EBD}" xr6:coauthVersionLast="47" xr6:coauthVersionMax="47" xr10:uidLastSave="{DE672A11-75FF-41CC-9369-49773C4A6B69}"/>
  <bookViews>
    <workbookView xWindow="-108" yWindow="-108" windowWidth="23256" windowHeight="12456" tabRatio="690" firstSheet="7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1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8" l="1"/>
  <c r="U166" i="18"/>
  <c r="N48" i="2"/>
  <c r="K48" i="2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5" i="18" l="1"/>
  <c r="Q95" i="18"/>
  <c r="W9" i="18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3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M47" i="2"/>
  <c r="W31" i="18"/>
  <c r="W13" i="18"/>
  <c r="G12" i="2"/>
  <c r="M56" i="2"/>
  <c r="M42" i="2"/>
  <c r="M33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I51" i="2" s="1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4" i="2"/>
  <c r="I53" i="2" s="1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I39" i="2"/>
  <c r="K39" i="2" s="1"/>
  <c r="N39" i="2" s="1"/>
  <c r="N44" i="2"/>
  <c r="N42" i="2" s="1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K57" i="2"/>
  <c r="N57" i="2" s="1"/>
  <c r="N54" i="2"/>
  <c r="N53" i="2" s="1"/>
  <c r="X121" i="18"/>
  <c r="X31" i="18"/>
  <c r="U42" i="18" s="1"/>
  <c r="X104" i="18"/>
  <c r="X63" i="18"/>
  <c r="U75" i="18" s="1"/>
  <c r="U73" i="18" l="1"/>
  <c r="U39" i="18"/>
  <c r="U112" i="18"/>
  <c r="K53" i="2"/>
  <c r="J53" i="2" s="1"/>
  <c r="V94" i="18"/>
  <c r="N27" i="2"/>
  <c r="N23" i="2" s="1"/>
  <c r="K40" i="2"/>
  <c r="N40" i="2" s="1"/>
  <c r="N33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56" i="2"/>
  <c r="N9" i="2" s="1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<sst xmlns="http://schemas.openxmlformats.org/spreadsheetml/2006/main" count="1035" uniqueCount="600">
  <si>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</si>
  <si>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</si>
  <si>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</si>
  <si>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</si>
  <si>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</si>
  <si>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</si>
  <si>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</si>
  <si>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</si>
  <si>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</si>
  <si>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</si>
  <si>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</si>
  <si>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</si>
  <si>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</si>
  <si>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</si>
  <si>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</si>
  <si>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</si>
  <si>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</si>
  <si>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</si>
  <si>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</si>
  <si>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</si>
  <si>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</si>
  <si>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</si>
  <si>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</si>
  <si>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</si>
  <si>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</si>
  <si>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</si>
  <si>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</si>
  <si>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</si>
  <si>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</si>
  <si>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</si>
  <si>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</si>
  <si>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</si>
  <si>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</si>
  <si>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</si>
  <si>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</si>
  <si>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</si>
  <si>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</si>
  <si>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</si>
  <si>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</si>
  <si>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</si>
  <si>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</si>
  <si>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</si>
  <si>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</si>
  <si>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</si>
  <si>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</si>
  <si>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</si>
  <si>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</si>
  <si>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</si>
  <si>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</si>
  <si>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</si>
  <si>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</si>
  <si>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</si>
  <si>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</si>
  <si>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</si>
  <si>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</si>
  <si>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</si>
  <si>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</si>
  <si>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</si>
  <si>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</si>
  <si>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</si>
  <si>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</si>
  <si>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</si>
  <si>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</si>
  <si>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</si>
  <si>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</si>
  <si>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</si>
  <si>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</si>
  <si>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</si>
  <si>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</si>
  <si>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</si>
  <si>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</si>
  <si>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</si>
  <si>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</si>
  <si>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</si>
  <si>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</si>
  <si>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</si>
  <si>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</si>
  <si>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</si>
  <si>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</si>
  <si>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</si>
  <si>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</si>
  <si>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</si>
  <si>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</si>
  <si>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</si>
  <si>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</si>
  <si>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</si>
  <si>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</si>
  <si>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</si>
  <si>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</si>
  <si>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</si>
  <si>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</si>
  <si>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</si>
  <si>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</si>
  <si>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</si>
  <si>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</si>
  <si>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</si>
  <si>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</si>
  <si>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</si>
  <si>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</si>
  <si>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</si>
  <si>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</si>
  <si>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</si>
  <si>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</si>
  <si>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</si>
  <si>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</si>
  <si>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</si>
  <si>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</si>
  <si>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</si>
  <si>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</si>
  <si>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</si>
  <si>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</si>
  <si>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</si>
  <si>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</si>
  <si>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</si>
  <si>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</si>
  <si>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</si>
  <si>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</si>
  <si>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</si>
  <si>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</si>
  <si>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</si>
  <si>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</si>
  <si>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</si>
  <si>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</si>
  <si>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</si>
  <si>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</si>
  <si>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</si>
  <si>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</si>
  <si>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</si>
  <si>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</si>
  <si>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</si>
  <si>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</si>
  <si>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</si>
  <si>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</si>
  <si>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</si>
  <si>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</si>
  <si>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</si>
  <si>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</si>
  <si>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</si>
  <si>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</si>
  <si>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</si>
  <si>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</si>
  <si>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</si>
  <si>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</si>
  <si>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</si>
  <si>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</si>
  <si>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</si>
  <si>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</si>
  <si>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</si>
  <si>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</si>
  <si>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</si>
  <si>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</si>
  <si>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</si>
  <si>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</si>
  <si>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</si>
  <si>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</si>
  <si>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</si>
  <si>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</si>
  <si>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</si>
  <si>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</si>
  <si>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</si>
  <si>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</si>
  <si>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</si>
  <si>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</si>
  <si>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</si>
  <si>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</si>
  <si>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</si>
  <si>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</si>
  <si>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</si>
  <si>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</si>
  <si>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</si>
  <si>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</si>
  <si>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</si>
  <si>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</si>
  <si>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</si>
  <si>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</si>
  <si>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</si>
  <si>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</si>
  <si>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</si>
  <si>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</si>
  <si>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</si>
  <si>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</si>
  <si>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</si>
  <si>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</si>
  <si>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</si>
  <si>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</si>
  <si>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</si>
  <si>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</si>
  <si>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</si>
  <si>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</si>
  <si>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</si>
  <si>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</si>
  <si>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</si>
  <si>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</si>
  <si>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</si>
  <si>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</si>
  <si>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</si>
  <si>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</si>
  <si>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</si>
  <si>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</si>
  <si>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</si>
  <si>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</si>
  <si>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</si>
  <si>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</si>
  <si>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</si>
  <si>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</si>
  <si>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</si>
  <si>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</si>
  <si>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</si>
  <si>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</si>
  <si>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</si>
  <si>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</si>
  <si>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</si>
  <si>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</si>
  <si>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</si>
  <si>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</si>
  <si>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</si>
  <si>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</si>
  <si>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</si>
  <si>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</si>
  <si>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</si>
  <si>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</si>
  <si>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</si>
  <si>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</si>
  <si>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</si>
  <si>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</si>
  <si>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</si>
  <si>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</si>
  <si>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</si>
  <si>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</si>
  <si>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</si>
  <si>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</si>
  <si>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</si>
  <si>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</si>
  <si>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</si>
  <si>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</si>
  <si>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</si>
  <si>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</si>
  <si>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</si>
  <si>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</si>
  <si>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</si>
  <si>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</si>
  <si>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</si>
  <si>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</si>
  <si>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</si>
  <si>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</si>
  <si>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</si>
  <si>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</si>
  <si>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</si>
  <si>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</si>
  <si>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</si>
  <si>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</si>
  <si>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</si>
  <si>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</si>
  <si>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</si>
  <si>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</si>
  <si>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</si>
  <si>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</si>
  <si>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</si>
  <si>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</si>
  <si>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</si>
  <si>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</si>
  <si>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</si>
  <si>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</si>
  <si>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</si>
  <si>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</si>
  <si>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</si>
  <si>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</si>
  <si>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</si>
  <si>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</si>
  <si>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</si>
  <si>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</si>
  <si>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</si>
  <si>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</si>
  <si>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</si>
  <si>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</si>
  <si>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</si>
  <si>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</si>
  <si>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</si>
  <si>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</si>
  <si>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</si>
  <si>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</si>
  <si>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</si>
  <si>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</si>
  <si>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</si>
  <si>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</si>
  <si>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</si>
  <si>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</si>
  <si>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</si>
  <si>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</si>
  <si>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</si>
  <si>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</si>
  <si>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</si>
  <si>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</si>
  <si>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</si>
  <si>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</si>
  <si>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</si>
  <si>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</si>
  <si>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</si>
  <si>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</si>
  <si>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</si>
  <si>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</si>
  <si>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</si>
  <si>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</si>
  <si>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</si>
  <si>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</si>
  <si>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</si>
  <si>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</si>
  <si>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</si>
  <si>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</si>
  <si>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</si>
  <si>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</si>
  <si>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</si>
  <si>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</si>
  <si>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</si>
  <si>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</si>
  <si>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</si>
  <si>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</si>
  <si>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</si>
  <si>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</si>
  <si>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</si>
  <si>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</si>
  <si>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</si>
  <si>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</si>
  <si>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</si>
  <si>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</si>
  <si>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</si>
  <si>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</si>
  <si>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</si>
  <si>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</si>
  <si>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</si>
  <si>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</si>
  <si>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</si>
  <si>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</si>
  <si>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</si>
  <si>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</si>
  <si>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</si>
  <si>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</si>
  <si>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</si>
  <si>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</si>
  <si>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</si>
  <si>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</si>
  <si>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</si>
  <si>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</si>
  <si>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</si>
  <si>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</si>
  <si>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</si>
  <si>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</si>
  <si>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</si>
  <si>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</si>
  <si>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</si>
  <si>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</si>
  <si>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</si>
  <si>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</si>
  <si>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</si>
  <si>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</si>
  <si>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</si>
  <si>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</si>
  <si>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</si>
  <si>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</si>
  <si>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</si>
  <si>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</si>
  <si>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</si>
  <si>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</si>
  <si>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</si>
  <si>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</si>
  <si>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</si>
  <si>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</si>
  <si>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</si>
  <si>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</si>
  <si>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</si>
  <si>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</si>
  <si>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</si>
  <si>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</si>
  <si>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</si>
  <si>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</si>
  <si>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</si>
  <si>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</si>
  <si>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</si>
  <si>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</si>
  <si>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</si>
  <si>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AC kiosk delay TBC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</si>
  <si>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</si>
  <si>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</si>
  <si>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</si>
  <si>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</si>
  <si>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</si>
  <si>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</si>
  <si>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</si>
  <si>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</si>
  <si>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</si>
  <si>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</si>
  <si>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</si>
  <si>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</si>
  <si>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</si>
  <si>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</si>
  <si>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</si>
  <si>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</si>
  <si>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</si>
  <si>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</si>
  <si>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</si>
  <si>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</si>
  <si>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</si>
  <si>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</si>
  <si>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</si>
  <si>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</si>
  <si>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</si>
  <si>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</si>
  <si>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</si>
  <si>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</si>
  <si>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</si>
  <si>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</si>
  <si>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</si>
  <si>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</si>
  <si>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</si>
  <si>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</si>
  <si>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</si>
  <si>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</si>
  <si>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</si>
  <si>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</si>
  <si>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</si>
  <si>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</si>
  <si>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</si>
  <si>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</si>
  <si>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</si>
  <si>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</si>
  <si>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</si>
  <si>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</si>
  <si>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</si>
  <si>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</si>
  <si>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</si>
  <si>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</si>
  <si>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</si>
  <si>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</si>
  <si>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</si>
  <si>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</si>
  <si>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</si>
  <si>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</si>
  <si>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</si>
  <si>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</si>
  <si>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</si>
  <si>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</si>
  <si>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</si>
  <si>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</si>
  <si>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</si>
  <si>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</si>
  <si>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not complete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</si>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</sst>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6734913.6379999993</c:v>
                </c:pt>
                <c:pt idx="57">
                  <c:v>6911235.8479999993</c:v>
                </c:pt>
                <c:pt idx="58">
                  <c:v>6911235.8479999993</c:v>
                </c:pt>
                <c:pt idx="59">
                  <c:v>7175187.3779999996</c:v>
                </c:pt>
                <c:pt idx="60">
                  <c:v>7185864.7779999999</c:v>
                </c:pt>
                <c:pt idx="61">
                  <c:v>7185864.7779999999</c:v>
                </c:pt>
                <c:pt idx="62">
                  <c:v>7470904.1923272396</c:v>
                </c:pt>
                <c:pt idx="63">
                  <c:v>7470904.1923272396</c:v>
                </c:pt>
                <c:pt idx="64">
                  <c:v>7470904.1923272396</c:v>
                </c:pt>
                <c:pt idx="65">
                  <c:v>7470904.1923272396</c:v>
                </c:pt>
                <c:pt idx="66">
                  <c:v>7470904.1923272396</c:v>
                </c:pt>
                <c:pt idx="67">
                  <c:v>7470904.1923272396</c:v>
                </c:pt>
                <c:pt idx="68">
                  <c:v>7470904.1923272396</c:v>
                </c:pt>
                <c:pt idx="69">
                  <c:v>7470904.1923272396</c:v>
                </c:pt>
                <c:pt idx="70">
                  <c:v>7470904.1923272396</c:v>
                </c:pt>
                <c:pt idx="71">
                  <c:v>7470904.1923272396</c:v>
                </c:pt>
                <c:pt idx="72">
                  <c:v>7470904.1923272396</c:v>
                </c:pt>
                <c:pt idx="73">
                  <c:v>7470904.1923272396</c:v>
                </c:pt>
                <c:pt idx="74">
                  <c:v>7470904.1923272396</c:v>
                </c:pt>
                <c:pt idx="75">
                  <c:v>7470904.1923272396</c:v>
                </c:pt>
                <c:pt idx="76">
                  <c:v>7470904.1923272396</c:v>
                </c:pt>
                <c:pt idx="77">
                  <c:v>7470904.1923272396</c:v>
                </c:pt>
                <c:pt idx="78">
                  <c:v>7470904.1923272396</c:v>
                </c:pt>
                <c:pt idx="79">
                  <c:v>7470904.1923272396</c:v>
                </c:pt>
                <c:pt idx="80">
                  <c:v>7470904.1923272396</c:v>
                </c:pt>
                <c:pt idx="81">
                  <c:v>7470904.1923272396</c:v>
                </c:pt>
                <c:pt idx="82">
                  <c:v>7470904.1923272396</c:v>
                </c:pt>
                <c:pt idx="83">
                  <c:v>7470904.1923272396</c:v>
                </c:pt>
                <c:pt idx="84">
                  <c:v>7470904.1923272396</c:v>
                </c:pt>
                <c:pt idx="85">
                  <c:v>7470904.1923272396</c:v>
                </c:pt>
                <c:pt idx="86">
                  <c:v>7470904.1923272396</c:v>
                </c:pt>
                <c:pt idx="87">
                  <c:v>7470904.1923272396</c:v>
                </c:pt>
                <c:pt idx="88">
                  <c:v>7470904.1923272396</c:v>
                </c:pt>
                <c:pt idx="89">
                  <c:v>7470904.1923272396</c:v>
                </c:pt>
                <c:pt idx="90">
                  <c:v>7470904.1923272396</c:v>
                </c:pt>
                <c:pt idx="91">
                  <c:v>7470904.1923272396</c:v>
                </c:pt>
                <c:pt idx="92">
                  <c:v>7470904.1923272396</c:v>
                </c:pt>
                <c:pt idx="93">
                  <c:v>7470904.1923272396</c:v>
                </c:pt>
                <c:pt idx="94">
                  <c:v>7470904.1923272396</c:v>
                </c:pt>
                <c:pt idx="95">
                  <c:v>7470904.1923272396</c:v>
                </c:pt>
                <c:pt idx="96">
                  <c:v>7470904.1923272396</c:v>
                </c:pt>
                <c:pt idx="97">
                  <c:v>7470904.1923272396</c:v>
                </c:pt>
                <c:pt idx="98">
                  <c:v>7470904.1923272396</c:v>
                </c:pt>
                <c:pt idx="99">
                  <c:v>7470904.1923272396</c:v>
                </c:pt>
                <c:pt idx="100">
                  <c:v>7470904.1923272396</c:v>
                </c:pt>
                <c:pt idx="101">
                  <c:v>7470904.1923272396</c:v>
                </c:pt>
                <c:pt idx="102">
                  <c:v>7470904.1923272396</c:v>
                </c:pt>
                <c:pt idx="103">
                  <c:v>7470904.1923272396</c:v>
                </c:pt>
                <c:pt idx="104">
                  <c:v>7470904.1923272396</c:v>
                </c:pt>
                <c:pt idx="105">
                  <c:v>7470904.1923272396</c:v>
                </c:pt>
                <c:pt idx="106">
                  <c:v>7470904.1923272396</c:v>
                </c:pt>
                <c:pt idx="107">
                  <c:v>7470904.1923272396</c:v>
                </c:pt>
                <c:pt idx="108">
                  <c:v>7470904.1923272396</c:v>
                </c:pt>
                <c:pt idx="109">
                  <c:v>7470904.1923272396</c:v>
                </c:pt>
                <c:pt idx="110">
                  <c:v>7470904.1923272396</c:v>
                </c:pt>
                <c:pt idx="111">
                  <c:v>7470904.1923272396</c:v>
                </c:pt>
                <c:pt idx="112">
                  <c:v>7470904.1923272396</c:v>
                </c:pt>
                <c:pt idx="113">
                  <c:v>7470904.1923272396</c:v>
                </c:pt>
                <c:pt idx="114">
                  <c:v>7470904.1923272396</c:v>
                </c:pt>
                <c:pt idx="115">
                  <c:v>7470904.1923272396</c:v>
                </c:pt>
                <c:pt idx="116">
                  <c:v>7470904.1923272396</c:v>
                </c:pt>
                <c:pt idx="117">
                  <c:v>7470904.1923272396</c:v>
                </c:pt>
                <c:pt idx="118">
                  <c:v>7470904.1923272396</c:v>
                </c:pt>
                <c:pt idx="119">
                  <c:v>7470904.1923272396</c:v>
                </c:pt>
                <c:pt idx="120">
                  <c:v>7470904.1923272396</c:v>
                </c:pt>
                <c:pt idx="121">
                  <c:v>7470904.1923272396</c:v>
                </c:pt>
                <c:pt idx="122">
                  <c:v>7470904.1923272396</c:v>
                </c:pt>
                <c:pt idx="123">
                  <c:v>7470904.1923272396</c:v>
                </c:pt>
                <c:pt idx="124">
                  <c:v>7470904.1923272396</c:v>
                </c:pt>
                <c:pt idx="125">
                  <c:v>7470904.1923272396</c:v>
                </c:pt>
                <c:pt idx="126">
                  <c:v>7470904.1923272396</c:v>
                </c:pt>
                <c:pt idx="127">
                  <c:v>7470904.1923272396</c:v>
                </c:pt>
                <c:pt idx="128">
                  <c:v>7470904.1923272396</c:v>
                </c:pt>
                <c:pt idx="129">
                  <c:v>7470904.1923272396</c:v>
                </c:pt>
                <c:pt idx="130">
                  <c:v>7470904.1923272396</c:v>
                </c:pt>
                <c:pt idx="131">
                  <c:v>7470904.1923272396</c:v>
                </c:pt>
                <c:pt idx="132">
                  <c:v>7470904.1923272396</c:v>
                </c:pt>
                <c:pt idx="133">
                  <c:v>7470904.1923272396</c:v>
                </c:pt>
                <c:pt idx="134">
                  <c:v>7470904.1923272396</c:v>
                </c:pt>
                <c:pt idx="135">
                  <c:v>7470904.1923272396</c:v>
                </c:pt>
                <c:pt idx="136">
                  <c:v>7470904.1923272396</c:v>
                </c:pt>
                <c:pt idx="137">
                  <c:v>7470904.1923272396</c:v>
                </c:pt>
                <c:pt idx="138">
                  <c:v>7470904.1923272396</c:v>
                </c:pt>
                <c:pt idx="139">
                  <c:v>7470904.1923272396</c:v>
                </c:pt>
                <c:pt idx="140">
                  <c:v>7470904.1923272396</c:v>
                </c:pt>
                <c:pt idx="141">
                  <c:v>7470904.1923272396</c:v>
                </c:pt>
                <c:pt idx="142">
                  <c:v>7470904.1923272396</c:v>
                </c:pt>
                <c:pt idx="143">
                  <c:v>7470904.1923272396</c:v>
                </c:pt>
                <c:pt idx="144">
                  <c:v>7470904.1923272396</c:v>
                </c:pt>
                <c:pt idx="145">
                  <c:v>7470904.1923272396</c:v>
                </c:pt>
                <c:pt idx="146">
                  <c:v>7470904.1923272396</c:v>
                </c:pt>
                <c:pt idx="147">
                  <c:v>7470904.1923272396</c:v>
                </c:pt>
                <c:pt idx="148">
                  <c:v>7470904.1923272396</c:v>
                </c:pt>
                <c:pt idx="149">
                  <c:v>7470904.1923272396</c:v>
                </c:pt>
                <c:pt idx="150">
                  <c:v>7470904.1923272396</c:v>
                </c:pt>
                <c:pt idx="151">
                  <c:v>7470904.1923272396</c:v>
                </c:pt>
                <c:pt idx="152">
                  <c:v>7470904.1923272396</c:v>
                </c:pt>
                <c:pt idx="153">
                  <c:v>7470904.1923272396</c:v>
                </c:pt>
                <c:pt idx="154">
                  <c:v>7470904.1923272396</c:v>
                </c:pt>
                <c:pt idx="155">
                  <c:v>7470904.1923272396</c:v>
                </c:pt>
                <c:pt idx="156">
                  <c:v>7470904.1923272396</c:v>
                </c:pt>
                <c:pt idx="157">
                  <c:v>7470904.1923272396</c:v>
                </c:pt>
                <c:pt idx="158">
                  <c:v>7470904.1923272396</c:v>
                </c:pt>
                <c:pt idx="159">
                  <c:v>7470904.1923272396</c:v>
                </c:pt>
                <c:pt idx="160">
                  <c:v>7470904.1923272396</c:v>
                </c:pt>
                <c:pt idx="161">
                  <c:v>7470904.1923272396</c:v>
                </c:pt>
                <c:pt idx="162">
                  <c:v>7470904.1923272396</c:v>
                </c:pt>
                <c:pt idx="163">
                  <c:v>7470904.1923272396</c:v>
                </c:pt>
                <c:pt idx="164">
                  <c:v>7470904.1923272396</c:v>
                </c:pt>
                <c:pt idx="165">
                  <c:v>7470904.1923272396</c:v>
                </c:pt>
                <c:pt idx="166">
                  <c:v>7470904.1923272396</c:v>
                </c:pt>
                <c:pt idx="167">
                  <c:v>7470904.1923272396</c:v>
                </c:pt>
                <c:pt idx="168">
                  <c:v>7470904.1923272396</c:v>
                </c:pt>
                <c:pt idx="169">
                  <c:v>7470904.1923272396</c:v>
                </c:pt>
                <c:pt idx="170">
                  <c:v>7470904.1923272396</c:v>
                </c:pt>
                <c:pt idx="171">
                  <c:v>7470904.1923272396</c:v>
                </c:pt>
                <c:pt idx="172">
                  <c:v>7470904.1923272396</c:v>
                </c:pt>
                <c:pt idx="173">
                  <c:v>7470904.1923272396</c:v>
                </c:pt>
                <c:pt idx="174">
                  <c:v>7470904.1923272396</c:v>
                </c:pt>
                <c:pt idx="175">
                  <c:v>7470904.1923272396</c:v>
                </c:pt>
                <c:pt idx="176">
                  <c:v>7470904.1923272396</c:v>
                </c:pt>
                <c:pt idx="177">
                  <c:v>7470904.1923272396</c:v>
                </c:pt>
                <c:pt idx="178">
                  <c:v>7470904.1923272396</c:v>
                </c:pt>
                <c:pt idx="179">
                  <c:v>7470904.1923272396</c:v>
                </c:pt>
                <c:pt idx="180">
                  <c:v>7470904.1923272396</c:v>
                </c:pt>
                <c:pt idx="181">
                  <c:v>7470904.1923272396</c:v>
                </c:pt>
                <c:pt idx="182">
                  <c:v>7470904.1923272396</c:v>
                </c:pt>
                <c:pt idx="183">
                  <c:v>7470904.1923272396</c:v>
                </c:pt>
                <c:pt idx="184">
                  <c:v>7470904.1923272396</c:v>
                </c:pt>
                <c:pt idx="185">
                  <c:v>7470904.1923272396</c:v>
                </c:pt>
                <c:pt idx="186">
                  <c:v>7470904.1923272396</c:v>
                </c:pt>
                <c:pt idx="187">
                  <c:v>7470904.1923272396</c:v>
                </c:pt>
                <c:pt idx="188">
                  <c:v>7470904.1923272396</c:v>
                </c:pt>
                <c:pt idx="189">
                  <c:v>7470904.1923272396</c:v>
                </c:pt>
                <c:pt idx="190">
                  <c:v>7470904.1923272396</c:v>
                </c:pt>
                <c:pt idx="191">
                  <c:v>7470904.1923272396</c:v>
                </c:pt>
                <c:pt idx="192">
                  <c:v>7470904.1923272396</c:v>
                </c:pt>
                <c:pt idx="193">
                  <c:v>7470904.1923272396</c:v>
                </c:pt>
                <c:pt idx="194">
                  <c:v>7470904.1923272396</c:v>
                </c:pt>
                <c:pt idx="195">
                  <c:v>7470904.1923272396</c:v>
                </c:pt>
                <c:pt idx="196">
                  <c:v>7470904.1923272396</c:v>
                </c:pt>
                <c:pt idx="197">
                  <c:v>7470904.1923272396</c:v>
                </c:pt>
                <c:pt idx="198">
                  <c:v>7470904.1923272396</c:v>
                </c:pt>
                <c:pt idx="199">
                  <c:v>7470904.1923272396</c:v>
                </c:pt>
                <c:pt idx="200">
                  <c:v>7470904.1923272396</c:v>
                </c:pt>
                <c:pt idx="201">
                  <c:v>7470904.1923272396</c:v>
                </c:pt>
                <c:pt idx="202">
                  <c:v>7470904.1923272396</c:v>
                </c:pt>
                <c:pt idx="203">
                  <c:v>7470904.1923272396</c:v>
                </c:pt>
                <c:pt idx="204">
                  <c:v>7470904.1923272396</c:v>
                </c:pt>
                <c:pt idx="205">
                  <c:v>7470904.1923272396</c:v>
                </c:pt>
                <c:pt idx="206">
                  <c:v>7470904.1923272396</c:v>
                </c:pt>
                <c:pt idx="207">
                  <c:v>7470904.1923272396</c:v>
                </c:pt>
                <c:pt idx="208">
                  <c:v>7470904.1923272396</c:v>
                </c:pt>
                <c:pt idx="209">
                  <c:v>7470904.1923272396</c:v>
                </c:pt>
                <c:pt idx="210">
                  <c:v>7470904.1923272396</c:v>
                </c:pt>
                <c:pt idx="211">
                  <c:v>7470904.1923272396</c:v>
                </c:pt>
                <c:pt idx="212">
                  <c:v>7470904.1923272396</c:v>
                </c:pt>
                <c:pt idx="213">
                  <c:v>7470904.1923272396</c:v>
                </c:pt>
                <c:pt idx="214">
                  <c:v>7470904.1923272396</c:v>
                </c:pt>
                <c:pt idx="215">
                  <c:v>7470904.1923272396</c:v>
                </c:pt>
                <c:pt idx="216">
                  <c:v>7470904.1923272396</c:v>
                </c:pt>
                <c:pt idx="217">
                  <c:v>7470904.1923272396</c:v>
                </c:pt>
                <c:pt idx="218">
                  <c:v>7470904.1923272396</c:v>
                </c:pt>
                <c:pt idx="219">
                  <c:v>7470904.1923272396</c:v>
                </c:pt>
                <c:pt idx="220">
                  <c:v>7470904.1923272396</c:v>
                </c:pt>
                <c:pt idx="221">
                  <c:v>7470904.1923272396</c:v>
                </c:pt>
                <c:pt idx="222">
                  <c:v>7470904.1923272396</c:v>
                </c:pt>
                <c:pt idx="223">
                  <c:v>7470904.1923272396</c:v>
                </c:pt>
                <c:pt idx="224">
                  <c:v>7470904.1923272396</c:v>
                </c:pt>
                <c:pt idx="225">
                  <c:v>7470904.1923272396</c:v>
                </c:pt>
                <c:pt idx="226">
                  <c:v>7470904.1923272396</c:v>
                </c:pt>
                <c:pt idx="227">
                  <c:v>7470904.1923272396</c:v>
                </c:pt>
                <c:pt idx="228">
                  <c:v>7470904.1923272396</c:v>
                </c:pt>
                <c:pt idx="229">
                  <c:v>7470904.1923272396</c:v>
                </c:pt>
                <c:pt idx="230">
                  <c:v>7470904.1923272396</c:v>
                </c:pt>
                <c:pt idx="231">
                  <c:v>7470904.1923272396</c:v>
                </c:pt>
                <c:pt idx="232">
                  <c:v>7470904.1923272396</c:v>
                </c:pt>
                <c:pt idx="233">
                  <c:v>7470904.1923272396</c:v>
                </c:pt>
                <c:pt idx="234">
                  <c:v>7470904.1923272396</c:v>
                </c:pt>
                <c:pt idx="235">
                  <c:v>7470904.1923272396</c:v>
                </c:pt>
                <c:pt idx="236">
                  <c:v>7470904.1923272396</c:v>
                </c:pt>
                <c:pt idx="237">
                  <c:v>7470904.1923272396</c:v>
                </c:pt>
                <c:pt idx="238">
                  <c:v>7470904.1923272396</c:v>
                </c:pt>
                <c:pt idx="239">
                  <c:v>7470904.1923272396</c:v>
                </c:pt>
                <c:pt idx="240">
                  <c:v>7470904.1923272396</c:v>
                </c:pt>
                <c:pt idx="241">
                  <c:v>7470904.1923272396</c:v>
                </c:pt>
                <c:pt idx="242">
                  <c:v>7470904.1923272396</c:v>
                </c:pt>
                <c:pt idx="243">
                  <c:v>7470904.1923272396</c:v>
                </c:pt>
                <c:pt idx="244">
                  <c:v>7470904.1923272396</c:v>
                </c:pt>
                <c:pt idx="245">
                  <c:v>7470904.1923272396</c:v>
                </c:pt>
                <c:pt idx="246">
                  <c:v>7470904.1923272396</c:v>
                </c:pt>
                <c:pt idx="247">
                  <c:v>7470904.1923272396</c:v>
                </c:pt>
                <c:pt idx="248">
                  <c:v>7470904.1923272396</c:v>
                </c:pt>
                <c:pt idx="249">
                  <c:v>7470904.1923272396</c:v>
                </c:pt>
                <c:pt idx="250">
                  <c:v>7470904.1923272396</c:v>
                </c:pt>
                <c:pt idx="251">
                  <c:v>7470904.1923272396</c:v>
                </c:pt>
                <c:pt idx="252">
                  <c:v>7470904.1923272396</c:v>
                </c:pt>
                <c:pt idx="253">
                  <c:v>7470904.1923272396</c:v>
                </c:pt>
                <c:pt idx="254">
                  <c:v>7470904.1923272396</c:v>
                </c:pt>
                <c:pt idx="255">
                  <c:v>7470904.1923272396</c:v>
                </c:pt>
                <c:pt idx="256">
                  <c:v>7470904.1923272396</c:v>
                </c:pt>
                <c:pt idx="257">
                  <c:v>7470904.1923272396</c:v>
                </c:pt>
                <c:pt idx="258">
                  <c:v>7470904.1923272396</c:v>
                </c:pt>
                <c:pt idx="259">
                  <c:v>7470904.1923272396</c:v>
                </c:pt>
                <c:pt idx="260">
                  <c:v>7470904.1923272396</c:v>
                </c:pt>
                <c:pt idx="261">
                  <c:v>7470904.1923272396</c:v>
                </c:pt>
                <c:pt idx="262">
                  <c:v>7470904.1923272396</c:v>
                </c:pt>
                <c:pt idx="263">
                  <c:v>7470904.1923272396</c:v>
                </c:pt>
                <c:pt idx="264">
                  <c:v>7470904.1923272396</c:v>
                </c:pt>
                <c:pt idx="265">
                  <c:v>7470904.1923272396</c:v>
                </c:pt>
                <c:pt idx="266">
                  <c:v>7470904.1923272396</c:v>
                </c:pt>
                <c:pt idx="267">
                  <c:v>7470904.1923272396</c:v>
                </c:pt>
                <c:pt idx="268">
                  <c:v>7470904.1923272396</c:v>
                </c:pt>
                <c:pt idx="269">
                  <c:v>7470904.1923272396</c:v>
                </c:pt>
                <c:pt idx="270">
                  <c:v>7470904.1923272396</c:v>
                </c:pt>
                <c:pt idx="271">
                  <c:v>7470904.1923272396</c:v>
                </c:pt>
                <c:pt idx="272">
                  <c:v>7470904.1923272396</c:v>
                </c:pt>
                <c:pt idx="273">
                  <c:v>7470904.1923272396</c:v>
                </c:pt>
                <c:pt idx="274">
                  <c:v>7470904.1923272396</c:v>
                </c:pt>
                <c:pt idx="275">
                  <c:v>7470904.1923272396</c:v>
                </c:pt>
                <c:pt idx="276">
                  <c:v>7470904.1923272396</c:v>
                </c:pt>
                <c:pt idx="277">
                  <c:v>7470904.1923272396</c:v>
                </c:pt>
                <c:pt idx="278">
                  <c:v>7470904.1923272396</c:v>
                </c:pt>
                <c:pt idx="279">
                  <c:v>7470904.1923272396</c:v>
                </c:pt>
                <c:pt idx="280">
                  <c:v>7470904.1923272396</c:v>
                </c:pt>
                <c:pt idx="281">
                  <c:v>7470904.1923272396</c:v>
                </c:pt>
                <c:pt idx="282">
                  <c:v>7470904.1923272396</c:v>
                </c:pt>
                <c:pt idx="283">
                  <c:v>7470904.1923272396</c:v>
                </c:pt>
                <c:pt idx="284">
                  <c:v>7470904.1923272396</c:v>
                </c:pt>
                <c:pt idx="285">
                  <c:v>7470904.1923272396</c:v>
                </c:pt>
                <c:pt idx="286">
                  <c:v>7470904.1923272396</c:v>
                </c:pt>
                <c:pt idx="287">
                  <c:v>7470904.1923272396</c:v>
                </c:pt>
                <c:pt idx="288">
                  <c:v>7470904.1923272396</c:v>
                </c:pt>
                <c:pt idx="289">
                  <c:v>7470904.1923272396</c:v>
                </c:pt>
                <c:pt idx="290">
                  <c:v>7470904.1923272396</c:v>
                </c:pt>
                <c:pt idx="291">
                  <c:v>7470904.1923272396</c:v>
                </c:pt>
                <c:pt idx="292">
                  <c:v>7470904.1923272396</c:v>
                </c:pt>
                <c:pt idx="293">
                  <c:v>7470904.1923272396</c:v>
                </c:pt>
                <c:pt idx="294">
                  <c:v>7470904.1923272396</c:v>
                </c:pt>
                <c:pt idx="295">
                  <c:v>7470904.1923272396</c:v>
                </c:pt>
                <c:pt idx="296">
                  <c:v>7470904.1923272396</c:v>
                </c:pt>
                <c:pt idx="297">
                  <c:v>7470904.1923272396</c:v>
                </c:pt>
                <c:pt idx="298">
                  <c:v>7470904.1923272396</c:v>
                </c:pt>
                <c:pt idx="299">
                  <c:v>7470904.1923272396</c:v>
                </c:pt>
                <c:pt idx="300">
                  <c:v>7470904.1923272396</c:v>
                </c:pt>
                <c:pt idx="301">
                  <c:v>7470904.1923272396</c:v>
                </c:pt>
                <c:pt idx="302">
                  <c:v>7470904.1923272396</c:v>
                </c:pt>
                <c:pt idx="303">
                  <c:v>7470904.1923272396</c:v>
                </c:pt>
                <c:pt idx="304">
                  <c:v>7470904.1923272396</c:v>
                </c:pt>
                <c:pt idx="305">
                  <c:v>7470904.1923272396</c:v>
                </c:pt>
                <c:pt idx="306">
                  <c:v>7470904.1923272396</c:v>
                </c:pt>
                <c:pt idx="307">
                  <c:v>7470904.1923272396</c:v>
                </c:pt>
                <c:pt idx="308">
                  <c:v>7470904.1923272396</c:v>
                </c:pt>
                <c:pt idx="309">
                  <c:v>7470904.1923272396</c:v>
                </c:pt>
                <c:pt idx="310">
                  <c:v>7470904.1923272396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1503860.1220000004</c:v>
                </c:pt>
                <c:pt idx="57">
                  <c:v>1327537.9120000005</c:v>
                </c:pt>
                <c:pt idx="58">
                  <c:v>1327537.9120000005</c:v>
                </c:pt>
                <c:pt idx="59">
                  <c:v>1063586.3820000002</c:v>
                </c:pt>
                <c:pt idx="60">
                  <c:v>1052908.9819999998</c:v>
                </c:pt>
                <c:pt idx="61">
                  <c:v>3242479.5719999997</c:v>
                </c:pt>
                <c:pt idx="62">
                  <c:v>2957440.1576727601</c:v>
                </c:pt>
                <c:pt idx="63">
                  <c:v>2957440.1576727601</c:v>
                </c:pt>
                <c:pt idx="64">
                  <c:v>2957440.1576727601</c:v>
                </c:pt>
                <c:pt idx="65">
                  <c:v>2957440.1576727601</c:v>
                </c:pt>
                <c:pt idx="66">
                  <c:v>2957440.1576727601</c:v>
                </c:pt>
                <c:pt idx="67">
                  <c:v>2957440.1576727601</c:v>
                </c:pt>
                <c:pt idx="68">
                  <c:v>2957440.1576727601</c:v>
                </c:pt>
                <c:pt idx="69">
                  <c:v>2957440.1576727601</c:v>
                </c:pt>
                <c:pt idx="70">
                  <c:v>2957440.1576727601</c:v>
                </c:pt>
                <c:pt idx="71">
                  <c:v>2957440.1576727601</c:v>
                </c:pt>
                <c:pt idx="72">
                  <c:v>2957440.1576727601</c:v>
                </c:pt>
                <c:pt idx="73">
                  <c:v>2957440.1576727601</c:v>
                </c:pt>
                <c:pt idx="74">
                  <c:v>2957440.1576727601</c:v>
                </c:pt>
                <c:pt idx="75">
                  <c:v>2957440.1576727601</c:v>
                </c:pt>
                <c:pt idx="76">
                  <c:v>2957440.1576727601</c:v>
                </c:pt>
                <c:pt idx="77">
                  <c:v>2957440.1576727601</c:v>
                </c:pt>
                <c:pt idx="78">
                  <c:v>2957440.1576727601</c:v>
                </c:pt>
                <c:pt idx="79">
                  <c:v>2957440.1576727601</c:v>
                </c:pt>
                <c:pt idx="80">
                  <c:v>2957440.1576727601</c:v>
                </c:pt>
                <c:pt idx="81">
                  <c:v>2957440.1576727601</c:v>
                </c:pt>
                <c:pt idx="82">
                  <c:v>2957440.1576727601</c:v>
                </c:pt>
                <c:pt idx="83">
                  <c:v>2957440.1576727601</c:v>
                </c:pt>
                <c:pt idx="84">
                  <c:v>2957440.1576727601</c:v>
                </c:pt>
                <c:pt idx="85">
                  <c:v>2957440.1576727601</c:v>
                </c:pt>
                <c:pt idx="86">
                  <c:v>2957440.1576727601</c:v>
                </c:pt>
                <c:pt idx="87">
                  <c:v>2957440.1576727601</c:v>
                </c:pt>
                <c:pt idx="88">
                  <c:v>2957440.1576727601</c:v>
                </c:pt>
                <c:pt idx="89">
                  <c:v>2957440.1576727601</c:v>
                </c:pt>
                <c:pt idx="90">
                  <c:v>2957440.1576727601</c:v>
                </c:pt>
                <c:pt idx="91">
                  <c:v>2957440.1576727601</c:v>
                </c:pt>
                <c:pt idx="92">
                  <c:v>2957440.1576727601</c:v>
                </c:pt>
                <c:pt idx="93">
                  <c:v>2957440.1576727601</c:v>
                </c:pt>
                <c:pt idx="94">
                  <c:v>2957440.1576727601</c:v>
                </c:pt>
                <c:pt idx="95">
                  <c:v>2957440.1576727601</c:v>
                </c:pt>
                <c:pt idx="96">
                  <c:v>2957440.1576727601</c:v>
                </c:pt>
                <c:pt idx="97">
                  <c:v>2957440.1576727601</c:v>
                </c:pt>
                <c:pt idx="98">
                  <c:v>2957440.1576727601</c:v>
                </c:pt>
                <c:pt idx="99">
                  <c:v>2957440.1576727601</c:v>
                </c:pt>
                <c:pt idx="100">
                  <c:v>2957440.1576727601</c:v>
                </c:pt>
                <c:pt idx="101">
                  <c:v>2957440.1576727601</c:v>
                </c:pt>
                <c:pt idx="102">
                  <c:v>2957440.1576727601</c:v>
                </c:pt>
                <c:pt idx="103">
                  <c:v>2957440.1576727601</c:v>
                </c:pt>
                <c:pt idx="104">
                  <c:v>2957440.1576727601</c:v>
                </c:pt>
                <c:pt idx="105">
                  <c:v>2957440.1576727601</c:v>
                </c:pt>
                <c:pt idx="106">
                  <c:v>2957440.1576727601</c:v>
                </c:pt>
                <c:pt idx="107">
                  <c:v>2957440.1576727601</c:v>
                </c:pt>
                <c:pt idx="108">
                  <c:v>2957440.1576727601</c:v>
                </c:pt>
                <c:pt idx="109">
                  <c:v>2957440.1576727601</c:v>
                </c:pt>
                <c:pt idx="110">
                  <c:v>2957440.1576727601</c:v>
                </c:pt>
                <c:pt idx="111">
                  <c:v>2957440.1576727601</c:v>
                </c:pt>
                <c:pt idx="112">
                  <c:v>2957440.1576727601</c:v>
                </c:pt>
                <c:pt idx="113">
                  <c:v>2957440.1576727601</c:v>
                </c:pt>
                <c:pt idx="114">
                  <c:v>2957440.1576727601</c:v>
                </c:pt>
                <c:pt idx="115">
                  <c:v>2957440.1576727601</c:v>
                </c:pt>
                <c:pt idx="116">
                  <c:v>2957440.1576727601</c:v>
                </c:pt>
                <c:pt idx="117">
                  <c:v>2957440.1576727601</c:v>
                </c:pt>
                <c:pt idx="118">
                  <c:v>2957440.1576727601</c:v>
                </c:pt>
                <c:pt idx="119">
                  <c:v>2957440.1576727601</c:v>
                </c:pt>
                <c:pt idx="120">
                  <c:v>2957440.1576727601</c:v>
                </c:pt>
                <c:pt idx="121">
                  <c:v>2957440.1576727601</c:v>
                </c:pt>
                <c:pt idx="122">
                  <c:v>2957440.1576727601</c:v>
                </c:pt>
                <c:pt idx="123">
                  <c:v>2957440.1576727601</c:v>
                </c:pt>
                <c:pt idx="124">
                  <c:v>2957440.1576727601</c:v>
                </c:pt>
                <c:pt idx="125">
                  <c:v>2957440.1576727601</c:v>
                </c:pt>
                <c:pt idx="126">
                  <c:v>2957440.1576727601</c:v>
                </c:pt>
                <c:pt idx="127">
                  <c:v>2957440.1576727601</c:v>
                </c:pt>
                <c:pt idx="128">
                  <c:v>2957440.1576727601</c:v>
                </c:pt>
                <c:pt idx="129">
                  <c:v>2957440.1576727601</c:v>
                </c:pt>
                <c:pt idx="130">
                  <c:v>2957440.1576727601</c:v>
                </c:pt>
                <c:pt idx="131">
                  <c:v>2957440.1576727601</c:v>
                </c:pt>
                <c:pt idx="132">
                  <c:v>2957440.1576727601</c:v>
                </c:pt>
                <c:pt idx="133">
                  <c:v>2957440.1576727601</c:v>
                </c:pt>
                <c:pt idx="134">
                  <c:v>2957440.1576727601</c:v>
                </c:pt>
                <c:pt idx="135">
                  <c:v>2957440.1576727601</c:v>
                </c:pt>
                <c:pt idx="136">
                  <c:v>2957440.1576727601</c:v>
                </c:pt>
                <c:pt idx="137">
                  <c:v>2957440.1576727601</c:v>
                </c:pt>
                <c:pt idx="138">
                  <c:v>2957440.1576727601</c:v>
                </c:pt>
                <c:pt idx="139">
                  <c:v>2957440.1576727601</c:v>
                </c:pt>
                <c:pt idx="140">
                  <c:v>2957440.1576727601</c:v>
                </c:pt>
                <c:pt idx="141">
                  <c:v>2957440.1576727601</c:v>
                </c:pt>
                <c:pt idx="142">
                  <c:v>2957440.1576727601</c:v>
                </c:pt>
                <c:pt idx="143">
                  <c:v>2957440.1576727601</c:v>
                </c:pt>
                <c:pt idx="144">
                  <c:v>2957440.1576727601</c:v>
                </c:pt>
                <c:pt idx="145">
                  <c:v>2957440.1576727601</c:v>
                </c:pt>
                <c:pt idx="146">
                  <c:v>2957440.1576727601</c:v>
                </c:pt>
                <c:pt idx="147">
                  <c:v>2957440.1576727601</c:v>
                </c:pt>
                <c:pt idx="148">
                  <c:v>2957440.1576727601</c:v>
                </c:pt>
                <c:pt idx="149">
                  <c:v>2957440.1576727601</c:v>
                </c:pt>
                <c:pt idx="150">
                  <c:v>2957440.1576727601</c:v>
                </c:pt>
                <c:pt idx="151">
                  <c:v>2957440.1576727601</c:v>
                </c:pt>
                <c:pt idx="152">
                  <c:v>2957440.1576727601</c:v>
                </c:pt>
                <c:pt idx="153">
                  <c:v>2957440.1576727601</c:v>
                </c:pt>
                <c:pt idx="154">
                  <c:v>2957440.1576727601</c:v>
                </c:pt>
                <c:pt idx="155">
                  <c:v>2957440.1576727601</c:v>
                </c:pt>
                <c:pt idx="156">
                  <c:v>2957440.1576727601</c:v>
                </c:pt>
                <c:pt idx="157">
                  <c:v>2957440.1576727601</c:v>
                </c:pt>
                <c:pt idx="158">
                  <c:v>2957440.1576727601</c:v>
                </c:pt>
                <c:pt idx="159">
                  <c:v>2957440.1576727601</c:v>
                </c:pt>
                <c:pt idx="160">
                  <c:v>2957440.1576727601</c:v>
                </c:pt>
                <c:pt idx="161">
                  <c:v>2957440.1576727601</c:v>
                </c:pt>
                <c:pt idx="162">
                  <c:v>2957440.1576727601</c:v>
                </c:pt>
                <c:pt idx="163">
                  <c:v>2957440.1576727601</c:v>
                </c:pt>
                <c:pt idx="164">
                  <c:v>2957440.1576727601</c:v>
                </c:pt>
                <c:pt idx="165">
                  <c:v>2957440.1576727601</c:v>
                </c:pt>
                <c:pt idx="166">
                  <c:v>2957440.1576727601</c:v>
                </c:pt>
                <c:pt idx="167">
                  <c:v>2957440.1576727601</c:v>
                </c:pt>
                <c:pt idx="168">
                  <c:v>2957440.1576727601</c:v>
                </c:pt>
                <c:pt idx="169">
                  <c:v>2957440.1576727601</c:v>
                </c:pt>
                <c:pt idx="170">
                  <c:v>2957440.1576727601</c:v>
                </c:pt>
                <c:pt idx="171">
                  <c:v>2957440.1576727601</c:v>
                </c:pt>
                <c:pt idx="172">
                  <c:v>2957440.1576727601</c:v>
                </c:pt>
                <c:pt idx="173">
                  <c:v>2957440.1576727601</c:v>
                </c:pt>
                <c:pt idx="174">
                  <c:v>2957440.1576727601</c:v>
                </c:pt>
                <c:pt idx="175">
                  <c:v>2957440.1576727601</c:v>
                </c:pt>
                <c:pt idx="176">
                  <c:v>2957440.1576727601</c:v>
                </c:pt>
                <c:pt idx="177">
                  <c:v>2957440.1576727601</c:v>
                </c:pt>
                <c:pt idx="178">
                  <c:v>2957440.1576727601</c:v>
                </c:pt>
                <c:pt idx="179">
                  <c:v>2957440.1576727601</c:v>
                </c:pt>
                <c:pt idx="180">
                  <c:v>2957440.1576727601</c:v>
                </c:pt>
                <c:pt idx="181">
                  <c:v>2957440.1576727601</c:v>
                </c:pt>
                <c:pt idx="182">
                  <c:v>2957440.1576727601</c:v>
                </c:pt>
                <c:pt idx="183">
                  <c:v>2957440.1576727601</c:v>
                </c:pt>
                <c:pt idx="184">
                  <c:v>2957440.1576727601</c:v>
                </c:pt>
                <c:pt idx="185">
                  <c:v>2957440.1576727601</c:v>
                </c:pt>
                <c:pt idx="186">
                  <c:v>2957440.1576727601</c:v>
                </c:pt>
                <c:pt idx="187">
                  <c:v>2957440.1576727601</c:v>
                </c:pt>
                <c:pt idx="188">
                  <c:v>2957440.1576727601</c:v>
                </c:pt>
                <c:pt idx="189">
                  <c:v>2957440.1576727601</c:v>
                </c:pt>
                <c:pt idx="190">
                  <c:v>2957440.1576727601</c:v>
                </c:pt>
                <c:pt idx="191">
                  <c:v>2957440.1576727601</c:v>
                </c:pt>
                <c:pt idx="192">
                  <c:v>2957440.1576727601</c:v>
                </c:pt>
                <c:pt idx="193">
                  <c:v>2957440.1576727601</c:v>
                </c:pt>
                <c:pt idx="194">
                  <c:v>2957440.1576727601</c:v>
                </c:pt>
                <c:pt idx="195">
                  <c:v>2957440.1576727601</c:v>
                </c:pt>
                <c:pt idx="196">
                  <c:v>2957440.1576727601</c:v>
                </c:pt>
                <c:pt idx="197">
                  <c:v>2957440.1576727601</c:v>
                </c:pt>
                <c:pt idx="198">
                  <c:v>2957440.1576727601</c:v>
                </c:pt>
                <c:pt idx="199">
                  <c:v>2957440.1576727601</c:v>
                </c:pt>
                <c:pt idx="200">
                  <c:v>2957440.1576727601</c:v>
                </c:pt>
                <c:pt idx="201">
                  <c:v>2957440.1576727601</c:v>
                </c:pt>
                <c:pt idx="202">
                  <c:v>2957440.1576727601</c:v>
                </c:pt>
                <c:pt idx="203">
                  <c:v>2957440.1576727601</c:v>
                </c:pt>
                <c:pt idx="204">
                  <c:v>2957440.1576727601</c:v>
                </c:pt>
                <c:pt idx="205">
                  <c:v>2957440.1576727601</c:v>
                </c:pt>
                <c:pt idx="206">
                  <c:v>2957440.1576727601</c:v>
                </c:pt>
                <c:pt idx="207">
                  <c:v>2957440.1576727601</c:v>
                </c:pt>
                <c:pt idx="208">
                  <c:v>2957440.1576727601</c:v>
                </c:pt>
                <c:pt idx="209">
                  <c:v>2957440.1576727601</c:v>
                </c:pt>
                <c:pt idx="210">
                  <c:v>2957440.1576727601</c:v>
                </c:pt>
                <c:pt idx="211">
                  <c:v>2957440.1576727601</c:v>
                </c:pt>
                <c:pt idx="212">
                  <c:v>2957440.1576727601</c:v>
                </c:pt>
                <c:pt idx="213">
                  <c:v>2957440.1576727601</c:v>
                </c:pt>
                <c:pt idx="214">
                  <c:v>2957440.1576727601</c:v>
                </c:pt>
                <c:pt idx="215">
                  <c:v>2957440.1576727601</c:v>
                </c:pt>
                <c:pt idx="216">
                  <c:v>2957440.1576727601</c:v>
                </c:pt>
                <c:pt idx="217">
                  <c:v>2957440.1576727601</c:v>
                </c:pt>
                <c:pt idx="218">
                  <c:v>2957440.1576727601</c:v>
                </c:pt>
                <c:pt idx="219">
                  <c:v>2957440.1576727601</c:v>
                </c:pt>
                <c:pt idx="220">
                  <c:v>2957440.1576727601</c:v>
                </c:pt>
                <c:pt idx="221">
                  <c:v>2957440.1576727601</c:v>
                </c:pt>
                <c:pt idx="222">
                  <c:v>2957440.1576727601</c:v>
                </c:pt>
                <c:pt idx="223">
                  <c:v>2957440.1576727601</c:v>
                </c:pt>
                <c:pt idx="224">
                  <c:v>2957440.1576727601</c:v>
                </c:pt>
                <c:pt idx="225">
                  <c:v>2957440.1576727601</c:v>
                </c:pt>
                <c:pt idx="226">
                  <c:v>2957440.1576727601</c:v>
                </c:pt>
                <c:pt idx="227">
                  <c:v>2957440.1576727601</c:v>
                </c:pt>
                <c:pt idx="228">
                  <c:v>2957440.1576727601</c:v>
                </c:pt>
                <c:pt idx="229">
                  <c:v>2957440.1576727601</c:v>
                </c:pt>
                <c:pt idx="230">
                  <c:v>2957440.1576727601</c:v>
                </c:pt>
                <c:pt idx="231">
                  <c:v>2957440.1576727601</c:v>
                </c:pt>
                <c:pt idx="232">
                  <c:v>2957440.1576727601</c:v>
                </c:pt>
                <c:pt idx="233">
                  <c:v>2957440.1576727601</c:v>
                </c:pt>
                <c:pt idx="234">
                  <c:v>2957440.1576727601</c:v>
                </c:pt>
                <c:pt idx="235">
                  <c:v>2957440.1576727601</c:v>
                </c:pt>
                <c:pt idx="236">
                  <c:v>2957440.1576727601</c:v>
                </c:pt>
                <c:pt idx="237">
                  <c:v>2957440.1576727601</c:v>
                </c:pt>
                <c:pt idx="238">
                  <c:v>2957440.1576727601</c:v>
                </c:pt>
                <c:pt idx="239">
                  <c:v>2957440.1576727601</c:v>
                </c:pt>
                <c:pt idx="240">
                  <c:v>2957440.1576727601</c:v>
                </c:pt>
                <c:pt idx="241">
                  <c:v>2957440.1576727601</c:v>
                </c:pt>
                <c:pt idx="242">
                  <c:v>2957440.1576727601</c:v>
                </c:pt>
                <c:pt idx="243">
                  <c:v>2957440.1576727601</c:v>
                </c:pt>
                <c:pt idx="244">
                  <c:v>2957440.1576727601</c:v>
                </c:pt>
                <c:pt idx="245">
                  <c:v>2957440.1576727601</c:v>
                </c:pt>
                <c:pt idx="246">
                  <c:v>2957440.1576727601</c:v>
                </c:pt>
                <c:pt idx="247">
                  <c:v>2957440.1576727601</c:v>
                </c:pt>
                <c:pt idx="248">
                  <c:v>2957440.1576727601</c:v>
                </c:pt>
                <c:pt idx="249">
                  <c:v>2957440.1576727601</c:v>
                </c:pt>
                <c:pt idx="250">
                  <c:v>2957440.1576727601</c:v>
                </c:pt>
                <c:pt idx="251">
                  <c:v>2957440.1576727601</c:v>
                </c:pt>
                <c:pt idx="252">
                  <c:v>2957440.1576727601</c:v>
                </c:pt>
                <c:pt idx="253">
                  <c:v>2957440.1576727601</c:v>
                </c:pt>
                <c:pt idx="254">
                  <c:v>2957440.1576727601</c:v>
                </c:pt>
                <c:pt idx="255">
                  <c:v>2957440.1576727601</c:v>
                </c:pt>
                <c:pt idx="256">
                  <c:v>2957440.1576727601</c:v>
                </c:pt>
                <c:pt idx="257">
                  <c:v>2957440.1576727601</c:v>
                </c:pt>
                <c:pt idx="258">
                  <c:v>2957440.1576727601</c:v>
                </c:pt>
                <c:pt idx="259">
                  <c:v>2957440.1576727601</c:v>
                </c:pt>
                <c:pt idx="260">
                  <c:v>2957440.1576727601</c:v>
                </c:pt>
                <c:pt idx="261">
                  <c:v>2957440.1576727601</c:v>
                </c:pt>
                <c:pt idx="262">
                  <c:v>2957440.1576727601</c:v>
                </c:pt>
                <c:pt idx="263">
                  <c:v>2957440.1576727601</c:v>
                </c:pt>
                <c:pt idx="264">
                  <c:v>2957440.1576727601</c:v>
                </c:pt>
                <c:pt idx="265">
                  <c:v>2957440.1576727601</c:v>
                </c:pt>
                <c:pt idx="266">
                  <c:v>2957440.1576727601</c:v>
                </c:pt>
                <c:pt idx="267">
                  <c:v>2957440.1576727601</c:v>
                </c:pt>
                <c:pt idx="268">
                  <c:v>2957440.1576727601</c:v>
                </c:pt>
                <c:pt idx="269">
                  <c:v>2957440.1576727601</c:v>
                </c:pt>
                <c:pt idx="270">
                  <c:v>2957440.1576727601</c:v>
                </c:pt>
                <c:pt idx="271">
                  <c:v>2957440.1576727601</c:v>
                </c:pt>
                <c:pt idx="272">
                  <c:v>2957440.1576727601</c:v>
                </c:pt>
                <c:pt idx="273">
                  <c:v>2957440.1576727601</c:v>
                </c:pt>
                <c:pt idx="274">
                  <c:v>2957440.1576727601</c:v>
                </c:pt>
                <c:pt idx="275">
                  <c:v>2957440.1576727601</c:v>
                </c:pt>
                <c:pt idx="276">
                  <c:v>2957440.1576727601</c:v>
                </c:pt>
                <c:pt idx="277">
                  <c:v>2957440.1576727601</c:v>
                </c:pt>
                <c:pt idx="278">
                  <c:v>2957440.1576727601</c:v>
                </c:pt>
                <c:pt idx="279">
                  <c:v>2957440.1576727601</c:v>
                </c:pt>
                <c:pt idx="280">
                  <c:v>2957440.1576727601</c:v>
                </c:pt>
                <c:pt idx="281">
                  <c:v>2957440.1576727601</c:v>
                </c:pt>
                <c:pt idx="282">
                  <c:v>2957440.1576727601</c:v>
                </c:pt>
                <c:pt idx="283">
                  <c:v>2957440.1576727601</c:v>
                </c:pt>
                <c:pt idx="284">
                  <c:v>2957440.1576727601</c:v>
                </c:pt>
                <c:pt idx="285">
                  <c:v>2957440.1576727601</c:v>
                </c:pt>
                <c:pt idx="286">
                  <c:v>2957440.1576727601</c:v>
                </c:pt>
                <c:pt idx="287">
                  <c:v>2957440.1576727601</c:v>
                </c:pt>
                <c:pt idx="288">
                  <c:v>2957440.1576727601</c:v>
                </c:pt>
                <c:pt idx="289">
                  <c:v>2957440.1576727601</c:v>
                </c:pt>
                <c:pt idx="290">
                  <c:v>2957440.1576727601</c:v>
                </c:pt>
                <c:pt idx="291">
                  <c:v>2957440.1576727601</c:v>
                </c:pt>
                <c:pt idx="292">
                  <c:v>2957440.1576727601</c:v>
                </c:pt>
                <c:pt idx="293">
                  <c:v>2957440.1576727601</c:v>
                </c:pt>
                <c:pt idx="294">
                  <c:v>2957440.1576727601</c:v>
                </c:pt>
                <c:pt idx="295">
                  <c:v>2957440.1576727601</c:v>
                </c:pt>
                <c:pt idx="296">
                  <c:v>2957440.1576727601</c:v>
                </c:pt>
                <c:pt idx="297">
                  <c:v>2957440.1576727601</c:v>
                </c:pt>
                <c:pt idx="298">
                  <c:v>2957440.1576727601</c:v>
                </c:pt>
                <c:pt idx="299">
                  <c:v>2957440.1576727601</c:v>
                </c:pt>
                <c:pt idx="300">
                  <c:v>2957440.1576727601</c:v>
                </c:pt>
                <c:pt idx="301">
                  <c:v>2957440.1576727601</c:v>
                </c:pt>
                <c:pt idx="302">
                  <c:v>2957440.1576727601</c:v>
                </c:pt>
                <c:pt idx="303">
                  <c:v>2957440.1576727601</c:v>
                </c:pt>
                <c:pt idx="304">
                  <c:v>2957440.1576727601</c:v>
                </c:pt>
                <c:pt idx="305">
                  <c:v>2957440.1576727601</c:v>
                </c:pt>
                <c:pt idx="306">
                  <c:v>2957440.1576727601</c:v>
                </c:pt>
                <c:pt idx="307">
                  <c:v>2957440.1576727601</c:v>
                </c:pt>
                <c:pt idx="308">
                  <c:v>2957440.1576727601</c:v>
                </c:pt>
                <c:pt idx="309">
                  <c:v>2957440.1576727601</c:v>
                </c:pt>
                <c:pt idx="310">
                  <c:v>2957440.1576727601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9432691.8406563457</c:v>
                </c:pt>
                <c:pt idx="58">
                  <c:v>9432691.8406563457</c:v>
                </c:pt>
                <c:pt idx="59">
                  <c:v>9432691.8406563457</c:v>
                </c:pt>
                <c:pt idx="60">
                  <c:v>9432691.8406563457</c:v>
                </c:pt>
                <c:pt idx="61">
                  <c:v>9432691.8406563457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0" t="s">
        <v>57</v>
      </c>
      <c r="E47" s="790"/>
      <c r="F47" s="791"/>
      <c r="G47" s="67"/>
      <c r="I47" s="68"/>
      <c r="J47" s="68"/>
    </row>
    <row r="48" spans="1:49" ht="14.4" thickBot="1">
      <c r="C48" s="69">
        <v>44014</v>
      </c>
      <c r="D48" s="792"/>
      <c r="E48" s="792"/>
      <c r="F48" s="79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4"/>
  <cols>
    <col min="1" max="1" width="6.218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95" t="s">
        <v>58</v>
      </c>
      <c r="C2" s="795"/>
      <c r="D2" s="795"/>
      <c r="E2" s="795"/>
      <c r="H2" s="796" t="s">
        <v>59</v>
      </c>
      <c r="I2" s="797"/>
      <c r="J2" s="797"/>
      <c r="K2" s="797"/>
      <c r="L2" s="797"/>
      <c r="M2" s="797"/>
      <c r="N2" s="797"/>
      <c r="O2" s="798"/>
    </row>
    <row r="3" spans="2:15">
      <c r="B3" s="646"/>
      <c r="H3" s="799"/>
      <c r="I3" s="800"/>
      <c r="J3" s="800"/>
      <c r="K3" s="800"/>
      <c r="L3" s="800"/>
      <c r="M3" s="800"/>
      <c r="N3" s="800"/>
      <c r="O3" s="801"/>
    </row>
    <row r="4" spans="2:15">
      <c r="B4" s="647" t="s">
        <v>60</v>
      </c>
      <c r="C4" s="648" t="str">
        <f>'Project Plan'!E2</f>
        <v>Seshego Circle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47" t="s">
        <v>61</v>
      </c>
      <c r="C5" s="648" t="s">
        <v>62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47" t="s">
        <v>63</v>
      </c>
      <c r="C6" s="648" t="s">
        <v>64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47" t="s">
        <v>65</v>
      </c>
      <c r="C7" s="648" t="s">
        <v>66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46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67</v>
      </c>
      <c r="C9" s="805"/>
      <c r="D9" s="805"/>
      <c r="E9" s="805"/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68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49" t="s">
        <v>69</v>
      </c>
      <c r="C11" s="794"/>
      <c r="D11" s="794"/>
      <c r="E11" s="794"/>
    </row>
    <row r="12" spans="2:15">
      <c r="B12" s="649" t="s">
        <v>70</v>
      </c>
      <c r="C12" s="794"/>
      <c r="D12" s="794"/>
      <c r="E12" s="794"/>
    </row>
    <row r="13" spans="2:15">
      <c r="B13" s="649" t="s">
        <v>71</v>
      </c>
      <c r="C13" s="794"/>
      <c r="D13" s="794"/>
      <c r="E13" s="794"/>
    </row>
    <row r="14" spans="2:15">
      <c r="B14" s="649" t="s">
        <v>72</v>
      </c>
      <c r="C14" s="794"/>
      <c r="D14" s="794"/>
      <c r="E14" s="794"/>
    </row>
    <row r="15" spans="2:15">
      <c r="B15" s="649" t="s">
        <v>73</v>
      </c>
      <c r="C15" s="794"/>
      <c r="D15" s="794"/>
      <c r="E15" s="794"/>
    </row>
    <row r="16" spans="2:15" ht="15" customHeight="1">
      <c r="B16" s="649" t="s">
        <v>74</v>
      </c>
      <c r="C16" s="794"/>
      <c r="D16" s="794"/>
      <c r="E16" s="794"/>
    </row>
    <row r="17" spans="2:5">
      <c r="B17" s="646"/>
    </row>
    <row r="18" spans="2:5">
      <c r="B18" s="806" t="s">
        <v>75</v>
      </c>
      <c r="C18" s="806"/>
      <c r="D18" s="806"/>
      <c r="E18" s="806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4"/>
  <cols>
    <col min="1" max="1" width="6.218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95" t="s">
        <v>80</v>
      </c>
      <c r="C2" s="795"/>
      <c r="D2" s="795"/>
      <c r="E2" s="795"/>
      <c r="H2" s="796" t="s">
        <v>81</v>
      </c>
      <c r="I2" s="797"/>
      <c r="J2" s="797"/>
      <c r="K2" s="797"/>
      <c r="L2" s="797"/>
      <c r="M2" s="797"/>
      <c r="N2" s="797"/>
      <c r="O2" s="798"/>
    </row>
    <row r="3" spans="2:15">
      <c r="B3" s="646"/>
      <c r="H3" s="799"/>
      <c r="I3" s="800"/>
      <c r="J3" s="800"/>
      <c r="K3" s="800"/>
      <c r="L3" s="800"/>
      <c r="M3" s="800"/>
      <c r="N3" s="800"/>
      <c r="O3" s="801"/>
    </row>
    <row r="4" spans="2:15">
      <c r="B4" s="647" t="s">
        <v>60</v>
      </c>
      <c r="C4" s="648" t="str">
        <f>'Project Plan'!E2</f>
        <v>Seshego Circle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47" t="s">
        <v>82</v>
      </c>
      <c r="C5" s="648"/>
      <c r="H5" s="799"/>
      <c r="I5" s="800"/>
      <c r="J5" s="800"/>
      <c r="K5" s="800"/>
      <c r="L5" s="800"/>
      <c r="M5" s="800"/>
      <c r="N5" s="800"/>
      <c r="O5" s="801"/>
    </row>
    <row r="6" spans="2:15">
      <c r="B6" s="647" t="s">
        <v>63</v>
      </c>
      <c r="C6" s="648" t="s">
        <v>64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47" t="s">
        <v>83</v>
      </c>
      <c r="C7" s="648" t="str">
        <f>'Project Plan'!E5</f>
        <v>Eon Van Rensburg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47" t="s">
        <v>84</v>
      </c>
      <c r="C8" s="648"/>
      <c r="H8" s="799"/>
      <c r="I8" s="800"/>
      <c r="J8" s="800"/>
      <c r="K8" s="800"/>
      <c r="L8" s="800"/>
      <c r="M8" s="800"/>
      <c r="N8" s="800"/>
      <c r="O8" s="801"/>
    </row>
    <row r="9" spans="2:15">
      <c r="B9" s="646"/>
      <c r="H9" s="799"/>
      <c r="I9" s="800"/>
      <c r="J9" s="800"/>
      <c r="K9" s="800"/>
      <c r="L9" s="800"/>
      <c r="M9" s="800"/>
      <c r="N9" s="800"/>
      <c r="O9" s="801"/>
    </row>
    <row r="10" spans="2:15">
      <c r="B10" s="805" t="s">
        <v>67</v>
      </c>
      <c r="C10" s="805"/>
      <c r="D10" s="805"/>
      <c r="E10" s="805"/>
      <c r="H10" s="799"/>
      <c r="I10" s="800"/>
      <c r="J10" s="800"/>
      <c r="K10" s="800"/>
      <c r="L10" s="800"/>
      <c r="M10" s="800"/>
      <c r="N10" s="800"/>
      <c r="O10" s="801"/>
    </row>
    <row r="11" spans="2:15" ht="15" thickBot="1">
      <c r="B11" s="805" t="s">
        <v>68</v>
      </c>
      <c r="C11" s="805"/>
      <c r="D11" s="805"/>
      <c r="E11" s="805"/>
      <c r="H11" s="802"/>
      <c r="I11" s="803"/>
      <c r="J11" s="803"/>
      <c r="K11" s="803"/>
      <c r="L11" s="803"/>
      <c r="M11" s="803"/>
      <c r="N11" s="803"/>
      <c r="O11" s="804"/>
    </row>
    <row r="12" spans="2:15" ht="26.4">
      <c r="B12" s="649" t="s">
        <v>85</v>
      </c>
      <c r="C12" s="794"/>
      <c r="D12" s="794"/>
      <c r="E12" s="794"/>
    </row>
    <row r="13" spans="2:15">
      <c r="B13" s="649" t="s">
        <v>86</v>
      </c>
      <c r="C13" s="794"/>
      <c r="D13" s="794"/>
      <c r="E13" s="794"/>
    </row>
    <row r="14" spans="2:15">
      <c r="B14" s="649" t="s">
        <v>87</v>
      </c>
      <c r="C14" s="794"/>
      <c r="D14" s="794"/>
      <c r="E14" s="794"/>
    </row>
    <row r="15" spans="2:15">
      <c r="B15" s="649" t="s">
        <v>88</v>
      </c>
      <c r="C15" s="794"/>
      <c r="D15" s="794"/>
      <c r="E15" s="794"/>
    </row>
    <row r="16" spans="2:15" ht="26.4">
      <c r="B16" s="649" t="s">
        <v>89</v>
      </c>
      <c r="C16" s="794"/>
      <c r="D16" s="794"/>
      <c r="E16" s="794"/>
    </row>
    <row r="17" spans="2:5">
      <c r="B17" s="649" t="s">
        <v>90</v>
      </c>
      <c r="C17" s="794"/>
      <c r="D17" s="794"/>
      <c r="E17" s="794"/>
    </row>
    <row r="18" spans="2:5">
      <c r="B18" s="649" t="s">
        <v>91</v>
      </c>
      <c r="C18" s="794"/>
      <c r="D18" s="794"/>
      <c r="E18" s="794"/>
    </row>
    <row r="19" spans="2:5">
      <c r="B19" s="649" t="s">
        <v>92</v>
      </c>
      <c r="C19" s="794"/>
      <c r="D19" s="794"/>
      <c r="E19" s="794"/>
    </row>
    <row r="20" spans="2:5">
      <c r="B20" s="649" t="s">
        <v>93</v>
      </c>
      <c r="C20" s="794"/>
      <c r="D20" s="794"/>
      <c r="E20" s="794"/>
    </row>
    <row r="21" spans="2:5">
      <c r="B21" s="649" t="s">
        <v>94</v>
      </c>
      <c r="C21" s="794"/>
      <c r="D21" s="794"/>
      <c r="E21" s="794"/>
    </row>
    <row r="22" spans="2:5" ht="15" customHeight="1">
      <c r="B22" s="649" t="s">
        <v>74</v>
      </c>
      <c r="C22" s="794"/>
      <c r="D22" s="794"/>
      <c r="E22" s="794"/>
    </row>
    <row r="23" spans="2:5">
      <c r="B23" s="646"/>
    </row>
    <row r="24" spans="2:5">
      <c r="B24" s="806" t="s">
        <v>75</v>
      </c>
      <c r="C24" s="806"/>
      <c r="D24" s="806"/>
      <c r="E24" s="806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5546875" customWidth="1"/>
  </cols>
  <sheetData>
    <row r="1" spans="2:15">
      <c r="B1" s="807"/>
      <c r="C1" s="808"/>
      <c r="D1" s="808"/>
      <c r="E1" s="808"/>
      <c r="F1" s="809" t="s">
        <v>95</v>
      </c>
      <c r="G1" s="809"/>
      <c r="H1" s="809"/>
      <c r="I1" s="809"/>
      <c r="J1" s="809"/>
      <c r="K1" s="810"/>
      <c r="L1" s="77"/>
      <c r="M1" s="77"/>
      <c r="N1" s="77"/>
      <c r="O1" s="77"/>
    </row>
    <row r="2" spans="2:15" ht="6.75" customHeight="1"/>
    <row r="3" spans="2:15" s="651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8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811" t="s">
        <v>163</v>
      </c>
      <c r="C2" s="812"/>
      <c r="D2" s="812"/>
      <c r="E2" s="812"/>
      <c r="F2" s="813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11" t="s">
        <v>170</v>
      </c>
      <c r="C16" s="812"/>
      <c r="D16" s="812"/>
      <c r="E16" s="812"/>
      <c r="F16" s="813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26" zoomScale="85" zoomScaleNormal="85" workbookViewId="0">
      <selection activeCell="C51" sqref="C51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1.5546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44140625" style="112" customWidth="1"/>
    <col min="14" max="14" width="11.44140625" style="112" bestFit="1" customWidth="1"/>
    <col min="15" max="15" width="39.44140625" style="112" bestFit="1" customWidth="1"/>
    <col min="16" max="16" width="1.44140625" style="112" customWidth="1"/>
    <col min="17" max="17" width="5.21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46064</v>
      </c>
      <c r="O1" s="404">
        <f ca="1">TODAY()</f>
        <v>46064</v>
      </c>
      <c r="Q1" s="3"/>
    </row>
    <row r="2" spans="2:28">
      <c r="B2" s="177"/>
      <c r="C2" s="178" t="s">
        <v>0</v>
      </c>
      <c r="D2" s="179"/>
      <c r="E2" s="814" t="s">
        <v>377</v>
      </c>
      <c r="F2" s="815"/>
      <c r="G2" s="815"/>
      <c r="H2" s="816"/>
      <c r="N2" s="405">
        <v>0</v>
      </c>
      <c r="O2" s="405" t="s">
        <v>378</v>
      </c>
    </row>
    <row r="3" spans="2:28" s="112" customFormat="1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19" t="s">
        <v>380</v>
      </c>
      <c r="Q3" s="3"/>
    </row>
    <row r="4" spans="2:28" s="112" customFormat="1">
      <c r="B4" s="180"/>
      <c r="C4" s="181" t="s">
        <v>381</v>
      </c>
      <c r="D4" s="179"/>
      <c r="E4" s="817" t="s">
        <v>382</v>
      </c>
      <c r="F4" s="818"/>
      <c r="G4" s="818"/>
      <c r="H4" s="819"/>
      <c r="J4" s="641" t="s">
        <v>383</v>
      </c>
      <c r="K4" s="642">
        <v>45961</v>
      </c>
      <c r="Q4" s="3"/>
    </row>
    <row r="5" spans="2:28" s="112" customFormat="1">
      <c r="B5" s="180"/>
      <c r="C5" s="181" t="s">
        <v>384</v>
      </c>
      <c r="D5" s="179"/>
      <c r="E5" s="817" t="s">
        <v>385</v>
      </c>
      <c r="F5" s="818"/>
      <c r="G5" s="818"/>
      <c r="H5" s="819"/>
      <c r="J5" s="113"/>
      <c r="Q5" s="3"/>
    </row>
    <row r="6" spans="2:28">
      <c r="B6" s="185"/>
      <c r="C6" s="186" t="s">
        <v>386</v>
      </c>
      <c r="D6" s="179"/>
      <c r="E6" s="820">
        <v>10428344.3461792</v>
      </c>
      <c r="F6" s="821"/>
      <c r="G6" s="821"/>
      <c r="H6" s="822"/>
    </row>
    <row r="7" spans="2:28" s="112" customFormat="1">
      <c r="B7" s="168"/>
      <c r="C7" s="699" t="s">
        <v>387</v>
      </c>
      <c r="E7" s="698" t="s">
        <v>388</v>
      </c>
      <c r="F7" s="169"/>
      <c r="G7" s="187"/>
      <c r="J7" s="113"/>
      <c r="Q7" s="3"/>
    </row>
    <row r="8" spans="2:28" ht="30" customHeight="1">
      <c r="B8" s="826" t="s">
        <v>389</v>
      </c>
      <c r="C8" s="827" t="s">
        <v>390</v>
      </c>
      <c r="D8" s="216"/>
      <c r="E8" s="825" t="s">
        <v>391</v>
      </c>
      <c r="F8" s="238" t="s">
        <v>392</v>
      </c>
      <c r="G8" s="825" t="s">
        <v>393</v>
      </c>
      <c r="H8" s="239"/>
      <c r="I8" s="825" t="s">
        <v>394</v>
      </c>
      <c r="J8" s="238" t="s">
        <v>392</v>
      </c>
      <c r="K8" s="825" t="s">
        <v>395</v>
      </c>
      <c r="M8" s="411" t="s">
        <v>102</v>
      </c>
      <c r="N8" s="411" t="s">
        <v>102</v>
      </c>
      <c r="O8" s="823" t="s">
        <v>396</v>
      </c>
      <c r="Z8" s="112"/>
      <c r="AA8" s="112"/>
      <c r="AB8" s="112"/>
    </row>
    <row r="9" spans="2:28">
      <c r="B9" s="826"/>
      <c r="C9" s="827"/>
      <c r="D9" s="216"/>
      <c r="E9" s="825"/>
      <c r="F9" s="126">
        <f>G51-E19</f>
        <v>60</v>
      </c>
      <c r="G9" s="825"/>
      <c r="H9" s="239"/>
      <c r="I9" s="825"/>
      <c r="J9" s="127">
        <f>K51-I19</f>
        <v>129</v>
      </c>
      <c r="K9" s="825"/>
      <c r="M9" s="363">
        <f>AVERAGE(M11,M18,M23,M33,M42,M47,M56,M53)</f>
        <v>0.53826086956521735</v>
      </c>
      <c r="N9" s="363">
        <f ca="1">AVERAGE(N11,N18,N23,N33,N42,N47,N56,N53)</f>
        <v>0.53732700029342495</v>
      </c>
      <c r="O9" s="824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397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398</v>
      </c>
      <c r="C12" s="250" t="s">
        <v>399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400</v>
      </c>
      <c r="C13" s="250" t="s">
        <v>401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402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403</v>
      </c>
      <c r="C15" s="250" t="s">
        <v>404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405</v>
      </c>
      <c r="C16" s="250" t="s">
        <v>406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407</v>
      </c>
      <c r="C19" s="250" t="s">
        <v>408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70</v>
      </c>
      <c r="T19" s="121" t="s">
        <v>409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410</v>
      </c>
      <c r="C20" s="250" t="s">
        <v>411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410</v>
      </c>
      <c r="C21" s="250" t="s">
        <v>412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413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(J24*M24+J25*M25+J26*M26+J27*M27+J31*M31)/SUM(J24:J31)</f>
        <v>0.68</v>
      </c>
      <c r="N23" s="362">
        <f ca="1">(K24*N24+K25*N25+K26*N26+K27*N27+K31*N31)/SUM(K24:K31)</f>
        <v>0.62470295886913896</v>
      </c>
      <c r="O23" s="119"/>
      <c r="P23" s="112"/>
      <c r="Q23" s="123"/>
      <c r="R23" s="118"/>
      <c r="S23" s="121">
        <f>S19/5</f>
        <v>14</v>
      </c>
      <c r="T23" s="121" t="s">
        <v>414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415</v>
      </c>
      <c r="C24" s="250" t="s">
        <v>416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97.142857142857139</v>
      </c>
      <c r="T24" s="118" t="s">
        <v>417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418</v>
      </c>
      <c r="C25" s="250" t="s">
        <v>419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420</v>
      </c>
      <c r="C26" s="250" t="s">
        <v>421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422</v>
      </c>
      <c r="C27" s="706" t="s">
        <v>423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424</v>
      </c>
      <c r="C28" s="250" t="s">
        <v>425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426</v>
      </c>
      <c r="C29" s="707" t="s">
        <v>427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0.3</v>
      </c>
      <c r="N29" s="255">
        <f ca="1">_xlfn.LET(
  _xlpm.s,VALUE($I29),
  _xlpm.e,VALUE($K29),
  IF(OR(_xlpm.s="",_xlpm.e=""),"", IF(_xlpm.e&lt;=_xlpm.s, IF(TODAY()&gt;=_xlpm.e,1,0), MAX(0,MIN(1,(TODAY()-_xlpm.s)/(_xlpm.e-_xlpm.s)))))
)</f>
        <v>0.4</v>
      </c>
      <c r="O29" s="714" t="s">
        <v>428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429</v>
      </c>
      <c r="C30" s="250" t="s">
        <v>430</v>
      </c>
      <c r="D30" s="216"/>
      <c r="E30" s="251"/>
      <c r="F30" s="252"/>
      <c r="G30" s="251"/>
      <c r="H30" s="239"/>
      <c r="I30" s="251">
        <v>46063</v>
      </c>
      <c r="J30" s="252">
        <v>1</v>
      </c>
      <c r="K30" s="251">
        <f>WORKDAY.INTL(I30,J30,1,Data!$C$3:$C$45)</f>
        <v>46064</v>
      </c>
      <c r="M30" s="255">
        <v>0</v>
      </c>
      <c r="N30" s="255">
        <f t="shared" ca="1" si="1"/>
        <v>1</v>
      </c>
      <c r="O30" s="122" t="s">
        <v>431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432</v>
      </c>
      <c r="C31" s="250" t="s">
        <v>433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46063</v>
      </c>
      <c r="J31" s="252">
        <v>1</v>
      </c>
      <c r="K31" s="251">
        <f>WORKDAY.INTL(I31,J31,1,Data!$C$3:$C$45)</f>
        <v>46064</v>
      </c>
      <c r="M31" s="255">
        <v>0</v>
      </c>
      <c r="N31" s="255">
        <f t="shared" ca="1" si="1"/>
        <v>1</v>
      </c>
      <c r="O31" s="122" t="s">
        <v>431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(J35*M35+J36*M36+J40*M40)/SUM(J35:J40)</f>
        <v>0.62608695652173918</v>
      </c>
      <c r="N33" s="362">
        <f ca="1">(J35*N35+J36*N36+J40*N40)/SUM(J35:J40)</f>
        <v>0.67391304347826086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434</v>
      </c>
      <c r="C34" s="250" t="s">
        <v>435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434</v>
      </c>
      <c r="C35" s="250" t="s">
        <v>436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437</v>
      </c>
      <c r="C36" s="250" t="s">
        <v>438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439</v>
      </c>
      <c r="C37" s="250" t="s">
        <v>440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441</v>
      </c>
      <c r="C38" s="250" t="s">
        <v>442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443</v>
      </c>
      <c r="C39" s="250" t="s">
        <v>444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0.9</v>
      </c>
      <c r="N39" s="255">
        <f t="shared" ca="1" si="2"/>
        <v>1</v>
      </c>
      <c r="O39" s="712" t="s">
        <v>445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446</v>
      </c>
      <c r="C40" s="244" t="s">
        <v>447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0.9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448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(J43*M43+J44*M44)/SUM(J43:J44)</f>
        <v>1</v>
      </c>
      <c r="N42" s="362">
        <f ca="1">(J43*N43+J44*N44)/SUM(J43:J44)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449</v>
      </c>
      <c r="C43" s="250" t="s">
        <v>450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20" t="s">
        <v>451</v>
      </c>
      <c r="C44" s="706" t="s">
        <v>452</v>
      </c>
      <c r="D44" s="721"/>
      <c r="E44" s="722">
        <f>G36-7</f>
        <v>45951</v>
      </c>
      <c r="F44" s="723">
        <v>20</v>
      </c>
      <c r="G44" s="724">
        <f>WORKDAY.INTL(E44,F44,1,Data!$C$3:$C$45)</f>
        <v>45979</v>
      </c>
      <c r="H44" s="725"/>
      <c r="I44" s="722">
        <f>K36-2</f>
        <v>45965</v>
      </c>
      <c r="J44" s="723">
        <v>12</v>
      </c>
      <c r="K44" s="724">
        <f>WORKDAY.INTL(I44,J44,1,Data!$C$3:$C$45)</f>
        <v>45981</v>
      </c>
      <c r="M44" s="726">
        <v>1</v>
      </c>
      <c r="N44" s="726">
        <f t="shared" ca="1" si="3"/>
        <v>1</v>
      </c>
      <c r="O44" s="705"/>
      <c r="Q44" s="727"/>
      <c r="R44" s="727"/>
      <c r="S44" s="727"/>
      <c r="T44" s="727"/>
      <c r="U44" s="727"/>
      <c r="V44" s="727"/>
      <c r="W44" s="727"/>
      <c r="X44" s="727"/>
      <c r="Y44" s="727"/>
      <c r="Z44" s="727"/>
      <c r="AA44" s="727"/>
      <c r="AB44" s="727"/>
    </row>
    <row r="45" spans="2:28" s="112" customFormat="1">
      <c r="B45" s="249" t="s">
        <v>451</v>
      </c>
      <c r="C45" s="250" t="s">
        <v>453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454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46067</v>
      </c>
      <c r="J47" s="248">
        <f>K47-I47</f>
        <v>5</v>
      </c>
      <c r="K47" s="247">
        <f>MAX(K49:K51)</f>
        <v>46072</v>
      </c>
      <c r="L47" s="114"/>
      <c r="M47" s="362">
        <f>(J49*M49+J51*M51)/SUM(J49:J51)</f>
        <v>0</v>
      </c>
      <c r="N47" s="362">
        <f ca="1">(K49*N49+K51*N51)/SUM(K49:K51)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455</v>
      </c>
      <c r="C48" s="728" t="s">
        <v>456</v>
      </c>
      <c r="D48" s="220"/>
      <c r="E48" s="247"/>
      <c r="F48" s="248"/>
      <c r="G48" s="247"/>
      <c r="H48" s="221"/>
      <c r="I48" s="254">
        <v>46063</v>
      </c>
      <c r="J48" s="252">
        <v>3</v>
      </c>
      <c r="K48" s="254">
        <f>WORKDAY.INTL(I48,J48,1,Data!$C$3:$C$45)</f>
        <v>46066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0.33333333333333331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457</v>
      </c>
      <c r="C49" s="244" t="s">
        <v>458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46067</v>
      </c>
      <c r="J49" s="252">
        <v>1</v>
      </c>
      <c r="K49" s="254">
        <f>WORKDAY.INTL(I49,J49,1,Data!$C$3:$C$45)</f>
        <v>46069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459</v>
      </c>
      <c r="Y49" s="24"/>
    </row>
    <row r="50" spans="2:28">
      <c r="B50" s="249" t="s">
        <v>460</v>
      </c>
      <c r="C50" s="244" t="s">
        <v>461</v>
      </c>
      <c r="D50" s="216"/>
      <c r="E50" s="254"/>
      <c r="F50" s="252"/>
      <c r="G50" s="254"/>
      <c r="H50" s="239"/>
      <c r="I50" s="254">
        <v>46067</v>
      </c>
      <c r="J50" s="252">
        <v>1</v>
      </c>
      <c r="K50" s="254">
        <f>WORKDAY.INTL(I50,J50,1,Data!$C$3:$C$45)</f>
        <v>46069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459</v>
      </c>
      <c r="Y50" s="24"/>
    </row>
    <row r="51" spans="2:28">
      <c r="B51" s="249" t="s">
        <v>462</v>
      </c>
      <c r="C51" s="244" t="s">
        <v>463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f>WORKDAY.INTL(K50,0,1,Data!$C$3:$C$45)</f>
        <v>46069</v>
      </c>
      <c r="J51" s="252">
        <v>3</v>
      </c>
      <c r="K51" s="254">
        <f>WORKDAY.INTL(I51,J51,1,Data!$C$3:$C$45)</f>
        <v>46072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464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465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46072</v>
      </c>
      <c r="J53" s="248">
        <f>K53-I53</f>
        <v>5</v>
      </c>
      <c r="K53" s="247">
        <f>MAX(K54)</f>
        <v>46077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466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f>WORKDAY.INTL(K51,0,1,Data!$C$3:$C$45)</f>
        <v>46072</v>
      </c>
      <c r="J54" s="252">
        <v>3</v>
      </c>
      <c r="K54" s="254">
        <f>WORKDAY.INTL(I54,J54,1,Data!$C$3:$C$45)</f>
        <v>46077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467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46072</v>
      </c>
      <c r="J56" s="248">
        <f>K56-I56</f>
        <v>20</v>
      </c>
      <c r="K56" s="247">
        <f>MAX(K57:K62)</f>
        <v>46092</v>
      </c>
      <c r="L56" s="114"/>
      <c r="M56" s="362">
        <f>(J57*M57+J58*M58+J59*M59+J60*M60+J61*M61+J62*M62)/SUM(J57:J62)</f>
        <v>0</v>
      </c>
      <c r="N56" s="362">
        <f ca="1">(K57*N57+K58*N58+K59*N59+K60*N60+K61*N61+K62*N62)/SUM(K57:K62)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468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46072</v>
      </c>
      <c r="J57" s="252">
        <v>1</v>
      </c>
      <c r="K57" s="254">
        <f>WORKDAY.INTL(I57,J57,1,Data!$C$3:$C$45)</f>
        <v>46073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469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46077</v>
      </c>
      <c r="J58" s="252">
        <v>5</v>
      </c>
      <c r="K58" s="254">
        <f>WORKDAY.INTL(I58,J58,1,Data!$C$3:$C$45)</f>
        <v>46084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470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46072</v>
      </c>
      <c r="J59" s="252">
        <v>5</v>
      </c>
      <c r="K59" s="254">
        <f>WORKDAY.INTL(I59,J59,1,Data!$C$3:$C$45)</f>
        <v>46079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471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46084</v>
      </c>
      <c r="J60" s="252">
        <v>1</v>
      </c>
      <c r="K60" s="254">
        <f>WORKDAY.INTL(I60,J60,1,Data!$C$3:$C$45)</f>
        <v>46085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472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46085</v>
      </c>
      <c r="J61" s="252">
        <v>1</v>
      </c>
      <c r="K61" s="254">
        <f>WORKDAY.INTL(I61,J61,1,Data!$C$3:$C$45)</f>
        <v>46086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473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46085</v>
      </c>
      <c r="J62" s="252">
        <v>5</v>
      </c>
      <c r="K62" s="254">
        <f>WORKDAY.INTL(I62,J62,1,Data!$C$3:$C$45)</f>
        <v>46092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4140625" defaultRowHeight="14.4"/>
  <cols>
    <col min="1" max="1" width="5.21875" style="93" customWidth="1"/>
    <col min="2" max="2" width="5.21875" style="131" customWidth="1"/>
    <col min="3" max="4" width="23.2187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5546875" style="129" customWidth="1"/>
    <col min="10" max="10" width="3.44140625" style="93" customWidth="1"/>
    <col min="11" max="11" width="1.5546875" style="176" customWidth="1"/>
    <col min="12" max="12" width="29.44140625" style="93" customWidth="1"/>
    <col min="13" max="13" width="1.554687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5.21875" style="129" customWidth="1"/>
    <col min="18" max="18" width="112.44140625" style="129" bestFit="1" customWidth="1"/>
    <col min="19" max="19" width="4.44140625" style="129" customWidth="1"/>
    <col min="20" max="20" width="14.21875" style="129" customWidth="1"/>
    <col min="21" max="21" width="10.44140625" style="93" bestFit="1" customWidth="1"/>
    <col min="22" max="23" width="8.44140625" style="93"/>
    <col min="24" max="24" width="5.21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44140625" style="129" bestFit="1" customWidth="1"/>
    <col min="30" max="16384" width="8.44140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2">
      <c r="B3" s="117"/>
      <c r="D3" s="125" t="s">
        <v>475</v>
      </c>
      <c r="F3" s="125" t="s">
        <v>476</v>
      </c>
      <c r="J3" s="142"/>
      <c r="L3" s="409" t="s">
        <v>477</v>
      </c>
      <c r="N3" s="409" t="s">
        <v>478</v>
      </c>
      <c r="S3" s="142"/>
    </row>
    <row r="4" spans="1:21" s="93" customFormat="1" ht="13.2">
      <c r="B4" s="353">
        <v>1</v>
      </c>
      <c r="C4" s="354" t="s">
        <v>479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480</v>
      </c>
      <c r="Q4" s="130"/>
      <c r="S4" s="142"/>
    </row>
    <row r="5" spans="1:21" s="93" customFormat="1" ht="15" customHeight="1">
      <c r="B5" s="353">
        <v>2</v>
      </c>
      <c r="C5" s="354" t="s">
        <v>481</v>
      </c>
      <c r="D5" s="355">
        <f>+'Expenditure Tracking'!F5</f>
        <v>9590676.1310892869</v>
      </c>
      <c r="E5" s="356"/>
      <c r="F5" s="355">
        <f>+'Expenditure Tracking'!H5</f>
        <v>7470904.1923272396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482</v>
      </c>
      <c r="D6" s="355">
        <f>+D4-D5</f>
        <v>837668.21508991346</v>
      </c>
      <c r="E6" s="356"/>
      <c r="F6" s="355">
        <f>+F4-F5</f>
        <v>2957440.1576727601</v>
      </c>
      <c r="H6" s="116"/>
      <c r="J6" s="142"/>
      <c r="L6" s="375"/>
      <c r="N6" s="375" t="s">
        <v>483</v>
      </c>
      <c r="S6" s="142"/>
    </row>
    <row r="7" spans="1:21" s="93" customFormat="1" ht="15" customHeight="1" thickBot="1">
      <c r="B7" s="353">
        <v>4</v>
      </c>
      <c r="C7" s="354" t="s">
        <v>484</v>
      </c>
      <c r="D7" s="357">
        <f>+D6/D4</f>
        <v>8.0326098494898995E-2</v>
      </c>
      <c r="E7" s="356"/>
      <c r="F7" s="357">
        <f>+F6/F4</f>
        <v>0.28359632731851248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2">
      <c r="B10" s="128" t="s">
        <v>485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4">
      <c r="B12" s="132" t="s">
        <v>389</v>
      </c>
      <c r="C12" s="133" t="s">
        <v>486</v>
      </c>
      <c r="D12" s="134"/>
      <c r="E12" s="132" t="s">
        <v>487</v>
      </c>
      <c r="F12" s="132" t="s">
        <v>488</v>
      </c>
      <c r="H12" s="358" t="s">
        <v>489</v>
      </c>
      <c r="J12" s="142"/>
      <c r="L12" s="167" t="s">
        <v>187</v>
      </c>
      <c r="M12" s="135"/>
      <c r="N12" s="167" t="s">
        <v>188</v>
      </c>
      <c r="O12" s="129"/>
      <c r="P12" s="167" t="s">
        <v>490</v>
      </c>
      <c r="R12" s="378" t="s">
        <v>491</v>
      </c>
      <c r="S12" s="142"/>
    </row>
    <row r="13" spans="1:21" s="93" customFormat="1" ht="13.2">
      <c r="B13" s="353">
        <v>1</v>
      </c>
      <c r="C13" s="830" t="s">
        <v>492</v>
      </c>
      <c r="D13" s="831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493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2">
      <c r="B14" s="353">
        <v>1</v>
      </c>
      <c r="C14" s="830" t="s">
        <v>492</v>
      </c>
      <c r="D14" s="831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493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3.2">
      <c r="B15" s="155">
        <v>2</v>
      </c>
      <c r="C15" s="830" t="s">
        <v>494</v>
      </c>
      <c r="D15" s="831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495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3.2">
      <c r="B16" s="353">
        <v>3</v>
      </c>
      <c r="C16" s="830" t="s">
        <v>496</v>
      </c>
      <c r="D16" s="831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3.2">
      <c r="B17" s="353">
        <v>4</v>
      </c>
      <c r="C17" s="828" t="s">
        <v>497</v>
      </c>
      <c r="D17" s="829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3.2">
      <c r="B18" s="353">
        <v>5</v>
      </c>
      <c r="C18" s="828"/>
      <c r="D18" s="829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3.2">
      <c r="B19" s="353">
        <v>6</v>
      </c>
      <c r="C19" s="828"/>
      <c r="D19" s="829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3.2">
      <c r="B20" s="353">
        <v>7</v>
      </c>
      <c r="C20" s="830" t="s">
        <v>498</v>
      </c>
      <c r="D20" s="831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2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499</v>
      </c>
      <c r="C24" s="146" t="s">
        <v>500</v>
      </c>
      <c r="D24" s="146"/>
      <c r="F24" s="147"/>
    </row>
    <row r="25" spans="2:19" s="93" customFormat="1" ht="13.2">
      <c r="C25" s="148" t="s">
        <v>501</v>
      </c>
      <c r="D25" s="149"/>
      <c r="F25" s="150"/>
    </row>
    <row r="26" spans="2:19" s="93" customFormat="1" ht="13.2">
      <c r="C26" s="148" t="s">
        <v>502</v>
      </c>
      <c r="D26" s="149"/>
      <c r="L26" s="675"/>
    </row>
    <row r="27" spans="2:19" s="93" customFormat="1" ht="13.2">
      <c r="C27" s="151" t="s">
        <v>503</v>
      </c>
      <c r="D27" s="152"/>
    </row>
    <row r="28" spans="2:19" s="93" customFormat="1" ht="13.2">
      <c r="C28" s="153" t="s">
        <v>504</v>
      </c>
      <c r="D28" s="149"/>
    </row>
    <row r="29" spans="2:19" s="93" customFormat="1" ht="13.2">
      <c r="B29" s="117"/>
      <c r="C29" s="153" t="s">
        <v>505</v>
      </c>
      <c r="D29" s="149"/>
    </row>
    <row r="30" spans="2:19" s="93" customFormat="1" ht="13.2">
      <c r="B30" s="117"/>
      <c r="C30" s="93" t="s">
        <v>506</v>
      </c>
    </row>
    <row r="31" spans="2:19" s="93" customFormat="1" ht="27.75" customHeight="1">
      <c r="B31" s="117"/>
      <c r="C31" s="154" t="s">
        <v>507</v>
      </c>
      <c r="D31" s="154"/>
      <c r="F31" s="150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  <c r="F35" s="147"/>
    </row>
    <row r="36" spans="2:6" s="93" customFormat="1" ht="13.2">
      <c r="B36" s="117"/>
    </row>
    <row r="37" spans="2:6" s="93" customFormat="1" ht="13.2">
      <c r="B37" s="117"/>
    </row>
    <row r="38" spans="2:6" s="93" customFormat="1" ht="13.2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389</v>
      </c>
      <c r="C41" s="133" t="s">
        <v>486</v>
      </c>
      <c r="D41" s="134"/>
      <c r="E41" s="132" t="s">
        <v>487</v>
      </c>
      <c r="F41" s="132" t="s">
        <v>488</v>
      </c>
    </row>
    <row r="42" spans="2:6" s="93" customFormat="1" ht="12.75" hidden="1" customHeight="1">
      <c r="B42" s="155">
        <v>1</v>
      </c>
      <c r="C42" s="156" t="s">
        <v>508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509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510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511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441406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512</v>
      </c>
      <c r="F2" s="83" t="s">
        <v>513</v>
      </c>
    </row>
    <row r="3" spans="3:8">
      <c r="C3" s="79">
        <v>45658</v>
      </c>
      <c r="D3" s="73" t="s">
        <v>514</v>
      </c>
      <c r="F3" s="81" t="s">
        <v>515</v>
      </c>
    </row>
    <row r="4" spans="3:8">
      <c r="C4" s="79">
        <v>45737</v>
      </c>
      <c r="D4" s="73" t="s">
        <v>516</v>
      </c>
      <c r="F4" s="81" t="s">
        <v>517</v>
      </c>
    </row>
    <row r="5" spans="3:8">
      <c r="C5" s="79">
        <v>45765</v>
      </c>
      <c r="D5" s="73" t="s">
        <v>518</v>
      </c>
      <c r="F5" s="81" t="s">
        <v>519</v>
      </c>
    </row>
    <row r="6" spans="3:8" ht="13.8" thickBot="1">
      <c r="C6" s="79">
        <v>45768</v>
      </c>
      <c r="D6" s="73" t="s">
        <v>520</v>
      </c>
      <c r="F6" s="82" t="s">
        <v>521</v>
      </c>
    </row>
    <row r="7" spans="3:8">
      <c r="C7" s="79">
        <v>45774</v>
      </c>
      <c r="D7" s="73" t="s">
        <v>522</v>
      </c>
    </row>
    <row r="8" spans="3:8">
      <c r="C8" s="79">
        <v>45765</v>
      </c>
      <c r="D8" s="73" t="s">
        <v>523</v>
      </c>
    </row>
    <row r="9" spans="3:8">
      <c r="C9" s="79">
        <v>45778</v>
      </c>
      <c r="D9" s="73" t="s">
        <v>524</v>
      </c>
    </row>
    <row r="10" spans="3:8">
      <c r="C10" s="79">
        <v>45824</v>
      </c>
      <c r="D10" s="73" t="s">
        <v>525</v>
      </c>
    </row>
    <row r="11" spans="3:8">
      <c r="C11" s="79">
        <v>45878</v>
      </c>
      <c r="D11" s="73" t="s">
        <v>526</v>
      </c>
    </row>
    <row r="12" spans="3:8">
      <c r="C12" s="79">
        <v>45924</v>
      </c>
      <c r="D12" s="73" t="s">
        <v>527</v>
      </c>
    </row>
    <row r="13" spans="3:8">
      <c r="C13" s="79">
        <v>46007</v>
      </c>
      <c r="D13" s="73" t="s">
        <v>528</v>
      </c>
      <c r="F13" s="85"/>
      <c r="H13" s="73" t="s">
        <v>529</v>
      </c>
    </row>
    <row r="14" spans="3:8">
      <c r="C14" s="79">
        <v>46008</v>
      </c>
      <c r="D14" s="73" t="s">
        <v>530</v>
      </c>
      <c r="F14" s="85"/>
    </row>
    <row r="15" spans="3:8">
      <c r="C15" s="79">
        <v>46009</v>
      </c>
      <c r="D15" s="73" t="s">
        <v>530</v>
      </c>
      <c r="F15" s="85"/>
    </row>
    <row r="16" spans="3:8">
      <c r="C16" s="79">
        <v>46010</v>
      </c>
      <c r="D16" s="73" t="s">
        <v>530</v>
      </c>
      <c r="F16" s="85"/>
    </row>
    <row r="17" spans="3:6">
      <c r="C17" s="79">
        <v>46011</v>
      </c>
      <c r="D17" s="73" t="s">
        <v>530</v>
      </c>
      <c r="F17" s="85"/>
    </row>
    <row r="18" spans="3:6">
      <c r="C18" s="79">
        <v>46012</v>
      </c>
      <c r="D18" s="73" t="s">
        <v>530</v>
      </c>
      <c r="F18" s="85"/>
    </row>
    <row r="19" spans="3:6">
      <c r="C19" s="79">
        <v>46013</v>
      </c>
      <c r="D19" s="73" t="s">
        <v>530</v>
      </c>
      <c r="F19" s="85"/>
    </row>
    <row r="20" spans="3:6">
      <c r="C20" s="79">
        <v>46014</v>
      </c>
      <c r="D20" s="73" t="s">
        <v>530</v>
      </c>
      <c r="F20" s="85"/>
    </row>
    <row r="21" spans="3:6">
      <c r="C21" s="79">
        <v>46015</v>
      </c>
      <c r="D21" s="73" t="s">
        <v>530</v>
      </c>
      <c r="F21" s="85"/>
    </row>
    <row r="22" spans="3:6">
      <c r="C22" s="79">
        <v>46016</v>
      </c>
      <c r="D22" s="73" t="s">
        <v>530</v>
      </c>
      <c r="F22" s="85"/>
    </row>
    <row r="23" spans="3:6">
      <c r="C23" s="79">
        <v>46017</v>
      </c>
      <c r="D23" s="73" t="s">
        <v>530</v>
      </c>
      <c r="F23" s="85"/>
    </row>
    <row r="24" spans="3:6">
      <c r="C24" s="79">
        <v>46018</v>
      </c>
      <c r="D24" s="73" t="s">
        <v>530</v>
      </c>
      <c r="F24" s="85"/>
    </row>
    <row r="25" spans="3:6">
      <c r="C25" s="79">
        <v>46019</v>
      </c>
      <c r="D25" s="73" t="s">
        <v>530</v>
      </c>
      <c r="F25" s="85"/>
    </row>
    <row r="26" spans="3:6">
      <c r="C26" s="79">
        <v>46020</v>
      </c>
      <c r="D26" s="73" t="s">
        <v>530</v>
      </c>
      <c r="F26" s="85"/>
    </row>
    <row r="27" spans="3:6">
      <c r="C27" s="79">
        <v>46021</v>
      </c>
      <c r="D27" s="73" t="s">
        <v>530</v>
      </c>
      <c r="F27" s="85"/>
    </row>
    <row r="28" spans="3:6">
      <c r="C28" s="79">
        <v>46022</v>
      </c>
      <c r="D28" s="73" t="s">
        <v>530</v>
      </c>
      <c r="F28" s="85"/>
    </row>
    <row r="29" spans="3:6">
      <c r="C29" s="79">
        <v>46023</v>
      </c>
      <c r="D29" s="73" t="s">
        <v>530</v>
      </c>
      <c r="F29" s="85"/>
    </row>
    <row r="30" spans="3:6">
      <c r="C30" s="79">
        <v>46024</v>
      </c>
      <c r="D30" s="73" t="s">
        <v>530</v>
      </c>
      <c r="F30" s="85"/>
    </row>
    <row r="31" spans="3:6">
      <c r="C31" s="79">
        <v>46025</v>
      </c>
      <c r="D31" s="73" t="s">
        <v>530</v>
      </c>
      <c r="F31" s="85"/>
    </row>
    <row r="32" spans="3:6">
      <c r="C32" s="79">
        <v>46026</v>
      </c>
      <c r="D32" s="73" t="s">
        <v>530</v>
      </c>
      <c r="F32" s="85"/>
    </row>
    <row r="33" spans="3:6">
      <c r="C33" s="79">
        <v>46027</v>
      </c>
      <c r="D33" s="73" t="s">
        <v>530</v>
      </c>
      <c r="F33" s="85"/>
    </row>
    <row r="34" spans="3:6">
      <c r="C34" s="79">
        <v>46028</v>
      </c>
      <c r="D34" s="73" t="s">
        <v>530</v>
      </c>
      <c r="F34" s="85"/>
    </row>
    <row r="35" spans="3:6">
      <c r="C35" s="79">
        <v>46029</v>
      </c>
      <c r="D35" s="73" t="s">
        <v>530</v>
      </c>
      <c r="F35" s="85"/>
    </row>
    <row r="36" spans="3:6">
      <c r="C36" s="79">
        <v>46030</v>
      </c>
      <c r="D36" s="73" t="s">
        <v>530</v>
      </c>
      <c r="F36" s="85"/>
    </row>
    <row r="37" spans="3:6">
      <c r="C37" s="79">
        <v>46031</v>
      </c>
      <c r="D37" s="73" t="s">
        <v>530</v>
      </c>
      <c r="F37" s="85"/>
    </row>
    <row r="38" spans="3:6">
      <c r="C38" s="79">
        <v>46032</v>
      </c>
      <c r="D38" s="73" t="s">
        <v>530</v>
      </c>
      <c r="F38" s="85"/>
    </row>
    <row r="39" spans="3:6">
      <c r="C39" s="79">
        <v>46033</v>
      </c>
      <c r="D39" s="73" t="s">
        <v>530</v>
      </c>
      <c r="F39" s="85"/>
    </row>
    <row r="40" spans="3:6">
      <c r="C40" s="79">
        <v>46034</v>
      </c>
      <c r="D40" s="73" t="s">
        <v>530</v>
      </c>
      <c r="F40" s="85"/>
    </row>
    <row r="41" spans="3:6">
      <c r="C41" s="79">
        <v>46035</v>
      </c>
      <c r="D41" s="73" t="s">
        <v>530</v>
      </c>
      <c r="F41" s="85"/>
    </row>
    <row r="42" spans="3:6">
      <c r="C42" s="79">
        <v>46036</v>
      </c>
      <c r="D42" s="73" t="s">
        <v>530</v>
      </c>
      <c r="F42" s="85"/>
    </row>
    <row r="43" spans="3:6">
      <c r="C43" s="79">
        <v>46037</v>
      </c>
      <c r="D43" s="73" t="s">
        <v>530</v>
      </c>
      <c r="F43" s="85"/>
    </row>
    <row r="44" spans="3:6">
      <c r="C44" s="79">
        <v>46038</v>
      </c>
      <c r="D44" s="73" t="s">
        <v>530</v>
      </c>
      <c r="F44" s="85"/>
    </row>
    <row r="45" spans="3:6">
      <c r="C45" s="79">
        <v>46016</v>
      </c>
      <c r="D45" s="73" t="s">
        <v>531</v>
      </c>
    </row>
    <row r="46" spans="3:6" ht="13.8" thickBot="1">
      <c r="C46" s="80">
        <v>46017</v>
      </c>
      <c r="D46" s="73" t="s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533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832"/>
      <c r="C4" s="832"/>
      <c r="D4" s="832"/>
      <c r="E4" s="413"/>
      <c r="F4" s="221" t="s">
        <v>475</v>
      </c>
      <c r="G4" s="216"/>
      <c r="H4" s="221" t="s">
        <v>476</v>
      </c>
      <c r="I4" s="216"/>
      <c r="J4" s="222" t="s">
        <v>534</v>
      </c>
      <c r="K4" s="112"/>
      <c r="L4" s="112"/>
    </row>
    <row r="5" spans="1:12" ht="14.4" thickBot="1">
      <c r="A5" s="216"/>
      <c r="B5" s="833" t="s">
        <v>535</v>
      </c>
      <c r="C5" s="833"/>
      <c r="D5" s="833"/>
      <c r="E5" s="413"/>
      <c r="F5" s="223">
        <f>SUM(F9:F23)</f>
        <v>9590676.1310892869</v>
      </c>
      <c r="G5" s="218"/>
      <c r="H5" s="223">
        <f>SUM(H9:H23)</f>
        <v>7470904.1923272396</v>
      </c>
      <c r="I5" s="216"/>
      <c r="J5" s="224">
        <f>SUM(J9:J23)</f>
        <v>2119771.9387620459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389</v>
      </c>
      <c r="C7" s="227"/>
      <c r="D7" s="226" t="s">
        <v>140</v>
      </c>
      <c r="E7" s="227"/>
      <c r="F7" s="228" t="s">
        <v>536</v>
      </c>
      <c r="G7" s="229"/>
      <c r="H7" s="228" t="s">
        <v>537</v>
      </c>
      <c r="I7" s="229"/>
      <c r="J7" s="228" t="s">
        <v>538</v>
      </c>
      <c r="K7" s="173"/>
      <c r="L7" s="115" t="s">
        <v>539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341826</v>
      </c>
      <c r="I16" s="89"/>
      <c r="J16" s="233">
        <f t="shared" si="0"/>
        <v>-41826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540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L1" zoomScale="85" zoomScaleNormal="85" workbookViewId="0">
      <pane ySplit="4" topLeftCell="A120" activePane="bottomLeft" state="frozen"/>
      <selection activeCell="X33" sqref="X33"/>
      <selection pane="bottomLeft" activeCell="S109" sqref="S10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541" hidden="1" customWidth="1"/>
    <col min="9" max="9" width="22.44140625" style="351" hidden="1" customWidth="1"/>
    <col min="10" max="10" width="22.44140625" style="351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77734375" style="112" customWidth="1"/>
    <col min="16" max="17" width="17.44140625" style="112" customWidth="1"/>
    <col min="18" max="18" width="40.5546875" style="112" bestFit="1" customWidth="1"/>
    <col min="19" max="19" width="32.44140625" style="112" bestFit="1" customWidth="1"/>
    <col min="20" max="21" width="17.44140625" style="541" customWidth="1"/>
    <col min="22" max="22" width="17.44140625" style="112" customWidth="1"/>
    <col min="23" max="23" width="17.44140625" style="541" customWidth="1"/>
    <col min="24" max="24" width="21.2187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173</v>
      </c>
      <c r="C2" s="784"/>
      <c r="D2" s="784"/>
      <c r="E2" s="784"/>
      <c r="F2" s="784"/>
      <c r="G2" s="784"/>
      <c r="H2" s="502"/>
      <c r="I2" s="259">
        <f>SUM(I6:I186)</f>
        <v>9590676.1310892869</v>
      </c>
      <c r="J2" s="259">
        <f>SUM(J6:J186)</f>
        <v>12428344.346179174</v>
      </c>
      <c r="L2" s="785" t="s">
        <v>174</v>
      </c>
      <c r="M2" s="786"/>
      <c r="N2" s="786"/>
      <c r="O2" s="786"/>
      <c r="P2" s="786"/>
      <c r="Q2" s="786"/>
      <c r="R2" s="787" t="s">
        <v>175</v>
      </c>
      <c r="S2" s="788"/>
      <c r="T2" s="788"/>
      <c r="U2" s="788"/>
      <c r="V2" s="788"/>
      <c r="W2" s="789"/>
      <c r="X2" s="478">
        <f>SUM(X6:X186)</f>
        <v>7470904.1923272396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31">
        <f>SUM(G6:G11)</f>
        <v>2857717.17</v>
      </c>
      <c r="J6" s="731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43">
        <f>J6-SUM(U6:U11)</f>
        <v>0</v>
      </c>
      <c r="W6" s="692">
        <v>46003</v>
      </c>
      <c r="X6" s="734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32"/>
      <c r="J7" s="732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44"/>
      <c r="W7" s="693">
        <v>46009</v>
      </c>
      <c r="X7" s="73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2"/>
      <c r="J8" s="732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44"/>
      <c r="W8" s="566"/>
      <c r="X8" s="73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2"/>
      <c r="J9" s="732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44"/>
      <c r="W9" s="567">
        <f>T9+60</f>
        <v>46113</v>
      </c>
      <c r="X9" s="73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2"/>
      <c r="J10" s="732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44"/>
      <c r="W10" s="567">
        <v>46097</v>
      </c>
      <c r="X10" s="735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3"/>
      <c r="J11" s="733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45"/>
      <c r="W11" s="568"/>
      <c r="X11" s="736"/>
      <c r="Y11" s="598" t="s">
        <v>204</v>
      </c>
      <c r="Z11" s="599" t="s">
        <v>205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51">
        <f>SUM(G13:G19)</f>
        <v>770000</v>
      </c>
      <c r="J13" s="751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74">
        <f>J13-SUM(U13:U19)</f>
        <v>0</v>
      </c>
      <c r="W13" s="694">
        <f>W6</f>
        <v>46003</v>
      </c>
      <c r="X13" s="754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52"/>
      <c r="J14" s="752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75"/>
      <c r="W14" s="571"/>
      <c r="X14" s="755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52"/>
      <c r="J15" s="752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75"/>
      <c r="W15" s="571"/>
      <c r="X15" s="755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52"/>
      <c r="J16" s="752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75"/>
      <c r="W16" s="571"/>
      <c r="X16" s="755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52"/>
      <c r="J17" s="752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75"/>
      <c r="W17" s="571"/>
      <c r="X17" s="755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52"/>
      <c r="J18" s="752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75"/>
      <c r="W18" s="571"/>
      <c r="X18" s="755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53"/>
      <c r="J19" s="753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6"/>
      <c r="W19" s="572"/>
      <c r="X19" s="756"/>
      <c r="Y19" s="600" t="s">
        <v>216</v>
      </c>
      <c r="Z19" s="601">
        <v>0</v>
      </c>
    </row>
    <row r="20" spans="1:26" ht="14.4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31">
        <f>SUM(G21:G29)</f>
        <v>1105818.21</v>
      </c>
      <c r="J21" s="731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43">
        <f>J21-SUM(U21:U29)</f>
        <v>0</v>
      </c>
      <c r="W21" s="695">
        <v>46003</v>
      </c>
      <c r="X21" s="734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32"/>
      <c r="J22" s="732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44"/>
      <c r="W22" s="693">
        <v>46009</v>
      </c>
      <c r="X22" s="735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32"/>
      <c r="J23" s="732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44"/>
      <c r="W23" s="693">
        <v>46003</v>
      </c>
      <c r="X23" s="735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32"/>
      <c r="J24" s="732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44"/>
      <c r="W24" s="680">
        <v>46003</v>
      </c>
      <c r="X24" s="735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32"/>
      <c r="J25" s="732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44"/>
      <c r="W25" s="535">
        <v>45989</v>
      </c>
      <c r="X25" s="735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32"/>
      <c r="J26" s="732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44"/>
      <c r="W26" s="567">
        <v>46059</v>
      </c>
      <c r="X26" s="735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32"/>
      <c r="J27" s="732"/>
      <c r="K27" s="289"/>
      <c r="L27" s="312">
        <v>3</v>
      </c>
      <c r="M27" s="423" t="s">
        <v>219</v>
      </c>
      <c r="N27" s="385" t="s">
        <v>598</v>
      </c>
      <c r="O27" s="544"/>
      <c r="P27" s="444"/>
      <c r="Q27" s="386">
        <v>2283.6999999999998</v>
      </c>
      <c r="R27" s="583" t="s">
        <v>599</v>
      </c>
      <c r="S27" s="619"/>
      <c r="T27" s="519">
        <v>46081</v>
      </c>
      <c r="U27" s="669"/>
      <c r="V27" s="744"/>
      <c r="W27" s="567">
        <f>T27</f>
        <v>46081</v>
      </c>
      <c r="X27" s="735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32"/>
      <c r="J28" s="732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44"/>
      <c r="W28" s="567">
        <f>T28</f>
        <v>46081</v>
      </c>
      <c r="X28" s="735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33"/>
      <c r="J29" s="733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45"/>
      <c r="W29" s="704">
        <v>46045</v>
      </c>
      <c r="X29" s="736"/>
      <c r="Y29" s="606" t="s">
        <v>238</v>
      </c>
      <c r="Z29" s="607" t="s">
        <v>239</v>
      </c>
    </row>
    <row r="30" spans="1:26" ht="14.4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51">
        <f>SUM(G31:G49)</f>
        <v>1117490.1000000001</v>
      </c>
      <c r="J31" s="751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74">
        <f>J31-SUM(U31:U49)</f>
        <v>0</v>
      </c>
      <c r="W31" s="696">
        <f>W6</f>
        <v>46003</v>
      </c>
      <c r="X31" s="754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52"/>
      <c r="J32" s="752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75"/>
      <c r="W32" s="696">
        <f>W7</f>
        <v>46009</v>
      </c>
      <c r="X32" s="755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52"/>
      <c r="J33" s="752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75"/>
      <c r="W33" s="571"/>
      <c r="X33" s="755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52"/>
      <c r="J34" s="752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75"/>
      <c r="W34" s="571"/>
      <c r="X34" s="755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52"/>
      <c r="J35" s="752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772"/>
      <c r="S35" s="623" t="str">
        <f>S105</f>
        <v>JA Electrical - Inv 1104</v>
      </c>
      <c r="T35" s="674">
        <f>T105</f>
        <v>45961</v>
      </c>
      <c r="U35" s="684">
        <v>28570.632008815413</v>
      </c>
      <c r="V35" s="775"/>
      <c r="W35" s="689">
        <f t="shared" ref="W35:W37" si="3">W105</f>
        <v>45967</v>
      </c>
      <c r="X35" s="755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52"/>
      <c r="J36" s="752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777"/>
      <c r="S36" s="623" t="str">
        <f>S106</f>
        <v>JA Electrical - Inv 1105</v>
      </c>
      <c r="T36" s="674">
        <f>T106</f>
        <v>45961</v>
      </c>
      <c r="U36" s="684">
        <v>42855.948013223126</v>
      </c>
      <c r="V36" s="775"/>
      <c r="W36" s="689">
        <f t="shared" si="3"/>
        <v>45967</v>
      </c>
      <c r="X36" s="755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52"/>
      <c r="J37" s="752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777"/>
      <c r="S37" s="623" t="s">
        <v>247</v>
      </c>
      <c r="T37" s="660">
        <f t="shared" ref="T37:T42" si="5">T107</f>
        <v>46022</v>
      </c>
      <c r="U37" s="684">
        <v>28570.632008815413</v>
      </c>
      <c r="V37" s="775"/>
      <c r="W37" s="689">
        <f t="shared" si="3"/>
        <v>46003</v>
      </c>
      <c r="X37" s="755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52"/>
      <c r="J38" s="752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777"/>
      <c r="S38" s="623" t="s">
        <v>249</v>
      </c>
      <c r="T38" s="674">
        <f t="shared" si="5"/>
        <v>46053</v>
      </c>
      <c r="U38" s="684">
        <v>21427.974006611563</v>
      </c>
      <c r="V38" s="775"/>
      <c r="W38" s="571">
        <f>W72</f>
        <v>46067</v>
      </c>
      <c r="X38" s="755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52"/>
      <c r="J39" s="752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777"/>
      <c r="S39" s="623"/>
      <c r="T39" s="523">
        <f t="shared" si="5"/>
        <v>46081</v>
      </c>
      <c r="U39" s="508">
        <f t="shared" si="2"/>
        <v>7142.6580022038534</v>
      </c>
      <c r="V39" s="775"/>
      <c r="W39" s="571">
        <f>W73</f>
        <v>46074</v>
      </c>
      <c r="X39" s="755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52"/>
      <c r="J40" s="752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777"/>
      <c r="S40" s="623" t="s">
        <v>247</v>
      </c>
      <c r="T40" s="660">
        <f t="shared" si="5"/>
        <v>46022</v>
      </c>
      <c r="U40" s="684">
        <v>57141.264017630827</v>
      </c>
      <c r="V40" s="775"/>
      <c r="W40" s="689">
        <f>W110</f>
        <v>46003</v>
      </c>
      <c r="X40" s="755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52"/>
      <c r="J41" s="752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777"/>
      <c r="S41" s="623" t="s">
        <v>249</v>
      </c>
      <c r="T41" s="674">
        <f t="shared" si="5"/>
        <v>46053</v>
      </c>
      <c r="U41" s="684">
        <v>7142.6580022038534</v>
      </c>
      <c r="V41" s="775"/>
      <c r="W41" s="571">
        <f>W76</f>
        <v>46067</v>
      </c>
      <c r="X41" s="755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52"/>
      <c r="J42" s="752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777"/>
      <c r="S42" s="623"/>
      <c r="T42" s="523">
        <f t="shared" si="5"/>
        <v>46081</v>
      </c>
      <c r="U42" s="508">
        <f t="shared" si="2"/>
        <v>7142.6580022038534</v>
      </c>
      <c r="V42" s="775"/>
      <c r="W42" s="571">
        <f>W112</f>
        <v>46074</v>
      </c>
      <c r="X42" s="755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52"/>
      <c r="J43" s="752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777"/>
      <c r="S43" s="623"/>
      <c r="T43" s="523">
        <f t="shared" ref="T43:T46" si="8">T113</f>
        <v>46081</v>
      </c>
      <c r="U43" s="508">
        <f t="shared" si="2"/>
        <v>28570.632008815413</v>
      </c>
      <c r="V43" s="775"/>
      <c r="W43" s="571">
        <f t="shared" ref="W43:W46" si="9">W113</f>
        <v>46079</v>
      </c>
      <c r="X43" s="755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52"/>
      <c r="J44" s="752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777"/>
      <c r="S44" s="623"/>
      <c r="T44" s="523">
        <f t="shared" si="8"/>
        <v>46112</v>
      </c>
      <c r="U44" s="508">
        <f t="shared" si="2"/>
        <v>28570.632008815413</v>
      </c>
      <c r="V44" s="775"/>
      <c r="W44" s="571">
        <f t="shared" si="9"/>
        <v>46091</v>
      </c>
      <c r="X44" s="755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52"/>
      <c r="J45" s="752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777"/>
      <c r="S45" s="623"/>
      <c r="T45" s="523">
        <f t="shared" si="8"/>
        <v>46112</v>
      </c>
      <c r="U45" s="508">
        <f t="shared" si="2"/>
        <v>14285.316004407707</v>
      </c>
      <c r="V45" s="775"/>
      <c r="W45" s="571">
        <f t="shared" si="9"/>
        <v>46091</v>
      </c>
      <c r="X45" s="755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52"/>
      <c r="J46" s="752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773"/>
      <c r="S46" s="623"/>
      <c r="T46" s="523">
        <f t="shared" si="8"/>
        <v>46112</v>
      </c>
      <c r="U46" s="508">
        <f t="shared" si="2"/>
        <v>14285.316004407707</v>
      </c>
      <c r="V46" s="775"/>
      <c r="W46" s="571">
        <f t="shared" si="9"/>
        <v>46114</v>
      </c>
      <c r="X46" s="755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52"/>
      <c r="J47" s="752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75"/>
      <c r="W47" s="571"/>
      <c r="X47" s="755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52"/>
      <c r="J48" s="752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75"/>
      <c r="W48" s="571"/>
      <c r="X48" s="755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53"/>
      <c r="J49" s="753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76"/>
      <c r="W49" s="572"/>
      <c r="X49" s="756"/>
      <c r="Y49" s="482"/>
    </row>
    <row r="50" spans="1:25" ht="14.4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31">
        <f>SUM(G51:G61)</f>
        <v>49000</v>
      </c>
      <c r="J51" s="731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43">
        <f>J51-SUM(U51:U61)</f>
        <v>4.039382423798088E-3</v>
      </c>
      <c r="W51" s="697">
        <f>W6</f>
        <v>46003</v>
      </c>
      <c r="X51" s="734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32"/>
      <c r="J52" s="732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44"/>
      <c r="W52" s="693">
        <v>45989</v>
      </c>
      <c r="X52" s="735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32"/>
      <c r="J53" s="732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44"/>
      <c r="W53" s="534">
        <v>45900</v>
      </c>
      <c r="X53" s="735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32"/>
      <c r="J54" s="732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44"/>
      <c r="W54" s="534">
        <v>46022</v>
      </c>
      <c r="X54" s="735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32"/>
      <c r="J55" s="732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44"/>
      <c r="W55" s="534">
        <v>45900</v>
      </c>
      <c r="X55" s="735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32"/>
      <c r="J56" s="732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44"/>
      <c r="W56" s="680">
        <f>T56</f>
        <v>45961</v>
      </c>
      <c r="X56" s="735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32"/>
      <c r="J57" s="732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44"/>
      <c r="W57" s="680">
        <v>46021</v>
      </c>
      <c r="X57" s="735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32"/>
      <c r="J58" s="732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44"/>
      <c r="W58" s="680">
        <v>46021</v>
      </c>
      <c r="X58" s="735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32"/>
      <c r="J59" s="732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44"/>
      <c r="W59" s="535">
        <v>45876</v>
      </c>
      <c r="X59" s="735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32"/>
      <c r="J60" s="732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44"/>
      <c r="W60" s="567"/>
      <c r="X60" s="735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33"/>
      <c r="J61" s="733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45"/>
      <c r="W61" s="568"/>
      <c r="X61" s="736"/>
      <c r="Y61" s="482"/>
    </row>
    <row r="62" spans="1:25" ht="14.4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51">
        <f>SUM(G63:G83)</f>
        <v>1511034.3</v>
      </c>
      <c r="J63" s="751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74">
        <f>J63-SUM(U63:U83)</f>
        <v>5.3090509027242661E-5</v>
      </c>
      <c r="W63" s="570"/>
      <c r="X63" s="754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52"/>
      <c r="J64" s="752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75"/>
      <c r="W64" s="676">
        <f>T64+30</f>
        <v>46021</v>
      </c>
      <c r="X64" s="755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52"/>
      <c r="J65" s="752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75"/>
      <c r="W65" s="571"/>
      <c r="X65" s="755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52"/>
      <c r="J66" s="752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75"/>
      <c r="W66" s="571"/>
      <c r="X66" s="755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52"/>
      <c r="J67" s="752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75"/>
      <c r="W67" s="571"/>
      <c r="X67" s="755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52"/>
      <c r="J68" s="752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75"/>
      <c r="W68" s="571"/>
      <c r="X68" s="755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52"/>
      <c r="J69" s="752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772"/>
      <c r="S69" s="623" t="str">
        <f>S105</f>
        <v>JA Electrical - Inv 1104</v>
      </c>
      <c r="T69" s="674">
        <f>T105</f>
        <v>45961</v>
      </c>
      <c r="U69" s="684">
        <v>64141.152528693783</v>
      </c>
      <c r="V69" s="775"/>
      <c r="W69" s="689">
        <f t="shared" ref="W69:W71" si="12">W105</f>
        <v>45967</v>
      </c>
      <c r="X69" s="755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52"/>
      <c r="J70" s="752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777"/>
      <c r="S70" s="623" t="str">
        <f>S106</f>
        <v>JA Electrical - Inv 1105</v>
      </c>
      <c r="T70" s="674">
        <f>T106</f>
        <v>45961</v>
      </c>
      <c r="U70" s="684">
        <v>96211.72879304066</v>
      </c>
      <c r="V70" s="775"/>
      <c r="W70" s="689">
        <f t="shared" si="12"/>
        <v>45967</v>
      </c>
      <c r="X70" s="755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52"/>
      <c r="J71" s="752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777"/>
      <c r="S71" s="623" t="s">
        <v>247</v>
      </c>
      <c r="T71" s="660">
        <f>T107</f>
        <v>46022</v>
      </c>
      <c r="U71" s="684">
        <v>64141.287346352467</v>
      </c>
      <c r="V71" s="775"/>
      <c r="W71" s="689">
        <f t="shared" si="12"/>
        <v>46003</v>
      </c>
      <c r="X71" s="755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52"/>
      <c r="J72" s="752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777"/>
      <c r="S72" s="623" t="s">
        <v>249</v>
      </c>
      <c r="T72" s="674">
        <f>T108</f>
        <v>46053</v>
      </c>
      <c r="U72" s="684">
        <v>48105.880802646541</v>
      </c>
      <c r="V72" s="775"/>
      <c r="W72" s="571">
        <f>W108</f>
        <v>46067</v>
      </c>
      <c r="X72" s="755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52"/>
      <c r="J73" s="752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777"/>
      <c r="S73" s="623"/>
      <c r="T73" s="523">
        <f>T109</f>
        <v>46081</v>
      </c>
      <c r="U73" s="508">
        <f t="shared" si="11"/>
        <v>16035.293600882182</v>
      </c>
      <c r="V73" s="775"/>
      <c r="W73" s="571">
        <f>W109</f>
        <v>46074</v>
      </c>
      <c r="X73" s="755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52"/>
      <c r="J74" s="752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777"/>
      <c r="S74" s="623" t="s">
        <v>247</v>
      </c>
      <c r="T74" s="660">
        <f>T110</f>
        <v>46022</v>
      </c>
      <c r="U74" s="684">
        <v>128282.07174988119</v>
      </c>
      <c r="V74" s="775"/>
      <c r="W74" s="689">
        <f>W110</f>
        <v>46003</v>
      </c>
      <c r="X74" s="755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52"/>
      <c r="J75" s="752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777"/>
      <c r="S75" s="623"/>
      <c r="T75" s="523">
        <f>T112</f>
        <v>46081</v>
      </c>
      <c r="U75" s="508">
        <f t="shared" si="11"/>
        <v>16035.293600882182</v>
      </c>
      <c r="V75" s="775"/>
      <c r="W75" s="571">
        <f>W112</f>
        <v>46074</v>
      </c>
      <c r="X75" s="755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52"/>
      <c r="J76" s="752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777"/>
      <c r="S76" s="623" t="s">
        <v>249</v>
      </c>
      <c r="T76" s="674">
        <f>T111</f>
        <v>46053</v>
      </c>
      <c r="U76" s="684">
        <v>16035.293600882182</v>
      </c>
      <c r="V76" s="775"/>
      <c r="W76" s="571">
        <f>W111</f>
        <v>46067</v>
      </c>
      <c r="X76" s="755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52"/>
      <c r="J77" s="752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777"/>
      <c r="S77" s="623"/>
      <c r="T77" s="523">
        <f t="shared" ref="T77:T80" si="15">T113</f>
        <v>46081</v>
      </c>
      <c r="U77" s="508">
        <f t="shared" si="11"/>
        <v>64141.174403528727</v>
      </c>
      <c r="V77" s="775"/>
      <c r="W77" s="571">
        <f t="shared" ref="W77:W80" si="16">W113</f>
        <v>46079</v>
      </c>
      <c r="X77" s="755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52"/>
      <c r="J78" s="752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777"/>
      <c r="S78" s="627"/>
      <c r="T78" s="523">
        <f t="shared" si="15"/>
        <v>46112</v>
      </c>
      <c r="U78" s="513">
        <f t="shared" si="11"/>
        <v>64141.174403528727</v>
      </c>
      <c r="V78" s="775"/>
      <c r="W78" s="571">
        <f t="shared" si="16"/>
        <v>46091</v>
      </c>
      <c r="X78" s="755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52"/>
      <c r="J79" s="752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777"/>
      <c r="S79" s="627"/>
      <c r="T79" s="523">
        <f t="shared" si="15"/>
        <v>46112</v>
      </c>
      <c r="U79" s="513">
        <f t="shared" si="11"/>
        <v>32070.587201764363</v>
      </c>
      <c r="V79" s="775"/>
      <c r="W79" s="571">
        <f t="shared" si="16"/>
        <v>46091</v>
      </c>
      <c r="X79" s="755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52"/>
      <c r="J80" s="752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773"/>
      <c r="S80" s="627"/>
      <c r="T80" s="523">
        <f t="shared" si="15"/>
        <v>46112</v>
      </c>
      <c r="U80" s="513">
        <f t="shared" si="11"/>
        <v>32070.587201764363</v>
      </c>
      <c r="V80" s="775"/>
      <c r="W80" s="571">
        <f t="shared" si="16"/>
        <v>46114</v>
      </c>
      <c r="X80" s="755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52"/>
      <c r="J81" s="752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75"/>
      <c r="W81" s="574"/>
      <c r="X81" s="755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52"/>
      <c r="J82" s="752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75"/>
      <c r="W82" s="574"/>
      <c r="X82" s="755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53"/>
      <c r="J83" s="753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76"/>
      <c r="W83" s="572"/>
      <c r="X83" s="756"/>
      <c r="Y83" s="482"/>
    </row>
    <row r="84" spans="1:25" ht="14.4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31">
        <f>SUM(G85:G92)</f>
        <v>0</v>
      </c>
      <c r="J85" s="731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778"/>
      <c r="S85" s="629"/>
      <c r="T85" s="528"/>
      <c r="U85" s="643"/>
      <c r="V85" s="780">
        <f>J85-SUM(U85:U92)</f>
        <v>0</v>
      </c>
      <c r="W85" s="576"/>
      <c r="X85" s="734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32"/>
      <c r="J86" s="732"/>
      <c r="K86" s="289"/>
      <c r="L86" s="383">
        <v>7</v>
      </c>
      <c r="M86" s="384" t="s">
        <v>287</v>
      </c>
      <c r="N86" s="385"/>
      <c r="O86" s="544"/>
      <c r="P86" s="444"/>
      <c r="Q86" s="386"/>
      <c r="R86" s="779"/>
      <c r="S86" s="619"/>
      <c r="T86" s="519"/>
      <c r="U86" s="504"/>
      <c r="V86" s="781"/>
      <c r="W86" s="567"/>
      <c r="X86" s="735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32"/>
      <c r="J87" s="732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781"/>
      <c r="W87" s="567"/>
      <c r="X87" s="735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32"/>
      <c r="J88" s="732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781"/>
      <c r="W88" s="567"/>
      <c r="X88" s="735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32"/>
      <c r="J89" s="732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781"/>
      <c r="W89" s="567"/>
      <c r="X89" s="735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32"/>
      <c r="J90" s="732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781"/>
      <c r="W90" s="567"/>
      <c r="X90" s="735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32"/>
      <c r="J91" s="732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781"/>
      <c r="W91" s="567"/>
      <c r="X91" s="735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33"/>
      <c r="J92" s="733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782"/>
      <c r="W92" s="568"/>
      <c r="X92" s="736"/>
      <c r="Y92" s="482"/>
    </row>
    <row r="93" spans="1:25" ht="14.4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51">
        <f>SUM(G94:G102)</f>
        <v>300000</v>
      </c>
      <c r="J94" s="751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30">
        <f>(Q94/$X$94*$J$94)</f>
        <v>0</v>
      </c>
      <c r="V94" s="763">
        <f>J94-SUM(U94:U102)</f>
        <v>3.5152828204445541E-3</v>
      </c>
      <c r="W94" s="570"/>
      <c r="X94" s="754">
        <f>SUM(Q94:Q102)</f>
        <v>341826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52"/>
      <c r="J95" s="752"/>
      <c r="K95" s="302"/>
      <c r="L95" s="323">
        <v>8</v>
      </c>
      <c r="M95" s="433" t="s">
        <v>289</v>
      </c>
      <c r="N95" s="336" t="s">
        <v>291</v>
      </c>
      <c r="O95" s="415">
        <v>2</v>
      </c>
      <c r="P95" s="461">
        <v>25000</v>
      </c>
      <c r="Q95" s="325">
        <f>O95*P95</f>
        <v>50000</v>
      </c>
      <c r="R95" s="587"/>
      <c r="S95" s="623"/>
      <c r="T95" s="523">
        <v>46081</v>
      </c>
      <c r="U95" s="684">
        <v>0</v>
      </c>
      <c r="V95" s="764"/>
      <c r="W95" s="571">
        <f>T95-14</f>
        <v>46067</v>
      </c>
      <c r="X95" s="755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52"/>
      <c r="J96" s="752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64"/>
      <c r="W96" s="571"/>
      <c r="X96" s="755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52"/>
      <c r="J97" s="752"/>
      <c r="K97" s="302"/>
      <c r="L97" s="323">
        <v>8</v>
      </c>
      <c r="M97" s="433" t="s">
        <v>289</v>
      </c>
      <c r="N97" s="336" t="s">
        <v>292</v>
      </c>
      <c r="O97" s="664">
        <v>232956</v>
      </c>
      <c r="P97" s="665">
        <v>0.75</v>
      </c>
      <c r="Q97" s="325">
        <f>$O$97*P97</f>
        <v>174717</v>
      </c>
      <c r="R97" s="772" t="s">
        <v>293</v>
      </c>
      <c r="S97" s="623" t="s">
        <v>294</v>
      </c>
      <c r="T97" s="671">
        <v>45961</v>
      </c>
      <c r="U97" s="684">
        <v>200089.18963861017</v>
      </c>
      <c r="V97" s="764"/>
      <c r="W97" s="676">
        <v>45946</v>
      </c>
      <c r="X97" s="755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52"/>
      <c r="J98" s="752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773"/>
      <c r="S98" s="623" t="s">
        <v>295</v>
      </c>
      <c r="T98" s="674">
        <v>45961</v>
      </c>
      <c r="U98" s="684">
        <v>66696.396546203396</v>
      </c>
      <c r="V98" s="764"/>
      <c r="W98" s="676">
        <v>46009</v>
      </c>
      <c r="X98" s="755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52"/>
      <c r="J99" s="752"/>
      <c r="K99" s="302"/>
      <c r="L99" s="323">
        <v>8</v>
      </c>
      <c r="M99" s="433" t="s">
        <v>289</v>
      </c>
      <c r="N99" s="336" t="s">
        <v>296</v>
      </c>
      <c r="O99" s="551"/>
      <c r="P99" s="461"/>
      <c r="Q99" s="325">
        <v>48720</v>
      </c>
      <c r="R99" s="587" t="s">
        <v>297</v>
      </c>
      <c r="S99" s="623" t="s">
        <v>298</v>
      </c>
      <c r="T99" s="674">
        <v>46022</v>
      </c>
      <c r="U99" s="684">
        <v>55795.055461193893</v>
      </c>
      <c r="V99" s="764"/>
      <c r="W99" s="571">
        <v>46065</v>
      </c>
      <c r="X99" s="755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52"/>
      <c r="J100" s="752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64"/>
      <c r="W100" s="571"/>
      <c r="X100" s="755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52"/>
      <c r="J101" s="752"/>
      <c r="K101" s="302"/>
      <c r="L101" s="323">
        <v>8</v>
      </c>
      <c r="M101" s="433" t="s">
        <v>289</v>
      </c>
      <c r="N101" s="336" t="s">
        <v>299</v>
      </c>
      <c r="O101" s="551"/>
      <c r="P101" s="461"/>
      <c r="Q101" s="325">
        <v>10150</v>
      </c>
      <c r="R101" s="591" t="s">
        <v>300</v>
      </c>
      <c r="S101" s="627" t="s">
        <v>249</v>
      </c>
      <c r="T101" s="718">
        <v>46053</v>
      </c>
      <c r="U101" s="729">
        <v>0</v>
      </c>
      <c r="V101" s="764"/>
      <c r="W101" s="574">
        <v>46067</v>
      </c>
      <c r="X101" s="755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53"/>
      <c r="J102" s="753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65"/>
      <c r="W102" s="572"/>
      <c r="X102" s="756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302</v>
      </c>
      <c r="D104" s="328" t="s">
        <v>303</v>
      </c>
      <c r="E104" s="315"/>
      <c r="F104" s="437"/>
      <c r="G104" s="613">
        <f>D200</f>
        <v>340042.5</v>
      </c>
      <c r="H104" s="573">
        <v>45900</v>
      </c>
      <c r="I104" s="757">
        <f>SUM(G104:G119)</f>
        <v>1060132.5</v>
      </c>
      <c r="J104" s="731">
        <f>F200+F201</f>
        <v>1204696.0227272727</v>
      </c>
      <c r="K104" s="289"/>
      <c r="L104" s="312">
        <v>9</v>
      </c>
      <c r="M104" s="423" t="s">
        <v>304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43">
        <f>J104-SUM(U104:U119)</f>
        <v>4.0053608827292919E-3</v>
      </c>
      <c r="W104" s="573"/>
      <c r="X104" s="760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305</v>
      </c>
      <c r="E105" s="315"/>
      <c r="F105" s="459"/>
      <c r="G105" s="613">
        <f>D201</f>
        <v>720090</v>
      </c>
      <c r="H105" s="566">
        <v>45900</v>
      </c>
      <c r="I105" s="758"/>
      <c r="J105" s="732"/>
      <c r="K105" s="289"/>
      <c r="L105" s="312">
        <v>9</v>
      </c>
      <c r="M105" s="423" t="s">
        <v>304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769"/>
      <c r="S105" s="618" t="s">
        <v>306</v>
      </c>
      <c r="T105" s="667">
        <v>45961</v>
      </c>
      <c r="U105" s="669">
        <v>120469.60227272725</v>
      </c>
      <c r="V105" s="744"/>
      <c r="W105" s="534">
        <v>45967</v>
      </c>
      <c r="X105" s="761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58"/>
      <c r="J106" s="732"/>
      <c r="K106" s="289"/>
      <c r="L106" s="383">
        <v>9</v>
      </c>
      <c r="M106" s="501" t="s">
        <v>304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770"/>
      <c r="S106" s="619" t="s">
        <v>307</v>
      </c>
      <c r="T106" s="667">
        <v>45961</v>
      </c>
      <c r="U106" s="669">
        <v>180704.40340909085</v>
      </c>
      <c r="V106" s="744"/>
      <c r="W106" s="535">
        <v>45967</v>
      </c>
      <c r="X106" s="761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58"/>
      <c r="J107" s="732"/>
      <c r="K107" s="289"/>
      <c r="L107" s="383">
        <v>9</v>
      </c>
      <c r="M107" s="501" t="s">
        <v>304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770"/>
      <c r="S107" s="619" t="s">
        <v>247</v>
      </c>
      <c r="T107" s="702">
        <v>46022</v>
      </c>
      <c r="U107" s="669">
        <v>120469.60227272728</v>
      </c>
      <c r="V107" s="744"/>
      <c r="W107" s="535">
        <v>46003</v>
      </c>
      <c r="X107" s="761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58"/>
      <c r="J108" s="732"/>
      <c r="K108" s="289"/>
      <c r="L108" s="383">
        <v>9</v>
      </c>
      <c r="M108" s="501" t="s">
        <v>304</v>
      </c>
      <c r="N108" s="385" t="s">
        <v>246</v>
      </c>
      <c r="O108" s="544"/>
      <c r="P108" s="716">
        <v>7.4999999999999997E-2</v>
      </c>
      <c r="Q108" s="316">
        <v>82896.92</v>
      </c>
      <c r="R108" s="770"/>
      <c r="S108" s="619" t="s">
        <v>249</v>
      </c>
      <c r="T108" s="667">
        <v>46053</v>
      </c>
      <c r="U108" s="669">
        <v>90352.196336766719</v>
      </c>
      <c r="V108" s="744"/>
      <c r="W108" s="567">
        <v>46067</v>
      </c>
      <c r="X108" s="761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58"/>
      <c r="J109" s="732"/>
      <c r="K109" s="289"/>
      <c r="L109" s="383">
        <v>9</v>
      </c>
      <c r="M109" s="501" t="s">
        <v>304</v>
      </c>
      <c r="N109" s="385" t="s">
        <v>246</v>
      </c>
      <c r="O109" s="544"/>
      <c r="P109" s="716">
        <v>2.5000000000000001E-2</v>
      </c>
      <c r="Q109" s="316">
        <v>27632.31</v>
      </c>
      <c r="R109" s="770"/>
      <c r="S109" s="619"/>
      <c r="T109" s="519">
        <v>46081</v>
      </c>
      <c r="U109" s="504">
        <f t="shared" si="18"/>
        <v>30117.405745370306</v>
      </c>
      <c r="V109" s="744"/>
      <c r="W109" s="567">
        <f>W108+7</f>
        <v>46074</v>
      </c>
      <c r="X109" s="761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58"/>
      <c r="J110" s="732"/>
      <c r="K110" s="289"/>
      <c r="L110" s="383">
        <v>9</v>
      </c>
      <c r="M110" s="501" t="s">
        <v>304</v>
      </c>
      <c r="N110" s="385" t="s">
        <v>250</v>
      </c>
      <c r="O110" s="544"/>
      <c r="P110" s="561">
        <v>0.2</v>
      </c>
      <c r="Q110" s="316">
        <f>$O$105*P110</f>
        <v>221058.44</v>
      </c>
      <c r="R110" s="770"/>
      <c r="S110" s="619" t="s">
        <v>247</v>
      </c>
      <c r="T110" s="702">
        <v>46022</v>
      </c>
      <c r="U110" s="669">
        <v>240939.20454545456</v>
      </c>
      <c r="V110" s="744"/>
      <c r="W110" s="535">
        <v>46003</v>
      </c>
      <c r="X110" s="761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58"/>
      <c r="J111" s="732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770"/>
      <c r="S111" s="619" t="s">
        <v>249</v>
      </c>
      <c r="T111" s="667">
        <v>46053</v>
      </c>
      <c r="U111" s="669">
        <v>30117.400295698208</v>
      </c>
      <c r="V111" s="744"/>
      <c r="W111" s="567">
        <v>46067</v>
      </c>
      <c r="X111" s="761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58"/>
      <c r="J112" s="732"/>
      <c r="K112" s="289"/>
      <c r="L112" s="383">
        <v>9</v>
      </c>
      <c r="M112" s="501" t="s">
        <v>304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770"/>
      <c r="S112" s="619"/>
      <c r="T112" s="519">
        <v>46081</v>
      </c>
      <c r="U112" s="504">
        <f t="shared" si="18"/>
        <v>30117.400295698208</v>
      </c>
      <c r="V112" s="744"/>
      <c r="W112" s="567">
        <f>W111+7</f>
        <v>46074</v>
      </c>
      <c r="X112" s="761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58"/>
      <c r="J113" s="732"/>
      <c r="K113" s="289"/>
      <c r="L113" s="383">
        <v>9</v>
      </c>
      <c r="M113" s="501" t="s">
        <v>304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770"/>
      <c r="S113" s="619"/>
      <c r="T113" s="519">
        <f t="shared" si="17"/>
        <v>46081</v>
      </c>
      <c r="U113" s="504">
        <f t="shared" si="18"/>
        <v>120469.60118279283</v>
      </c>
      <c r="V113" s="744"/>
      <c r="W113" s="567">
        <f>'Project Plan'!K47+7</f>
        <v>46079</v>
      </c>
      <c r="X113" s="761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58"/>
      <c r="J114" s="732"/>
      <c r="K114" s="289"/>
      <c r="L114" s="383">
        <v>9</v>
      </c>
      <c r="M114" s="501" t="s">
        <v>304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770"/>
      <c r="S114" s="619"/>
      <c r="T114" s="519">
        <f t="shared" si="17"/>
        <v>46112</v>
      </c>
      <c r="U114" s="504">
        <f t="shared" si="18"/>
        <v>120469.60118279283</v>
      </c>
      <c r="V114" s="744"/>
      <c r="W114" s="567">
        <f>'Project Plan'!K58+7</f>
        <v>46091</v>
      </c>
      <c r="X114" s="761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58"/>
      <c r="J115" s="732"/>
      <c r="K115" s="289"/>
      <c r="L115" s="383">
        <v>9</v>
      </c>
      <c r="M115" s="501" t="s">
        <v>304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770"/>
      <c r="S115" s="619"/>
      <c r="T115" s="519">
        <f t="shared" si="17"/>
        <v>46112</v>
      </c>
      <c r="U115" s="504">
        <f t="shared" si="18"/>
        <v>60234.800591396415</v>
      </c>
      <c r="V115" s="744"/>
      <c r="W115" s="567">
        <f>'Project Plan'!K58+7</f>
        <v>46091</v>
      </c>
      <c r="X115" s="761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58"/>
      <c r="J116" s="732"/>
      <c r="K116" s="289"/>
      <c r="L116" s="383">
        <v>9</v>
      </c>
      <c r="M116" s="501" t="s">
        <v>304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771"/>
      <c r="S116" s="619"/>
      <c r="T116" s="519">
        <f>IF(W116&gt;1,EOMONTH(W116,-1),"")</f>
        <v>46112</v>
      </c>
      <c r="U116" s="504">
        <f t="shared" si="18"/>
        <v>60234.800591396415</v>
      </c>
      <c r="V116" s="744"/>
      <c r="W116" s="567">
        <f>'Project Plan'!K58+30</f>
        <v>46114</v>
      </c>
      <c r="X116" s="761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58"/>
      <c r="J117" s="732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44"/>
      <c r="W117" s="567"/>
      <c r="X117" s="761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58"/>
      <c r="J118" s="732"/>
      <c r="K118" s="289"/>
      <c r="L118" s="383">
        <v>9</v>
      </c>
      <c r="M118" s="501" t="s">
        <v>304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44"/>
      <c r="W118" s="567"/>
      <c r="X118" s="761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59"/>
      <c r="J119" s="733"/>
      <c r="K119" s="365"/>
      <c r="L119" s="317">
        <v>9</v>
      </c>
      <c r="M119" s="441" t="s">
        <v>304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45"/>
      <c r="W119" s="568"/>
      <c r="X119" s="762"/>
      <c r="Y119" s="482"/>
    </row>
    <row r="120" spans="1:25" ht="14.4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308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737">
        <f>SUM(G121:G143)</f>
        <v>184440.46666666665</v>
      </c>
      <c r="J121" s="737">
        <f>F204+F207+F208+F206</f>
        <v>209591.43939393942</v>
      </c>
      <c r="K121" s="340"/>
      <c r="L121" s="270">
        <v>10</v>
      </c>
      <c r="M121" s="434" t="s">
        <v>309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46">
        <f>J121-SUM(U121:U143)</f>
        <v>-3.4785436873789877E-3</v>
      </c>
      <c r="W121" s="577"/>
      <c r="X121" s="740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738"/>
      <c r="J122" s="738"/>
      <c r="K122" s="273"/>
      <c r="L122" s="341">
        <v>10</v>
      </c>
      <c r="M122" s="435" t="s">
        <v>309</v>
      </c>
      <c r="N122" s="342" t="s">
        <v>310</v>
      </c>
      <c r="O122" s="557"/>
      <c r="P122" s="471"/>
      <c r="Q122" s="344">
        <f>20700/1.15</f>
        <v>18000</v>
      </c>
      <c r="R122" s="766" t="s">
        <v>311</v>
      </c>
      <c r="S122" s="631" t="s">
        <v>312</v>
      </c>
      <c r="T122" s="663">
        <v>45961</v>
      </c>
      <c r="U122" s="687">
        <v>12469.742943475689</v>
      </c>
      <c r="V122" s="747"/>
      <c r="W122" s="678">
        <v>45946</v>
      </c>
      <c r="X122" s="741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38"/>
      <c r="J123" s="738"/>
      <c r="K123" s="273"/>
      <c r="L123" s="341">
        <v>11</v>
      </c>
      <c r="M123" s="435" t="s">
        <v>309</v>
      </c>
      <c r="N123" s="342" t="s">
        <v>313</v>
      </c>
      <c r="O123" s="557"/>
      <c r="P123" s="471"/>
      <c r="Q123" s="344">
        <v>18000</v>
      </c>
      <c r="R123" s="768"/>
      <c r="S123" s="631" t="s">
        <v>312</v>
      </c>
      <c r="T123" s="677">
        <v>45961</v>
      </c>
      <c r="U123" s="687">
        <v>12469.742943475689</v>
      </c>
      <c r="V123" s="747"/>
      <c r="W123" s="678">
        <f>T123</f>
        <v>45961</v>
      </c>
      <c r="X123" s="741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38"/>
      <c r="J124" s="738"/>
      <c r="K124" s="273"/>
      <c r="L124" s="341">
        <v>12</v>
      </c>
      <c r="M124" s="435" t="s">
        <v>309</v>
      </c>
      <c r="N124" s="342" t="s">
        <v>314</v>
      </c>
      <c r="O124" s="557"/>
      <c r="P124" s="471"/>
      <c r="Q124" s="344">
        <v>60000</v>
      </c>
      <c r="R124" s="595"/>
      <c r="S124" s="631" t="s">
        <v>315</v>
      </c>
      <c r="T124" s="663">
        <v>45991</v>
      </c>
      <c r="U124" s="687">
        <v>38348.821150162417</v>
      </c>
      <c r="V124" s="747"/>
      <c r="W124" s="690">
        <v>45989</v>
      </c>
      <c r="X124" s="741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38"/>
      <c r="J125" s="738"/>
      <c r="K125" s="273"/>
      <c r="L125" s="341">
        <v>12</v>
      </c>
      <c r="M125" s="435" t="s">
        <v>309</v>
      </c>
      <c r="N125" s="342" t="s">
        <v>316</v>
      </c>
      <c r="O125" s="557"/>
      <c r="P125" s="471"/>
      <c r="Q125" s="344">
        <v>10000</v>
      </c>
      <c r="R125" s="595" t="s">
        <v>317</v>
      </c>
      <c r="S125" s="631" t="s">
        <v>318</v>
      </c>
      <c r="T125" s="663">
        <v>46022</v>
      </c>
      <c r="U125" s="687">
        <v>6927.6372583925622</v>
      </c>
      <c r="V125" s="747"/>
      <c r="W125" s="690">
        <v>46003</v>
      </c>
      <c r="X125" s="741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38"/>
      <c r="J126" s="738"/>
      <c r="K126" s="273"/>
      <c r="L126" s="341">
        <v>13</v>
      </c>
      <c r="M126" s="435" t="s">
        <v>309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47"/>
      <c r="W126" s="578"/>
      <c r="X126" s="741"/>
      <c r="Y126" s="482"/>
    </row>
    <row r="127" spans="1:25" ht="14.25" customHeight="1">
      <c r="B127" s="341">
        <v>10</v>
      </c>
      <c r="C127" s="342"/>
      <c r="D127" s="342" t="s">
        <v>319</v>
      </c>
      <c r="E127" s="343"/>
      <c r="F127" s="471"/>
      <c r="G127" s="344">
        <f>D207</f>
        <v>72000</v>
      </c>
      <c r="H127" s="578">
        <v>45900</v>
      </c>
      <c r="I127" s="738"/>
      <c r="J127" s="738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47"/>
      <c r="W127" s="578"/>
      <c r="X127" s="741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738"/>
      <c r="J128" s="738"/>
      <c r="K128" s="273"/>
      <c r="L128" s="341">
        <v>10</v>
      </c>
      <c r="M128" s="435" t="s">
        <v>309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47"/>
      <c r="W128" s="578"/>
      <c r="X128" s="741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38"/>
      <c r="J129" s="738"/>
      <c r="K129" s="273"/>
      <c r="L129" s="341">
        <v>10</v>
      </c>
      <c r="M129" s="435" t="s">
        <v>309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66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47"/>
      <c r="W129" s="537">
        <f t="shared" ref="W129:W140" si="21">W105</f>
        <v>45967</v>
      </c>
      <c r="X129" s="741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38"/>
      <c r="J130" s="738"/>
      <c r="K130" s="273"/>
      <c r="L130" s="341">
        <v>10</v>
      </c>
      <c r="M130" s="435" t="s">
        <v>309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767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47"/>
      <c r="W130" s="537">
        <f t="shared" si="21"/>
        <v>45967</v>
      </c>
      <c r="X130" s="741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38"/>
      <c r="J131" s="738"/>
      <c r="K131" s="273"/>
      <c r="L131" s="341">
        <v>10</v>
      </c>
      <c r="M131" s="435" t="s">
        <v>309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767"/>
      <c r="S131" s="632" t="s">
        <v>247</v>
      </c>
      <c r="T131" s="691">
        <f t="shared" ref="T131:T140" si="23">T107</f>
        <v>46022</v>
      </c>
      <c r="U131" s="687">
        <v>16832.875373135081</v>
      </c>
      <c r="V131" s="747"/>
      <c r="W131" s="537">
        <f t="shared" si="21"/>
        <v>46003</v>
      </c>
      <c r="X131" s="741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38"/>
      <c r="J132" s="738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767"/>
      <c r="S132" s="632" t="s">
        <v>249</v>
      </c>
      <c r="T132" s="673">
        <f t="shared" si="23"/>
        <v>46053</v>
      </c>
      <c r="U132" s="687">
        <v>16832.875373135081</v>
      </c>
      <c r="V132" s="747"/>
      <c r="W132" s="579">
        <f t="shared" si="21"/>
        <v>46067</v>
      </c>
      <c r="X132" s="741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38"/>
      <c r="J133" s="738"/>
      <c r="K133" s="273"/>
      <c r="L133" s="341">
        <v>10</v>
      </c>
      <c r="M133" s="435" t="s">
        <v>309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767"/>
      <c r="S133" s="632"/>
      <c r="T133" s="532">
        <f t="shared" si="23"/>
        <v>46081</v>
      </c>
      <c r="U133" s="516">
        <f t="shared" si="20"/>
        <v>3403.9638432837701</v>
      </c>
      <c r="V133" s="747"/>
      <c r="W133" s="579">
        <f t="shared" si="21"/>
        <v>46074</v>
      </c>
      <c r="X133" s="741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38"/>
      <c r="J134" s="738"/>
      <c r="K134" s="273"/>
      <c r="L134" s="341">
        <v>10</v>
      </c>
      <c r="M134" s="435" t="s">
        <v>309</v>
      </c>
      <c r="N134" s="342" t="s">
        <v>250</v>
      </c>
      <c r="O134" s="557"/>
      <c r="P134" s="564">
        <v>0.2</v>
      </c>
      <c r="Q134" s="344">
        <v>39308.699999999997</v>
      </c>
      <c r="R134" s="767"/>
      <c r="S134" s="632" t="s">
        <v>247</v>
      </c>
      <c r="T134" s="691">
        <f t="shared" si="23"/>
        <v>46022</v>
      </c>
      <c r="U134" s="687">
        <v>27231.641469897571</v>
      </c>
      <c r="V134" s="747"/>
      <c r="W134" s="537">
        <f t="shared" si="21"/>
        <v>46003</v>
      </c>
      <c r="X134" s="741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38"/>
      <c r="J135" s="738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767"/>
      <c r="S135" s="632" t="s">
        <v>249</v>
      </c>
      <c r="T135" s="673">
        <f t="shared" si="23"/>
        <v>46053</v>
      </c>
      <c r="U135" s="687">
        <v>16832.875373135081</v>
      </c>
      <c r="V135" s="747"/>
      <c r="W135" s="579">
        <f t="shared" si="21"/>
        <v>46067</v>
      </c>
      <c r="X135" s="741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38"/>
      <c r="J136" s="738"/>
      <c r="K136" s="273"/>
      <c r="L136" s="341">
        <v>10</v>
      </c>
      <c r="M136" s="435" t="s">
        <v>309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767"/>
      <c r="S136" s="632"/>
      <c r="T136" s="532">
        <f t="shared" si="23"/>
        <v>46081</v>
      </c>
      <c r="U136" s="516">
        <f t="shared" si="20"/>
        <v>3403.9638432837701</v>
      </c>
      <c r="V136" s="747"/>
      <c r="W136" s="579">
        <f t="shared" si="21"/>
        <v>46074</v>
      </c>
      <c r="X136" s="741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38"/>
      <c r="J137" s="738"/>
      <c r="K137" s="273"/>
      <c r="L137" s="341">
        <v>10</v>
      </c>
      <c r="M137" s="435" t="s">
        <v>309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767"/>
      <c r="S137" s="632"/>
      <c r="T137" s="532">
        <f t="shared" si="23"/>
        <v>46081</v>
      </c>
      <c r="U137" s="516">
        <f t="shared" si="20"/>
        <v>13615.85537313508</v>
      </c>
      <c r="V137" s="747"/>
      <c r="W137" s="579">
        <f t="shared" si="21"/>
        <v>46079</v>
      </c>
      <c r="X137" s="741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38"/>
      <c r="J138" s="738"/>
      <c r="K138" s="273"/>
      <c r="L138" s="341">
        <v>10</v>
      </c>
      <c r="M138" s="435" t="s">
        <v>309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767"/>
      <c r="S138" s="632"/>
      <c r="T138" s="532">
        <f t="shared" si="23"/>
        <v>46112</v>
      </c>
      <c r="U138" s="516">
        <f t="shared" si="20"/>
        <v>13615.85537313508</v>
      </c>
      <c r="V138" s="747"/>
      <c r="W138" s="579">
        <f t="shared" si="21"/>
        <v>46091</v>
      </c>
      <c r="X138" s="741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38"/>
      <c r="J139" s="738"/>
      <c r="K139" s="273"/>
      <c r="L139" s="341">
        <v>10</v>
      </c>
      <c r="M139" s="435" t="s">
        <v>309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767"/>
      <c r="S139" s="632"/>
      <c r="T139" s="532">
        <f t="shared" si="23"/>
        <v>46112</v>
      </c>
      <c r="U139" s="516">
        <f t="shared" si="20"/>
        <v>6807.9276865675401</v>
      </c>
      <c r="V139" s="747"/>
      <c r="W139" s="579">
        <f t="shared" si="21"/>
        <v>46091</v>
      </c>
      <c r="X139" s="741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38"/>
      <c r="J140" s="738"/>
      <c r="K140" s="273"/>
      <c r="L140" s="341">
        <v>10</v>
      </c>
      <c r="M140" s="435" t="s">
        <v>309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768"/>
      <c r="S140" s="632"/>
      <c r="T140" s="532">
        <f t="shared" si="23"/>
        <v>46112</v>
      </c>
      <c r="U140" s="516">
        <f t="shared" si="20"/>
        <v>6807.9276865675401</v>
      </c>
      <c r="V140" s="747"/>
      <c r="W140" s="579">
        <f t="shared" si="21"/>
        <v>46114</v>
      </c>
      <c r="X140" s="741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38"/>
      <c r="J141" s="738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47"/>
      <c r="W141" s="579"/>
      <c r="X141" s="741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38"/>
      <c r="J142" s="738"/>
      <c r="K142" s="273"/>
      <c r="L142" s="341">
        <v>10</v>
      </c>
      <c r="M142" s="435" t="s">
        <v>309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47"/>
      <c r="W142" s="579"/>
      <c r="X142" s="741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39"/>
      <c r="J143" s="739"/>
      <c r="K143" s="276"/>
      <c r="L143" s="274">
        <v>10</v>
      </c>
      <c r="M143" s="436" t="s">
        <v>309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48"/>
      <c r="W143" s="580"/>
      <c r="X143" s="742"/>
      <c r="Y143" s="482"/>
    </row>
    <row r="144" spans="1:25" ht="14.4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320</v>
      </c>
      <c r="D145" s="352" t="s">
        <v>321</v>
      </c>
      <c r="E145" s="284"/>
      <c r="F145" s="437"/>
      <c r="G145" s="285">
        <v>34004.250000000007</v>
      </c>
      <c r="H145" s="573">
        <v>45900</v>
      </c>
      <c r="I145" s="731">
        <f>SUM(G145:G149)</f>
        <v>182012.75000000003</v>
      </c>
      <c r="J145" s="731">
        <f>F203</f>
        <v>206832.67045454547</v>
      </c>
      <c r="K145" s="286"/>
      <c r="L145" s="282">
        <v>11</v>
      </c>
      <c r="M145" s="352" t="s">
        <v>322</v>
      </c>
      <c r="N145" s="352" t="s">
        <v>321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43">
        <f>J145-SUM(U145:U149)</f>
        <v>2.1007240866310894E-4</v>
      </c>
      <c r="W145" s="573">
        <v>46112</v>
      </c>
      <c r="X145" s="734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323</v>
      </c>
      <c r="E146" s="315"/>
      <c r="F146" s="459"/>
      <c r="G146" s="316">
        <v>68008.500000000015</v>
      </c>
      <c r="H146" s="534">
        <v>45900</v>
      </c>
      <c r="I146" s="732"/>
      <c r="J146" s="732"/>
      <c r="K146" s="289"/>
      <c r="L146" s="312">
        <v>11</v>
      </c>
      <c r="M146" s="389" t="s">
        <v>322</v>
      </c>
      <c r="N146" s="314" t="s">
        <v>323</v>
      </c>
      <c r="O146" s="315"/>
      <c r="P146" s="459"/>
      <c r="Q146" s="316">
        <v>9019.6</v>
      </c>
      <c r="R146" s="635"/>
      <c r="S146" s="618" t="s">
        <v>324</v>
      </c>
      <c r="T146" s="644">
        <v>45930</v>
      </c>
      <c r="U146" s="669">
        <v>14096.219464915206</v>
      </c>
      <c r="V146" s="744"/>
      <c r="W146" s="534">
        <v>45757</v>
      </c>
      <c r="X146" s="735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32"/>
      <c r="J147" s="732"/>
      <c r="K147" s="289"/>
      <c r="L147" s="312">
        <v>11</v>
      </c>
      <c r="M147" s="389" t="s">
        <v>322</v>
      </c>
      <c r="N147" s="314" t="s">
        <v>325</v>
      </c>
      <c r="O147" s="315"/>
      <c r="P147" s="459"/>
      <c r="Q147" s="316">
        <v>9620</v>
      </c>
      <c r="R147" s="582"/>
      <c r="S147" s="618" t="s">
        <v>326</v>
      </c>
      <c r="T147" s="644">
        <v>45930</v>
      </c>
      <c r="U147" s="669">
        <v>15034.550451514953</v>
      </c>
      <c r="V147" s="744"/>
      <c r="W147" s="534">
        <v>45723</v>
      </c>
      <c r="X147" s="735"/>
      <c r="Y147" s="482"/>
    </row>
    <row r="148" spans="1:25" ht="15" customHeight="1">
      <c r="B148" s="312">
        <v>11</v>
      </c>
      <c r="C148" s="387"/>
      <c r="D148" s="387" t="s">
        <v>327</v>
      </c>
      <c r="E148" s="406"/>
      <c r="F148" s="444"/>
      <c r="G148" s="386">
        <v>80000</v>
      </c>
      <c r="H148" s="567">
        <v>45900</v>
      </c>
      <c r="I148" s="732"/>
      <c r="J148" s="732"/>
      <c r="K148" s="289"/>
      <c r="L148" s="312">
        <v>11</v>
      </c>
      <c r="M148" s="389" t="s">
        <v>322</v>
      </c>
      <c r="N148" s="387" t="s">
        <v>327</v>
      </c>
      <c r="O148" s="406"/>
      <c r="P148" s="444"/>
      <c r="Q148" s="386">
        <v>79700</v>
      </c>
      <c r="R148" s="583" t="s">
        <v>328</v>
      </c>
      <c r="S148" s="619" t="s">
        <v>329</v>
      </c>
      <c r="T148" s="644">
        <v>45930</v>
      </c>
      <c r="U148" s="669">
        <f>124558.593657562-1152.58</f>
        <v>123406.013657562</v>
      </c>
      <c r="V148" s="744"/>
      <c r="W148" s="567">
        <v>45716</v>
      </c>
      <c r="X148" s="735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33"/>
      <c r="J149" s="733"/>
      <c r="K149" s="290"/>
      <c r="L149" s="317">
        <v>11</v>
      </c>
      <c r="M149" s="419" t="s">
        <v>322</v>
      </c>
      <c r="N149" s="318" t="s">
        <v>330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45"/>
      <c r="W149" s="568">
        <f>T149</f>
        <v>46112</v>
      </c>
      <c r="X149" s="736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331</v>
      </c>
      <c r="D151" s="271"/>
      <c r="E151" s="272"/>
      <c r="F151" s="470"/>
      <c r="G151" s="339"/>
      <c r="H151" s="577"/>
      <c r="I151" s="737">
        <f>SUM(G151:G152)</f>
        <v>0</v>
      </c>
      <c r="J151" s="737">
        <v>0</v>
      </c>
      <c r="K151" s="749"/>
      <c r="L151" s="270">
        <v>12</v>
      </c>
      <c r="M151" s="271" t="s">
        <v>332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40">
        <f>SUM(Q151:Q152)</f>
        <v>0</v>
      </c>
      <c r="Y151" s="482"/>
    </row>
    <row r="152" spans="1:25" ht="15" customHeight="1" thickBot="1">
      <c r="B152" s="274">
        <v>12</v>
      </c>
      <c r="C152" s="345" t="s">
        <v>331</v>
      </c>
      <c r="D152" s="345"/>
      <c r="E152" s="346"/>
      <c r="F152" s="472"/>
      <c r="G152" s="275"/>
      <c r="H152" s="580"/>
      <c r="I152" s="739"/>
      <c r="J152" s="739"/>
      <c r="K152" s="750"/>
      <c r="L152" s="274">
        <v>12</v>
      </c>
      <c r="M152" s="345" t="s">
        <v>332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42"/>
      <c r="Y152" s="482"/>
    </row>
    <row r="153" spans="1:25" ht="14.4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333</v>
      </c>
      <c r="D154" s="352" t="s">
        <v>334</v>
      </c>
      <c r="E154" s="284"/>
      <c r="F154" s="437"/>
      <c r="G154" s="285">
        <v>110470.56870833333</v>
      </c>
      <c r="H154" s="573">
        <v>45900</v>
      </c>
      <c r="I154" s="731">
        <f>SUM(G154:G158)</f>
        <v>429230.63442261907</v>
      </c>
      <c r="J154" s="731">
        <f>F202</f>
        <v>487762.08457115805</v>
      </c>
      <c r="K154" s="286"/>
      <c r="L154" s="282">
        <v>13</v>
      </c>
      <c r="M154" s="352" t="s">
        <v>335</v>
      </c>
      <c r="N154" s="352" t="s">
        <v>336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43">
        <f>J154-SUM(U154:U159)</f>
        <v>0</v>
      </c>
      <c r="W154" s="573">
        <v>46112</v>
      </c>
      <c r="X154" s="734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337</v>
      </c>
      <c r="E155" s="315"/>
      <c r="F155" s="459"/>
      <c r="G155" s="316">
        <v>77714.28571428571</v>
      </c>
      <c r="H155" s="566">
        <v>45900</v>
      </c>
      <c r="I155" s="732"/>
      <c r="J155" s="732"/>
      <c r="K155" s="289"/>
      <c r="L155" s="312">
        <v>13</v>
      </c>
      <c r="M155" s="389" t="s">
        <v>335</v>
      </c>
      <c r="N155" s="314" t="s">
        <v>337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44"/>
      <c r="W155" s="566"/>
      <c r="X155" s="735"/>
      <c r="Y155" s="482"/>
    </row>
    <row r="156" spans="1:25" ht="15.75" customHeight="1">
      <c r="B156" s="312">
        <v>13</v>
      </c>
      <c r="C156" s="314"/>
      <c r="D156" s="314" t="s">
        <v>338</v>
      </c>
      <c r="E156" s="315"/>
      <c r="F156" s="459"/>
      <c r="G156" s="316">
        <v>136000</v>
      </c>
      <c r="H156" s="566">
        <v>45900</v>
      </c>
      <c r="I156" s="732"/>
      <c r="J156" s="732"/>
      <c r="K156" s="289"/>
      <c r="L156" s="312">
        <v>13</v>
      </c>
      <c r="M156" s="389" t="s">
        <v>335</v>
      </c>
      <c r="N156" s="314" t="s">
        <v>338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44"/>
      <c r="W156" s="566"/>
      <c r="X156" s="735"/>
      <c r="Y156" s="482"/>
    </row>
    <row r="157" spans="1:25" ht="15.75" customHeight="1">
      <c r="B157" s="312">
        <v>13</v>
      </c>
      <c r="C157" s="314"/>
      <c r="D157" s="314" t="s">
        <v>339</v>
      </c>
      <c r="E157" s="315"/>
      <c r="F157" s="459"/>
      <c r="G157" s="316">
        <v>52000</v>
      </c>
      <c r="H157" s="566">
        <v>45900</v>
      </c>
      <c r="I157" s="732"/>
      <c r="J157" s="732"/>
      <c r="K157" s="289"/>
      <c r="L157" s="312">
        <v>13</v>
      </c>
      <c r="M157" s="389" t="s">
        <v>335</v>
      </c>
      <c r="N157" s="314" t="s">
        <v>339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44"/>
      <c r="W157" s="566"/>
      <c r="X157" s="735"/>
      <c r="Y157" s="482"/>
    </row>
    <row r="158" spans="1:25" ht="15.75" customHeight="1">
      <c r="B158" s="312">
        <v>13</v>
      </c>
      <c r="C158" s="314"/>
      <c r="D158" s="314" t="s">
        <v>340</v>
      </c>
      <c r="E158" s="315"/>
      <c r="F158" s="459"/>
      <c r="G158" s="316">
        <v>53045.780000000006</v>
      </c>
      <c r="H158" s="566">
        <v>45900</v>
      </c>
      <c r="I158" s="732"/>
      <c r="J158" s="732"/>
      <c r="K158" s="289"/>
      <c r="L158" s="312">
        <v>13</v>
      </c>
      <c r="M158" s="389" t="s">
        <v>335</v>
      </c>
      <c r="N158" s="314" t="s">
        <v>340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44"/>
      <c r="W158" s="566"/>
      <c r="X158" s="735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33"/>
      <c r="J159" s="733"/>
      <c r="K159" s="365"/>
      <c r="L159" s="317">
        <v>13</v>
      </c>
      <c r="M159" s="419" t="s">
        <v>335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45"/>
      <c r="W159" s="568"/>
      <c r="X159" s="736"/>
      <c r="Y159" s="482"/>
    </row>
    <row r="160" spans="1:25" ht="14.4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341</v>
      </c>
      <c r="D161" s="271" t="s">
        <v>342</v>
      </c>
      <c r="E161" s="272"/>
      <c r="F161" s="470"/>
      <c r="G161" s="339">
        <f>D213</f>
        <v>23800</v>
      </c>
      <c r="H161" s="537">
        <v>45905</v>
      </c>
      <c r="I161" s="737">
        <f>SUM(G161:G172)</f>
        <v>23800</v>
      </c>
      <c r="J161" s="737">
        <f>F213</f>
        <v>28000</v>
      </c>
      <c r="K161" s="340"/>
      <c r="L161" s="270">
        <v>14</v>
      </c>
      <c r="M161" s="434" t="s">
        <v>343</v>
      </c>
      <c r="N161" s="271" t="s">
        <v>344</v>
      </c>
      <c r="O161" s="556"/>
      <c r="P161" s="470"/>
      <c r="Q161" s="339">
        <v>13986.749999999998</v>
      </c>
      <c r="R161" s="594"/>
      <c r="S161" s="636" t="s">
        <v>345</v>
      </c>
      <c r="T161" s="645">
        <v>45930</v>
      </c>
      <c r="U161" s="670">
        <v>16326.887799201642</v>
      </c>
      <c r="V161" s="746">
        <f>J161-SUM(U161:U172)</f>
        <v>0</v>
      </c>
      <c r="W161" s="537">
        <v>45905</v>
      </c>
      <c r="X161" s="740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38"/>
      <c r="J162" s="738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10587.7</v>
      </c>
      <c r="R162" s="596"/>
      <c r="S162" s="630" t="s">
        <v>345</v>
      </c>
      <c r="T162" s="681">
        <v>45961</v>
      </c>
      <c r="U162" s="687">
        <v>3732.1066782460925</v>
      </c>
      <c r="V162" s="747"/>
      <c r="W162" s="682">
        <v>45967</v>
      </c>
      <c r="X162" s="741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38"/>
      <c r="J163" s="738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5515.35</v>
      </c>
      <c r="R163" s="596"/>
      <c r="S163" s="630" t="s">
        <v>345</v>
      </c>
      <c r="T163" s="681">
        <v>45991</v>
      </c>
      <c r="U163" s="687">
        <v>3279.4745358867531</v>
      </c>
      <c r="V163" s="747"/>
      <c r="W163" s="682">
        <v>45996</v>
      </c>
      <c r="X163" s="741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38"/>
      <c r="J164" s="738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46022</v>
      </c>
      <c r="U164" s="701">
        <v>0</v>
      </c>
      <c r="V164" s="747"/>
      <c r="W164" s="682">
        <v>46022</v>
      </c>
      <c r="X164" s="741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38"/>
      <c r="J165" s="738"/>
      <c r="K165" s="273"/>
      <c r="L165" s="341">
        <v>14</v>
      </c>
      <c r="M165" s="435" t="s">
        <v>343</v>
      </c>
      <c r="N165" s="342" t="s">
        <v>344</v>
      </c>
      <c r="O165" s="557"/>
      <c r="P165" s="471"/>
      <c r="Q165" s="344">
        <v>0</v>
      </c>
      <c r="R165" s="596"/>
      <c r="S165" s="630" t="s">
        <v>345</v>
      </c>
      <c r="T165" s="681">
        <v>46053</v>
      </c>
      <c r="U165" s="683">
        <v>0</v>
      </c>
      <c r="V165" s="747"/>
      <c r="W165" s="682">
        <v>46058</v>
      </c>
      <c r="X165" s="741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38"/>
      <c r="J166" s="738"/>
      <c r="K166" s="273"/>
      <c r="L166" s="341">
        <v>14</v>
      </c>
      <c r="M166" s="435" t="s">
        <v>343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47"/>
      <c r="W166" s="579">
        <v>46093</v>
      </c>
      <c r="X166" s="741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38"/>
      <c r="J167" s="738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47"/>
      <c r="W167" s="579"/>
      <c r="X167" s="741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38"/>
      <c r="J168" s="738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47"/>
      <c r="W168" s="579"/>
      <c r="X168" s="741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38"/>
      <c r="J169" s="738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47"/>
      <c r="W169" s="579"/>
      <c r="X169" s="741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38"/>
      <c r="J170" s="738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47"/>
      <c r="W170" s="579"/>
      <c r="X170" s="741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38"/>
      <c r="J171" s="738"/>
      <c r="K171" s="273"/>
      <c r="L171" s="341">
        <v>14</v>
      </c>
      <c r="M171" s="435" t="s">
        <v>343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47"/>
      <c r="W171" s="579"/>
      <c r="X171" s="741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39"/>
      <c r="J172" s="739"/>
      <c r="K172" s="276"/>
      <c r="L172" s="274">
        <v>14</v>
      </c>
      <c r="M172" s="436" t="s">
        <v>343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48"/>
      <c r="W172" s="580"/>
      <c r="X172" s="742"/>
      <c r="Y172" s="482"/>
    </row>
    <row r="173" spans="1:25" ht="14.4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346</v>
      </c>
      <c r="D174" s="283"/>
      <c r="E174" s="284"/>
      <c r="F174" s="437"/>
      <c r="G174" s="285"/>
      <c r="H174" s="573"/>
      <c r="I174" s="731">
        <f>SUM(G174:G185)</f>
        <v>0</v>
      </c>
      <c r="J174" s="731">
        <f>F210</f>
        <v>2000000</v>
      </c>
      <c r="K174" s="286"/>
      <c r="L174" s="282">
        <v>15</v>
      </c>
      <c r="M174" s="352" t="s">
        <v>347</v>
      </c>
      <c r="N174" s="283"/>
      <c r="O174" s="284"/>
      <c r="P174" s="437"/>
      <c r="Q174" s="285"/>
      <c r="R174" s="589"/>
      <c r="S174" s="625"/>
      <c r="T174" s="525"/>
      <c r="U174" s="511"/>
      <c r="V174" s="743">
        <v>0</v>
      </c>
      <c r="W174" s="573"/>
      <c r="X174" s="734">
        <f>SUM(Q174:Q185)</f>
        <v>227802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32"/>
      <c r="J175" s="732"/>
      <c r="K175" s="289"/>
      <c r="L175" s="312">
        <v>15</v>
      </c>
      <c r="M175" s="389" t="s">
        <v>347</v>
      </c>
      <c r="N175" s="314"/>
      <c r="O175" s="543"/>
      <c r="P175" s="459"/>
      <c r="Q175" s="316"/>
      <c r="R175" s="582"/>
      <c r="S175" s="618"/>
      <c r="T175" s="518"/>
      <c r="U175" s="503"/>
      <c r="V175" s="744"/>
      <c r="W175" s="566"/>
      <c r="X175" s="735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32"/>
      <c r="J176" s="732"/>
      <c r="K176" s="289"/>
      <c r="L176" s="312">
        <v>15</v>
      </c>
      <c r="M176" s="389" t="s">
        <v>347</v>
      </c>
      <c r="N176" s="314" t="s">
        <v>348</v>
      </c>
      <c r="O176" s="543"/>
      <c r="P176" s="459"/>
      <c r="Q176" s="316">
        <v>56132.72</v>
      </c>
      <c r="R176" s="582" t="s">
        <v>349</v>
      </c>
      <c r="S176" s="618" t="s">
        <v>350</v>
      </c>
      <c r="T176" s="644">
        <v>46022</v>
      </c>
      <c r="U176" s="503"/>
      <c r="V176" s="744"/>
      <c r="W176" s="534">
        <v>46058</v>
      </c>
      <c r="X176" s="735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32"/>
      <c r="J177" s="732"/>
      <c r="K177" s="289"/>
      <c r="L177" s="312">
        <v>15</v>
      </c>
      <c r="M177" s="389" t="s">
        <v>347</v>
      </c>
      <c r="N177" s="314" t="s">
        <v>351</v>
      </c>
      <c r="O177" s="543"/>
      <c r="P177" s="459"/>
      <c r="Q177" s="316">
        <v>54437.33</v>
      </c>
      <c r="R177" s="582" t="s">
        <v>352</v>
      </c>
      <c r="S177" s="618" t="s">
        <v>249</v>
      </c>
      <c r="T177" s="644">
        <v>46053</v>
      </c>
      <c r="U177" s="503"/>
      <c r="V177" s="744"/>
      <c r="W177" s="566">
        <f>W179</f>
        <v>46067</v>
      </c>
      <c r="X177" s="735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32"/>
      <c r="J178" s="732"/>
      <c r="K178" s="289"/>
      <c r="L178" s="312">
        <v>15</v>
      </c>
      <c r="M178" s="389" t="s">
        <v>347</v>
      </c>
      <c r="N178" s="314"/>
      <c r="O178" s="543"/>
      <c r="P178" s="459"/>
      <c r="Q178" s="316"/>
      <c r="R178" s="582"/>
      <c r="S178" s="618"/>
      <c r="T178" s="644"/>
      <c r="U178" s="503"/>
      <c r="V178" s="744"/>
      <c r="W178" s="566"/>
      <c r="X178" s="735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32"/>
      <c r="J179" s="732"/>
      <c r="K179" s="289"/>
      <c r="L179" s="312">
        <v>15</v>
      </c>
      <c r="M179" s="389" t="s">
        <v>347</v>
      </c>
      <c r="N179" s="314" t="s">
        <v>353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44"/>
      <c r="W179" s="566">
        <v>46067</v>
      </c>
      <c r="X179" s="735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32"/>
      <c r="J180" s="732"/>
      <c r="K180" s="289"/>
      <c r="L180" s="312">
        <v>15</v>
      </c>
      <c r="M180" s="389" t="s">
        <v>347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44"/>
      <c r="W180" s="566"/>
      <c r="X180" s="735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32"/>
      <c r="J181" s="732"/>
      <c r="K181" s="289"/>
      <c r="L181" s="312">
        <v>15</v>
      </c>
      <c r="M181" s="389" t="s">
        <v>347</v>
      </c>
      <c r="N181" s="314" t="s">
        <v>354</v>
      </c>
      <c r="O181" s="543"/>
      <c r="P181" s="459"/>
      <c r="Q181" s="316">
        <v>21393.95</v>
      </c>
      <c r="R181" s="582" t="s">
        <v>355</v>
      </c>
      <c r="S181" s="618"/>
      <c r="T181" s="518">
        <v>46112</v>
      </c>
      <c r="U181" s="503"/>
      <c r="V181" s="744"/>
      <c r="W181" s="566">
        <f>T181</f>
        <v>46112</v>
      </c>
      <c r="X181" s="735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32"/>
      <c r="J182" s="732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44"/>
      <c r="W182" s="566"/>
      <c r="X182" s="735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32"/>
      <c r="J183" s="732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44"/>
      <c r="W183" s="566"/>
      <c r="X183" s="735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32"/>
      <c r="J184" s="732"/>
      <c r="K184" s="289"/>
      <c r="L184" s="312">
        <v>15</v>
      </c>
      <c r="M184" s="389" t="s">
        <v>347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44"/>
      <c r="W184" s="566"/>
      <c r="X184" s="735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33"/>
      <c r="J185" s="733"/>
      <c r="K185" s="290"/>
      <c r="L185" s="317">
        <v>15</v>
      </c>
      <c r="M185" s="419" t="s">
        <v>347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45"/>
      <c r="W185" s="568"/>
      <c r="X185" s="736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360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4" t="s">
        <v>542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5"/>
      <c r="B3" s="196" t="s">
        <v>479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5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5"/>
      <c r="B5" s="200" t="s">
        <v>481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5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5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4" t="s">
        <v>476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5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5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5"/>
      <c r="B11" s="213" t="s">
        <v>548</v>
      </c>
      <c r="C11" s="214">
        <f>'Revenue Tracking'!F5</f>
        <v>7470904.1923272396</v>
      </c>
      <c r="D11" s="214">
        <f>SUM(F11:LD11)</f>
        <v>7470904.1923272396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429446.35499999998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176322.21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285039.41432724003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5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6734913.6379999993</v>
      </c>
      <c r="BK12" s="215">
        <f t="shared" si="26"/>
        <v>6911235.8479999993</v>
      </c>
      <c r="BL12" s="215">
        <f t="shared" si="26"/>
        <v>6911235.8479999993</v>
      </c>
      <c r="BM12" s="215">
        <f t="shared" si="26"/>
        <v>7175187.3779999996</v>
      </c>
      <c r="BN12" s="215">
        <f t="shared" si="26"/>
        <v>7185864.7779999999</v>
      </c>
      <c r="BO12" s="215">
        <f t="shared" si="26"/>
        <v>7185864.7779999999</v>
      </c>
      <c r="BP12" s="215">
        <f t="shared" si="26"/>
        <v>7470904.1923272396</v>
      </c>
      <c r="BQ12" s="215">
        <f t="shared" si="26"/>
        <v>7470904.1923272396</v>
      </c>
      <c r="BR12" s="215">
        <f t="shared" si="26"/>
        <v>7470904.1923272396</v>
      </c>
      <c r="BS12" s="215">
        <f t="shared" si="26"/>
        <v>7470904.1923272396</v>
      </c>
      <c r="BT12" s="215">
        <f t="shared" si="26"/>
        <v>7470904.1923272396</v>
      </c>
      <c r="BU12" s="215">
        <f t="shared" ref="BU12:EF12" si="27">BT12+BU11</f>
        <v>7470904.1923272396</v>
      </c>
      <c r="BV12" s="215">
        <f t="shared" si="27"/>
        <v>7470904.1923272396</v>
      </c>
      <c r="BW12" s="215">
        <f t="shared" si="27"/>
        <v>7470904.1923272396</v>
      </c>
      <c r="BX12" s="215">
        <f t="shared" si="27"/>
        <v>7470904.1923272396</v>
      </c>
      <c r="BY12" s="215">
        <f t="shared" si="27"/>
        <v>7470904.1923272396</v>
      </c>
      <c r="BZ12" s="215">
        <f t="shared" si="27"/>
        <v>7470904.1923272396</v>
      </c>
      <c r="CA12" s="215">
        <f t="shared" si="27"/>
        <v>7470904.1923272396</v>
      </c>
      <c r="CB12" s="215">
        <f t="shared" si="27"/>
        <v>7470904.1923272396</v>
      </c>
      <c r="CC12" s="215">
        <f t="shared" si="27"/>
        <v>7470904.1923272396</v>
      </c>
      <c r="CD12" s="215">
        <f t="shared" si="27"/>
        <v>7470904.1923272396</v>
      </c>
      <c r="CE12" s="215">
        <f t="shared" si="27"/>
        <v>7470904.1923272396</v>
      </c>
      <c r="CF12" s="215">
        <f t="shared" si="27"/>
        <v>7470904.1923272396</v>
      </c>
      <c r="CG12" s="215">
        <f t="shared" si="27"/>
        <v>7470904.1923272396</v>
      </c>
      <c r="CH12" s="215">
        <f t="shared" si="27"/>
        <v>7470904.1923272396</v>
      </c>
      <c r="CI12" s="215">
        <f t="shared" si="27"/>
        <v>7470904.1923272396</v>
      </c>
      <c r="CJ12" s="215">
        <f t="shared" si="27"/>
        <v>7470904.1923272396</v>
      </c>
      <c r="CK12" s="215">
        <f t="shared" si="27"/>
        <v>7470904.1923272396</v>
      </c>
      <c r="CL12" s="215">
        <f t="shared" si="27"/>
        <v>7470904.1923272396</v>
      </c>
      <c r="CM12" s="215">
        <f t="shared" si="27"/>
        <v>7470904.1923272396</v>
      </c>
      <c r="CN12" s="215">
        <f t="shared" si="27"/>
        <v>7470904.1923272396</v>
      </c>
      <c r="CO12" s="215">
        <f t="shared" si="27"/>
        <v>7470904.1923272396</v>
      </c>
      <c r="CP12" s="215">
        <f t="shared" si="27"/>
        <v>7470904.1923272396</v>
      </c>
      <c r="CQ12" s="215">
        <f t="shared" si="27"/>
        <v>7470904.1923272396</v>
      </c>
      <c r="CR12" s="215">
        <f t="shared" si="27"/>
        <v>7470904.1923272396</v>
      </c>
      <c r="CS12" s="215">
        <f t="shared" si="27"/>
        <v>7470904.1923272396</v>
      </c>
      <c r="CT12" s="215">
        <f t="shared" si="27"/>
        <v>7470904.1923272396</v>
      </c>
      <c r="CU12" s="215">
        <f t="shared" si="27"/>
        <v>7470904.1923272396</v>
      </c>
      <c r="CV12" s="215">
        <f t="shared" si="27"/>
        <v>7470904.1923272396</v>
      </c>
      <c r="CW12" s="215">
        <f t="shared" si="27"/>
        <v>7470904.1923272396</v>
      </c>
      <c r="CX12" s="215">
        <f t="shared" si="27"/>
        <v>7470904.1923272396</v>
      </c>
      <c r="CY12" s="215">
        <f t="shared" si="27"/>
        <v>7470904.1923272396</v>
      </c>
      <c r="CZ12" s="215">
        <f t="shared" si="27"/>
        <v>7470904.1923272396</v>
      </c>
      <c r="DA12" s="215">
        <f t="shared" si="27"/>
        <v>7470904.1923272396</v>
      </c>
      <c r="DB12" s="215">
        <f t="shared" si="27"/>
        <v>7470904.1923272396</v>
      </c>
      <c r="DC12" s="215">
        <f t="shared" si="27"/>
        <v>7470904.1923272396</v>
      </c>
      <c r="DD12" s="215">
        <f t="shared" si="27"/>
        <v>7470904.1923272396</v>
      </c>
      <c r="DE12" s="215">
        <f t="shared" si="27"/>
        <v>7470904.1923272396</v>
      </c>
      <c r="DF12" s="215">
        <f t="shared" si="27"/>
        <v>7470904.1923272396</v>
      </c>
      <c r="DG12" s="215">
        <f t="shared" si="27"/>
        <v>7470904.1923272396</v>
      </c>
      <c r="DH12" s="215">
        <f t="shared" si="27"/>
        <v>7470904.1923272396</v>
      </c>
      <c r="DI12" s="215">
        <f t="shared" si="27"/>
        <v>7470904.1923272396</v>
      </c>
      <c r="DJ12" s="215">
        <f t="shared" si="27"/>
        <v>7470904.1923272396</v>
      </c>
      <c r="DK12" s="215">
        <f t="shared" si="27"/>
        <v>7470904.1923272396</v>
      </c>
      <c r="DL12" s="215">
        <f t="shared" si="27"/>
        <v>7470904.1923272396</v>
      </c>
      <c r="DM12" s="215">
        <f t="shared" si="27"/>
        <v>7470904.1923272396</v>
      </c>
      <c r="DN12" s="215">
        <f t="shared" si="27"/>
        <v>7470904.1923272396</v>
      </c>
      <c r="DO12" s="215">
        <f t="shared" si="27"/>
        <v>7470904.1923272396</v>
      </c>
      <c r="DP12" s="215">
        <f t="shared" si="27"/>
        <v>7470904.1923272396</v>
      </c>
      <c r="DQ12" s="215">
        <f t="shared" si="27"/>
        <v>7470904.1923272396</v>
      </c>
      <c r="DR12" s="215">
        <f t="shared" si="27"/>
        <v>7470904.1923272396</v>
      </c>
      <c r="DS12" s="215">
        <f t="shared" si="27"/>
        <v>7470904.1923272396</v>
      </c>
      <c r="DT12" s="215">
        <f t="shared" si="27"/>
        <v>7470904.1923272396</v>
      </c>
      <c r="DU12" s="215">
        <f t="shared" si="27"/>
        <v>7470904.1923272396</v>
      </c>
      <c r="DV12" s="215">
        <f t="shared" si="27"/>
        <v>7470904.1923272396</v>
      </c>
      <c r="DW12" s="215">
        <f t="shared" si="27"/>
        <v>7470904.1923272396</v>
      </c>
      <c r="DX12" s="215">
        <f t="shared" si="27"/>
        <v>7470904.1923272396</v>
      </c>
      <c r="DY12" s="215">
        <f t="shared" si="27"/>
        <v>7470904.1923272396</v>
      </c>
      <c r="DZ12" s="215">
        <f t="shared" si="27"/>
        <v>7470904.1923272396</v>
      </c>
      <c r="EA12" s="215">
        <f t="shared" si="27"/>
        <v>7470904.1923272396</v>
      </c>
      <c r="EB12" s="215">
        <f t="shared" si="27"/>
        <v>7470904.1923272396</v>
      </c>
      <c r="EC12" s="215">
        <f t="shared" si="27"/>
        <v>7470904.1923272396</v>
      </c>
      <c r="ED12" s="215">
        <f t="shared" si="27"/>
        <v>7470904.1923272396</v>
      </c>
      <c r="EE12" s="215">
        <f t="shared" si="27"/>
        <v>7470904.1923272396</v>
      </c>
      <c r="EF12" s="215">
        <f t="shared" si="27"/>
        <v>7470904.1923272396</v>
      </c>
      <c r="EG12" s="215">
        <f t="shared" ref="EG12:GR12" si="28">EF12+EG11</f>
        <v>7470904.1923272396</v>
      </c>
      <c r="EH12" s="215">
        <f t="shared" si="28"/>
        <v>7470904.1923272396</v>
      </c>
      <c r="EI12" s="215">
        <f t="shared" si="28"/>
        <v>7470904.1923272396</v>
      </c>
      <c r="EJ12" s="215">
        <f t="shared" si="28"/>
        <v>7470904.1923272396</v>
      </c>
      <c r="EK12" s="215">
        <f t="shared" si="28"/>
        <v>7470904.1923272396</v>
      </c>
      <c r="EL12" s="215">
        <f t="shared" si="28"/>
        <v>7470904.1923272396</v>
      </c>
      <c r="EM12" s="215">
        <f t="shared" si="28"/>
        <v>7470904.1923272396</v>
      </c>
      <c r="EN12" s="215">
        <f t="shared" si="28"/>
        <v>7470904.1923272396</v>
      </c>
      <c r="EO12" s="215">
        <f t="shared" si="28"/>
        <v>7470904.1923272396</v>
      </c>
      <c r="EP12" s="215">
        <f t="shared" si="28"/>
        <v>7470904.1923272396</v>
      </c>
      <c r="EQ12" s="215">
        <f t="shared" si="28"/>
        <v>7470904.1923272396</v>
      </c>
      <c r="ER12" s="215">
        <f t="shared" si="28"/>
        <v>7470904.1923272396</v>
      </c>
      <c r="ES12" s="215">
        <f t="shared" si="28"/>
        <v>7470904.1923272396</v>
      </c>
      <c r="ET12" s="215">
        <f t="shared" si="28"/>
        <v>7470904.1923272396</v>
      </c>
      <c r="EU12" s="215">
        <f t="shared" si="28"/>
        <v>7470904.1923272396</v>
      </c>
      <c r="EV12" s="215">
        <f t="shared" si="28"/>
        <v>7470904.1923272396</v>
      </c>
      <c r="EW12" s="215">
        <f t="shared" si="28"/>
        <v>7470904.1923272396</v>
      </c>
      <c r="EX12" s="215">
        <f t="shared" si="28"/>
        <v>7470904.1923272396</v>
      </c>
      <c r="EY12" s="215">
        <f t="shared" si="28"/>
        <v>7470904.1923272396</v>
      </c>
      <c r="EZ12" s="215">
        <f t="shared" si="28"/>
        <v>7470904.1923272396</v>
      </c>
      <c r="FA12" s="215">
        <f t="shared" si="28"/>
        <v>7470904.1923272396</v>
      </c>
      <c r="FB12" s="215">
        <f t="shared" si="28"/>
        <v>7470904.1923272396</v>
      </c>
      <c r="FC12" s="215">
        <f t="shared" si="28"/>
        <v>7470904.1923272396</v>
      </c>
      <c r="FD12" s="215">
        <f t="shared" si="28"/>
        <v>7470904.1923272396</v>
      </c>
      <c r="FE12" s="215">
        <f t="shared" si="28"/>
        <v>7470904.1923272396</v>
      </c>
      <c r="FF12" s="215">
        <f t="shared" si="28"/>
        <v>7470904.1923272396</v>
      </c>
      <c r="FG12" s="215">
        <f t="shared" si="28"/>
        <v>7470904.1923272396</v>
      </c>
      <c r="FH12" s="215">
        <f t="shared" si="28"/>
        <v>7470904.1923272396</v>
      </c>
      <c r="FI12" s="215">
        <f t="shared" si="28"/>
        <v>7470904.1923272396</v>
      </c>
      <c r="FJ12" s="215">
        <f t="shared" si="28"/>
        <v>7470904.1923272396</v>
      </c>
      <c r="FK12" s="215">
        <f t="shared" si="28"/>
        <v>7470904.1923272396</v>
      </c>
      <c r="FL12" s="215">
        <f t="shared" si="28"/>
        <v>7470904.1923272396</v>
      </c>
      <c r="FM12" s="215">
        <f t="shared" si="28"/>
        <v>7470904.1923272396</v>
      </c>
      <c r="FN12" s="215">
        <f t="shared" si="28"/>
        <v>7470904.1923272396</v>
      </c>
      <c r="FO12" s="215">
        <f t="shared" si="28"/>
        <v>7470904.1923272396</v>
      </c>
      <c r="FP12" s="215">
        <f t="shared" si="28"/>
        <v>7470904.1923272396</v>
      </c>
      <c r="FQ12" s="215">
        <f t="shared" si="28"/>
        <v>7470904.1923272396</v>
      </c>
      <c r="FR12" s="215">
        <f t="shared" si="28"/>
        <v>7470904.1923272396</v>
      </c>
      <c r="FS12" s="215">
        <f t="shared" si="28"/>
        <v>7470904.1923272396</v>
      </c>
      <c r="FT12" s="215">
        <f t="shared" si="28"/>
        <v>7470904.1923272396</v>
      </c>
      <c r="FU12" s="215">
        <f t="shared" si="28"/>
        <v>7470904.1923272396</v>
      </c>
      <c r="FV12" s="215">
        <f t="shared" si="28"/>
        <v>7470904.1923272396</v>
      </c>
      <c r="FW12" s="215">
        <f t="shared" si="28"/>
        <v>7470904.1923272396</v>
      </c>
      <c r="FX12" s="215">
        <f t="shared" si="28"/>
        <v>7470904.1923272396</v>
      </c>
      <c r="FY12" s="215">
        <f t="shared" si="28"/>
        <v>7470904.1923272396</v>
      </c>
      <c r="FZ12" s="215">
        <f t="shared" si="28"/>
        <v>7470904.1923272396</v>
      </c>
      <c r="GA12" s="215">
        <f t="shared" si="28"/>
        <v>7470904.1923272396</v>
      </c>
      <c r="GB12" s="215">
        <f t="shared" si="28"/>
        <v>7470904.1923272396</v>
      </c>
      <c r="GC12" s="215">
        <f t="shared" si="28"/>
        <v>7470904.1923272396</v>
      </c>
      <c r="GD12" s="215">
        <f t="shared" si="28"/>
        <v>7470904.1923272396</v>
      </c>
      <c r="GE12" s="215">
        <f t="shared" si="28"/>
        <v>7470904.1923272396</v>
      </c>
      <c r="GF12" s="215">
        <f t="shared" si="28"/>
        <v>7470904.1923272396</v>
      </c>
      <c r="GG12" s="215">
        <f t="shared" si="28"/>
        <v>7470904.1923272396</v>
      </c>
      <c r="GH12" s="215">
        <f t="shared" si="28"/>
        <v>7470904.1923272396</v>
      </c>
      <c r="GI12" s="215">
        <f t="shared" si="28"/>
        <v>7470904.1923272396</v>
      </c>
      <c r="GJ12" s="215">
        <f t="shared" si="28"/>
        <v>7470904.1923272396</v>
      </c>
      <c r="GK12" s="215">
        <f t="shared" si="28"/>
        <v>7470904.1923272396</v>
      </c>
      <c r="GL12" s="215">
        <f t="shared" si="28"/>
        <v>7470904.1923272396</v>
      </c>
      <c r="GM12" s="215">
        <f t="shared" si="28"/>
        <v>7470904.1923272396</v>
      </c>
      <c r="GN12" s="215">
        <f t="shared" si="28"/>
        <v>7470904.1923272396</v>
      </c>
      <c r="GO12" s="215">
        <f t="shared" si="28"/>
        <v>7470904.1923272396</v>
      </c>
      <c r="GP12" s="215">
        <f t="shared" si="28"/>
        <v>7470904.1923272396</v>
      </c>
      <c r="GQ12" s="215">
        <f t="shared" si="28"/>
        <v>7470904.1923272396</v>
      </c>
      <c r="GR12" s="215">
        <f t="shared" si="28"/>
        <v>7470904.1923272396</v>
      </c>
      <c r="GS12" s="215">
        <f t="shared" ref="GS12:JD12" si="29">GR12+GS11</f>
        <v>7470904.1923272396</v>
      </c>
      <c r="GT12" s="215">
        <f t="shared" si="29"/>
        <v>7470904.1923272396</v>
      </c>
      <c r="GU12" s="215">
        <f t="shared" si="29"/>
        <v>7470904.1923272396</v>
      </c>
      <c r="GV12" s="215">
        <f t="shared" si="29"/>
        <v>7470904.1923272396</v>
      </c>
      <c r="GW12" s="215">
        <f t="shared" si="29"/>
        <v>7470904.1923272396</v>
      </c>
      <c r="GX12" s="215">
        <f t="shared" si="29"/>
        <v>7470904.1923272396</v>
      </c>
      <c r="GY12" s="215">
        <f t="shared" si="29"/>
        <v>7470904.1923272396</v>
      </c>
      <c r="GZ12" s="215">
        <f t="shared" si="29"/>
        <v>7470904.1923272396</v>
      </c>
      <c r="HA12" s="215">
        <f t="shared" si="29"/>
        <v>7470904.1923272396</v>
      </c>
      <c r="HB12" s="215">
        <f t="shared" si="29"/>
        <v>7470904.1923272396</v>
      </c>
      <c r="HC12" s="215">
        <f t="shared" si="29"/>
        <v>7470904.1923272396</v>
      </c>
      <c r="HD12" s="215">
        <f t="shared" si="29"/>
        <v>7470904.1923272396</v>
      </c>
      <c r="HE12" s="215">
        <f t="shared" si="29"/>
        <v>7470904.1923272396</v>
      </c>
      <c r="HF12" s="215">
        <f t="shared" si="29"/>
        <v>7470904.1923272396</v>
      </c>
      <c r="HG12" s="215">
        <f t="shared" si="29"/>
        <v>7470904.1923272396</v>
      </c>
      <c r="HH12" s="215">
        <f t="shared" si="29"/>
        <v>7470904.1923272396</v>
      </c>
      <c r="HI12" s="215">
        <f t="shared" si="29"/>
        <v>7470904.1923272396</v>
      </c>
      <c r="HJ12" s="215">
        <f t="shared" si="29"/>
        <v>7470904.1923272396</v>
      </c>
      <c r="HK12" s="215">
        <f t="shared" si="29"/>
        <v>7470904.1923272396</v>
      </c>
      <c r="HL12" s="215">
        <f t="shared" si="29"/>
        <v>7470904.1923272396</v>
      </c>
      <c r="HM12" s="215">
        <f t="shared" si="29"/>
        <v>7470904.1923272396</v>
      </c>
      <c r="HN12" s="215">
        <f t="shared" si="29"/>
        <v>7470904.1923272396</v>
      </c>
      <c r="HO12" s="215">
        <f t="shared" si="29"/>
        <v>7470904.1923272396</v>
      </c>
      <c r="HP12" s="215">
        <f t="shared" si="29"/>
        <v>7470904.1923272396</v>
      </c>
      <c r="HQ12" s="215">
        <f t="shared" si="29"/>
        <v>7470904.1923272396</v>
      </c>
      <c r="HR12" s="215">
        <f t="shared" si="29"/>
        <v>7470904.1923272396</v>
      </c>
      <c r="HS12" s="215">
        <f t="shared" si="29"/>
        <v>7470904.1923272396</v>
      </c>
      <c r="HT12" s="215">
        <f t="shared" si="29"/>
        <v>7470904.1923272396</v>
      </c>
      <c r="HU12" s="215">
        <f t="shared" si="29"/>
        <v>7470904.1923272396</v>
      </c>
      <c r="HV12" s="215">
        <f t="shared" si="29"/>
        <v>7470904.1923272396</v>
      </c>
      <c r="HW12" s="215">
        <f t="shared" si="29"/>
        <v>7470904.1923272396</v>
      </c>
      <c r="HX12" s="215">
        <f t="shared" si="29"/>
        <v>7470904.1923272396</v>
      </c>
      <c r="HY12" s="215">
        <f t="shared" si="29"/>
        <v>7470904.1923272396</v>
      </c>
      <c r="HZ12" s="215">
        <f t="shared" si="29"/>
        <v>7470904.1923272396</v>
      </c>
      <c r="IA12" s="215">
        <f t="shared" si="29"/>
        <v>7470904.1923272396</v>
      </c>
      <c r="IB12" s="215">
        <f t="shared" si="29"/>
        <v>7470904.1923272396</v>
      </c>
      <c r="IC12" s="215">
        <f t="shared" si="29"/>
        <v>7470904.1923272396</v>
      </c>
      <c r="ID12" s="215">
        <f t="shared" si="29"/>
        <v>7470904.1923272396</v>
      </c>
      <c r="IE12" s="215">
        <f t="shared" si="29"/>
        <v>7470904.1923272396</v>
      </c>
      <c r="IF12" s="215">
        <f t="shared" si="29"/>
        <v>7470904.1923272396</v>
      </c>
      <c r="IG12" s="215">
        <f t="shared" si="29"/>
        <v>7470904.1923272396</v>
      </c>
      <c r="IH12" s="215">
        <f t="shared" si="29"/>
        <v>7470904.1923272396</v>
      </c>
      <c r="II12" s="215">
        <f t="shared" si="29"/>
        <v>7470904.1923272396</v>
      </c>
      <c r="IJ12" s="215">
        <f t="shared" si="29"/>
        <v>7470904.1923272396</v>
      </c>
      <c r="IK12" s="215">
        <f t="shared" si="29"/>
        <v>7470904.1923272396</v>
      </c>
      <c r="IL12" s="215">
        <f t="shared" si="29"/>
        <v>7470904.1923272396</v>
      </c>
      <c r="IM12" s="215">
        <f t="shared" si="29"/>
        <v>7470904.1923272396</v>
      </c>
      <c r="IN12" s="215">
        <f t="shared" si="29"/>
        <v>7470904.1923272396</v>
      </c>
      <c r="IO12" s="215">
        <f t="shared" si="29"/>
        <v>7470904.1923272396</v>
      </c>
      <c r="IP12" s="215">
        <f t="shared" si="29"/>
        <v>7470904.1923272396</v>
      </c>
      <c r="IQ12" s="215">
        <f t="shared" si="29"/>
        <v>7470904.1923272396</v>
      </c>
      <c r="IR12" s="215">
        <f t="shared" si="29"/>
        <v>7470904.1923272396</v>
      </c>
      <c r="IS12" s="215">
        <f t="shared" si="29"/>
        <v>7470904.1923272396</v>
      </c>
      <c r="IT12" s="215">
        <f t="shared" si="29"/>
        <v>7470904.1923272396</v>
      </c>
      <c r="IU12" s="215">
        <f t="shared" si="29"/>
        <v>7470904.1923272396</v>
      </c>
      <c r="IV12" s="215">
        <f t="shared" si="29"/>
        <v>7470904.1923272396</v>
      </c>
      <c r="IW12" s="215">
        <f t="shared" si="29"/>
        <v>7470904.1923272396</v>
      </c>
      <c r="IX12" s="215">
        <f t="shared" si="29"/>
        <v>7470904.1923272396</v>
      </c>
      <c r="IY12" s="215">
        <f t="shared" si="29"/>
        <v>7470904.1923272396</v>
      </c>
      <c r="IZ12" s="215">
        <f t="shared" si="29"/>
        <v>7470904.1923272396</v>
      </c>
      <c r="JA12" s="215">
        <f t="shared" si="29"/>
        <v>7470904.1923272396</v>
      </c>
      <c r="JB12" s="215">
        <f t="shared" si="29"/>
        <v>7470904.1923272396</v>
      </c>
      <c r="JC12" s="215">
        <f t="shared" si="29"/>
        <v>7470904.1923272396</v>
      </c>
      <c r="JD12" s="215">
        <f t="shared" si="29"/>
        <v>7470904.1923272396</v>
      </c>
      <c r="JE12" s="215">
        <f t="shared" ref="JE12:LD12" si="30">JD12+JE11</f>
        <v>7470904.1923272396</v>
      </c>
      <c r="JF12" s="215">
        <f t="shared" si="30"/>
        <v>7470904.1923272396</v>
      </c>
      <c r="JG12" s="215">
        <f t="shared" si="30"/>
        <v>7470904.1923272396</v>
      </c>
      <c r="JH12" s="215">
        <f t="shared" si="30"/>
        <v>7470904.1923272396</v>
      </c>
      <c r="JI12" s="215">
        <f t="shared" si="30"/>
        <v>7470904.1923272396</v>
      </c>
      <c r="JJ12" s="215">
        <f t="shared" si="30"/>
        <v>7470904.1923272396</v>
      </c>
      <c r="JK12" s="215">
        <f t="shared" si="30"/>
        <v>7470904.1923272396</v>
      </c>
      <c r="JL12" s="215">
        <f t="shared" si="30"/>
        <v>7470904.1923272396</v>
      </c>
      <c r="JM12" s="215">
        <f t="shared" si="30"/>
        <v>7470904.1923272396</v>
      </c>
      <c r="JN12" s="215">
        <f t="shared" si="30"/>
        <v>7470904.1923272396</v>
      </c>
      <c r="JO12" s="215">
        <f t="shared" si="30"/>
        <v>7470904.1923272396</v>
      </c>
      <c r="JP12" s="215">
        <f t="shared" si="30"/>
        <v>7470904.1923272396</v>
      </c>
      <c r="JQ12" s="215">
        <f t="shared" si="30"/>
        <v>7470904.1923272396</v>
      </c>
      <c r="JR12" s="215">
        <f t="shared" si="30"/>
        <v>7470904.1923272396</v>
      </c>
      <c r="JS12" s="215">
        <f t="shared" si="30"/>
        <v>7470904.1923272396</v>
      </c>
      <c r="JT12" s="215">
        <f t="shared" si="30"/>
        <v>7470904.1923272396</v>
      </c>
      <c r="JU12" s="215">
        <f t="shared" si="30"/>
        <v>7470904.1923272396</v>
      </c>
      <c r="JV12" s="215">
        <f t="shared" si="30"/>
        <v>7470904.1923272396</v>
      </c>
      <c r="JW12" s="215">
        <f t="shared" si="30"/>
        <v>7470904.1923272396</v>
      </c>
      <c r="JX12" s="215">
        <f t="shared" si="30"/>
        <v>7470904.1923272396</v>
      </c>
      <c r="JY12" s="215">
        <f t="shared" si="30"/>
        <v>7470904.1923272396</v>
      </c>
      <c r="JZ12" s="215">
        <f t="shared" si="30"/>
        <v>7470904.1923272396</v>
      </c>
      <c r="KA12" s="215">
        <f t="shared" si="30"/>
        <v>7470904.1923272396</v>
      </c>
      <c r="KB12" s="215">
        <f t="shared" si="30"/>
        <v>7470904.1923272396</v>
      </c>
      <c r="KC12" s="215">
        <f t="shared" si="30"/>
        <v>7470904.1923272396</v>
      </c>
      <c r="KD12" s="215">
        <f t="shared" si="30"/>
        <v>7470904.1923272396</v>
      </c>
      <c r="KE12" s="215">
        <f t="shared" si="30"/>
        <v>7470904.1923272396</v>
      </c>
      <c r="KF12" s="215">
        <f t="shared" si="30"/>
        <v>7470904.1923272396</v>
      </c>
      <c r="KG12" s="215">
        <f t="shared" si="30"/>
        <v>7470904.1923272396</v>
      </c>
      <c r="KH12" s="215">
        <f t="shared" si="30"/>
        <v>7470904.1923272396</v>
      </c>
      <c r="KI12" s="215">
        <f t="shared" si="30"/>
        <v>7470904.1923272396</v>
      </c>
      <c r="KJ12" s="215">
        <f t="shared" si="30"/>
        <v>7470904.1923272396</v>
      </c>
      <c r="KK12" s="215">
        <f t="shared" si="30"/>
        <v>7470904.1923272396</v>
      </c>
      <c r="KL12" s="215">
        <f t="shared" si="30"/>
        <v>7470904.1923272396</v>
      </c>
      <c r="KM12" s="215">
        <f t="shared" si="30"/>
        <v>7470904.1923272396</v>
      </c>
      <c r="KN12" s="215">
        <f t="shared" si="30"/>
        <v>7470904.1923272396</v>
      </c>
      <c r="KO12" s="215">
        <f t="shared" si="30"/>
        <v>7470904.1923272396</v>
      </c>
      <c r="KP12" s="215">
        <f t="shared" si="30"/>
        <v>7470904.1923272396</v>
      </c>
      <c r="KQ12" s="215">
        <f t="shared" si="30"/>
        <v>7470904.1923272396</v>
      </c>
      <c r="KR12" s="215">
        <f t="shared" si="30"/>
        <v>7470904.1923272396</v>
      </c>
      <c r="KS12" s="215">
        <f t="shared" si="30"/>
        <v>7470904.1923272396</v>
      </c>
      <c r="KT12" s="215">
        <f t="shared" si="30"/>
        <v>7470904.1923272396</v>
      </c>
      <c r="KU12" s="215">
        <f t="shared" si="30"/>
        <v>7470904.1923272396</v>
      </c>
      <c r="KV12" s="215">
        <f t="shared" si="30"/>
        <v>7470904.1923272396</v>
      </c>
      <c r="KW12" s="215">
        <f t="shared" si="30"/>
        <v>7470904.1923272396</v>
      </c>
      <c r="KX12" s="215">
        <f t="shared" si="30"/>
        <v>7470904.1923272396</v>
      </c>
      <c r="KY12" s="215">
        <f t="shared" si="30"/>
        <v>7470904.1923272396</v>
      </c>
      <c r="KZ12" s="215">
        <f t="shared" si="30"/>
        <v>7470904.1923272396</v>
      </c>
      <c r="LA12" s="215">
        <f t="shared" si="30"/>
        <v>7470904.1923272396</v>
      </c>
      <c r="LB12" s="215">
        <f t="shared" si="30"/>
        <v>7470904.1923272396</v>
      </c>
      <c r="LC12" s="215">
        <f t="shared" si="30"/>
        <v>7470904.1923272396</v>
      </c>
      <c r="LD12" s="215">
        <f t="shared" si="30"/>
        <v>7470904.1923272396</v>
      </c>
      <c r="LE12" s="192"/>
      <c r="LF12" s="203"/>
    </row>
    <row r="13" spans="1:794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5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1503860.1220000004</v>
      </c>
      <c r="BK14" s="208">
        <f t="shared" si="32"/>
        <v>1327537.9120000005</v>
      </c>
      <c r="BL14" s="208">
        <f t="shared" si="32"/>
        <v>1327537.9120000005</v>
      </c>
      <c r="BM14" s="208">
        <f t="shared" si="32"/>
        <v>1063586.3820000002</v>
      </c>
      <c r="BN14" s="208">
        <f t="shared" si="32"/>
        <v>1052908.9819999998</v>
      </c>
      <c r="BO14" s="208">
        <f t="shared" si="32"/>
        <v>3242479.5719999997</v>
      </c>
      <c r="BP14" s="208">
        <f t="shared" si="32"/>
        <v>2957440.1576727601</v>
      </c>
      <c r="BQ14" s="208">
        <f t="shared" si="32"/>
        <v>2957440.1576727601</v>
      </c>
      <c r="BR14" s="208">
        <f t="shared" si="32"/>
        <v>2957440.1576727601</v>
      </c>
      <c r="BS14" s="208">
        <f t="shared" si="32"/>
        <v>2957440.1576727601</v>
      </c>
      <c r="BT14" s="208">
        <f t="shared" si="32"/>
        <v>2957440.1576727601</v>
      </c>
      <c r="BU14" s="208">
        <f t="shared" ref="BU14:EF14" si="33">BU10-BU12</f>
        <v>2957440.1576727601</v>
      </c>
      <c r="BV14" s="208">
        <f t="shared" si="33"/>
        <v>2957440.1576727601</v>
      </c>
      <c r="BW14" s="208">
        <f t="shared" si="33"/>
        <v>2957440.1576727601</v>
      </c>
      <c r="BX14" s="208">
        <f t="shared" si="33"/>
        <v>2957440.1576727601</v>
      </c>
      <c r="BY14" s="208">
        <f t="shared" si="33"/>
        <v>2957440.1576727601</v>
      </c>
      <c r="BZ14" s="208">
        <f t="shared" si="33"/>
        <v>2957440.1576727601</v>
      </c>
      <c r="CA14" s="208">
        <f t="shared" si="33"/>
        <v>2957440.1576727601</v>
      </c>
      <c r="CB14" s="208">
        <f t="shared" si="33"/>
        <v>2957440.1576727601</v>
      </c>
      <c r="CC14" s="208">
        <f t="shared" si="33"/>
        <v>2957440.1576727601</v>
      </c>
      <c r="CD14" s="208">
        <f t="shared" si="33"/>
        <v>2957440.1576727601</v>
      </c>
      <c r="CE14" s="208">
        <f t="shared" si="33"/>
        <v>2957440.1576727601</v>
      </c>
      <c r="CF14" s="208">
        <f t="shared" si="33"/>
        <v>2957440.1576727601</v>
      </c>
      <c r="CG14" s="208">
        <f t="shared" si="33"/>
        <v>2957440.1576727601</v>
      </c>
      <c r="CH14" s="208">
        <f t="shared" si="33"/>
        <v>2957440.1576727601</v>
      </c>
      <c r="CI14" s="208">
        <f t="shared" si="33"/>
        <v>2957440.1576727601</v>
      </c>
      <c r="CJ14" s="208">
        <f t="shared" si="33"/>
        <v>2957440.1576727601</v>
      </c>
      <c r="CK14" s="208">
        <f t="shared" si="33"/>
        <v>2957440.1576727601</v>
      </c>
      <c r="CL14" s="208">
        <f t="shared" si="33"/>
        <v>2957440.1576727601</v>
      </c>
      <c r="CM14" s="208">
        <f t="shared" si="33"/>
        <v>2957440.1576727601</v>
      </c>
      <c r="CN14" s="208">
        <f t="shared" si="33"/>
        <v>2957440.1576727601</v>
      </c>
      <c r="CO14" s="208">
        <f t="shared" si="33"/>
        <v>2957440.1576727601</v>
      </c>
      <c r="CP14" s="208">
        <f t="shared" si="33"/>
        <v>2957440.1576727601</v>
      </c>
      <c r="CQ14" s="208">
        <f t="shared" si="33"/>
        <v>2957440.1576727601</v>
      </c>
      <c r="CR14" s="208">
        <f t="shared" si="33"/>
        <v>2957440.1576727601</v>
      </c>
      <c r="CS14" s="208">
        <f t="shared" si="33"/>
        <v>2957440.1576727601</v>
      </c>
      <c r="CT14" s="208">
        <f t="shared" si="33"/>
        <v>2957440.1576727601</v>
      </c>
      <c r="CU14" s="208">
        <f t="shared" si="33"/>
        <v>2957440.1576727601</v>
      </c>
      <c r="CV14" s="208">
        <f t="shared" si="33"/>
        <v>2957440.1576727601</v>
      </c>
      <c r="CW14" s="208">
        <f t="shared" si="33"/>
        <v>2957440.1576727601</v>
      </c>
      <c r="CX14" s="208">
        <f t="shared" si="33"/>
        <v>2957440.1576727601</v>
      </c>
      <c r="CY14" s="208">
        <f t="shared" si="33"/>
        <v>2957440.1576727601</v>
      </c>
      <c r="CZ14" s="208">
        <f t="shared" si="33"/>
        <v>2957440.1576727601</v>
      </c>
      <c r="DA14" s="208">
        <f t="shared" si="33"/>
        <v>2957440.1576727601</v>
      </c>
      <c r="DB14" s="208">
        <f t="shared" si="33"/>
        <v>2957440.1576727601</v>
      </c>
      <c r="DC14" s="208">
        <f t="shared" si="33"/>
        <v>2957440.1576727601</v>
      </c>
      <c r="DD14" s="208">
        <f t="shared" si="33"/>
        <v>2957440.1576727601</v>
      </c>
      <c r="DE14" s="208">
        <f t="shared" si="33"/>
        <v>2957440.1576727601</v>
      </c>
      <c r="DF14" s="208">
        <f t="shared" si="33"/>
        <v>2957440.1576727601</v>
      </c>
      <c r="DG14" s="208">
        <f t="shared" si="33"/>
        <v>2957440.1576727601</v>
      </c>
      <c r="DH14" s="208">
        <f t="shared" si="33"/>
        <v>2957440.1576727601</v>
      </c>
      <c r="DI14" s="208">
        <f t="shared" si="33"/>
        <v>2957440.1576727601</v>
      </c>
      <c r="DJ14" s="208">
        <f t="shared" si="33"/>
        <v>2957440.1576727601</v>
      </c>
      <c r="DK14" s="208">
        <f t="shared" si="33"/>
        <v>2957440.1576727601</v>
      </c>
      <c r="DL14" s="208">
        <f t="shared" si="33"/>
        <v>2957440.1576727601</v>
      </c>
      <c r="DM14" s="208">
        <f t="shared" si="33"/>
        <v>2957440.1576727601</v>
      </c>
      <c r="DN14" s="208">
        <f t="shared" si="33"/>
        <v>2957440.1576727601</v>
      </c>
      <c r="DO14" s="208">
        <f t="shared" si="33"/>
        <v>2957440.1576727601</v>
      </c>
      <c r="DP14" s="208">
        <f t="shared" si="33"/>
        <v>2957440.1576727601</v>
      </c>
      <c r="DQ14" s="208">
        <f t="shared" si="33"/>
        <v>2957440.1576727601</v>
      </c>
      <c r="DR14" s="208">
        <f t="shared" si="33"/>
        <v>2957440.1576727601</v>
      </c>
      <c r="DS14" s="208">
        <f t="shared" si="33"/>
        <v>2957440.1576727601</v>
      </c>
      <c r="DT14" s="208">
        <f t="shared" si="33"/>
        <v>2957440.1576727601</v>
      </c>
      <c r="DU14" s="208">
        <f t="shared" si="33"/>
        <v>2957440.1576727601</v>
      </c>
      <c r="DV14" s="208">
        <f t="shared" si="33"/>
        <v>2957440.1576727601</v>
      </c>
      <c r="DW14" s="208">
        <f t="shared" si="33"/>
        <v>2957440.1576727601</v>
      </c>
      <c r="DX14" s="208">
        <f t="shared" si="33"/>
        <v>2957440.1576727601</v>
      </c>
      <c r="DY14" s="208">
        <f t="shared" si="33"/>
        <v>2957440.1576727601</v>
      </c>
      <c r="DZ14" s="208">
        <f t="shared" si="33"/>
        <v>2957440.1576727601</v>
      </c>
      <c r="EA14" s="208">
        <f t="shared" si="33"/>
        <v>2957440.1576727601</v>
      </c>
      <c r="EB14" s="208">
        <f t="shared" si="33"/>
        <v>2957440.1576727601</v>
      </c>
      <c r="EC14" s="208">
        <f t="shared" si="33"/>
        <v>2957440.1576727601</v>
      </c>
      <c r="ED14" s="208">
        <f t="shared" si="33"/>
        <v>2957440.1576727601</v>
      </c>
      <c r="EE14" s="208">
        <f t="shared" si="33"/>
        <v>2957440.1576727601</v>
      </c>
      <c r="EF14" s="208">
        <f t="shared" si="33"/>
        <v>2957440.1576727601</v>
      </c>
      <c r="EG14" s="208">
        <f t="shared" ref="EG14:GR14" si="34">EG10-EG12</f>
        <v>2957440.1576727601</v>
      </c>
      <c r="EH14" s="208">
        <f t="shared" si="34"/>
        <v>2957440.1576727601</v>
      </c>
      <c r="EI14" s="208">
        <f t="shared" si="34"/>
        <v>2957440.1576727601</v>
      </c>
      <c r="EJ14" s="208">
        <f t="shared" si="34"/>
        <v>2957440.1576727601</v>
      </c>
      <c r="EK14" s="208">
        <f t="shared" si="34"/>
        <v>2957440.1576727601</v>
      </c>
      <c r="EL14" s="208">
        <f t="shared" si="34"/>
        <v>2957440.1576727601</v>
      </c>
      <c r="EM14" s="208">
        <f t="shared" si="34"/>
        <v>2957440.1576727601</v>
      </c>
      <c r="EN14" s="208">
        <f t="shared" si="34"/>
        <v>2957440.1576727601</v>
      </c>
      <c r="EO14" s="208">
        <f t="shared" si="34"/>
        <v>2957440.1576727601</v>
      </c>
      <c r="EP14" s="208">
        <f t="shared" si="34"/>
        <v>2957440.1576727601</v>
      </c>
      <c r="EQ14" s="208">
        <f t="shared" si="34"/>
        <v>2957440.1576727601</v>
      </c>
      <c r="ER14" s="208">
        <f t="shared" si="34"/>
        <v>2957440.1576727601</v>
      </c>
      <c r="ES14" s="208">
        <f t="shared" si="34"/>
        <v>2957440.1576727601</v>
      </c>
      <c r="ET14" s="208">
        <f t="shared" si="34"/>
        <v>2957440.1576727601</v>
      </c>
      <c r="EU14" s="208">
        <f t="shared" si="34"/>
        <v>2957440.1576727601</v>
      </c>
      <c r="EV14" s="208">
        <f t="shared" si="34"/>
        <v>2957440.1576727601</v>
      </c>
      <c r="EW14" s="208">
        <f t="shared" si="34"/>
        <v>2957440.1576727601</v>
      </c>
      <c r="EX14" s="208">
        <f t="shared" si="34"/>
        <v>2957440.1576727601</v>
      </c>
      <c r="EY14" s="208">
        <f t="shared" si="34"/>
        <v>2957440.1576727601</v>
      </c>
      <c r="EZ14" s="208">
        <f t="shared" si="34"/>
        <v>2957440.1576727601</v>
      </c>
      <c r="FA14" s="208">
        <f t="shared" si="34"/>
        <v>2957440.1576727601</v>
      </c>
      <c r="FB14" s="208">
        <f t="shared" si="34"/>
        <v>2957440.1576727601</v>
      </c>
      <c r="FC14" s="208">
        <f t="shared" si="34"/>
        <v>2957440.1576727601</v>
      </c>
      <c r="FD14" s="208">
        <f t="shared" si="34"/>
        <v>2957440.1576727601</v>
      </c>
      <c r="FE14" s="208">
        <f t="shared" si="34"/>
        <v>2957440.1576727601</v>
      </c>
      <c r="FF14" s="208">
        <f t="shared" si="34"/>
        <v>2957440.1576727601</v>
      </c>
      <c r="FG14" s="208">
        <f t="shared" si="34"/>
        <v>2957440.1576727601</v>
      </c>
      <c r="FH14" s="208">
        <f t="shared" si="34"/>
        <v>2957440.1576727601</v>
      </c>
      <c r="FI14" s="208">
        <f t="shared" si="34"/>
        <v>2957440.1576727601</v>
      </c>
      <c r="FJ14" s="208">
        <f t="shared" si="34"/>
        <v>2957440.1576727601</v>
      </c>
      <c r="FK14" s="208">
        <f t="shared" si="34"/>
        <v>2957440.1576727601</v>
      </c>
      <c r="FL14" s="208">
        <f t="shared" si="34"/>
        <v>2957440.1576727601</v>
      </c>
      <c r="FM14" s="208">
        <f t="shared" si="34"/>
        <v>2957440.1576727601</v>
      </c>
      <c r="FN14" s="208">
        <f t="shared" si="34"/>
        <v>2957440.1576727601</v>
      </c>
      <c r="FO14" s="208">
        <f t="shared" si="34"/>
        <v>2957440.1576727601</v>
      </c>
      <c r="FP14" s="208">
        <f t="shared" si="34"/>
        <v>2957440.1576727601</v>
      </c>
      <c r="FQ14" s="208">
        <f t="shared" si="34"/>
        <v>2957440.1576727601</v>
      </c>
      <c r="FR14" s="208">
        <f t="shared" si="34"/>
        <v>2957440.1576727601</v>
      </c>
      <c r="FS14" s="208">
        <f t="shared" si="34"/>
        <v>2957440.1576727601</v>
      </c>
      <c r="FT14" s="208">
        <f t="shared" si="34"/>
        <v>2957440.1576727601</v>
      </c>
      <c r="FU14" s="208">
        <f t="shared" si="34"/>
        <v>2957440.1576727601</v>
      </c>
      <c r="FV14" s="208">
        <f t="shared" si="34"/>
        <v>2957440.1576727601</v>
      </c>
      <c r="FW14" s="208">
        <f t="shared" si="34"/>
        <v>2957440.1576727601</v>
      </c>
      <c r="FX14" s="208">
        <f t="shared" si="34"/>
        <v>2957440.1576727601</v>
      </c>
      <c r="FY14" s="208">
        <f t="shared" si="34"/>
        <v>2957440.1576727601</v>
      </c>
      <c r="FZ14" s="208">
        <f t="shared" si="34"/>
        <v>2957440.1576727601</v>
      </c>
      <c r="GA14" s="208">
        <f t="shared" si="34"/>
        <v>2957440.1576727601</v>
      </c>
      <c r="GB14" s="208">
        <f t="shared" si="34"/>
        <v>2957440.1576727601</v>
      </c>
      <c r="GC14" s="208">
        <f t="shared" si="34"/>
        <v>2957440.1576727601</v>
      </c>
      <c r="GD14" s="208">
        <f t="shared" si="34"/>
        <v>2957440.1576727601</v>
      </c>
      <c r="GE14" s="208">
        <f t="shared" si="34"/>
        <v>2957440.1576727601</v>
      </c>
      <c r="GF14" s="208">
        <f t="shared" si="34"/>
        <v>2957440.1576727601</v>
      </c>
      <c r="GG14" s="208">
        <f t="shared" si="34"/>
        <v>2957440.1576727601</v>
      </c>
      <c r="GH14" s="208">
        <f t="shared" si="34"/>
        <v>2957440.1576727601</v>
      </c>
      <c r="GI14" s="208">
        <f t="shared" si="34"/>
        <v>2957440.1576727601</v>
      </c>
      <c r="GJ14" s="208">
        <f t="shared" si="34"/>
        <v>2957440.1576727601</v>
      </c>
      <c r="GK14" s="208">
        <f t="shared" si="34"/>
        <v>2957440.1576727601</v>
      </c>
      <c r="GL14" s="208">
        <f t="shared" si="34"/>
        <v>2957440.1576727601</v>
      </c>
      <c r="GM14" s="208">
        <f t="shared" si="34"/>
        <v>2957440.1576727601</v>
      </c>
      <c r="GN14" s="208">
        <f t="shared" si="34"/>
        <v>2957440.1576727601</v>
      </c>
      <c r="GO14" s="208">
        <f t="shared" si="34"/>
        <v>2957440.1576727601</v>
      </c>
      <c r="GP14" s="208">
        <f t="shared" si="34"/>
        <v>2957440.1576727601</v>
      </c>
      <c r="GQ14" s="208">
        <f t="shared" si="34"/>
        <v>2957440.1576727601</v>
      </c>
      <c r="GR14" s="208">
        <f t="shared" si="34"/>
        <v>2957440.1576727601</v>
      </c>
      <c r="GS14" s="208">
        <f t="shared" ref="GS14:JD14" si="35">GS10-GS12</f>
        <v>2957440.1576727601</v>
      </c>
      <c r="GT14" s="208">
        <f t="shared" si="35"/>
        <v>2957440.1576727601</v>
      </c>
      <c r="GU14" s="208">
        <f t="shared" si="35"/>
        <v>2957440.1576727601</v>
      </c>
      <c r="GV14" s="208">
        <f t="shared" si="35"/>
        <v>2957440.1576727601</v>
      </c>
      <c r="GW14" s="208">
        <f t="shared" si="35"/>
        <v>2957440.1576727601</v>
      </c>
      <c r="GX14" s="208">
        <f t="shared" si="35"/>
        <v>2957440.1576727601</v>
      </c>
      <c r="GY14" s="208">
        <f t="shared" si="35"/>
        <v>2957440.1576727601</v>
      </c>
      <c r="GZ14" s="208">
        <f t="shared" si="35"/>
        <v>2957440.1576727601</v>
      </c>
      <c r="HA14" s="208">
        <f t="shared" si="35"/>
        <v>2957440.1576727601</v>
      </c>
      <c r="HB14" s="208">
        <f t="shared" si="35"/>
        <v>2957440.1576727601</v>
      </c>
      <c r="HC14" s="208">
        <f t="shared" si="35"/>
        <v>2957440.1576727601</v>
      </c>
      <c r="HD14" s="208">
        <f t="shared" si="35"/>
        <v>2957440.1576727601</v>
      </c>
      <c r="HE14" s="208">
        <f t="shared" si="35"/>
        <v>2957440.1576727601</v>
      </c>
      <c r="HF14" s="208">
        <f t="shared" si="35"/>
        <v>2957440.1576727601</v>
      </c>
      <c r="HG14" s="208">
        <f t="shared" si="35"/>
        <v>2957440.1576727601</v>
      </c>
      <c r="HH14" s="208">
        <f t="shared" si="35"/>
        <v>2957440.1576727601</v>
      </c>
      <c r="HI14" s="208">
        <f t="shared" si="35"/>
        <v>2957440.1576727601</v>
      </c>
      <c r="HJ14" s="208">
        <f t="shared" si="35"/>
        <v>2957440.1576727601</v>
      </c>
      <c r="HK14" s="208">
        <f t="shared" si="35"/>
        <v>2957440.1576727601</v>
      </c>
      <c r="HL14" s="208">
        <f t="shared" si="35"/>
        <v>2957440.1576727601</v>
      </c>
      <c r="HM14" s="208">
        <f t="shared" si="35"/>
        <v>2957440.1576727601</v>
      </c>
      <c r="HN14" s="208">
        <f t="shared" si="35"/>
        <v>2957440.1576727601</v>
      </c>
      <c r="HO14" s="208">
        <f t="shared" si="35"/>
        <v>2957440.1576727601</v>
      </c>
      <c r="HP14" s="208">
        <f t="shared" si="35"/>
        <v>2957440.1576727601</v>
      </c>
      <c r="HQ14" s="208">
        <f t="shared" si="35"/>
        <v>2957440.1576727601</v>
      </c>
      <c r="HR14" s="208">
        <f t="shared" si="35"/>
        <v>2957440.1576727601</v>
      </c>
      <c r="HS14" s="208">
        <f t="shared" si="35"/>
        <v>2957440.1576727601</v>
      </c>
      <c r="HT14" s="208">
        <f t="shared" si="35"/>
        <v>2957440.1576727601</v>
      </c>
      <c r="HU14" s="208">
        <f t="shared" si="35"/>
        <v>2957440.1576727601</v>
      </c>
      <c r="HV14" s="208">
        <f t="shared" si="35"/>
        <v>2957440.1576727601</v>
      </c>
      <c r="HW14" s="208">
        <f t="shared" si="35"/>
        <v>2957440.1576727601</v>
      </c>
      <c r="HX14" s="208">
        <f t="shared" si="35"/>
        <v>2957440.1576727601</v>
      </c>
      <c r="HY14" s="208">
        <f t="shared" si="35"/>
        <v>2957440.1576727601</v>
      </c>
      <c r="HZ14" s="208">
        <f t="shared" si="35"/>
        <v>2957440.1576727601</v>
      </c>
      <c r="IA14" s="208">
        <f t="shared" si="35"/>
        <v>2957440.1576727601</v>
      </c>
      <c r="IB14" s="208">
        <f t="shared" si="35"/>
        <v>2957440.1576727601</v>
      </c>
      <c r="IC14" s="208">
        <f t="shared" si="35"/>
        <v>2957440.1576727601</v>
      </c>
      <c r="ID14" s="208">
        <f t="shared" si="35"/>
        <v>2957440.1576727601</v>
      </c>
      <c r="IE14" s="208">
        <f t="shared" si="35"/>
        <v>2957440.1576727601</v>
      </c>
      <c r="IF14" s="208">
        <f t="shared" si="35"/>
        <v>2957440.1576727601</v>
      </c>
      <c r="IG14" s="208">
        <f t="shared" si="35"/>
        <v>2957440.1576727601</v>
      </c>
      <c r="IH14" s="208">
        <f t="shared" si="35"/>
        <v>2957440.1576727601</v>
      </c>
      <c r="II14" s="208">
        <f t="shared" si="35"/>
        <v>2957440.1576727601</v>
      </c>
      <c r="IJ14" s="208">
        <f t="shared" si="35"/>
        <v>2957440.1576727601</v>
      </c>
      <c r="IK14" s="208">
        <f t="shared" si="35"/>
        <v>2957440.1576727601</v>
      </c>
      <c r="IL14" s="208">
        <f t="shared" si="35"/>
        <v>2957440.1576727601</v>
      </c>
      <c r="IM14" s="208">
        <f t="shared" si="35"/>
        <v>2957440.1576727601</v>
      </c>
      <c r="IN14" s="208">
        <f t="shared" si="35"/>
        <v>2957440.1576727601</v>
      </c>
      <c r="IO14" s="208">
        <f t="shared" si="35"/>
        <v>2957440.1576727601</v>
      </c>
      <c r="IP14" s="208">
        <f t="shared" si="35"/>
        <v>2957440.1576727601</v>
      </c>
      <c r="IQ14" s="208">
        <f t="shared" si="35"/>
        <v>2957440.1576727601</v>
      </c>
      <c r="IR14" s="208">
        <f t="shared" si="35"/>
        <v>2957440.1576727601</v>
      </c>
      <c r="IS14" s="208">
        <f t="shared" si="35"/>
        <v>2957440.1576727601</v>
      </c>
      <c r="IT14" s="208">
        <f t="shared" si="35"/>
        <v>2957440.1576727601</v>
      </c>
      <c r="IU14" s="208">
        <f t="shared" si="35"/>
        <v>2957440.1576727601</v>
      </c>
      <c r="IV14" s="208">
        <f t="shared" si="35"/>
        <v>2957440.1576727601</v>
      </c>
      <c r="IW14" s="208">
        <f t="shared" si="35"/>
        <v>2957440.1576727601</v>
      </c>
      <c r="IX14" s="208">
        <f t="shared" si="35"/>
        <v>2957440.1576727601</v>
      </c>
      <c r="IY14" s="208">
        <f t="shared" si="35"/>
        <v>2957440.1576727601</v>
      </c>
      <c r="IZ14" s="208">
        <f t="shared" si="35"/>
        <v>2957440.1576727601</v>
      </c>
      <c r="JA14" s="208">
        <f t="shared" si="35"/>
        <v>2957440.1576727601</v>
      </c>
      <c r="JB14" s="208">
        <f t="shared" si="35"/>
        <v>2957440.1576727601</v>
      </c>
      <c r="JC14" s="208">
        <f t="shared" si="35"/>
        <v>2957440.1576727601</v>
      </c>
      <c r="JD14" s="208">
        <f t="shared" si="35"/>
        <v>2957440.1576727601</v>
      </c>
      <c r="JE14" s="208">
        <f t="shared" ref="JE14:LD14" si="36">JE10-JE12</f>
        <v>2957440.1576727601</v>
      </c>
      <c r="JF14" s="208">
        <f t="shared" si="36"/>
        <v>2957440.1576727601</v>
      </c>
      <c r="JG14" s="208">
        <f t="shared" si="36"/>
        <v>2957440.1576727601</v>
      </c>
      <c r="JH14" s="208">
        <f t="shared" si="36"/>
        <v>2957440.1576727601</v>
      </c>
      <c r="JI14" s="208">
        <f t="shared" si="36"/>
        <v>2957440.1576727601</v>
      </c>
      <c r="JJ14" s="208">
        <f t="shared" si="36"/>
        <v>2957440.1576727601</v>
      </c>
      <c r="JK14" s="208">
        <f t="shared" si="36"/>
        <v>2957440.1576727601</v>
      </c>
      <c r="JL14" s="208">
        <f t="shared" si="36"/>
        <v>2957440.1576727601</v>
      </c>
      <c r="JM14" s="208">
        <f t="shared" si="36"/>
        <v>2957440.1576727601</v>
      </c>
      <c r="JN14" s="208">
        <f t="shared" si="36"/>
        <v>2957440.1576727601</v>
      </c>
      <c r="JO14" s="208">
        <f t="shared" si="36"/>
        <v>2957440.1576727601</v>
      </c>
      <c r="JP14" s="208">
        <f t="shared" si="36"/>
        <v>2957440.1576727601</v>
      </c>
      <c r="JQ14" s="208">
        <f t="shared" si="36"/>
        <v>2957440.1576727601</v>
      </c>
      <c r="JR14" s="208">
        <f t="shared" si="36"/>
        <v>2957440.1576727601</v>
      </c>
      <c r="JS14" s="208">
        <f t="shared" si="36"/>
        <v>2957440.1576727601</v>
      </c>
      <c r="JT14" s="208">
        <f t="shared" si="36"/>
        <v>2957440.1576727601</v>
      </c>
      <c r="JU14" s="208">
        <f t="shared" si="36"/>
        <v>2957440.1576727601</v>
      </c>
      <c r="JV14" s="208">
        <f t="shared" si="36"/>
        <v>2957440.1576727601</v>
      </c>
      <c r="JW14" s="208">
        <f t="shared" si="36"/>
        <v>2957440.1576727601</v>
      </c>
      <c r="JX14" s="208">
        <f t="shared" si="36"/>
        <v>2957440.1576727601</v>
      </c>
      <c r="JY14" s="208">
        <f t="shared" si="36"/>
        <v>2957440.1576727601</v>
      </c>
      <c r="JZ14" s="208">
        <f t="shared" si="36"/>
        <v>2957440.1576727601</v>
      </c>
      <c r="KA14" s="208">
        <f t="shared" si="36"/>
        <v>2957440.1576727601</v>
      </c>
      <c r="KB14" s="208">
        <f t="shared" si="36"/>
        <v>2957440.1576727601</v>
      </c>
      <c r="KC14" s="208">
        <f t="shared" si="36"/>
        <v>2957440.1576727601</v>
      </c>
      <c r="KD14" s="208">
        <f t="shared" si="36"/>
        <v>2957440.1576727601</v>
      </c>
      <c r="KE14" s="208">
        <f t="shared" si="36"/>
        <v>2957440.1576727601</v>
      </c>
      <c r="KF14" s="208">
        <f t="shared" si="36"/>
        <v>2957440.1576727601</v>
      </c>
      <c r="KG14" s="208">
        <f t="shared" si="36"/>
        <v>2957440.1576727601</v>
      </c>
      <c r="KH14" s="208">
        <f t="shared" si="36"/>
        <v>2957440.1576727601</v>
      </c>
      <c r="KI14" s="208">
        <f t="shared" si="36"/>
        <v>2957440.1576727601</v>
      </c>
      <c r="KJ14" s="208">
        <f t="shared" si="36"/>
        <v>2957440.1576727601</v>
      </c>
      <c r="KK14" s="208">
        <f t="shared" si="36"/>
        <v>2957440.1576727601</v>
      </c>
      <c r="KL14" s="208">
        <f t="shared" si="36"/>
        <v>2957440.1576727601</v>
      </c>
      <c r="KM14" s="208">
        <f t="shared" si="36"/>
        <v>2957440.1576727601</v>
      </c>
      <c r="KN14" s="208">
        <f t="shared" si="36"/>
        <v>2957440.1576727601</v>
      </c>
      <c r="KO14" s="208">
        <f t="shared" si="36"/>
        <v>2957440.1576727601</v>
      </c>
      <c r="KP14" s="208">
        <f t="shared" si="36"/>
        <v>2957440.1576727601</v>
      </c>
      <c r="KQ14" s="208">
        <f t="shared" si="36"/>
        <v>2957440.1576727601</v>
      </c>
      <c r="KR14" s="208">
        <f t="shared" si="36"/>
        <v>2957440.1576727601</v>
      </c>
      <c r="KS14" s="208">
        <f t="shared" si="36"/>
        <v>2957440.1576727601</v>
      </c>
      <c r="KT14" s="208">
        <f t="shared" si="36"/>
        <v>2957440.1576727601</v>
      </c>
      <c r="KU14" s="208">
        <f t="shared" si="36"/>
        <v>2957440.1576727601</v>
      </c>
      <c r="KV14" s="208">
        <f t="shared" si="36"/>
        <v>2957440.1576727601</v>
      </c>
      <c r="KW14" s="208">
        <f t="shared" si="36"/>
        <v>2957440.1576727601</v>
      </c>
      <c r="KX14" s="208">
        <f t="shared" si="36"/>
        <v>2957440.1576727601</v>
      </c>
      <c r="KY14" s="208">
        <f t="shared" si="36"/>
        <v>2957440.1576727601</v>
      </c>
      <c r="KZ14" s="208">
        <f t="shared" si="36"/>
        <v>2957440.1576727601</v>
      </c>
      <c r="LA14" s="208">
        <f t="shared" si="36"/>
        <v>2957440.1576727601</v>
      </c>
      <c r="LB14" s="208">
        <f t="shared" si="36"/>
        <v>2957440.1576727601</v>
      </c>
      <c r="LC14" s="208">
        <f t="shared" si="36"/>
        <v>2957440.1576727601</v>
      </c>
      <c r="LD14" s="208">
        <f t="shared" si="36"/>
        <v>2957440.1576727601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6"/>
      <c r="B17" s="196" t="s">
        <v>551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344857.4308887457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995652.49717818305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6"/>
      <c r="B18" s="196" t="s">
        <v>552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9432691.8406563457</v>
      </c>
      <c r="BL18" s="215">
        <f t="shared" si="37"/>
        <v>9432691.8406563457</v>
      </c>
      <c r="BM18" s="215">
        <f t="shared" si="37"/>
        <v>9432691.8406563457</v>
      </c>
      <c r="BN18" s="215">
        <f t="shared" si="37"/>
        <v>9432691.8406563457</v>
      </c>
      <c r="BO18" s="215">
        <f t="shared" si="37"/>
        <v>9432691.8406563457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4140625" defaultRowHeight="14.4"/>
  <cols>
    <col min="1" max="1" width="39.44140625" style="367" bestFit="1" customWidth="1"/>
    <col min="2" max="2" width="17.21875" style="368" bestFit="1" customWidth="1"/>
    <col min="3" max="3" width="13.21875" style="367" bestFit="1" customWidth="1"/>
    <col min="4" max="5" width="14.77734375" style="367" bestFit="1" customWidth="1"/>
    <col min="6" max="6" width="13.21875" style="367" bestFit="1" customWidth="1"/>
    <col min="7" max="7" width="4.77734375" style="367" bestFit="1" customWidth="1"/>
    <col min="8" max="10" width="13.21875" style="367" bestFit="1" customWidth="1"/>
    <col min="11" max="12" width="16" style="367" bestFit="1" customWidth="1"/>
    <col min="13" max="13" width="14.21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44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4140625" defaultRowHeight="14.4"/>
  <cols>
    <col min="1" max="1" width="21.77734375" bestFit="1" customWidth="1"/>
    <col min="2" max="2" width="17.21875" style="407" bestFit="1" customWidth="1"/>
    <col min="3" max="3" width="13.21875" style="407" bestFit="1" customWidth="1"/>
    <col min="4" max="4" width="14.77734375" style="407" bestFit="1" customWidth="1"/>
    <col min="5" max="6" width="13.21875" style="407" bestFit="1" customWidth="1"/>
    <col min="7" max="7" width="13.5546875" style="407" bestFit="1" customWidth="1"/>
    <col min="8" max="9" width="13.21875" style="407" bestFit="1" customWidth="1"/>
    <col min="10" max="10" width="13.21875" bestFit="1" customWidth="1"/>
    <col min="11" max="12" width="14.77734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559</v>
      </c>
    </row>
    <row r="2" spans="1:4">
      <c r="A2" s="838"/>
      <c r="B2" s="838"/>
      <c r="C2" s="838"/>
      <c r="D2" s="71"/>
    </row>
    <row r="3" spans="1:4">
      <c r="A3" s="837" t="s">
        <v>560</v>
      </c>
      <c r="B3" s="837"/>
      <c r="C3" s="837"/>
      <c r="D3" s="111">
        <v>0.32</v>
      </c>
    </row>
    <row r="4" spans="1:4">
      <c r="A4" s="837" t="s">
        <v>364</v>
      </c>
      <c r="B4" s="837"/>
      <c r="C4" s="837"/>
      <c r="D4" s="111">
        <v>0.5</v>
      </c>
    </row>
    <row r="5" spans="1:4">
      <c r="A5" s="837" t="s">
        <v>375</v>
      </c>
      <c r="B5" s="837"/>
      <c r="C5" s="837"/>
      <c r="D5" s="111">
        <v>0.15</v>
      </c>
    </row>
    <row r="6" spans="1:4">
      <c r="A6" s="837" t="s">
        <v>561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9" t="s">
        <v>562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39" t="s">
        <v>582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593</v>
      </c>
      <c r="C32" s="103"/>
      <c r="D32" s="103"/>
    </row>
    <row r="33" spans="2:4" ht="13.8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44140625" bestFit="1" customWidth="1"/>
    <col min="9" max="9" width="10.44140625" customWidth="1"/>
    <col min="10" max="10" width="19.5546875" bestFit="1" customWidth="1"/>
  </cols>
  <sheetData>
    <row r="1" spans="2:14">
      <c r="B1" s="841" t="str">
        <f>D15</f>
        <v>Seshego Circle</v>
      </c>
      <c r="C1" s="841"/>
      <c r="D1" s="841"/>
      <c r="E1" s="840" t="s">
        <v>595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Johannes Potgieter</cp:lastModifiedBy>
  <cp:revision/>
  <dcterms:created xsi:type="dcterms:W3CDTF">2020-08-09T08:25:30Z</dcterms:created>
  <dcterms:modified xsi:type="dcterms:W3CDTF">2026-02-11T11:25:34Z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